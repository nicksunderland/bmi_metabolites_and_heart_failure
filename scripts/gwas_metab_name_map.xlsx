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xx20081/git/bmi_metabolites_and_heart_failure/scripts/"/>
    </mc:Choice>
  </mc:AlternateContent>
  <xr:revisionPtr revIDLastSave="0" documentId="13_ncr:1_{67317411-0299-8A49-BBDE-DC023BF2BF58}" xr6:coauthVersionLast="47" xr6:coauthVersionMax="47" xr10:uidLastSave="{00000000-0000-0000-0000-000000000000}"/>
  <bookViews>
    <workbookView xWindow="0" yWindow="660" windowWidth="34560" windowHeight="19360" xr2:uid="{DC121080-D6C3-814C-BC48-7C5E8E7F3264}"/>
  </bookViews>
  <sheets>
    <sheet name="map" sheetId="6" r:id="rId1"/>
    <sheet name="gwas_metab_name_map" sheetId="1" r:id="rId2"/>
    <sheet name="bbs_metabolon" sheetId="2" r:id="rId3"/>
    <sheet name="bbs_nightingale" sheetId="3" r:id="rId4"/>
    <sheet name="direct_metabolon" sheetId="4" r:id="rId5"/>
    <sheet name="direct_nightingale" sheetId="5" r:id="rId6"/>
    <sheet name="metabolite_gwases" sheetId="7" r:id="rId7"/>
    <sheet name="chen_annot" sheetId="8" r:id="rId8"/>
    <sheet name="karjalainen_annot" sheetId="9" r:id="rId9"/>
    <sheet name="liu_annot" sheetId="11" r:id="rId10"/>
    <sheet name="julkunen_annot" sheetId="13" r:id="rId11"/>
    <sheet name="pathways" sheetId="10" r:id="rId12"/>
  </sheets>
  <definedNames>
    <definedName name="_xlnm._FilterDatabase" localSheetId="2" hidden="1">bbs_metabolon!$A$1:$S$1332</definedName>
    <definedName name="_xlnm._FilterDatabase" localSheetId="3" hidden="1">bbs_nightingale!$A$1:$G$1</definedName>
    <definedName name="_xlnm._FilterDatabase" localSheetId="7" hidden="1">chen_annot!$A$1:$T$1092</definedName>
    <definedName name="_xlnm._FilterDatabase" localSheetId="0" hidden="1">map!$A$1:$R$1873</definedName>
    <definedName name="_xlnm._FilterDatabase" localSheetId="6" hidden="1">metabolite_gwases!$A$1:$H$1747</definedName>
    <definedName name="_xlnm._FilterDatabase" localSheetId="11" hidden="1">pathways!$A$1:$B$31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950" i="6" l="1"/>
  <c r="D951" i="6"/>
  <c r="G13" i="11"/>
  <c r="G14" i="11"/>
  <c r="G15" i="11"/>
  <c r="G16" i="11"/>
  <c r="G17" i="11"/>
  <c r="G18" i="11"/>
  <c r="G19" i="11"/>
  <c r="G20" i="11"/>
  <c r="G21" i="11"/>
  <c r="G22" i="11"/>
  <c r="G23" i="11"/>
  <c r="G24" i="11"/>
  <c r="G25" i="11"/>
  <c r="G26" i="11"/>
  <c r="G27" i="11"/>
  <c r="G28" i="11"/>
  <c r="G29" i="11"/>
  <c r="G30" i="11"/>
  <c r="G31" i="11"/>
  <c r="G32" i="11"/>
  <c r="G33" i="11"/>
  <c r="G34" i="11"/>
  <c r="G35" i="11"/>
  <c r="G36" i="11"/>
  <c r="G37" i="11"/>
  <c r="G38" i="11"/>
  <c r="G39" i="11"/>
  <c r="G40" i="11"/>
  <c r="G41" i="11"/>
  <c r="G42" i="11"/>
  <c r="G43" i="11"/>
  <c r="G44" i="11"/>
  <c r="G45" i="11"/>
  <c r="G46" i="11"/>
  <c r="G47" i="11"/>
  <c r="G48" i="11"/>
  <c r="G49" i="11"/>
  <c r="G50" i="11"/>
  <c r="G51" i="11"/>
  <c r="G52" i="11"/>
  <c r="G53" i="11"/>
  <c r="G54" i="11"/>
  <c r="G55" i="11"/>
  <c r="G56" i="11"/>
  <c r="G57" i="11"/>
  <c r="G58" i="11"/>
  <c r="G59" i="11"/>
  <c r="G60" i="11"/>
  <c r="G61" i="11"/>
  <c r="G62" i="11"/>
  <c r="G63" i="11"/>
  <c r="G64" i="11"/>
  <c r="G65" i="11"/>
  <c r="G66" i="11"/>
  <c r="G67" i="11"/>
  <c r="G68" i="11"/>
  <c r="F2" i="11"/>
  <c r="F3" i="11"/>
  <c r="F4" i="11"/>
  <c r="F5" i="11"/>
  <c r="F6" i="11"/>
  <c r="F7" i="11"/>
  <c r="F8" i="11"/>
  <c r="F9" i="11"/>
  <c r="F10" i="11"/>
  <c r="F11" i="11"/>
  <c r="F12" i="11"/>
  <c r="F13" i="11"/>
  <c r="F14" i="11"/>
  <c r="F15" i="11"/>
  <c r="F16" i="11"/>
  <c r="F17" i="11"/>
  <c r="F18" i="11"/>
  <c r="F19" i="11"/>
  <c r="F20" i="11"/>
  <c r="F21" i="11"/>
  <c r="F22" i="11"/>
  <c r="F23" i="11"/>
  <c r="F24" i="11"/>
  <c r="F25" i="11"/>
  <c r="F26" i="11"/>
  <c r="F27" i="11"/>
  <c r="F28" i="11"/>
  <c r="F29" i="11"/>
  <c r="F30" i="11"/>
  <c r="F31" i="11"/>
  <c r="F32" i="11"/>
  <c r="F33" i="11"/>
  <c r="F34" i="11"/>
  <c r="F35" i="11"/>
  <c r="F36" i="11"/>
  <c r="F37" i="11"/>
  <c r="F38" i="11"/>
  <c r="F39" i="11"/>
  <c r="F40" i="11"/>
  <c r="F41" i="11"/>
  <c r="F42" i="11"/>
  <c r="F43" i="11"/>
  <c r="F44" i="11"/>
  <c r="F45" i="11"/>
  <c r="F46" i="11"/>
  <c r="F47" i="11"/>
  <c r="F48" i="11"/>
  <c r="F49" i="11"/>
  <c r="F50" i="11"/>
  <c r="F51" i="11"/>
  <c r="F52" i="11"/>
  <c r="F53" i="11"/>
  <c r="F54" i="11"/>
  <c r="F55" i="11"/>
  <c r="F56" i="11"/>
  <c r="F57" i="11"/>
  <c r="F58" i="11"/>
  <c r="F59" i="11"/>
  <c r="F60" i="11"/>
  <c r="F61" i="11"/>
  <c r="F62" i="11"/>
  <c r="F63" i="11"/>
  <c r="F64" i="11"/>
  <c r="F65" i="11"/>
  <c r="F66" i="11"/>
  <c r="F67" i="11"/>
  <c r="F68" i="11"/>
  <c r="D216" i="6"/>
  <c r="D863" i="6"/>
  <c r="D1098" i="6"/>
  <c r="D1872" i="6"/>
  <c r="D864" i="6"/>
  <c r="D217" i="6"/>
  <c r="D865" i="6"/>
  <c r="D308" i="6"/>
  <c r="D1099" i="6"/>
  <c r="D866" i="6"/>
  <c r="D867" i="6"/>
  <c r="D868" i="6"/>
  <c r="D869" i="6"/>
  <c r="D870" i="6"/>
  <c r="D871" i="6"/>
  <c r="D872" i="6"/>
  <c r="D873" i="6"/>
  <c r="D874" i="6"/>
  <c r="D1873" i="6"/>
  <c r="D875" i="6"/>
  <c r="D876" i="6"/>
  <c r="D877" i="6"/>
  <c r="D218" i="6"/>
  <c r="D878" i="6"/>
  <c r="D879" i="6"/>
  <c r="D880" i="6"/>
  <c r="D881" i="6"/>
  <c r="D882" i="6"/>
  <c r="D1128" i="6"/>
  <c r="D883" i="6"/>
  <c r="D884" i="6"/>
  <c r="D1544" i="6"/>
  <c r="D885" i="6"/>
  <c r="D1545" i="6"/>
  <c r="D1546" i="6"/>
  <c r="D1547" i="6"/>
  <c r="D1548" i="6"/>
  <c r="D1549" i="6"/>
  <c r="D1550" i="6"/>
  <c r="D1551" i="6"/>
  <c r="D1552" i="6"/>
  <c r="D1553" i="6"/>
  <c r="D1554" i="6"/>
  <c r="D1555" i="6"/>
  <c r="D1556" i="6"/>
  <c r="D1557" i="6"/>
  <c r="D1558" i="6"/>
  <c r="D1559" i="6"/>
  <c r="D1560" i="6"/>
  <c r="D1561" i="6"/>
  <c r="D1562" i="6"/>
  <c r="D1563" i="6"/>
  <c r="D1564" i="6"/>
  <c r="D1565" i="6"/>
  <c r="D1566" i="6"/>
  <c r="D1567" i="6"/>
  <c r="D1568" i="6"/>
  <c r="D1569" i="6"/>
  <c r="D1570" i="6"/>
  <c r="D1571" i="6"/>
  <c r="D1572" i="6"/>
  <c r="D1573" i="6"/>
  <c r="D1574" i="6"/>
  <c r="D1575" i="6"/>
  <c r="D1576" i="6"/>
  <c r="D1577" i="6"/>
  <c r="D1578" i="6"/>
  <c r="D1579" i="6"/>
  <c r="D1580" i="6"/>
  <c r="D1581" i="6"/>
  <c r="D1582" i="6"/>
  <c r="D1583" i="6"/>
  <c r="D1584" i="6"/>
  <c r="D1585" i="6"/>
  <c r="D1586" i="6"/>
  <c r="D1587" i="6"/>
  <c r="D128" i="6"/>
  <c r="D61" i="6"/>
  <c r="D1588" i="6"/>
  <c r="D361" i="6"/>
  <c r="D360" i="6"/>
  <c r="D2" i="6"/>
  <c r="D362" i="6"/>
  <c r="D363" i="6"/>
  <c r="D364" i="6"/>
  <c r="D365" i="6"/>
  <c r="D366" i="6"/>
  <c r="D367" i="6"/>
  <c r="D368" i="6"/>
  <c r="D369" i="6"/>
  <c r="D370" i="6"/>
  <c r="D371" i="6"/>
  <c r="D372" i="6"/>
  <c r="D373" i="6"/>
  <c r="D374" i="6"/>
  <c r="D375" i="6"/>
  <c r="D376" i="6"/>
  <c r="D377" i="6"/>
  <c r="D378" i="6"/>
  <c r="D379" i="6"/>
  <c r="D380" i="6"/>
  <c r="D381" i="6"/>
  <c r="D382" i="6"/>
  <c r="D383" i="6"/>
  <c r="D384" i="6"/>
  <c r="D385" i="6"/>
  <c r="D386" i="6"/>
  <c r="D387" i="6"/>
  <c r="D1589" i="6"/>
  <c r="D388" i="6"/>
  <c r="D389" i="6"/>
  <c r="D390" i="6"/>
  <c r="D391" i="6"/>
  <c r="D392" i="6"/>
  <c r="D393" i="6"/>
  <c r="D394" i="6"/>
  <c r="D395" i="6"/>
  <c r="D396" i="6"/>
  <c r="D397" i="6"/>
  <c r="D398" i="6"/>
  <c r="D399" i="6"/>
  <c r="D3" i="6"/>
  <c r="D4" i="6"/>
  <c r="D5" i="6"/>
  <c r="D6" i="6"/>
  <c r="D272" i="6"/>
  <c r="D1590" i="6"/>
  <c r="D1591" i="6"/>
  <c r="D400" i="6"/>
  <c r="D401" i="6"/>
  <c r="D402" i="6"/>
  <c r="D403" i="6"/>
  <c r="D404" i="6"/>
  <c r="D405" i="6"/>
  <c r="D406" i="6"/>
  <c r="D407" i="6"/>
  <c r="D408" i="6"/>
  <c r="D409" i="6"/>
  <c r="D410" i="6"/>
  <c r="D411" i="6"/>
  <c r="D412" i="6"/>
  <c r="D413" i="6"/>
  <c r="D414" i="6"/>
  <c r="D415" i="6"/>
  <c r="D416" i="6"/>
  <c r="D417" i="6"/>
  <c r="D418" i="6"/>
  <c r="D419" i="6"/>
  <c r="D420" i="6"/>
  <c r="D421" i="6"/>
  <c r="D422" i="6"/>
  <c r="D423" i="6"/>
  <c r="D424" i="6"/>
  <c r="D425" i="6"/>
  <c r="D426" i="6"/>
  <c r="D427" i="6"/>
  <c r="D428" i="6"/>
  <c r="D429" i="6"/>
  <c r="D430" i="6"/>
  <c r="D431" i="6"/>
  <c r="D432" i="6"/>
  <c r="D433" i="6"/>
  <c r="D434" i="6"/>
  <c r="D435" i="6"/>
  <c r="D7" i="6"/>
  <c r="D436" i="6"/>
  <c r="D437" i="6"/>
  <c r="D438" i="6"/>
  <c r="D439" i="6"/>
  <c r="D440" i="6"/>
  <c r="D441" i="6"/>
  <c r="D442" i="6"/>
  <c r="D443" i="6"/>
  <c r="D444" i="6"/>
  <c r="D445" i="6"/>
  <c r="D446" i="6"/>
  <c r="D447" i="6"/>
  <c r="D448" i="6"/>
  <c r="D449" i="6"/>
  <c r="D450" i="6"/>
  <c r="D451" i="6"/>
  <c r="D452" i="6"/>
  <c r="D453" i="6"/>
  <c r="D454" i="6"/>
  <c r="D1592" i="6"/>
  <c r="D1593" i="6"/>
  <c r="D1594" i="6"/>
  <c r="D233" i="6"/>
  <c r="D1595" i="6"/>
  <c r="D455" i="6"/>
  <c r="D1596" i="6"/>
  <c r="D456" i="6"/>
  <c r="D457" i="6"/>
  <c r="D458" i="6"/>
  <c r="D459" i="6"/>
  <c r="D460" i="6"/>
  <c r="D461" i="6"/>
  <c r="D462" i="6"/>
  <c r="D463" i="6"/>
  <c r="D464" i="6"/>
  <c r="D465" i="6"/>
  <c r="D466" i="6"/>
  <c r="D467" i="6"/>
  <c r="D468" i="6"/>
  <c r="D469" i="6"/>
  <c r="D470" i="6"/>
  <c r="D1597" i="6"/>
  <c r="D1598" i="6"/>
  <c r="D8" i="6"/>
  <c r="D9" i="6"/>
  <c r="D471" i="6"/>
  <c r="D472" i="6"/>
  <c r="D1599" i="6"/>
  <c r="D473" i="6"/>
  <c r="D474" i="6"/>
  <c r="D475" i="6"/>
  <c r="D10" i="6"/>
  <c r="D11" i="6"/>
  <c r="D1600" i="6"/>
  <c r="D476" i="6"/>
  <c r="D477" i="6"/>
  <c r="D12" i="6"/>
  <c r="D478" i="6"/>
  <c r="D479" i="6"/>
  <c r="D480" i="6"/>
  <c r="D1601" i="6"/>
  <c r="D1602" i="6"/>
  <c r="D481" i="6"/>
  <c r="D482" i="6"/>
  <c r="D483" i="6"/>
  <c r="D484" i="6"/>
  <c r="D13" i="6"/>
  <c r="D485" i="6"/>
  <c r="D1603" i="6"/>
  <c r="D1604" i="6"/>
  <c r="D14" i="6"/>
  <c r="D486" i="6"/>
  <c r="D1605" i="6"/>
  <c r="D1606" i="6"/>
  <c r="D1607" i="6"/>
  <c r="D1608" i="6"/>
  <c r="D15" i="6"/>
  <c r="D309" i="6"/>
  <c r="D1609" i="6"/>
  <c r="D273" i="6"/>
  <c r="D487" i="6"/>
  <c r="D16" i="6"/>
  <c r="D488" i="6"/>
  <c r="D489" i="6"/>
  <c r="D1610" i="6"/>
  <c r="D17" i="6"/>
  <c r="D490" i="6"/>
  <c r="D1611" i="6"/>
  <c r="D18" i="6"/>
  <c r="D19" i="6"/>
  <c r="D1612" i="6"/>
  <c r="D1613" i="6"/>
  <c r="D1614" i="6"/>
  <c r="D1061" i="6"/>
  <c r="D1062" i="6"/>
  <c r="D1063" i="6"/>
  <c r="D491" i="6"/>
  <c r="D492" i="6"/>
  <c r="D493" i="6"/>
  <c r="D1064" i="6"/>
  <c r="D1615" i="6"/>
  <c r="D1616" i="6"/>
  <c r="D20" i="6"/>
  <c r="D1617" i="6"/>
  <c r="D1618" i="6"/>
  <c r="D1619" i="6"/>
  <c r="D1620" i="6"/>
  <c r="D21" i="6"/>
  <c r="D1065" i="6"/>
  <c r="D1621" i="6"/>
  <c r="D494" i="6"/>
  <c r="D495" i="6"/>
  <c r="D496" i="6"/>
  <c r="D1622" i="6"/>
  <c r="D1623" i="6"/>
  <c r="D1624" i="6"/>
  <c r="D22" i="6"/>
  <c r="D1625" i="6"/>
  <c r="D497" i="6"/>
  <c r="D498" i="6"/>
  <c r="D356" i="6"/>
  <c r="D499" i="6"/>
  <c r="D500" i="6"/>
  <c r="D1626" i="6"/>
  <c r="D1627" i="6"/>
  <c r="D501" i="6"/>
  <c r="D502" i="6"/>
  <c r="D503" i="6"/>
  <c r="D504" i="6"/>
  <c r="D505" i="6"/>
  <c r="D1628" i="6"/>
  <c r="D1629" i="6"/>
  <c r="D1630" i="6"/>
  <c r="D23" i="6"/>
  <c r="D506" i="6"/>
  <c r="D507" i="6"/>
  <c r="D508" i="6"/>
  <c r="D509" i="6"/>
  <c r="D510" i="6"/>
  <c r="D511" i="6"/>
  <c r="D512" i="6"/>
  <c r="D1631" i="6"/>
  <c r="D1632" i="6"/>
  <c r="D1633" i="6"/>
  <c r="D513" i="6"/>
  <c r="D1634" i="6"/>
  <c r="D1635" i="6"/>
  <c r="D24" i="6"/>
  <c r="D1636" i="6"/>
  <c r="D1637" i="6"/>
  <c r="D25" i="6"/>
  <c r="D26" i="6"/>
  <c r="D1638" i="6"/>
  <c r="D27" i="6"/>
  <c r="D28" i="6"/>
  <c r="D514" i="6"/>
  <c r="D29" i="6"/>
  <c r="D30" i="6"/>
  <c r="D31" i="6"/>
  <c r="D1639" i="6"/>
  <c r="D1640" i="6"/>
  <c r="D32" i="6"/>
  <c r="D1066" i="6"/>
  <c r="D515" i="6"/>
  <c r="D1641" i="6"/>
  <c r="D1642" i="6"/>
  <c r="D516" i="6"/>
  <c r="D517" i="6"/>
  <c r="D518" i="6"/>
  <c r="D33" i="6"/>
  <c r="D1643" i="6"/>
  <c r="D1644" i="6"/>
  <c r="D1645" i="6"/>
  <c r="D1646" i="6"/>
  <c r="D1647" i="6"/>
  <c r="D1648" i="6"/>
  <c r="D1649" i="6"/>
  <c r="D1650" i="6"/>
  <c r="D519" i="6"/>
  <c r="D1651" i="6"/>
  <c r="D1652" i="6"/>
  <c r="D1653" i="6"/>
  <c r="D34" i="6"/>
  <c r="D1654" i="6"/>
  <c r="D1655" i="6"/>
  <c r="D1656" i="6"/>
  <c r="D1657" i="6"/>
  <c r="D35" i="6"/>
  <c r="D1658" i="6"/>
  <c r="D36" i="6"/>
  <c r="D1129" i="6"/>
  <c r="D37" i="6"/>
  <c r="D38" i="6"/>
  <c r="D39" i="6"/>
  <c r="D1659" i="6"/>
  <c r="D1660" i="6"/>
  <c r="D1661" i="6"/>
  <c r="D520" i="6"/>
  <c r="D1662" i="6"/>
  <c r="D1663" i="6"/>
  <c r="D1664" i="6"/>
  <c r="D1665" i="6"/>
  <c r="D1666" i="6"/>
  <c r="D40" i="6"/>
  <c r="D1667" i="6"/>
  <c r="D1668" i="6"/>
  <c r="D521" i="6"/>
  <c r="D522" i="6"/>
  <c r="D523" i="6"/>
  <c r="D1669" i="6"/>
  <c r="D1670" i="6"/>
  <c r="D524" i="6"/>
  <c r="D525" i="6"/>
  <c r="D41" i="6"/>
  <c r="D42" i="6"/>
  <c r="D43" i="6"/>
  <c r="D44" i="6"/>
  <c r="D45" i="6"/>
  <c r="D1067" i="6"/>
  <c r="D46" i="6"/>
  <c r="D1068" i="6"/>
  <c r="D1069" i="6"/>
  <c r="D1070" i="6"/>
  <c r="D526" i="6"/>
  <c r="D527" i="6"/>
  <c r="D528" i="6"/>
  <c r="D529" i="6"/>
  <c r="D530" i="6"/>
  <c r="D531" i="6"/>
  <c r="D532" i="6"/>
  <c r="D533" i="6"/>
  <c r="D534" i="6"/>
  <c r="D535" i="6"/>
  <c r="D536" i="6"/>
  <c r="D537" i="6"/>
  <c r="D538" i="6"/>
  <c r="D47" i="6"/>
  <c r="D1671" i="6"/>
  <c r="D1672" i="6"/>
  <c r="D48" i="6"/>
  <c r="D539" i="6"/>
  <c r="D1673" i="6"/>
  <c r="D540" i="6"/>
  <c r="D1071" i="6"/>
  <c r="D1674" i="6"/>
  <c r="D1675" i="6"/>
  <c r="D541" i="6"/>
  <c r="D542" i="6"/>
  <c r="D1676" i="6"/>
  <c r="D357" i="6"/>
  <c r="D358" i="6"/>
  <c r="D543" i="6"/>
  <c r="D359" i="6"/>
  <c r="D544" i="6"/>
  <c r="D49" i="6"/>
  <c r="D310" i="6"/>
  <c r="D1072" i="6"/>
  <c r="D1073" i="6"/>
  <c r="D274" i="6"/>
  <c r="D1074" i="6"/>
  <c r="D545" i="6"/>
  <c r="D546" i="6"/>
  <c r="D547" i="6"/>
  <c r="D219" i="6"/>
  <c r="D50" i="6"/>
  <c r="D339" i="6"/>
  <c r="D1075" i="6"/>
  <c r="D1677" i="6"/>
  <c r="D1678" i="6"/>
  <c r="D1679" i="6"/>
  <c r="D275" i="6"/>
  <c r="D276" i="6"/>
  <c r="D277" i="6"/>
  <c r="D548" i="6"/>
  <c r="D51" i="6"/>
  <c r="D52" i="6"/>
  <c r="D53" i="6"/>
  <c r="D54" i="6"/>
  <c r="D55" i="6"/>
  <c r="D311" i="6"/>
  <c r="D278" i="6"/>
  <c r="D1680" i="6"/>
  <c r="D549" i="6"/>
  <c r="D550" i="6"/>
  <c r="D551" i="6"/>
  <c r="D552" i="6"/>
  <c r="D553" i="6"/>
  <c r="D554" i="6"/>
  <c r="D555" i="6"/>
  <c r="D556" i="6"/>
  <c r="D557" i="6"/>
  <c r="D56" i="6"/>
  <c r="D229" i="6"/>
  <c r="D230" i="6"/>
  <c r="D234" i="6"/>
  <c r="D235" i="6"/>
  <c r="D558" i="6"/>
  <c r="D559" i="6"/>
  <c r="D560" i="6"/>
  <c r="D561" i="6"/>
  <c r="D562" i="6"/>
  <c r="D563" i="6"/>
  <c r="D57" i="6"/>
  <c r="D58" i="6"/>
  <c r="D279" i="6"/>
  <c r="D280" i="6"/>
  <c r="D59" i="6"/>
  <c r="D60" i="6"/>
  <c r="D1681" i="6"/>
  <c r="D1682" i="6"/>
  <c r="D1683" i="6"/>
  <c r="D564" i="6"/>
  <c r="D565" i="6"/>
  <c r="D1684" i="6"/>
  <c r="D566" i="6"/>
  <c r="D567" i="6"/>
  <c r="D568" i="6"/>
  <c r="D1685" i="6"/>
  <c r="D1686" i="6"/>
  <c r="D62" i="6"/>
  <c r="D281" i="6"/>
  <c r="D1687" i="6"/>
  <c r="D63" i="6"/>
  <c r="D64" i="6"/>
  <c r="D65" i="6"/>
  <c r="D282" i="6"/>
  <c r="D283" i="6"/>
  <c r="D284" i="6"/>
  <c r="D1104" i="6"/>
  <c r="D1105" i="6"/>
  <c r="D1106" i="6"/>
  <c r="D1107" i="6"/>
  <c r="D1108" i="6"/>
  <c r="D1109" i="6"/>
  <c r="D1110" i="6"/>
  <c r="D1111" i="6"/>
  <c r="D1112" i="6"/>
  <c r="D285" i="6"/>
  <c r="D286" i="6"/>
  <c r="D1688" i="6"/>
  <c r="D1130" i="6"/>
  <c r="D569" i="6"/>
  <c r="D1113" i="6"/>
  <c r="D1114" i="6"/>
  <c r="D570" i="6"/>
  <c r="D571" i="6"/>
  <c r="D572" i="6"/>
  <c r="D66" i="6"/>
  <c r="D1689" i="6"/>
  <c r="D1690" i="6"/>
  <c r="D573" i="6"/>
  <c r="D1691" i="6"/>
  <c r="D574" i="6"/>
  <c r="D575" i="6"/>
  <c r="D576" i="6"/>
  <c r="D1692" i="6"/>
  <c r="D1693" i="6"/>
  <c r="D1694" i="6"/>
  <c r="D1695" i="6"/>
  <c r="D1696" i="6"/>
  <c r="D577" i="6"/>
  <c r="D578" i="6"/>
  <c r="D1115" i="6"/>
  <c r="D287" i="6"/>
  <c r="D288" i="6"/>
  <c r="D289" i="6"/>
  <c r="D1697" i="6"/>
  <c r="D1698" i="6"/>
  <c r="D579" i="6"/>
  <c r="D580" i="6"/>
  <c r="D581" i="6"/>
  <c r="D582" i="6"/>
  <c r="D583" i="6"/>
  <c r="D584" i="6"/>
  <c r="D1699" i="6"/>
  <c r="D585" i="6"/>
  <c r="D586" i="6"/>
  <c r="D587" i="6"/>
  <c r="D588" i="6"/>
  <c r="D589" i="6"/>
  <c r="D893" i="6"/>
  <c r="D894" i="6"/>
  <c r="D895" i="6"/>
  <c r="D896" i="6"/>
  <c r="D897" i="6"/>
  <c r="D898" i="6"/>
  <c r="D899" i="6"/>
  <c r="D900" i="6"/>
  <c r="D901" i="6"/>
  <c r="D902" i="6"/>
  <c r="D903" i="6"/>
  <c r="D904" i="6"/>
  <c r="D905" i="6"/>
  <c r="D590" i="6"/>
  <c r="D906" i="6"/>
  <c r="D991" i="6"/>
  <c r="D992" i="6"/>
  <c r="D993" i="6"/>
  <c r="D994" i="6"/>
  <c r="D995" i="6"/>
  <c r="D996" i="6"/>
  <c r="D997" i="6"/>
  <c r="D998" i="6"/>
  <c r="D999" i="6"/>
  <c r="D1000" i="6"/>
  <c r="D1001" i="6"/>
  <c r="D1002" i="6"/>
  <c r="D1003" i="6"/>
  <c r="D1004" i="6"/>
  <c r="D591" i="6"/>
  <c r="D592" i="6"/>
  <c r="D593" i="6"/>
  <c r="D1700" i="6"/>
  <c r="D594" i="6"/>
  <c r="D595" i="6"/>
  <c r="D596" i="6"/>
  <c r="D597" i="6"/>
  <c r="D598" i="6"/>
  <c r="D1701" i="6"/>
  <c r="D312" i="6"/>
  <c r="D350" i="6"/>
  <c r="D313" i="6"/>
  <c r="D67" i="6"/>
  <c r="D1702" i="6"/>
  <c r="D1703" i="6"/>
  <c r="D907" i="6"/>
  <c r="D886" i="6"/>
  <c r="D908" i="6"/>
  <c r="D909" i="6"/>
  <c r="D910" i="6"/>
  <c r="D911" i="6"/>
  <c r="D887" i="6"/>
  <c r="D912" i="6"/>
  <c r="D913" i="6"/>
  <c r="D914" i="6"/>
  <c r="D915" i="6"/>
  <c r="D916" i="6"/>
  <c r="D917" i="6"/>
  <c r="D918" i="6"/>
  <c r="D919" i="6"/>
  <c r="D920" i="6"/>
  <c r="D888" i="6"/>
  <c r="D599" i="6"/>
  <c r="D600" i="6"/>
  <c r="D601" i="6"/>
  <c r="D602" i="6"/>
  <c r="D1704" i="6"/>
  <c r="D68" i="6"/>
  <c r="D69" i="6"/>
  <c r="D340" i="6"/>
  <c r="D1131" i="6"/>
  <c r="D70" i="6"/>
  <c r="D71" i="6"/>
  <c r="D72" i="6"/>
  <c r="D73" i="6"/>
  <c r="D74" i="6"/>
  <c r="D75" i="6"/>
  <c r="D76" i="6"/>
  <c r="D77" i="6"/>
  <c r="D78" i="6"/>
  <c r="D1076" i="6"/>
  <c r="D1077" i="6"/>
  <c r="D1705" i="6"/>
  <c r="D1706" i="6"/>
  <c r="D1707" i="6"/>
  <c r="D603" i="6"/>
  <c r="D604" i="6"/>
  <c r="D605" i="6"/>
  <c r="D606" i="6"/>
  <c r="D607" i="6"/>
  <c r="D608" i="6"/>
  <c r="D1708" i="6"/>
  <c r="D1709" i="6"/>
  <c r="D1710" i="6"/>
  <c r="D1711" i="6"/>
  <c r="D609" i="6"/>
  <c r="D610" i="6"/>
  <c r="D611" i="6"/>
  <c r="D612" i="6"/>
  <c r="D613" i="6"/>
  <c r="D1712" i="6"/>
  <c r="D1713" i="6"/>
  <c r="D614" i="6"/>
  <c r="D615" i="6"/>
  <c r="D616" i="6"/>
  <c r="D617" i="6"/>
  <c r="D618" i="6"/>
  <c r="D1714" i="6"/>
  <c r="D1715" i="6"/>
  <c r="D1716" i="6"/>
  <c r="D1078" i="6"/>
  <c r="D1717" i="6"/>
  <c r="D1718" i="6"/>
  <c r="D79" i="6"/>
  <c r="D80" i="6"/>
  <c r="D619" i="6"/>
  <c r="D620" i="6"/>
  <c r="D621" i="6"/>
  <c r="D319" i="6"/>
  <c r="D622" i="6"/>
  <c r="D623" i="6"/>
  <c r="D624" i="6"/>
  <c r="D625" i="6"/>
  <c r="D626" i="6"/>
  <c r="D627" i="6"/>
  <c r="D628" i="6"/>
  <c r="D629" i="6"/>
  <c r="D81" i="6"/>
  <c r="D82" i="6"/>
  <c r="D1719" i="6"/>
  <c r="D1720" i="6"/>
  <c r="D1721" i="6"/>
  <c r="D1722" i="6"/>
  <c r="D630" i="6"/>
  <c r="D631" i="6"/>
  <c r="D632" i="6"/>
  <c r="D633" i="6"/>
  <c r="D634" i="6"/>
  <c r="D635" i="6"/>
  <c r="D1723" i="6"/>
  <c r="D1724" i="6"/>
  <c r="D636" i="6"/>
  <c r="D1725" i="6"/>
  <c r="D637" i="6"/>
  <c r="D1726" i="6"/>
  <c r="D236" i="6"/>
  <c r="D1727" i="6"/>
  <c r="D271" i="6"/>
  <c r="D320" i="6"/>
  <c r="D638" i="6"/>
  <c r="D1728" i="6"/>
  <c r="D1729" i="6"/>
  <c r="D1730" i="6"/>
  <c r="D83" i="6"/>
  <c r="D639" i="6"/>
  <c r="D1731" i="6"/>
  <c r="D1732" i="6"/>
  <c r="D1733" i="6"/>
  <c r="D1734" i="6"/>
  <c r="D1132" i="6"/>
  <c r="D1133" i="6"/>
  <c r="D1134" i="6"/>
  <c r="D1135" i="6"/>
  <c r="D1136" i="6"/>
  <c r="D1137" i="6"/>
  <c r="D1138" i="6"/>
  <c r="D1139" i="6"/>
  <c r="D1140" i="6"/>
  <c r="D1141" i="6"/>
  <c r="D1142" i="6"/>
  <c r="D1143" i="6"/>
  <c r="D1144" i="6"/>
  <c r="D1145" i="6"/>
  <c r="D1735" i="6"/>
  <c r="D1736" i="6"/>
  <c r="D84" i="6"/>
  <c r="D341" i="6"/>
  <c r="D921" i="6"/>
  <c r="D922" i="6"/>
  <c r="D923" i="6"/>
  <c r="D924" i="6"/>
  <c r="D925" i="6"/>
  <c r="D926" i="6"/>
  <c r="D927" i="6"/>
  <c r="D928" i="6"/>
  <c r="D929" i="6"/>
  <c r="D930" i="6"/>
  <c r="D931" i="6"/>
  <c r="D932" i="6"/>
  <c r="D933" i="6"/>
  <c r="D934" i="6"/>
  <c r="D1005" i="6"/>
  <c r="D1006" i="6"/>
  <c r="D1007" i="6"/>
  <c r="D1008" i="6"/>
  <c r="D1009" i="6"/>
  <c r="D1010" i="6"/>
  <c r="D1011" i="6"/>
  <c r="D1012" i="6"/>
  <c r="D1013" i="6"/>
  <c r="D1014" i="6"/>
  <c r="D1015" i="6"/>
  <c r="D1016" i="6"/>
  <c r="D1017" i="6"/>
  <c r="D1018" i="6"/>
  <c r="D237" i="6"/>
  <c r="D85" i="6"/>
  <c r="D314" i="6"/>
  <c r="D1737" i="6"/>
  <c r="D1738" i="6"/>
  <c r="D238" i="6"/>
  <c r="D290" i="6"/>
  <c r="D291" i="6"/>
  <c r="D1146" i="6"/>
  <c r="D1147" i="6"/>
  <c r="D1148" i="6"/>
  <c r="D1149" i="6"/>
  <c r="D1150" i="6"/>
  <c r="D1151" i="6"/>
  <c r="D1152" i="6"/>
  <c r="D1153" i="6"/>
  <c r="D1154" i="6"/>
  <c r="D1155" i="6"/>
  <c r="D1156" i="6"/>
  <c r="D1157" i="6"/>
  <c r="D1158" i="6"/>
  <c r="D1159" i="6"/>
  <c r="D1160" i="6"/>
  <c r="D1161" i="6"/>
  <c r="D292" i="6"/>
  <c r="D1739" i="6"/>
  <c r="D86" i="6"/>
  <c r="D1116" i="6"/>
  <c r="D1740" i="6"/>
  <c r="D1162" i="6"/>
  <c r="D1741" i="6"/>
  <c r="D239" i="6"/>
  <c r="D240" i="6"/>
  <c r="D351" i="6"/>
  <c r="D241" i="6"/>
  <c r="D1117" i="6"/>
  <c r="D1118" i="6"/>
  <c r="D1119" i="6"/>
  <c r="D1742" i="6"/>
  <c r="D1743" i="6"/>
  <c r="D1744" i="6"/>
  <c r="D87" i="6"/>
  <c r="D88" i="6"/>
  <c r="D89" i="6"/>
  <c r="D220" i="6"/>
  <c r="D1120" i="6"/>
  <c r="D1121" i="6"/>
  <c r="D1122" i="6"/>
  <c r="D1123" i="6"/>
  <c r="D640" i="6"/>
  <c r="D90" i="6"/>
  <c r="D242" i="6"/>
  <c r="D641" i="6"/>
  <c r="D642" i="6"/>
  <c r="D643" i="6"/>
  <c r="D644" i="6"/>
  <c r="D645" i="6"/>
  <c r="D646" i="6"/>
  <c r="D91" i="6"/>
  <c r="D221" i="6"/>
  <c r="D1124" i="6"/>
  <c r="D1125" i="6"/>
  <c r="D647" i="6"/>
  <c r="D648" i="6"/>
  <c r="D649" i="6"/>
  <c r="D650" i="6"/>
  <c r="D651" i="6"/>
  <c r="D652" i="6"/>
  <c r="D653" i="6"/>
  <c r="D654" i="6"/>
  <c r="D655" i="6"/>
  <c r="D656" i="6"/>
  <c r="D1745" i="6"/>
  <c r="D657" i="6"/>
  <c r="D658" i="6"/>
  <c r="D355" i="6"/>
  <c r="D659" i="6"/>
  <c r="D660" i="6"/>
  <c r="D661" i="6"/>
  <c r="D662" i="6"/>
  <c r="D663" i="6"/>
  <c r="D664" i="6"/>
  <c r="D665" i="6"/>
  <c r="D666" i="6"/>
  <c r="D667" i="6"/>
  <c r="D668" i="6"/>
  <c r="D669" i="6"/>
  <c r="D1163" i="6"/>
  <c r="D1746" i="6"/>
  <c r="D92" i="6"/>
  <c r="D93" i="6"/>
  <c r="D1079" i="6"/>
  <c r="D293" i="6"/>
  <c r="D294" i="6"/>
  <c r="D670" i="6"/>
  <c r="D671" i="6"/>
  <c r="D672" i="6"/>
  <c r="D673" i="6"/>
  <c r="D674" i="6"/>
  <c r="D675" i="6"/>
  <c r="D676" i="6"/>
  <c r="D677" i="6"/>
  <c r="D678" i="6"/>
  <c r="D1747" i="6"/>
  <c r="D94" i="6"/>
  <c r="D222" i="6"/>
  <c r="D1748" i="6"/>
  <c r="D95" i="6"/>
  <c r="D96" i="6"/>
  <c r="D1749" i="6"/>
  <c r="D1750" i="6"/>
  <c r="D97" i="6"/>
  <c r="D1751" i="6"/>
  <c r="D1752" i="6"/>
  <c r="D679" i="6"/>
  <c r="D98" i="6"/>
  <c r="D99" i="6"/>
  <c r="D1753" i="6"/>
  <c r="D1754" i="6"/>
  <c r="D680" i="6"/>
  <c r="D1755" i="6"/>
  <c r="D681" i="6"/>
  <c r="D100" i="6"/>
  <c r="D1080" i="6"/>
  <c r="D1756" i="6"/>
  <c r="D1757" i="6"/>
  <c r="D101" i="6"/>
  <c r="D102" i="6"/>
  <c r="D1758" i="6"/>
  <c r="D1759" i="6"/>
  <c r="D103" i="6"/>
  <c r="D104" i="6"/>
  <c r="D105" i="6"/>
  <c r="D106" i="6"/>
  <c r="D107" i="6"/>
  <c r="D108" i="6"/>
  <c r="D109" i="6"/>
  <c r="D1081" i="6"/>
  <c r="D110" i="6"/>
  <c r="D111" i="6"/>
  <c r="D1760" i="6"/>
  <c r="D112" i="6"/>
  <c r="D223" i="6"/>
  <c r="D1164" i="6"/>
  <c r="D682" i="6"/>
  <c r="D683" i="6"/>
  <c r="D113" i="6"/>
  <c r="D114" i="6"/>
  <c r="D1761" i="6"/>
  <c r="D115" i="6"/>
  <c r="D116" i="6"/>
  <c r="D295" i="6"/>
  <c r="D243" i="6"/>
  <c r="D353" i="6"/>
  <c r="D244" i="6"/>
  <c r="D684" i="6"/>
  <c r="D685" i="6"/>
  <c r="D686" i="6"/>
  <c r="D1762" i="6"/>
  <c r="D117" i="6"/>
  <c r="D687" i="6"/>
  <c r="D688" i="6"/>
  <c r="D118" i="6"/>
  <c r="D224" i="6"/>
  <c r="D1165" i="6"/>
  <c r="D1166" i="6"/>
  <c r="D689" i="6"/>
  <c r="D690" i="6"/>
  <c r="D691" i="6"/>
  <c r="D321" i="6"/>
  <c r="D692" i="6"/>
  <c r="D693" i="6"/>
  <c r="D694" i="6"/>
  <c r="D695" i="6"/>
  <c r="D696" i="6"/>
  <c r="D697" i="6"/>
  <c r="D698" i="6"/>
  <c r="D699" i="6"/>
  <c r="D700" i="6"/>
  <c r="D701" i="6"/>
  <c r="D1763" i="6"/>
  <c r="D702" i="6"/>
  <c r="D703" i="6"/>
  <c r="D1764" i="6"/>
  <c r="D119" i="6"/>
  <c r="D315" i="6"/>
  <c r="D704" i="6"/>
  <c r="D705" i="6"/>
  <c r="D245" i="6"/>
  <c r="D246" i="6"/>
  <c r="D247" i="6"/>
  <c r="D1765" i="6"/>
  <c r="D248" i="6"/>
  <c r="D706" i="6"/>
  <c r="D707" i="6"/>
  <c r="D890" i="6"/>
  <c r="D891" i="6"/>
  <c r="D892" i="6"/>
  <c r="D1766" i="6"/>
  <c r="D1767" i="6"/>
  <c r="D1126" i="6"/>
  <c r="D1768" i="6"/>
  <c r="D120" i="6"/>
  <c r="D121" i="6"/>
  <c r="D122" i="6"/>
  <c r="D1769" i="6"/>
  <c r="D1770" i="6"/>
  <c r="D1771" i="6"/>
  <c r="D708" i="6"/>
  <c r="D1772" i="6"/>
  <c r="D1082" i="6"/>
  <c r="D123" i="6"/>
  <c r="D1773" i="6"/>
  <c r="D1774" i="6"/>
  <c r="D1775" i="6"/>
  <c r="D1776" i="6"/>
  <c r="D322" i="6"/>
  <c r="D1777" i="6"/>
  <c r="D1778" i="6"/>
  <c r="D1779" i="6"/>
  <c r="D1780" i="6"/>
  <c r="D709" i="6"/>
  <c r="D710" i="6"/>
  <c r="D711" i="6"/>
  <c r="D712" i="6"/>
  <c r="D713" i="6"/>
  <c r="D714" i="6"/>
  <c r="D715" i="6"/>
  <c r="D716" i="6"/>
  <c r="D1781" i="6"/>
  <c r="D1782" i="6"/>
  <c r="D124" i="6"/>
  <c r="D125" i="6"/>
  <c r="D717" i="6"/>
  <c r="D126" i="6"/>
  <c r="D127" i="6"/>
  <c r="D129" i="6"/>
  <c r="D130" i="6"/>
  <c r="D1783" i="6"/>
  <c r="D131" i="6"/>
  <c r="D132" i="6"/>
  <c r="D133" i="6"/>
  <c r="D134" i="6"/>
  <c r="D135" i="6"/>
  <c r="D249" i="6"/>
  <c r="D250" i="6"/>
  <c r="D136" i="6"/>
  <c r="D137" i="6"/>
  <c r="D138" i="6"/>
  <c r="D139" i="6"/>
  <c r="D140" i="6"/>
  <c r="D141" i="6"/>
  <c r="D142" i="6"/>
  <c r="D143" i="6"/>
  <c r="D251" i="6"/>
  <c r="D144" i="6"/>
  <c r="D145" i="6"/>
  <c r="D146" i="6"/>
  <c r="D147" i="6"/>
  <c r="D148" i="6"/>
  <c r="D1784" i="6"/>
  <c r="D149" i="6"/>
  <c r="D150" i="6"/>
  <c r="D151" i="6"/>
  <c r="D152" i="6"/>
  <c r="D718" i="6"/>
  <c r="D153" i="6"/>
  <c r="D154" i="6"/>
  <c r="D1785" i="6"/>
  <c r="D1786" i="6"/>
  <c r="D1787" i="6"/>
  <c r="D155" i="6"/>
  <c r="D156" i="6"/>
  <c r="D157" i="6"/>
  <c r="D158" i="6"/>
  <c r="D159" i="6"/>
  <c r="D160" i="6"/>
  <c r="D161" i="6"/>
  <c r="D162" i="6"/>
  <c r="D719" i="6"/>
  <c r="D720" i="6"/>
  <c r="D163" i="6"/>
  <c r="D1788" i="6"/>
  <c r="D164" i="6"/>
  <c r="D165" i="6"/>
  <c r="D721" i="6"/>
  <c r="D722" i="6"/>
  <c r="D723" i="6"/>
  <c r="D724" i="6"/>
  <c r="D725" i="6"/>
  <c r="D726" i="6"/>
  <c r="D727" i="6"/>
  <c r="D728" i="6"/>
  <c r="D729" i="6"/>
  <c r="D730" i="6"/>
  <c r="D731" i="6"/>
  <c r="D732" i="6"/>
  <c r="D733" i="6"/>
  <c r="D734" i="6"/>
  <c r="D735" i="6"/>
  <c r="D736" i="6"/>
  <c r="D166" i="6"/>
  <c r="D1167" i="6"/>
  <c r="D167" i="6"/>
  <c r="D168" i="6"/>
  <c r="D169" i="6"/>
  <c r="D296" i="6"/>
  <c r="D1083" i="6"/>
  <c r="D1084" i="6"/>
  <c r="D170" i="6"/>
  <c r="D171" i="6"/>
  <c r="D1085" i="6"/>
  <c r="D172" i="6"/>
  <c r="D1086" i="6"/>
  <c r="D173" i="6"/>
  <c r="D1087" i="6"/>
  <c r="D1088" i="6"/>
  <c r="D174" i="6"/>
  <c r="D1089" i="6"/>
  <c r="D175" i="6"/>
  <c r="D176" i="6"/>
  <c r="D1789" i="6"/>
  <c r="D1790" i="6"/>
  <c r="D1791" i="6"/>
  <c r="D1792" i="6"/>
  <c r="D737" i="6"/>
  <c r="D738" i="6"/>
  <c r="D297" i="6"/>
  <c r="D1793" i="6"/>
  <c r="D739" i="6"/>
  <c r="D740" i="6"/>
  <c r="D741" i="6"/>
  <c r="D1794" i="6"/>
  <c r="D1795" i="6"/>
  <c r="D1796" i="6"/>
  <c r="D1797" i="6"/>
  <c r="D1798" i="6"/>
  <c r="D1799" i="6"/>
  <c r="D1800" i="6"/>
  <c r="D742" i="6"/>
  <c r="D743" i="6"/>
  <c r="D744" i="6"/>
  <c r="D745" i="6"/>
  <c r="D746" i="6"/>
  <c r="D747" i="6"/>
  <c r="D748" i="6"/>
  <c r="D749" i="6"/>
  <c r="D750" i="6"/>
  <c r="D751" i="6"/>
  <c r="D752" i="6"/>
  <c r="D753" i="6"/>
  <c r="D754" i="6"/>
  <c r="D755" i="6"/>
  <c r="D756" i="6"/>
  <c r="D757" i="6"/>
  <c r="D758" i="6"/>
  <c r="D1801" i="6"/>
  <c r="D323" i="6"/>
  <c r="D324" i="6"/>
  <c r="D1802" i="6"/>
  <c r="D1803" i="6"/>
  <c r="D177" i="6"/>
  <c r="D1090" i="6"/>
  <c r="D1091" i="6"/>
  <c r="D298" i="6"/>
  <c r="D178" i="6"/>
  <c r="D1804" i="6"/>
  <c r="D179" i="6"/>
  <c r="D1805" i="6"/>
  <c r="D1806" i="6"/>
  <c r="D759" i="6"/>
  <c r="D760" i="6"/>
  <c r="D761" i="6"/>
  <c r="D762" i="6"/>
  <c r="D763" i="6"/>
  <c r="D764" i="6"/>
  <c r="D765" i="6"/>
  <c r="D766" i="6"/>
  <c r="D767" i="6"/>
  <c r="D768" i="6"/>
  <c r="D769" i="6"/>
  <c r="D770" i="6"/>
  <c r="D771" i="6"/>
  <c r="D772" i="6"/>
  <c r="D773" i="6"/>
  <c r="D774" i="6"/>
  <c r="D775" i="6"/>
  <c r="D776" i="6"/>
  <c r="D777" i="6"/>
  <c r="D778" i="6"/>
  <c r="D779" i="6"/>
  <c r="D780" i="6"/>
  <c r="D781" i="6"/>
  <c r="D782" i="6"/>
  <c r="D783" i="6"/>
  <c r="D299" i="6"/>
  <c r="D1807" i="6"/>
  <c r="D300" i="6"/>
  <c r="D1808" i="6"/>
  <c r="D1809" i="6"/>
  <c r="D784" i="6"/>
  <c r="D1127" i="6"/>
  <c r="D1810" i="6"/>
  <c r="D1811" i="6"/>
  <c r="D1812" i="6"/>
  <c r="D1813" i="6"/>
  <c r="D180" i="6"/>
  <c r="D181" i="6"/>
  <c r="D182" i="6"/>
  <c r="D1168" i="6"/>
  <c r="D1169" i="6"/>
  <c r="D1170" i="6"/>
  <c r="D183" i="6"/>
  <c r="D225" i="6"/>
  <c r="D1171" i="6"/>
  <c r="D184" i="6"/>
  <c r="D185" i="6"/>
  <c r="D316" i="6"/>
  <c r="D1100" i="6"/>
  <c r="D252" i="6"/>
  <c r="D785" i="6"/>
  <c r="D935" i="6"/>
  <c r="D936" i="6"/>
  <c r="D937" i="6"/>
  <c r="D938" i="6"/>
  <c r="D939" i="6"/>
  <c r="D940" i="6"/>
  <c r="D941" i="6"/>
  <c r="D942" i="6"/>
  <c r="D943" i="6"/>
  <c r="D944" i="6"/>
  <c r="D945" i="6"/>
  <c r="D946" i="6"/>
  <c r="D947" i="6"/>
  <c r="D948" i="6"/>
  <c r="D1019" i="6"/>
  <c r="D1020" i="6"/>
  <c r="D1021" i="6"/>
  <c r="D1022" i="6"/>
  <c r="D1023" i="6"/>
  <c r="D1024" i="6"/>
  <c r="D1025" i="6"/>
  <c r="D1026" i="6"/>
  <c r="D1027" i="6"/>
  <c r="D1028" i="6"/>
  <c r="D1029" i="6"/>
  <c r="D1030" i="6"/>
  <c r="D1031" i="6"/>
  <c r="D1032" i="6"/>
  <c r="D1814" i="6"/>
  <c r="D186" i="6"/>
  <c r="D786" i="6"/>
  <c r="D787" i="6"/>
  <c r="D1815" i="6"/>
  <c r="D187" i="6"/>
  <c r="D1816" i="6"/>
  <c r="D325" i="6"/>
  <c r="D1817" i="6"/>
  <c r="D788" i="6"/>
  <c r="D789" i="6"/>
  <c r="D790" i="6"/>
  <c r="D791" i="6"/>
  <c r="D792" i="6"/>
  <c r="D793" i="6"/>
  <c r="D794" i="6"/>
  <c r="D795" i="6"/>
  <c r="D188" i="6"/>
  <c r="D1818" i="6"/>
  <c r="D189" i="6"/>
  <c r="D1172" i="6"/>
  <c r="D796" i="6"/>
  <c r="D797" i="6"/>
  <c r="D1819" i="6"/>
  <c r="D1820" i="6"/>
  <c r="D1092" i="6"/>
  <c r="D301" i="6"/>
  <c r="D1821" i="6"/>
  <c r="D253" i="6"/>
  <c r="D354" i="6"/>
  <c r="D1822" i="6"/>
  <c r="D1823" i="6"/>
  <c r="D1824" i="6"/>
  <c r="D302" i="6"/>
  <c r="D1825" i="6"/>
  <c r="D1826" i="6"/>
  <c r="D326" i="6"/>
  <c r="D327" i="6"/>
  <c r="D231" i="6"/>
  <c r="D232" i="6"/>
  <c r="D328" i="6"/>
  <c r="D329" i="6"/>
  <c r="D330" i="6"/>
  <c r="D331" i="6"/>
  <c r="D332" i="6"/>
  <c r="D333" i="6"/>
  <c r="D334" i="6"/>
  <c r="D335" i="6"/>
  <c r="D336" i="6"/>
  <c r="D303" i="6"/>
  <c r="D304" i="6"/>
  <c r="D254" i="6"/>
  <c r="D305" i="6"/>
  <c r="D255" i="6"/>
  <c r="D256" i="6"/>
  <c r="D257" i="6"/>
  <c r="D1827" i="6"/>
  <c r="D1828" i="6"/>
  <c r="D1829" i="6"/>
  <c r="D1830" i="6"/>
  <c r="D190" i="6"/>
  <c r="D191" i="6"/>
  <c r="D1831" i="6"/>
  <c r="D192" i="6"/>
  <c r="D1832" i="6"/>
  <c r="D193" i="6"/>
  <c r="D194" i="6"/>
  <c r="D195" i="6"/>
  <c r="D1833" i="6"/>
  <c r="D1834" i="6"/>
  <c r="D1835" i="6"/>
  <c r="D196" i="6"/>
  <c r="D337" i="6"/>
  <c r="D798" i="6"/>
  <c r="D197" i="6"/>
  <c r="D198" i="6"/>
  <c r="D1836" i="6"/>
  <c r="D261" i="6"/>
  <c r="D1184" i="6"/>
  <c r="D1837" i="6"/>
  <c r="D1838" i="6"/>
  <c r="D1839" i="6"/>
  <c r="D199" i="6"/>
  <c r="D799" i="6"/>
  <c r="D800" i="6"/>
  <c r="D801" i="6"/>
  <c r="D802" i="6"/>
  <c r="D803" i="6"/>
  <c r="D804" i="6"/>
  <c r="D805" i="6"/>
  <c r="D806" i="6"/>
  <c r="D807" i="6"/>
  <c r="D808" i="6"/>
  <c r="D809" i="6"/>
  <c r="D810" i="6"/>
  <c r="D811" i="6"/>
  <c r="D812" i="6"/>
  <c r="D813" i="6"/>
  <c r="D814" i="6"/>
  <c r="D815" i="6"/>
  <c r="D816" i="6"/>
  <c r="D817" i="6"/>
  <c r="D818" i="6"/>
  <c r="D819" i="6"/>
  <c r="D820" i="6"/>
  <c r="D821" i="6"/>
  <c r="D822" i="6"/>
  <c r="D823" i="6"/>
  <c r="D824" i="6"/>
  <c r="D825" i="6"/>
  <c r="D826" i="6"/>
  <c r="D1101" i="6"/>
  <c r="D827" i="6"/>
  <c r="D828" i="6"/>
  <c r="D1840" i="6"/>
  <c r="D829" i="6"/>
  <c r="D830" i="6"/>
  <c r="D831" i="6"/>
  <c r="D832" i="6"/>
  <c r="D833" i="6"/>
  <c r="D834" i="6"/>
  <c r="D835" i="6"/>
  <c r="D836" i="6"/>
  <c r="D837" i="6"/>
  <c r="D838" i="6"/>
  <c r="D317" i="6"/>
  <c r="D1841" i="6"/>
  <c r="D200" i="6"/>
  <c r="D318" i="6"/>
  <c r="D1842" i="6"/>
  <c r="D258" i="6"/>
  <c r="D1843" i="6"/>
  <c r="D1844" i="6"/>
  <c r="D1845" i="6"/>
  <c r="D1846" i="6"/>
  <c r="D1847" i="6"/>
  <c r="D1848" i="6"/>
  <c r="D1849" i="6"/>
  <c r="D1850" i="6"/>
  <c r="D1851" i="6"/>
  <c r="D201" i="6"/>
  <c r="D839" i="6"/>
  <c r="D840" i="6"/>
  <c r="D841" i="6"/>
  <c r="D842" i="6"/>
  <c r="D843" i="6"/>
  <c r="D844" i="6"/>
  <c r="D845" i="6"/>
  <c r="D846" i="6"/>
  <c r="D847" i="6"/>
  <c r="D848" i="6"/>
  <c r="D849" i="6"/>
  <c r="D850" i="6"/>
  <c r="D851" i="6"/>
  <c r="D852" i="6"/>
  <c r="D853" i="6"/>
  <c r="D1852" i="6"/>
  <c r="D1853" i="6"/>
  <c r="D1854" i="6"/>
  <c r="D1855" i="6"/>
  <c r="D1856" i="6"/>
  <c r="D306" i="6"/>
  <c r="D202" i="6"/>
  <c r="D1173" i="6"/>
  <c r="D1857" i="6"/>
  <c r="D203" i="6"/>
  <c r="D204" i="6"/>
  <c r="D1858" i="6"/>
  <c r="D949" i="6"/>
  <c r="D952" i="6"/>
  <c r="D953" i="6"/>
  <c r="D954" i="6"/>
  <c r="D955" i="6"/>
  <c r="D956" i="6"/>
  <c r="D957" i="6"/>
  <c r="D958" i="6"/>
  <c r="D959" i="6"/>
  <c r="D960" i="6"/>
  <c r="D961" i="6"/>
  <c r="D962" i="6"/>
  <c r="D1034" i="6"/>
  <c r="D1035" i="6"/>
  <c r="D1036" i="6"/>
  <c r="D1037" i="6"/>
  <c r="D1038" i="6"/>
  <c r="D1039" i="6"/>
  <c r="D1040" i="6"/>
  <c r="D1041" i="6"/>
  <c r="D1042" i="6"/>
  <c r="D1043" i="6"/>
  <c r="D1044" i="6"/>
  <c r="D1045" i="6"/>
  <c r="D1046" i="6"/>
  <c r="D1102" i="6"/>
  <c r="D226" i="6"/>
  <c r="D889" i="6"/>
  <c r="D338" i="6"/>
  <c r="D963" i="6"/>
  <c r="D964" i="6"/>
  <c r="D965" i="6"/>
  <c r="D966" i="6"/>
  <c r="D967" i="6"/>
  <c r="D968" i="6"/>
  <c r="D969" i="6"/>
  <c r="D970" i="6"/>
  <c r="D971" i="6"/>
  <c r="D972" i="6"/>
  <c r="D973" i="6"/>
  <c r="D974" i="6"/>
  <c r="D975" i="6"/>
  <c r="D976" i="6"/>
  <c r="D1103" i="6"/>
  <c r="D1859" i="6"/>
  <c r="D1860" i="6"/>
  <c r="D854" i="6"/>
  <c r="D205" i="6"/>
  <c r="D206" i="6"/>
  <c r="D1861" i="6"/>
  <c r="D1862" i="6"/>
  <c r="D855" i="6"/>
  <c r="D856" i="6"/>
  <c r="D1863" i="6"/>
  <c r="D977" i="6"/>
  <c r="D345" i="6"/>
  <c r="D346" i="6"/>
  <c r="D347" i="6"/>
  <c r="D978" i="6"/>
  <c r="D979" i="6"/>
  <c r="D980" i="6"/>
  <c r="D981" i="6"/>
  <c r="D982" i="6"/>
  <c r="D983" i="6"/>
  <c r="D984" i="6"/>
  <c r="D985" i="6"/>
  <c r="D986" i="6"/>
  <c r="D987" i="6"/>
  <c r="D988" i="6"/>
  <c r="D989" i="6"/>
  <c r="D990" i="6"/>
  <c r="D1047" i="6"/>
  <c r="D1048" i="6"/>
  <c r="D1049" i="6"/>
  <c r="D1050" i="6"/>
  <c r="D1051" i="6"/>
  <c r="D1052" i="6"/>
  <c r="D1053" i="6"/>
  <c r="D1054" i="6"/>
  <c r="D1055" i="6"/>
  <c r="D1056" i="6"/>
  <c r="D1057" i="6"/>
  <c r="D1058" i="6"/>
  <c r="D1059" i="6"/>
  <c r="D1060" i="6"/>
  <c r="D307" i="6"/>
  <c r="D1864" i="6"/>
  <c r="D857" i="6"/>
  <c r="D207" i="6"/>
  <c r="D208" i="6"/>
  <c r="D209" i="6"/>
  <c r="D210" i="6"/>
  <c r="D227" i="6"/>
  <c r="D1865" i="6"/>
  <c r="D858" i="6"/>
  <c r="D859" i="6"/>
  <c r="D1093" i="6"/>
  <c r="D1094" i="6"/>
  <c r="D211" i="6"/>
  <c r="D1095" i="6"/>
  <c r="D860" i="6"/>
  <c r="D861" i="6"/>
  <c r="D212" i="6"/>
  <c r="D228" i="6"/>
  <c r="D1866" i="6"/>
  <c r="D1174" i="6"/>
  <c r="D1175" i="6"/>
  <c r="D213" i="6"/>
  <c r="D1867" i="6"/>
  <c r="D214" i="6"/>
  <c r="D1868" i="6"/>
  <c r="D1869" i="6"/>
  <c r="D1870" i="6"/>
  <c r="D1185" i="6"/>
  <c r="D1186" i="6"/>
  <c r="D1187" i="6"/>
  <c r="D1188" i="6"/>
  <c r="D1189" i="6"/>
  <c r="D1190" i="6"/>
  <c r="D1191" i="6"/>
  <c r="D1192" i="6"/>
  <c r="D1193" i="6"/>
  <c r="D1194" i="6"/>
  <c r="D1195" i="6"/>
  <c r="D1196" i="6"/>
  <c r="D1197" i="6"/>
  <c r="D1198" i="6"/>
  <c r="D1199" i="6"/>
  <c r="D1200" i="6"/>
  <c r="D1201" i="6"/>
  <c r="D1202" i="6"/>
  <c r="D1203" i="6"/>
  <c r="D1204" i="6"/>
  <c r="D1205" i="6"/>
  <c r="D1206" i="6"/>
  <c r="D1207" i="6"/>
  <c r="D1208" i="6"/>
  <c r="D1209" i="6"/>
  <c r="D1210" i="6"/>
  <c r="D1211" i="6"/>
  <c r="D1212" i="6"/>
  <c r="D1213" i="6"/>
  <c r="D1214" i="6"/>
  <c r="D1215" i="6"/>
  <c r="D1216" i="6"/>
  <c r="D1217" i="6"/>
  <c r="D1218" i="6"/>
  <c r="D1219" i="6"/>
  <c r="D1220" i="6"/>
  <c r="D1221" i="6"/>
  <c r="D1222" i="6"/>
  <c r="D1223" i="6"/>
  <c r="D1224" i="6"/>
  <c r="D1225" i="6"/>
  <c r="D1226" i="6"/>
  <c r="D1227" i="6"/>
  <c r="D1228" i="6"/>
  <c r="D1229" i="6"/>
  <c r="D1230" i="6"/>
  <c r="D1231" i="6"/>
  <c r="D1232" i="6"/>
  <c r="D1233" i="6"/>
  <c r="D1234" i="6"/>
  <c r="D1235" i="6"/>
  <c r="D1236" i="6"/>
  <c r="D1237" i="6"/>
  <c r="D1238" i="6"/>
  <c r="D1239" i="6"/>
  <c r="D1240" i="6"/>
  <c r="D1241" i="6"/>
  <c r="D1242" i="6"/>
  <c r="D1243" i="6"/>
  <c r="D1244" i="6"/>
  <c r="D1245" i="6"/>
  <c r="D1246" i="6"/>
  <c r="D1247" i="6"/>
  <c r="D1248" i="6"/>
  <c r="D1249" i="6"/>
  <c r="D1250" i="6"/>
  <c r="D1251" i="6"/>
  <c r="D1252" i="6"/>
  <c r="D1253" i="6"/>
  <c r="D1254" i="6"/>
  <c r="D1255" i="6"/>
  <c r="D1256" i="6"/>
  <c r="D1257" i="6"/>
  <c r="D1258" i="6"/>
  <c r="D1259" i="6"/>
  <c r="D1260" i="6"/>
  <c r="D1261" i="6"/>
  <c r="D1262" i="6"/>
  <c r="D1263" i="6"/>
  <c r="D1264" i="6"/>
  <c r="D1265" i="6"/>
  <c r="D1266" i="6"/>
  <c r="D1267" i="6"/>
  <c r="D1268" i="6"/>
  <c r="D1269" i="6"/>
  <c r="D1270" i="6"/>
  <c r="D1271" i="6"/>
  <c r="D1272" i="6"/>
  <c r="D1273" i="6"/>
  <c r="D1274" i="6"/>
  <c r="D1275" i="6"/>
  <c r="D1276" i="6"/>
  <c r="D1277" i="6"/>
  <c r="D1278" i="6"/>
  <c r="D1279" i="6"/>
  <c r="D1280" i="6"/>
  <c r="D1281" i="6"/>
  <c r="D1282" i="6"/>
  <c r="D1283" i="6"/>
  <c r="D1284" i="6"/>
  <c r="D1285" i="6"/>
  <c r="D1286" i="6"/>
  <c r="D1287" i="6"/>
  <c r="D1288" i="6"/>
  <c r="D1289" i="6"/>
  <c r="D1290" i="6"/>
  <c r="D1291" i="6"/>
  <c r="D1292" i="6"/>
  <c r="D1293" i="6"/>
  <c r="D1294" i="6"/>
  <c r="D1295" i="6"/>
  <c r="D1296" i="6"/>
  <c r="D1297" i="6"/>
  <c r="D1298" i="6"/>
  <c r="D1299" i="6"/>
  <c r="D1300" i="6"/>
  <c r="D1301" i="6"/>
  <c r="D1302" i="6"/>
  <c r="D1303" i="6"/>
  <c r="D1304" i="6"/>
  <c r="D1305" i="6"/>
  <c r="D1306" i="6"/>
  <c r="D1307" i="6"/>
  <c r="D1308" i="6"/>
  <c r="D1309" i="6"/>
  <c r="D1310" i="6"/>
  <c r="D1311" i="6"/>
  <c r="D1312" i="6"/>
  <c r="D1313" i="6"/>
  <c r="D1314" i="6"/>
  <c r="D1315" i="6"/>
  <c r="D1316" i="6"/>
  <c r="D1317" i="6"/>
  <c r="D1318" i="6"/>
  <c r="D1319" i="6"/>
  <c r="D1320" i="6"/>
  <c r="D1321" i="6"/>
  <c r="D1322" i="6"/>
  <c r="D1323" i="6"/>
  <c r="D1324" i="6"/>
  <c r="D1325" i="6"/>
  <c r="D1326" i="6"/>
  <c r="D1327" i="6"/>
  <c r="D1328" i="6"/>
  <c r="D1329" i="6"/>
  <c r="D1330" i="6"/>
  <c r="D1331" i="6"/>
  <c r="D1332" i="6"/>
  <c r="D1333" i="6"/>
  <c r="D1334" i="6"/>
  <c r="D1335" i="6"/>
  <c r="D1336" i="6"/>
  <c r="D1337" i="6"/>
  <c r="D1338" i="6"/>
  <c r="D1339" i="6"/>
  <c r="D1340" i="6"/>
  <c r="D1341" i="6"/>
  <c r="D1342" i="6"/>
  <c r="D1343" i="6"/>
  <c r="D1344" i="6"/>
  <c r="D1345" i="6"/>
  <c r="D1346" i="6"/>
  <c r="D1347" i="6"/>
  <c r="D1348" i="6"/>
  <c r="D1349" i="6"/>
  <c r="D1350" i="6"/>
  <c r="D1351" i="6"/>
  <c r="D1352" i="6"/>
  <c r="D1353" i="6"/>
  <c r="D1354" i="6"/>
  <c r="D1355" i="6"/>
  <c r="D1356" i="6"/>
  <c r="D1357" i="6"/>
  <c r="D1358" i="6"/>
  <c r="D1359" i="6"/>
  <c r="D1360" i="6"/>
  <c r="D1361" i="6"/>
  <c r="D1362" i="6"/>
  <c r="D1363" i="6"/>
  <c r="D1364" i="6"/>
  <c r="D1365" i="6"/>
  <c r="D1366" i="6"/>
  <c r="D1367" i="6"/>
  <c r="D1368" i="6"/>
  <c r="D1369" i="6"/>
  <c r="D1370" i="6"/>
  <c r="D1371" i="6"/>
  <c r="D1372" i="6"/>
  <c r="D1373" i="6"/>
  <c r="D1374" i="6"/>
  <c r="D1375" i="6"/>
  <c r="D1376" i="6"/>
  <c r="D1377" i="6"/>
  <c r="D1378" i="6"/>
  <c r="D1379" i="6"/>
  <c r="D1380" i="6"/>
  <c r="D1381" i="6"/>
  <c r="D1382" i="6"/>
  <c r="D1383" i="6"/>
  <c r="D1384" i="6"/>
  <c r="D1385" i="6"/>
  <c r="D1386" i="6"/>
  <c r="D1387" i="6"/>
  <c r="D1388" i="6"/>
  <c r="D1389" i="6"/>
  <c r="D1390" i="6"/>
  <c r="D1391" i="6"/>
  <c r="D1392" i="6"/>
  <c r="D1393" i="6"/>
  <c r="D1394" i="6"/>
  <c r="D1395" i="6"/>
  <c r="D1396" i="6"/>
  <c r="D1397" i="6"/>
  <c r="D1398" i="6"/>
  <c r="D1399" i="6"/>
  <c r="D1400" i="6"/>
  <c r="D1401" i="6"/>
  <c r="D1402" i="6"/>
  <c r="D1403" i="6"/>
  <c r="D1404" i="6"/>
  <c r="D1405" i="6"/>
  <c r="D1406" i="6"/>
  <c r="D1407" i="6"/>
  <c r="D1408" i="6"/>
  <c r="D1409" i="6"/>
  <c r="D1410" i="6"/>
  <c r="D1411" i="6"/>
  <c r="D1412" i="6"/>
  <c r="D1413" i="6"/>
  <c r="D1414" i="6"/>
  <c r="D1415" i="6"/>
  <c r="D1416" i="6"/>
  <c r="D1417" i="6"/>
  <c r="D1418" i="6"/>
  <c r="D1419" i="6"/>
  <c r="D1420" i="6"/>
  <c r="D1421" i="6"/>
  <c r="D1422" i="6"/>
  <c r="D1423" i="6"/>
  <c r="D1424" i="6"/>
  <c r="D1425" i="6"/>
  <c r="D1426" i="6"/>
  <c r="D1427" i="6"/>
  <c r="D1428" i="6"/>
  <c r="D1429" i="6"/>
  <c r="D1430" i="6"/>
  <c r="D1431" i="6"/>
  <c r="D1432" i="6"/>
  <c r="D1433" i="6"/>
  <c r="D1434" i="6"/>
  <c r="D1435" i="6"/>
  <c r="D1436" i="6"/>
  <c r="D1437" i="6"/>
  <c r="D1438" i="6"/>
  <c r="D1439" i="6"/>
  <c r="D1440" i="6"/>
  <c r="D1441" i="6"/>
  <c r="D1442" i="6"/>
  <c r="D1443" i="6"/>
  <c r="D1444" i="6"/>
  <c r="D1445" i="6"/>
  <c r="D1446" i="6"/>
  <c r="D1447" i="6"/>
  <c r="D1448" i="6"/>
  <c r="D1449" i="6"/>
  <c r="D1450" i="6"/>
  <c r="D1451" i="6"/>
  <c r="D1452" i="6"/>
  <c r="D1453" i="6"/>
  <c r="D1454" i="6"/>
  <c r="D1455" i="6"/>
  <c r="D1456" i="6"/>
  <c r="D1457" i="6"/>
  <c r="D1458" i="6"/>
  <c r="D1459" i="6"/>
  <c r="D1460" i="6"/>
  <c r="D1461" i="6"/>
  <c r="D1462" i="6"/>
  <c r="D1463" i="6"/>
  <c r="D1464" i="6"/>
  <c r="D1465" i="6"/>
  <c r="D1466" i="6"/>
  <c r="D1467" i="6"/>
  <c r="D1468" i="6"/>
  <c r="D1469" i="6"/>
  <c r="D1470" i="6"/>
  <c r="D1471" i="6"/>
  <c r="D1472" i="6"/>
  <c r="D1473" i="6"/>
  <c r="D1474" i="6"/>
  <c r="D1475" i="6"/>
  <c r="D1476" i="6"/>
  <c r="D1477" i="6"/>
  <c r="D1478" i="6"/>
  <c r="D1479" i="6"/>
  <c r="D1480" i="6"/>
  <c r="D1481" i="6"/>
  <c r="D1482" i="6"/>
  <c r="D1483" i="6"/>
  <c r="D1484" i="6"/>
  <c r="D1485" i="6"/>
  <c r="D1486" i="6"/>
  <c r="D1487" i="6"/>
  <c r="D1488" i="6"/>
  <c r="D1489" i="6"/>
  <c r="D1490" i="6"/>
  <c r="D1491" i="6"/>
  <c r="D1492" i="6"/>
  <c r="D1493" i="6"/>
  <c r="D1494" i="6"/>
  <c r="D1495" i="6"/>
  <c r="D1496" i="6"/>
  <c r="D1497" i="6"/>
  <c r="D1498" i="6"/>
  <c r="D1499" i="6"/>
  <c r="D1500" i="6"/>
  <c r="D1501" i="6"/>
  <c r="D1502" i="6"/>
  <c r="D1503" i="6"/>
  <c r="D1504" i="6"/>
  <c r="D1505" i="6"/>
  <c r="D1506" i="6"/>
  <c r="D1507" i="6"/>
  <c r="D1508" i="6"/>
  <c r="D1509" i="6"/>
  <c r="D1510" i="6"/>
  <c r="D1511" i="6"/>
  <c r="D1512" i="6"/>
  <c r="D1513" i="6"/>
  <c r="D1514" i="6"/>
  <c r="D1515" i="6"/>
  <c r="D1516" i="6"/>
  <c r="D1517" i="6"/>
  <c r="D1518" i="6"/>
  <c r="D1519" i="6"/>
  <c r="D1520" i="6"/>
  <c r="D1521" i="6"/>
  <c r="D1522" i="6"/>
  <c r="D1523" i="6"/>
  <c r="D1524" i="6"/>
  <c r="D1525" i="6"/>
  <c r="D1526" i="6"/>
  <c r="D1527" i="6"/>
  <c r="D1528" i="6"/>
  <c r="D1529" i="6"/>
  <c r="D1530" i="6"/>
  <c r="D1531" i="6"/>
  <c r="D1532" i="6"/>
  <c r="D1533" i="6"/>
  <c r="D1534" i="6"/>
  <c r="D1535" i="6"/>
  <c r="D1536" i="6"/>
  <c r="D1537" i="6"/>
  <c r="D1538" i="6"/>
  <c r="D1539" i="6"/>
  <c r="D1540" i="6"/>
  <c r="D1541" i="6"/>
  <c r="D1542" i="6"/>
  <c r="D1543" i="6"/>
  <c r="D1096" i="6"/>
  <c r="D1097" i="6"/>
  <c r="D215" i="6"/>
  <c r="D862" i="6"/>
  <c r="D1871" i="6"/>
  <c r="D1033" i="6"/>
  <c r="F1423" i="7"/>
  <c r="F1424" i="7"/>
  <c r="F1426" i="7"/>
  <c r="F1427" i="7"/>
  <c r="F1428" i="7"/>
  <c r="F1429" i="7"/>
  <c r="F1430" i="7"/>
  <c r="F1431" i="7"/>
  <c r="F1432" i="7"/>
  <c r="F1433" i="7"/>
  <c r="F1434" i="7"/>
  <c r="F1435" i="7"/>
  <c r="F1439" i="7"/>
  <c r="F1440" i="7"/>
  <c r="F1441" i="7"/>
  <c r="F1442" i="7"/>
  <c r="F1443" i="7"/>
  <c r="F1444" i="7"/>
  <c r="F1445" i="7"/>
  <c r="F1446" i="7"/>
  <c r="F1447" i="7"/>
  <c r="F1448" i="7"/>
  <c r="F1449" i="7"/>
  <c r="F1450" i="7"/>
  <c r="F1451" i="7"/>
  <c r="F1452" i="7"/>
  <c r="F1453" i="7"/>
  <c r="F1454" i="7"/>
  <c r="F1455" i="7"/>
  <c r="F1456" i="7"/>
  <c r="F1457" i="7"/>
  <c r="F1458" i="7"/>
  <c r="F1459" i="7"/>
  <c r="F1460" i="7"/>
  <c r="F1461" i="7"/>
  <c r="F1462" i="7"/>
  <c r="F1463" i="7"/>
  <c r="F1464" i="7"/>
  <c r="F1465" i="7"/>
  <c r="F1467" i="7"/>
  <c r="F1468" i="7"/>
  <c r="F1469" i="7"/>
  <c r="F1470" i="7"/>
  <c r="F1471" i="7"/>
  <c r="F1472" i="7"/>
  <c r="F1473" i="7"/>
  <c r="F1474" i="7"/>
  <c r="F1475" i="7"/>
  <c r="F1476" i="7"/>
  <c r="F1477" i="7"/>
  <c r="F1478" i="7"/>
  <c r="F1479" i="7"/>
  <c r="F1480" i="7"/>
  <c r="F1481" i="7"/>
  <c r="F1482" i="7"/>
  <c r="F1483" i="7"/>
  <c r="F1484" i="7"/>
  <c r="F1485" i="7"/>
  <c r="F1486" i="7"/>
  <c r="F1487" i="7"/>
  <c r="F1488" i="7"/>
  <c r="F1489" i="7"/>
  <c r="F1490" i="7"/>
  <c r="F1491" i="7"/>
  <c r="F1492" i="7"/>
  <c r="F1493" i="7"/>
  <c r="F1494" i="7"/>
  <c r="F1495" i="7"/>
  <c r="F1496" i="7"/>
  <c r="F1497" i="7"/>
  <c r="F1498" i="7"/>
  <c r="F1499" i="7"/>
  <c r="F1500" i="7"/>
  <c r="F1501" i="7"/>
  <c r="F1502" i="7"/>
  <c r="F1503" i="7"/>
  <c r="F1504" i="7"/>
  <c r="F1505" i="7"/>
  <c r="F1506" i="7"/>
  <c r="F1507" i="7"/>
  <c r="F1508" i="7"/>
  <c r="F1509" i="7"/>
  <c r="F1510" i="7"/>
  <c r="F1511" i="7"/>
  <c r="F1512" i="7"/>
  <c r="F1513" i="7"/>
  <c r="F1514" i="7"/>
  <c r="F1515" i="7"/>
  <c r="F1516" i="7"/>
  <c r="F1517" i="7"/>
  <c r="F1518" i="7"/>
  <c r="F1519" i="7"/>
  <c r="F1520" i="7"/>
  <c r="F1521" i="7"/>
  <c r="F1522" i="7"/>
  <c r="F1523" i="7"/>
  <c r="F1524" i="7"/>
  <c r="F1525" i="7"/>
  <c r="F1526" i="7"/>
  <c r="F1527" i="7"/>
  <c r="F1528" i="7"/>
  <c r="F1529" i="7"/>
  <c r="F1530" i="7"/>
  <c r="F1531" i="7"/>
  <c r="F1532" i="7"/>
  <c r="F1533" i="7"/>
  <c r="F1534" i="7"/>
  <c r="F1535" i="7"/>
  <c r="F1536" i="7"/>
  <c r="F1537" i="7"/>
  <c r="F1538" i="7"/>
  <c r="F1539" i="7"/>
  <c r="F1540" i="7"/>
  <c r="F1541" i="7"/>
  <c r="F1542" i="7"/>
  <c r="F1543" i="7"/>
  <c r="F1544" i="7"/>
  <c r="F1545" i="7"/>
  <c r="F1546" i="7"/>
  <c r="F1547" i="7"/>
  <c r="F1548" i="7"/>
  <c r="F1549" i="7"/>
  <c r="F1550" i="7"/>
  <c r="F1551" i="7"/>
  <c r="F1552" i="7"/>
  <c r="F1553" i="7"/>
  <c r="F1554" i="7"/>
  <c r="F1555" i="7"/>
  <c r="F1556" i="7"/>
  <c r="F1557" i="7"/>
  <c r="F1558" i="7"/>
  <c r="F1559" i="7"/>
  <c r="F1560" i="7"/>
  <c r="F1561" i="7"/>
  <c r="F1562" i="7"/>
  <c r="F1563" i="7"/>
  <c r="F1564" i="7"/>
  <c r="F1565" i="7"/>
  <c r="F1566" i="7"/>
  <c r="F1567" i="7"/>
  <c r="F1568" i="7"/>
  <c r="F1569" i="7"/>
  <c r="F1570" i="7"/>
  <c r="F1571" i="7"/>
  <c r="F1572" i="7"/>
  <c r="F1573" i="7"/>
  <c r="F1574" i="7"/>
  <c r="F1575" i="7"/>
  <c r="F1576" i="7"/>
  <c r="F1577" i="7"/>
  <c r="F1578" i="7"/>
  <c r="F1579" i="7"/>
  <c r="F1580" i="7"/>
  <c r="F1581" i="7"/>
  <c r="F1582" i="7"/>
  <c r="F1583" i="7"/>
  <c r="F1584" i="7"/>
  <c r="F1585" i="7"/>
  <c r="F1586" i="7"/>
  <c r="F1587" i="7"/>
  <c r="F1588" i="7"/>
  <c r="F1589" i="7"/>
  <c r="F1590" i="7"/>
  <c r="F1591" i="7"/>
  <c r="F1592" i="7"/>
  <c r="F1593" i="7"/>
  <c r="F1594" i="7"/>
  <c r="F1595" i="7"/>
  <c r="F1596" i="7"/>
  <c r="F1597" i="7"/>
  <c r="F1598" i="7"/>
  <c r="F1599" i="7"/>
  <c r="F1600" i="7"/>
  <c r="F1601" i="7"/>
  <c r="F1602" i="7"/>
  <c r="F1603" i="7"/>
  <c r="F1604" i="7"/>
  <c r="F1605" i="7"/>
  <c r="F1606" i="7"/>
  <c r="F1607" i="7"/>
  <c r="F1608" i="7"/>
  <c r="F1609" i="7"/>
  <c r="F1610" i="7"/>
  <c r="F1611" i="7"/>
  <c r="F1612" i="7"/>
  <c r="F1613" i="7"/>
  <c r="F1614" i="7"/>
  <c r="F1615" i="7"/>
  <c r="F1616" i="7"/>
  <c r="F1617" i="7"/>
  <c r="F1618" i="7"/>
  <c r="F1619" i="7"/>
  <c r="F1620" i="7"/>
  <c r="F1621" i="7"/>
  <c r="F1622" i="7"/>
  <c r="F1623" i="7"/>
  <c r="F1624" i="7"/>
  <c r="F1625" i="7"/>
  <c r="F1626" i="7"/>
  <c r="F1627" i="7"/>
  <c r="F1628" i="7"/>
  <c r="F1629" i="7"/>
  <c r="F1630" i="7"/>
  <c r="F1631" i="7"/>
  <c r="F1632" i="7"/>
  <c r="F1633" i="7"/>
  <c r="F1634" i="7"/>
  <c r="F1635" i="7"/>
  <c r="F1636" i="7"/>
  <c r="F1637" i="7"/>
  <c r="F1638" i="7"/>
  <c r="F1639" i="7"/>
  <c r="F1640" i="7"/>
  <c r="F1641" i="7"/>
  <c r="F1642" i="7"/>
  <c r="F1643" i="7"/>
  <c r="F1644" i="7"/>
  <c r="F1645" i="7"/>
  <c r="F1646" i="7"/>
  <c r="F1647" i="7"/>
  <c r="F1648" i="7"/>
  <c r="F1649" i="7"/>
  <c r="F1650" i="7"/>
  <c r="F1651" i="7"/>
  <c r="F1652" i="7"/>
  <c r="F1654" i="7"/>
  <c r="F1655" i="7"/>
  <c r="F1656" i="7"/>
  <c r="F1657" i="7"/>
  <c r="F1658" i="7"/>
  <c r="F1659" i="7"/>
  <c r="F1660" i="7"/>
  <c r="F1661" i="7"/>
  <c r="F1662" i="7"/>
  <c r="F1663" i="7"/>
  <c r="F1664" i="7"/>
  <c r="F1665" i="7"/>
  <c r="F1666" i="7"/>
  <c r="F1667" i="7"/>
  <c r="F1668" i="7"/>
  <c r="F1669" i="7"/>
  <c r="F1670" i="7"/>
  <c r="F1671" i="7"/>
  <c r="F1672" i="7"/>
  <c r="F1673" i="7"/>
  <c r="F1674" i="7"/>
  <c r="F1675" i="7"/>
  <c r="F1676" i="7"/>
  <c r="F1677" i="7"/>
  <c r="F1678" i="7"/>
  <c r="F1679" i="7"/>
  <c r="F1680" i="7"/>
  <c r="F1681" i="7"/>
  <c r="F1682" i="7"/>
  <c r="F1683" i="7"/>
  <c r="F1684" i="7"/>
  <c r="F1685" i="7"/>
  <c r="F1686" i="7"/>
  <c r="F1687" i="7"/>
  <c r="F1688" i="7"/>
  <c r="F1689" i="7"/>
  <c r="F1690" i="7"/>
  <c r="F1691" i="7"/>
  <c r="F1692" i="7"/>
  <c r="F1693" i="7"/>
  <c r="F1694" i="7"/>
  <c r="F1695" i="7"/>
  <c r="F1696" i="7"/>
  <c r="F1697" i="7"/>
  <c r="F1698" i="7"/>
  <c r="F1699" i="7"/>
  <c r="F1700" i="7"/>
  <c r="F1701" i="7"/>
  <c r="F1702" i="7"/>
  <c r="F1703" i="7"/>
  <c r="F1704" i="7"/>
  <c r="F1705" i="7"/>
  <c r="F1706" i="7"/>
  <c r="F1707" i="7"/>
  <c r="F1708" i="7"/>
  <c r="F1709" i="7"/>
  <c r="F1710" i="7"/>
  <c r="F1711" i="7"/>
  <c r="F1712" i="7"/>
  <c r="F1713" i="7"/>
  <c r="F1714" i="7"/>
  <c r="F1715" i="7"/>
  <c r="F1716" i="7"/>
  <c r="F1717" i="7"/>
  <c r="F1718" i="7"/>
  <c r="F1719" i="7"/>
  <c r="F1720" i="7"/>
  <c r="F1721" i="7"/>
  <c r="F1722" i="7"/>
  <c r="F1723" i="7"/>
  <c r="F1724" i="7"/>
  <c r="F1725" i="7"/>
  <c r="F1726" i="7"/>
  <c r="F1727" i="7"/>
  <c r="F1728" i="7"/>
  <c r="F1729" i="7"/>
  <c r="F1730" i="7"/>
  <c r="F1731" i="7"/>
  <c r="F1732" i="7"/>
  <c r="F1733" i="7"/>
  <c r="F1734" i="7"/>
  <c r="F1735" i="7"/>
  <c r="F1736" i="7"/>
  <c r="F1737" i="7"/>
  <c r="F1738" i="7"/>
  <c r="F1739" i="7"/>
  <c r="F1740" i="7"/>
  <c r="F1741" i="7"/>
  <c r="F1742" i="7"/>
  <c r="F1743" i="7"/>
  <c r="F1744" i="7"/>
  <c r="F1745" i="7"/>
  <c r="F1746" i="7"/>
  <c r="F1747" i="7"/>
  <c r="F1404" i="7"/>
  <c r="F1405" i="7"/>
  <c r="F1406" i="7"/>
  <c r="F1407" i="7"/>
  <c r="F1408" i="7"/>
  <c r="F1409" i="7"/>
  <c r="F1410" i="7"/>
  <c r="F1411" i="7"/>
  <c r="F1412" i="7"/>
  <c r="F1413" i="7"/>
  <c r="F1417" i="7"/>
  <c r="F1421" i="7"/>
  <c r="F1422" i="7"/>
  <c r="A3" i="5"/>
  <c r="A4" i="5"/>
  <c r="A5" i="5"/>
  <c r="A6" i="5"/>
  <c r="A7" i="5"/>
  <c r="A8" i="5"/>
  <c r="A9" i="5"/>
  <c r="A10" i="5"/>
  <c r="A11" i="5"/>
  <c r="A12" i="5"/>
  <c r="A13" i="5"/>
  <c r="A14" i="5"/>
  <c r="A15" i="5"/>
  <c r="A16" i="5"/>
  <c r="A17" i="5"/>
  <c r="A18" i="5"/>
  <c r="A19" i="5"/>
  <c r="A20" i="5"/>
  <c r="A21" i="5"/>
  <c r="A22" i="5"/>
  <c r="A23" i="5"/>
  <c r="A24" i="5"/>
  <c r="A25" i="5"/>
  <c r="A26" i="5"/>
  <c r="A27" i="5"/>
  <c r="A28" i="5"/>
  <c r="A29" i="5"/>
  <c r="A30" i="5"/>
  <c r="A31" i="5"/>
  <c r="A32" i="5"/>
  <c r="A33" i="5"/>
  <c r="A34" i="5"/>
  <c r="A35" i="5"/>
  <c r="A36" i="5"/>
  <c r="A37" i="5"/>
  <c r="A38" i="5"/>
  <c r="A39" i="5"/>
  <c r="A40" i="5"/>
  <c r="A41" i="5"/>
  <c r="A42" i="5"/>
  <c r="A43" i="5"/>
  <c r="A44" i="5"/>
  <c r="A45" i="5"/>
  <c r="A46" i="5"/>
  <c r="A47" i="5"/>
  <c r="A48" i="5"/>
  <c r="A49" i="5"/>
  <c r="A50" i="5"/>
  <c r="A51" i="5"/>
  <c r="A52" i="5"/>
  <c r="A53" i="5"/>
  <c r="A54" i="5"/>
  <c r="A55" i="5"/>
  <c r="A56" i="5"/>
  <c r="A57" i="5"/>
  <c r="A58" i="5"/>
  <c r="A59" i="5"/>
  <c r="A60" i="5"/>
  <c r="A61" i="5"/>
  <c r="A62" i="5"/>
  <c r="A63" i="5"/>
  <c r="A64" i="5"/>
  <c r="A65" i="5"/>
  <c r="A66" i="5"/>
  <c r="A67" i="5"/>
  <c r="A68" i="5"/>
  <c r="A69" i="5"/>
  <c r="A70" i="5"/>
  <c r="A71" i="5"/>
  <c r="A72" i="5"/>
  <c r="A73" i="5"/>
  <c r="A74" i="5"/>
  <c r="A75" i="5"/>
  <c r="A76" i="5"/>
  <c r="A77" i="5"/>
  <c r="A78" i="5"/>
  <c r="A79" i="5"/>
  <c r="A80" i="5"/>
  <c r="A81" i="5"/>
  <c r="A82" i="5"/>
  <c r="A83" i="5"/>
  <c r="A84" i="5"/>
  <c r="A85" i="5"/>
  <c r="A86" i="5"/>
  <c r="A87" i="5"/>
  <c r="A88" i="5"/>
  <c r="A89" i="5"/>
  <c r="A90" i="5"/>
  <c r="A91" i="5"/>
  <c r="A92" i="5"/>
  <c r="A93" i="5"/>
  <c r="A94" i="5"/>
  <c r="A95" i="5"/>
  <c r="A96" i="5"/>
  <c r="A97" i="5"/>
  <c r="A98" i="5"/>
  <c r="A99" i="5"/>
  <c r="A100" i="5"/>
  <c r="A101" i="5"/>
  <c r="A102" i="5"/>
  <c r="A103" i="5"/>
  <c r="A104" i="5"/>
  <c r="A105" i="5"/>
  <c r="A106" i="5"/>
  <c r="A107" i="5"/>
  <c r="A108" i="5"/>
  <c r="A109" i="5"/>
  <c r="A110" i="5"/>
  <c r="A111" i="5"/>
  <c r="A112" i="5"/>
  <c r="A113" i="5"/>
  <c r="A114" i="5"/>
  <c r="A115" i="5"/>
  <c r="A116" i="5"/>
  <c r="A117" i="5"/>
  <c r="A118" i="5"/>
  <c r="A119" i="5"/>
  <c r="A120" i="5"/>
  <c r="A121" i="5"/>
  <c r="A122" i="5"/>
  <c r="A123" i="5"/>
  <c r="A124" i="5"/>
  <c r="A125" i="5"/>
  <c r="A126" i="5"/>
  <c r="A127" i="5"/>
  <c r="A128" i="5"/>
  <c r="A129" i="5"/>
  <c r="A130" i="5"/>
  <c r="A131" i="5"/>
  <c r="A132" i="5"/>
  <c r="A133" i="5"/>
  <c r="A134" i="5"/>
  <c r="A135" i="5"/>
  <c r="A136" i="5"/>
  <c r="A137" i="5"/>
  <c r="A138" i="5"/>
  <c r="A139" i="5"/>
  <c r="A140" i="5"/>
  <c r="A141" i="5"/>
  <c r="A142" i="5"/>
  <c r="A143" i="5"/>
  <c r="A144" i="5"/>
  <c r="A145" i="5"/>
  <c r="A146" i="5"/>
  <c r="A147" i="5"/>
  <c r="A148" i="5"/>
  <c r="A149" i="5"/>
  <c r="A150" i="5"/>
  <c r="A151" i="5"/>
  <c r="A152" i="5"/>
  <c r="A153" i="5"/>
  <c r="A154" i="5"/>
  <c r="A155" i="5"/>
  <c r="A156" i="5"/>
  <c r="A157" i="5"/>
  <c r="A158" i="5"/>
  <c r="A159" i="5"/>
  <c r="A160" i="5"/>
  <c r="A161" i="5"/>
  <c r="A162" i="5"/>
  <c r="A163" i="5"/>
  <c r="A164" i="5"/>
  <c r="A165" i="5"/>
  <c r="A166" i="5"/>
  <c r="A167" i="5"/>
  <c r="A168" i="5"/>
  <c r="A169" i="5"/>
  <c r="A170" i="5"/>
  <c r="A171" i="5"/>
  <c r="A172" i="5"/>
  <c r="A173" i="5"/>
  <c r="A174" i="5"/>
  <c r="A175" i="5"/>
  <c r="A176" i="5"/>
  <c r="A177" i="5"/>
  <c r="A178" i="5"/>
  <c r="A179" i="5"/>
  <c r="A180" i="5"/>
  <c r="A181" i="5"/>
  <c r="A182" i="5"/>
  <c r="A183" i="5"/>
  <c r="A184" i="5"/>
  <c r="A185" i="5"/>
  <c r="A186" i="5"/>
  <c r="A187" i="5"/>
  <c r="A188" i="5"/>
  <c r="A189" i="5"/>
  <c r="A190" i="5"/>
  <c r="A191" i="5"/>
  <c r="A192" i="5"/>
  <c r="A193" i="5"/>
  <c r="A194" i="5"/>
  <c r="A195" i="5"/>
  <c r="A196" i="5"/>
  <c r="A197" i="5"/>
  <c r="A198" i="5"/>
  <c r="A199" i="5"/>
  <c r="A200" i="5"/>
  <c r="A201" i="5"/>
  <c r="A202" i="5"/>
  <c r="A203" i="5"/>
  <c r="A204" i="5"/>
  <c r="A205" i="5"/>
  <c r="A206" i="5"/>
  <c r="A207" i="5"/>
  <c r="A208" i="5"/>
  <c r="A209" i="5"/>
  <c r="A210" i="5"/>
  <c r="A211" i="5"/>
  <c r="A212" i="5"/>
  <c r="A213" i="5"/>
  <c r="A214" i="5"/>
  <c r="A215" i="5"/>
  <c r="A216" i="5"/>
  <c r="A217" i="5"/>
  <c r="A218" i="5"/>
  <c r="A219" i="5"/>
  <c r="A220" i="5"/>
  <c r="A221" i="5"/>
  <c r="A222" i="5"/>
  <c r="A223" i="5"/>
  <c r="A224" i="5"/>
  <c r="A225" i="5"/>
  <c r="A2" i="5"/>
  <c r="A130" i="3"/>
  <c r="A143" i="3"/>
  <c r="A196" i="3"/>
  <c r="A13" i="3"/>
  <c r="A47" i="3"/>
  <c r="A22" i="3"/>
  <c r="A192" i="3"/>
  <c r="A203" i="3"/>
  <c r="A54" i="3"/>
  <c r="A29" i="3"/>
  <c r="A191" i="3"/>
  <c r="A201" i="3"/>
  <c r="A52" i="3"/>
  <c r="A27" i="3"/>
  <c r="A186" i="3"/>
  <c r="A197" i="3"/>
  <c r="A48" i="3"/>
  <c r="A23" i="3"/>
  <c r="A188" i="3"/>
  <c r="A198" i="3"/>
  <c r="A49" i="3"/>
  <c r="A24" i="3"/>
  <c r="A189" i="3"/>
  <c r="A199" i="3"/>
  <c r="A50" i="3"/>
  <c r="A25" i="3"/>
  <c r="A190" i="3"/>
  <c r="A200" i="3"/>
  <c r="A51" i="3"/>
  <c r="A26" i="3"/>
  <c r="A202" i="3"/>
  <c r="A53" i="3"/>
  <c r="A28" i="3"/>
  <c r="A138" i="3"/>
  <c r="A183" i="3"/>
  <c r="A11" i="3"/>
  <c r="A137" i="3"/>
  <c r="A170" i="3"/>
  <c r="A8" i="3"/>
  <c r="A7" i="3"/>
  <c r="A9" i="3"/>
  <c r="A187" i="3"/>
  <c r="A194" i="3"/>
  <c r="A131" i="3"/>
  <c r="A133" i="3"/>
  <c r="A139" i="3"/>
  <c r="A116" i="3"/>
  <c r="A144" i="3"/>
  <c r="A44" i="3"/>
  <c r="A15" i="3"/>
  <c r="A132" i="3"/>
  <c r="A135" i="3"/>
  <c r="A141" i="3"/>
  <c r="A117" i="3"/>
  <c r="A145" i="3"/>
  <c r="A46" i="3"/>
  <c r="A16" i="3"/>
  <c r="A140" i="3"/>
  <c r="A134" i="3"/>
  <c r="A5" i="3"/>
  <c r="A17" i="3"/>
  <c r="A19" i="3"/>
  <c r="A30" i="3"/>
  <c r="A184" i="3"/>
  <c r="A43" i="3"/>
  <c r="A55" i="3"/>
  <c r="A195" i="3"/>
  <c r="A136" i="3"/>
  <c r="A193" i="3"/>
  <c r="A18" i="3"/>
  <c r="A45" i="3"/>
  <c r="A142" i="3"/>
  <c r="A12" i="3"/>
  <c r="A21" i="3"/>
  <c r="A10" i="3"/>
  <c r="A2" i="3"/>
  <c r="A3" i="3"/>
  <c r="A4" i="3"/>
  <c r="A14" i="3"/>
  <c r="A6" i="3"/>
  <c r="A20" i="3"/>
  <c r="A247" i="3"/>
  <c r="A246" i="3"/>
  <c r="A248" i="3"/>
  <c r="A240" i="3"/>
  <c r="A241" i="3"/>
  <c r="A244" i="3"/>
  <c r="A250" i="3"/>
  <c r="A223" i="3"/>
  <c r="A222" i="3"/>
  <c r="A224" i="3"/>
  <c r="A216" i="3"/>
  <c r="A217" i="3"/>
  <c r="A220" i="3"/>
  <c r="A226" i="3"/>
  <c r="A87" i="3"/>
  <c r="A86" i="3"/>
  <c r="A88" i="3"/>
  <c r="A80" i="3"/>
  <c r="A81" i="3"/>
  <c r="A84" i="3"/>
  <c r="A90" i="3"/>
  <c r="A125" i="3"/>
  <c r="A124" i="3"/>
  <c r="A126" i="3"/>
  <c r="A118" i="3"/>
  <c r="A119" i="3"/>
  <c r="A122" i="3"/>
  <c r="A128" i="3"/>
  <c r="A178" i="3"/>
  <c r="A177" i="3"/>
  <c r="A179" i="3"/>
  <c r="A171" i="3"/>
  <c r="A172" i="3"/>
  <c r="A175" i="3"/>
  <c r="A181" i="3"/>
  <c r="A235" i="3"/>
  <c r="A234" i="3"/>
  <c r="A236" i="3"/>
  <c r="A228" i="3"/>
  <c r="A229" i="3"/>
  <c r="A232" i="3"/>
  <c r="A238" i="3"/>
  <c r="A38" i="3"/>
  <c r="A37" i="3"/>
  <c r="A39" i="3"/>
  <c r="A31" i="3"/>
  <c r="A32" i="3"/>
  <c r="A35" i="3"/>
  <c r="A41" i="3"/>
  <c r="A75" i="3"/>
  <c r="A74" i="3"/>
  <c r="A76" i="3"/>
  <c r="A68" i="3"/>
  <c r="A69" i="3"/>
  <c r="A72" i="3"/>
  <c r="A78" i="3"/>
  <c r="A111" i="3"/>
  <c r="A110" i="3"/>
  <c r="A112" i="3"/>
  <c r="A104" i="3"/>
  <c r="A105" i="3"/>
  <c r="A108" i="3"/>
  <c r="A114" i="3"/>
  <c r="A165" i="3"/>
  <c r="A164" i="3"/>
  <c r="A166" i="3"/>
  <c r="A158" i="3"/>
  <c r="A159" i="3"/>
  <c r="A162" i="3"/>
  <c r="A168" i="3"/>
  <c r="A211" i="3"/>
  <c r="A210" i="3"/>
  <c r="A212" i="3"/>
  <c r="A204" i="3"/>
  <c r="A205" i="3"/>
  <c r="A208" i="3"/>
  <c r="A214" i="3"/>
  <c r="A63" i="3"/>
  <c r="A62" i="3"/>
  <c r="A64" i="3"/>
  <c r="A56" i="3"/>
  <c r="A57" i="3"/>
  <c r="A60" i="3"/>
  <c r="A66" i="3"/>
  <c r="A99" i="3"/>
  <c r="A98" i="3"/>
  <c r="A100" i="3"/>
  <c r="A92" i="3"/>
  <c r="A93" i="3"/>
  <c r="A96" i="3"/>
  <c r="A102" i="3"/>
  <c r="A153" i="3"/>
  <c r="A152" i="3"/>
  <c r="A154" i="3"/>
  <c r="A146" i="3"/>
  <c r="A147" i="3"/>
  <c r="A150" i="3"/>
  <c r="A156" i="3"/>
  <c r="A249" i="3"/>
  <c r="A243" i="3"/>
  <c r="A242" i="3"/>
  <c r="A245" i="3"/>
  <c r="A251" i="3"/>
  <c r="A225" i="3"/>
  <c r="A219" i="3"/>
  <c r="A218" i="3"/>
  <c r="A221" i="3"/>
  <c r="A227" i="3"/>
  <c r="A89" i="3"/>
  <c r="A83" i="3"/>
  <c r="A82" i="3"/>
  <c r="A85" i="3"/>
  <c r="A91" i="3"/>
  <c r="A127" i="3"/>
  <c r="A121" i="3"/>
  <c r="A120" i="3"/>
  <c r="A123" i="3"/>
  <c r="A129" i="3"/>
  <c r="A180" i="3"/>
  <c r="A174" i="3"/>
  <c r="A173" i="3"/>
  <c r="A176" i="3"/>
  <c r="A182" i="3"/>
  <c r="A237" i="3"/>
  <c r="A231" i="3"/>
  <c r="A230" i="3"/>
  <c r="A233" i="3"/>
  <c r="A239" i="3"/>
  <c r="A40" i="3"/>
  <c r="A34" i="3"/>
  <c r="A33" i="3"/>
  <c r="A36" i="3"/>
  <c r="A42" i="3"/>
  <c r="A77" i="3"/>
  <c r="A71" i="3"/>
  <c r="A70" i="3"/>
  <c r="A73" i="3"/>
  <c r="A79" i="3"/>
  <c r="A113" i="3"/>
  <c r="A107" i="3"/>
  <c r="A106" i="3"/>
  <c r="A109" i="3"/>
  <c r="A115" i="3"/>
  <c r="A167" i="3"/>
  <c r="A161" i="3"/>
  <c r="A160" i="3"/>
  <c r="A163" i="3"/>
  <c r="A169" i="3"/>
  <c r="A213" i="3"/>
  <c r="A207" i="3"/>
  <c r="A206" i="3"/>
  <c r="A209" i="3"/>
  <c r="A215" i="3"/>
  <c r="A65" i="3"/>
  <c r="A59" i="3"/>
  <c r="A58" i="3"/>
  <c r="A61" i="3"/>
  <c r="A67" i="3"/>
  <c r="A101" i="3"/>
  <c r="A95" i="3"/>
  <c r="A94" i="3"/>
  <c r="A97" i="3"/>
  <c r="A103" i="3"/>
  <c r="A155" i="3"/>
  <c r="A149" i="3"/>
  <c r="A148" i="3"/>
  <c r="A151" i="3"/>
  <c r="A157" i="3"/>
  <c r="A185" i="3"/>
  <c r="A3" i="4"/>
  <c r="A4" i="4"/>
  <c r="A5" i="4"/>
  <c r="A6" i="4"/>
  <c r="A7" i="4"/>
  <c r="A8" i="4"/>
  <c r="A9" i="4"/>
  <c r="A10" i="4"/>
  <c r="A11" i="4"/>
  <c r="A12" i="4"/>
  <c r="A13" i="4"/>
  <c r="A14" i="4"/>
  <c r="A15" i="4"/>
  <c r="A16" i="4"/>
  <c r="A17" i="4"/>
  <c r="A18" i="4"/>
  <c r="A19" i="4"/>
  <c r="A20" i="4"/>
  <c r="A21" i="4"/>
  <c r="A22" i="4"/>
  <c r="A23" i="4"/>
  <c r="A24" i="4"/>
  <c r="A25" i="4"/>
  <c r="A26" i="4"/>
  <c r="A27" i="4"/>
  <c r="A28" i="4"/>
  <c r="A29" i="4"/>
  <c r="A30" i="4"/>
  <c r="A31" i="4"/>
  <c r="A32" i="4"/>
  <c r="A33" i="4"/>
  <c r="A34" i="4"/>
  <c r="A35" i="4"/>
  <c r="A36" i="4"/>
  <c r="A37" i="4"/>
  <c r="A38" i="4"/>
  <c r="A39" i="4"/>
  <c r="A40" i="4"/>
  <c r="A41" i="4"/>
  <c r="A42" i="4"/>
  <c r="A43" i="4"/>
  <c r="A44" i="4"/>
  <c r="A45" i="4"/>
  <c r="A46" i="4"/>
  <c r="A47" i="4"/>
  <c r="A48" i="4"/>
  <c r="A49" i="4"/>
  <c r="A50" i="4"/>
  <c r="A51" i="4"/>
  <c r="A52" i="4"/>
  <c r="A53" i="4"/>
  <c r="A54" i="4"/>
  <c r="A55" i="4"/>
  <c r="A56" i="4"/>
  <c r="A57" i="4"/>
  <c r="A58" i="4"/>
  <c r="A59" i="4"/>
  <c r="A60" i="4"/>
  <c r="A61" i="4"/>
  <c r="A62" i="4"/>
  <c r="A63" i="4"/>
  <c r="A64" i="4"/>
  <c r="A65" i="4"/>
  <c r="A66" i="4"/>
  <c r="A67" i="4"/>
  <c r="A68" i="4"/>
  <c r="A69" i="4"/>
  <c r="A70" i="4"/>
  <c r="A71" i="4"/>
  <c r="A72" i="4"/>
  <c r="A73" i="4"/>
  <c r="A74" i="4"/>
  <c r="A75" i="4"/>
  <c r="A76" i="4"/>
  <c r="A77" i="4"/>
  <c r="A78" i="4"/>
  <c r="A79" i="4"/>
  <c r="A80" i="4"/>
  <c r="A81" i="4"/>
  <c r="A82" i="4"/>
  <c r="A83" i="4"/>
  <c r="A84" i="4"/>
  <c r="A85" i="4"/>
  <c r="A86" i="4"/>
  <c r="A87" i="4"/>
  <c r="A88" i="4"/>
  <c r="A89" i="4"/>
  <c r="A90" i="4"/>
  <c r="A91" i="4"/>
  <c r="A92" i="4"/>
  <c r="A93" i="4"/>
  <c r="A94" i="4"/>
  <c r="A95" i="4"/>
  <c r="A96" i="4"/>
  <c r="A97" i="4"/>
  <c r="A98" i="4"/>
  <c r="A99" i="4"/>
  <c r="A100" i="4"/>
  <c r="A101" i="4"/>
  <c r="A102" i="4"/>
  <c r="A103" i="4"/>
  <c r="A104" i="4"/>
  <c r="A105" i="4"/>
  <c r="A106" i="4"/>
  <c r="A107" i="4"/>
  <c r="A108" i="4"/>
  <c r="A109" i="4"/>
  <c r="A110" i="4"/>
  <c r="A111" i="4"/>
  <c r="A112" i="4"/>
  <c r="A113" i="4"/>
  <c r="A114" i="4"/>
  <c r="A115" i="4"/>
  <c r="A116" i="4"/>
  <c r="A117" i="4"/>
  <c r="A118" i="4"/>
  <c r="A119" i="4"/>
  <c r="A120" i="4"/>
  <c r="A121" i="4"/>
  <c r="A122" i="4"/>
  <c r="A123" i="4"/>
  <c r="A124" i="4"/>
  <c r="A125" i="4"/>
  <c r="A126" i="4"/>
  <c r="A127" i="4"/>
  <c r="A128" i="4"/>
  <c r="A129" i="4"/>
  <c r="A130" i="4"/>
  <c r="A131" i="4"/>
  <c r="A132" i="4"/>
  <c r="A133" i="4"/>
  <c r="A134" i="4"/>
  <c r="A135" i="4"/>
  <c r="A136" i="4"/>
  <c r="A137" i="4"/>
  <c r="A138" i="4"/>
  <c r="A139" i="4"/>
  <c r="A140" i="4"/>
  <c r="A141" i="4"/>
  <c r="A142" i="4"/>
  <c r="A143" i="4"/>
  <c r="A144" i="4"/>
  <c r="A145" i="4"/>
  <c r="A146" i="4"/>
  <c r="A147" i="4"/>
  <c r="A148" i="4"/>
  <c r="A149" i="4"/>
  <c r="A150" i="4"/>
  <c r="A151" i="4"/>
  <c r="A152" i="4"/>
  <c r="A153" i="4"/>
  <c r="A154" i="4"/>
  <c r="A155" i="4"/>
  <c r="A156" i="4"/>
  <c r="A157" i="4"/>
  <c r="A158" i="4"/>
  <c r="A159" i="4"/>
  <c r="A160" i="4"/>
  <c r="A161" i="4"/>
  <c r="A162" i="4"/>
  <c r="A163" i="4"/>
  <c r="A164" i="4"/>
  <c r="A165" i="4"/>
  <c r="A166" i="4"/>
  <c r="A167" i="4"/>
  <c r="A168" i="4"/>
  <c r="A169" i="4"/>
  <c r="A170" i="4"/>
  <c r="A171" i="4"/>
  <c r="A172" i="4"/>
  <c r="A173" i="4"/>
  <c r="A174" i="4"/>
  <c r="A175" i="4"/>
  <c r="A176" i="4"/>
  <c r="A177" i="4"/>
  <c r="A178" i="4"/>
  <c r="A179" i="4"/>
  <c r="A180" i="4"/>
  <c r="A181" i="4"/>
  <c r="A182" i="4"/>
  <c r="A183" i="4"/>
  <c r="A184" i="4"/>
  <c r="A185" i="4"/>
  <c r="A186" i="4"/>
  <c r="A187" i="4"/>
  <c r="A188" i="4"/>
  <c r="A189" i="4"/>
  <c r="A190" i="4"/>
  <c r="A191" i="4"/>
  <c r="A192" i="4"/>
  <c r="A193" i="4"/>
  <c r="A194" i="4"/>
  <c r="A195" i="4"/>
  <c r="A196" i="4"/>
  <c r="A197" i="4"/>
  <c r="A198" i="4"/>
  <c r="A199" i="4"/>
  <c r="A200" i="4"/>
  <c r="A201" i="4"/>
  <c r="A202" i="4"/>
  <c r="A203" i="4"/>
  <c r="A204" i="4"/>
  <c r="A205" i="4"/>
  <c r="A206" i="4"/>
  <c r="A207" i="4"/>
  <c r="A208" i="4"/>
  <c r="A209" i="4"/>
  <c r="A210" i="4"/>
  <c r="A211" i="4"/>
  <c r="A212" i="4"/>
  <c r="A213" i="4"/>
  <c r="A214" i="4"/>
  <c r="A215" i="4"/>
  <c r="A216" i="4"/>
  <c r="A217" i="4"/>
  <c r="A218" i="4"/>
  <c r="A219" i="4"/>
  <c r="A220" i="4"/>
  <c r="A221" i="4"/>
  <c r="A222" i="4"/>
  <c r="A223" i="4"/>
  <c r="A224" i="4"/>
  <c r="A225" i="4"/>
  <c r="A226" i="4"/>
  <c r="A227" i="4"/>
  <c r="A228" i="4"/>
  <c r="A229" i="4"/>
  <c r="A230" i="4"/>
  <c r="A231" i="4"/>
  <c r="A232" i="4"/>
  <c r="A233" i="4"/>
  <c r="A234" i="4"/>
  <c r="A235" i="4"/>
  <c r="A236" i="4"/>
  <c r="A237" i="4"/>
  <c r="A238" i="4"/>
  <c r="A239" i="4"/>
  <c r="A240" i="4"/>
  <c r="A241" i="4"/>
  <c r="A242" i="4"/>
  <c r="A243" i="4"/>
  <c r="A244" i="4"/>
  <c r="A245" i="4"/>
  <c r="A246" i="4"/>
  <c r="A247" i="4"/>
  <c r="A248" i="4"/>
  <c r="A249" i="4"/>
  <c r="A250" i="4"/>
  <c r="A251" i="4"/>
  <c r="A252" i="4"/>
  <c r="A253" i="4"/>
  <c r="A254" i="4"/>
  <c r="A255" i="4"/>
  <c r="A256" i="4"/>
  <c r="A257" i="4"/>
  <c r="A258" i="4"/>
  <c r="A259" i="4"/>
  <c r="A260" i="4"/>
  <c r="A261" i="4"/>
  <c r="A262" i="4"/>
  <c r="A263" i="4"/>
  <c r="A264" i="4"/>
  <c r="A265" i="4"/>
  <c r="A266" i="4"/>
  <c r="A267" i="4"/>
  <c r="A268" i="4"/>
  <c r="A269" i="4"/>
  <c r="A270" i="4"/>
  <c r="A271" i="4"/>
  <c r="A272" i="4"/>
  <c r="A273" i="4"/>
  <c r="A274" i="4"/>
  <c r="A275" i="4"/>
  <c r="A276" i="4"/>
  <c r="A277" i="4"/>
  <c r="A278" i="4"/>
  <c r="A279" i="4"/>
  <c r="A280" i="4"/>
  <c r="A281" i="4"/>
  <c r="A282" i="4"/>
  <c r="A283" i="4"/>
  <c r="A284" i="4"/>
  <c r="A285" i="4"/>
  <c r="A286" i="4"/>
  <c r="A287" i="4"/>
  <c r="A288" i="4"/>
  <c r="A289" i="4"/>
  <c r="A290" i="4"/>
  <c r="A291" i="4"/>
  <c r="A292" i="4"/>
  <c r="A293" i="4"/>
  <c r="A294" i="4"/>
  <c r="A295" i="4"/>
  <c r="A296" i="4"/>
  <c r="A297" i="4"/>
  <c r="A298" i="4"/>
  <c r="A299" i="4"/>
  <c r="A300" i="4"/>
  <c r="A301" i="4"/>
  <c r="A302" i="4"/>
  <c r="A303" i="4"/>
  <c r="A304" i="4"/>
  <c r="A305" i="4"/>
  <c r="A306" i="4"/>
  <c r="A307" i="4"/>
  <c r="A308" i="4"/>
  <c r="A309" i="4"/>
  <c r="A310" i="4"/>
  <c r="A311" i="4"/>
  <c r="A312" i="4"/>
  <c r="A313" i="4"/>
  <c r="A314" i="4"/>
  <c r="A315" i="4"/>
  <c r="A316" i="4"/>
  <c r="A317" i="4"/>
  <c r="A318" i="4"/>
  <c r="A319" i="4"/>
  <c r="A320" i="4"/>
  <c r="A321" i="4"/>
  <c r="A322" i="4"/>
  <c r="A323" i="4"/>
  <c r="A324" i="4"/>
  <c r="A325" i="4"/>
  <c r="A326" i="4"/>
  <c r="A327" i="4"/>
  <c r="A328" i="4"/>
  <c r="A329" i="4"/>
  <c r="A330" i="4"/>
  <c r="A331" i="4"/>
  <c r="A332" i="4"/>
  <c r="A333" i="4"/>
  <c r="A334" i="4"/>
  <c r="A335" i="4"/>
  <c r="A336" i="4"/>
  <c r="A337" i="4"/>
  <c r="A338" i="4"/>
  <c r="A339" i="4"/>
  <c r="A340" i="4"/>
  <c r="A341" i="4"/>
  <c r="A342" i="4"/>
  <c r="A343" i="4"/>
  <c r="A344" i="4"/>
  <c r="A345" i="4"/>
  <c r="A346" i="4"/>
  <c r="A347" i="4"/>
  <c r="A348" i="4"/>
  <c r="A349" i="4"/>
  <c r="A350" i="4"/>
  <c r="A351" i="4"/>
  <c r="A352" i="4"/>
  <c r="A353" i="4"/>
  <c r="A354" i="4"/>
  <c r="A355" i="4"/>
  <c r="A356" i="4"/>
  <c r="A357" i="4"/>
  <c r="A358" i="4"/>
  <c r="A359" i="4"/>
  <c r="A360" i="4"/>
  <c r="A361" i="4"/>
  <c r="A362" i="4"/>
  <c r="A363" i="4"/>
  <c r="A364" i="4"/>
  <c r="A365" i="4"/>
  <c r="A366" i="4"/>
  <c r="A367" i="4"/>
  <c r="A368" i="4"/>
  <c r="A369" i="4"/>
  <c r="A370" i="4"/>
  <c r="A371" i="4"/>
  <c r="A372" i="4"/>
  <c r="A373" i="4"/>
  <c r="A374" i="4"/>
  <c r="A375" i="4"/>
  <c r="A376" i="4"/>
  <c r="A377" i="4"/>
  <c r="A378" i="4"/>
  <c r="A379" i="4"/>
  <c r="A380" i="4"/>
  <c r="A381" i="4"/>
  <c r="A382" i="4"/>
  <c r="A383" i="4"/>
  <c r="A384" i="4"/>
  <c r="A385" i="4"/>
  <c r="A386" i="4"/>
  <c r="A387" i="4"/>
  <c r="A388" i="4"/>
  <c r="A389" i="4"/>
  <c r="A390" i="4"/>
  <c r="A391" i="4"/>
  <c r="A392" i="4"/>
  <c r="A393" i="4"/>
  <c r="A394" i="4"/>
  <c r="A395" i="4"/>
  <c r="A396" i="4"/>
  <c r="A397" i="4"/>
  <c r="A398" i="4"/>
  <c r="A399" i="4"/>
  <c r="A400" i="4"/>
  <c r="A401" i="4"/>
  <c r="A402" i="4"/>
  <c r="A403" i="4"/>
  <c r="A404" i="4"/>
  <c r="A405" i="4"/>
  <c r="A406" i="4"/>
  <c r="A407" i="4"/>
  <c r="A408" i="4"/>
  <c r="A409" i="4"/>
  <c r="A410" i="4"/>
  <c r="A411" i="4"/>
  <c r="A412" i="4"/>
  <c r="A413" i="4"/>
  <c r="A414" i="4"/>
  <c r="A415" i="4"/>
  <c r="A416" i="4"/>
  <c r="A417" i="4"/>
  <c r="A418" i="4"/>
  <c r="A419" i="4"/>
  <c r="A420" i="4"/>
  <c r="A421" i="4"/>
  <c r="A422" i="4"/>
  <c r="A423" i="4"/>
  <c r="A424" i="4"/>
  <c r="A425" i="4"/>
  <c r="A426" i="4"/>
  <c r="A427" i="4"/>
  <c r="A428" i="4"/>
  <c r="A429" i="4"/>
  <c r="A430" i="4"/>
  <c r="A431" i="4"/>
  <c r="A432" i="4"/>
  <c r="A433" i="4"/>
  <c r="A434" i="4"/>
  <c r="A435" i="4"/>
  <c r="A436" i="4"/>
  <c r="A437" i="4"/>
  <c r="A438" i="4"/>
  <c r="A439" i="4"/>
  <c r="A440" i="4"/>
  <c r="A441" i="4"/>
  <c r="A442" i="4"/>
  <c r="A443" i="4"/>
  <c r="A444" i="4"/>
  <c r="A445" i="4"/>
  <c r="A446" i="4"/>
  <c r="A447" i="4"/>
  <c r="A448" i="4"/>
  <c r="A449" i="4"/>
  <c r="A450" i="4"/>
  <c r="A451" i="4"/>
  <c r="A452" i="4"/>
  <c r="A453" i="4"/>
  <c r="A454" i="4"/>
  <c r="A455" i="4"/>
  <c r="A456" i="4"/>
  <c r="A457" i="4"/>
  <c r="A458" i="4"/>
  <c r="A459" i="4"/>
  <c r="A460" i="4"/>
  <c r="A461" i="4"/>
  <c r="A462" i="4"/>
  <c r="A463" i="4"/>
  <c r="A464" i="4"/>
  <c r="A465" i="4"/>
  <c r="A466" i="4"/>
  <c r="A467" i="4"/>
  <c r="A468" i="4"/>
  <c r="A469" i="4"/>
  <c r="A470" i="4"/>
  <c r="A471" i="4"/>
  <c r="A472" i="4"/>
  <c r="A473" i="4"/>
  <c r="A474" i="4"/>
  <c r="A475" i="4"/>
  <c r="A476" i="4"/>
  <c r="A477" i="4"/>
  <c r="A478" i="4"/>
  <c r="A479" i="4"/>
  <c r="A480" i="4"/>
  <c r="A481" i="4"/>
  <c r="A482" i="4"/>
  <c r="A483" i="4"/>
  <c r="A484" i="4"/>
  <c r="A485" i="4"/>
  <c r="A486" i="4"/>
  <c r="A487" i="4"/>
  <c r="A488" i="4"/>
  <c r="A489" i="4"/>
  <c r="A490" i="4"/>
  <c r="A491" i="4"/>
  <c r="A492" i="4"/>
  <c r="A493" i="4"/>
  <c r="A494" i="4"/>
  <c r="A495" i="4"/>
  <c r="A496" i="4"/>
  <c r="A497" i="4"/>
  <c r="A498" i="4"/>
  <c r="A499" i="4"/>
  <c r="A500" i="4"/>
  <c r="A501" i="4"/>
  <c r="A502" i="4"/>
  <c r="A503" i="4"/>
  <c r="A504" i="4"/>
  <c r="A505" i="4"/>
  <c r="A506" i="4"/>
  <c r="A507" i="4"/>
  <c r="A508" i="4"/>
  <c r="A509" i="4"/>
  <c r="A510" i="4"/>
  <c r="A511" i="4"/>
  <c r="A512" i="4"/>
  <c r="A513" i="4"/>
  <c r="A514" i="4"/>
  <c r="A515" i="4"/>
  <c r="A516" i="4"/>
  <c r="A517" i="4"/>
  <c r="A518" i="4"/>
  <c r="A519" i="4"/>
  <c r="A520" i="4"/>
  <c r="A521" i="4"/>
  <c r="A522" i="4"/>
  <c r="A523" i="4"/>
  <c r="A524" i="4"/>
  <c r="A525" i="4"/>
  <c r="A526" i="4"/>
  <c r="A527" i="4"/>
  <c r="A528" i="4"/>
  <c r="A529" i="4"/>
  <c r="A530" i="4"/>
  <c r="A531" i="4"/>
  <c r="A532" i="4"/>
  <c r="A533" i="4"/>
  <c r="A534" i="4"/>
  <c r="A535" i="4"/>
  <c r="A536" i="4"/>
  <c r="A537" i="4"/>
  <c r="A538" i="4"/>
  <c r="A539" i="4"/>
  <c r="A540" i="4"/>
  <c r="A541" i="4"/>
  <c r="A542" i="4"/>
  <c r="A543" i="4"/>
  <c r="A544" i="4"/>
  <c r="A545" i="4"/>
  <c r="A546" i="4"/>
  <c r="A547" i="4"/>
  <c r="A548" i="4"/>
  <c r="A549" i="4"/>
  <c r="A550" i="4"/>
  <c r="A551" i="4"/>
  <c r="A552" i="4"/>
  <c r="A553" i="4"/>
  <c r="A554" i="4"/>
  <c r="A555" i="4"/>
  <c r="A556" i="4"/>
  <c r="A557" i="4"/>
  <c r="A558" i="4"/>
  <c r="A559" i="4"/>
  <c r="A560" i="4"/>
  <c r="A561" i="4"/>
  <c r="A562" i="4"/>
  <c r="A563" i="4"/>
  <c r="A564" i="4"/>
  <c r="A565" i="4"/>
  <c r="A566" i="4"/>
  <c r="A567" i="4"/>
  <c r="A568" i="4"/>
  <c r="A569" i="4"/>
  <c r="A570" i="4"/>
  <c r="A571" i="4"/>
  <c r="A572" i="4"/>
  <c r="A573" i="4"/>
  <c r="A574" i="4"/>
  <c r="A575" i="4"/>
  <c r="A576" i="4"/>
  <c r="A577" i="4"/>
  <c r="A578" i="4"/>
  <c r="A579" i="4"/>
  <c r="A580" i="4"/>
  <c r="A581" i="4"/>
  <c r="A582" i="4"/>
  <c r="A583" i="4"/>
  <c r="A584" i="4"/>
  <c r="A585" i="4"/>
  <c r="A586" i="4"/>
  <c r="A587" i="4"/>
  <c r="A588" i="4"/>
  <c r="A589" i="4"/>
  <c r="A590" i="4"/>
  <c r="A591" i="4"/>
  <c r="A592" i="4"/>
  <c r="A593" i="4"/>
  <c r="A594" i="4"/>
  <c r="A595" i="4"/>
  <c r="A596" i="4"/>
  <c r="A597" i="4"/>
  <c r="A598" i="4"/>
  <c r="A599" i="4"/>
  <c r="A600" i="4"/>
  <c r="A601" i="4"/>
  <c r="A602" i="4"/>
  <c r="A603" i="4"/>
  <c r="A604" i="4"/>
  <c r="A605" i="4"/>
  <c r="A606" i="4"/>
  <c r="A607" i="4"/>
  <c r="A608" i="4"/>
  <c r="A609" i="4"/>
  <c r="A610" i="4"/>
  <c r="A611" i="4"/>
  <c r="A612" i="4"/>
  <c r="A613" i="4"/>
  <c r="A614" i="4"/>
  <c r="A615" i="4"/>
  <c r="A616" i="4"/>
  <c r="A617" i="4"/>
  <c r="A618" i="4"/>
  <c r="A619" i="4"/>
  <c r="A620" i="4"/>
  <c r="A621" i="4"/>
  <c r="A622" i="4"/>
  <c r="A623" i="4"/>
  <c r="A624" i="4"/>
  <c r="A625" i="4"/>
  <c r="A626" i="4"/>
  <c r="A627" i="4"/>
  <c r="A628" i="4"/>
  <c r="A629" i="4"/>
  <c r="A630" i="4"/>
  <c r="A631" i="4"/>
  <c r="A632" i="4"/>
  <c r="A633" i="4"/>
  <c r="A634" i="4"/>
  <c r="A635" i="4"/>
  <c r="A636" i="4"/>
  <c r="A637" i="4"/>
  <c r="A638" i="4"/>
  <c r="A639" i="4"/>
  <c r="A640" i="4"/>
  <c r="A641" i="4"/>
  <c r="A642" i="4"/>
  <c r="A643" i="4"/>
  <c r="A644" i="4"/>
  <c r="A645" i="4"/>
  <c r="A646" i="4"/>
  <c r="A647" i="4"/>
  <c r="A648" i="4"/>
  <c r="A649" i="4"/>
  <c r="A650" i="4"/>
  <c r="A651" i="4"/>
  <c r="A652" i="4"/>
  <c r="A653" i="4"/>
  <c r="A654" i="4"/>
  <c r="A655" i="4"/>
  <c r="A656" i="4"/>
  <c r="A657" i="4"/>
  <c r="A658" i="4"/>
  <c r="A659" i="4"/>
  <c r="A660" i="4"/>
  <c r="A661" i="4"/>
  <c r="A662" i="4"/>
  <c r="A663" i="4"/>
  <c r="A664" i="4"/>
  <c r="A665" i="4"/>
  <c r="A666" i="4"/>
  <c r="A667" i="4"/>
  <c r="A668" i="4"/>
  <c r="A669" i="4"/>
  <c r="A670" i="4"/>
  <c r="A671" i="4"/>
  <c r="A672" i="4"/>
  <c r="A673" i="4"/>
  <c r="A674" i="4"/>
  <c r="A675" i="4"/>
  <c r="A676" i="4"/>
  <c r="A677" i="4"/>
  <c r="A678" i="4"/>
  <c r="A679" i="4"/>
  <c r="A680" i="4"/>
  <c r="A681" i="4"/>
  <c r="A682" i="4"/>
  <c r="A683" i="4"/>
  <c r="A684" i="4"/>
  <c r="A685" i="4"/>
  <c r="A686" i="4"/>
  <c r="A687" i="4"/>
  <c r="A688" i="4"/>
  <c r="A689" i="4"/>
  <c r="A690" i="4"/>
  <c r="A691" i="4"/>
  <c r="A692" i="4"/>
  <c r="A693" i="4"/>
  <c r="A694" i="4"/>
  <c r="A695" i="4"/>
  <c r="A696" i="4"/>
  <c r="A697" i="4"/>
  <c r="A698" i="4"/>
  <c r="A699" i="4"/>
  <c r="A700" i="4"/>
  <c r="A701" i="4"/>
  <c r="A702" i="4"/>
  <c r="A703" i="4"/>
  <c r="A704" i="4"/>
  <c r="A705" i="4"/>
  <c r="A706" i="4"/>
  <c r="A707" i="4"/>
  <c r="A708" i="4"/>
  <c r="A709" i="4"/>
  <c r="A710" i="4"/>
  <c r="A711" i="4"/>
  <c r="A712" i="4"/>
  <c r="A713" i="4"/>
  <c r="A714" i="4"/>
  <c r="A715" i="4"/>
  <c r="A716" i="4"/>
  <c r="A717" i="4"/>
  <c r="A718" i="4"/>
  <c r="A719" i="4"/>
  <c r="A720" i="4"/>
  <c r="A721" i="4"/>
  <c r="A722" i="4"/>
  <c r="A723" i="4"/>
  <c r="A724" i="4"/>
  <c r="A725" i="4"/>
  <c r="A726" i="4"/>
  <c r="A727" i="4"/>
  <c r="A728" i="4"/>
  <c r="A729" i="4"/>
  <c r="A730" i="4"/>
  <c r="A731" i="4"/>
  <c r="A732" i="4"/>
  <c r="A733" i="4"/>
  <c r="A734" i="4"/>
  <c r="A735" i="4"/>
  <c r="A736" i="4"/>
  <c r="A737" i="4"/>
  <c r="A738" i="4"/>
  <c r="A739" i="4"/>
  <c r="A740" i="4"/>
  <c r="A741" i="4"/>
  <c r="A742" i="4"/>
  <c r="A743" i="4"/>
  <c r="A744" i="4"/>
  <c r="A745" i="4"/>
  <c r="A746" i="4"/>
  <c r="A747" i="4"/>
  <c r="A748" i="4"/>
  <c r="A749" i="4"/>
  <c r="A750" i="4"/>
  <c r="A751" i="4"/>
  <c r="A752" i="4"/>
  <c r="A753" i="4"/>
  <c r="A754" i="4"/>
  <c r="A755" i="4"/>
  <c r="A756" i="4"/>
  <c r="A757" i="4"/>
  <c r="A758" i="4"/>
  <c r="A759" i="4"/>
  <c r="A760" i="4"/>
  <c r="A761" i="4"/>
  <c r="A762" i="4"/>
  <c r="A763" i="4"/>
  <c r="A764" i="4"/>
  <c r="A765" i="4"/>
  <c r="A766" i="4"/>
  <c r="A767" i="4"/>
  <c r="A768" i="4"/>
  <c r="A769" i="4"/>
  <c r="A770" i="4"/>
  <c r="A771" i="4"/>
  <c r="A772" i="4"/>
  <c r="A773" i="4"/>
  <c r="A774" i="4"/>
  <c r="A775" i="4"/>
  <c r="A776" i="4"/>
  <c r="A777" i="4"/>
  <c r="A778" i="4"/>
  <c r="A779" i="4"/>
  <c r="A780" i="4"/>
  <c r="A781" i="4"/>
  <c r="A782" i="4"/>
  <c r="A783" i="4"/>
  <c r="A784" i="4"/>
  <c r="A785" i="4"/>
  <c r="A786" i="4"/>
  <c r="A787" i="4"/>
  <c r="A788" i="4"/>
  <c r="A789" i="4"/>
  <c r="A790" i="4"/>
  <c r="A791" i="4"/>
  <c r="A792" i="4"/>
  <c r="A793" i="4"/>
  <c r="A794" i="4"/>
  <c r="A795" i="4"/>
  <c r="A796" i="4"/>
  <c r="A797" i="4"/>
  <c r="A798" i="4"/>
  <c r="A799" i="4"/>
  <c r="A800" i="4"/>
  <c r="A801" i="4"/>
  <c r="A802" i="4"/>
  <c r="A803" i="4"/>
  <c r="A804" i="4"/>
  <c r="A805" i="4"/>
  <c r="A806" i="4"/>
  <c r="A807" i="4"/>
  <c r="A808" i="4"/>
  <c r="A809" i="4"/>
  <c r="A810" i="4"/>
  <c r="A811" i="4"/>
  <c r="A812" i="4"/>
  <c r="A813" i="4"/>
  <c r="A814" i="4"/>
  <c r="A815" i="4"/>
  <c r="A816" i="4"/>
  <c r="A817" i="4"/>
  <c r="A818" i="4"/>
  <c r="A819" i="4"/>
  <c r="A820" i="4"/>
  <c r="A821" i="4"/>
  <c r="A822" i="4"/>
  <c r="A823" i="4"/>
  <c r="A824" i="4"/>
  <c r="A825" i="4"/>
  <c r="A826" i="4"/>
  <c r="A827" i="4"/>
  <c r="A828" i="4"/>
  <c r="A829" i="4"/>
  <c r="A830" i="4"/>
  <c r="A831" i="4"/>
  <c r="A832" i="4"/>
  <c r="A833" i="4"/>
  <c r="A834" i="4"/>
  <c r="A835" i="4"/>
  <c r="A836" i="4"/>
  <c r="A837" i="4"/>
  <c r="A838" i="4"/>
  <c r="A839" i="4"/>
  <c r="A840" i="4"/>
  <c r="A841" i="4"/>
  <c r="A842" i="4"/>
  <c r="A843" i="4"/>
  <c r="A844" i="4"/>
  <c r="A845" i="4"/>
  <c r="A846" i="4"/>
  <c r="A847" i="4"/>
  <c r="A848" i="4"/>
  <c r="A849" i="4"/>
  <c r="A850" i="4"/>
  <c r="A851" i="4"/>
  <c r="A852" i="4"/>
  <c r="A853" i="4"/>
  <c r="A854" i="4"/>
  <c r="A855" i="4"/>
  <c r="A856" i="4"/>
  <c r="A857" i="4"/>
  <c r="A858" i="4"/>
  <c r="A859" i="4"/>
  <c r="A860" i="4"/>
  <c r="A861" i="4"/>
  <c r="A862" i="4"/>
  <c r="A863" i="4"/>
  <c r="A864" i="4"/>
  <c r="A865" i="4"/>
  <c r="A866" i="4"/>
  <c r="A867" i="4"/>
  <c r="A868" i="4"/>
  <c r="A869" i="4"/>
  <c r="A870" i="4"/>
  <c r="A871" i="4"/>
  <c r="A872" i="4"/>
  <c r="A873" i="4"/>
  <c r="A874" i="4"/>
  <c r="A875" i="4"/>
  <c r="A876" i="4"/>
  <c r="A877" i="4"/>
  <c r="A878" i="4"/>
  <c r="A879" i="4"/>
  <c r="A880" i="4"/>
  <c r="A881" i="4"/>
  <c r="A882" i="4"/>
  <c r="A883" i="4"/>
  <c r="A884" i="4"/>
  <c r="A885" i="4"/>
  <c r="A886" i="4"/>
  <c r="A887" i="4"/>
  <c r="A888" i="4"/>
  <c r="A889" i="4"/>
  <c r="A890" i="4"/>
  <c r="A891" i="4"/>
  <c r="A892" i="4"/>
  <c r="A893" i="4"/>
  <c r="A894" i="4"/>
  <c r="A895" i="4"/>
  <c r="A896" i="4"/>
  <c r="A897" i="4"/>
  <c r="A898" i="4"/>
  <c r="A899" i="4"/>
  <c r="A900" i="4"/>
  <c r="A901" i="4"/>
  <c r="A902" i="4"/>
  <c r="A903" i="4"/>
  <c r="A904" i="4"/>
  <c r="A905" i="4"/>
  <c r="A906" i="4"/>
  <c r="A907" i="4"/>
  <c r="A908" i="4"/>
  <c r="A909" i="4"/>
  <c r="A910" i="4"/>
  <c r="A911" i="4"/>
  <c r="A912" i="4"/>
  <c r="A913" i="4"/>
  <c r="A914" i="4"/>
  <c r="A915" i="4"/>
  <c r="A916" i="4"/>
  <c r="A917" i="4"/>
  <c r="A918" i="4"/>
  <c r="A919" i="4"/>
  <c r="A920" i="4"/>
  <c r="A921" i="4"/>
  <c r="A922" i="4"/>
  <c r="A923" i="4"/>
  <c r="A924" i="4"/>
  <c r="A925" i="4"/>
  <c r="A926" i="4"/>
  <c r="A927" i="4"/>
  <c r="A928" i="4"/>
  <c r="A929" i="4"/>
  <c r="A930" i="4"/>
  <c r="A931" i="4"/>
  <c r="A932" i="4"/>
  <c r="A933" i="4"/>
  <c r="A934" i="4"/>
  <c r="A935" i="4"/>
  <c r="A936" i="4"/>
  <c r="A937" i="4"/>
  <c r="A938" i="4"/>
  <c r="A939" i="4"/>
  <c r="A940" i="4"/>
  <c r="A941" i="4"/>
  <c r="A942" i="4"/>
  <c r="A943" i="4"/>
  <c r="A944" i="4"/>
  <c r="A945" i="4"/>
  <c r="A946" i="4"/>
  <c r="A947" i="4"/>
  <c r="A948" i="4"/>
  <c r="A949" i="4"/>
  <c r="A950" i="4"/>
  <c r="A951" i="4"/>
  <c r="A952" i="4"/>
  <c r="A953" i="4"/>
  <c r="A954" i="4"/>
  <c r="A955" i="4"/>
  <c r="A956" i="4"/>
  <c r="A957" i="4"/>
  <c r="A958" i="4"/>
  <c r="A959" i="4"/>
  <c r="A960" i="4"/>
  <c r="A961" i="4"/>
  <c r="A962" i="4"/>
  <c r="A963" i="4"/>
  <c r="A964" i="4"/>
  <c r="A965" i="4"/>
  <c r="A966" i="4"/>
  <c r="A967" i="4"/>
  <c r="A968" i="4"/>
  <c r="A969" i="4"/>
  <c r="A970" i="4"/>
  <c r="A971" i="4"/>
  <c r="A972" i="4"/>
  <c r="A973" i="4"/>
  <c r="A974" i="4"/>
  <c r="A975" i="4"/>
  <c r="A976" i="4"/>
  <c r="A977" i="4"/>
  <c r="A978" i="4"/>
  <c r="A979" i="4"/>
  <c r="A980" i="4"/>
  <c r="A981" i="4"/>
  <c r="A982" i="4"/>
  <c r="A983" i="4"/>
  <c r="A984" i="4"/>
  <c r="A985" i="4"/>
  <c r="A986" i="4"/>
  <c r="A987" i="4"/>
  <c r="A988" i="4"/>
  <c r="A989" i="4"/>
  <c r="A990" i="4"/>
  <c r="A991" i="4"/>
  <c r="A992" i="4"/>
  <c r="A993" i="4"/>
  <c r="A994" i="4"/>
  <c r="A995" i="4"/>
  <c r="A996" i="4"/>
  <c r="A997" i="4"/>
  <c r="A998" i="4"/>
  <c r="A999" i="4"/>
  <c r="A1000" i="4"/>
  <c r="A1001" i="4"/>
  <c r="A1002" i="4"/>
  <c r="A1003" i="4"/>
  <c r="A1004" i="4"/>
  <c r="A1005" i="4"/>
  <c r="A1006" i="4"/>
  <c r="A1007" i="4"/>
  <c r="A1008" i="4"/>
  <c r="A1009" i="4"/>
  <c r="A1010" i="4"/>
  <c r="A1011" i="4"/>
  <c r="A1012" i="4"/>
  <c r="A1013" i="4"/>
  <c r="A1014" i="4"/>
  <c r="A1015" i="4"/>
  <c r="A1016" i="4"/>
  <c r="A1017" i="4"/>
  <c r="A1018" i="4"/>
  <c r="A1019" i="4"/>
  <c r="A1020" i="4"/>
  <c r="A1021" i="4"/>
  <c r="A1022" i="4"/>
  <c r="A1023" i="4"/>
  <c r="A1024" i="4"/>
  <c r="A1025" i="4"/>
  <c r="A1026" i="4"/>
  <c r="A1027" i="4"/>
  <c r="A1028" i="4"/>
  <c r="A1029" i="4"/>
  <c r="A1030" i="4"/>
  <c r="A1031" i="4"/>
  <c r="A1032" i="4"/>
  <c r="A1033" i="4"/>
  <c r="A1034" i="4"/>
  <c r="A1035" i="4"/>
  <c r="A1036" i="4"/>
  <c r="A1037" i="4"/>
  <c r="A1038" i="4"/>
  <c r="A1039" i="4"/>
  <c r="A1040" i="4"/>
  <c r="A1041" i="4"/>
  <c r="A1042" i="4"/>
  <c r="A1043" i="4"/>
  <c r="A1044" i="4"/>
  <c r="A1045" i="4"/>
  <c r="A1046" i="4"/>
  <c r="A1047" i="4"/>
  <c r="A1048" i="4"/>
  <c r="A1049" i="4"/>
  <c r="A1050" i="4"/>
  <c r="A1051" i="4"/>
  <c r="A1052" i="4"/>
  <c r="A1053" i="4"/>
  <c r="A1054" i="4"/>
  <c r="A1055" i="4"/>
  <c r="A1056" i="4"/>
  <c r="A1057" i="4"/>
  <c r="A1058" i="4"/>
  <c r="A1059" i="4"/>
  <c r="A1060" i="4"/>
  <c r="A1061" i="4"/>
  <c r="A1062" i="4"/>
  <c r="A1063" i="4"/>
  <c r="A2" i="4"/>
  <c r="A1328" i="2"/>
  <c r="A48" i="2"/>
  <c r="A118" i="2"/>
  <c r="A281" i="2"/>
  <c r="A337" i="2"/>
  <c r="A676" i="2"/>
  <c r="A209" i="2"/>
  <c r="A197" i="2"/>
  <c r="A423" i="2"/>
  <c r="A259" i="2"/>
  <c r="A287" i="2"/>
  <c r="A651" i="2"/>
  <c r="A313" i="2"/>
  <c r="A692" i="2"/>
  <c r="A686" i="2"/>
  <c r="A930" i="2"/>
  <c r="A826" i="2"/>
  <c r="A766" i="2"/>
  <c r="A780" i="2"/>
  <c r="A942" i="2"/>
  <c r="A322" i="2"/>
  <c r="A283" i="2"/>
  <c r="A822" i="2"/>
  <c r="A321" i="2"/>
  <c r="A353" i="2"/>
  <c r="A358" i="2"/>
  <c r="A362" i="2"/>
  <c r="A148" i="2"/>
  <c r="A183" i="2"/>
  <c r="A895" i="2"/>
  <c r="A372" i="2"/>
  <c r="A390" i="2"/>
  <c r="A391" i="2"/>
  <c r="A999" i="2"/>
  <c r="A199" i="2"/>
  <c r="A424" i="2"/>
  <c r="A428" i="2"/>
  <c r="A442" i="2"/>
  <c r="A444" i="2"/>
  <c r="A448" i="2"/>
  <c r="A456" i="2"/>
  <c r="A458" i="2"/>
  <c r="A988" i="2"/>
  <c r="A466" i="2"/>
  <c r="A451" i="2"/>
  <c r="A961" i="2"/>
  <c r="A542" i="2"/>
  <c r="A551" i="2"/>
  <c r="A568" i="2"/>
  <c r="A583" i="2"/>
  <c r="A592" i="2"/>
  <c r="A599" i="2"/>
  <c r="A619" i="2"/>
  <c r="A634" i="2"/>
  <c r="A443" i="2"/>
  <c r="A650" i="2"/>
  <c r="A665" i="2"/>
  <c r="A731" i="2"/>
  <c r="A669" i="2"/>
  <c r="A126" i="2"/>
  <c r="A234" i="2"/>
  <c r="A439" i="2"/>
  <c r="A680" i="2"/>
  <c r="A688" i="2"/>
  <c r="A702" i="2"/>
  <c r="A704" i="2"/>
  <c r="A717" i="2"/>
  <c r="A866" i="2"/>
  <c r="A832" i="2"/>
  <c r="A991" i="2"/>
  <c r="A858" i="2"/>
  <c r="A859" i="2"/>
  <c r="A867" i="2"/>
  <c r="A892" i="2"/>
  <c r="A896" i="2"/>
  <c r="A897" i="2"/>
  <c r="A899" i="2"/>
  <c r="A914" i="2"/>
  <c r="A917" i="2"/>
  <c r="A679" i="2"/>
  <c r="A934" i="2"/>
  <c r="A936" i="2"/>
  <c r="A950" i="2"/>
  <c r="A954" i="2"/>
  <c r="A955" i="2"/>
  <c r="A1013" i="2"/>
  <c r="A732" i="2"/>
  <c r="A1061" i="2"/>
  <c r="A1062" i="2"/>
  <c r="A175" i="2"/>
  <c r="A1044" i="2"/>
  <c r="A577" i="2"/>
  <c r="A578" i="2"/>
  <c r="A1034" i="2"/>
  <c r="A1052" i="2"/>
  <c r="A1065" i="2"/>
  <c r="A569" i="2"/>
  <c r="A335" i="2"/>
  <c r="A320" i="2"/>
  <c r="A377" i="2"/>
  <c r="A452" i="2"/>
  <c r="A710" i="2"/>
  <c r="A487" i="2"/>
  <c r="A325" i="2"/>
  <c r="A1055" i="2"/>
  <c r="A706" i="2"/>
  <c r="A923" i="2"/>
  <c r="A926" i="2"/>
  <c r="A1059" i="2"/>
  <c r="A459" i="2"/>
  <c r="A446" i="2"/>
  <c r="A401" i="2"/>
  <c r="A540" i="2"/>
  <c r="A319" i="2"/>
  <c r="A460" i="2"/>
  <c r="A403" i="2"/>
  <c r="A711" i="2"/>
  <c r="A834" i="2"/>
  <c r="A352" i="2"/>
  <c r="A707" i="2"/>
  <c r="A938" i="2"/>
  <c r="A361" i="2"/>
  <c r="A803" i="2"/>
  <c r="A483" i="2"/>
  <c r="A625" i="2"/>
  <c r="A404" i="2"/>
  <c r="A405" i="2"/>
  <c r="A1003" i="2"/>
  <c r="A881" i="2"/>
  <c r="A1043" i="2"/>
  <c r="A326" i="2"/>
  <c r="A1329" i="2"/>
  <c r="A286" i="2"/>
  <c r="A900" i="2"/>
  <c r="A952" i="2"/>
  <c r="A878" i="2"/>
  <c r="A904" i="2"/>
  <c r="A898" i="2"/>
  <c r="A585" i="2"/>
  <c r="A235" i="2"/>
  <c r="A761" i="2"/>
  <c r="A762" i="2"/>
  <c r="A773" i="2"/>
  <c r="A512" i="2"/>
  <c r="A380" i="2"/>
  <c r="A1037" i="2"/>
  <c r="A621" i="2"/>
  <c r="A561" i="2"/>
  <c r="A721" i="2"/>
  <c r="A338" i="2"/>
  <c r="A746" i="2"/>
  <c r="A1071" i="2"/>
  <c r="A242" i="2"/>
  <c r="A188" i="2"/>
  <c r="A420" i="2"/>
  <c r="A438" i="2"/>
  <c r="A288" i="2"/>
  <c r="A127" i="2"/>
  <c r="A1060" i="2"/>
  <c r="A1063" i="2"/>
  <c r="A1064" i="2"/>
  <c r="A849" i="2"/>
  <c r="A552" i="2"/>
  <c r="A261" i="2"/>
  <c r="A396" i="2"/>
  <c r="A763" i="2"/>
  <c r="A754" i="2"/>
  <c r="A315" i="2"/>
  <c r="A447" i="2"/>
  <c r="A450" i="2"/>
  <c r="A515" i="2"/>
  <c r="A475" i="2"/>
  <c r="A554" i="2"/>
  <c r="A149" i="2"/>
  <c r="A813" i="2"/>
  <c r="A586" i="2"/>
  <c r="A427" i="2"/>
  <c r="A349" i="2"/>
  <c r="A117" i="2"/>
  <c r="A556" i="2"/>
  <c r="A224" i="2"/>
  <c r="A538" i="2"/>
  <c r="A243" i="2"/>
  <c r="A827" i="2"/>
  <c r="A1039" i="2"/>
  <c r="A375" i="2"/>
  <c r="A652" i="2"/>
  <c r="A871" i="2"/>
  <c r="A787" i="2"/>
  <c r="A798" i="2"/>
  <c r="A76" i="2"/>
  <c r="A74" i="2"/>
  <c r="A72" i="2"/>
  <c r="A994" i="2"/>
  <c r="A75" i="2"/>
  <c r="A804" i="2"/>
  <c r="A596" i="2"/>
  <c r="A1015" i="2"/>
  <c r="A1017" i="2"/>
  <c r="A1019" i="2"/>
  <c r="A142" i="2"/>
  <c r="A365" i="2"/>
  <c r="A186" i="2"/>
  <c r="A245" i="2"/>
  <c r="A505" i="2"/>
  <c r="A725" i="2"/>
  <c r="A519" i="2"/>
  <c r="A409" i="2"/>
  <c r="A371" i="2"/>
  <c r="A233" i="2"/>
  <c r="A888" i="2"/>
  <c r="A633" i="2"/>
  <c r="A1330" i="2"/>
  <c r="A997" i="2"/>
  <c r="A227" i="2"/>
  <c r="A719" i="2"/>
  <c r="A231" i="2"/>
  <c r="A244" i="2"/>
  <c r="A282" i="2"/>
  <c r="A253" i="2"/>
  <c r="A902" i="2"/>
  <c r="A570" i="2"/>
  <c r="A587" i="2"/>
  <c r="A654" i="2"/>
  <c r="A677" i="2"/>
  <c r="A590" i="2"/>
  <c r="A755" i="2"/>
  <c r="A1011" i="2"/>
  <c r="A935" i="2"/>
  <c r="A150" i="2"/>
  <c r="A602" i="2"/>
  <c r="A1031" i="2"/>
  <c r="A928" i="2"/>
  <c r="A1030" i="2"/>
  <c r="A564" i="2"/>
  <c r="A879" i="2"/>
  <c r="A663" i="2"/>
  <c r="A221" i="2"/>
  <c r="A617" i="2"/>
  <c r="A558" i="2"/>
  <c r="A263" i="2"/>
  <c r="A939" i="2"/>
  <c r="A107" i="2"/>
  <c r="A131" i="2"/>
  <c r="A89" i="2"/>
  <c r="A989" i="2"/>
  <c r="A100" i="2"/>
  <c r="A103" i="2"/>
  <c r="A490" i="2"/>
  <c r="A52" i="2"/>
  <c r="A333" i="2"/>
  <c r="A705" i="2"/>
  <c r="A673" i="2"/>
  <c r="A247" i="2"/>
  <c r="A146" i="2"/>
  <c r="A212" i="2"/>
  <c r="A894" i="2"/>
  <c r="A874" i="2"/>
  <c r="A630" i="2"/>
  <c r="A1029" i="2"/>
  <c r="A750" i="2"/>
  <c r="A464" i="2"/>
  <c r="A316" i="2"/>
  <c r="A453" i="2"/>
  <c r="A85" i="2"/>
  <c r="A1012" i="2"/>
  <c r="A861" i="2"/>
  <c r="A513" i="2"/>
  <c r="A949" i="2"/>
  <c r="A211" i="2"/>
  <c r="A656" i="2"/>
  <c r="A61" i="2"/>
  <c r="A226" i="2"/>
  <c r="A162" i="2"/>
  <c r="A636" i="2"/>
  <c r="A637" i="2"/>
  <c r="A153" i="2"/>
  <c r="A202" i="2"/>
  <c r="A502" i="2"/>
  <c r="A757" i="2"/>
  <c r="A937" i="2"/>
  <c r="A1033" i="2"/>
  <c r="A545" i="2"/>
  <c r="A659" i="2"/>
  <c r="A43" i="2"/>
  <c r="A47" i="2"/>
  <c r="A397" i="2"/>
  <c r="A666" i="2"/>
  <c r="A308" i="2"/>
  <c r="A605" i="2"/>
  <c r="A348" i="2"/>
  <c r="A167" i="2"/>
  <c r="A664" i="2"/>
  <c r="A737" i="2"/>
  <c r="A1049" i="2"/>
  <c r="A497" i="2"/>
  <c r="A772" i="2"/>
  <c r="A105" i="2"/>
  <c r="A232" i="2"/>
  <c r="A210" i="2"/>
  <c r="A924" i="2"/>
  <c r="A1035" i="2"/>
  <c r="A562" i="2"/>
  <c r="A920" i="2"/>
  <c r="A398" i="2"/>
  <c r="A919" i="2"/>
  <c r="A915" i="2"/>
  <c r="A195" i="2"/>
  <c r="A191" i="2"/>
  <c r="A493" i="2"/>
  <c r="A488" i="2"/>
  <c r="A324" i="2"/>
  <c r="A112" i="2"/>
  <c r="A733" i="2"/>
  <c r="A44" i="2"/>
  <c r="A953" i="2"/>
  <c r="A620" i="2"/>
  <c r="A992" i="2"/>
  <c r="A274" i="2"/>
  <c r="A847" i="2"/>
  <c r="A1014" i="2"/>
  <c r="A463" i="2"/>
  <c r="A756" i="2"/>
  <c r="A771" i="2"/>
  <c r="A764" i="2"/>
  <c r="A749" i="2"/>
  <c r="A81" i="2"/>
  <c r="A748" i="2"/>
  <c r="A905" i="2"/>
  <c r="A736" i="2"/>
  <c r="A97" i="2"/>
  <c r="A57" i="2"/>
  <c r="A770" i="2"/>
  <c r="A759" i="2"/>
  <c r="A111" i="2"/>
  <c r="A109" i="2"/>
  <c r="A649" i="2"/>
  <c r="A510" i="2"/>
  <c r="A392" i="2"/>
  <c r="A758" i="2"/>
  <c r="A553" i="2"/>
  <c r="A560" i="2"/>
  <c r="A990" i="2"/>
  <c r="A334" i="2"/>
  <c r="A645" i="2"/>
  <c r="A557" i="2"/>
  <c r="A559" i="2"/>
  <c r="A865" i="2"/>
  <c r="A903" i="2"/>
  <c r="A514" i="2"/>
  <c r="A532" i="2"/>
  <c r="A530" i="2"/>
  <c r="A531" i="2"/>
  <c r="A951" i="2"/>
  <c r="A765" i="2"/>
  <c r="A508" i="2"/>
  <c r="A693" i="2"/>
  <c r="A318" i="2"/>
  <c r="A623" i="2"/>
  <c r="A995" i="2"/>
  <c r="A687" i="2"/>
  <c r="A674" i="2"/>
  <c r="A39" i="2"/>
  <c r="A310" i="2"/>
  <c r="A106" i="2"/>
  <c r="A238" i="2"/>
  <c r="A108" i="2"/>
  <c r="A49" i="2"/>
  <c r="A273" i="2"/>
  <c r="A662" i="2"/>
  <c r="A50" i="2"/>
  <c r="A814" i="2"/>
  <c r="A817" i="2"/>
  <c r="A819" i="2"/>
  <c r="A821" i="2"/>
  <c r="A860" i="2"/>
  <c r="A891" i="2"/>
  <c r="A258" i="2"/>
  <c r="A289" i="2"/>
  <c r="A181" i="2"/>
  <c r="A27" i="2"/>
  <c r="A35" i="2"/>
  <c r="A455" i="2"/>
  <c r="A80" i="2"/>
  <c r="A285" i="2"/>
  <c r="A204" i="2"/>
  <c r="A309" i="2"/>
  <c r="A98" i="2"/>
  <c r="A99" i="2"/>
  <c r="A812" i="2"/>
  <c r="A30" i="2"/>
  <c r="A555" i="2"/>
  <c r="A853" i="2"/>
  <c r="A158" i="2"/>
  <c r="A887" i="2"/>
  <c r="A64" i="2"/>
  <c r="A632" i="2"/>
  <c r="A778" i="2"/>
  <c r="A582" i="2"/>
  <c r="A133" i="2"/>
  <c r="A638" i="2"/>
  <c r="A24" i="2"/>
  <c r="A164" i="2"/>
  <c r="A165" i="2"/>
  <c r="A82" i="2"/>
  <c r="A58" i="2"/>
  <c r="A40" i="2"/>
  <c r="A25" i="2"/>
  <c r="A752" i="2"/>
  <c r="A147" i="2"/>
  <c r="A494" i="2"/>
  <c r="A622" i="2"/>
  <c r="A667" i="2"/>
  <c r="A584" i="2"/>
  <c r="A376" i="2"/>
  <c r="A1038" i="2"/>
  <c r="A641" i="2"/>
  <c r="A414" i="2"/>
  <c r="A425" i="2"/>
  <c r="A311" i="2"/>
  <c r="A241" i="2"/>
  <c r="A743" i="2"/>
  <c r="A1025" i="2"/>
  <c r="A628" i="2"/>
  <c r="A843" i="2"/>
  <c r="A1057" i="2"/>
  <c r="A53" i="2"/>
  <c r="A588" i="2"/>
  <c r="A589" i="2"/>
  <c r="A182" i="2"/>
  <c r="A501" i="2"/>
  <c r="A26" i="2"/>
  <c r="A84" i="2"/>
  <c r="A606" i="2"/>
  <c r="A1021" i="2"/>
  <c r="A465" i="2"/>
  <c r="A824" i="2"/>
  <c r="A86" i="2"/>
  <c r="A236" i="2"/>
  <c r="A661" i="2"/>
  <c r="A631" i="2"/>
  <c r="A820" i="2"/>
  <c r="A476" i="2"/>
  <c r="A708" i="2"/>
  <c r="A1053" i="2"/>
  <c r="A270" i="2"/>
  <c r="A252" i="2"/>
  <c r="A1036" i="2"/>
  <c r="A228" i="2"/>
  <c r="A925" i="2"/>
  <c r="A60" i="2"/>
  <c r="A42" i="2"/>
  <c r="A470" i="2"/>
  <c r="A471" i="2"/>
  <c r="A1002" i="2"/>
  <c r="A135" i="2"/>
  <c r="A155" i="2"/>
  <c r="A154" i="2"/>
  <c r="A184" i="2"/>
  <c r="A724" i="2"/>
  <c r="A837" i="2"/>
  <c r="A486" i="2"/>
  <c r="A549" i="2"/>
  <c r="A767" i="2"/>
  <c r="A96" i="2"/>
  <c r="A422" i="2"/>
  <c r="A249" i="2"/>
  <c r="A87" i="2"/>
  <c r="A73" i="2"/>
  <c r="A962" i="2"/>
  <c r="A613" i="2"/>
  <c r="A449" i="2"/>
  <c r="A1001" i="2"/>
  <c r="A378" i="2"/>
  <c r="A379" i="2"/>
  <c r="A791" i="2"/>
  <c r="A374" i="2"/>
  <c r="A296" i="2"/>
  <c r="A299" i="2"/>
  <c r="A601" i="2"/>
  <c r="A1018" i="2"/>
  <c r="A343" i="2"/>
  <c r="A909" i="2"/>
  <c r="A344" i="2"/>
  <c r="A178" i="2"/>
  <c r="A290" i="2"/>
  <c r="A301" i="2"/>
  <c r="A300" i="2"/>
  <c r="A302" i="2"/>
  <c r="A292" i="2"/>
  <c r="A293" i="2"/>
  <c r="A295" i="2"/>
  <c r="A297" i="2"/>
  <c r="A341" i="2"/>
  <c r="A342" i="2"/>
  <c r="A345" i="2"/>
  <c r="A346" i="2"/>
  <c r="A298" i="2"/>
  <c r="A256" i="2"/>
  <c r="A910" i="2"/>
  <c r="A140" i="2"/>
  <c r="A546" i="2"/>
  <c r="A744" i="2"/>
  <c r="A284" i="2"/>
  <c r="A970" i="2"/>
  <c r="A872" i="2"/>
  <c r="A454" i="2"/>
  <c r="A207" i="2"/>
  <c r="A121" i="2"/>
  <c r="A123" i="2"/>
  <c r="A913" i="2"/>
  <c r="A276" i="2"/>
  <c r="A340" i="2"/>
  <c r="A511" i="2"/>
  <c r="A116" i="2"/>
  <c r="A948" i="2"/>
  <c r="A658" i="2"/>
  <c r="A119" i="2"/>
  <c r="A1048" i="2"/>
  <c r="A742" i="2"/>
  <c r="A330" i="2"/>
  <c r="A250" i="2"/>
  <c r="A429" i="2"/>
  <c r="A993" i="2"/>
  <c r="A434" i="2"/>
  <c r="A180" i="2"/>
  <c r="A406" i="2"/>
  <c r="A407" i="2"/>
  <c r="A945" i="2"/>
  <c r="A3" i="2"/>
  <c r="A179" i="2"/>
  <c r="A264" i="2"/>
  <c r="A32" i="2"/>
  <c r="A336" i="2"/>
  <c r="A716" i="2"/>
  <c r="A653" i="2"/>
  <c r="A218" i="2"/>
  <c r="A172" i="2"/>
  <c r="A329" i="2"/>
  <c r="A229" i="2"/>
  <c r="A272" i="2"/>
  <c r="A457" i="2"/>
  <c r="A671" i="2"/>
  <c r="A863" i="2"/>
  <c r="A539" i="2"/>
  <c r="A639" i="2"/>
  <c r="A1008" i="2"/>
  <c r="A257" i="2"/>
  <c r="A678" i="2"/>
  <c r="A876" i="2"/>
  <c r="A646" i="2"/>
  <c r="A856" i="2"/>
  <c r="A364" i="2"/>
  <c r="A640" i="2"/>
  <c r="A931" i="2"/>
  <c r="A946" i="2"/>
  <c r="A347" i="2"/>
  <c r="A357" i="2"/>
  <c r="A958" i="2"/>
  <c r="A163" i="2"/>
  <c r="A433" i="2"/>
  <c r="A956" i="2"/>
  <c r="A544" i="2"/>
  <c r="A1072" i="2"/>
  <c r="A877" i="2"/>
  <c r="A927" i="2"/>
  <c r="A518" i="2"/>
  <c r="A33" i="2"/>
  <c r="A18" i="2"/>
  <c r="A45" i="2"/>
  <c r="A614" i="2"/>
  <c r="A1022" i="2"/>
  <c r="A947" i="2"/>
  <c r="A2" i="2"/>
  <c r="A504" i="2"/>
  <c r="A489" i="2"/>
  <c r="A120" i="2"/>
  <c r="A929" i="2"/>
  <c r="A850" i="2"/>
  <c r="A851" i="2"/>
  <c r="A19" i="2"/>
  <c r="A23" i="2"/>
  <c r="A795" i="2"/>
  <c r="A697" i="2"/>
  <c r="A670" i="2"/>
  <c r="A689" i="2"/>
  <c r="A801" i="2"/>
  <c r="A806" i="2"/>
  <c r="A161" i="2"/>
  <c r="A373" i="2"/>
  <c r="A1051" i="2"/>
  <c r="A823" i="2"/>
  <c r="A481" i="2"/>
  <c r="A655" i="2"/>
  <c r="A880" i="2"/>
  <c r="A436" i="2"/>
  <c r="A727" i="2"/>
  <c r="A907" i="2"/>
  <c r="A327" i="2"/>
  <c r="A893" i="2"/>
  <c r="A1067" i="2"/>
  <c r="A1068" i="2"/>
  <c r="A918" i="2"/>
  <c r="A799" i="2"/>
  <c r="A709" i="2"/>
  <c r="A836" i="2"/>
  <c r="A685" i="2"/>
  <c r="A168" i="2"/>
  <c r="A7" i="2"/>
  <c r="A522" i="2"/>
  <c r="A484" i="2"/>
  <c r="A751" i="2"/>
  <c r="A712" i="2"/>
  <c r="A792" i="2"/>
  <c r="A635" i="2"/>
  <c r="A604" i="2"/>
  <c r="A933" i="2"/>
  <c r="A139" i="2"/>
  <c r="A279" i="2"/>
  <c r="A265" i="2"/>
  <c r="A225" i="2"/>
  <c r="A143" i="2"/>
  <c r="A408" i="2"/>
  <c r="A840" i="2"/>
  <c r="A1332" i="2"/>
  <c r="A1073" i="2"/>
  <c r="A675" i="2"/>
  <c r="A648" i="2"/>
  <c r="A239" i="2"/>
  <c r="A618" i="2"/>
  <c r="A129" i="2"/>
  <c r="A543" i="2"/>
  <c r="A547" i="2"/>
  <c r="A485" i="2"/>
  <c r="A166" i="2"/>
  <c r="A739" i="2"/>
  <c r="A130" i="2"/>
  <c r="A101" i="2"/>
  <c r="A968" i="2"/>
  <c r="A981" i="2"/>
  <c r="A198" i="2"/>
  <c r="A306" i="2"/>
  <c r="A943" i="2"/>
  <c r="A328" i="2"/>
  <c r="A776" i="2"/>
  <c r="A317" i="2"/>
  <c r="A128" i="2"/>
  <c r="A779" i="2"/>
  <c r="A818" i="2"/>
  <c r="A124" i="2"/>
  <c r="A718" i="2"/>
  <c r="A34" i="2"/>
  <c r="A747" i="2"/>
  <c r="A9" i="2"/>
  <c r="A541" i="2"/>
  <c r="A31" i="2"/>
  <c r="A790" i="2"/>
  <c r="A841" i="2"/>
  <c r="A291" i="2"/>
  <c r="A113" i="2"/>
  <c r="A520" i="2"/>
  <c r="A122" i="2"/>
  <c r="A768" i="2"/>
  <c r="A59" i="2"/>
  <c r="A83" i="2"/>
  <c r="A916" i="2"/>
  <c r="A312" i="2"/>
  <c r="A230" i="2"/>
  <c r="A720" i="2"/>
  <c r="A151" i="2"/>
  <c r="A331" i="2"/>
  <c r="A332" i="2"/>
  <c r="A980" i="2"/>
  <c r="A978" i="2"/>
  <c r="A846" i="2"/>
  <c r="A844" i="2"/>
  <c r="A294" i="2"/>
  <c r="A734" i="2"/>
  <c r="A781" i="2"/>
  <c r="A255" i="2"/>
  <c r="A668" i="2"/>
  <c r="A1054" i="2"/>
  <c r="A217" i="2"/>
  <c r="A266" i="2"/>
  <c r="A889" i="2"/>
  <c r="A351" i="2"/>
  <c r="A722" i="2"/>
  <c r="A29" i="2"/>
  <c r="A269" i="2"/>
  <c r="A1069" i="2"/>
  <c r="A521" i="2"/>
  <c r="A908" i="2"/>
  <c r="A157" i="2"/>
  <c r="A402" i="2"/>
  <c r="A125" i="2"/>
  <c r="A864" i="2"/>
  <c r="A314" i="2"/>
  <c r="A921" i="2"/>
  <c r="A738" i="2"/>
  <c r="A1066" i="2"/>
  <c r="A855" i="2"/>
  <c r="A304" i="2"/>
  <c r="A262" i="2"/>
  <c r="A922" i="2"/>
  <c r="A1056" i="2"/>
  <c r="A972" i="2"/>
  <c r="A973" i="2"/>
  <c r="A974" i="2"/>
  <c r="A369" i="2"/>
  <c r="A976" i="2"/>
  <c r="A977" i="2"/>
  <c r="A690" i="2"/>
  <c r="A964" i="2"/>
  <c r="A500" i="2"/>
  <c r="A499" i="2"/>
  <c r="A205" i="2"/>
  <c r="A775" i="2"/>
  <c r="A240" i="2"/>
  <c r="A104" i="2"/>
  <c r="A222" i="2"/>
  <c r="A223" i="2"/>
  <c r="A760" i="2"/>
  <c r="A399" i="2"/>
  <c r="A1040" i="2"/>
  <c r="A838" i="2"/>
  <c r="A839" i="2"/>
  <c r="A350" i="2"/>
  <c r="A753" i="2"/>
  <c r="A437" i="2"/>
  <c r="A323" i="2"/>
  <c r="A835" i="2"/>
  <c r="A998" i="2"/>
  <c r="A597" i="2"/>
  <c r="A603" i="2"/>
  <c r="A1020" i="2"/>
  <c r="A1042" i="2"/>
  <c r="A886" i="2"/>
  <c r="A695" i="2"/>
  <c r="A941" i="2"/>
  <c r="A102" i="2"/>
  <c r="A95" i="2"/>
  <c r="A66" i="2"/>
  <c r="A70" i="2"/>
  <c r="A90" i="2"/>
  <c r="A22" i="2"/>
  <c r="A969" i="2"/>
  <c r="A79" i="2"/>
  <c r="A138" i="2"/>
  <c r="A159" i="2"/>
  <c r="A848" i="2"/>
  <c r="A144" i="2"/>
  <c r="A906" i="2"/>
  <c r="A65" i="2"/>
  <c r="A870" i="2"/>
  <c r="A1047" i="2"/>
  <c r="A984" i="2"/>
  <c r="A986" i="2"/>
  <c r="A474" i="2"/>
  <c r="A339" i="2"/>
  <c r="A957" i="2"/>
  <c r="A1009" i="2"/>
  <c r="A93" i="2"/>
  <c r="A88" i="2"/>
  <c r="A92" i="2"/>
  <c r="A78" i="2"/>
  <c r="A69" i="2"/>
  <c r="A67" i="2"/>
  <c r="A71" i="2"/>
  <c r="A91" i="2"/>
  <c r="A68" i="2"/>
  <c r="A94" i="2"/>
  <c r="A563" i="2"/>
  <c r="A20" i="2"/>
  <c r="A11" i="2"/>
  <c r="A15" i="2"/>
  <c r="A14" i="2"/>
  <c r="A12" i="2"/>
  <c r="A10" i="2"/>
  <c r="A975" i="2"/>
  <c r="A368" i="2"/>
  <c r="A966" i="2"/>
  <c r="A797" i="2"/>
  <c r="A683" i="2"/>
  <c r="A419" i="2"/>
  <c r="A735" i="2"/>
  <c r="A280" i="2"/>
  <c r="A890" i="2"/>
  <c r="A77" i="2"/>
  <c r="A13" i="2"/>
  <c r="A55" i="2"/>
  <c r="A36" i="2"/>
  <c r="A51" i="2"/>
  <c r="A16" i="2"/>
  <c r="A17" i="2"/>
  <c r="A54" i="2"/>
  <c r="A56" i="2"/>
  <c r="A37" i="2"/>
  <c r="A21" i="2"/>
  <c r="A41" i="2"/>
  <c r="A1032" i="2"/>
  <c r="A875" i="2"/>
  <c r="A729" i="2"/>
  <c r="A730" i="2"/>
  <c r="A600" i="2"/>
  <c r="A598" i="2"/>
  <c r="A8" i="2"/>
  <c r="A612" i="2"/>
  <c r="A359" i="2"/>
  <c r="A854" i="2"/>
  <c r="A355" i="2"/>
  <c r="A492" i="2"/>
  <c r="A869" i="2"/>
  <c r="A477" i="2"/>
  <c r="A506" i="2"/>
  <c r="A400" i="2"/>
  <c r="A38" i="2"/>
  <c r="A63" i="2"/>
  <c r="A684" i="2"/>
  <c r="A627" i="2"/>
  <c r="A868" i="2"/>
  <c r="A260" i="2"/>
  <c r="A170" i="2"/>
  <c r="A176" i="2"/>
  <c r="A177" i="2"/>
  <c r="A548" i="2"/>
  <c r="A852" i="2"/>
  <c r="A696" i="2"/>
  <c r="A884" i="2"/>
  <c r="A796" i="2"/>
  <c r="A682" i="2"/>
  <c r="A681" i="2"/>
  <c r="A774" i="2"/>
  <c r="A611" i="2"/>
  <c r="A802" i="2"/>
  <c r="A137" i="2"/>
  <c r="A145" i="2"/>
  <c r="A800" i="2"/>
  <c r="A794" i="2"/>
  <c r="A960" i="2"/>
  <c r="A591" i="2"/>
  <c r="A793" i="2"/>
  <c r="A415" i="2"/>
  <c r="A416" i="2"/>
  <c r="A609" i="2"/>
  <c r="A608" i="2"/>
  <c r="A610" i="2"/>
  <c r="A417" i="2"/>
  <c r="A996" i="2"/>
  <c r="A698" i="2"/>
  <c r="A28" i="2"/>
  <c r="A857" i="2"/>
  <c r="A367" i="2"/>
  <c r="A1045" i="2"/>
  <c r="A833" i="2"/>
  <c r="A967" i="2"/>
  <c r="A971" i="2"/>
  <c r="A982" i="2"/>
  <c r="A987" i="2"/>
  <c r="A983" i="2"/>
  <c r="A985" i="2"/>
  <c r="A979" i="2"/>
  <c r="A965" i="2"/>
  <c r="A472" i="2"/>
  <c r="A624" i="2"/>
  <c r="A694" i="2"/>
  <c r="A370" i="2"/>
  <c r="A356" i="2"/>
  <c r="A691" i="2"/>
  <c r="A418" i="2"/>
  <c r="A1331" i="2"/>
  <c r="A354" i="2"/>
  <c r="A479" i="2"/>
  <c r="A478" i="2"/>
  <c r="A491" i="2"/>
  <c r="A831" i="2"/>
  <c r="A495" i="2"/>
  <c r="A726" i="2"/>
  <c r="A607" i="2"/>
  <c r="A810" i="2"/>
  <c r="A516" i="2"/>
  <c r="A411" i="2"/>
  <c r="A412" i="2"/>
  <c r="A413" i="2"/>
  <c r="A445" i="2"/>
  <c r="A537" i="2"/>
  <c r="A201" i="2"/>
  <c r="A6" i="2"/>
  <c r="A275" i="2"/>
  <c r="A132" i="2"/>
  <c r="A642" i="2"/>
  <c r="A215" i="2"/>
  <c r="A1041" i="2"/>
  <c r="A136" i="2"/>
  <c r="A805" i="2"/>
  <c r="A788" i="2"/>
  <c r="A141" i="2"/>
  <c r="A703" i="2"/>
  <c r="A498" i="2"/>
  <c r="A629" i="2"/>
  <c r="A845" i="2"/>
  <c r="A626" i="2"/>
  <c r="A842" i="2"/>
  <c r="A571" i="2"/>
  <c r="A190" i="2"/>
  <c r="A723" i="2"/>
  <c r="A572" i="2"/>
  <c r="A573" i="2"/>
  <c r="A219" i="2"/>
  <c r="A741" i="2"/>
  <c r="A644" i="2"/>
  <c r="A885" i="2"/>
  <c r="A200" i="2"/>
  <c r="A595" i="2"/>
  <c r="A789" i="2"/>
  <c r="A811" i="2"/>
  <c r="A194" i="2"/>
  <c r="A550" i="2"/>
  <c r="A593" i="2"/>
  <c r="A594" i="2"/>
  <c r="A581" i="2"/>
  <c r="A579" i="2"/>
  <c r="A580" i="2"/>
  <c r="A482" i="2"/>
  <c r="A527" i="2"/>
  <c r="A528" i="2"/>
  <c r="A963" i="2"/>
  <c r="A1024" i="2"/>
  <c r="A187" i="2"/>
  <c r="A809" i="2"/>
  <c r="A220" i="2"/>
  <c r="A169" i="2"/>
  <c r="A517" i="2"/>
  <c r="A360" i="2"/>
  <c r="A208" i="2"/>
  <c r="A303" i="2"/>
  <c r="A825" i="2"/>
  <c r="A496" i="2"/>
  <c r="A660" i="2"/>
  <c r="A745" i="2"/>
  <c r="A574" i="2"/>
  <c r="A575" i="2"/>
  <c r="A576" i="2"/>
  <c r="A1004" i="2"/>
  <c r="A1005" i="2"/>
  <c r="A1006" i="2"/>
  <c r="A1007" i="2"/>
  <c r="A769" i="2"/>
  <c r="A160" i="2"/>
  <c r="A5" i="2"/>
  <c r="A251" i="2"/>
  <c r="A114" i="2"/>
  <c r="A115" i="2"/>
  <c r="A816" i="2"/>
  <c r="A815" i="2"/>
  <c r="A426" i="2"/>
  <c r="A468" i="2"/>
  <c r="A248" i="2"/>
  <c r="A216" i="2"/>
  <c r="A1046" i="2"/>
  <c r="A267" i="2"/>
  <c r="A469" i="2"/>
  <c r="A435" i="2"/>
  <c r="A254" i="2"/>
  <c r="A278" i="2"/>
  <c r="A777" i="2"/>
  <c r="A932" i="2"/>
  <c r="A110" i="2"/>
  <c r="A307" i="2"/>
  <c r="A305" i="2"/>
  <c r="A615" i="2"/>
  <c r="A616" i="2"/>
  <c r="A480" i="2"/>
  <c r="A699" i="2"/>
  <c r="A700" i="2"/>
  <c r="A206" i="2"/>
  <c r="A185" i="2"/>
  <c r="A152" i="2"/>
  <c r="A174" i="2"/>
  <c r="A807" i="2"/>
  <c r="A1027" i="2"/>
  <c r="A193" i="2"/>
  <c r="A246" i="2"/>
  <c r="A1050" i="2"/>
  <c r="A440" i="2"/>
  <c r="A728" i="2"/>
  <c r="A171" i="2"/>
  <c r="A524" i="2"/>
  <c r="A523" i="2"/>
  <c r="A525" i="2"/>
  <c r="A526" i="2"/>
  <c r="A529" i="2"/>
  <c r="A713" i="2"/>
  <c r="A535" i="2"/>
  <c r="A701" i="2"/>
  <c r="A534" i="2"/>
  <c r="A533" i="2"/>
  <c r="A536" i="2"/>
  <c r="A509" i="2"/>
  <c r="A503" i="2"/>
  <c r="A363" i="2"/>
  <c r="A940" i="2"/>
  <c r="A441" i="2"/>
  <c r="A277" i="2"/>
  <c r="A196" i="2"/>
  <c r="A647" i="2"/>
  <c r="A1010" i="2"/>
  <c r="A1016" i="2"/>
  <c r="A1023" i="2"/>
  <c r="A912" i="2"/>
  <c r="A911" i="2"/>
  <c r="A507" i="2"/>
  <c r="A567" i="2"/>
  <c r="A643" i="2"/>
  <c r="A1058" i="2"/>
  <c r="A192" i="2"/>
  <c r="A203" i="2"/>
  <c r="A873" i="2"/>
  <c r="A901" i="2"/>
  <c r="A268" i="2"/>
  <c r="A1000" i="2"/>
  <c r="A366" i="2"/>
  <c r="A237" i="2"/>
  <c r="A715" i="2"/>
  <c r="A1070" i="2"/>
  <c r="A134" i="2"/>
  <c r="A393" i="2"/>
  <c r="A882" i="2"/>
  <c r="A46" i="2"/>
  <c r="A4" i="2"/>
  <c r="A944" i="2"/>
  <c r="A672" i="2"/>
  <c r="A421" i="2"/>
  <c r="A394" i="2"/>
  <c r="A410" i="2"/>
  <c r="A189" i="2"/>
  <c r="A395" i="2"/>
  <c r="A462" i="2"/>
  <c r="A467" i="2"/>
  <c r="A565" i="2"/>
  <c r="A430" i="2"/>
  <c r="A431" i="2"/>
  <c r="A740" i="2"/>
  <c r="A461" i="2"/>
  <c r="A657" i="2"/>
  <c r="A156" i="2"/>
  <c r="A271" i="2"/>
  <c r="A473" i="2"/>
  <c r="A173" i="2"/>
  <c r="A566" i="2"/>
  <c r="A213" i="2"/>
  <c r="A214" i="2"/>
  <c r="A432" i="2"/>
  <c r="A381" i="2"/>
  <c r="A382" i="2"/>
  <c r="A385" i="2"/>
  <c r="A386" i="2"/>
  <c r="A387" i="2"/>
  <c r="A388" i="2"/>
  <c r="A389" i="2"/>
  <c r="A1026" i="2"/>
  <c r="A383" i="2"/>
  <c r="A384" i="2"/>
  <c r="A828" i="2"/>
  <c r="A830" i="2"/>
  <c r="A829" i="2"/>
  <c r="A808" i="2"/>
  <c r="A862" i="2"/>
  <c r="A1028" i="2"/>
  <c r="A883" i="2"/>
  <c r="A714" i="2"/>
  <c r="A782" i="2"/>
  <c r="A783" i="2"/>
  <c r="A784" i="2"/>
  <c r="A785" i="2"/>
  <c r="A786" i="2"/>
  <c r="A62" i="2"/>
  <c r="A1074" i="2"/>
  <c r="A1075" i="2"/>
  <c r="A1076" i="2"/>
  <c r="A1077" i="2"/>
  <c r="A1078" i="2"/>
  <c r="A1079" i="2"/>
  <c r="A1080" i="2"/>
  <c r="A1081" i="2"/>
  <c r="A1082" i="2"/>
  <c r="A1083" i="2"/>
  <c r="A1084" i="2"/>
  <c r="A1085" i="2"/>
  <c r="A1086" i="2"/>
  <c r="A1087" i="2"/>
  <c r="A1088" i="2"/>
  <c r="A1089" i="2"/>
  <c r="A1090" i="2"/>
  <c r="A1091" i="2"/>
  <c r="A1092" i="2"/>
  <c r="A1093" i="2"/>
  <c r="A1094" i="2"/>
  <c r="A1095" i="2"/>
  <c r="A1096" i="2"/>
  <c r="A1097" i="2"/>
  <c r="A1098" i="2"/>
  <c r="A1099" i="2"/>
  <c r="A1100" i="2"/>
  <c r="A1101" i="2"/>
  <c r="A1102" i="2"/>
  <c r="A1103" i="2"/>
  <c r="A1104" i="2"/>
  <c r="A1105" i="2"/>
  <c r="A1106" i="2"/>
  <c r="A1107" i="2"/>
  <c r="A1108" i="2"/>
  <c r="A1109" i="2"/>
  <c r="A1110" i="2"/>
  <c r="A1111" i="2"/>
  <c r="A1112" i="2"/>
  <c r="A1113" i="2"/>
  <c r="A1114" i="2"/>
  <c r="A1115" i="2"/>
  <c r="A1116" i="2"/>
  <c r="A1117" i="2"/>
  <c r="A1118" i="2"/>
  <c r="A1119" i="2"/>
  <c r="A1120" i="2"/>
  <c r="A1121" i="2"/>
  <c r="A1122" i="2"/>
  <c r="A1123" i="2"/>
  <c r="A1124" i="2"/>
  <c r="A1125" i="2"/>
  <c r="A1126" i="2"/>
  <c r="A1127" i="2"/>
  <c r="A1128" i="2"/>
  <c r="A1129" i="2"/>
  <c r="A1130" i="2"/>
  <c r="A1131" i="2"/>
  <c r="A1132" i="2"/>
  <c r="A1133" i="2"/>
  <c r="A1134" i="2"/>
  <c r="A1135" i="2"/>
  <c r="A1136" i="2"/>
  <c r="A1137" i="2"/>
  <c r="A1138" i="2"/>
  <c r="A1139" i="2"/>
  <c r="A1140" i="2"/>
  <c r="A1141" i="2"/>
  <c r="A1142" i="2"/>
  <c r="A1143" i="2"/>
  <c r="A1144" i="2"/>
  <c r="A1145" i="2"/>
  <c r="A1146" i="2"/>
  <c r="A1147" i="2"/>
  <c r="A1148" i="2"/>
  <c r="A1149" i="2"/>
  <c r="A1150" i="2"/>
  <c r="A1151" i="2"/>
  <c r="A1152" i="2"/>
  <c r="A1153" i="2"/>
  <c r="A1154" i="2"/>
  <c r="A1155" i="2"/>
  <c r="A1156" i="2"/>
  <c r="A1157" i="2"/>
  <c r="A1158" i="2"/>
  <c r="A1159" i="2"/>
  <c r="A1160" i="2"/>
  <c r="A1161" i="2"/>
  <c r="A1162" i="2"/>
  <c r="A1163" i="2"/>
  <c r="A1164" i="2"/>
  <c r="A1165" i="2"/>
  <c r="A1166" i="2"/>
  <c r="A1167" i="2"/>
  <c r="A1168" i="2"/>
  <c r="A1169" i="2"/>
  <c r="A1170" i="2"/>
  <c r="A1171" i="2"/>
  <c r="A1172" i="2"/>
  <c r="A1173" i="2"/>
  <c r="A1174" i="2"/>
  <c r="A1175" i="2"/>
  <c r="A1176" i="2"/>
  <c r="A1177" i="2"/>
  <c r="A1178" i="2"/>
  <c r="A1179" i="2"/>
  <c r="A1180" i="2"/>
  <c r="A1181" i="2"/>
  <c r="A1182" i="2"/>
  <c r="A1183" i="2"/>
  <c r="A1184" i="2"/>
  <c r="A1185" i="2"/>
  <c r="A1186" i="2"/>
  <c r="A1187" i="2"/>
  <c r="A1188" i="2"/>
  <c r="A1189" i="2"/>
  <c r="A1190" i="2"/>
  <c r="A1191" i="2"/>
  <c r="A1192" i="2"/>
  <c r="A1193" i="2"/>
  <c r="A1194" i="2"/>
  <c r="A1195" i="2"/>
  <c r="A1196" i="2"/>
  <c r="A1197" i="2"/>
  <c r="A1198" i="2"/>
  <c r="A1199" i="2"/>
  <c r="A1200" i="2"/>
  <c r="A1201" i="2"/>
  <c r="A1202" i="2"/>
  <c r="A1203" i="2"/>
  <c r="A1204" i="2"/>
  <c r="A1205" i="2"/>
  <c r="A1206" i="2"/>
  <c r="A1207" i="2"/>
  <c r="A1208" i="2"/>
  <c r="A1209" i="2"/>
  <c r="A1210" i="2"/>
  <c r="A1211" i="2"/>
  <c r="A1212" i="2"/>
  <c r="A1213" i="2"/>
  <c r="A1214" i="2"/>
  <c r="A1215" i="2"/>
  <c r="A1216" i="2"/>
  <c r="A1217" i="2"/>
  <c r="A1218" i="2"/>
  <c r="A1219" i="2"/>
  <c r="A1220" i="2"/>
  <c r="A1221" i="2"/>
  <c r="A1222" i="2"/>
  <c r="A1223" i="2"/>
  <c r="A1224" i="2"/>
  <c r="A1225" i="2"/>
  <c r="A1226" i="2"/>
  <c r="A1227" i="2"/>
  <c r="A1228" i="2"/>
  <c r="A1229" i="2"/>
  <c r="A1230" i="2"/>
  <c r="A1231" i="2"/>
  <c r="A1232" i="2"/>
  <c r="A1233" i="2"/>
  <c r="A1234" i="2"/>
  <c r="A1235" i="2"/>
  <c r="A1236" i="2"/>
  <c r="A1237" i="2"/>
  <c r="A1238" i="2"/>
  <c r="A1239" i="2"/>
  <c r="A1240" i="2"/>
  <c r="A1241" i="2"/>
  <c r="A1242" i="2"/>
  <c r="A1243" i="2"/>
  <c r="A1244" i="2"/>
  <c r="A1245" i="2"/>
  <c r="A1246" i="2"/>
  <c r="A1247" i="2"/>
  <c r="A1248" i="2"/>
  <c r="A1249" i="2"/>
  <c r="A1250" i="2"/>
  <c r="A1251" i="2"/>
  <c r="A1252" i="2"/>
  <c r="A1253" i="2"/>
  <c r="A1254" i="2"/>
  <c r="A1255" i="2"/>
  <c r="A1256" i="2"/>
  <c r="A1257" i="2"/>
  <c r="A1258" i="2"/>
  <c r="A1259" i="2"/>
  <c r="A1260" i="2"/>
  <c r="A1261" i="2"/>
  <c r="A1262" i="2"/>
  <c r="A1263" i="2"/>
  <c r="A1264" i="2"/>
  <c r="A1265" i="2"/>
  <c r="A1266" i="2"/>
  <c r="A1267" i="2"/>
  <c r="A1268" i="2"/>
  <c r="A1269" i="2"/>
  <c r="A1270" i="2"/>
  <c r="A1271" i="2"/>
  <c r="A1272" i="2"/>
  <c r="A1273" i="2"/>
  <c r="A1274" i="2"/>
  <c r="A1275" i="2"/>
  <c r="A1276" i="2"/>
  <c r="A1277" i="2"/>
  <c r="A1278" i="2"/>
  <c r="A1279" i="2"/>
  <c r="A1280" i="2"/>
  <c r="A1281" i="2"/>
  <c r="A1282" i="2"/>
  <c r="A1283" i="2"/>
  <c r="A1284" i="2"/>
  <c r="A1285" i="2"/>
  <c r="A1286" i="2"/>
  <c r="A1287" i="2"/>
  <c r="A1288" i="2"/>
  <c r="A1289" i="2"/>
  <c r="A1290" i="2"/>
  <c r="A1291" i="2"/>
  <c r="A1292" i="2"/>
  <c r="A1293" i="2"/>
  <c r="A1294" i="2"/>
  <c r="A1295" i="2"/>
  <c r="A1296" i="2"/>
  <c r="A1297" i="2"/>
  <c r="A1298" i="2"/>
  <c r="A1299" i="2"/>
  <c r="A1300" i="2"/>
  <c r="A1301" i="2"/>
  <c r="A1302" i="2"/>
  <c r="A1303" i="2"/>
  <c r="A1304" i="2"/>
  <c r="A1305" i="2"/>
  <c r="A1306" i="2"/>
  <c r="A1307" i="2"/>
  <c r="A1308" i="2"/>
  <c r="A1309" i="2"/>
  <c r="A1310" i="2"/>
  <c r="A1311" i="2"/>
  <c r="A1312" i="2"/>
  <c r="A1313" i="2"/>
  <c r="A1314" i="2"/>
  <c r="A1315" i="2"/>
  <c r="A1316" i="2"/>
  <c r="A1317" i="2"/>
  <c r="A1318" i="2"/>
  <c r="A1319" i="2"/>
  <c r="A1320" i="2"/>
  <c r="A1321" i="2"/>
  <c r="A1322" i="2"/>
  <c r="A1323" i="2"/>
  <c r="A1324" i="2"/>
  <c r="A1325" i="2"/>
  <c r="A1326" i="2"/>
  <c r="A1327" i="2"/>
  <c r="A959" i="2"/>
</calcChain>
</file>

<file path=xl/sharedStrings.xml><?xml version="1.0" encoding="utf-8"?>
<sst xmlns="http://schemas.openxmlformats.org/spreadsheetml/2006/main" count="97838" uniqueCount="20756">
  <si>
    <t>ukbb_std_name</t>
  </si>
  <si>
    <t>ukbb_raw_name</t>
  </si>
  <si>
    <t>outcome</t>
  </si>
  <si>
    <t>bbs_feature_id</t>
  </si>
  <si>
    <t>bbs_chemical_name</t>
  </si>
  <si>
    <t>bbs_pathway</t>
  </si>
  <si>
    <t>bbs_sub_pathway</t>
  </si>
  <si>
    <t>unsure</t>
  </si>
  <si>
    <t>comment</t>
  </si>
  <si>
    <t>3_hydroxybutyrate</t>
  </si>
  <si>
    <t>3-Hydroxybutyrate</t>
  </si>
  <si>
    <t>3-Hydroxybutyrate levels</t>
  </si>
  <si>
    <t>metab_bohbutyrate</t>
  </si>
  <si>
    <t>Ketone bodies</t>
  </si>
  <si>
    <t>acetate</t>
  </si>
  <si>
    <t>Acetate</t>
  </si>
  <si>
    <t>Acetate levels</t>
  </si>
  <si>
    <t>metab_acetate</t>
  </si>
  <si>
    <t>acetoacetate</t>
  </si>
  <si>
    <t>Acetoacetate</t>
  </si>
  <si>
    <t>Acetoacetate levels</t>
  </si>
  <si>
    <t>metab_acetoacetate</t>
  </si>
  <si>
    <t>acetone</t>
  </si>
  <si>
    <t>Acetone</t>
  </si>
  <si>
    <t>Acetone levels</t>
  </si>
  <si>
    <t>metab_acetone</t>
  </si>
  <si>
    <t>alanine</t>
  </si>
  <si>
    <t>Alanine</t>
  </si>
  <si>
    <t>Alanine levels</t>
  </si>
  <si>
    <t>metab_ala</t>
  </si>
  <si>
    <t>Amino acids</t>
  </si>
  <si>
    <t>albumin</t>
  </si>
  <si>
    <t>Albumin</t>
  </si>
  <si>
    <t>Albumin levels</t>
  </si>
  <si>
    <t>metab_albumin</t>
  </si>
  <si>
    <t>Fluid balance</t>
  </si>
  <si>
    <t>apolipoprotein_a1</t>
  </si>
  <si>
    <t>Apolipoprotein A1</t>
  </si>
  <si>
    <t>Apolipoprotein A-I levels</t>
  </si>
  <si>
    <t>metab_apoa1</t>
  </si>
  <si>
    <t>Apolipoprotein A-I</t>
  </si>
  <si>
    <t>Apolipoproteins</t>
  </si>
  <si>
    <t>apolipoprotein_b</t>
  </si>
  <si>
    <t>Apolipoprotein B</t>
  </si>
  <si>
    <t>Apolipoprotein B levels</t>
  </si>
  <si>
    <t>metab_apob</t>
  </si>
  <si>
    <t>apolipoprotein_b_to_apolipoprotein_a1_ratio</t>
  </si>
  <si>
    <t>Apolipoprotein B to Apolipoprotein A1 ratio</t>
  </si>
  <si>
    <t>Ratio of apolipoprotein B to apolipoprotein A1 levels</t>
  </si>
  <si>
    <t>metab_apobapoa1</t>
  </si>
  <si>
    <t>Apolipoprotein B/A-I</t>
  </si>
  <si>
    <t>average_diameter_for_hdl_particles</t>
  </si>
  <si>
    <t>Average Diameter for HDL Particles</t>
  </si>
  <si>
    <t>Mean diameter of HDL particles</t>
  </si>
  <si>
    <t>metab_hdlsize</t>
  </si>
  <si>
    <t>Average diameter for HDL particles</t>
  </si>
  <si>
    <t>Lipoprotein particle sizes</t>
  </si>
  <si>
    <t>average_diameter_for_ldl_particles</t>
  </si>
  <si>
    <t>Average Diameter for LDL Particles</t>
  </si>
  <si>
    <t>Mean diameter of LDL particles</t>
  </si>
  <si>
    <t>metab_ldlsize</t>
  </si>
  <si>
    <t>Average diameter for LDL particles</t>
  </si>
  <si>
    <t>average_diameter_for_vldl_particles</t>
  </si>
  <si>
    <t>Average Diameter for VLDL Particles</t>
  </si>
  <si>
    <t>Mean diameter of VLDL particles</t>
  </si>
  <si>
    <t>metab_vldlsize</t>
  </si>
  <si>
    <t>Average diameter for VLDL particles</t>
  </si>
  <si>
    <t>cholesterol_in_chylomicrons_and_extremely_large_vldl</t>
  </si>
  <si>
    <t>Cholesterol in Chylomicrons and Extremely Large VLDL</t>
  </si>
  <si>
    <t>Total cholesterol levels in chylomicrons and extremely large VLDL</t>
  </si>
  <si>
    <t>metab_xxlvldlc</t>
  </si>
  <si>
    <t>Total cholesterol</t>
  </si>
  <si>
    <t>Lipoprotein subclasses</t>
  </si>
  <si>
    <t>Extremely large VLDL</t>
  </si>
  <si>
    <t>cholesterol_in_idl</t>
  </si>
  <si>
    <t>Cholesterol in IDL</t>
  </si>
  <si>
    <t>Total Cholesterol in IDL</t>
  </si>
  <si>
    <t>metab_idlc</t>
  </si>
  <si>
    <t>IDL</t>
  </si>
  <si>
    <t>cholesterol_in_large_hdl</t>
  </si>
  <si>
    <t>Cholesterol in Large HDL</t>
  </si>
  <si>
    <t>Total cholesterol in large HDL</t>
  </si>
  <si>
    <t>metab_lhdlc</t>
  </si>
  <si>
    <t>Large HDL</t>
  </si>
  <si>
    <t>cholesterol_in_large_ldl</t>
  </si>
  <si>
    <t>Cholesterol in Large LDL</t>
  </si>
  <si>
    <t>Total cholesterol in large LDL</t>
  </si>
  <si>
    <t>metab_lldlc</t>
  </si>
  <si>
    <t>Large LDL</t>
  </si>
  <si>
    <t>cholesterol_in_large_vldl</t>
  </si>
  <si>
    <t>Cholesterol in Large VLDL</t>
  </si>
  <si>
    <t>Total Cholesterol in large VLDL</t>
  </si>
  <si>
    <t>metab_lvldlc</t>
  </si>
  <si>
    <t>Large VLDL</t>
  </si>
  <si>
    <t>cholesterol_in_medium_hdl</t>
  </si>
  <si>
    <t>Cholesterol in Medium HDL</t>
  </si>
  <si>
    <t>Total cholesterol levels in medium HDL</t>
  </si>
  <si>
    <t>metab_mhdlc</t>
  </si>
  <si>
    <t>Medium HDL</t>
  </si>
  <si>
    <t>cholesterol_in_medium_ldl</t>
  </si>
  <si>
    <t>Cholesterol in Medium LDL</t>
  </si>
  <si>
    <t>Total cholesterol in medium LDL</t>
  </si>
  <si>
    <t>metab_mldlc</t>
  </si>
  <si>
    <t>Medium LDL</t>
  </si>
  <si>
    <t>cholesterol_in_medium_vldl</t>
  </si>
  <si>
    <t>Cholesterol in Medium VLDL</t>
  </si>
  <si>
    <t>Total cholesterol in medium VLDL</t>
  </si>
  <si>
    <t>metab_mvldlc</t>
  </si>
  <si>
    <t>Medium VLDL</t>
  </si>
  <si>
    <t>cholesterol_in_small_hdl</t>
  </si>
  <si>
    <t>Cholesterol in Small HDL</t>
  </si>
  <si>
    <t>Total cholesterol levels in small HDL</t>
  </si>
  <si>
    <t>metab_shdlc</t>
  </si>
  <si>
    <t>Small HDL</t>
  </si>
  <si>
    <t>cholesterol_in_small_ldl</t>
  </si>
  <si>
    <t>Cholesterol in Small LDL</t>
  </si>
  <si>
    <t>Total Cholesterol in small LDL</t>
  </si>
  <si>
    <t>metab_sldlc</t>
  </si>
  <si>
    <t>Small LDL</t>
  </si>
  <si>
    <t>cholesterol_in_small_vldl</t>
  </si>
  <si>
    <t>Cholesterol in Small VLDL</t>
  </si>
  <si>
    <t>Total cholesterol in small VLDL</t>
  </si>
  <si>
    <t>metab_svldlc</t>
  </si>
  <si>
    <t>Small VLDL</t>
  </si>
  <si>
    <t>cholesterol_in_very_large_hdl</t>
  </si>
  <si>
    <t>Cholesterol in Very Large HDL</t>
  </si>
  <si>
    <t>Total cholesterol levels in very large HDL</t>
  </si>
  <si>
    <t>metab_xlhdlc</t>
  </si>
  <si>
    <t>Very large HDL</t>
  </si>
  <si>
    <t>cholesterol_in_very_large_vldl</t>
  </si>
  <si>
    <t>Cholesterol in Very Large VLDL</t>
  </si>
  <si>
    <t>Total cholesterol in very large VLDL</t>
  </si>
  <si>
    <t>metab_xlvldlc</t>
  </si>
  <si>
    <t>Very large VLDL</t>
  </si>
  <si>
    <t>cholesterol_in_very_small_vldl</t>
  </si>
  <si>
    <t>Cholesterol in Very Small VLDL</t>
  </si>
  <si>
    <t>Total cholesterol in very small VLDL</t>
  </si>
  <si>
    <t>metab_xsvldlc</t>
  </si>
  <si>
    <t>Very Small VLDL</t>
  </si>
  <si>
    <t>cholesterol_to_total_lipids_in_chylomicrons_and_extremely_large_vldl_percentage</t>
  </si>
  <si>
    <t>Cholesterol to Total Lipids in Chylomicrons and Extremely Large VLDL percentage</t>
  </si>
  <si>
    <t>Total cholesterol to total lipids ratio in chylomicrons and extremely large VLDL</t>
  </si>
  <si>
    <t>metab_xxlvldlcpct</t>
  </si>
  <si>
    <t>Ratio</t>
  </si>
  <si>
    <t>Lipoprotein subclasses ratios</t>
  </si>
  <si>
    <t>Extremely large VLDL ratios</t>
  </si>
  <si>
    <t>cholesterol_to_total_lipids_in_idl_percentage</t>
  </si>
  <si>
    <t>Cholesterol to Total Lipids in IDL percentage</t>
  </si>
  <si>
    <t>Total cholesterol to total lipids ratio in IDL</t>
  </si>
  <si>
    <t>metab_idlcpct</t>
  </si>
  <si>
    <t>IDL ratios</t>
  </si>
  <si>
    <t>cholesterol_to_total_lipids_in_large_hdl_percentage</t>
  </si>
  <si>
    <t>Cholesterol to Total Lipids in Large HDL percentage</t>
  </si>
  <si>
    <t>Total cholesterol to total lipids ratio in large HDL</t>
  </si>
  <si>
    <t>metab_lhdlcpct</t>
  </si>
  <si>
    <t>Large HDL ratios</t>
  </si>
  <si>
    <t>cholesterol_to_total_lipids_in_large_ldl_percentage</t>
  </si>
  <si>
    <t>Cholesterol to Total Lipids in Large LDL percentage</t>
  </si>
  <si>
    <t>Total cholesterol to total lipids ratio in large LDL</t>
  </si>
  <si>
    <t>metab_lldlcpct</t>
  </si>
  <si>
    <t>Large LDL ratios</t>
  </si>
  <si>
    <t>cholesterol_to_total_lipids_in_large_vldl_percentage</t>
  </si>
  <si>
    <t>Cholesterol to Total Lipids in Large VLDL percentage</t>
  </si>
  <si>
    <t>Total cholesterol to total lipids ratio in large VLDL</t>
  </si>
  <si>
    <t>metab_lvldlcpct</t>
  </si>
  <si>
    <t>Large VLDL ratios</t>
  </si>
  <si>
    <t>cholesterol_to_total_lipids_in_medium_hdl_percentage</t>
  </si>
  <si>
    <t>Cholesterol to Total Lipids in Medium HDL percentage</t>
  </si>
  <si>
    <t>Total cholesterol to total lipids ratio in medium HDL</t>
  </si>
  <si>
    <t>metab_mhdlcpct</t>
  </si>
  <si>
    <t>Medium HDL ratios</t>
  </si>
  <si>
    <t>cholesterol_to_total_lipids_in_medium_ldl_percentage</t>
  </si>
  <si>
    <t>Cholesterol to Total Lipids in Medium LDL percentage</t>
  </si>
  <si>
    <t>Total cholesterol to total lipids ratio in medium LDL</t>
  </si>
  <si>
    <t>metab_mldlcpct</t>
  </si>
  <si>
    <t>Medium LDL ratios</t>
  </si>
  <si>
    <t>cholesterol_to_total_lipids_in_medium_vldl_percentage</t>
  </si>
  <si>
    <t>Cholesterol to Total Lipids in Medium VLDL percentage</t>
  </si>
  <si>
    <t>Total cholesterol to total lipids ratio in medium VLDL</t>
  </si>
  <si>
    <t>metab_mvldlcpct</t>
  </si>
  <si>
    <t>Medium VLDL ratios</t>
  </si>
  <si>
    <t>cholesterol_to_total_lipids_in_small_hdl_percentage</t>
  </si>
  <si>
    <t>Cholesterol to Total Lipids in Small HDL percentage</t>
  </si>
  <si>
    <t>Total cholesterol to total lipids ratio in small HDL</t>
  </si>
  <si>
    <t>metab_shdlcpct</t>
  </si>
  <si>
    <t>Small HDL ratios</t>
  </si>
  <si>
    <t>cholesterol_to_total_lipids_in_small_ldl_percentage</t>
  </si>
  <si>
    <t>Cholesterol to Total Lipids in Small LDL percentage</t>
  </si>
  <si>
    <t>Total cholesterol to total lipids ratio in small LDL</t>
  </si>
  <si>
    <t>metab_sldlcpct</t>
  </si>
  <si>
    <t>Small LDL ratios</t>
  </si>
  <si>
    <t>cholesterol_to_total_lipids_in_small_vldl_percentage</t>
  </si>
  <si>
    <t>Cholesterol to Total Lipids in Small VLDL percentage</t>
  </si>
  <si>
    <t>Total cholesterol to total lipids ratio in small VLDL</t>
  </si>
  <si>
    <t>metab_svldlcpct</t>
  </si>
  <si>
    <t>Small VLDL ratios</t>
  </si>
  <si>
    <t>cholesterol_to_total_lipids_in_very_large_hdl_percentage</t>
  </si>
  <si>
    <t>Cholesterol to Total Lipids in Very Large HDL percentage</t>
  </si>
  <si>
    <t>Total cholesterol to total lipids ratio in very large HDL</t>
  </si>
  <si>
    <t>metab_xlhdlcpct</t>
  </si>
  <si>
    <t>Very large HDL ratios</t>
  </si>
  <si>
    <t>cholesterol_to_total_lipids_in_very_large_vldl_percentage</t>
  </si>
  <si>
    <t>Cholesterol to Total Lipids in Very Large VLDL percentage</t>
  </si>
  <si>
    <t>Total cholesterol to total lipids ratio in very large VLDL</t>
  </si>
  <si>
    <t>metab_xlvldlcpct</t>
  </si>
  <si>
    <t>Very large VLDL ratios</t>
  </si>
  <si>
    <t>cholesterol_to_total_lipids_in_very_small_vldl_percentage</t>
  </si>
  <si>
    <t>Cholesterol to Total Lipids in Very Small VLDL percentage</t>
  </si>
  <si>
    <t>Total cholesterol to total lipids ratio in very small VLDL</t>
  </si>
  <si>
    <t>metab_xsvldlcpct</t>
  </si>
  <si>
    <t>Very Small VLDL ratios</t>
  </si>
  <si>
    <t>cholesteryl_esters_in_chylomicrons_and_extremely_large_vldl</t>
  </si>
  <si>
    <t>Cholesteryl Esters in Chylomicrons and Extremely Large VLDL</t>
  </si>
  <si>
    <t>Cholesteryl ester levels in chylomicrons and extremely large VLDL</t>
  </si>
  <si>
    <t>metab_xxlvldlce</t>
  </si>
  <si>
    <t>Cholesterol esters</t>
  </si>
  <si>
    <t>cholesteryl_esters_in_hdl</t>
  </si>
  <si>
    <t>Cholesteryl Esters in HDL</t>
  </si>
  <si>
    <t>metab_hdlce</t>
  </si>
  <si>
    <t>Cholesteryl esters in HDL</t>
  </si>
  <si>
    <t>Cholesteryl esters</t>
  </si>
  <si>
    <t>cholesteryl_esters_in_idl</t>
  </si>
  <si>
    <t>Cholesteryl Esters in IDL</t>
  </si>
  <si>
    <t>Cholesterol esters in IDL</t>
  </si>
  <si>
    <t>metab_idlce</t>
  </si>
  <si>
    <t>cholesteryl_esters_in_large_hdl</t>
  </si>
  <si>
    <t>Cholesteryl Esters in Large HDL</t>
  </si>
  <si>
    <t>Cholesterol esters in large HDL</t>
  </si>
  <si>
    <t>metab_lhdlce</t>
  </si>
  <si>
    <t>cholesteryl_esters_in_large_ldl</t>
  </si>
  <si>
    <t>Cholesteryl Esters in Large LDL</t>
  </si>
  <si>
    <t>Cholesterol esters in large LDL</t>
  </si>
  <si>
    <t>metab_lldlce</t>
  </si>
  <si>
    <t>cholesteryl_esters_in_large_vldl</t>
  </si>
  <si>
    <t>Cholesteryl Esters in Large VLDL</t>
  </si>
  <si>
    <t>Cholesterol esters in large VLDL</t>
  </si>
  <si>
    <t>metab_lvldlce</t>
  </si>
  <si>
    <t>cholesteryl_esters_in_ldl</t>
  </si>
  <si>
    <t>Cholesteryl Esters in LDL</t>
  </si>
  <si>
    <t>metab_ldlce</t>
  </si>
  <si>
    <t>Cholesteryl esters in LDL</t>
  </si>
  <si>
    <t>cholesteryl_esters_in_medium_hdl</t>
  </si>
  <si>
    <t>Cholesteryl Esters in Medium HDL</t>
  </si>
  <si>
    <t>Cholesterol esters in medium HDL</t>
  </si>
  <si>
    <t>metab_mhdlce</t>
  </si>
  <si>
    <t>cholesteryl_esters_in_medium_ldl</t>
  </si>
  <si>
    <t>Cholesteryl Esters in Medium LDL</t>
  </si>
  <si>
    <t>Cholesterol esters in medium LDL</t>
  </si>
  <si>
    <t>metab_mldlce</t>
  </si>
  <si>
    <t>cholesteryl_esters_in_medium_vldl</t>
  </si>
  <si>
    <t>Cholesteryl Esters in Medium VLDL</t>
  </si>
  <si>
    <t>Cholesterol esters in medium VLDL</t>
  </si>
  <si>
    <t>metab_mvldlce</t>
  </si>
  <si>
    <t>cholesteryl_esters_in_small_hdl</t>
  </si>
  <si>
    <t>Cholesteryl Esters in Small HDL</t>
  </si>
  <si>
    <t>Cholesterol esters in small HDL</t>
  </si>
  <si>
    <t>metab_shdlce</t>
  </si>
  <si>
    <t>cholesteryl_esters_in_small_ldl</t>
  </si>
  <si>
    <t>Cholesteryl Esters in Small LDL</t>
  </si>
  <si>
    <t>Cholesterol esters in small LDL</t>
  </si>
  <si>
    <t>metab_sldlce</t>
  </si>
  <si>
    <t>cholesteryl_esters_in_small_vldl</t>
  </si>
  <si>
    <t>Cholesteryl Esters in Small VLDL</t>
  </si>
  <si>
    <t>Cholesterol esters in small VLDL</t>
  </si>
  <si>
    <t>metab_svldlce</t>
  </si>
  <si>
    <t>cholesteryl_esters_in_very_large_hdl</t>
  </si>
  <si>
    <t>Cholesteryl Esters in Very Large HDL</t>
  </si>
  <si>
    <t>Cholesterol esters in very large HDL</t>
  </si>
  <si>
    <t>metab_xlhdlce</t>
  </si>
  <si>
    <t>cholesteryl_esters_in_very_large_vldl</t>
  </si>
  <si>
    <t>Cholesteryl Esters in Very Large VLDL</t>
  </si>
  <si>
    <t>Cholesterol esters in very large VLDL</t>
  </si>
  <si>
    <t>metab_xlvldlce</t>
  </si>
  <si>
    <t>cholesteryl_esters_in_very_small_vldl</t>
  </si>
  <si>
    <t>Cholesteryl Esters in Very Small VLDL</t>
  </si>
  <si>
    <t>Cholesterol esters in very small VLDL</t>
  </si>
  <si>
    <t>metab_xsvldlce</t>
  </si>
  <si>
    <t>cholesteryl_esters_in_vldl</t>
  </si>
  <si>
    <t>Cholesteryl Esters in VLDL</t>
  </si>
  <si>
    <t>metab_vldlce</t>
  </si>
  <si>
    <t>Cholesteryl esters in VLDL</t>
  </si>
  <si>
    <t>cholesteryl_esters_to_total_lipids_in_chylomicrons_and_extremely_large_vldl_percentage</t>
  </si>
  <si>
    <t>Cholesteryl Esters to Total Lipids in Chylomicrons and Extremely Large VLDL percentage</t>
  </si>
  <si>
    <t>Cholesteryl esters to total lipids ratio in chylomicrons and extremely large VLDL</t>
  </si>
  <si>
    <t>metab_xxlvldlcepct</t>
  </si>
  <si>
    <t>cholesteryl_esters_to_total_lipids_in_idl_percentage</t>
  </si>
  <si>
    <t>Cholesteryl Esters to Total Lipids in IDL percentage</t>
  </si>
  <si>
    <t>Cholesteryl esters to total lipids ratio in IDL</t>
  </si>
  <si>
    <t>metab_idlcepct</t>
  </si>
  <si>
    <t>cholesteryl_esters_to_total_lipids_in_large_hdl_percentage</t>
  </si>
  <si>
    <t>Cholesteryl Esters to Total Lipids in Large HDL percentage</t>
  </si>
  <si>
    <t>Cholesteryl esters to total lipids ratio in large HDL</t>
  </si>
  <si>
    <t>metab_lhdlcepct</t>
  </si>
  <si>
    <t>cholesteryl_esters_to_total_lipids_in_large_ldl_percentage</t>
  </si>
  <si>
    <t>Cholesteryl Esters to Total Lipids in Large LDL percentage</t>
  </si>
  <si>
    <t>Cholesteryl esters to total lipids ratio in large LDL</t>
  </si>
  <si>
    <t>metab_lldlcepct</t>
  </si>
  <si>
    <t>cholesteryl_esters_to_total_lipids_in_large_vldl_percentage</t>
  </si>
  <si>
    <t>Cholesteryl Esters to Total Lipids in Large VLDL percentage</t>
  </si>
  <si>
    <t>Cholesteryl esters to total lipids ratio in large VLDL</t>
  </si>
  <si>
    <t>metab_lvldlcepct</t>
  </si>
  <si>
    <t>cholesteryl_esters_to_total_lipids_in_medium_hdl_percentage</t>
  </si>
  <si>
    <t>Cholesteryl Esters to Total Lipids in Medium HDL percentage</t>
  </si>
  <si>
    <t>Cholesteryl esters to total lipids ratio in medium HDL</t>
  </si>
  <si>
    <t>metab_mhdlcepct</t>
  </si>
  <si>
    <t>cholesteryl_esters_to_total_lipids_in_medium_ldl_percentage</t>
  </si>
  <si>
    <t>Cholesteryl Esters to Total Lipids in Medium LDL percentage</t>
  </si>
  <si>
    <t>Cholesteryl esters to total lipids ratio in medium LDL</t>
  </si>
  <si>
    <t>metab_mldlcepct</t>
  </si>
  <si>
    <t>cholesteryl_esters_to_total_lipids_in_medium_vldl_percentage</t>
  </si>
  <si>
    <t>Cholesteryl Esters to Total Lipids in Medium VLDL percentage</t>
  </si>
  <si>
    <t>Cholesteryl esters to total lipids ratio in medium VLDL</t>
  </si>
  <si>
    <t>metab_mvldlcepct</t>
  </si>
  <si>
    <t>cholesteryl_esters_to_total_lipids_in_small_hdl_percentage</t>
  </si>
  <si>
    <t>Cholesteryl Esters to Total Lipids in Small HDL percentage</t>
  </si>
  <si>
    <t>Cholesteryl esters to total lipids ratio in small HDL</t>
  </si>
  <si>
    <t>metab_shdlcepct</t>
  </si>
  <si>
    <t>cholesteryl_esters_to_total_lipids_in_small_ldl_percentage</t>
  </si>
  <si>
    <t>Cholesteryl Esters to Total Lipids in Small LDL percentage</t>
  </si>
  <si>
    <t>Cholesteryl esters to total lipids ratio in small LDL</t>
  </si>
  <si>
    <t>metab_sldlcepct</t>
  </si>
  <si>
    <t>cholesteryl_esters_to_total_lipids_in_small_vldl_percentage</t>
  </si>
  <si>
    <t>Cholesteryl Esters to Total Lipids in Small VLDL percentage</t>
  </si>
  <si>
    <t>Cholesteryl esters to total lipids ratio in small VLDL</t>
  </si>
  <si>
    <t>metab_svldlcepct</t>
  </si>
  <si>
    <t>cholesteryl_esters_to_total_lipids_in_very_large_hdl_percentage</t>
  </si>
  <si>
    <t>Cholesteryl Esters to Total Lipids in Very Large HDL percentage</t>
  </si>
  <si>
    <t>Cholesteryl esters to total lipids ratio in very large HDL</t>
  </si>
  <si>
    <t>metab_xlhdlcepct</t>
  </si>
  <si>
    <t>cholesteryl_esters_to_total_lipids_in_very_large_vldl_percentage</t>
  </si>
  <si>
    <t>Cholesteryl Esters to Total Lipids in Very Large VLDL percentage</t>
  </si>
  <si>
    <t>Cholesteryl esters to total lipids ratio in very large VLDL</t>
  </si>
  <si>
    <t>metab_xlvldlcepct</t>
  </si>
  <si>
    <t>cholesteryl_esters_to_total_lipids_in_very_small_vldl_percentage</t>
  </si>
  <si>
    <t>Cholesteryl Esters to Total Lipids in Very Small VLDL percentage</t>
  </si>
  <si>
    <t>Cholesteryl esters to total lipids ratio in very small VLDL</t>
  </si>
  <si>
    <t>metab_xsvldlcepct</t>
  </si>
  <si>
    <t>citrate</t>
  </si>
  <si>
    <t>Citrate</t>
  </si>
  <si>
    <t>Citrate levels</t>
  </si>
  <si>
    <t>metab_citrate</t>
  </si>
  <si>
    <t>Glycolysis related metabolites</t>
  </si>
  <si>
    <t>clinical_ldl_cholesterol</t>
  </si>
  <si>
    <t>Clinical LDL Cholesterol</t>
  </si>
  <si>
    <t>metab_clinicalldlc</t>
  </si>
  <si>
    <t>Clinical LDL cholesterol</t>
  </si>
  <si>
    <t>Cholesterol</t>
  </si>
  <si>
    <t>concentration_of_chylomicrons_and_extremely_large_vldl_particles</t>
  </si>
  <si>
    <t>Concentration of Chylomicrons and Extremely Large VLDL Particles</t>
  </si>
  <si>
    <t>Concentration of chylomicrons and extremely large VLDL particles</t>
  </si>
  <si>
    <t>metab_xxlvldlp</t>
  </si>
  <si>
    <t>Particle concentration</t>
  </si>
  <si>
    <t>concentration_of_hdl_particles</t>
  </si>
  <si>
    <t>Concentration of HDL Particles</t>
  </si>
  <si>
    <t>metab_hdlp</t>
  </si>
  <si>
    <t>Concentration of HDL particles</t>
  </si>
  <si>
    <t>Lipoprotein particle concentrations</t>
  </si>
  <si>
    <t>concentration_of_idl_particles</t>
  </si>
  <si>
    <t>Concentration of IDL Particles</t>
  </si>
  <si>
    <t>Concentration of IDL particles</t>
  </si>
  <si>
    <t>metab_idlp</t>
  </si>
  <si>
    <t>concentration_of_large_hdl_particles</t>
  </si>
  <si>
    <t>Concentration of Large HDL Particles</t>
  </si>
  <si>
    <t>Concentration of large HDL particles</t>
  </si>
  <si>
    <t>metab_lhdlp</t>
  </si>
  <si>
    <t>concentration_of_large_ldl_particles</t>
  </si>
  <si>
    <t>Concentration of Large LDL Particles</t>
  </si>
  <si>
    <t>Concentration of large LDL particles</t>
  </si>
  <si>
    <t>metab_lldlp</t>
  </si>
  <si>
    <t>concentration_of_large_vldl_particles</t>
  </si>
  <si>
    <t>Concentration of Large VLDL Particles</t>
  </si>
  <si>
    <t>Concentration of large VLDL particles</t>
  </si>
  <si>
    <t>metab_lvldlp</t>
  </si>
  <si>
    <t>concentration_of_ldl_particles</t>
  </si>
  <si>
    <t>Concentration of LDL Particles</t>
  </si>
  <si>
    <t>metab_ldlp</t>
  </si>
  <si>
    <t>Concentration of LDL particles</t>
  </si>
  <si>
    <t>concentration_of_medium_hdl_particles</t>
  </si>
  <si>
    <t>Concentration of Medium HDL Particles</t>
  </si>
  <si>
    <t>Concentration of medium HDL particles</t>
  </si>
  <si>
    <t>metab_mhdlp</t>
  </si>
  <si>
    <t>concentration_of_medium_ldl_particles</t>
  </si>
  <si>
    <t>Concentration of Medium LDL Particles</t>
  </si>
  <si>
    <t>Concentration of medium LDL particles</t>
  </si>
  <si>
    <t>metab_mldlp</t>
  </si>
  <si>
    <t>concentration_of_medium_vldl_particles</t>
  </si>
  <si>
    <t>Concentration of Medium VLDL Particles</t>
  </si>
  <si>
    <t>Concentration of medium VLDL particles</t>
  </si>
  <si>
    <t>metab_mvldlp</t>
  </si>
  <si>
    <t>concentration_of_small_hdl_particles</t>
  </si>
  <si>
    <t>Concentration of Small HDL Particles</t>
  </si>
  <si>
    <t>Concentration of small HDL particles</t>
  </si>
  <si>
    <t>metab_shdlp</t>
  </si>
  <si>
    <t>concentration_of_small_ldl_particles</t>
  </si>
  <si>
    <t>Concentration of Small LDL Particles</t>
  </si>
  <si>
    <t>Concentration of small LDL particles</t>
  </si>
  <si>
    <t>metab_sldlp</t>
  </si>
  <si>
    <t>concentration_of_small_vldl_particles</t>
  </si>
  <si>
    <t>Concentration of Small VLDL Particles</t>
  </si>
  <si>
    <t>Concentration of small VLDL particles</t>
  </si>
  <si>
    <t>metab_svldlp</t>
  </si>
  <si>
    <t>concentration_of_very_large_hdl_particles</t>
  </si>
  <si>
    <t>Concentration of Very Large HDL Particles</t>
  </si>
  <si>
    <t>Concentration of very large HDL particles</t>
  </si>
  <si>
    <t>metab_xlhdlp</t>
  </si>
  <si>
    <t>concentration_of_very_large_vldl_particles</t>
  </si>
  <si>
    <t>Concentration of Very Large VLDL Particles</t>
  </si>
  <si>
    <t>Concentration of very large VLDL particles</t>
  </si>
  <si>
    <t>metab_xlvldlp</t>
  </si>
  <si>
    <t>concentration_of_very_small_vldl_particles</t>
  </si>
  <si>
    <t>Concentration of Very Small VLDL Particles</t>
  </si>
  <si>
    <t>Concentration of very small VLDL particles</t>
  </si>
  <si>
    <t>metab_xsvldlp</t>
  </si>
  <si>
    <t>concentration_of_vldl_particles</t>
  </si>
  <si>
    <t>Concentration of VLDL Particles</t>
  </si>
  <si>
    <t>metab_vldlp</t>
  </si>
  <si>
    <t>Concentration of VLDL particles</t>
  </si>
  <si>
    <t>creatinine</t>
  </si>
  <si>
    <t>Creatinine</t>
  </si>
  <si>
    <t>Creatinine levels</t>
  </si>
  <si>
    <t>metab_creatinine</t>
  </si>
  <si>
    <t>degree_of_unsaturation</t>
  </si>
  <si>
    <t>Degree of Unsaturation</t>
  </si>
  <si>
    <t>Estimated degree of unsaturation</t>
  </si>
  <si>
    <t>metab_unsaturation</t>
  </si>
  <si>
    <t>Degree of unsaturation</t>
  </si>
  <si>
    <t>Fatty acids</t>
  </si>
  <si>
    <t>docosahexaenoic_acid</t>
  </si>
  <si>
    <t>Docosahexaenoic Acid</t>
  </si>
  <si>
    <t>Docosahexaenoic acid (22:6) levels</t>
  </si>
  <si>
    <t>metab_dha</t>
  </si>
  <si>
    <t>Docosahexaenoic acid</t>
  </si>
  <si>
    <t>docosahexaenoic_acid_to_total_fatty_acids_percentage</t>
  </si>
  <si>
    <t>Docosahexaenoic Acid to Total Fatty Acids percentage</t>
  </si>
  <si>
    <t>Ratio of 22:6 docosahexaenoic acid to total fatty acids</t>
  </si>
  <si>
    <t>metab_dhapct</t>
  </si>
  <si>
    <t>Ratio of docosahexaenoic acid to total fatty acids</t>
  </si>
  <si>
    <t>Fatty acid ratios</t>
  </si>
  <si>
    <t>free_cholesterol_in_chylomicrons_and_extremely_large_vldl</t>
  </si>
  <si>
    <t>Free Cholesterol in Chylomicrons and Extremely Large VLDL</t>
  </si>
  <si>
    <t>Free cholesterol levels in chylomicrons and extremely large VLDL</t>
  </si>
  <si>
    <t>metab_xxlvldlfc</t>
  </si>
  <si>
    <t>Free cholesterol</t>
  </si>
  <si>
    <t>free_cholesterol_in_hdl</t>
  </si>
  <si>
    <t>Free Cholesterol in HDL</t>
  </si>
  <si>
    <t>metab_hdlfc</t>
  </si>
  <si>
    <t>Free cholesterol in HDL</t>
  </si>
  <si>
    <t>free_cholesterol_in_idl</t>
  </si>
  <si>
    <t>Free Cholesterol in IDL</t>
  </si>
  <si>
    <t>Free cholesterol in IDL</t>
  </si>
  <si>
    <t>metab_idlfc</t>
  </si>
  <si>
    <t>free_cholesterol_in_large_hdl</t>
  </si>
  <si>
    <t>Free Cholesterol in Large HDL</t>
  </si>
  <si>
    <t>Free cholesterol in large HDL</t>
  </si>
  <si>
    <t>metab_lhdlfc</t>
  </si>
  <si>
    <t>free_cholesterol_in_large_ldl</t>
  </si>
  <si>
    <t>Free Cholesterol in Large LDL</t>
  </si>
  <si>
    <t>Free cholesterol in large LDL</t>
  </si>
  <si>
    <t>metab_lldlfc</t>
  </si>
  <si>
    <t>free_cholesterol_in_large_vldl</t>
  </si>
  <si>
    <t>Free Cholesterol in Large VLDL</t>
  </si>
  <si>
    <t>Free cholesterol in large VLDL</t>
  </si>
  <si>
    <t>metab_lvldlfc</t>
  </si>
  <si>
    <t>free_cholesterol_in_ldl</t>
  </si>
  <si>
    <t>Free Cholesterol in LDL</t>
  </si>
  <si>
    <t>metab_ldlfc</t>
  </si>
  <si>
    <t>Free cholesterol in LDL</t>
  </si>
  <si>
    <t>free_cholesterol_in_medium_hdl</t>
  </si>
  <si>
    <t>Free Cholesterol in Medium HDL</t>
  </si>
  <si>
    <t>Free cholesterol in medium HDL</t>
  </si>
  <si>
    <t>metab_mhdlfc</t>
  </si>
  <si>
    <t>free_cholesterol_in_medium_ldl</t>
  </si>
  <si>
    <t>Free Cholesterol in Medium LDL</t>
  </si>
  <si>
    <t>Free cholesterol in medium LDL</t>
  </si>
  <si>
    <t>metab_mldlfc</t>
  </si>
  <si>
    <t>free_cholesterol_in_medium_vldl</t>
  </si>
  <si>
    <t>Free Cholesterol in Medium VLDL</t>
  </si>
  <si>
    <t>Free cholesterol in medium VLDL</t>
  </si>
  <si>
    <t>metab_mvldlfc</t>
  </si>
  <si>
    <t>free_cholesterol_in_small_hdl</t>
  </si>
  <si>
    <t>Free Cholesterol in Small HDL</t>
  </si>
  <si>
    <t>Free cholesterol in small HDL</t>
  </si>
  <si>
    <t>metab_shdlfc</t>
  </si>
  <si>
    <t>free_cholesterol_in_small_ldl</t>
  </si>
  <si>
    <t>Free Cholesterol in Small LDL</t>
  </si>
  <si>
    <t>Free cholesterol in small LDL</t>
  </si>
  <si>
    <t>metab_sldlfc</t>
  </si>
  <si>
    <t>free_cholesterol_in_small_vldl</t>
  </si>
  <si>
    <t>Free Cholesterol in Small VLDL</t>
  </si>
  <si>
    <t>Free cholesterol in small VLDL</t>
  </si>
  <si>
    <t>metab_svldlfc</t>
  </si>
  <si>
    <t>free_cholesterol_in_very_large_hdl</t>
  </si>
  <si>
    <t>Free Cholesterol in Very Large HDL</t>
  </si>
  <si>
    <t>Free cholesterol in very large HDL</t>
  </si>
  <si>
    <t>metab_xlhdlfc</t>
  </si>
  <si>
    <t>free_cholesterol_in_very_large_vldl</t>
  </si>
  <si>
    <t>Free Cholesterol in Very Large VLDL</t>
  </si>
  <si>
    <t>Free cholesterol in very large VLDL</t>
  </si>
  <si>
    <t>metab_xlvldlfc</t>
  </si>
  <si>
    <t>free_cholesterol_in_very_small_vldl</t>
  </si>
  <si>
    <t>Free Cholesterol in Very Small VLDL</t>
  </si>
  <si>
    <t>Free cholesterol in very small VLDL</t>
  </si>
  <si>
    <t>metab_xsvldlfc</t>
  </si>
  <si>
    <t>free_cholesterol_in_vldl</t>
  </si>
  <si>
    <t>Free Cholesterol in VLDL</t>
  </si>
  <si>
    <t>metab_vldlfc</t>
  </si>
  <si>
    <t>Free cholesterol in VLDL</t>
  </si>
  <si>
    <t>free_cholesterol_to_total_lipids_in_chylomicrons_and_extremely_large_vldl_percentage</t>
  </si>
  <si>
    <t>Free Cholesterol to Total Lipids in Chylomicrons and Extremely Large VLDL percentage</t>
  </si>
  <si>
    <t>Free cholesterol to total lipids ratio in chylomicrons and extremely large VLDL</t>
  </si>
  <si>
    <t>metab_xxlvldlfcpct</t>
  </si>
  <si>
    <t>free_cholesterol_to_total_lipids_in_idl_percentage</t>
  </si>
  <si>
    <t>Free Cholesterol to Total Lipids in IDL percentage</t>
  </si>
  <si>
    <t>Free cholesterol to total lipids ratio in IDL</t>
  </si>
  <si>
    <t>metab_idlfcpct</t>
  </si>
  <si>
    <t>free_cholesterol_to_total_lipids_in_large_hdl_percentage</t>
  </si>
  <si>
    <t>Free Cholesterol to Total Lipids in Large HDL percentage</t>
  </si>
  <si>
    <t>Free cholesterol to total lipids ratio in large HDL</t>
  </si>
  <si>
    <t>metab_lhdlfcpct</t>
  </si>
  <si>
    <t>free_cholesterol_to_total_lipids_in_large_ldl_percentage</t>
  </si>
  <si>
    <t>Free Cholesterol to Total Lipids in Large LDL percentage</t>
  </si>
  <si>
    <t>Free cholesterol to total lipids ratio in large LDL</t>
  </si>
  <si>
    <t>metab_lldlfcpct</t>
  </si>
  <si>
    <t>free_cholesterol_to_total_lipids_in_large_vldl_percentage</t>
  </si>
  <si>
    <t>Free Cholesterol to Total Lipids in Large VLDL percentage</t>
  </si>
  <si>
    <t>Free cholesterol to total lipids ratio in large VLDL</t>
  </si>
  <si>
    <t>metab_lvldlfcpct</t>
  </si>
  <si>
    <t>free_cholesterol_to_total_lipids_in_medium_hdl_percentage</t>
  </si>
  <si>
    <t>Free Cholesterol to Total Lipids in Medium HDL percentage</t>
  </si>
  <si>
    <t>Free cholesterol to total lipids ratio in medium HDL</t>
  </si>
  <si>
    <t>metab_mhdlfcpct</t>
  </si>
  <si>
    <t>free_cholesterol_to_total_lipids_in_medium_ldl_percentage</t>
  </si>
  <si>
    <t>Free Cholesterol to Total Lipids in Medium LDL percentage</t>
  </si>
  <si>
    <t>Free cholesterol to total lipids ratio in medium LDL</t>
  </si>
  <si>
    <t>metab_mldlfcpct</t>
  </si>
  <si>
    <t>free_cholesterol_to_total_lipids_in_medium_vldl_percentage</t>
  </si>
  <si>
    <t>Free Cholesterol to Total Lipids in Medium VLDL percentage</t>
  </si>
  <si>
    <t>Free cholesterol to total lipids ratio in medium VLDL</t>
  </si>
  <si>
    <t>metab_mvldlfcpct</t>
  </si>
  <si>
    <t>free_cholesterol_to_total_lipids_in_small_hdl_percentage</t>
  </si>
  <si>
    <t>Free Cholesterol to Total Lipids in Small HDL percentage</t>
  </si>
  <si>
    <t>Free cholesterol to total lipids ratio in small HDL</t>
  </si>
  <si>
    <t>metab_shdlfcpct</t>
  </si>
  <si>
    <t>free_cholesterol_to_total_lipids_in_small_ldl_percentage</t>
  </si>
  <si>
    <t>Free Cholesterol to Total Lipids in Small LDL percentage</t>
  </si>
  <si>
    <t>Free cholesterol to total lipids ratio in small LDL</t>
  </si>
  <si>
    <t>metab_sldlfcpct</t>
  </si>
  <si>
    <t>free_cholesterol_to_total_lipids_in_small_vldl_percentage</t>
  </si>
  <si>
    <t>Free Cholesterol to Total Lipids in Small VLDL percentage</t>
  </si>
  <si>
    <t>Free cholesterol to total lipids ratio in small VLDL</t>
  </si>
  <si>
    <t>metab_svldlfcpct</t>
  </si>
  <si>
    <t>free_cholesterol_to_total_lipids_in_very_large_hdl_percentage</t>
  </si>
  <si>
    <t>Free Cholesterol to Total Lipids in Very Large HDL percentage</t>
  </si>
  <si>
    <t>Free cholesterol to total lipids ratio in very large HDL</t>
  </si>
  <si>
    <t>metab_xlhdlfcpct</t>
  </si>
  <si>
    <t>free_cholesterol_to_total_lipids_in_very_large_vldl_percentage</t>
  </si>
  <si>
    <t>Free Cholesterol to Total Lipids in Very Large VLDL percentage</t>
  </si>
  <si>
    <t>Free cholesterol to total lipids ratio in very large VLDL</t>
  </si>
  <si>
    <t>metab_xlvldlfcpct</t>
  </si>
  <si>
    <t>free_cholesterol_to_total_lipids_in_very_small_vldl_percentage</t>
  </si>
  <si>
    <t>Free Cholesterol to Total Lipids in Very Small VLDL percentage</t>
  </si>
  <si>
    <t>Free cholesterol to total lipids ratio in very small VLDL</t>
  </si>
  <si>
    <t>metab_xsvldlfcpct</t>
  </si>
  <si>
    <t>glucose</t>
  </si>
  <si>
    <t>Glucose</t>
  </si>
  <si>
    <t>Glucose levels</t>
  </si>
  <si>
    <t>metab_glucose</t>
  </si>
  <si>
    <t>glutamine</t>
  </si>
  <si>
    <t>Glutamine</t>
  </si>
  <si>
    <t>Glutamine levels</t>
  </si>
  <si>
    <t>metab_gln</t>
  </si>
  <si>
    <t>glycine</t>
  </si>
  <si>
    <t>Glycine</t>
  </si>
  <si>
    <t>Glycine levels</t>
  </si>
  <si>
    <t>metab_gly</t>
  </si>
  <si>
    <t>glycoprotein_acetyls</t>
  </si>
  <si>
    <t>Glycoprotein Acetyls</t>
  </si>
  <si>
    <t>Glycoprotein acetylation</t>
  </si>
  <si>
    <t>metab_glyca</t>
  </si>
  <si>
    <t>Glycoprotein acetyls</t>
  </si>
  <si>
    <t>Inflammation</t>
  </si>
  <si>
    <t>hdl_cholesterol</t>
  </si>
  <si>
    <t>HDL Cholesterol</t>
  </si>
  <si>
    <t>metab_hdlc</t>
  </si>
  <si>
    <t>HDL C</t>
  </si>
  <si>
    <t>histidine</t>
  </si>
  <si>
    <t>Histidine</t>
  </si>
  <si>
    <t>Histidine levels</t>
  </si>
  <si>
    <t>metab_his</t>
  </si>
  <si>
    <t>isoleucine</t>
  </si>
  <si>
    <t>Isoleucine</t>
  </si>
  <si>
    <t>Isoleucine levels</t>
  </si>
  <si>
    <t>metab_ile</t>
  </si>
  <si>
    <t>Branched-chain amino acids</t>
  </si>
  <si>
    <t>lactate</t>
  </si>
  <si>
    <t>Lactate</t>
  </si>
  <si>
    <t>Lactate levels</t>
  </si>
  <si>
    <t>metab_lactate</t>
  </si>
  <si>
    <t>ldl_cholesterol</t>
  </si>
  <si>
    <t>LDL Cholesterol</t>
  </si>
  <si>
    <t>metab_ldlc</t>
  </si>
  <si>
    <t>LDL C</t>
  </si>
  <si>
    <t>leucine</t>
  </si>
  <si>
    <t>Leucine</t>
  </si>
  <si>
    <t>Leucine levels</t>
  </si>
  <si>
    <t>metab_leu</t>
  </si>
  <si>
    <t>linoleic_acid</t>
  </si>
  <si>
    <t>Linoleic Acid</t>
  </si>
  <si>
    <t>Linoleic acid (18:2) levels</t>
  </si>
  <si>
    <t>metab_la</t>
  </si>
  <si>
    <t>Linoleic acid</t>
  </si>
  <si>
    <t>linoleic_acid_to_total_fatty_acids_percentage</t>
  </si>
  <si>
    <t>Linoleic Acid to Total Fatty Acids percentage</t>
  </si>
  <si>
    <t>Ratio of 18:2 linoleic acid to total fatty acids</t>
  </si>
  <si>
    <t>metab_lapct</t>
  </si>
  <si>
    <t>Ratio of linoleic acid to total fatty acids</t>
  </si>
  <si>
    <t>monounsaturated_fatty_acids</t>
  </si>
  <si>
    <t>Monounsaturated Fatty Acids</t>
  </si>
  <si>
    <t>Monounsaturated fatty acids (16:1, 18:1) levels</t>
  </si>
  <si>
    <t>metab_mufa</t>
  </si>
  <si>
    <t>MUFA</t>
  </si>
  <si>
    <t>monounsaturated_fatty_acids_to_total_fatty_acids_percentage</t>
  </si>
  <si>
    <t>Monounsaturated Fatty Acids to Total Fatty Acids percentage</t>
  </si>
  <si>
    <t>Ratio of monounsaturated fatty acids to total fatty acids</t>
  </si>
  <si>
    <t>metab_mufapct</t>
  </si>
  <si>
    <t>omega_3_fatty_acids</t>
  </si>
  <si>
    <t>Omega-3 Fatty Acids</t>
  </si>
  <si>
    <t>Omega-3 fatty acids levels</t>
  </si>
  <si>
    <t>metab_omega3</t>
  </si>
  <si>
    <t>Omega-3 fatty acids</t>
  </si>
  <si>
    <t>omega_3_fatty_acids_to_total_fatty_acids_percentage</t>
  </si>
  <si>
    <t>Omega-3 Fatty Acids to Total Fatty Acids percentage</t>
  </si>
  <si>
    <t>Ratio of omega-3 fatty acids to total fatty acids</t>
  </si>
  <si>
    <t>metab_omega3pct</t>
  </si>
  <si>
    <t>omega_6_fatty_acids</t>
  </si>
  <si>
    <t>Omega-6 Fatty Acids</t>
  </si>
  <si>
    <t>Omega-6 fatty acids levels</t>
  </si>
  <si>
    <t>metab_omega6</t>
  </si>
  <si>
    <t>Omega-6 fatty acids</t>
  </si>
  <si>
    <t>omega_6_fatty_acids_to_omega_3_fatty_acids_ratio</t>
  </si>
  <si>
    <t>Omega-6 Fatty Acids to Omega-3 Fatty Acids ratio</t>
  </si>
  <si>
    <t>metab_omega6omega3</t>
  </si>
  <si>
    <t>Ratio of omega-6 fatty acids to omega-3 fatty acids</t>
  </si>
  <si>
    <t>omega_6_fatty_acids_to_total_fatty_acids_percentage</t>
  </si>
  <si>
    <t>Omega-6 Fatty Acids to Total Fatty Acids percentage</t>
  </si>
  <si>
    <t>Ratio of omega-6 fatty acids to total fatty acids</t>
  </si>
  <si>
    <t>metab_omega6pct</t>
  </si>
  <si>
    <t>phenylalanine</t>
  </si>
  <si>
    <t>Phenylalanine</t>
  </si>
  <si>
    <t>Phenylalanine levels</t>
  </si>
  <si>
    <t>metab_phe</t>
  </si>
  <si>
    <t>Aromatic amino acids</t>
  </si>
  <si>
    <t>phosphatidylcholines</t>
  </si>
  <si>
    <t>Phosphatidylcholines</t>
  </si>
  <si>
    <t>Phosphatidylcholine and other choline levels</t>
  </si>
  <si>
    <t>metab_phosphatidylc</t>
  </si>
  <si>
    <t>Other lipids</t>
  </si>
  <si>
    <t>phosphoglycerides</t>
  </si>
  <si>
    <t>Phosphoglycerides</t>
  </si>
  <si>
    <t>Total phosphoglycerides levels</t>
  </si>
  <si>
    <t>metab_phosphoglyc</t>
  </si>
  <si>
    <t>phospholipids_in_chylomicrons_and_extremely_large_vldl</t>
  </si>
  <si>
    <t>Phospholipids in Chylomicrons and Extremely Large VLDL</t>
  </si>
  <si>
    <t>Phospholipid levels in chylomicrons and extremely large VLDL</t>
  </si>
  <si>
    <t>metab_xxlvldlpl</t>
  </si>
  <si>
    <t>Phospholipids</t>
  </si>
  <si>
    <t>no mention of chylomicrons</t>
  </si>
  <si>
    <t>phospholipids_in_hdl</t>
  </si>
  <si>
    <t>Phospholipids in HDL</t>
  </si>
  <si>
    <t>metab_hdlpl</t>
  </si>
  <si>
    <t>phospholipids_in_idl</t>
  </si>
  <si>
    <t>Phospholipids in IDL</t>
  </si>
  <si>
    <t>metab_idlpl</t>
  </si>
  <si>
    <t>phospholipids_in_large_hdl</t>
  </si>
  <si>
    <t>Phospholipids in Large HDL</t>
  </si>
  <si>
    <t>Phospholipids in large HDL</t>
  </si>
  <si>
    <t>metab_lhdlpl</t>
  </si>
  <si>
    <t>phospholipids_in_large_ldl</t>
  </si>
  <si>
    <t>Phospholipids in Large LDL</t>
  </si>
  <si>
    <t>Phospholipids in large LDL</t>
  </si>
  <si>
    <t>metab_lldlpl</t>
  </si>
  <si>
    <t>phospholipids_in_large_vldl</t>
  </si>
  <si>
    <t>Phospholipids in Large VLDL</t>
  </si>
  <si>
    <t>Phospholipids in large VLDL</t>
  </si>
  <si>
    <t>metab_lvldlpl</t>
  </si>
  <si>
    <t>phospholipids_in_ldl</t>
  </si>
  <si>
    <t>Phospholipids in LDL</t>
  </si>
  <si>
    <t>metab_ldlpl</t>
  </si>
  <si>
    <t>phospholipids_in_medium_hdl</t>
  </si>
  <si>
    <t>Phospholipids in Medium HDL</t>
  </si>
  <si>
    <t>Phospholipids in medium HDL</t>
  </si>
  <si>
    <t>metab_mhdlpl</t>
  </si>
  <si>
    <t>phospholipids_in_medium_ldl</t>
  </si>
  <si>
    <t>Phospholipids in Medium LDL</t>
  </si>
  <si>
    <t>Phospholipids in medium LDL</t>
  </si>
  <si>
    <t>metab_mldlpl</t>
  </si>
  <si>
    <t>phospholipids_in_medium_vldl</t>
  </si>
  <si>
    <t>Phospholipids in Medium VLDL</t>
  </si>
  <si>
    <t>Phospholipids in medium VLDL</t>
  </si>
  <si>
    <t>metab_mvldlpl</t>
  </si>
  <si>
    <t>phospholipids_in_small_hdl</t>
  </si>
  <si>
    <t>Phospholipids in Small HDL</t>
  </si>
  <si>
    <t>Phospholipids in small HDL</t>
  </si>
  <si>
    <t>metab_shdlpl</t>
  </si>
  <si>
    <t>phospholipids_in_small_ldl</t>
  </si>
  <si>
    <t>Phospholipids in Small LDL</t>
  </si>
  <si>
    <t>Phospholipids in small LDL</t>
  </si>
  <si>
    <t>metab_sldlpl</t>
  </si>
  <si>
    <t>phospholipids_in_small_vldl</t>
  </si>
  <si>
    <t>Phospholipids in Small VLDL</t>
  </si>
  <si>
    <t>Phospholipids in small VLDL</t>
  </si>
  <si>
    <t>metab_svldlpl</t>
  </si>
  <si>
    <t>phospholipids_in_very_large_hdl</t>
  </si>
  <si>
    <t>Phospholipids in Very Large HDL</t>
  </si>
  <si>
    <t>Phospholipids in very large HDL</t>
  </si>
  <si>
    <t>metab_xlhdlpl</t>
  </si>
  <si>
    <t>phospholipids_in_very_large_vldl</t>
  </si>
  <si>
    <t>Phospholipids in Very Large VLDL</t>
  </si>
  <si>
    <t>Phospholipids in very large VLDL</t>
  </si>
  <si>
    <t>metab_xlvldlpl</t>
  </si>
  <si>
    <t>phospholipids_in_very_small_vldl</t>
  </si>
  <si>
    <t>Phospholipids in Very Small VLDL</t>
  </si>
  <si>
    <t>Phospholipids in very small VLDL</t>
  </si>
  <si>
    <t>metab_xsvldlpl</t>
  </si>
  <si>
    <t>phospholipids_in_vldl</t>
  </si>
  <si>
    <t>Phospholipids in VLDL</t>
  </si>
  <si>
    <t>metab_vldlpl</t>
  </si>
  <si>
    <t>phospholipids_to_total_lipids_in_chylomicrons_and_extremely_large_vldl_percentage</t>
  </si>
  <si>
    <t>Phospholipids to Total Lipids in Chylomicrons and Extremely Large VLDL percentage</t>
  </si>
  <si>
    <t>Phospholipids to total lipids ratio in chylomicrons and extremely large VLDL</t>
  </si>
  <si>
    <t>metab_xxlvldlplpct</t>
  </si>
  <si>
    <t>phospholipids_to_total_lipids_in_idl_percentage</t>
  </si>
  <si>
    <t>Phospholipids to Total Lipids in IDL percentage</t>
  </si>
  <si>
    <t>Phospholipids to total lipids ratio in IDL</t>
  </si>
  <si>
    <t>metab_idlplpct</t>
  </si>
  <si>
    <t>phospholipids_to_total_lipids_in_large_hdl_percentage</t>
  </si>
  <si>
    <t>Phospholipids to Total Lipids in Large HDL percentage</t>
  </si>
  <si>
    <t>Phospholipids to total lipids ratio in large HDL</t>
  </si>
  <si>
    <t>metab_lhdlplpct</t>
  </si>
  <si>
    <t>phospholipids_to_total_lipids_in_large_ldl_percentage</t>
  </si>
  <si>
    <t>Phospholipids to Total Lipids in Large LDL percentage</t>
  </si>
  <si>
    <t>Phospholipids to total lipids ratio in large LDL</t>
  </si>
  <si>
    <t>metab_lldlplpct</t>
  </si>
  <si>
    <t>phospholipids_to_total_lipids_in_large_vldl_percentage</t>
  </si>
  <si>
    <t>Phospholipids to Total Lipids in Large VLDL percentage</t>
  </si>
  <si>
    <t>Phospholipids to total lipids ratio in large VLDL</t>
  </si>
  <si>
    <t>metab_lvldlplpct</t>
  </si>
  <si>
    <t>phospholipids_to_total_lipids_in_medium_hdl_percentage</t>
  </si>
  <si>
    <t>Phospholipids to Total Lipids in Medium HDL percentage</t>
  </si>
  <si>
    <t>Phospholipids to total lipids ratio in medium HDL</t>
  </si>
  <si>
    <t>metab_mhdlplpct</t>
  </si>
  <si>
    <t>phospholipids_to_total_lipids_in_medium_ldl_percentage</t>
  </si>
  <si>
    <t>Phospholipids to Total Lipids in Medium LDL percentage</t>
  </si>
  <si>
    <t>Phospholipids to total lipids ratio in medium LDL</t>
  </si>
  <si>
    <t>metab_mldlplpct</t>
  </si>
  <si>
    <t>phospholipids_to_total_lipids_in_medium_vldl_percentage</t>
  </si>
  <si>
    <t>Phospholipids to Total Lipids in Medium VLDL percentage</t>
  </si>
  <si>
    <t>Phospholipids to total lipids ratio in medium VLDL</t>
  </si>
  <si>
    <t>metab_mvldlplpct</t>
  </si>
  <si>
    <t>phospholipids_to_total_lipids_in_small_hdl_percentage</t>
  </si>
  <si>
    <t>Phospholipids to Total Lipids in Small HDL percentage</t>
  </si>
  <si>
    <t>Phospholipids to total lipids ratio in small HDL</t>
  </si>
  <si>
    <t>metab_shdlplpct</t>
  </si>
  <si>
    <t>phospholipids_to_total_lipids_in_small_ldl_percentage</t>
  </si>
  <si>
    <t>Phospholipids to Total Lipids in Small LDL percentage</t>
  </si>
  <si>
    <t>Phospholipids to total lipids ratio in small LDL</t>
  </si>
  <si>
    <t>metab_sldlplpct</t>
  </si>
  <si>
    <t>phospholipids_to_total_lipids_in_small_vldl_percentage</t>
  </si>
  <si>
    <t>Phospholipids to Total Lipids in Small VLDL percentage</t>
  </si>
  <si>
    <t>Phospholipids to total lipids ratio in small VLDL</t>
  </si>
  <si>
    <t>metab_svldlplpct</t>
  </si>
  <si>
    <t>phospholipids_to_total_lipids_in_very_large_hdl_percentage</t>
  </si>
  <si>
    <t>Phospholipids to Total Lipids in Very Large HDL percentage</t>
  </si>
  <si>
    <t>Phospholipids to total lipids ratio in very large HDL</t>
  </si>
  <si>
    <t>metab_xlhdlplpct</t>
  </si>
  <si>
    <t>phospholipids_to_total_lipids_in_very_large_vldl_percentage</t>
  </si>
  <si>
    <t>Phospholipids to Total Lipids in Very Large VLDL percentage</t>
  </si>
  <si>
    <t>Phospholipids to total lipids ratio in very large VLDL</t>
  </si>
  <si>
    <t>metab_xlvldlplpct</t>
  </si>
  <si>
    <t>phospholipids_to_total_lipids_in_very_small_vldl_percentage</t>
  </si>
  <si>
    <t>Phospholipids to Total Lipids in Very Small VLDL percentage</t>
  </si>
  <si>
    <t>Phospholipids to total lipids ratio in very small VLDL</t>
  </si>
  <si>
    <t>metab_xsvldlplpct</t>
  </si>
  <si>
    <t>polyunsaturated_fatty_acids</t>
  </si>
  <si>
    <t>Polyunsaturated Fatty Acids</t>
  </si>
  <si>
    <t>Polyunsaturated fatty acids</t>
  </si>
  <si>
    <t>metab_pufa</t>
  </si>
  <si>
    <t>PUFA</t>
  </si>
  <si>
    <t>polyunsaturated_fatty_acids_to_monounsaturated_fatty_acids_ratio</t>
  </si>
  <si>
    <t>Polyunsaturated Fatty Acids to Monounsaturated Fatty Acids ratio</t>
  </si>
  <si>
    <t>metab_pufamufa</t>
  </si>
  <si>
    <t>Ratio of polyunsaturated fatty acids to monounsaturated fatty acids</t>
  </si>
  <si>
    <t>polyunsaturated_fatty_acids_to_total_fatty_acids_percentage</t>
  </si>
  <si>
    <t>Polyunsaturated Fatty Acids to Total Fatty Acids percentage</t>
  </si>
  <si>
    <t>Ratio of polyunsaturated fatty acids to total fatty acids</t>
  </si>
  <si>
    <t>metab_pufapct</t>
  </si>
  <si>
    <t>pyruvate</t>
  </si>
  <si>
    <t>Pyruvate</t>
  </si>
  <si>
    <t>Pyruvate levels</t>
  </si>
  <si>
    <t>metab_pyruvate</t>
  </si>
  <si>
    <t>remnant_cholesterol_non_hdl_non_ldl_cholesterol</t>
  </si>
  <si>
    <t>Remnant Cholesterol (Non-HDL, Non-LDL -Cholesterol)</t>
  </si>
  <si>
    <t>Remnant cholesterol (non-HDL, non-LDL -cholesterol)</t>
  </si>
  <si>
    <t>metab_remnantc</t>
  </si>
  <si>
    <t>Remnant C</t>
  </si>
  <si>
    <t>saturated_fatty_acids</t>
  </si>
  <si>
    <t>Saturated Fatty Acids</t>
  </si>
  <si>
    <t>Saturated fatty acids</t>
  </si>
  <si>
    <t>metab_sfa</t>
  </si>
  <si>
    <t>saturated_fatty_acids_to_total_fatty_acids_percentage</t>
  </si>
  <si>
    <t>Saturated Fatty Acids to Total Fatty Acids percentage</t>
  </si>
  <si>
    <t>Ratio of saturated fatty acids to total fatty acids</t>
  </si>
  <si>
    <t>metab_sfapct</t>
  </si>
  <si>
    <t>sphingomyelins</t>
  </si>
  <si>
    <t>Sphingomyelins</t>
  </si>
  <si>
    <t>Sphingomyelins levels</t>
  </si>
  <si>
    <t>metab_sphingomyelins</t>
  </si>
  <si>
    <t>total_cholesterol</t>
  </si>
  <si>
    <t>Total Cholesterol</t>
  </si>
  <si>
    <t>Serum total cholesterol levels</t>
  </si>
  <si>
    <t>metab_totalc</t>
  </si>
  <si>
    <t>also could be total free cholesterol?</t>
  </si>
  <si>
    <t>total_cholesterol_minus_hdl_c</t>
  </si>
  <si>
    <t>Total Cholesterol Minus HDL-C</t>
  </si>
  <si>
    <t>metab_nonhdlc</t>
  </si>
  <si>
    <t>Total cholesterol minus HDL-C</t>
  </si>
  <si>
    <t>total_cholines</t>
  </si>
  <si>
    <t>Total Cholines</t>
  </si>
  <si>
    <t>Total cholines levels</t>
  </si>
  <si>
    <t>metab_cholines</t>
  </si>
  <si>
    <t>Total cholines</t>
  </si>
  <si>
    <t>total_concentration_of_branched_chain_amino_acids_leucine_isoleucine_valine</t>
  </si>
  <si>
    <t>Total Concentration of Branched-Chain Amino Acids (Leucine + Isoleucine + Valine)</t>
  </si>
  <si>
    <t>metab_totalbcaa</t>
  </si>
  <si>
    <t>Total concentration of branched-chain amino acids (leucine + isoleucine + valine)</t>
  </si>
  <si>
    <t>total_concentration_of_lipoprotein_particles</t>
  </si>
  <si>
    <t>Total Concentration of Lipoprotein Particles</t>
  </si>
  <si>
    <t>metab_totalp</t>
  </si>
  <si>
    <t>Total concentration of lipoprotein particles</t>
  </si>
  <si>
    <t>total_esterified_cholesterol</t>
  </si>
  <si>
    <t>Total Esterified Cholesterol</t>
  </si>
  <si>
    <t>Esterified cholesterol levels</t>
  </si>
  <si>
    <t>metab_totalce</t>
  </si>
  <si>
    <t>Total esterified cholesterol</t>
  </si>
  <si>
    <t>total_fatty_acids</t>
  </si>
  <si>
    <t>Total Fatty Acids</t>
  </si>
  <si>
    <t>Total fatty acids</t>
  </si>
  <si>
    <t>metab_totalfa</t>
  </si>
  <si>
    <t>total_free_cholesterol</t>
  </si>
  <si>
    <t>Total Free Cholesterol</t>
  </si>
  <si>
    <t>Free cholesterol levels</t>
  </si>
  <si>
    <t>metab_totalfc</t>
  </si>
  <si>
    <t>Total free cholesterol</t>
  </si>
  <si>
    <t>total_lipids_in_chylomicrons_and_extremely_large_vldl</t>
  </si>
  <si>
    <t>Total Lipids in Chylomicrons and Extremely Large VLDL</t>
  </si>
  <si>
    <t>Total lipid levels in chylomicrons and extremely large VLDL</t>
  </si>
  <si>
    <t>metab_xxlvldll</t>
  </si>
  <si>
    <t>Total lipids</t>
  </si>
  <si>
    <t>total_lipids_in_hdl</t>
  </si>
  <si>
    <t>Total Lipids in HDL</t>
  </si>
  <si>
    <t>metab_hdll</t>
  </si>
  <si>
    <t>Total lipids in HDL</t>
  </si>
  <si>
    <t>total_lipids_in_idl</t>
  </si>
  <si>
    <t>Total Lipids in IDL</t>
  </si>
  <si>
    <t>Total lipids in IDL</t>
  </si>
  <si>
    <t>metab_idll</t>
  </si>
  <si>
    <t>total_lipids_in_large_hdl</t>
  </si>
  <si>
    <t>Total Lipids in Large HDL</t>
  </si>
  <si>
    <t>Total lipids in large HDL</t>
  </si>
  <si>
    <t>metab_lhdll</t>
  </si>
  <si>
    <t>total_lipids_in_large_ldl</t>
  </si>
  <si>
    <t>Total Lipids in Large LDL</t>
  </si>
  <si>
    <t>Total lipids in large LDL</t>
  </si>
  <si>
    <t>metab_lldll</t>
  </si>
  <si>
    <t>total_lipids_in_large_vldl</t>
  </si>
  <si>
    <t>Total Lipids in Large VLDL</t>
  </si>
  <si>
    <t>Total lipids in large VLDL</t>
  </si>
  <si>
    <t>metab_lvldll</t>
  </si>
  <si>
    <t>total_lipids_in_ldl</t>
  </si>
  <si>
    <t>Total Lipids in LDL</t>
  </si>
  <si>
    <t>metab_ldll</t>
  </si>
  <si>
    <t>Total lipids in LDL</t>
  </si>
  <si>
    <t>total_lipids_in_lipoprotein_particles</t>
  </si>
  <si>
    <t>Total Lipids in Lipoprotein Particles</t>
  </si>
  <si>
    <t>metab_totall</t>
  </si>
  <si>
    <t>Total lipids in lipoprotein particles</t>
  </si>
  <si>
    <t>total_lipids_in_medium_hdl</t>
  </si>
  <si>
    <t>Total Lipids in Medium HDL</t>
  </si>
  <si>
    <t>Total lipids in medium HDL</t>
  </si>
  <si>
    <t>metab_mhdll</t>
  </si>
  <si>
    <t>total_lipids_in_medium_ldl</t>
  </si>
  <si>
    <t>Total Lipids in Medium LDL</t>
  </si>
  <si>
    <t>Total lipid levels in medium LDL</t>
  </si>
  <si>
    <t>metab_mldll</t>
  </si>
  <si>
    <t>total_lipids_in_medium_vldl</t>
  </si>
  <si>
    <t>Total Lipids in Medium VLDL</t>
  </si>
  <si>
    <t>Total lipids in medium VLDL</t>
  </si>
  <si>
    <t>metab_mvldll</t>
  </si>
  <si>
    <t>total_lipids_in_small_hdl</t>
  </si>
  <si>
    <t>Total Lipids in Small HDL</t>
  </si>
  <si>
    <t>Total lipids in small HDL</t>
  </si>
  <si>
    <t>metab_shdll</t>
  </si>
  <si>
    <t>total_lipids_in_small_ldl</t>
  </si>
  <si>
    <t>Total Lipids in Small LDL</t>
  </si>
  <si>
    <t>Total lipids in small LDL</t>
  </si>
  <si>
    <t>metab_sldll</t>
  </si>
  <si>
    <t>total_lipids_in_small_vldl</t>
  </si>
  <si>
    <t>Total Lipids in Small VLDL</t>
  </si>
  <si>
    <t>Total lipids in small VLDL</t>
  </si>
  <si>
    <t>metab_svldll</t>
  </si>
  <si>
    <t>total_lipids_in_very_large_hdl</t>
  </si>
  <si>
    <t>Total Lipids in Very Large HDL</t>
  </si>
  <si>
    <t>Total lipids in very large HDL</t>
  </si>
  <si>
    <t>metab_xlhdll</t>
  </si>
  <si>
    <t>total_lipids_in_very_large_vldl</t>
  </si>
  <si>
    <t>Total Lipids in Very Large VLDL</t>
  </si>
  <si>
    <t>Total lipids in very large VLDL</t>
  </si>
  <si>
    <t>metab_xlvldll</t>
  </si>
  <si>
    <t>total_lipids_in_very_small_vldl</t>
  </si>
  <si>
    <t>Total Lipids in Very Small VLDL</t>
  </si>
  <si>
    <t>Total lipids in very small VLDL</t>
  </si>
  <si>
    <t>metab_xsvldll</t>
  </si>
  <si>
    <t>total_lipids_in_vldl</t>
  </si>
  <si>
    <t>Total Lipids in VLDL</t>
  </si>
  <si>
    <t>metab_vldll</t>
  </si>
  <si>
    <t>Total lipids in VLDL</t>
  </si>
  <si>
    <t>total_phospholipids_in_lipoprotein_particles</t>
  </si>
  <si>
    <t>Total Phospholipids in Lipoprotein Particles</t>
  </si>
  <si>
    <t>metab_totalpl</t>
  </si>
  <si>
    <t>Total phospholipids in lipoprotein particles</t>
  </si>
  <si>
    <t>total_triglycerides</t>
  </si>
  <si>
    <t>Total Triglycerides</t>
  </si>
  <si>
    <t>Serum total triglyceride levels</t>
  </si>
  <si>
    <t>metab_totaltg</t>
  </si>
  <si>
    <t>Total triglycerides</t>
  </si>
  <si>
    <t>Triglycerides</t>
  </si>
  <si>
    <t>triglycerides_in_chylomicrons_and_extremely_large_vldl</t>
  </si>
  <si>
    <t>Triglycerides in Chylomicrons and Extremely Large VLDL</t>
  </si>
  <si>
    <t>Triglyceride levels in chylomicrons and extremely large VLDL</t>
  </si>
  <si>
    <t>metab_xxlvldltg</t>
  </si>
  <si>
    <t>triglycerides_in_hdl</t>
  </si>
  <si>
    <t>Triglycerides in HDL</t>
  </si>
  <si>
    <t>Triglyceride levels in HDL</t>
  </si>
  <si>
    <t>metab_hdltg</t>
  </si>
  <si>
    <t>HDL triglycerides</t>
  </si>
  <si>
    <t>Glycerides and phospholipids</t>
  </si>
  <si>
    <t>triglycerides_in_idl</t>
  </si>
  <si>
    <t>Triglycerides in IDL</t>
  </si>
  <si>
    <t>metab_idltg</t>
  </si>
  <si>
    <t>triglycerides_in_large_hdl</t>
  </si>
  <si>
    <t>Triglycerides in Large HDL</t>
  </si>
  <si>
    <t>Triglycerides in large HDL</t>
  </si>
  <si>
    <t>metab_lhdltg</t>
  </si>
  <si>
    <t>triglycerides_in_large_ldl</t>
  </si>
  <si>
    <t>Triglycerides in Large LDL</t>
  </si>
  <si>
    <t>Triglycerides in large LDL</t>
  </si>
  <si>
    <t>metab_lldltg</t>
  </si>
  <si>
    <t>triglycerides_in_large_vldl</t>
  </si>
  <si>
    <t>Triglycerides in Large VLDL</t>
  </si>
  <si>
    <t>Triglycerides in large VLDL</t>
  </si>
  <si>
    <t>metab_lvldltg</t>
  </si>
  <si>
    <t>triglycerides_in_ldl</t>
  </si>
  <si>
    <t>Triglycerides in LDL</t>
  </si>
  <si>
    <t>Triglyceride levels in LDL</t>
  </si>
  <si>
    <t>metab_ldltg</t>
  </si>
  <si>
    <t>LDL triglycerides</t>
  </si>
  <si>
    <t>triglycerides_in_medium_hdl</t>
  </si>
  <si>
    <t>Triglycerides in Medium HDL</t>
  </si>
  <si>
    <t>Triglycerides in medium HDL</t>
  </si>
  <si>
    <t>metab_mhdltg</t>
  </si>
  <si>
    <t>triglycerides_in_medium_ldl</t>
  </si>
  <si>
    <t>Triglycerides in Medium LDL</t>
  </si>
  <si>
    <t>Triglycerides in medium LDL</t>
  </si>
  <si>
    <t>metab_mldltg</t>
  </si>
  <si>
    <t>triglycerides_in_medium_vldl</t>
  </si>
  <si>
    <t>Triglycerides in Medium VLDL</t>
  </si>
  <si>
    <t>Triglycerides in medium VLDL</t>
  </si>
  <si>
    <t>metab_mvldltg</t>
  </si>
  <si>
    <t>triglycerides_in_small_hdl</t>
  </si>
  <si>
    <t>Triglycerides in Small HDL</t>
  </si>
  <si>
    <t>Triglycerides in small HDL</t>
  </si>
  <si>
    <t>metab_shdltg</t>
  </si>
  <si>
    <t>triglycerides_in_small_ldl</t>
  </si>
  <si>
    <t>Triglycerides in Small LDL</t>
  </si>
  <si>
    <t>Triglycerides in small LDL</t>
  </si>
  <si>
    <t>metab_sldltg</t>
  </si>
  <si>
    <t>triglycerides_in_small_vldl</t>
  </si>
  <si>
    <t>Triglycerides in Small VLDL</t>
  </si>
  <si>
    <t>Triglycerides in small VLDL</t>
  </si>
  <si>
    <t>metab_svldltg</t>
  </si>
  <si>
    <t>triglycerides_in_very_large_hdl</t>
  </si>
  <si>
    <t>Triglycerides in Very Large HDL</t>
  </si>
  <si>
    <t>Triglycerides in very large HDL</t>
  </si>
  <si>
    <t>metab_xlhdltg</t>
  </si>
  <si>
    <t>triglycerides_in_very_large_vldl</t>
  </si>
  <si>
    <t>Triglycerides in Very Large VLDL</t>
  </si>
  <si>
    <t>Triglycerides in very large VLDL</t>
  </si>
  <si>
    <t>metab_xlvldltg</t>
  </si>
  <si>
    <t>triglycerides_in_very_small_vldl</t>
  </si>
  <si>
    <t>Triglycerides in Very Small VLDL</t>
  </si>
  <si>
    <t>Triglycerides in very small VLDL</t>
  </si>
  <si>
    <t>metab_xsvldltg</t>
  </si>
  <si>
    <t>triglycerides_in_vldl</t>
  </si>
  <si>
    <t>Triglycerides in VLDL</t>
  </si>
  <si>
    <t>Triglyceride levels in VLDL</t>
  </si>
  <si>
    <t>metab_vldltg</t>
  </si>
  <si>
    <t>VLDL triglycerides</t>
  </si>
  <si>
    <t>triglycerides_to_phosphoglycerides_ratio</t>
  </si>
  <si>
    <t>Triglycerides to Phosphoglycerides ratio</t>
  </si>
  <si>
    <t>Ratio of triglycerides to phosphoglycerides</t>
  </si>
  <si>
    <t>metab_tgpg</t>
  </si>
  <si>
    <t>Glycerides and phospholipids ratios</t>
  </si>
  <si>
    <t>triglycerides_to_total_lipids_in_chylomicrons_and_extremely_large_vldl_percentage</t>
  </si>
  <si>
    <t>Triglycerides to Total Lipids in Chylomicrons and Extremely Large VLDL percentage</t>
  </si>
  <si>
    <t>Triglycerides to total lipids ratio in chylomicrons and extremely large VLDL</t>
  </si>
  <si>
    <t>metab_xxlvldltgpct</t>
  </si>
  <si>
    <t>triglycerides_to_total_lipids_in_idl_percentage</t>
  </si>
  <si>
    <t>Triglycerides to Total Lipids in IDL percentage</t>
  </si>
  <si>
    <t>Triglycerides to total lipids ratio in IDL</t>
  </si>
  <si>
    <t>metab_idltgpct</t>
  </si>
  <si>
    <t>triglycerides_to_total_lipids_in_large_hdl_percentage</t>
  </si>
  <si>
    <t>Triglycerides to Total Lipids in Large HDL percentage</t>
  </si>
  <si>
    <t>Triglycerides to total lipids ratio in large HDL</t>
  </si>
  <si>
    <t>metab_lhdltgpct</t>
  </si>
  <si>
    <t>triglycerides_to_total_lipids_in_large_ldl_percentage</t>
  </si>
  <si>
    <t>Triglycerides to Total Lipids in Large LDL percentage</t>
  </si>
  <si>
    <t>Triglycerides to total lipids ratio in large LDL</t>
  </si>
  <si>
    <t>metab_lldltgpct</t>
  </si>
  <si>
    <t>triglycerides_to_total_lipids_in_large_vldl_percentage</t>
  </si>
  <si>
    <t>Triglycerides to Total Lipids in Large VLDL percentage</t>
  </si>
  <si>
    <t>Triglycerides to total lipids ratio in large VLDL</t>
  </si>
  <si>
    <t>metab_lvldltgpct</t>
  </si>
  <si>
    <t>triglycerides_to_total_lipids_in_medium_hdl_percentage</t>
  </si>
  <si>
    <t>Triglycerides to Total Lipids in Medium HDL percentage</t>
  </si>
  <si>
    <t>Triglycerides to total lipids ratio in medium HDL</t>
  </si>
  <si>
    <t>metab_mhdltgpct</t>
  </si>
  <si>
    <t>triglycerides_to_total_lipids_in_medium_ldl_percentage</t>
  </si>
  <si>
    <t>Triglycerides to Total Lipids in Medium LDL percentage</t>
  </si>
  <si>
    <t>Triglycerides to total lipids ratio in medium LDL</t>
  </si>
  <si>
    <t>metab_mldltgpct</t>
  </si>
  <si>
    <t>triglycerides_to_total_lipids_in_medium_vldl_percentage</t>
  </si>
  <si>
    <t>Triglycerides to Total Lipids in Medium VLDL percentage</t>
  </si>
  <si>
    <t>Triglycerides to total lipids ratio in medium VLDL</t>
  </si>
  <si>
    <t>metab_mvldltgpct</t>
  </si>
  <si>
    <t>triglycerides_to_total_lipids_in_small_hdl_percentage</t>
  </si>
  <si>
    <t>Triglycerides to Total Lipids in Small HDL percentage</t>
  </si>
  <si>
    <t>Triglycerides to total lipids ratio in small HDL</t>
  </si>
  <si>
    <t>metab_shdltgpct</t>
  </si>
  <si>
    <t>triglycerides_to_total_lipids_in_small_ldl_percentage</t>
  </si>
  <si>
    <t>Triglycerides to Total Lipids in Small LDL percentage</t>
  </si>
  <si>
    <t>Triglycerides to total lipids ratio in small LDL</t>
  </si>
  <si>
    <t>metab_sldltgpct</t>
  </si>
  <si>
    <t>triglycerides_to_total_lipids_in_small_vldl_percentage</t>
  </si>
  <si>
    <t>Triglycerides to Total Lipids in Small VLDL percentage</t>
  </si>
  <si>
    <t>Triglycerides to total lipids ratio in small VLDL</t>
  </si>
  <si>
    <t>metab_svldltgpct</t>
  </si>
  <si>
    <t>triglycerides_to_total_lipids_in_very_large_hdl_percentage</t>
  </si>
  <si>
    <t>Triglycerides to Total Lipids in Very Large HDL percentage</t>
  </si>
  <si>
    <t>Triglycerides to total lipids ratio in very large HDL</t>
  </si>
  <si>
    <t>metab_xlhdltgpct</t>
  </si>
  <si>
    <t>triglycerides_to_total_lipids_in_very_large_vldl_percentage</t>
  </si>
  <si>
    <t>Triglycerides to Total Lipids in Very Large VLDL percentage</t>
  </si>
  <si>
    <t>Triglycerides to total lipids ratio in very large VLDL</t>
  </si>
  <si>
    <t>metab_xlvldltgpct</t>
  </si>
  <si>
    <t>triglycerides_to_total_lipids_in_very_small_vldl_percentage</t>
  </si>
  <si>
    <t>Triglycerides to Total Lipids in Very Small VLDL percentage</t>
  </si>
  <si>
    <t>Triglycerides to total lipids ratio in very small VLDL</t>
  </si>
  <si>
    <t>metab_xsvldltgpct</t>
  </si>
  <si>
    <t>tyrosine</t>
  </si>
  <si>
    <t>Tyrosine</t>
  </si>
  <si>
    <t>Tyrosine levels</t>
  </si>
  <si>
    <t>metab_tyr</t>
  </si>
  <si>
    <t>valine</t>
  </si>
  <si>
    <t>Valine</t>
  </si>
  <si>
    <t>Valine levels</t>
  </si>
  <si>
    <t>metab_val</t>
  </si>
  <si>
    <t>vldl_cholesterol</t>
  </si>
  <si>
    <t>VLDL Cholesterol</t>
  </si>
  <si>
    <t>metab_vldlc</t>
  </si>
  <si>
    <t>VLDL C</t>
  </si>
  <si>
    <t>Conjugated linoleic acid</t>
  </si>
  <si>
    <t>Diacylglycerol levels</t>
  </si>
  <si>
    <t>Estimated description of fatty acid chain length not actual carbon number</t>
  </si>
  <si>
    <t>Glycerol levels</t>
  </si>
  <si>
    <t>metab_glycerol</t>
  </si>
  <si>
    <t>Glycerol</t>
  </si>
  <si>
    <t>Ratio of conjugated linoleic acid to total fatty acids</t>
  </si>
  <si>
    <t>Ratio of diacylglycerol to triglycerides</t>
  </si>
  <si>
    <t>Total cholesterol in HDL2</t>
  </si>
  <si>
    <t>Total cholesterol in HDL3</t>
  </si>
  <si>
    <t>Total cholesterol levels in HDL</t>
  </si>
  <si>
    <t>Total cholesterol levels in LDL</t>
  </si>
  <si>
    <t>Total cholesterol levels in VLDL</t>
  </si>
  <si>
    <t>metab_hdl2c</t>
  </si>
  <si>
    <t>metab_hdl3c</t>
  </si>
  <si>
    <t>Carnitine levels</t>
  </si>
  <si>
    <t>metab_compid_15500</t>
  </si>
  <si>
    <t>Benzoate levels</t>
  </si>
  <si>
    <t>metab_compid_15778</t>
  </si>
  <si>
    <t>Maltotriose levels</t>
  </si>
  <si>
    <t>metab_compid_44688</t>
  </si>
  <si>
    <t>Hippurate levels</t>
  </si>
  <si>
    <t>metab_compid_15753</t>
  </si>
  <si>
    <t>Methionine sulfoxide levels</t>
  </si>
  <si>
    <t>metab_compid_18374</t>
  </si>
  <si>
    <t>Xanthurenate levels</t>
  </si>
  <si>
    <t>metab_compid_15679</t>
  </si>
  <si>
    <t>N-alpha-acetylornithine levels</t>
  </si>
  <si>
    <t>3-methylhistidine levels</t>
  </si>
  <si>
    <t>metab_compid_15677</t>
  </si>
  <si>
    <t>Glycerophosphorylcholine (GPC) levels</t>
  </si>
  <si>
    <t>metab_compid_15990</t>
  </si>
  <si>
    <t>Phenylacetate levels</t>
  </si>
  <si>
    <t>metab_compid_57745</t>
  </si>
  <si>
    <t>3-methyl-2-oxovalerate levels</t>
  </si>
  <si>
    <t>metab_compid_15676</t>
  </si>
  <si>
    <t>Tartarate levels</t>
  </si>
  <si>
    <t>metab_compid_15336</t>
  </si>
  <si>
    <t>Suberate (C8-DC) levels</t>
  </si>
  <si>
    <t>metab_compid_15730</t>
  </si>
  <si>
    <t>5-hydroxylysine levels</t>
  </si>
  <si>
    <t>metab_compid_15685</t>
  </si>
  <si>
    <t>3-phenylpropionate hydrocinnamate levels</t>
  </si>
  <si>
    <t>Kynurenine levels</t>
  </si>
  <si>
    <t>metab_compid_15140</t>
  </si>
  <si>
    <t>N-acetylglutamate levels</t>
  </si>
  <si>
    <t>metab_compid_15720</t>
  </si>
  <si>
    <t>Glycerol 3-phosphate levels</t>
  </si>
  <si>
    <t>metab_compid_43847</t>
  </si>
  <si>
    <t>Imidazole lactate levels</t>
  </si>
  <si>
    <t>metab_compid_15716</t>
  </si>
  <si>
    <t>4-guanidinobutanoate levels</t>
  </si>
  <si>
    <t>metab_compid_15681</t>
  </si>
  <si>
    <t>Glucuronate levels</t>
  </si>
  <si>
    <t>metab_compid_15443</t>
  </si>
  <si>
    <t>Ribitol levels</t>
  </si>
  <si>
    <t>metab_compid_15772</t>
  </si>
  <si>
    <t>Glycodeoxycholate levels</t>
  </si>
  <si>
    <t>metab_compid_18477</t>
  </si>
  <si>
    <t>Theobromine levels</t>
  </si>
  <si>
    <t>metab_compid_18392</t>
  </si>
  <si>
    <t>Quinate levels</t>
  </si>
  <si>
    <t>metab_compid_18335</t>
  </si>
  <si>
    <t>Gentisate levels</t>
  </si>
  <si>
    <t>metab_compid_18280</t>
  </si>
  <si>
    <t>Theophylline levels</t>
  </si>
  <si>
    <t>metab_compid_18394</t>
  </si>
  <si>
    <t>1,5-anhydroglucitol (1,5-ag) levels</t>
  </si>
  <si>
    <t>metab_compid_20675</t>
  </si>
  <si>
    <t>1-stearoyl-2-arachidonoyl-GPI (18:0/20:4) levels</t>
  </si>
  <si>
    <t>metab_compid_52449</t>
  </si>
  <si>
    <t>Indolelactate levels</t>
  </si>
  <si>
    <t>metab_compid_18349</t>
  </si>
  <si>
    <t>Docosahexaenoate DHA; 22:6n3 levels</t>
  </si>
  <si>
    <t>1-stearoyl-2-oleoyl-GPS (18:0/18:1) levels</t>
  </si>
  <si>
    <t>metab_compid_19265</t>
  </si>
  <si>
    <t>1-myristoyl-2-palmitoyl-gpc (14:0/16:0) levels</t>
  </si>
  <si>
    <t>metab_compid_19258</t>
  </si>
  <si>
    <t>Paraxanthine levels</t>
  </si>
  <si>
    <t>metab_compid_18254</t>
  </si>
  <si>
    <t>4-methyl-2-oxopentanoate levels</t>
  </si>
  <si>
    <t>metab_compid_22116</t>
  </si>
  <si>
    <t>3-indoxyl sulfate levels</t>
  </si>
  <si>
    <t>metab_compid_27672</t>
  </si>
  <si>
    <t>Sphingosine 1-phosphate levels</t>
  </si>
  <si>
    <t>metab_compid_34445</t>
  </si>
  <si>
    <t>Alpha-hydroxyisocaproate levels</t>
  </si>
  <si>
    <t>metab_compid_22132</t>
  </si>
  <si>
    <t>1-stearoyl-GPI (18:0) levels</t>
  </si>
  <si>
    <t>metab_compid_19324</t>
  </si>
  <si>
    <t>1,2-dipalmitoyl-gpc (16:0/16:0) levels</t>
  </si>
  <si>
    <t>metab_compid_19130</t>
  </si>
  <si>
    <t>Maleate levels</t>
  </si>
  <si>
    <t>metab_compid_20676</t>
  </si>
  <si>
    <t>Isovalerate (i5:0) levels</t>
  </si>
  <si>
    <t>metab_compid_44656</t>
  </si>
  <si>
    <t>4-acetylphenol sulfate levels</t>
  </si>
  <si>
    <t>metab_compid_44620</t>
  </si>
  <si>
    <t>Phenyllactate (pla) levels</t>
  </si>
  <si>
    <t>metab_compid_22130</t>
  </si>
  <si>
    <t>N-acetylaspartate (naa) levels</t>
  </si>
  <si>
    <t>metab_compid_22185</t>
  </si>
  <si>
    <t>Palmitoylcarnitine (C16) levels</t>
  </si>
  <si>
    <t>metab_compid_44681</t>
  </si>
  <si>
    <t>Erythritol levels</t>
  </si>
  <si>
    <t>metab_compid_20699</t>
  </si>
  <si>
    <t>Hexanoylcarnitine levels</t>
  </si>
  <si>
    <t>Acetylcarnitine (c2) levels</t>
  </si>
  <si>
    <t>metab_compid_32198</t>
  </si>
  <si>
    <t>Iminodiacetate (IDA) levels</t>
  </si>
  <si>
    <t>Cysteine s-sulfate levels</t>
  </si>
  <si>
    <t>metab_compid_22176</t>
  </si>
  <si>
    <t>Oxalate (ethanedioate) levels</t>
  </si>
  <si>
    <t>metab_compid_20694</t>
  </si>
  <si>
    <t>DHEAS levels</t>
  </si>
  <si>
    <t>3-hydroxymyristate levels</t>
  </si>
  <si>
    <t>metab_compid_21158</t>
  </si>
  <si>
    <t>Homoarginine levels</t>
  </si>
  <si>
    <t>metab_compid_22137</t>
  </si>
  <si>
    <t>1-oleoylglycerol (18:1) levels</t>
  </si>
  <si>
    <t>metab_compid_21184</t>
  </si>
  <si>
    <t>3-methyl-2-oxobutyrate levels</t>
  </si>
  <si>
    <t>metab_compid_44526</t>
  </si>
  <si>
    <t>Tartronate (hydroxymalonate) levels</t>
  </si>
  <si>
    <t>metab_compid_20693</t>
  </si>
  <si>
    <t>2,3-dihydroxypyridine levels</t>
  </si>
  <si>
    <t>3-hydroxyoctanoate levels</t>
  </si>
  <si>
    <t>metab_compid_22001</t>
  </si>
  <si>
    <t>2-hydroxyoctanoate levels</t>
  </si>
  <si>
    <t>metab_compid_22036</t>
  </si>
  <si>
    <t>Homocitrulline levels</t>
  </si>
  <si>
    <t>metab_compid_22138</t>
  </si>
  <si>
    <t>Indoleacetate levels</t>
  </si>
  <si>
    <t>metab_compid_27513</t>
  </si>
  <si>
    <t>1-linoleoylglycerol (18:2) levels</t>
  </si>
  <si>
    <t>metab_compid_27447</t>
  </si>
  <si>
    <t>2-linoleoylglycerol (18:2) levels</t>
  </si>
  <si>
    <t>metab_compid_32506</t>
  </si>
  <si>
    <t>Indolepropionate levels</t>
  </si>
  <si>
    <t>metab_compid_32405</t>
  </si>
  <si>
    <t>Threonate levels</t>
  </si>
  <si>
    <t>metab_compid_27738</t>
  </si>
  <si>
    <t>N-acetylglycine levels</t>
  </si>
  <si>
    <t>metab_compid_27710</t>
  </si>
  <si>
    <t>Glycolithocholate levels</t>
  </si>
  <si>
    <t>metab_compid_31912</t>
  </si>
  <si>
    <t>EDTA levels</t>
  </si>
  <si>
    <t>metab_compid_22163</t>
  </si>
  <si>
    <t>1-methylhistidine levels</t>
  </si>
  <si>
    <t>metab_compid_30460</t>
  </si>
  <si>
    <t>Citramalate levels</t>
  </si>
  <si>
    <t>3-hydroxydecanoate levels</t>
  </si>
  <si>
    <t>metab_compid_22053</t>
  </si>
  <si>
    <t>1,3-dimethylurate levels</t>
  </si>
  <si>
    <t>metab_compid_32391</t>
  </si>
  <si>
    <t>Galactonate levels</t>
  </si>
  <si>
    <t>metab_compid_27719</t>
  </si>
  <si>
    <t>Trigonelline (n'-methylnicotinate) levels</t>
  </si>
  <si>
    <t>metab_compid_32401</t>
  </si>
  <si>
    <t>Dodecanedioate (C12-DC) levels</t>
  </si>
  <si>
    <t>metab_compid_32388</t>
  </si>
  <si>
    <t>Isobutyrylcarnitine (c4) levels</t>
  </si>
  <si>
    <t>metab_compid_33441</t>
  </si>
  <si>
    <t>3-methylxanthine levels</t>
  </si>
  <si>
    <t>metab_compid_32445</t>
  </si>
  <si>
    <t>3-hydroxylaurate levels</t>
  </si>
  <si>
    <t>metab_compid_32457</t>
  </si>
  <si>
    <t>Pyridoxate levels</t>
  </si>
  <si>
    <t>metab_compid_31555</t>
  </si>
  <si>
    <t>5-hydroxyhexanoate levels</t>
  </si>
  <si>
    <t>metab_compid_31938</t>
  </si>
  <si>
    <t>Gamma-glutamylvaline levels</t>
  </si>
  <si>
    <t>metab_compid_43829</t>
  </si>
  <si>
    <t>3-hydroxysebacate levels</t>
  </si>
  <si>
    <t>metab_compid_31943</t>
  </si>
  <si>
    <t>Propionylglycine levels</t>
  </si>
  <si>
    <t>metab_compid_31932</t>
  </si>
  <si>
    <t>Butyrylglycine levels</t>
  </si>
  <si>
    <t>metab_compid_31850</t>
  </si>
  <si>
    <t>Pro-hydroxy-pro levels</t>
  </si>
  <si>
    <t>metab_compid_35127</t>
  </si>
  <si>
    <t>Propionylcarnitine (c3) levels</t>
  </si>
  <si>
    <t>metab_compid_32452</t>
  </si>
  <si>
    <t>Adrenate (22:4n6) levels</t>
  </si>
  <si>
    <t>metab_compid_32980</t>
  </si>
  <si>
    <t>Docosatrienoate (22:3n3) levels</t>
  </si>
  <si>
    <t>Docosadienoate (22:2n6) levels</t>
  </si>
  <si>
    <t>metab_compid_32415</t>
  </si>
  <si>
    <t>3-carboxy-4-methyl-5-propyl-2-furanpropanoate (cmpf) levels</t>
  </si>
  <si>
    <t>metab_compid_31787</t>
  </si>
  <si>
    <t>Docosapentaenoate n3 DPA; 22:5n3 levels</t>
  </si>
  <si>
    <t>3-hydroxy-2-ethylpropionate levels</t>
  </si>
  <si>
    <t>metab_compid_32397</t>
  </si>
  <si>
    <t>Myristoleate (14:1n5) levels</t>
  </si>
  <si>
    <t>metab_compid_32418</t>
  </si>
  <si>
    <t>10-undecenoate (11:1n1) levels</t>
  </si>
  <si>
    <t>metab_compid_32497</t>
  </si>
  <si>
    <t>1-methyl-4-imidazoleacetate levels</t>
  </si>
  <si>
    <t>metab_compid_32350</t>
  </si>
  <si>
    <t>Sebacate (C10-DC) levels</t>
  </si>
  <si>
    <t>metab_compid_32398</t>
  </si>
  <si>
    <t>Tauro-beta-muricholate levels</t>
  </si>
  <si>
    <t>metab_compid_33983</t>
  </si>
  <si>
    <t>Octanoylcarnitine (c8) levels</t>
  </si>
  <si>
    <t>metab_compid_33936</t>
  </si>
  <si>
    <t>Stearidonate (18:4n3) levels</t>
  </si>
  <si>
    <t>metab_compid_33969</t>
  </si>
  <si>
    <t>Decanoylcarnitine (C10) levels</t>
  </si>
  <si>
    <t>metab_compid_33941</t>
  </si>
  <si>
    <t>5-dodecenoate (12:1n7) levels</t>
  </si>
  <si>
    <t>metab_compid_33968</t>
  </si>
  <si>
    <t>N-acetylisoleucine levels</t>
  </si>
  <si>
    <t>metab_compid_33967</t>
  </si>
  <si>
    <t>Campesterol levels</t>
  </si>
  <si>
    <t>metab_compid_33997</t>
  </si>
  <si>
    <t>N-acetylthreonine levels</t>
  </si>
  <si>
    <t>metab_compid_33939</t>
  </si>
  <si>
    <t>1-oleoyl-GPC (18:1) levels</t>
  </si>
  <si>
    <t>metab_compid_48258</t>
  </si>
  <si>
    <t>10-nonadecenoate (19:1n9) levels</t>
  </si>
  <si>
    <t>metab_compid_33972</t>
  </si>
  <si>
    <t>Piperine levels</t>
  </si>
  <si>
    <t>metab_compid_33935</t>
  </si>
  <si>
    <t>Myristoylcarnitine (C14) levels</t>
  </si>
  <si>
    <t>metab_compid_33952</t>
  </si>
  <si>
    <t>10-heptadecenoate (17:1n7) levels</t>
  </si>
  <si>
    <t>metab_compid_33971</t>
  </si>
  <si>
    <t>1-stearoyl-gpc (18:0) levels</t>
  </si>
  <si>
    <t>metab_compid_33961</t>
  </si>
  <si>
    <t>1-palmitoyl-GPC (16:0) levels</t>
  </si>
  <si>
    <t>metab_compid_33955</t>
  </si>
  <si>
    <t>Hyocholate levels</t>
  </si>
  <si>
    <t>metab_compid_34093</t>
  </si>
  <si>
    <t>N-acetylhistidine levels</t>
  </si>
  <si>
    <t>metab_compid_33946</t>
  </si>
  <si>
    <t>Alpha-hydroxyisovalerate levels</t>
  </si>
  <si>
    <t>metab_compid_46537</t>
  </si>
  <si>
    <t>N-acetylproline levels</t>
  </si>
  <si>
    <t>metab_compid_34387</t>
  </si>
  <si>
    <t>Stachydrine levels</t>
  </si>
  <si>
    <t>metab_compid_34384</t>
  </si>
  <si>
    <t>Salicyluric glucuronide levels</t>
  </si>
  <si>
    <t>metab_compid_33384</t>
  </si>
  <si>
    <t>P-cresol sulfate levels</t>
  </si>
  <si>
    <t>metab_compid_36103</t>
  </si>
  <si>
    <t>Gamma-glutamylglycine levels</t>
  </si>
  <si>
    <t>metab_compid_33949</t>
  </si>
  <si>
    <t>1-linoleoyl-GPC (18:2) levels</t>
  </si>
  <si>
    <t>metab_compid_34419</t>
  </si>
  <si>
    <t>Stearoylcarnitine (C18) levels</t>
  </si>
  <si>
    <t>metab_compid_34409</t>
  </si>
  <si>
    <t>Eicosenoate (20:1) levels</t>
  </si>
  <si>
    <t>metab_compid_33587</t>
  </si>
  <si>
    <t>Aconitate [cis or trans] levels</t>
  </si>
  <si>
    <t>metab_compid_46173</t>
  </si>
  <si>
    <t>Erythronate levels</t>
  </si>
  <si>
    <t>metab_compid_42420</t>
  </si>
  <si>
    <t>Isovalerylcarnitine (C5) levels</t>
  </si>
  <si>
    <t>metab_compid_34407</t>
  </si>
  <si>
    <t>Linolenate [alpha or gamma; (18:3n3 or 6)] levels</t>
  </si>
  <si>
    <t>metab_compid_34035</t>
  </si>
  <si>
    <t>Gamma-glutamylthreonine levels</t>
  </si>
  <si>
    <t>metab_compid_33364</t>
  </si>
  <si>
    <t>Laurylcarnitine levels</t>
  </si>
  <si>
    <t>Gamma-glutamylmethionine levels</t>
  </si>
  <si>
    <t>metab_compid_44872</t>
  </si>
  <si>
    <t>Epiandrosterone sulfate levels</t>
  </si>
  <si>
    <t>metab_compid_33973</t>
  </si>
  <si>
    <t>Gamma-glutamyltryptophan levels</t>
  </si>
  <si>
    <t>metab_compid_33947</t>
  </si>
  <si>
    <t>7-methylxanthine levels</t>
  </si>
  <si>
    <t>metab_compid_34390</t>
  </si>
  <si>
    <t>3,7-dimethylurate levels</t>
  </si>
  <si>
    <t>metab_compid_34399</t>
  </si>
  <si>
    <t>1,7-dimethyluric acid levels</t>
  </si>
  <si>
    <t>1,3,7-trimethylurate levels</t>
  </si>
  <si>
    <t>metab_compid_34404</t>
  </si>
  <si>
    <t>N4-acetylcytidine levels</t>
  </si>
  <si>
    <t>metab_compid_35130</t>
  </si>
  <si>
    <t>Indolebutyrate levels</t>
  </si>
  <si>
    <t>metab_compid_34402</t>
  </si>
  <si>
    <t>5-acetylamino-6-amino-3-methyluracil levels</t>
  </si>
  <si>
    <t>metab_compid_34424</t>
  </si>
  <si>
    <t>N1-methylinosine levels</t>
  </si>
  <si>
    <t>metab_compid_48351</t>
  </si>
  <si>
    <t>N6-carbamoylthreonyladenosine levels</t>
  </si>
  <si>
    <t>metab_compid_35157</t>
  </si>
  <si>
    <t>1-methylxanthine levels</t>
  </si>
  <si>
    <t>metab_compid_34389</t>
  </si>
  <si>
    <t>N2,n2-dimethylguanosine levels</t>
  </si>
  <si>
    <t>metab_compid_35137</t>
  </si>
  <si>
    <t>4-hydroxyhippurate levels</t>
  </si>
  <si>
    <t>metab_compid_35527</t>
  </si>
  <si>
    <t>3-(3-amino-3-carboxypropyl)uridine levels</t>
  </si>
  <si>
    <t>metab_compid_52525</t>
  </si>
  <si>
    <t>5,6-dihydrouridine levels</t>
  </si>
  <si>
    <t>metab_compid_61833</t>
  </si>
  <si>
    <t>Phenylacetylglutamine levels</t>
  </si>
  <si>
    <t>metab_compid_35126</t>
  </si>
  <si>
    <t>3-hydroxydodecanedioate levels</t>
  </si>
  <si>
    <t>metab_compid_62915</t>
  </si>
  <si>
    <t>1-arachidonylglycerol (20:4) levels</t>
  </si>
  <si>
    <t>metab_compid_34397</t>
  </si>
  <si>
    <t>7-methylguanine levels</t>
  </si>
  <si>
    <t>metab_compid_35114</t>
  </si>
  <si>
    <t>1-stearoyl-GPE (18:0) levels</t>
  </si>
  <si>
    <t>metab_compid_42398</t>
  </si>
  <si>
    <t>Phenol sulfate levels</t>
  </si>
  <si>
    <t>metab_compid_32553</t>
  </si>
  <si>
    <t>Oleoylcarnitine (C18:1) levels</t>
  </si>
  <si>
    <t>metab_compid_35160</t>
  </si>
  <si>
    <t>Gamma-glutamylisoleucine levels</t>
  </si>
  <si>
    <t>metab_compid_34456</t>
  </si>
  <si>
    <t>Malonylcarnitine levels</t>
  </si>
  <si>
    <t>1-palmitoleoyl-GPC (16:1) levels</t>
  </si>
  <si>
    <t>metab_compid_33230</t>
  </si>
  <si>
    <t>N1-methyl-2-pyridone-5-carboxamide levels</t>
  </si>
  <si>
    <t>metab_compid_40469</t>
  </si>
  <si>
    <t>Gamma-glutamyl-2-aminobutyrate levels</t>
  </si>
  <si>
    <t>1-stearoyl-GPG (18:0) levels</t>
  </si>
  <si>
    <t>metab_compid_34437</t>
  </si>
  <si>
    <t>Hexanoylglycine levels</t>
  </si>
  <si>
    <t>Glutamine degradant levels</t>
  </si>
  <si>
    <t>5-methyluridine (ribothymidine) levels</t>
  </si>
  <si>
    <t>metab_compid_35136</t>
  </si>
  <si>
    <t>Cysteine-glutathione disulfide levels</t>
  </si>
  <si>
    <t>metab_compid_35159</t>
  </si>
  <si>
    <t>Isovalerylglycine levels</t>
  </si>
  <si>
    <t>2-hydroxy-3-methylvalerate levels</t>
  </si>
  <si>
    <t>metab_compid_36746</t>
  </si>
  <si>
    <t>Homostachydrine levels</t>
  </si>
  <si>
    <t>metab_compid_33009</t>
  </si>
  <si>
    <t>1-arachidonoyl-GPC (20:4n6) levels</t>
  </si>
  <si>
    <t>metab_compid_33228</t>
  </si>
  <si>
    <t>2-palmitoyl-GPC (16:0) levels</t>
  </si>
  <si>
    <t>metab_compid_35253</t>
  </si>
  <si>
    <t>2-palmitoleoyl-GPC (16:1) levels</t>
  </si>
  <si>
    <t>metab_compid_47118</t>
  </si>
  <si>
    <t>1-arachidonoyl-GPE (20:4n6) levels</t>
  </si>
  <si>
    <t>metab_compid_35186</t>
  </si>
  <si>
    <t>1-palmitoyl-GPE (16:0) levels</t>
  </si>
  <si>
    <t>metab_compid_35631</t>
  </si>
  <si>
    <t>1-linoleoyl-GPE (18:2) levels</t>
  </si>
  <si>
    <t>metab_compid_36600</t>
  </si>
  <si>
    <t>1-oleoyl-GPE (18:1) levels</t>
  </si>
  <si>
    <t>metab_compid_35628</t>
  </si>
  <si>
    <t>2-hydroxypalmitate levels</t>
  </si>
  <si>
    <t>metab_compid_35675</t>
  </si>
  <si>
    <t>Docosapentaenoate (n6 DPA; 22:5n6) levels</t>
  </si>
  <si>
    <t>metab_compid_37478</t>
  </si>
  <si>
    <t>Gulonate levels</t>
  </si>
  <si>
    <t>metab_compid_46957</t>
  </si>
  <si>
    <t>Isobutyrylglycine levels</t>
  </si>
  <si>
    <t>metab_compid_35437</t>
  </si>
  <si>
    <t>Glutarylcarnitine (c5-dc) levels</t>
  </si>
  <si>
    <t>metab_compid_44664</t>
  </si>
  <si>
    <t>Tiglylcarnitine (C5:1-DC) levels</t>
  </si>
  <si>
    <t>metab_compid_35428</t>
  </si>
  <si>
    <t>Hydroquinone sulfate levels</t>
  </si>
  <si>
    <t>metab_compid_35322</t>
  </si>
  <si>
    <t>Beta-hydroxyisovaleroylcarnitine levels</t>
  </si>
  <si>
    <t>metab_compid_35433</t>
  </si>
  <si>
    <t>Catechol sulfate levels</t>
  </si>
  <si>
    <t>metab_compid_35320</t>
  </si>
  <si>
    <t>7-alpha-hydroxy-3-oxo-4-cholestenoate (7-hoca) levels</t>
  </si>
  <si>
    <t>metab_compid_36776</t>
  </si>
  <si>
    <t>Octadecanedioate (C18-DC) levels</t>
  </si>
  <si>
    <t>metab_compid_36754</t>
  </si>
  <si>
    <t>Tetradecanedioate (C14-DC) levels</t>
  </si>
  <si>
    <t>metab_compid_35669</t>
  </si>
  <si>
    <t>Hexadecanedioate (C16-DC) levels</t>
  </si>
  <si>
    <t>metab_compid_35678</t>
  </si>
  <si>
    <t>Glycerophosphoethanolamine levels</t>
  </si>
  <si>
    <t>metab_compid_37455</t>
  </si>
  <si>
    <t>Taurolithocholate 3-sulfate levels</t>
  </si>
  <si>
    <t>metab_compid_36850</t>
  </si>
  <si>
    <t>1-palmitoyl-GPI (16:0) levels</t>
  </si>
  <si>
    <t>metab_compid_35305</t>
  </si>
  <si>
    <t>Glycolithocholate sulfate levels</t>
  </si>
  <si>
    <t>metab_compid_32620</t>
  </si>
  <si>
    <t>3-(3-hydroxyphenyl)propionate levels</t>
  </si>
  <si>
    <t>metab_compid_35635</t>
  </si>
  <si>
    <t>Deoxycarnitine levels</t>
  </si>
  <si>
    <t>metab_compid_36747</t>
  </si>
  <si>
    <t>Alpha-hydroxycaproate levels</t>
  </si>
  <si>
    <t>metab_compid_37073</t>
  </si>
  <si>
    <t>1-ribosyl-imidazoleacetate levels</t>
  </si>
  <si>
    <t>metab_compid_61868</t>
  </si>
  <si>
    <t>3,4-dihydroxybutyrate levels</t>
  </si>
  <si>
    <t>metab_compid_62952</t>
  </si>
  <si>
    <t>Indoleacetylglutamine levels</t>
  </si>
  <si>
    <t>metab_compid_42087</t>
  </si>
  <si>
    <t>Mannitol/sorbitol levels</t>
  </si>
  <si>
    <t>metab_compid_46142</t>
  </si>
  <si>
    <t>Tryptophan betaine levels</t>
  </si>
  <si>
    <t>metab_compid_37097</t>
  </si>
  <si>
    <t>Dihomo-linolenate (20:3n3 or n6) levels</t>
  </si>
  <si>
    <t>metab_compid_35718</t>
  </si>
  <si>
    <t>1-linoleoyl-GPI (18:2) levels</t>
  </si>
  <si>
    <t>metab_compid_36594</t>
  </si>
  <si>
    <t>1-oleoyl-GPI (18:1) levels</t>
  </si>
  <si>
    <t>metab_compid_36602</t>
  </si>
  <si>
    <t>O-cresol sulfate levels</t>
  </si>
  <si>
    <t>metab_compid_36845</t>
  </si>
  <si>
    <t>4-vinylphenol sulfate levels</t>
  </si>
  <si>
    <t>metab_compid_36098</t>
  </si>
  <si>
    <t>Pyrraline levels</t>
  </si>
  <si>
    <t>metab_compid_48428</t>
  </si>
  <si>
    <t>N6-acetyllysine levels</t>
  </si>
  <si>
    <t>metab_compid_36752</t>
  </si>
  <si>
    <t>Thymol sulfate levels</t>
  </si>
  <si>
    <t>metab_compid_36095</t>
  </si>
  <si>
    <t>N-acetylserine levels</t>
  </si>
  <si>
    <t>metab_compid_37076</t>
  </si>
  <si>
    <t>3-methyladipate levels</t>
  </si>
  <si>
    <t>metab_compid_36749</t>
  </si>
  <si>
    <t>4-ethylphenylsulfate levels</t>
  </si>
  <si>
    <t>metab_compid_36099</t>
  </si>
  <si>
    <t>1-stearoyl-2-oleoyl-GPE (18:0/18:1) levels</t>
  </si>
  <si>
    <t>metab_compid_42448</t>
  </si>
  <si>
    <t>Dimethylarginine (sdma + adma) levels</t>
  </si>
  <si>
    <t>metab_compid_36808</t>
  </si>
  <si>
    <t>Hexanoylglutamine levels</t>
  </si>
  <si>
    <t>metab_compid_54907</t>
  </si>
  <si>
    <t>Gamma-glutamylalanine levels</t>
  </si>
  <si>
    <t>metab_compid_37063</t>
  </si>
  <si>
    <t>5alpha-androstan-3beta,17beta-diol disulfate levels</t>
  </si>
  <si>
    <t>metab_compid_37190</t>
  </si>
  <si>
    <t>N-methylproline levels</t>
  </si>
  <si>
    <t>metab_compid_37431</t>
  </si>
  <si>
    <t>Beta-cryptoxanthin levels</t>
  </si>
  <si>
    <t>metab_compid_57591</t>
  </si>
  <si>
    <t>5alpha-pregnan-3beta,20alpha-diol disulfate levels</t>
  </si>
  <si>
    <t>metab_compid_37198</t>
  </si>
  <si>
    <t>Taurocholenate sulfate levels</t>
  </si>
  <si>
    <t>metab_compid_32807</t>
  </si>
  <si>
    <t>Pregnenediol disulfate (C21H34O8S2) levels</t>
  </si>
  <si>
    <t>metab_compid_32562</t>
  </si>
  <si>
    <t>Glycocholenate sulfate levels</t>
  </si>
  <si>
    <t>metab_compid_32599</t>
  </si>
  <si>
    <t>Androstenediol (3beta,17beta) disulfate (1) levels</t>
  </si>
  <si>
    <t>metab_compid_37202</t>
  </si>
  <si>
    <t>Chiro-inositol levels</t>
  </si>
  <si>
    <t>1-palmitoyl-2-linoleoyl-GPE (16:0/18:2) levels</t>
  </si>
  <si>
    <t>metab_compid_42449</t>
  </si>
  <si>
    <t>Sphinganine-1-phosphate levels</t>
  </si>
  <si>
    <t>metab_compid_52605</t>
  </si>
  <si>
    <t>Glycosyl-N-stearoyl-sphingosine (d18:1/18:0) levels</t>
  </si>
  <si>
    <t>metab_compid_52234</t>
  </si>
  <si>
    <t>4-allylphenol sulfate levels</t>
  </si>
  <si>
    <t>metab_compid_37181</t>
  </si>
  <si>
    <t>Succinylcarnitine (C4DC) levels</t>
  </si>
  <si>
    <t>21-hydroxypregnenolone disulfate levels</t>
  </si>
  <si>
    <t>metab_compid_46115</t>
  </si>
  <si>
    <t>5alpha-androstan-3alpha,17alpha-diol monosulfate levels</t>
  </si>
  <si>
    <t>metab_compid_37183</t>
  </si>
  <si>
    <t>Androstenediol (3beta,17beta) disulfate (2) levels</t>
  </si>
  <si>
    <t>metab_compid_37203</t>
  </si>
  <si>
    <t>5alpha-androstan-3beta,17alpha-diol disulfate levels</t>
  </si>
  <si>
    <t>metab_compid_37187</t>
  </si>
  <si>
    <t>5alpha-pregnan-3beta,20beta-diol monosulfate (1) levels</t>
  </si>
  <si>
    <t>metab_compid_37196</t>
  </si>
  <si>
    <t>5alpha-pregnan-3beta,20alpha-diol monosulfate (2) levels</t>
  </si>
  <si>
    <t>metab_compid_37200</t>
  </si>
  <si>
    <t>5alpha-androstan-3beta,17beta-diol monosulfate (2) levels</t>
  </si>
  <si>
    <t>metab_compid_37192</t>
  </si>
  <si>
    <t>Androstenediol (3alpha, 17alpha) monosulfate (3) levels</t>
  </si>
  <si>
    <t>metab_compid_37209</t>
  </si>
  <si>
    <t>5alpha-pregnan-diol disulfate levels</t>
  </si>
  <si>
    <t>metab_compid_46172</t>
  </si>
  <si>
    <t>5alpha-androstan-3alpha,17beta-diol monosulfate (1) levels</t>
  </si>
  <si>
    <t>metab_compid_37186</t>
  </si>
  <si>
    <t>5alpha-androstan-3alpha,17beta-diol disulfate levels</t>
  </si>
  <si>
    <t>metab_compid_37184</t>
  </si>
  <si>
    <t>Andro steroid monosulfate C19H28O6S (1) levels</t>
  </si>
  <si>
    <t>metab_compid_32827</t>
  </si>
  <si>
    <t>Pregnenediol sulfate (C21H34O5S) levels</t>
  </si>
  <si>
    <t>metab_compid_32619</t>
  </si>
  <si>
    <t>4-hydroxycoumarin levels</t>
  </si>
  <si>
    <t>metab_compid_37445</t>
  </si>
  <si>
    <t>16a-hydroxy DHEA 3-sulfate levels</t>
  </si>
  <si>
    <t>metab_compid_38168</t>
  </si>
  <si>
    <t>Gamma-CEHC levels</t>
  </si>
  <si>
    <t>metab_compid_44876</t>
  </si>
  <si>
    <t>2-hydroxyglutarate levels</t>
  </si>
  <si>
    <t>metab_compid_37253</t>
  </si>
  <si>
    <t>N-acetyl-beta-alanine levels</t>
  </si>
  <si>
    <t>metab_compid_37432</t>
  </si>
  <si>
    <t>Tridecenedioate (C13:1-DC) levels</t>
  </si>
  <si>
    <t>metab_compid_46598</t>
  </si>
  <si>
    <t>N-acetyl-3-methylhistidine levels</t>
  </si>
  <si>
    <t>metab_compid_43256</t>
  </si>
  <si>
    <t>3-hydroxyhippurate levels</t>
  </si>
  <si>
    <t>metab_compid_39600</t>
  </si>
  <si>
    <t>4-cholesten-3-one levels</t>
  </si>
  <si>
    <t>metab_compid_38125</t>
  </si>
  <si>
    <t>Androstenediol (3beta,17beta) monosulfate (2) levels</t>
  </si>
  <si>
    <t>metab_compid_37210</t>
  </si>
  <si>
    <t>Androstenediol (3beta,17beta) monosulfate (1) levels</t>
  </si>
  <si>
    <t>metab_compid_37211</t>
  </si>
  <si>
    <t>Pregnenolone sulfate levels</t>
  </si>
  <si>
    <t>metab_compid_38170</t>
  </si>
  <si>
    <t>S-methylmethionine levels</t>
  </si>
  <si>
    <t>13-HODE + 9-HODE levels</t>
  </si>
  <si>
    <t>metab_compid_37752</t>
  </si>
  <si>
    <t>Palmitoyl sphingomyelin (d18:1/16:0) levels</t>
  </si>
  <si>
    <t>metab_compid_37506</t>
  </si>
  <si>
    <t>Indole-3-carboxylate levels</t>
  </si>
  <si>
    <t>metab_compid_38116</t>
  </si>
  <si>
    <t>Sphingomyelin (d18:1/18:1, d18:2/18:0) levels</t>
  </si>
  <si>
    <t>metab_compid_37529</t>
  </si>
  <si>
    <t>Ergothioneine levels</t>
  </si>
  <si>
    <t>metab_compid_37459</t>
  </si>
  <si>
    <t>Cis-4-decenoylcarnitine (C10:1) levels</t>
  </si>
  <si>
    <t>metab_compid_38178</t>
  </si>
  <si>
    <t>5-(galactosylhydroxy)-L-lysine levels</t>
  </si>
  <si>
    <t>metab_compid_43582</t>
  </si>
  <si>
    <t>2s,3R-dihydroxybutyrate levels</t>
  </si>
  <si>
    <t>metab_compid_62950</t>
  </si>
  <si>
    <t>Cysteinylglycine disulfide levels</t>
  </si>
  <si>
    <t>metab_compid_62103</t>
  </si>
  <si>
    <t>2,3-dihydroxyisovalerate levels</t>
  </si>
  <si>
    <t>metab_compid_38276</t>
  </si>
  <si>
    <t>Alpha-ketoglutaramate levels</t>
  </si>
  <si>
    <t>metab_compid_62101</t>
  </si>
  <si>
    <t>3-methylglutaconate levels</t>
  </si>
  <si>
    <t>metab_compid_57747</t>
  </si>
  <si>
    <t>(16 or 17)-methylstearate (a19:0 or i19:0) levels</t>
  </si>
  <si>
    <t>metab_compid_38296</t>
  </si>
  <si>
    <t>Cinnamoylglycine levels</t>
  </si>
  <si>
    <t>metab_compid_38637</t>
  </si>
  <si>
    <t>2R,3R-dihydroxybutyrate levels</t>
  </si>
  <si>
    <t>metab_compid_63109</t>
  </si>
  <si>
    <t>4-hydroxyglutamate levels</t>
  </si>
  <si>
    <t>metab_compid_40499</t>
  </si>
  <si>
    <t>S-methylcysteine levels</t>
  </si>
  <si>
    <t>metab_compid_39592</t>
  </si>
  <si>
    <t>Isoursodeoxycholate levels</t>
  </si>
  <si>
    <t>metab_compid_57577</t>
  </si>
  <si>
    <t>Cis-4-decenoate (10:1n6) levels</t>
  </si>
  <si>
    <t>metab_compid_48992</t>
  </si>
  <si>
    <t>4-oxo-retinoic acid levels</t>
  </si>
  <si>
    <t>1-lignoceroyl-GPC (24:0) levels</t>
  </si>
  <si>
    <t>metab_compid_49617</t>
  </si>
  <si>
    <t>Sulfate levels</t>
  </si>
  <si>
    <t>metab_compid_46960</t>
  </si>
  <si>
    <t>4-hydroxy-2-oxoglutaric acid levels</t>
  </si>
  <si>
    <t>Glycoursodeoxycholate levels</t>
  </si>
  <si>
    <t>metab_compid_39379</t>
  </si>
  <si>
    <t>1-(1-enyl-palmitoyl)-GPC (p-16:0) levels</t>
  </si>
  <si>
    <t>metab_compid_52474</t>
  </si>
  <si>
    <t>Argininate levels</t>
  </si>
  <si>
    <t>metab_compid_57461</t>
  </si>
  <si>
    <t>1-methyl-5-imidazoleacetate levels</t>
  </si>
  <si>
    <t>metab_compid_47787</t>
  </si>
  <si>
    <t>Hydantoin-5-propionate levels</t>
  </si>
  <si>
    <t>metab_compid_40473</t>
  </si>
  <si>
    <t>2-oxoarginine levels</t>
  </si>
  <si>
    <t>metab_compid_55072</t>
  </si>
  <si>
    <t>Pantoate levels</t>
  </si>
  <si>
    <t>metab_compid_63061</t>
  </si>
  <si>
    <t>Formiminoglutamate levels</t>
  </si>
  <si>
    <t>metab_compid_43493</t>
  </si>
  <si>
    <t>1-(1-enyl-palmitoyl)-GPE (p-16:0) levels</t>
  </si>
  <si>
    <t>metab_compid_39270</t>
  </si>
  <si>
    <t>S-methylcysteine sulfoxide levels</t>
  </si>
  <si>
    <t>metab_compid_43378</t>
  </si>
  <si>
    <t>2-o-methylascorbic acid levels</t>
  </si>
  <si>
    <t>metab_compid_46961</t>
  </si>
  <si>
    <t>Eicosanedioate (C20-DC) levels</t>
  </si>
  <si>
    <t>metab_compid_39831</t>
  </si>
  <si>
    <t>1-(1-enyl-stearoyl)-GPE (p-18:0) levels</t>
  </si>
  <si>
    <t>metab_compid_39271</t>
  </si>
  <si>
    <t>Beta-citrylglutamate levels</t>
  </si>
  <si>
    <t>metab_compid_54923</t>
  </si>
  <si>
    <t>N-oleoyltaurine levels</t>
  </si>
  <si>
    <t>metab_compid_39732</t>
  </si>
  <si>
    <t>Docosadioate (C22-DC) levels</t>
  </si>
  <si>
    <t>metab_compid_39837</t>
  </si>
  <si>
    <t>Oleoyl-linoleoyl-glycerol (18:1/18:2) [2] levels</t>
  </si>
  <si>
    <t>metab_compid_46799</t>
  </si>
  <si>
    <t>Imidazole propionate levels</t>
  </si>
  <si>
    <t>metab_compid_40730</t>
  </si>
  <si>
    <t>Carnitine C18:2 levels</t>
  </si>
  <si>
    <t>Pregnanediol-3-glucuronide levels</t>
  </si>
  <si>
    <t>metab_compid_40708</t>
  </si>
  <si>
    <t>Carboxyethyl-gaba levels</t>
  </si>
  <si>
    <t>Alliin levels</t>
  </si>
  <si>
    <t>metab_compid_41494</t>
  </si>
  <si>
    <t>Trimethylamine n-oxide levels</t>
  </si>
  <si>
    <t>metab_compid_40406</t>
  </si>
  <si>
    <t>Dihydroferulate levels</t>
  </si>
  <si>
    <t>metab_compid_40481</t>
  </si>
  <si>
    <t>Prolylglycine levels</t>
  </si>
  <si>
    <t>metab_compid_40703</t>
  </si>
  <si>
    <t>N-palmitoylglycine levels</t>
  </si>
  <si>
    <t>metab_compid_42092</t>
  </si>
  <si>
    <t>N-methyltaurine levels</t>
  </si>
  <si>
    <t>metab_compid_42989</t>
  </si>
  <si>
    <t>Succinimide levels</t>
  </si>
  <si>
    <t>metab_compid_41888</t>
  </si>
  <si>
    <t>N-acetylcarnosine levels</t>
  </si>
  <si>
    <t>metab_compid_43488</t>
  </si>
  <si>
    <t>Histidine betaine (hercynine) levels</t>
  </si>
  <si>
    <t>metab_compid_62278</t>
  </si>
  <si>
    <t>2-stearoyl-GPE (18:0) levels</t>
  </si>
  <si>
    <t>metab_compid_41220</t>
  </si>
  <si>
    <t>Margaroylcarnitine (C17) levels</t>
  </si>
  <si>
    <t>metab_compid_57512</t>
  </si>
  <si>
    <t>(R)-3-hydroxybutyrylcarnitine levels</t>
  </si>
  <si>
    <t>metab_compid_43264</t>
  </si>
  <si>
    <t>Lanthionine levels</t>
  </si>
  <si>
    <t>metab_compid_42002</t>
  </si>
  <si>
    <t>Mannonate levels</t>
  </si>
  <si>
    <t>metab_compid_62864</t>
  </si>
  <si>
    <t>3b-hydroxy-5-cholenoic acid levels</t>
  </si>
  <si>
    <t>2-hydroxydecanoate levels</t>
  </si>
  <si>
    <t>metab_compid_42489</t>
  </si>
  <si>
    <t>Glycohyocholate levels</t>
  </si>
  <si>
    <t>metab_compid_42574</t>
  </si>
  <si>
    <t>3-methyl catechol sulfate (2) levels</t>
  </si>
  <si>
    <t>2-aminooctanoate levels</t>
  </si>
  <si>
    <t>metab_compid_43343</t>
  </si>
  <si>
    <t>3-methyl catechol sulfate (1) levels</t>
  </si>
  <si>
    <t>metab_compid_46165</t>
  </si>
  <si>
    <t>4-methylcatechol sulfate levels</t>
  </si>
  <si>
    <t>metab_compid_46146</t>
  </si>
  <si>
    <t>Guaiacol sulfate levels</t>
  </si>
  <si>
    <t>metab_compid_46111</t>
  </si>
  <si>
    <t>Gamma-CEHC glucuronide levels</t>
  </si>
  <si>
    <t>metab_compid_42381</t>
  </si>
  <si>
    <t>Dimethyl sulfone levels</t>
  </si>
  <si>
    <t>metab_compid_43424</t>
  </si>
  <si>
    <t>2-piperidinone levels</t>
  </si>
  <si>
    <t>metab_compid_43400</t>
  </si>
  <si>
    <t>Indolin-2-one levels</t>
  </si>
  <si>
    <t>Sphingomyelin (d18:1/14:0, d16:1/16:0) levels</t>
  </si>
  <si>
    <t>metab_compid_42463</t>
  </si>
  <si>
    <t>3-acetylphenol sulfate levels</t>
  </si>
  <si>
    <t>Sphingomyelin (d18:2/16:0, d18:1/16:1) levels</t>
  </si>
  <si>
    <t>metab_compid_42459</t>
  </si>
  <si>
    <t>S-allylcysteine levels</t>
  </si>
  <si>
    <t>metab_compid_43239</t>
  </si>
  <si>
    <t>6-oxopiperidine-2-carboxylate levels</t>
  </si>
  <si>
    <t>metab_compid_43231</t>
  </si>
  <si>
    <t>2-aminophenol sulfate levels</t>
  </si>
  <si>
    <t>metab_compid_43266</t>
  </si>
  <si>
    <t>N-acetylalliin levels</t>
  </si>
  <si>
    <t>metab_compid_45404</t>
  </si>
  <si>
    <t>2-aminoheptanoate levels</t>
  </si>
  <si>
    <t>metab_compid_43761</t>
  </si>
  <si>
    <t>3-methoxytyramine sulfate levels</t>
  </si>
  <si>
    <t>metab_compid_44618</t>
  </si>
  <si>
    <t>N2,N5-diacetylornithine levels</t>
  </si>
  <si>
    <t>metab_compid_43591</t>
  </si>
  <si>
    <t>Ferulic acid 4-sulfate levels</t>
  </si>
  <si>
    <t>1H-indole-7-acetic acid levels</t>
  </si>
  <si>
    <t>metab_compid_57783</t>
  </si>
  <si>
    <t>3-(3-hydroxyphenyl)propionate sulfate levels</t>
  </si>
  <si>
    <t>1-linolenoyl-GPC (18:3) levels</t>
  </si>
  <si>
    <t>metab_compid_45951</t>
  </si>
  <si>
    <t>O-sulfo-l-tyrosine levels</t>
  </si>
  <si>
    <t>metab_compid_45413</t>
  </si>
  <si>
    <t>N-formylanthranilic acid levels</t>
  </si>
  <si>
    <t>metab_compid_43549</t>
  </si>
  <si>
    <t>Methionine sulfone levels</t>
  </si>
  <si>
    <t>metab_compid_44878</t>
  </si>
  <si>
    <t>Acisoga levels</t>
  </si>
  <si>
    <t>metab_compid_43258</t>
  </si>
  <si>
    <t>17alpha-hydroxypregnanolone glucuronide levels</t>
  </si>
  <si>
    <t>metab_compid_47403</t>
  </si>
  <si>
    <t>Etiocholanolone glucuronide levels</t>
  </si>
  <si>
    <t>metab_compid_47112</t>
  </si>
  <si>
    <t>Fructosyllysine levels</t>
  </si>
  <si>
    <t>metab_compid_46227</t>
  </si>
  <si>
    <t>1-(1-enyl-oleoyl)-GPE (p-18:1) levels</t>
  </si>
  <si>
    <t>metab_compid_44621</t>
  </si>
  <si>
    <t>N-acetyltaurine levels</t>
  </si>
  <si>
    <t>metab_compid_48187</t>
  </si>
  <si>
    <t>1-palmitoyl-GPG (16:0) levels</t>
  </si>
  <si>
    <t>metab_compid_45970</t>
  </si>
  <si>
    <t>1-oleoyl-GPG (18:1) levels</t>
  </si>
  <si>
    <t>metab_compid_45968</t>
  </si>
  <si>
    <t>Octadecenedioylcarnitine (C18:1-DC) levels</t>
  </si>
  <si>
    <t>metab_compid_61865</t>
  </si>
  <si>
    <t>3-methylglutarylcarnitine (2) levels</t>
  </si>
  <si>
    <t>metab_compid_46548</t>
  </si>
  <si>
    <t>Sphingomyelin (d18:1/24:1, d18:2/24:0) levels</t>
  </si>
  <si>
    <t>metab_compid_47153</t>
  </si>
  <si>
    <t>Methyl glucopyranoside (alpha + beta) levels</t>
  </si>
  <si>
    <t>metab_compid_46144</t>
  </si>
  <si>
    <t>9-hydroxystearate levels</t>
  </si>
  <si>
    <t>metab_compid_47120</t>
  </si>
  <si>
    <t>Sphingomyelin (d18:2/14:0, d18:1/14:1) levels</t>
  </si>
  <si>
    <t>metab_compid_47154</t>
  </si>
  <si>
    <t>1-dihomo-linolenylglycerol (20:3) levels</t>
  </si>
  <si>
    <t>metab_compid_48341</t>
  </si>
  <si>
    <t>4-hydroxychlorothalonil levels</t>
  </si>
  <si>
    <t>metab_compid_48441</t>
  </si>
  <si>
    <t>Vanillactate levels</t>
  </si>
  <si>
    <t>metab_compid_54910</t>
  </si>
  <si>
    <t>Myristoleoylcarnitine (C14:1) levels</t>
  </si>
  <si>
    <t>metab_compid_48182</t>
  </si>
  <si>
    <t>N-formylphenylalanine levels</t>
  </si>
  <si>
    <t>2-acetamidophenol sulfate levels</t>
  </si>
  <si>
    <t>metab_compid_48580</t>
  </si>
  <si>
    <t>4-vinylguaiacol sulfate levels</t>
  </si>
  <si>
    <t>metab_compid_48442</t>
  </si>
  <si>
    <t>5alpha-androstan-3alpha,17beta-diol monosulfate (2) levels</t>
  </si>
  <si>
    <t>metab_compid_37185</t>
  </si>
  <si>
    <t>Vanillic alcohol sulfate levels</t>
  </si>
  <si>
    <t>Methyl-4-hydroxybenzoate sulfate levels</t>
  </si>
  <si>
    <t>metab_compid_48429</t>
  </si>
  <si>
    <t>Eugenol sulfate levels</t>
  </si>
  <si>
    <t>metab_compid_48715</t>
  </si>
  <si>
    <t>2-methoxyresorcinol sulfate levels</t>
  </si>
  <si>
    <t>metab_compid_48445</t>
  </si>
  <si>
    <t>Tyramine O-sulfate levels</t>
  </si>
  <si>
    <t>metab_compid_48408</t>
  </si>
  <si>
    <t>4-methylguaiacol sulfate levels</t>
  </si>
  <si>
    <t>metab_compid_48418</t>
  </si>
  <si>
    <t>3-hydroxypyridine sulfate levels</t>
  </si>
  <si>
    <t>metab_compid_48448</t>
  </si>
  <si>
    <t>Arabonate/xylonate levels</t>
  </si>
  <si>
    <t>metab_compid_48255</t>
  </si>
  <si>
    <t>Octadecanedioylcarnitine (C18-DC) levels</t>
  </si>
  <si>
    <t>metab_compid_61867</t>
  </si>
  <si>
    <t>Phenylacetylcarnitine levels</t>
  </si>
  <si>
    <t>metab_compid_48425</t>
  </si>
  <si>
    <t>Ethylparaben sulfate levels</t>
  </si>
  <si>
    <t>Sphingomyelin (d18:1/20:2, d18:2/20:1, d16:1/22:2) levels</t>
  </si>
  <si>
    <t>metab_compid_57481</t>
  </si>
  <si>
    <t>Sphingomyelin (d18:1/20:1, d18:2/20:0) levels</t>
  </si>
  <si>
    <t>metab_compid_48491</t>
  </si>
  <si>
    <t>Behenoyl sphingomyelin (d18:1/22:0) levels</t>
  </si>
  <si>
    <t>metab_compid_48492</t>
  </si>
  <si>
    <t>Propyl 4-hydroxybenzoate sulfate levels</t>
  </si>
  <si>
    <t>metab_compid_48460</t>
  </si>
  <si>
    <t>4-methoxyphenol sulfate levels</t>
  </si>
  <si>
    <t>metab_compid_48457</t>
  </si>
  <si>
    <t>Umbelliferone sulfate levels</t>
  </si>
  <si>
    <t>metab_compid_48674</t>
  </si>
  <si>
    <t>Sphingomyelin (d18:1/20:0, d16:1/22:0) levels</t>
  </si>
  <si>
    <t>metab_compid_48490</t>
  </si>
  <si>
    <t>6-hydroxyindole sulfate levels</t>
  </si>
  <si>
    <t>metab_compid_48698</t>
  </si>
  <si>
    <t>P-cresol glucuronide levels</t>
  </si>
  <si>
    <t>metab_compid_48841</t>
  </si>
  <si>
    <t>N-carbamoylalanine levels</t>
  </si>
  <si>
    <t>metab_compid_52340</t>
  </si>
  <si>
    <t>Citraconate/glutaconate levels</t>
  </si>
  <si>
    <t>metab_compid_47076</t>
  </si>
  <si>
    <t>1,2,3-benzenetriol sulfate (2) levels</t>
  </si>
  <si>
    <t>metab_compid_48762</t>
  </si>
  <si>
    <t>3-methoxycatechol sulfate (2) levels</t>
  </si>
  <si>
    <t>metab_compid_48752</t>
  </si>
  <si>
    <t>C-glycosyltryptophan levels</t>
  </si>
  <si>
    <t>metab_compid_48782</t>
  </si>
  <si>
    <t>3-methoxycatechol sulfate (1) levels</t>
  </si>
  <si>
    <t>metab_compid_48763</t>
  </si>
  <si>
    <t>Sphingomyelin (d18:1/22:1, d18:2/22:0, d16:1/24:1) levels</t>
  </si>
  <si>
    <t>metab_compid_48493</t>
  </si>
  <si>
    <t>Arabitol/xylitol levels</t>
  </si>
  <si>
    <t>metab_compid_48885</t>
  </si>
  <si>
    <t>3-hydroxyhexanoate levels</t>
  </si>
  <si>
    <t>metab_compid_53230</t>
  </si>
  <si>
    <t>Sphingomyelin (d18:1/22:2, d18:2/22:1, d16:1/24:2) levels</t>
  </si>
  <si>
    <t>metab_compid_57477</t>
  </si>
  <si>
    <t>3beta-hydroxy-5-cholestenoate levels</t>
  </si>
  <si>
    <t>metab_compid_54805</t>
  </si>
  <si>
    <t>N-acetylkynurenine (2) levels</t>
  </si>
  <si>
    <t>metab_compid_48757</t>
  </si>
  <si>
    <t>Dopamine 4-sulfate levels</t>
  </si>
  <si>
    <t>metab_compid_48406</t>
  </si>
  <si>
    <t>Sphingomyelin (d17:1/16:0, d18:1/15:0, d16:1/17:0) levels</t>
  </si>
  <si>
    <t>metab_compid_52433</t>
  </si>
  <si>
    <t>Adipoylcarnitine (C6-DC) levels</t>
  </si>
  <si>
    <t>metab_compid_52988</t>
  </si>
  <si>
    <t>Dopamine 3-o-sulfate levels</t>
  </si>
  <si>
    <t>metab_compid_48407</t>
  </si>
  <si>
    <t>Lignoceroyl sphingomyelin (d18:1/24:0) levels</t>
  </si>
  <si>
    <t>metab_compid_57330</t>
  </si>
  <si>
    <t>N-acetylglucosamine/n-acetylgalactosamine levels</t>
  </si>
  <si>
    <t>metab_compid_46539</t>
  </si>
  <si>
    <t>Glycochenodeoxycholate 3-sulfate levels</t>
  </si>
  <si>
    <t>metab_compid_52974</t>
  </si>
  <si>
    <t>Trans 3,4-methyleneheptanoate levels</t>
  </si>
  <si>
    <t>Taurodeoxycholic acid 3-sulfate levels</t>
  </si>
  <si>
    <t>metab_compid_46655</t>
  </si>
  <si>
    <t>Phenol glucuronide levels</t>
  </si>
  <si>
    <t>Glycodeoxycholate 3-sulfate levels</t>
  </si>
  <si>
    <t>metab_compid_52975</t>
  </si>
  <si>
    <t>4-hydroxyphenylacetoylcarnitine levels</t>
  </si>
  <si>
    <t>1-stearoyl-2-oleoyl-gpc (18:0/18:1) levels</t>
  </si>
  <si>
    <t>metab_compid_52438</t>
  </si>
  <si>
    <t>Linoleoyl ethanolamide levels</t>
  </si>
  <si>
    <t>metab_compid_52608</t>
  </si>
  <si>
    <t>1,2-dilinoleoyl-GPC (18:2/18:2) levels</t>
  </si>
  <si>
    <t>metab_compid_52603</t>
  </si>
  <si>
    <t>Nonanoylcarnitine (C9) levels</t>
  </si>
  <si>
    <t>metab_compid_61775</t>
  </si>
  <si>
    <t>2-hydroxybutyrate/2-hydroxyisobutyrate levels</t>
  </si>
  <si>
    <t>metab_compid_52281</t>
  </si>
  <si>
    <t>Sphingomyelin (d18:2/23:0, d18:1/23:1, d17:1/24:1) levels</t>
  </si>
  <si>
    <t>metab_compid_52435</t>
  </si>
  <si>
    <t>Tricosanoyl sphingomyelin (d18:1/23:0) levels</t>
  </si>
  <si>
    <t>metab_compid_52436</t>
  </si>
  <si>
    <t>Palmitoyl dihydrosphingomyelin (d18:0/16:0) levels</t>
  </si>
  <si>
    <t>metab_compid_52434</t>
  </si>
  <si>
    <t>1-palmitoleoylglycerol (16:1) levels</t>
  </si>
  <si>
    <t>metab_compid_52431</t>
  </si>
  <si>
    <t>1-stearoyl-2-linoleoyl-gpc (18:0/18:2) levels</t>
  </si>
  <si>
    <t>metab_compid_52452</t>
  </si>
  <si>
    <t>1-palmitoyl-2-palmitoleoyl-gpc (16:0/16:1) levels</t>
  </si>
  <si>
    <t>metab_compid_52470</t>
  </si>
  <si>
    <t>1-stearoyl-2-linoleoyl-GPE (18:0/18:2) levels</t>
  </si>
  <si>
    <t>metab_compid_52446</t>
  </si>
  <si>
    <t>Sphingomyelin (d18:2/24:1, d18:1/24:2) levels</t>
  </si>
  <si>
    <t>metab_compid_52437</t>
  </si>
  <si>
    <t>1-palmitoyl-2-stearoyl-gpc (16:0/18:0) levels</t>
  </si>
  <si>
    <t>metab_compid_52616</t>
  </si>
  <si>
    <t>Oleate/vaccenate (18:1) levels</t>
  </si>
  <si>
    <t>metab_compid_52285</t>
  </si>
  <si>
    <t>1-palmitoyl-2-docosahexaenoyl-GPC (16:0/22:6) levels</t>
  </si>
  <si>
    <t>metab_compid_52610</t>
  </si>
  <si>
    <t>1-(1-enyl-stearoyl)-2-oleoyl-GPE (p-18:0/18:1) levels</t>
  </si>
  <si>
    <t>metab_compid_52614</t>
  </si>
  <si>
    <t>1-stearoyl-2-arachidonoyl-GPE (18:0/20:4) levels</t>
  </si>
  <si>
    <t>metab_compid_52447</t>
  </si>
  <si>
    <t>1-stearoyl-2-docosahexaenoyl-gpc (18:0/22:6) levels</t>
  </si>
  <si>
    <t>metab_compid_52611</t>
  </si>
  <si>
    <t>Sphingomyelin (d18:1/17:0, d17:1/18:0, d19:1/16:0) levels</t>
  </si>
  <si>
    <t>metab_compid_52615</t>
  </si>
  <si>
    <t>1-(1-enyl-palmitoyl)-2-arachidonoyl-GPE (p-16:0/20:4) levels</t>
  </si>
  <si>
    <t>metab_compid_52673</t>
  </si>
  <si>
    <t>Myristoyl dihydrosphingomyelin (d18:0/14:0) levels</t>
  </si>
  <si>
    <t>metab_compid_57365</t>
  </si>
  <si>
    <t>5-hydroxyindole sulfate levels</t>
  </si>
  <si>
    <t>metab_compid_52914</t>
  </si>
  <si>
    <t>1-palmitoyl-2-dihomo-linolenoyl-GPC (16:0/20:3n3 or 6) levels</t>
  </si>
  <si>
    <t>metab_compid_52454</t>
  </si>
  <si>
    <t>1-(1-enyl-palmitoyl)-2-arachidonoyl-GPC (P-16:0/20:4) levels</t>
  </si>
  <si>
    <t>metab_compid_52689</t>
  </si>
  <si>
    <t>Sphingomyelin (d18:1/21:0, d17:1/22:0, d16:1/23:0) levels</t>
  </si>
  <si>
    <t>metab_compid_52495</t>
  </si>
  <si>
    <t>1-palmitoyl-2-arachidonoyl-GPE (16:0/20:4) levels</t>
  </si>
  <si>
    <t>metab_compid_52464</t>
  </si>
  <si>
    <t>Lactosyl-N-palmitoyl-sphingosine (d18:1/16:0) levels</t>
  </si>
  <si>
    <t>metab_compid_53010</t>
  </si>
  <si>
    <t>Sphingomyelin (d18:0/18:0, d19:0/17:0) levels</t>
  </si>
  <si>
    <t>metab_compid_57473</t>
  </si>
  <si>
    <t>1-(1-enyl-palmitoyl)-2-oleoyl-GPC (P-16:0/18:1) levels</t>
  </si>
  <si>
    <t>metab_compid_52478</t>
  </si>
  <si>
    <t>1-(1-enyl-stearoyl)-2-arachidonoyl-GPE (p-18:0/20:4) levels</t>
  </si>
  <si>
    <t>metab_compid_52475</t>
  </si>
  <si>
    <t>Behenoyl dihydrosphingomyelin (d18:0/22:0) levels</t>
  </si>
  <si>
    <t>metab_compid_57331</t>
  </si>
  <si>
    <t>1-(1-enyl-palmitoyl)-2-linoleoyl-GPC (p-16:0/18:2) levels</t>
  </si>
  <si>
    <t>metab_compid_52682</t>
  </si>
  <si>
    <t>1-(1-enyl-palmitoyl)-2-oleoyl-GPE (p-16:0/18:1) levels</t>
  </si>
  <si>
    <t>metab_compid_52477</t>
  </si>
  <si>
    <t>1-palmitoyl-2-arachidonoyl-GPI (16:0/20:4) levels</t>
  </si>
  <si>
    <t>metab_compid_52467</t>
  </si>
  <si>
    <t>1-palmitoyl-2-docosahexaenoyl-GPE (16:0/22:6) levels</t>
  </si>
  <si>
    <t>metab_compid_52465</t>
  </si>
  <si>
    <t>N-palmitoyl-sphinganine (d18:0/16:0) levels</t>
  </si>
  <si>
    <t>metab_compid_52604</t>
  </si>
  <si>
    <t>1-stearoyl-2-docosahexaenoyl-GPE (18:0/22:6) levels</t>
  </si>
  <si>
    <t>metab_compid_52466</t>
  </si>
  <si>
    <t>Gamma-tocopherol/beta-tocopherol levels</t>
  </si>
  <si>
    <t>metab_compid_52473</t>
  </si>
  <si>
    <t>1-stearoyl-2-linoleoyl-GPI (18:0/18:2) levels</t>
  </si>
  <si>
    <t>metab_compid_52468</t>
  </si>
  <si>
    <t>1,2-dilinoleoyl-GPE (18:2/18:2) levels</t>
  </si>
  <si>
    <t>Phenylacetylglutamate levels</t>
  </si>
  <si>
    <t>metab_compid_52925</t>
  </si>
  <si>
    <t>1-(1-enyl-palmitoyl)-2-palmitoleoyl-GPC (P-16:0/16:1) levels</t>
  </si>
  <si>
    <t>metab_compid_52713</t>
  </si>
  <si>
    <t>Palmitoylcholine levels</t>
  </si>
  <si>
    <t>metab_compid_52944</t>
  </si>
  <si>
    <t>Thioproline levels</t>
  </si>
  <si>
    <t>metab_compid_53231</t>
  </si>
  <si>
    <t>1-linoleoyl-2-arachidonoyl-GPC (18:2/20:4n6) levels</t>
  </si>
  <si>
    <t>metab_compid_52710</t>
  </si>
  <si>
    <t>1-linoleoyl-GPG (18:2) levels</t>
  </si>
  <si>
    <t>metab_compid_54885</t>
  </si>
  <si>
    <t>1-(1-enyl-palmitoyl)-2-linoleoyl-GPE (p-16:0/18:2) levels</t>
  </si>
  <si>
    <t>metab_compid_52677</t>
  </si>
  <si>
    <t>1-(1-enyl-stearoyl)-2-linoleoyl-GPE (p-18:0/18:2) levels</t>
  </si>
  <si>
    <t>metab_compid_52748</t>
  </si>
  <si>
    <t>1-stearoyl-2-oleoyl-GPI (18:0/18:1) levels</t>
  </si>
  <si>
    <t>metab_compid_52726</t>
  </si>
  <si>
    <t>1-myristoyl-2-arachidonoyl-GPC (14:0/20:4) levels</t>
  </si>
  <si>
    <t>metab_compid_53195</t>
  </si>
  <si>
    <t>1-oleoyl-2-arachidonoyl-GPE (18:1/20:4) levels</t>
  </si>
  <si>
    <t>metab_compid_55041</t>
  </si>
  <si>
    <t>1-palmitoyl-2-oleoyl-GPI (16:0/18:1) levels</t>
  </si>
  <si>
    <t>metab_compid_52669</t>
  </si>
  <si>
    <t>1-oleoyl-2-docosahexaenoyl-GPC (18:1/22:6) levels</t>
  </si>
  <si>
    <t>metab_compid_52697</t>
  </si>
  <si>
    <t>1-oleoyl-2-linoleoyl-GPE (18:1/18:2) levels</t>
  </si>
  <si>
    <t>metab_compid_52687</t>
  </si>
  <si>
    <t>1-(1-enyl-palmitoyl)-2-palmitoyl-GPC (P-16:0/16:0) levels</t>
  </si>
  <si>
    <t>metab_compid_52716</t>
  </si>
  <si>
    <t>Oleoylcholine levels</t>
  </si>
  <si>
    <t>metab_compid_53260</t>
  </si>
  <si>
    <t>Glycosyl-N-palmitoyl-sphingosine (d18:1/16:0) levels</t>
  </si>
  <si>
    <t>metab_compid_53013</t>
  </si>
  <si>
    <t>Arachidonoylcholine levels</t>
  </si>
  <si>
    <t>metab_compid_53261</t>
  </si>
  <si>
    <t>2-methylserine levels</t>
  </si>
  <si>
    <t>(S)-3-hydroxybutyrylcarnitine levels</t>
  </si>
  <si>
    <t>metab_compid_52984</t>
  </si>
  <si>
    <t>Methylsuccinoylcarnitine levels</t>
  </si>
  <si>
    <t>Dihomo-linolenoyl-choline levels</t>
  </si>
  <si>
    <t>metab_compid_53262</t>
  </si>
  <si>
    <t>Docosahexaenoylcholine levels</t>
  </si>
  <si>
    <t>metab_compid_53263</t>
  </si>
  <si>
    <t>Glycocholate glucuronide (1) levels</t>
  </si>
  <si>
    <t>metab_compid_52977</t>
  </si>
  <si>
    <t>Caffeic acid sulfate levels</t>
  </si>
  <si>
    <t>metab_compid_53254</t>
  </si>
  <si>
    <t>Ascorbic acid 2-sulfate levels</t>
  </si>
  <si>
    <t>metab_compid_63590</t>
  </si>
  <si>
    <t>1-linoleoyl-2-linolenoyl-GPC (18:2/18:3) levels</t>
  </si>
  <si>
    <t>metab_compid_53176</t>
  </si>
  <si>
    <t>Catechol glucuronide levels</t>
  </si>
  <si>
    <t>Furaneol sulfate levels</t>
  </si>
  <si>
    <t>Lactosyl-N-nervonoyl-sphingosine (d18:1/24:1) levels</t>
  </si>
  <si>
    <t>metab_compid_57370</t>
  </si>
  <si>
    <t>N-oleoylserine levels</t>
  </si>
  <si>
    <t>metab_compid_57664</t>
  </si>
  <si>
    <t>Perfluorooctanesulfonate (PFOS) levels</t>
  </si>
  <si>
    <t>metab_compid_57564</t>
  </si>
  <si>
    <t>Pimeloylcarnitine/3-methyladipoylcarnitine (C7-DC) levels</t>
  </si>
  <si>
    <t>1-palmitoleoyl-2-linolenoyl-GPC (16:1/18:3) levels</t>
  </si>
  <si>
    <t>metab_compid_53180</t>
  </si>
  <si>
    <t>Linoleoyl-arachidonoyl-glycerol (18:2/20:4) [1] levels</t>
  </si>
  <si>
    <t>metab_compid_54955</t>
  </si>
  <si>
    <t>Hexadecadienoate (16:2n6) levels</t>
  </si>
  <si>
    <t>metab_compid_57652</t>
  </si>
  <si>
    <t>Glycosyl-N-behenoyl-sphingadienine (d18:2/22:0) levels</t>
  </si>
  <si>
    <t>metab_compid_57421</t>
  </si>
  <si>
    <t>4-hydroxyphenylacetylglutamine levels</t>
  </si>
  <si>
    <t>metab_compid_55017</t>
  </si>
  <si>
    <t>Gamma-glutamyl-alpha-lysine levels</t>
  </si>
  <si>
    <t>metab_compid_55015</t>
  </si>
  <si>
    <t>N-palmitoyl-sphingadienine (d18:2/16:0) levels</t>
  </si>
  <si>
    <t>metab_compid_57416</t>
  </si>
  <si>
    <t>Linoleoyl-arachidonoyl-glycerol (18:2/20:4) [2] levels</t>
  </si>
  <si>
    <t>metab_compid_54956</t>
  </si>
  <si>
    <t>Palmitoleoylcarnitine (C16:1) levels</t>
  </si>
  <si>
    <t>metab_compid_53223</t>
  </si>
  <si>
    <t>N-stearoyl-sphingadienine (d18:2/18:0) levels</t>
  </si>
  <si>
    <t>metab_compid_57417</t>
  </si>
  <si>
    <t>2,3-dihydroxy-2-methylbutyrate levels</t>
  </si>
  <si>
    <t>metab_compid_57547</t>
  </si>
  <si>
    <t>Stearoylcholine levels</t>
  </si>
  <si>
    <t>metab_compid_57464</t>
  </si>
  <si>
    <t>Glycosyl-N-tricosanoyl-sphingadienine (d18:2/23:0) levels</t>
  </si>
  <si>
    <t>metab_compid_57445</t>
  </si>
  <si>
    <t>N-palmitoyl-heptadecasphingosine (d17:1/16:0) levels</t>
  </si>
  <si>
    <t>metab_compid_57430</t>
  </si>
  <si>
    <t>Ceramide (d18:1/14:0, d16:1/16:0) levels</t>
  </si>
  <si>
    <t>metab_compid_57432</t>
  </si>
  <si>
    <t>Glycosyl-N-(2-hydroxynervonoyl)-sphingosine (d18:1/24:1(2OH)) levels</t>
  </si>
  <si>
    <t>metab_compid_57444</t>
  </si>
  <si>
    <t>Glycosyl ceramide (d18:2/24:1, d18:1/24:2) levels</t>
  </si>
  <si>
    <t>metab_compid_57453</t>
  </si>
  <si>
    <t>Glycosyl ceramide (d18:1/23:1, d17:1/24:1) levels</t>
  </si>
  <si>
    <t>metab_compid_57448</t>
  </si>
  <si>
    <t>Sphingadienine levels</t>
  </si>
  <si>
    <t>metab_compid_57426</t>
  </si>
  <si>
    <t>Ceramide (d18:1/17:0, d17:1/18:0) levels</t>
  </si>
  <si>
    <t>metab_compid_57434</t>
  </si>
  <si>
    <t>Nisinate (24:6n3) levels</t>
  </si>
  <si>
    <t>metab_compid_57810</t>
  </si>
  <si>
    <t>Sphingomyelin (d18:0/20:0, d16:0/22:0) levels</t>
  </si>
  <si>
    <t>metab_compid_57476</t>
  </si>
  <si>
    <t>Sphingomyelin (d18:2/24:2) levels</t>
  </si>
  <si>
    <t>metab_compid_57479</t>
  </si>
  <si>
    <t>Sphingomyelin (d17:2/16:0, d18:2/15:0) levels</t>
  </si>
  <si>
    <t>metab_compid_57483</t>
  </si>
  <si>
    <t>Sphingomyelin (d18:2/23:1) levels</t>
  </si>
  <si>
    <t>metab_compid_57482</t>
  </si>
  <si>
    <t>Behenoylcarnitine (C22) levels</t>
  </si>
  <si>
    <t>metab_compid_57514</t>
  </si>
  <si>
    <t>Sphingomyelin (d18:2/18:1) levels</t>
  </si>
  <si>
    <t>metab_compid_57474</t>
  </si>
  <si>
    <t>Sphingomyelin (d18:2/21:0, d16:2/23:0) levels</t>
  </si>
  <si>
    <t>metab_compid_57480</t>
  </si>
  <si>
    <t>Linoleoylcholine levels</t>
  </si>
  <si>
    <t>metab_compid_57463</t>
  </si>
  <si>
    <t>Sphingomyelin (d18:1/19:0, d19:1/18:0) levels</t>
  </si>
  <si>
    <t>metab_compid_57475</t>
  </si>
  <si>
    <t>Linolenoylcarnitine (C18:3) levels</t>
  </si>
  <si>
    <t>metab_compid_57511</t>
  </si>
  <si>
    <t>Heneicosapentaenoate (21:5n3) levels</t>
  </si>
  <si>
    <t>Sphingomyelin (d18:1/25:0, d19:0/24:1, d20:1/23:0, d19:1/24:0) levels</t>
  </si>
  <si>
    <t>metab_compid_57478</t>
  </si>
  <si>
    <t>Arachidoylcarnitine (C20) levels</t>
  </si>
  <si>
    <t>metab_compid_57513</t>
  </si>
  <si>
    <t>Cerotoylcarnitine (C26) levels</t>
  </si>
  <si>
    <t>metab_compid_57516</t>
  </si>
  <si>
    <t>Lignoceroylcarnitine (C24) levels</t>
  </si>
  <si>
    <t>metab_compid_57515</t>
  </si>
  <si>
    <t>Docosatrienoate (22:3n6) levels</t>
  </si>
  <si>
    <t>Dihomo-linolenoylcarnitine (C20:3n3 or 6) levels</t>
  </si>
  <si>
    <t>metab_compid_57521</t>
  </si>
  <si>
    <t>Carotene diol (2) levels</t>
  </si>
  <si>
    <t>metab_compid_57636</t>
  </si>
  <si>
    <t>Ethyl alpha-glucopyranoside levels</t>
  </si>
  <si>
    <t>metab_compid_63152</t>
  </si>
  <si>
    <t>Carotene diol (1) levels</t>
  </si>
  <si>
    <t>metab_compid_57635</t>
  </si>
  <si>
    <t>Nervonoylcarnitine (C24:1) levels</t>
  </si>
  <si>
    <t>metab_compid_57531</t>
  </si>
  <si>
    <t>Dihomo-linoleoylcarnitine (C20:2) levels</t>
  </si>
  <si>
    <t>metab_compid_57520</t>
  </si>
  <si>
    <t>Glycosyl ceramide (d18:1/20:0, d16:1/22:0) levels</t>
  </si>
  <si>
    <t>metab_compid_57595</t>
  </si>
  <si>
    <t>Docosahexaenoylcarnitine (C22:6) levels</t>
  </si>
  <si>
    <t>metab_compid_57523</t>
  </si>
  <si>
    <t>N,N,N-trimethyl-5-aminovalerate levels</t>
  </si>
  <si>
    <t>metab_compid_57687</t>
  </si>
  <si>
    <t>Eicosenoylcarnitine (C20:1) levels</t>
  </si>
  <si>
    <t>metab_compid_57519</t>
  </si>
  <si>
    <t>Ximenoylcarnitine (C26:1) levels</t>
  </si>
  <si>
    <t>metab_compid_57517</t>
  </si>
  <si>
    <t>Arachidonoylcarnitine (C20:4) levels</t>
  </si>
  <si>
    <t>metab_compid_57518</t>
  </si>
  <si>
    <t>5-dodecenoylcarnitine (C12:1) levels</t>
  </si>
  <si>
    <t>metab_compid_61769</t>
  </si>
  <si>
    <t>2-butenoylglycine levels</t>
  </si>
  <si>
    <t>(N(1) + N(8))-acetylspermidine levels</t>
  </si>
  <si>
    <t>metab_compid_57814</t>
  </si>
  <si>
    <t>Hydroxy-cmpf levels</t>
  </si>
  <si>
    <t>metab_compid_62277</t>
  </si>
  <si>
    <t>2-furoylcarnitine levels</t>
  </si>
  <si>
    <t>Cortolone glucuronide (1) levels</t>
  </si>
  <si>
    <t>metab_compid_48011</t>
  </si>
  <si>
    <t>Carotene diol (3) levels</t>
  </si>
  <si>
    <t>metab_compid_57637</t>
  </si>
  <si>
    <t>3-hydroxyoleoylcarnitine levels</t>
  </si>
  <si>
    <t>metab_compid_61840</t>
  </si>
  <si>
    <t>Dodecenedioate (C12:1-DC) levels</t>
  </si>
  <si>
    <t>metab_compid_61864</t>
  </si>
  <si>
    <t>Trans-2-hexenoylglycine levels</t>
  </si>
  <si>
    <t>metab_compid_61798</t>
  </si>
  <si>
    <t>2-hydroxyarachidate levels</t>
  </si>
  <si>
    <t>metab_compid_61700</t>
  </si>
  <si>
    <t>3-hydroxyphenylacetoylglutamine levels</t>
  </si>
  <si>
    <t>Heptenedioate (C7:1-DC) levels</t>
  </si>
  <si>
    <t>metab_compid_61866</t>
  </si>
  <si>
    <t>Hexadecenedioate (C16:1-DC) levels</t>
  </si>
  <si>
    <t>metab_compid_61862</t>
  </si>
  <si>
    <t>Octadecenedioate (C18:1-DC) levels</t>
  </si>
  <si>
    <t>metab_compid_61861</t>
  </si>
  <si>
    <t>Dihydroferulic acid sulfate levels</t>
  </si>
  <si>
    <t>metab_compid_62857</t>
  </si>
  <si>
    <t>Glutamine conjugate of C7H12O2 levels</t>
  </si>
  <si>
    <t>metab_compid_47000</t>
  </si>
  <si>
    <t>Hydroxyasparagine levels</t>
  </si>
  <si>
    <t>Sphingomyelin (d17:1/14:0, d16:1/15:0) levels</t>
  </si>
  <si>
    <t>metab_compid_62152</t>
  </si>
  <si>
    <t>Octadecadienedioate (C18:2-DC) levels</t>
  </si>
  <si>
    <t>metab_compid_61860</t>
  </si>
  <si>
    <t>Perfluorooctanoate (PFOA) levels</t>
  </si>
  <si>
    <t>metab_compid_62071</t>
  </si>
  <si>
    <t>3-carboxy-4-methyl-5-pentyl-2-furanpropionate (3-CMPFP) levels</t>
  </si>
  <si>
    <t>Glutamine conjugate of C6H10O2 (2) levels</t>
  </si>
  <si>
    <t>metab_compid_63660</t>
  </si>
  <si>
    <t>3-hydroxybutyroylglycine levels</t>
  </si>
  <si>
    <t>Glycine conjugate of C10H14O2 (1) levels</t>
  </si>
  <si>
    <t>metab_compid_62146</t>
  </si>
  <si>
    <t>Glutamine conjugate of C6H10O2 (1) levels</t>
  </si>
  <si>
    <t>metab_compid_63657</t>
  </si>
  <si>
    <t>N-methylhydroxyproline levels</t>
  </si>
  <si>
    <t>Glucuronide of C10H18O2 (7) levels</t>
  </si>
  <si>
    <t>metab_compid_61887</t>
  </si>
  <si>
    <t>Glyco-beta-muricholate levels</t>
  </si>
  <si>
    <t>Glucuronide of C12H22O4 (1) levels</t>
  </si>
  <si>
    <t>N,n,n-trimethyl-alanylproline betaine (tmap) levels</t>
  </si>
  <si>
    <t>metab_compid_40097</t>
  </si>
  <si>
    <t>Glycine conjugate of C10H12O2 levels</t>
  </si>
  <si>
    <t>metab_compid_62145</t>
  </si>
  <si>
    <t>N-acetyl-2-aminooctanoate levels</t>
  </si>
  <si>
    <t>metab_compid_62059</t>
  </si>
  <si>
    <t>3-formylindole levels</t>
  </si>
  <si>
    <t>metab_compid_46738</t>
  </si>
  <si>
    <t>Gamma-glutamylcitrulline levels</t>
  </si>
  <si>
    <t>metab_compid_62104</t>
  </si>
  <si>
    <t>8-methoxykynurenate levels</t>
  </si>
  <si>
    <t>metab_compid_57815</t>
  </si>
  <si>
    <t>Tetradecadienoate (14:2) levels</t>
  </si>
  <si>
    <t>metab_compid_46618</t>
  </si>
  <si>
    <t>3-amino-2-piperidone levels</t>
  </si>
  <si>
    <t>metab_compid_54704</t>
  </si>
  <si>
    <t>Glucuronide of piperine metabolite C17H21NO3 (3) levels</t>
  </si>
  <si>
    <t>metab_compid_62290</t>
  </si>
  <si>
    <t>Dodecadienoate (12:2) levels</t>
  </si>
  <si>
    <t>metab_compid_62276</t>
  </si>
  <si>
    <t>N-lactoyl tyrosine levels</t>
  </si>
  <si>
    <t>metab_compid_64882</t>
  </si>
  <si>
    <t>N,N-dimethylalanine levels</t>
  </si>
  <si>
    <t>metab_compid_63151</t>
  </si>
  <si>
    <t>Ethyl beta-glucopyranoside levels</t>
  </si>
  <si>
    <t>metab_compid_49014</t>
  </si>
  <si>
    <t>N-lactoyl phenylalanine levels</t>
  </si>
  <si>
    <t>metab_compid_64881</t>
  </si>
  <si>
    <t>N-acetyl-isoputreanine levels</t>
  </si>
  <si>
    <t>metab_compid_62309</t>
  </si>
  <si>
    <t>2,2'-Methylenebis(6-tert-butyl-p-cresol) levels</t>
  </si>
  <si>
    <t>metab_compid_62885</t>
  </si>
  <si>
    <t>N-lactoyl isoleucine levels</t>
  </si>
  <si>
    <t>metab_compid_64879</t>
  </si>
  <si>
    <t>2-hydroxysebacate levels</t>
  </si>
  <si>
    <t>Ascorbic acid 3-sulfate levels</t>
  </si>
  <si>
    <t>metab_compid_63687</t>
  </si>
  <si>
    <t>N-lactoyl valine levels</t>
  </si>
  <si>
    <t>metab_compid_64883</t>
  </si>
  <si>
    <t>6-bromotryptophan levels</t>
  </si>
  <si>
    <t>metab_compid_62503</t>
  </si>
  <si>
    <t>Delta-CEHC levels</t>
  </si>
  <si>
    <t>Indoleacetoylcarnitine levels</t>
  </si>
  <si>
    <t>metab_compid_62279</t>
  </si>
  <si>
    <t>N-lactoyl leucine levels</t>
  </si>
  <si>
    <t>metab_compid_64880</t>
  </si>
  <si>
    <t>3-indoleglyoxylic acid levels</t>
  </si>
  <si>
    <t>metab_compid_49228</t>
  </si>
  <si>
    <t>Sulfate of piperine metabolite C18H21NO3 (1) levels</t>
  </si>
  <si>
    <t>metab_compid_62297</t>
  </si>
  <si>
    <t>Methyl vanillate sulfate levels</t>
  </si>
  <si>
    <t>Glucuronide of piperine metabolite C17H21NO3 (4) levels</t>
  </si>
  <si>
    <t>metab_compid_62291</t>
  </si>
  <si>
    <t>Sulfate of piperine metabolite C16H19NO3 (3) levels</t>
  </si>
  <si>
    <t>metab_compid_62296</t>
  </si>
  <si>
    <t>Sulfate of piperine metabolite C16H19NO3 (2) levels</t>
  </si>
  <si>
    <t>metab_compid_62295</t>
  </si>
  <si>
    <t>3-hydroxypyridine glucuronide levels</t>
  </si>
  <si>
    <t>metab_compid_63236</t>
  </si>
  <si>
    <t>Glucuronide of piperine metabolite C17H21NO3 (5) levels</t>
  </si>
  <si>
    <t>metab_compid_62292</t>
  </si>
  <si>
    <t>2-naphthol sulfate levels</t>
  </si>
  <si>
    <t>metab_compid_62520</t>
  </si>
  <si>
    <t>11beta-hydroxyandrosterone glucuronide levels</t>
  </si>
  <si>
    <t>metab_compid_46634</t>
  </si>
  <si>
    <t>4-ethylcatechol sulfate levels</t>
  </si>
  <si>
    <t>metab_compid_46614</t>
  </si>
  <si>
    <t>Sulfate of piperine metabolite C18H21NO3 (3) levels</t>
  </si>
  <si>
    <t>metab_compid_62299</t>
  </si>
  <si>
    <t>(2,4 or 2,5)-dimethylphenol sulfate levels</t>
  </si>
  <si>
    <t>metab_compid_62533</t>
  </si>
  <si>
    <t>11beta-hydroxyetiocholanolone glucuronide levels</t>
  </si>
  <si>
    <t>metab_compid_64418</t>
  </si>
  <si>
    <t>Cholic acid glucuronide levels</t>
  </si>
  <si>
    <t>metab_compid_62571</t>
  </si>
  <si>
    <t>4-allylcatechol sulfate levels</t>
  </si>
  <si>
    <t>metab_compid_46358</t>
  </si>
  <si>
    <t>Glycoursodeoxycholic acid sulfate (1) levels</t>
  </si>
  <si>
    <t>metab_compid_63731</t>
  </si>
  <si>
    <t>Dihydrocaffeate sulfate (2) levels</t>
  </si>
  <si>
    <t>metab_compid_62524</t>
  </si>
  <si>
    <t>4-methylhexanoylglutamine levels</t>
  </si>
  <si>
    <t>metab_compid_62735</t>
  </si>
  <si>
    <t>2-ketocaprylate levels</t>
  </si>
  <si>
    <t>metab_compid_46456</t>
  </si>
  <si>
    <t>3-hydroxy-2-methylpyridine sulfate levels</t>
  </si>
  <si>
    <t>metab_compid_63227</t>
  </si>
  <si>
    <t>5-hydroxy-2-methylpyridine sulfate levels</t>
  </si>
  <si>
    <t>metab_compid_63230</t>
  </si>
  <si>
    <t>3-ethylcatechol sulfate (2) levels</t>
  </si>
  <si>
    <t>3-hydroxyhexanoylcarnitine (1) levels</t>
  </si>
  <si>
    <t>metab_compid_62557</t>
  </si>
  <si>
    <t>2,6-dihydroxybenzoic acid levels</t>
  </si>
  <si>
    <t>metab_compid_46355</t>
  </si>
  <si>
    <t>3-ethylcatechol sulfate (1) levels</t>
  </si>
  <si>
    <t>metab_compid_62796</t>
  </si>
  <si>
    <t>Lithocholate sulfate (1) levels</t>
  </si>
  <si>
    <t>metab_compid_62526</t>
  </si>
  <si>
    <t>4-acetylcatechol sulfate (1) levels</t>
  </si>
  <si>
    <t>metab_compid_62798</t>
  </si>
  <si>
    <t>2,3-dihydroxy-5-methylthio-4-pentenoate (dmtpa) levels</t>
  </si>
  <si>
    <t>metab_compid_46260</t>
  </si>
  <si>
    <t>Picolinoylglycine levels</t>
  </si>
  <si>
    <t>metab_compid_47909</t>
  </si>
  <si>
    <t>Succinoyltaurine levels</t>
  </si>
  <si>
    <t>metab_compid_63678</t>
  </si>
  <si>
    <t>Undecenoylcarnitine (C11:1) levels</t>
  </si>
  <si>
    <t>metab_compid_47821</t>
  </si>
  <si>
    <t>Palmitoyl-sphingosine-phosphoethanolamine (d18:1/16:0) levels</t>
  </si>
  <si>
    <t>metab_compid_52135</t>
  </si>
  <si>
    <t>Pregnenetriol disulfate levels</t>
  </si>
  <si>
    <t>metab_compid_46599</t>
  </si>
  <si>
    <t>Tetradecadienedioate (C14:2-DC) levels</t>
  </si>
  <si>
    <t>metab_compid_62918</t>
  </si>
  <si>
    <t>Hydroxy-N6,N6,N6-trimethyllysine levels</t>
  </si>
  <si>
    <t>metab_compid_52769</t>
  </si>
  <si>
    <t>Pregnenetriol sulfate levels</t>
  </si>
  <si>
    <t>metab_compid_57715</t>
  </si>
  <si>
    <t>Taurochenodeoxycholic acid 3-sulfate levels</t>
  </si>
  <si>
    <t>metab_compid_46652</t>
  </si>
  <si>
    <t>Hydroxypalmitoyl sphingomyelin (d18:1/16:0(OH)) levels</t>
  </si>
  <si>
    <t>5-hydroxymethyl-2-furoylcarnitine levels</t>
  </si>
  <si>
    <t>Eicosenedioate (C20:1-DC) levels</t>
  </si>
  <si>
    <t>metab_compid_47652</t>
  </si>
  <si>
    <t>3-hydroxydecanoylcarnitine levels</t>
  </si>
  <si>
    <t>metab_compid_63358</t>
  </si>
  <si>
    <t>Levulinoylcarnitine levels</t>
  </si>
  <si>
    <t>Cis 3,4-methyleneheptanoate levels</t>
  </si>
  <si>
    <t>Branched-chain, straight-chain, or cyclopropyl 12:1 fatty acid levels</t>
  </si>
  <si>
    <t>metab_compid_48067</t>
  </si>
  <si>
    <t>Deoxycholic acid 12-sulfate levels</t>
  </si>
  <si>
    <t>metab_compid_46677</t>
  </si>
  <si>
    <t>Branched-chain, straight-chain, or cyclopropyl 10:1 fatty acid (1) levels</t>
  </si>
  <si>
    <t>metab_compid_63615</t>
  </si>
  <si>
    <t>3,5-dichloro-2,6-dihydroxybenzoic acid levels</t>
  </si>
  <si>
    <t>metab_compid_46366</t>
  </si>
  <si>
    <t>Vanillic acid glycine levels</t>
  </si>
  <si>
    <t>(S)-a-amino-omega-caprolactam levels</t>
  </si>
  <si>
    <t>3-bromo-5-chloro-2,6-dihydroxybenzoic acid levels</t>
  </si>
  <si>
    <t>metab_compid_46368</t>
  </si>
  <si>
    <t>Dibutyl sulfosuccinate levels</t>
  </si>
  <si>
    <t>Metabolonic lactone sulfate levels</t>
  </si>
  <si>
    <t>metab_compid_46588</t>
  </si>
  <si>
    <t>2-hydroxy-4-(methylthio)butanoic acid levels</t>
  </si>
  <si>
    <t>metab_compid_63739</t>
  </si>
  <si>
    <t>Pentose acid levels</t>
  </si>
  <si>
    <t>metab_compid_63264</t>
  </si>
  <si>
    <t>Branched chain 14:0 dicarboxylic acid levels</t>
  </si>
  <si>
    <t>S-carboxyethylcysteine levels</t>
  </si>
  <si>
    <t>metab_compid_64177</t>
  </si>
  <si>
    <t>N-succinyl-phenylalanine levels</t>
  </si>
  <si>
    <t>(2 or 3)-decenoate (10:1n7 or n8) levels</t>
  </si>
  <si>
    <t>metab_compid_48996</t>
  </si>
  <si>
    <t>Bilirubin degradation product, C17H20N2O5 (2) levels</t>
  </si>
  <si>
    <t>Bilirubin degradation product, C16H18N2O5 (4) levels</t>
  </si>
  <si>
    <t>Cis-3,4-methyleneheptanoylcarnitine levels</t>
  </si>
  <si>
    <t>metab_compid_64389</t>
  </si>
  <si>
    <t>Tetrahydrocortisol glucuronide levels</t>
  </si>
  <si>
    <t>metab_compid_46662</t>
  </si>
  <si>
    <t>N-acetyl-2-aminoadipate levels</t>
  </si>
  <si>
    <t>metab_compid_49466</t>
  </si>
  <si>
    <t>Bilirubin degradation product, C17H20N2O5 (1) levels</t>
  </si>
  <si>
    <t>2-methoxyhydroquinone sulfate (1) levels</t>
  </si>
  <si>
    <t>metab_compid_64049</t>
  </si>
  <si>
    <t>Bilirubin degradation product, C16H18N2O5 (3) levels</t>
  </si>
  <si>
    <t>3-hydroxyoctanoylcarnitine (1) levels</t>
  </si>
  <si>
    <t>metab_compid_46640</t>
  </si>
  <si>
    <t>2-methoxyhydroquinone sulfate (2) levels</t>
  </si>
  <si>
    <t>Cis-3,4-methyleneheptanoylglycine levels</t>
  </si>
  <si>
    <t>metab_compid_47013</t>
  </si>
  <si>
    <t>Bilirubin degradation product, C16H18N2O5 (2) levels</t>
  </si>
  <si>
    <t>2,4-di-tert-butylphenol levels</t>
  </si>
  <si>
    <t>metab_compid_46621</t>
  </si>
  <si>
    <t>Bilirubin degradation product, C16H18N2O5 (1) levels</t>
  </si>
  <si>
    <t>3-hydroxyoctanoylcarnitine (2) levels</t>
  </si>
  <si>
    <t>metab_compid_64394</t>
  </si>
  <si>
    <t>Pantothenate levels</t>
  </si>
  <si>
    <t>metab_compid_1508</t>
  </si>
  <si>
    <t>5-oxoproline levels</t>
  </si>
  <si>
    <t>metab_compid_1494</t>
  </si>
  <si>
    <t>Phosphoethanolamine levels</t>
  </si>
  <si>
    <t>metab_compid_1600</t>
  </si>
  <si>
    <t>Picolinate levels</t>
  </si>
  <si>
    <t>metab_compid_1512</t>
  </si>
  <si>
    <t>3-ureidopropionate levels</t>
  </si>
  <si>
    <t>metab_compid_3155</t>
  </si>
  <si>
    <t>Erucate (22:1n9) levels</t>
  </si>
  <si>
    <t>metab_compid_1552</t>
  </si>
  <si>
    <t>Xanthine levels</t>
  </si>
  <si>
    <t>metab_compid_3147</t>
  </si>
  <si>
    <t>Allantoin levels</t>
  </si>
  <si>
    <t>metab_compid_1107</t>
  </si>
  <si>
    <t>N-acetylvaline levels</t>
  </si>
  <si>
    <t>metab_compid_1591</t>
  </si>
  <si>
    <t>N-acetylleucine levels</t>
  </si>
  <si>
    <t>metab_compid_1587</t>
  </si>
  <si>
    <t>N-acetylmethionine levels</t>
  </si>
  <si>
    <t>metab_compid_1589</t>
  </si>
  <si>
    <t>Glycerate levels</t>
  </si>
  <si>
    <t>metab_compid_1572</t>
  </si>
  <si>
    <t>Sarcosine levels</t>
  </si>
  <si>
    <t>metab_compid_1516</t>
  </si>
  <si>
    <t>Trans-4-hydroxyproline levels</t>
  </si>
  <si>
    <t>metab_compid_32306</t>
  </si>
  <si>
    <t>Thyroxine levels</t>
  </si>
  <si>
    <t>metab_compid_2761</t>
  </si>
  <si>
    <t>Pipecolate levels</t>
  </si>
  <si>
    <t>metab_compid_1444</t>
  </si>
  <si>
    <t>Gamma-glutamyltyrosine levels</t>
  </si>
  <si>
    <t>metab_compid_2734</t>
  </si>
  <si>
    <t>Methyl indole-3-acetate levels</t>
  </si>
  <si>
    <t>metab_compid_1584</t>
  </si>
  <si>
    <t>Ursodeoxycholate levels</t>
  </si>
  <si>
    <t>metab_compid_1605</t>
  </si>
  <si>
    <t>3-hydroxy-3-methylglutarate levels</t>
  </si>
  <si>
    <t>metab_compid_531</t>
  </si>
  <si>
    <t>Oleoyl ethanolamide levels</t>
  </si>
  <si>
    <t>metab_compid_38102</t>
  </si>
  <si>
    <t>4-hydroxyphenylpyruvate levels</t>
  </si>
  <si>
    <t>metab_compid_1669</t>
  </si>
  <si>
    <t>Gamma-glutamylglutamine levels</t>
  </si>
  <si>
    <t>metab_compid_2730</t>
  </si>
  <si>
    <t>Alpha-tocopherol levels</t>
  </si>
  <si>
    <t>metab_compid_1561</t>
  </si>
  <si>
    <t>N-acetylalanine levels</t>
  </si>
  <si>
    <t>metab_compid_1585</t>
  </si>
  <si>
    <t>2-aminobutyrate levels</t>
  </si>
  <si>
    <t>metab_compid_42374</t>
  </si>
  <si>
    <t>Butyrate/isobutyrate (4:0) levels</t>
  </si>
  <si>
    <t>metab_compid_46898</t>
  </si>
  <si>
    <t>Urate levels</t>
  </si>
  <si>
    <t>metab_compid_1604</t>
  </si>
  <si>
    <t>3-hydroxyisobutyrate levels</t>
  </si>
  <si>
    <t>metab_compid_1549</t>
  </si>
  <si>
    <t>Vanillylmandelate (VMA) levels</t>
  </si>
  <si>
    <t>metab_compid_1567</t>
  </si>
  <si>
    <t>3-aminoisobutyrate levels</t>
  </si>
  <si>
    <t>metab_compid_1566</t>
  </si>
  <si>
    <t>4-acetamidobutanoate levels</t>
  </si>
  <si>
    <t>metab_compid_1558</t>
  </si>
  <si>
    <t>2-hydroxystearate levels</t>
  </si>
  <si>
    <t>metab_compid_17945</t>
  </si>
  <si>
    <t>N1-methyladenosine levels</t>
  </si>
  <si>
    <t>metab_compid_15650</t>
  </si>
  <si>
    <t>N-acetylneuraminate levels</t>
  </si>
  <si>
    <t>metab_compid_32377</t>
  </si>
  <si>
    <t>Gamma-glutamylhistidine levels</t>
  </si>
  <si>
    <t>metab_compid_18245</t>
  </si>
  <si>
    <t>N-acetylglucosaminylasparagine levels</t>
  </si>
  <si>
    <t>metab_compid_48149</t>
  </si>
  <si>
    <t>Homovanillate (hva) levels</t>
  </si>
  <si>
    <t>Cys-gly, oxidized levels</t>
  </si>
  <si>
    <t>metab_compid_18368</t>
  </si>
  <si>
    <t>Dihomo-linoleate (20:2n6) levels</t>
  </si>
  <si>
    <t>metab_compid_17805</t>
  </si>
  <si>
    <t>Cholate levels</t>
  </si>
  <si>
    <t>metab_compid_22842</t>
  </si>
  <si>
    <t>Beta-hydroxyisovalerate levels</t>
  </si>
  <si>
    <t>metab_compid_12129</t>
  </si>
  <si>
    <t>Creatine levels</t>
  </si>
  <si>
    <t>metab_compid_27718</t>
  </si>
  <si>
    <t>Anthranilate levels</t>
  </si>
  <si>
    <t>metab_compid_4970</t>
  </si>
  <si>
    <t>Gamma-glutamylleucine levels</t>
  </si>
  <si>
    <t>metab_compid_18369</t>
  </si>
  <si>
    <t>Choline levels</t>
  </si>
  <si>
    <t>metab_compid_15506</t>
  </si>
  <si>
    <t>3-methoxytyrosine levels</t>
  </si>
  <si>
    <t>metab_compid_12017</t>
  </si>
  <si>
    <t>3-phosphoglycerate levels</t>
  </si>
  <si>
    <t>1-palmitoyl-2-linoleoyl-GPC (16:0/18:2) levels</t>
  </si>
  <si>
    <t>metab_compid_42446</t>
  </si>
  <si>
    <t>1-palmitoyl-2-oleoyl-GPE (16:0/18:1) levels</t>
  </si>
  <si>
    <t>metab_compid_19263</t>
  </si>
  <si>
    <t>1-palmitoyl-2-linoleoyl-GPI (16:0/18:2) levels</t>
  </si>
  <si>
    <t>metab_compid_52450</t>
  </si>
  <si>
    <t>Taurocholate levels</t>
  </si>
  <si>
    <t>metab_compid_18497</t>
  </si>
  <si>
    <t>Taurodeoxycholate levels</t>
  </si>
  <si>
    <t>metab_compid_12261</t>
  </si>
  <si>
    <t>Stearoyl sphingomyelin (d18:1/18:0) levels</t>
  </si>
  <si>
    <t>metab_compid_19503</t>
  </si>
  <si>
    <t>N-palmitoyl-sphingosine (d18:1/16:0) levels</t>
  </si>
  <si>
    <t>metab_compid_44877</t>
  </si>
  <si>
    <t>Taurochenodeoxycholate levels</t>
  </si>
  <si>
    <t>metab_compid_18494</t>
  </si>
  <si>
    <t>4-hydroxyphenylacetate levels</t>
  </si>
  <si>
    <t>metab_compid_541</t>
  </si>
  <si>
    <t>5,6-dihydrothymine levels</t>
  </si>
  <si>
    <t>metab_compid_1418</t>
  </si>
  <si>
    <t>1-palmitoyl-2-oleoyl-GPC (16:0/18:1) levels</t>
  </si>
  <si>
    <t>metab_compid_52461</t>
  </si>
  <si>
    <t>N-stearoyl-sphingosine (d18:1/18:0) levels</t>
  </si>
  <si>
    <t>metab_compid_54979</t>
  </si>
  <si>
    <t>Glycochenodeoxycholate levels</t>
  </si>
  <si>
    <t>metab_compid_32346</t>
  </si>
  <si>
    <t>N-formylmethionine levels</t>
  </si>
  <si>
    <t>metab_compid_2829</t>
  </si>
  <si>
    <t>N6,n6,n6-trimethyllysine levels</t>
  </si>
  <si>
    <t>metab_compid_1498</t>
  </si>
  <si>
    <t>S-adenosylhomocysteine (SAH) levels</t>
  </si>
  <si>
    <t>metab_compid_42382</t>
  </si>
  <si>
    <t>4-acetaminophen sulfate levels</t>
  </si>
  <si>
    <t>metab_compid_37475</t>
  </si>
  <si>
    <t>2-hydroxyhippurate (salicylurate) levels</t>
  </si>
  <si>
    <t>metab_compid_18281</t>
  </si>
  <si>
    <t>Quinolinate levels</t>
  </si>
  <si>
    <t>metab_compid_1899</t>
  </si>
  <si>
    <t>Eicosapentaenoate (EPA; 20:5n3) levels</t>
  </si>
  <si>
    <t>metab_compid_18467</t>
  </si>
  <si>
    <t>Laurate (12:0) levels</t>
  </si>
  <si>
    <t>metab_compid_1645</t>
  </si>
  <si>
    <t>N-acetylputrescine levels</t>
  </si>
  <si>
    <t>metab_compid_37496</t>
  </si>
  <si>
    <t>Methylsuccinate levels</t>
  </si>
  <si>
    <t>metab_compid_15745</t>
  </si>
  <si>
    <t>9,10-DiHOME levels</t>
  </si>
  <si>
    <t>metab_compid_38399</t>
  </si>
  <si>
    <t>Linoleate (18:2n6) levels</t>
  </si>
  <si>
    <t>metab_compid_1105</t>
  </si>
  <si>
    <t>Adenosine 5'-diphosphate (ADP) levels</t>
  </si>
  <si>
    <t>Adenosine 5'-monophosphate (AMP) levels</t>
  </si>
  <si>
    <t>metab_compid_32342</t>
  </si>
  <si>
    <t>Adenosine 3',5'-cyclic monophosphate (camp) levels</t>
  </si>
  <si>
    <t>Arachidonate (20:4n6) levels</t>
  </si>
  <si>
    <t>metab_compid_1110</t>
  </si>
  <si>
    <t>5-methylthioadenosine (mta) levels</t>
  </si>
  <si>
    <t>metab_compid_1419</t>
  </si>
  <si>
    <t>Cortisone levels</t>
  </si>
  <si>
    <t>metab_compid_1769</t>
  </si>
  <si>
    <t>Beta-alanine levels</t>
  </si>
  <si>
    <t>metab_compid_55</t>
  </si>
  <si>
    <t>Succinate levels</t>
  </si>
  <si>
    <t>metab_compid_1437</t>
  </si>
  <si>
    <t>Choline phosphate levels</t>
  </si>
  <si>
    <t>metab_compid_34396</t>
  </si>
  <si>
    <t>Cysteinylglycine levels</t>
  </si>
  <si>
    <t>metab_compid_35637</t>
  </si>
  <si>
    <t>Phenylpyruvate levels</t>
  </si>
  <si>
    <t>metab_compid_566</t>
  </si>
  <si>
    <t>Cholesterol levels</t>
  </si>
  <si>
    <t>metab_compid_63</t>
  </si>
  <si>
    <t>2-hydroxyphenylacetate levels</t>
  </si>
  <si>
    <t>metab_compid_1432</t>
  </si>
  <si>
    <t>Aspartate levels</t>
  </si>
  <si>
    <t>metab_compid_443</t>
  </si>
  <si>
    <t>3-(4-hydroxyphenyl)lactate levels</t>
  </si>
  <si>
    <t>metab_compid_32197</t>
  </si>
  <si>
    <t>Arginine levels</t>
  </si>
  <si>
    <t>metab_compid_1638</t>
  </si>
  <si>
    <t>Gluconate levels</t>
  </si>
  <si>
    <t>metab_compid_587</t>
  </si>
  <si>
    <t>Sphinganine levels</t>
  </si>
  <si>
    <t>metab_compid_17769</t>
  </si>
  <si>
    <t>Gamma-glutamylglutamate levels</t>
  </si>
  <si>
    <t>metab_compid_36738</t>
  </si>
  <si>
    <t>Flavin adenine dinucleotide (FAD) levels</t>
  </si>
  <si>
    <t>Cortisol levels</t>
  </si>
  <si>
    <t>metab_compid_1712</t>
  </si>
  <si>
    <t>Hypotaurine levels</t>
  </si>
  <si>
    <t>metab_compid_590</t>
  </si>
  <si>
    <t>Glutarate (C5-DC) levels</t>
  </si>
  <si>
    <t>metab_compid_396</t>
  </si>
  <si>
    <t>S-1-pyrroline-5-carboxylate levels</t>
  </si>
  <si>
    <t>metab_compid_42370</t>
  </si>
  <si>
    <t>Cystine levels</t>
  </si>
  <si>
    <t>metab_compid_56</t>
  </si>
  <si>
    <t>Cystathionine levels</t>
  </si>
  <si>
    <t>metab_compid_15705</t>
  </si>
  <si>
    <t>Guanidinoacetate levels</t>
  </si>
  <si>
    <t>metab_compid_43802</t>
  </si>
  <si>
    <t>Sphingosine levels</t>
  </si>
  <si>
    <t>metab_compid_17747</t>
  </si>
  <si>
    <t>Deoxycholate levels</t>
  </si>
  <si>
    <t>metab_compid_1114</t>
  </si>
  <si>
    <t>Glycocholate levels</t>
  </si>
  <si>
    <t>metab_compid_18476</t>
  </si>
  <si>
    <t>Palmitoleate (16:1n7) levels</t>
  </si>
  <si>
    <t>metab_compid_33447</t>
  </si>
  <si>
    <t>Stearate (18:0) levels</t>
  </si>
  <si>
    <t>metab_compid_1358</t>
  </si>
  <si>
    <t>Methionine levels</t>
  </si>
  <si>
    <t>metab_compid_1302</t>
  </si>
  <si>
    <t>Orotate levels</t>
  </si>
  <si>
    <t>metab_compid_1505</t>
  </si>
  <si>
    <t>Phosphate levels</t>
  </si>
  <si>
    <t>metab_compid_42109</t>
  </si>
  <si>
    <t>Inosine levels</t>
  </si>
  <si>
    <t>metab_compid_1123</t>
  </si>
  <si>
    <t>Inosine 5'-monophosphate (IMP) levels</t>
  </si>
  <si>
    <t>Palmitate (16:0) levels</t>
  </si>
  <si>
    <t>metab_compid_1336</t>
  </si>
  <si>
    <t>Malate levels</t>
  </si>
  <si>
    <t>metab_compid_1303</t>
  </si>
  <si>
    <t>Nicotinamide levels</t>
  </si>
  <si>
    <t>metab_compid_594</t>
  </si>
  <si>
    <t>Myo-inositol levels</t>
  </si>
  <si>
    <t>metab_compid_1124</t>
  </si>
  <si>
    <t>Lysine levels</t>
  </si>
  <si>
    <t>metab_compid_1301</t>
  </si>
  <si>
    <t>Citrulline levels</t>
  </si>
  <si>
    <t>metab_compid_2132</t>
  </si>
  <si>
    <t>Ornithine levels</t>
  </si>
  <si>
    <t>metab_compid_1493</t>
  </si>
  <si>
    <t>Retinol (Vitamin A) levels</t>
  </si>
  <si>
    <t>metab_compid_1806</t>
  </si>
  <si>
    <t>1-methylnicotinamide levels</t>
  </si>
  <si>
    <t>metab_compid_27665</t>
  </si>
  <si>
    <t>Uridine levels</t>
  </si>
  <si>
    <t>metab_compid_606</t>
  </si>
  <si>
    <t>Pristanate levels</t>
  </si>
  <si>
    <t>metab_compid_38271</t>
  </si>
  <si>
    <t>Phytanate levels</t>
  </si>
  <si>
    <t>metab_compid_598</t>
  </si>
  <si>
    <t>Proline levels</t>
  </si>
  <si>
    <t>metab_compid_1898</t>
  </si>
  <si>
    <t>Glutamate levels</t>
  </si>
  <si>
    <t>metab_compid_57</t>
  </si>
  <si>
    <t>2'-deoxyuridine levels</t>
  </si>
  <si>
    <t>metab_compid_52602</t>
  </si>
  <si>
    <t>Myristate (14:0) levels</t>
  </si>
  <si>
    <t>metab_compid_1365</t>
  </si>
  <si>
    <t>Serine levels</t>
  </si>
  <si>
    <t>metab_compid_1648</t>
  </si>
  <si>
    <t>Trans-urocanate levels</t>
  </si>
  <si>
    <t>metab_compid_607</t>
  </si>
  <si>
    <t>Urea levels</t>
  </si>
  <si>
    <t>metab_compid_1670</t>
  </si>
  <si>
    <t>Pyridoxal levels</t>
  </si>
  <si>
    <t>Taurine levels</t>
  </si>
  <si>
    <t>metab_compid_2125</t>
  </si>
  <si>
    <t>Salicylate levels</t>
  </si>
  <si>
    <t>metab_compid_1515</t>
  </si>
  <si>
    <t>Serotonin levels</t>
  </si>
  <si>
    <t>metab_compid_2342</t>
  </si>
  <si>
    <t>Spermidine levels</t>
  </si>
  <si>
    <t>metab_compid_485</t>
  </si>
  <si>
    <t>Dimethylglycine levels</t>
  </si>
  <si>
    <t>metab_compid_5086</t>
  </si>
  <si>
    <t>Betaine levels</t>
  </si>
  <si>
    <t>metab_compid_3141</t>
  </si>
  <si>
    <t>Xylose levels</t>
  </si>
  <si>
    <t>Caprate (10:0) levels</t>
  </si>
  <si>
    <t>metab_compid_1642</t>
  </si>
  <si>
    <t>Cytidine levels</t>
  </si>
  <si>
    <t>metab_compid_514</t>
  </si>
  <si>
    <t>Threonine levels</t>
  </si>
  <si>
    <t>metab_compid_1284</t>
  </si>
  <si>
    <t>Cytosine levels</t>
  </si>
  <si>
    <t>12,13-DiHOME levels</t>
  </si>
  <si>
    <t>metab_compid_38395</t>
  </si>
  <si>
    <t>Mannose levels</t>
  </si>
  <si>
    <t>metab_compid_48153</t>
  </si>
  <si>
    <t>Caffeine levels</t>
  </si>
  <si>
    <t>metab_compid_569</t>
  </si>
  <si>
    <t>Fructose levels</t>
  </si>
  <si>
    <t>metab_compid_48195</t>
  </si>
  <si>
    <t>Alpha-ketobutyrate levels</t>
  </si>
  <si>
    <t>Cysteine levels</t>
  </si>
  <si>
    <t>metab_compid_1868</t>
  </si>
  <si>
    <t>Tryptophan levels</t>
  </si>
  <si>
    <t>metab_compid_54</t>
  </si>
  <si>
    <t>Pseudouridine levels</t>
  </si>
  <si>
    <t>metab_compid_33442</t>
  </si>
  <si>
    <t>Dihydroorotate levels</t>
  </si>
  <si>
    <t>metab_compid_601</t>
  </si>
  <si>
    <t>Caprylate (8:0) levels</t>
  </si>
  <si>
    <t>metab_compid_32492</t>
  </si>
  <si>
    <t>Arachidate (20:0) levels</t>
  </si>
  <si>
    <t>metab_compid_1118</t>
  </si>
  <si>
    <t>Maltose levels</t>
  </si>
  <si>
    <t>metab_compid_15586</t>
  </si>
  <si>
    <t>N-stearoyl-sphinganine (d18:0/18:0) levels</t>
  </si>
  <si>
    <t>metab_compid_1759</t>
  </si>
  <si>
    <t>Sucrose levels</t>
  </si>
  <si>
    <t>metab_compid_1519</t>
  </si>
  <si>
    <t>Caproate (6:0) levels</t>
  </si>
  <si>
    <t>metab_compid_32489</t>
  </si>
  <si>
    <t>Nonadecanoate (19:0) levels</t>
  </si>
  <si>
    <t>metab_compid_1356</t>
  </si>
  <si>
    <t>Asparagine levels</t>
  </si>
  <si>
    <t>metab_compid_512</t>
  </si>
  <si>
    <t>X-07765 levels</t>
  </si>
  <si>
    <t>metab_compid_46590</t>
  </si>
  <si>
    <t>Kynurenate levels</t>
  </si>
  <si>
    <t>metab_compid_1417</t>
  </si>
  <si>
    <t>Alpha-ketoglutarate levels</t>
  </si>
  <si>
    <t>metab_compid_528</t>
  </si>
  <si>
    <t>X-11308 levels</t>
  </si>
  <si>
    <t>metab_compid_46390</t>
  </si>
  <si>
    <t>Pentadecanoate (15:0) levels</t>
  </si>
  <si>
    <t>metab_compid_1361</t>
  </si>
  <si>
    <t>X-11315 levels</t>
  </si>
  <si>
    <t>metab_compid_49592</t>
  </si>
  <si>
    <t>Margarate (17:0) levels</t>
  </si>
  <si>
    <t>metab_compid_1121</t>
  </si>
  <si>
    <t>X-11372 levels</t>
  </si>
  <si>
    <t>metab_compid_46594</t>
  </si>
  <si>
    <t>X-10458 levels</t>
  </si>
  <si>
    <t>metab_compid_47478</t>
  </si>
  <si>
    <t>X-11299 levels</t>
  </si>
  <si>
    <t>metab_compid_46592</t>
  </si>
  <si>
    <t>X-11478 levels</t>
  </si>
  <si>
    <t>metab_compid_46602</t>
  </si>
  <si>
    <t>X-11849 levels</t>
  </si>
  <si>
    <t>metab_compid_46607</t>
  </si>
  <si>
    <t>X-11787 levels</t>
  </si>
  <si>
    <t>metab_compid_33132</t>
  </si>
  <si>
    <t>X-11632 levels</t>
  </si>
  <si>
    <t>metab_compid_47493</t>
  </si>
  <si>
    <t>X-11852 levels</t>
  </si>
  <si>
    <t>metab_compid_46521</t>
  </si>
  <si>
    <t>X-11847 levels</t>
  </si>
  <si>
    <t>metab_compid_46488</t>
  </si>
  <si>
    <t>X-11483 levels</t>
  </si>
  <si>
    <t>metab_compid_47650</t>
  </si>
  <si>
    <t>X-11470 levels</t>
  </si>
  <si>
    <t>metab_compid_46601</t>
  </si>
  <si>
    <t>X-11381 levels</t>
  </si>
  <si>
    <t>metab_compid_32698</t>
  </si>
  <si>
    <t>X-11850 levels</t>
  </si>
  <si>
    <t>metab_compid_46507</t>
  </si>
  <si>
    <t>X-11795 levels</t>
  </si>
  <si>
    <t>metab_compid_33140</t>
  </si>
  <si>
    <t>X-11444 levels</t>
  </si>
  <si>
    <t>metab_compid_46460</t>
  </si>
  <si>
    <t>X-11858 levels</t>
  </si>
  <si>
    <t>metab_compid_47654</t>
  </si>
  <si>
    <t>X-11843 levels</t>
  </si>
  <si>
    <t>metab_compid_46466</t>
  </si>
  <si>
    <t>X-12127 levels</t>
  </si>
  <si>
    <t>metab_compid_47702</t>
  </si>
  <si>
    <t>X-12221 levels</t>
  </si>
  <si>
    <t>metab_compid_47911</t>
  </si>
  <si>
    <t>X-12283 levels</t>
  </si>
  <si>
    <t>metab_compid_47708</t>
  </si>
  <si>
    <t>X-12410 levels</t>
  </si>
  <si>
    <t>metab_compid_47921</t>
  </si>
  <si>
    <t>X-12104 levels</t>
  </si>
  <si>
    <t>metab_compid_52597</t>
  </si>
  <si>
    <t>X-12193 levels</t>
  </si>
  <si>
    <t>metab_compid_46985</t>
  </si>
  <si>
    <t>X-12216 levels</t>
  </si>
  <si>
    <t>metab_compid_46613</t>
  </si>
  <si>
    <t>X-12306 levels</t>
  </si>
  <si>
    <t>metab_compid_47917</t>
  </si>
  <si>
    <t>X-12100 levels</t>
  </si>
  <si>
    <t>metab_compid_47687</t>
  </si>
  <si>
    <t>X-12261 levels</t>
  </si>
  <si>
    <t>X-11880 levels</t>
  </si>
  <si>
    <t>metab_compid_46608</t>
  </si>
  <si>
    <t>X-12117 levels</t>
  </si>
  <si>
    <t>X-12407 levels</t>
  </si>
  <si>
    <t>metab_compid_46615</t>
  </si>
  <si>
    <t>X-12101 levels</t>
  </si>
  <si>
    <t>metab_compid_47642</t>
  </si>
  <si>
    <t>X-12026 levels</t>
  </si>
  <si>
    <t>metab_compid_47905</t>
  </si>
  <si>
    <t>X-12411 levels</t>
  </si>
  <si>
    <t>metab_compid_46616</t>
  </si>
  <si>
    <t>X-12013 levels</t>
  </si>
  <si>
    <t>metab_compid_46611</t>
  </si>
  <si>
    <t>X-12007 levels</t>
  </si>
  <si>
    <t>metab_compid_46610</t>
  </si>
  <si>
    <t>X-12462 levels</t>
  </si>
  <si>
    <t>metab_compid_46620</t>
  </si>
  <si>
    <t>X-12714 levels</t>
  </si>
  <si>
    <t>X-12740 levels</t>
  </si>
  <si>
    <t>metab_compid_46627</t>
  </si>
  <si>
    <t>X-12730 levels</t>
  </si>
  <si>
    <t>X-12701 levels</t>
  </si>
  <si>
    <t>X-12816 levels</t>
  </si>
  <si>
    <t>X-12731 levels</t>
  </si>
  <si>
    <t>X-12707 levels</t>
  </si>
  <si>
    <t>metab_compid_47929</t>
  </si>
  <si>
    <t>X-12729 levels</t>
  </si>
  <si>
    <t>metab_compid_46623</t>
  </si>
  <si>
    <t>X-12830 levels</t>
  </si>
  <si>
    <t>metab_compid_47662</t>
  </si>
  <si>
    <t>X-12818 levels</t>
  </si>
  <si>
    <t>X-12812 levels</t>
  </si>
  <si>
    <t>metab_compid_46986</t>
  </si>
  <si>
    <t>X-12822 levels</t>
  </si>
  <si>
    <t>metab_compid_46997</t>
  </si>
  <si>
    <t>X-12738 levels</t>
  </si>
  <si>
    <t>X-12544 levels</t>
  </si>
  <si>
    <t>metab_compid_46510</t>
  </si>
  <si>
    <t>X-12680 levels</t>
  </si>
  <si>
    <t>metab_compid_47201</t>
  </si>
  <si>
    <t>X-12906 levels</t>
  </si>
  <si>
    <t>metab_compid_47955</t>
  </si>
  <si>
    <t>X-13684 levels</t>
  </si>
  <si>
    <t>metab_compid_47790</t>
  </si>
  <si>
    <t>X-13507 levels</t>
  </si>
  <si>
    <t>metab_compid_47439</t>
  </si>
  <si>
    <t>X-12851 levels</t>
  </si>
  <si>
    <t>metab_compid_46639</t>
  </si>
  <si>
    <t>X-12849 levels</t>
  </si>
  <si>
    <t>X-12847 levels</t>
  </si>
  <si>
    <t>metab_compid_46364</t>
  </si>
  <si>
    <t>X-13553 levels</t>
  </si>
  <si>
    <t>metab_compid_47959</t>
  </si>
  <si>
    <t>X-12839 levels</t>
  </si>
  <si>
    <t>metab_compid_47014</t>
  </si>
  <si>
    <t>X-13729 levels</t>
  </si>
  <si>
    <t>metab_compid_47971</t>
  </si>
  <si>
    <t>X-13007 levels</t>
  </si>
  <si>
    <t>X-13844 levels</t>
  </si>
  <si>
    <t>metab_compid_47977</t>
  </si>
  <si>
    <t>X-13728 levels</t>
  </si>
  <si>
    <t>metab_compid_46645</t>
  </si>
  <si>
    <t>X-12844 levels</t>
  </si>
  <si>
    <t>metab_compid_46633</t>
  </si>
  <si>
    <t>X-13695 levels</t>
  </si>
  <si>
    <t>X-13723 levels</t>
  </si>
  <si>
    <t>X-14056 levels</t>
  </si>
  <si>
    <t>metab_compid_46632</t>
  </si>
  <si>
    <t>X-13866 levels</t>
  </si>
  <si>
    <t>metab_compid_46417</t>
  </si>
  <si>
    <t>X-17146 levels</t>
  </si>
  <si>
    <t>metab_compid_46691</t>
  </si>
  <si>
    <t>X-16397 levels</t>
  </si>
  <si>
    <t>metab_compid_47802</t>
  </si>
  <si>
    <t>X-17335 levels</t>
  </si>
  <si>
    <t>metab_compid_47820</t>
  </si>
  <si>
    <t>X-16964 levels</t>
  </si>
  <si>
    <t>metab_compid_46685</t>
  </si>
  <si>
    <t>X-16935 levels</t>
  </si>
  <si>
    <t>metab_compid_46681</t>
  </si>
  <si>
    <t>X-15486 levels</t>
  </si>
  <si>
    <t>metab_compid_46266</t>
  </si>
  <si>
    <t>X-16580 levels</t>
  </si>
  <si>
    <t>metab_compid_47804</t>
  </si>
  <si>
    <t>X-17325 levels</t>
  </si>
  <si>
    <t>metab_compid_46672</t>
  </si>
  <si>
    <t>X-17328 levels</t>
  </si>
  <si>
    <t>metab_compid_47818</t>
  </si>
  <si>
    <t>X-16087 levels</t>
  </si>
  <si>
    <t>metab_compid_47988</t>
  </si>
  <si>
    <t>X-17010 levels</t>
  </si>
  <si>
    <t>metab_compid_47993</t>
  </si>
  <si>
    <t>X-14939 levels</t>
  </si>
  <si>
    <t>metab_compid_46657</t>
  </si>
  <si>
    <t>X-15461 levels</t>
  </si>
  <si>
    <t>metab_compid_46283</t>
  </si>
  <si>
    <t>X-15523 levels</t>
  </si>
  <si>
    <t>X-15728 levels</t>
  </si>
  <si>
    <t>metab_compid_46666</t>
  </si>
  <si>
    <t>X-15503 levels</t>
  </si>
  <si>
    <t>metab_compid_46977</t>
  </si>
  <si>
    <t>X-16124 levels</t>
  </si>
  <si>
    <t>metab_compid_46461</t>
  </si>
  <si>
    <t>X-17438 levels</t>
  </si>
  <si>
    <t>metab_compid_46705</t>
  </si>
  <si>
    <t>X-17354 levels</t>
  </si>
  <si>
    <t>X-17654 levels</t>
  </si>
  <si>
    <t>metab_compid_46709</t>
  </si>
  <si>
    <t>X-17676 levels</t>
  </si>
  <si>
    <t>metab_compid_46970</t>
  </si>
  <si>
    <t>X-17367 levels</t>
  </si>
  <si>
    <t>metab_compid_46994</t>
  </si>
  <si>
    <t>X-17357 levels</t>
  </si>
  <si>
    <t>metab_compid_48009</t>
  </si>
  <si>
    <t>X-18886 levels</t>
  </si>
  <si>
    <t>metab_compid_48047</t>
  </si>
  <si>
    <t>X-18887 levels</t>
  </si>
  <si>
    <t>metab_compid_47301</t>
  </si>
  <si>
    <t>X-17653 levels</t>
  </si>
  <si>
    <t>metab_compid_46707</t>
  </si>
  <si>
    <t>X-17346 levels</t>
  </si>
  <si>
    <t>X-17690 levels</t>
  </si>
  <si>
    <t>metab_compid_46710</t>
  </si>
  <si>
    <t>X-18345 levels</t>
  </si>
  <si>
    <t>metab_compid_47342</t>
  </si>
  <si>
    <t>X-17685 levels</t>
  </si>
  <si>
    <t>metab_compid_48025</t>
  </si>
  <si>
    <t>X-18888 levels</t>
  </si>
  <si>
    <t>metab_compid_48048</t>
  </si>
  <si>
    <t>X-18901 levels</t>
  </si>
  <si>
    <t>metab_compid_46690</t>
  </si>
  <si>
    <t>X-17351 levels</t>
  </si>
  <si>
    <t>metab_compid_48001</t>
  </si>
  <si>
    <t>X-18779 levels</t>
  </si>
  <si>
    <t>metab_compid_46687</t>
  </si>
  <si>
    <t>X-21286 levels</t>
  </si>
  <si>
    <t>metab_compid_46295</t>
  </si>
  <si>
    <t>X-21355 levels</t>
  </si>
  <si>
    <t>X-21319 levels</t>
  </si>
  <si>
    <t>metab_compid_46363</t>
  </si>
  <si>
    <t>X-21258 levels</t>
  </si>
  <si>
    <t>metab_compid_46259</t>
  </si>
  <si>
    <t>X-21364 levels</t>
  </si>
  <si>
    <t>metab_compid_46409</t>
  </si>
  <si>
    <t>X-21353 levels</t>
  </si>
  <si>
    <t>metab_compid_46398</t>
  </si>
  <si>
    <t>X-19438 levels</t>
  </si>
  <si>
    <t>metab_compid_46261</t>
  </si>
  <si>
    <t>X-18913 levels</t>
  </si>
  <si>
    <t>metab_compid_46695</t>
  </si>
  <si>
    <t>X-18921 levels</t>
  </si>
  <si>
    <t>metab_compid_47671</t>
  </si>
  <si>
    <t>X-21339 levels</t>
  </si>
  <si>
    <t>metab_compid_46384</t>
  </si>
  <si>
    <t>X-19299 levels</t>
  </si>
  <si>
    <t>X-18935 levels</t>
  </si>
  <si>
    <t>X-21310 levels</t>
  </si>
  <si>
    <t>metab_compid_46354</t>
  </si>
  <si>
    <t>X-21283 levels</t>
  </si>
  <si>
    <t>metab_compid_46285</t>
  </si>
  <si>
    <t>X-21285 levels</t>
  </si>
  <si>
    <t>metab_compid_46294</t>
  </si>
  <si>
    <t>X-21312 levels</t>
  </si>
  <si>
    <t>metab_compid_46356</t>
  </si>
  <si>
    <t>X-18922 levels</t>
  </si>
  <si>
    <t>metab_compid_46700</t>
  </si>
  <si>
    <t>X-21442 levels</t>
  </si>
  <si>
    <t>metab_compid_46487</t>
  </si>
  <si>
    <t>X-21796 levels</t>
  </si>
  <si>
    <t>metab_compid_46972</t>
  </si>
  <si>
    <t>X-21441 levels</t>
  </si>
  <si>
    <t>metab_compid_46486</t>
  </si>
  <si>
    <t>X-21752 levels</t>
  </si>
  <si>
    <t>metab_compid_46923</t>
  </si>
  <si>
    <t>X-21807 levels</t>
  </si>
  <si>
    <t>X-21736 levels</t>
  </si>
  <si>
    <t>metab_compid_46905</t>
  </si>
  <si>
    <t>X-21829 levels</t>
  </si>
  <si>
    <t>metab_compid_47006</t>
  </si>
  <si>
    <t>X-21471 levels</t>
  </si>
  <si>
    <t>metab_compid_46516</t>
  </si>
  <si>
    <t>X-21733 levels</t>
  </si>
  <si>
    <t>metab_compid_46902</t>
  </si>
  <si>
    <t>X-21742 levels</t>
  </si>
  <si>
    <t>metab_compid_46911</t>
  </si>
  <si>
    <t>X-21821 levels</t>
  </si>
  <si>
    <t>metab_compid_46998</t>
  </si>
  <si>
    <t>X-21470 levels</t>
  </si>
  <si>
    <t>metab_compid_46515</t>
  </si>
  <si>
    <t>X-21383 levels</t>
  </si>
  <si>
    <t>metab_compid_46428</t>
  </si>
  <si>
    <t>X-21607 levels</t>
  </si>
  <si>
    <t>metab_compid_46674</t>
  </si>
  <si>
    <t>X-21834 levels</t>
  </si>
  <si>
    <t>metab_compid_47011</t>
  </si>
  <si>
    <t>X-21467 levels</t>
  </si>
  <si>
    <t>metab_compid_46512</t>
  </si>
  <si>
    <t>X-22776 levels</t>
  </si>
  <si>
    <t>metab_compid_48081</t>
  </si>
  <si>
    <t>X-23655 levels</t>
  </si>
  <si>
    <t>X-22834 levels</t>
  </si>
  <si>
    <t>metab_compid_48185</t>
  </si>
  <si>
    <t>X-22771 levels</t>
  </si>
  <si>
    <t>metab_compid_48076</t>
  </si>
  <si>
    <t>X-23639 levels</t>
  </si>
  <si>
    <t>metab_compid_49515</t>
  </si>
  <si>
    <t>X-23648 levels</t>
  </si>
  <si>
    <t>metab_compid_49525</t>
  </si>
  <si>
    <t>X-23654 levels</t>
  </si>
  <si>
    <t>metab_compid_49531</t>
  </si>
  <si>
    <t>X-22520 levels</t>
  </si>
  <si>
    <t>metab_compid_47784</t>
  </si>
  <si>
    <t>X-23641 levels</t>
  </si>
  <si>
    <t>X-23276 levels</t>
  </si>
  <si>
    <t>metab_compid_48972</t>
  </si>
  <si>
    <t>X-21845 levels</t>
  </si>
  <si>
    <t>metab_compid_47022</t>
  </si>
  <si>
    <t>X-22509 levels</t>
  </si>
  <si>
    <t>X-23644 levels</t>
  </si>
  <si>
    <t>metab_compid_49521</t>
  </si>
  <si>
    <t>X-22162 levels</t>
  </si>
  <si>
    <t>metab_compid_47417</t>
  </si>
  <si>
    <t>X-23587 levels</t>
  </si>
  <si>
    <t>metab_compid_49463</t>
  </si>
  <si>
    <t>X-23593 levels</t>
  </si>
  <si>
    <t>metab_compid_49469</t>
  </si>
  <si>
    <t>X-23636 levels</t>
  </si>
  <si>
    <t>X-23678 levels</t>
  </si>
  <si>
    <t>X-23680 levels</t>
  </si>
  <si>
    <t>metab_compid_49557</t>
  </si>
  <si>
    <t>X-23780 levels</t>
  </si>
  <si>
    <t>metab_compid_49679</t>
  </si>
  <si>
    <t>X-23974 levels</t>
  </si>
  <si>
    <t>metab_compid_49883</t>
  </si>
  <si>
    <t>X-23659 levels</t>
  </si>
  <si>
    <t>metab_compid_49536</t>
  </si>
  <si>
    <t>X-23665 levels</t>
  </si>
  <si>
    <t>metab_compid_49542</t>
  </si>
  <si>
    <t>X-23782 levels</t>
  </si>
  <si>
    <t>metab_compid_49681</t>
  </si>
  <si>
    <t>X-24295 levels</t>
  </si>
  <si>
    <t>metab_compid_52483</t>
  </si>
  <si>
    <t>X-24243 levels</t>
  </si>
  <si>
    <t>metab_compid_52286</t>
  </si>
  <si>
    <t>X-23739 levels</t>
  </si>
  <si>
    <t>metab_compid_49637</t>
  </si>
  <si>
    <t>X-23997 levels</t>
  </si>
  <si>
    <t>metab_compid_52025</t>
  </si>
  <si>
    <t>X-24241 levels</t>
  </si>
  <si>
    <t>metab_compid_52280</t>
  </si>
  <si>
    <t>X-24328 levels</t>
  </si>
  <si>
    <t>metab_compid_52524</t>
  </si>
  <si>
    <t>X-24456 levels</t>
  </si>
  <si>
    <t>X-24418 levels</t>
  </si>
  <si>
    <t>metab_compid_52647</t>
  </si>
  <si>
    <t>X-24344 levels</t>
  </si>
  <si>
    <t>X-24556 levels</t>
  </si>
  <si>
    <t>metab_compid_52877</t>
  </si>
  <si>
    <t>X-24337 levels</t>
  </si>
  <si>
    <t>metab_compid_52533</t>
  </si>
  <si>
    <t>X-24546 levels</t>
  </si>
  <si>
    <t>metab_compid_52867</t>
  </si>
  <si>
    <t>X-24306 levels</t>
  </si>
  <si>
    <t>X-24307 levels</t>
  </si>
  <si>
    <t>X-24334 levels</t>
  </si>
  <si>
    <t>metab_compid_52530</t>
  </si>
  <si>
    <t>X-24518 levels</t>
  </si>
  <si>
    <t>X-24494 levels</t>
  </si>
  <si>
    <t>metab_compid_52813</t>
  </si>
  <si>
    <t>X-24544 levels</t>
  </si>
  <si>
    <t>metab_compid_52865</t>
  </si>
  <si>
    <t>X-24531 levels</t>
  </si>
  <si>
    <t>X-24811 levels</t>
  </si>
  <si>
    <t>metab_compid_54839</t>
  </si>
  <si>
    <t>X-24757 levels</t>
  </si>
  <si>
    <t>X-24978 levels</t>
  </si>
  <si>
    <t>X-24970 levels</t>
  </si>
  <si>
    <t>X-24795 levels</t>
  </si>
  <si>
    <t>X-24951 levels</t>
  </si>
  <si>
    <t>metab_compid_57718</t>
  </si>
  <si>
    <t>X-24728 levels</t>
  </si>
  <si>
    <t>metab_compid_53157</t>
  </si>
  <si>
    <t>X-24565 levels</t>
  </si>
  <si>
    <t>X-24801 levels</t>
  </si>
  <si>
    <t>X-24736 levels</t>
  </si>
  <si>
    <t>X-24585 levels</t>
  </si>
  <si>
    <t>X-24588 levels</t>
  </si>
  <si>
    <t>metab_compid_52909</t>
  </si>
  <si>
    <t>X-25109 levels</t>
  </si>
  <si>
    <t>metab_compid_61682</t>
  </si>
  <si>
    <t>X-24947 levels</t>
  </si>
  <si>
    <t>metab_compid_57714</t>
  </si>
  <si>
    <t>X-24949 levels</t>
  </si>
  <si>
    <t>metab_compid_57716</t>
  </si>
  <si>
    <t>X-24812 levels</t>
  </si>
  <si>
    <t>metab_compid_54840</t>
  </si>
  <si>
    <t>X-25217 levels</t>
  </si>
  <si>
    <t>X-25828 levels</t>
  </si>
  <si>
    <t>X-25371 levels</t>
  </si>
  <si>
    <t>metab_compid_62664</t>
  </si>
  <si>
    <t>X-25419 levels</t>
  </si>
  <si>
    <t>metab_compid_62716</t>
  </si>
  <si>
    <t>X-25265 levels</t>
  </si>
  <si>
    <t>X-25172 levels</t>
  </si>
  <si>
    <t>X-25957 levels</t>
  </si>
  <si>
    <t>X-25422 levels</t>
  </si>
  <si>
    <t>metab_compid_62719</t>
  </si>
  <si>
    <t>X-25790 levels</t>
  </si>
  <si>
    <t>metab_compid_63560</t>
  </si>
  <si>
    <t>X-25420 levels</t>
  </si>
  <si>
    <t>metab_compid_62717</t>
  </si>
  <si>
    <t>X-25810 levels</t>
  </si>
  <si>
    <t>metab_compid_63592</t>
  </si>
  <si>
    <t>X-25433 levels</t>
  </si>
  <si>
    <t>metab_compid_62749</t>
  </si>
  <si>
    <t>X-25343 levels</t>
  </si>
  <si>
    <t>metab_compid_62636</t>
  </si>
  <si>
    <t>X-25271 levels</t>
  </si>
  <si>
    <t>metab_compid_62500</t>
  </si>
  <si>
    <t>X-25520 levels</t>
  </si>
  <si>
    <t>metab_compid_62964</t>
  </si>
  <si>
    <t>X-25519 levels</t>
  </si>
  <si>
    <t>metab_compid_62963</t>
  </si>
  <si>
    <t>X-26111 levels</t>
  </si>
  <si>
    <t>metab_compid_64401</t>
  </si>
  <si>
    <t>X-26109 levels</t>
  </si>
  <si>
    <t>metab_compid_64399</t>
  </si>
  <si>
    <t>X-26054 levels</t>
  </si>
  <si>
    <t>Butyrylcarnitine (C4) levels</t>
  </si>
  <si>
    <t>metab_compid_32412</t>
  </si>
  <si>
    <t>Androsterone sulfate levels</t>
  </si>
  <si>
    <t>metab_compid_31591</t>
  </si>
  <si>
    <t>N-acetyltyrosine levels</t>
  </si>
  <si>
    <t>metab_compid_32390</t>
  </si>
  <si>
    <t>N-acetylglutamine levels</t>
  </si>
  <si>
    <t>metab_compid_33943</t>
  </si>
  <si>
    <t>N-acetylphenylalanine levels</t>
  </si>
  <si>
    <t>metab_compid_33950</t>
  </si>
  <si>
    <t>N-acetylasparagine levels</t>
  </si>
  <si>
    <t>metab_compid_33942</t>
  </si>
  <si>
    <t>N-acetylarginine levels</t>
  </si>
  <si>
    <t>metab_compid_33953</t>
  </si>
  <si>
    <t>5-acetylamino-6-formylamino-3-methyluracil levels</t>
  </si>
  <si>
    <t>metab_compid_34401</t>
  </si>
  <si>
    <t>Orotidine levels</t>
  </si>
  <si>
    <t>metab_compid_35172</t>
  </si>
  <si>
    <t>3-methylcytidine levels</t>
  </si>
  <si>
    <t>N-acetylcitrulline levels</t>
  </si>
  <si>
    <t>metab_compid_48434</t>
  </si>
  <si>
    <t>N-acetyl-aspartyl-glutamate (naag) levels</t>
  </si>
  <si>
    <t>metab_compid_35665</t>
  </si>
  <si>
    <t>1-stearoyl-2-arachidonoyl-gpc (18:0/20:4) levels</t>
  </si>
  <si>
    <t>metab_compid_42450</t>
  </si>
  <si>
    <t>Bilirubin (E,E) levels</t>
  </si>
  <si>
    <t>metab_compid_32586</t>
  </si>
  <si>
    <t>Bilirubin (E,Z or Z,E) levels</t>
  </si>
  <si>
    <t>metab_compid_47886</t>
  </si>
  <si>
    <t>Androsterone glucuronide levels</t>
  </si>
  <si>
    <t>metab_compid_61846</t>
  </si>
  <si>
    <t>N6-methyllysine levels</t>
  </si>
  <si>
    <t>metab_compid_62249</t>
  </si>
  <si>
    <t>N-acetyl-1-methylhistidine levels</t>
  </si>
  <si>
    <t>metab_compid_43255</t>
  </si>
  <si>
    <t>N-delta-acetylornithine levels</t>
  </si>
  <si>
    <t>metab_compid_43249</t>
  </si>
  <si>
    <t>1-palmitoyl-2-arachidonoyl-GPC (16:0/20:4n6) levels</t>
  </si>
  <si>
    <t>metab_compid_52462</t>
  </si>
  <si>
    <t>Glycochenodeoxycholate glucuronide (1) levels</t>
  </si>
  <si>
    <t>metab_compid_52983</t>
  </si>
  <si>
    <t>2'-o-methylcytidine levels</t>
  </si>
  <si>
    <t>metab_compid_57554</t>
  </si>
  <si>
    <t>2'-o-methyluridine levels</t>
  </si>
  <si>
    <t>metab_compid_57655</t>
  </si>
  <si>
    <t>N6,N6-dimethyllysine levels</t>
  </si>
  <si>
    <t>metab_compid_57839</t>
  </si>
  <si>
    <t>N2-acetyl,N6,N6-dimethyllysine levels</t>
  </si>
  <si>
    <t>metab_compid_63254</t>
  </si>
  <si>
    <t>N2-acetyl,N6-methyllysine levels</t>
  </si>
  <si>
    <t>metab_compid_62954</t>
  </si>
  <si>
    <t>Deoxycholic acid glucuronide levels</t>
  </si>
  <si>
    <t>metab_compid_47651</t>
  </si>
  <si>
    <t>Decadienedioic acid (C10:2-DC) levels</t>
  </si>
  <si>
    <t>Bilirubin degradation product, C17H18N2O4 (1) levels</t>
  </si>
  <si>
    <t>Bilirubin degradation product, C17H18N2O4 (2) levels</t>
  </si>
  <si>
    <t>Bilirubin degradation product, C17H18N2O4 (3) levels</t>
  </si>
  <si>
    <t>Bilirubin (z,z) levels</t>
  </si>
  <si>
    <t>metab_compid_43807</t>
  </si>
  <si>
    <t>Ethylmalonate levels</t>
  </si>
  <si>
    <t>metab_compid_15765</t>
  </si>
  <si>
    <t>Biliverdin levels</t>
  </si>
  <si>
    <t>metab_compid_2137</t>
  </si>
  <si>
    <t>X-12112 levels</t>
  </si>
  <si>
    <t>X-12798 levels</t>
  </si>
  <si>
    <t>metab_compid_46624</t>
  </si>
  <si>
    <t>X-13431 levels</t>
  </si>
  <si>
    <t>metab_compid_47788</t>
  </si>
  <si>
    <t>X-19141 levels</t>
  </si>
  <si>
    <t>metab_compid_46701</t>
  </si>
  <si>
    <t>Spermidine to 5-methylthioadenosine (MTA) ratio</t>
  </si>
  <si>
    <t>Spermidine to ornithine ratio</t>
  </si>
  <si>
    <t>Alpha-ketoglutarate to alpha-ketobutyrate ratio</t>
  </si>
  <si>
    <t>Alpha-ketoglutarate to glutamate ratio</t>
  </si>
  <si>
    <t>Adenosine 5'-diphosphate (ADP) to phosphoethanolamine ratio</t>
  </si>
  <si>
    <t>3-phosphoglycerate to adenosine 5'-diphosphate (ADP) ratio</t>
  </si>
  <si>
    <t>Alpha-ketoglutarate to succinate ratio</t>
  </si>
  <si>
    <t>Adenosine 3',5'-cyclic monophosphate (cAMP) to adenosine 5'-monophosphate (AMP) ratio</t>
  </si>
  <si>
    <t>Adenosine 5'-diphosphate (ADP) to pantothenate ratio</t>
  </si>
  <si>
    <t>Adenosine 5'-diphosphate (ADP) to phosphate ratio</t>
  </si>
  <si>
    <t>S-adenosylhomocysteine (SAH) to leucine ratio</t>
  </si>
  <si>
    <t>S-adenosylhomocysteine (SAH) to 5-methyluridine (ribothymidine) ratio</t>
  </si>
  <si>
    <t>Cholate to taurocholate ratio</t>
  </si>
  <si>
    <t>Adenosine 5'-diphosphate (ADP) to creatine ratio</t>
  </si>
  <si>
    <t>N-acetylputrescine to (N(1) + N(8))-acetylspermidine ratio</t>
  </si>
  <si>
    <t>Adenosine 3',5'-cyclic monophosphate (cAMP) to taurocholate ratio</t>
  </si>
  <si>
    <t>Adenosine 5'-diphosphate (ADP) to Adenosine 5'-monophosphate (AMP) ratio</t>
  </si>
  <si>
    <t>3-phosphoglycerate to phosphate ratio</t>
  </si>
  <si>
    <t>Adenosine 5'-diphosphate (ADP) to fructose ratio</t>
  </si>
  <si>
    <t>Adenosine 5'-diphosphate (ADP) to mannose ratio</t>
  </si>
  <si>
    <t>Adenosine 5'-diphosphate (ADP) to tyrosine ratio</t>
  </si>
  <si>
    <t>Adenosine 5'-diphosphate (ADP) to N-acetylglucosamine to N-acetylgalactosamine ratio</t>
  </si>
  <si>
    <t>Adenosine 5'-monophosphate (AMP) to palmitate (16:0) ratio</t>
  </si>
  <si>
    <t>Arginine to ornithine ratio</t>
  </si>
  <si>
    <t>Adenosine 5'-diphosphate (ADP) to arginine ratio</t>
  </si>
  <si>
    <t>Adenosine 5'-diphosphate (ADP) to 2'-deoxyuridine ratio</t>
  </si>
  <si>
    <t>Adenosine 5'-monophosphate (AMP) to inosine 5'-monophosphate (IMP) ratio</t>
  </si>
  <si>
    <t>Adenosine 5'-monophosphate (AMP) to proline ratio</t>
  </si>
  <si>
    <t>Arachidonate (20:4n6) to oleate to vaccenate (18:1) ratio</t>
  </si>
  <si>
    <t>Adenosine 5'-monophosphate (AMP) to alanine ratio</t>
  </si>
  <si>
    <t>Aspartate to citrate ratio</t>
  </si>
  <si>
    <t>Arginine to citrulline ratio</t>
  </si>
  <si>
    <t>Arginine to glutamate ratio</t>
  </si>
  <si>
    <t>Adenosine 5'-monophosphate (AMP) to phenylalanine ratio</t>
  </si>
  <si>
    <t>Adenosine 5'-diphosphate (ADP) to gluconate ratio</t>
  </si>
  <si>
    <t>Adenosine 5'-monophosphate (AMP) to phosphate ratio</t>
  </si>
  <si>
    <t>Aspartate to glutamate ratio</t>
  </si>
  <si>
    <t>Arachidonate (20:4n6) to pyruvate ratio</t>
  </si>
  <si>
    <t>Aspartate to asparagine ratio</t>
  </si>
  <si>
    <t>Cortisone to cortisol ratio</t>
  </si>
  <si>
    <t>Succinate to acetoacetate ratio</t>
  </si>
  <si>
    <t>Aspartate to citrulline ratio</t>
  </si>
  <si>
    <t>Sphingosine to phosphate ratio</t>
  </si>
  <si>
    <t>Inosine 5'-monophosphate (IMP) to phosphate ratio</t>
  </si>
  <si>
    <t>Glycine to pyridoxal ratio</t>
  </si>
  <si>
    <t>Glycine to alanine ratio</t>
  </si>
  <si>
    <t>Glycine to serine ratio</t>
  </si>
  <si>
    <t>Histidine to trans-urocanate ratio</t>
  </si>
  <si>
    <t>Methionine to methionine sulfoxide ratio</t>
  </si>
  <si>
    <t>Citrulline to dimethylarginine (SDMA + ADMA) ratio</t>
  </si>
  <si>
    <t>Palmitate (16:0) to myristate (14:0) ratio</t>
  </si>
  <si>
    <t>Phosphate to N-acetylneuraminate ratio</t>
  </si>
  <si>
    <t>Phosphate to uridine ratio</t>
  </si>
  <si>
    <t>Phosphate to alanine ratio</t>
  </si>
  <si>
    <t>Phosphate to phosphoethanolamine ratio</t>
  </si>
  <si>
    <t>Phosphate to glucose ratio</t>
  </si>
  <si>
    <t>Phosphate to 2'-deoxyuridine ratio</t>
  </si>
  <si>
    <t>Phosphate to mannose ratio</t>
  </si>
  <si>
    <t>Phenylalanine to tyrosine ratio</t>
  </si>
  <si>
    <t>Phosphate to fructose ratio</t>
  </si>
  <si>
    <t>Phosphate to citrate ratio</t>
  </si>
  <si>
    <t>Serine to alpha-tocopherol ratio</t>
  </si>
  <si>
    <t>Uridine to pseudouridine ratio</t>
  </si>
  <si>
    <t>Serine to pyruvate ratio</t>
  </si>
  <si>
    <t>Glutamate to glutamine ratio</t>
  </si>
  <si>
    <t>Uridine to cytidine ratio</t>
  </si>
  <si>
    <t>Pyruvate to 3-methyl-2-oxobutyrate ratio</t>
  </si>
  <si>
    <t>Pyruvate to N-acetylneuraminate ratio</t>
  </si>
  <si>
    <t>Alanine to pyruvate ratio</t>
  </si>
  <si>
    <t>Glucose to maltose ratio</t>
  </si>
  <si>
    <t>Mannose to trans-4-hydroxyproline ratio</t>
  </si>
  <si>
    <t>Mannose to S-methylcysteine ratio</t>
  </si>
  <si>
    <t>Glutamate to cysteine ratio</t>
  </si>
  <si>
    <t>Cysteine to 5-oxoproline ratio</t>
  </si>
  <si>
    <t>Cysteine to alanine ratio</t>
  </si>
  <si>
    <t>Glutamine to asparagine ratio</t>
  </si>
  <si>
    <t>5-oxoproline to citrate ratio</t>
  </si>
  <si>
    <t>Alpha-tocopherol to sulfate ratio</t>
  </si>
  <si>
    <t>Thyroxine to taurocholate ratio</t>
  </si>
  <si>
    <t>Creatine to carnitine ratio</t>
  </si>
  <si>
    <t>Carnitine to palmitoylcarnitine (C16) ratio</t>
  </si>
  <si>
    <t>Glycolithocholate to glycolithocholate sulfate ratio</t>
  </si>
  <si>
    <t>Oleoyl-linoleoyl-glycerol (18:1 to 18:2) [2] to linoleoyl-arachidonoyl-glycerol (18:2 to 20:4) [1] ratio</t>
  </si>
  <si>
    <t>Oleoyl-linoleoyl-glycerol (18:1 to 18:2) [2] to linoleoyl-arachidonoyl-glycerol (18:2 to 20:4) [2] ratio</t>
  </si>
  <si>
    <t>Spermidine to (N(1) + N(8))-acetylspermidine ratio</t>
  </si>
  <si>
    <t>Spermidine to N-acetylputrescine ratio</t>
  </si>
  <si>
    <t>Dopamine 4-sulfate to dopamine 3-O-sulfate ratio</t>
  </si>
  <si>
    <t>Spermidine to adenosine 5'-diphosphate (ADP) ratio</t>
  </si>
  <si>
    <t>Spermidine to histidine ratio</t>
  </si>
  <si>
    <t>5-methylthioadenosine (MTA) to phosphate ratio</t>
  </si>
  <si>
    <t>Histidine to pyruvate ratio</t>
  </si>
  <si>
    <t>Spermidine to phosphate ratio</t>
  </si>
  <si>
    <t>Spermidine to pyruvate ratio</t>
  </si>
  <si>
    <t>Spermidine to carnitine ratio</t>
  </si>
  <si>
    <t>Spermidine to ergothioneine ratio</t>
  </si>
  <si>
    <t>Carnitine to ergothioneine ratio</t>
  </si>
  <si>
    <t>Spermidine to choline ratio</t>
  </si>
  <si>
    <t>Spermidine to taurocholate ratio</t>
  </si>
  <si>
    <t>Alpha-ketoglutarate to kynurenine ratio</t>
  </si>
  <si>
    <t>Choline to taurocholate ratio</t>
  </si>
  <si>
    <t>Glutamate to kynurenine ratio</t>
  </si>
  <si>
    <t>Ornithine to glutamate ratio</t>
  </si>
  <si>
    <t>Alpha-ketoglutarate to ornithine ratio</t>
  </si>
  <si>
    <t>3-hydroxyisobutyrate to adenosine 5'-diphosphate (ADP) ratio</t>
  </si>
  <si>
    <t>Alpha-ketoglutarate to aspartate ratio</t>
  </si>
  <si>
    <t>3-hydroxyisobutyrate to phosphate ratio</t>
  </si>
  <si>
    <t>Adenosine 5'-diphosphate (ADP) to glycerate ratio</t>
  </si>
  <si>
    <t>3-phosphoglycerate to glycerate ratio</t>
  </si>
  <si>
    <t>Adenosine 5'-diphosphate (ADP) to valine ratio</t>
  </si>
  <si>
    <t>Adenosine 5'-diphosphate (ADP) to glycine ratio</t>
  </si>
  <si>
    <t>Phosphate to valine ratio</t>
  </si>
  <si>
    <t>Adenosine 5'-diphosphate (ADP) to N-palmitoyl-sphingosine (d18:1 to 16:0) ratio</t>
  </si>
  <si>
    <t>Adenosine 5'-diphosphate (ADP) to sulfate ratio</t>
  </si>
  <si>
    <t>Phosphate to sulfate ratio</t>
  </si>
  <si>
    <t>Glycine to phosphate ratio</t>
  </si>
  <si>
    <t>Phosphate to N-palmitoyl-sphingosine (d18:1 to 16:0) ratio</t>
  </si>
  <si>
    <t>Cholate to bilirubin (Z,Z) ratio</t>
  </si>
  <si>
    <t>Bilirubin (Z,Z) to taurocholate ratio</t>
  </si>
  <si>
    <t>Cholate to adenosine 3',5'-cyclic monophosphate (cAMP) ratio</t>
  </si>
  <si>
    <t>Cholate to phosphate ratio</t>
  </si>
  <si>
    <t>Adenosine 5'-diphosphate (ADP) to citrate ratio</t>
  </si>
  <si>
    <t>Cholate to adenosine 5'-monophosphate (AMP) ratio</t>
  </si>
  <si>
    <t>Adenosine 5'-diphosphate (ADP) to glycerol 3-phosphate ratio</t>
  </si>
  <si>
    <t>Adenosine 5'-diphosphate (ADP) to glycerol ratio</t>
  </si>
  <si>
    <t>Glycerol to glycerol 3-phosphate ratio</t>
  </si>
  <si>
    <t>Adenosine 5'-diphosphate (ADP) to glutamate ratio</t>
  </si>
  <si>
    <t>Phosphate to glutamate ratio</t>
  </si>
  <si>
    <t>Adenosine 5'-diphosphate (ADP) to aspartate ratio</t>
  </si>
  <si>
    <t>Adenosine 5'-diphosphate (ADP) to flavin adenine dinucleotide (FAD) ratio</t>
  </si>
  <si>
    <t>Adenosine 5'-diphosphate (ADP) to oxalate (ethanedioate) ratio</t>
  </si>
  <si>
    <t>Citrate to oxalate (ethanedioate) ratio</t>
  </si>
  <si>
    <t>Adenosine 5'-monophosphate (AMP) to flavin adenine dinucleotide (FAD) ratio</t>
  </si>
  <si>
    <t>Aspartate to phosphate ratio</t>
  </si>
  <si>
    <t>Adenosine 5'-monophosphate (AMP) to citrate ratio</t>
  </si>
  <si>
    <t>Phenylalanine to phosphate ratio</t>
  </si>
  <si>
    <t>Phosphate to tryptophan ratio</t>
  </si>
  <si>
    <t>Adenosine 5'-monophosphate (AMP) to glutamine ratio</t>
  </si>
  <si>
    <t>Adenosine 5'-monophosphate (AMP) to threonine ratio</t>
  </si>
  <si>
    <t>Adenosine 5'-monophosphate (AMP) to tryptophan ratio</t>
  </si>
  <si>
    <t>Adenosine 5'-monophosphate (AMP) to glycine ratio</t>
  </si>
  <si>
    <t>Adenosine 5'-monophosphate (AMP) to arginine ratio</t>
  </si>
  <si>
    <t>Adenosine 5'-monophosphate (AMP) to tyrosine ratio</t>
  </si>
  <si>
    <t>Arginine to phosphate ratio</t>
  </si>
  <si>
    <t>Phosphate to threonine ratio</t>
  </si>
  <si>
    <t>Phosphate to glutamine ratio</t>
  </si>
  <si>
    <t>Adenosine 5'-monophosphate (AMP) to aspartate ratio</t>
  </si>
  <si>
    <t>Phosphate to tyrosine ratio</t>
  </si>
  <si>
    <t>Adenosine 5'-monophosphate (AMP) to asparagine ratio</t>
  </si>
  <si>
    <t>Adenosine 5'-monophosphate (AMP) to serine ratio</t>
  </si>
  <si>
    <t>Histidine to phosphate ratio</t>
  </si>
  <si>
    <t>Adenosine 5'-monophosphate (AMP) to methionine ratio</t>
  </si>
  <si>
    <t>Phosphate to serine ratio</t>
  </si>
  <si>
    <t>Methionine to phosphate ratio</t>
  </si>
  <si>
    <t>Adenosine 5'-monophosphate (AMP) to histidine ratio</t>
  </si>
  <si>
    <t>phosphate to asparagine ratio</t>
  </si>
  <si>
    <t>Adenosine 5'-monophosphate (AMP) to isoleucine ratio</t>
  </si>
  <si>
    <t>Isoleucine to phosphate ratio</t>
  </si>
  <si>
    <t>Adenosine 5'-monophosphate (AMP) to valine ratio</t>
  </si>
  <si>
    <t>Adenosine 5'-monophosphate (AMP) to acetoacetate ratio</t>
  </si>
  <si>
    <t>Adenosine 5'-monophosphate (AMP) to cysteine ratio</t>
  </si>
  <si>
    <t>Phosphate to cysteine ratio</t>
  </si>
  <si>
    <t>Cortisol to 4-cholesten-3-one ratio</t>
  </si>
  <si>
    <t>Cysteinylglycine to taurine ratio</t>
  </si>
  <si>
    <t>Cysteinylglycine to glutamate ratio</t>
  </si>
  <si>
    <t>Cortisone to 4-cholesten-3-one ratio</t>
  </si>
  <si>
    <t>Taurine to glutamate ratio</t>
  </si>
  <si>
    <t>Glutarate (C5-DC) to caprylate (8:0) ratio</t>
  </si>
  <si>
    <t>Adenosine 5'-monophosphate (AMP) to glutamate ratio</t>
  </si>
  <si>
    <t>Glutarate (C5-DC) to salicylate ratio</t>
  </si>
  <si>
    <t>Aspartate to N-acetylglucosamine to N-acetylgalactosamine ratio</t>
  </si>
  <si>
    <t>Aspartate to mannose ratio</t>
  </si>
  <si>
    <t>Phosphate to acetoacetate ratio</t>
  </si>
  <si>
    <t>Mannose to N-acetylglucosamine to N-acetylgalactosamine ratio</t>
  </si>
  <si>
    <t>Phenylpyruvate to citrate ratio</t>
  </si>
  <si>
    <t>Phenylpyruvate to 4-hydroxyphenylpyruvate ratio</t>
  </si>
  <si>
    <t>Cholesterol to cortisol ratio</t>
  </si>
  <si>
    <t>Citrate to 4-hydroxyphenylpyruvate ratio</t>
  </si>
  <si>
    <t>Cholesterol to taurocholate ratio</t>
  </si>
  <si>
    <t>Cortisol to taurocholate ratio</t>
  </si>
  <si>
    <t>Salicylate to caprylate (8:0) ratio</t>
  </si>
  <si>
    <t>Hypotaurine to taurine ratio</t>
  </si>
  <si>
    <t>Taurine to cysteine ratio</t>
  </si>
  <si>
    <t>Inosine to theophylline ratio</t>
  </si>
  <si>
    <t>Hypotaurine to cysteine ratio</t>
  </si>
  <si>
    <t>Inosine to EDTA ratio</t>
  </si>
  <si>
    <t>Theophylline to EDTA ratio</t>
  </si>
  <si>
    <t>Citrulline to phosphate ratio</t>
  </si>
  <si>
    <t>Citrulline to ornithine ratio</t>
  </si>
  <si>
    <t>Phosphate to oleoyl-linoleoyl-glycerol (18:1 to 18:2) [2] ratio</t>
  </si>
  <si>
    <t>Ornithine to phosphate ratio</t>
  </si>
  <si>
    <t>Phosphate to linoleoyl-arachidonoyl-glycerol (18:2 to 20:4) [2] ratio</t>
  </si>
  <si>
    <t>Phosphate to glycerol ratio</t>
  </si>
  <si>
    <t>Phosphate to linoleoyl-arachidonoyl-glycerol (18:2 to 20:4) [1] ratio</t>
  </si>
  <si>
    <t>Glucose to glycerol ratio</t>
  </si>
  <si>
    <t>2'-deoxyuridine to cytidine ratio</t>
  </si>
  <si>
    <t>Retinol (Vitamin A) to linoleoyl-arachidonoyl-glycerol (18:2 to 20:4) [1] ratio</t>
  </si>
  <si>
    <t>Retinol (Vitamin A) to linoleoyl-arachidonoyl-glycerol (18:2 to 20:4) [2] ratio</t>
  </si>
  <si>
    <t>Uridine to 2'-deoxyuridine ratio</t>
  </si>
  <si>
    <t>Retinol (Vitamin A) to oleoyl-linoleoyl-glycerol (18:1 to 18:2) [2] ratio</t>
  </si>
  <si>
    <t>Tryptophan to pyruvate ratio</t>
  </si>
  <si>
    <t>tryptophan to tyrosine ratio</t>
  </si>
  <si>
    <t>Glucose to sucrose ratio</t>
  </si>
  <si>
    <t>Tyrosine to pyruvate ratio</t>
  </si>
  <si>
    <t>Glucose to fructose ratio</t>
  </si>
  <si>
    <t>Fructose to sucrose ratio</t>
  </si>
  <si>
    <t>Alpha-ketobutyrate to 3-methyl-2-oxobutyrate ratio</t>
  </si>
  <si>
    <t>N-palmitoyl-sphingosine (d18:1 to 16:0) to N-palmitoyl-sphinganine (d18:0 to 16:0) ratio</t>
  </si>
  <si>
    <t>Caffeine to theophylline ratio</t>
  </si>
  <si>
    <t>Mannose to glycerol ratio</t>
  </si>
  <si>
    <t>Mannose to mannitol to sorbitol ratio</t>
  </si>
  <si>
    <t>Alpha-ketobutyrate to pyruvate ratio</t>
  </si>
  <si>
    <t>Glycerol to mannitol to sorbitol ratio</t>
  </si>
  <si>
    <t>Alpha-tocopherol to glycerol ratio</t>
  </si>
  <si>
    <t>Caffeine to theobromine ratio</t>
  </si>
  <si>
    <t>N-stearoyl-sphingosine (d18:1 to 18:0) to N-palmitoyl-sphinganine (d18:0 to 16:0) ratio</t>
  </si>
  <si>
    <t>Theophylline to theobromine ratio</t>
  </si>
  <si>
    <t>N-palmitoyl-sphingosine (d18:1 to 16:0) to N-stearoyl-sphingosine (d18:1 to 18:0) ratio</t>
  </si>
  <si>
    <t>Glycerol to carnitine ratio</t>
  </si>
  <si>
    <t>Carnitine to acetylcarnitine (C2) ratio</t>
  </si>
  <si>
    <t>Glycerol to sulfate ratio</t>
  </si>
  <si>
    <t>Glycerol to palmitoylcarnitine (C16) ratio</t>
  </si>
  <si>
    <t>Alpha-ketoglutarate to proline ratio</t>
  </si>
  <si>
    <t>Acetylcarnitine (C2) to propionylcarnitine (C3) ratio</t>
  </si>
  <si>
    <t>Carnitine to propionylcarnitine (C3) ratio</t>
  </si>
  <si>
    <t>Succinate to proline ratio</t>
  </si>
  <si>
    <t>Alpha-ketoglutarate to trans-4-hydroxyproline ratio</t>
  </si>
  <si>
    <t>Alpha-ketoglutarate to alanine ratio</t>
  </si>
  <si>
    <t>Proline to trans-4-hydroxyproline ratio</t>
  </si>
  <si>
    <t>Adenosine 5'-diphosphate (ADP) to EDTA ratio</t>
  </si>
  <si>
    <t>Succinate to trans-4-hydroxyproline ratio</t>
  </si>
  <si>
    <t>Glutamate to pyruvate ratio</t>
  </si>
  <si>
    <t>Phosphate to EDTA ratio</t>
  </si>
  <si>
    <t>Alpha-ketoglutarate to pyruvate ratio</t>
  </si>
  <si>
    <t>Adenosine 5'-monophosphate (AMP) to EDTA ratio</t>
  </si>
  <si>
    <t>Glutamate to alanine ratio</t>
  </si>
  <si>
    <t>Adenosine 5'-diphosphate (ADP) to glucose ratio</t>
  </si>
  <si>
    <t>Adenosine 5'-diphosphate (ADP) to mannitol to sorbitol ratio</t>
  </si>
  <si>
    <t>Adenosine 5'-diphosphate (ADP) to N-acetylneuraminate ratio</t>
  </si>
  <si>
    <t>Glucose to mannitol to sorbitol ratio</t>
  </si>
  <si>
    <t>Mannose to fructose ratio</t>
  </si>
  <si>
    <t>Adenosine 5'-diphosphate (ADP) to cytidine ratio</t>
  </si>
  <si>
    <t>Glucose-to-mannose ratio</t>
  </si>
  <si>
    <t>Cytidine to N-acetylneuraminate ratio</t>
  </si>
  <si>
    <t>Adenosine 5'-diphosphate (ADP) to choline phosphate ratio</t>
  </si>
  <si>
    <t>Cytidine to N-acetylglucosamine to N-acetylgalactosamine ratio</t>
  </si>
  <si>
    <t>N-acetylneuraminate to N-acetylglucosamine to N-acetylgalactosamine ratio</t>
  </si>
  <si>
    <t>Adenosine 5'-diphosphate (ADP) to choline ratio</t>
  </si>
  <si>
    <t>Choline phosphate to choline ratio</t>
  </si>
  <si>
    <t>Choline phosphate to phosphoethanolamine ratio</t>
  </si>
  <si>
    <t>Adenosine 5'-diphosphate (ADP) to ornithine ratio</t>
  </si>
  <si>
    <t>Adenosine 5'-diphosphate (ADP) to glutamine ratio</t>
  </si>
  <si>
    <t>Inosine 5'-monophosphate (IMP) to urate ratio</t>
  </si>
  <si>
    <t>Adenosine 5'-diphosphate (ADP) to 5-oxoproline ratio</t>
  </si>
  <si>
    <t>Glutamate to 5-oxoproline ratio</t>
  </si>
  <si>
    <t>Adenosine 5'-diphosphate (ADP) to uridine ratio</t>
  </si>
  <si>
    <t>Phosphate to urate ratio</t>
  </si>
  <si>
    <t>Phosphate to 5-oxoproline ratio</t>
  </si>
  <si>
    <t>Adenosine 5'-monophosphate (AMP) to N-palmitoyl-sphingosine (d18:1 to 16:0) ratio</t>
  </si>
  <si>
    <t>Adenosine 5'-monophosphate (AMP) to leucine ratio</t>
  </si>
  <si>
    <t>Leucine to phosphate ratio</t>
  </si>
  <si>
    <t>Leucine to N-palmitoyl-sphingosine (d18:1 to 16:0) ratio</t>
  </si>
  <si>
    <t>Proline to glutamate ratio</t>
  </si>
  <si>
    <t>Phosphate to proline ratio</t>
  </si>
  <si>
    <t>Arachidonate (20:4n6) to caffeine ratio</t>
  </si>
  <si>
    <t>Adenosine 5'-monophosphate (AMP) to urate ratio</t>
  </si>
  <si>
    <t>Arachidonate (20:4n6) to paraxanthine ratio</t>
  </si>
  <si>
    <t>Caffeine to paraxanthine ratio</t>
  </si>
  <si>
    <t>Arachidonate (20:4n6) to linoleate (18:2n6) ratio</t>
  </si>
  <si>
    <t>Phosphoethanolamine to choline ratio</t>
  </si>
  <si>
    <t>Caffeine to linoleate (18:2n6) ratio</t>
  </si>
  <si>
    <t>Paraxanthine to linoleate (18:2n6) ratio</t>
  </si>
  <si>
    <t>Cholesterol to linoleoyl-arachidonoyl-glycerol (18:2 to 20:4) [1] ratio</t>
  </si>
  <si>
    <t>Cholesterol to benzoate ratio</t>
  </si>
  <si>
    <t>Cholesterol to oleoyl-linoleoyl-glycerol (18:1 to 18:2) [2] ratio</t>
  </si>
  <si>
    <t>Cholesterol to linoleoyl-arachidonoyl-glycerol (18:2 to 20:4) [2] ratio</t>
  </si>
  <si>
    <t>Benzoate to oleoyl-linoleoyl-glycerol (18:1 to 18:2) [2] ratio</t>
  </si>
  <si>
    <t>Benzoate to linoleoyl-arachidonoyl-glycerol (18:2 to 20:4) [1] ratio</t>
  </si>
  <si>
    <t>Histidine to asparagine ratio</t>
  </si>
  <si>
    <t>Benzoate to linoleoyl-arachidonoyl-glycerol (18:2 to 20:4) [2] ratio</t>
  </si>
  <si>
    <t>Histidine to alanine ratio</t>
  </si>
  <si>
    <t>Alanine to asparagine ratio</t>
  </si>
  <si>
    <t>Salicylate to oxalate (ethanedioate) ratio</t>
  </si>
  <si>
    <t>Glutamine to alanine ratio</t>
  </si>
  <si>
    <t>Salicylate to taurocholate ratio</t>
  </si>
  <si>
    <t>Citrate to taurocholate ratio</t>
  </si>
  <si>
    <t>Histidine to glutamine ratio</t>
  </si>
  <si>
    <t>Salicylate to citrate ratio</t>
  </si>
  <si>
    <t>Taurocholate to oxalate (ethanedioate) ratio</t>
  </si>
  <si>
    <t>Serine to threonine ratio</t>
  </si>
  <si>
    <t>Serine to alpha-ketobutyrate ratio</t>
  </si>
  <si>
    <t>Maltose to sucrose ratio</t>
  </si>
  <si>
    <t>Glucose to N-palmitoyl-sphingosine (d18:1 to 16:0) ratio</t>
  </si>
  <si>
    <t>Glucose to N-stearoyl-sphingosine (d18:1 to 18:0) ratio</t>
  </si>
  <si>
    <t>Fructose to maltose ratio</t>
  </si>
  <si>
    <t>Alpha-ketobutyrate to 3-methyl-2-oxovalerate ratio</t>
  </si>
  <si>
    <t>Glucose to N-palmitoyl-sphinganine (d18:0 to 16:0) ratio</t>
  </si>
  <si>
    <t>Threonine to alpha-ketobutyrate ratio</t>
  </si>
  <si>
    <t>Threonine to pyruvate ratio</t>
  </si>
  <si>
    <t>Alpha-ketobutyrate to 4-methyl-2-oxopentanoate ratio</t>
  </si>
  <si>
    <t>3-methyl-2-oxovalerate to 4-methyl-2-oxopentanoate ratio</t>
  </si>
  <si>
    <t>3-methyl-2-oxovalerate to 3-methyl-2-oxobutyrate ratio</t>
  </si>
  <si>
    <t>Androsterone glucuronide to etiocholanolone glucuronide ratio</t>
  </si>
  <si>
    <t>Glucuronate to androsterone glucuronide ratio</t>
  </si>
  <si>
    <t>Bilirubin (Z,Z) to androsterone glucuronide ratio</t>
  </si>
  <si>
    <t>Bilirubin (Z,Z) to etiocholanolone glucuronide ratio</t>
  </si>
  <si>
    <t>4-methyl-2-oxopentanoate to 3-methyl-2-oxobutyrate ratio</t>
  </si>
  <si>
    <t>Bilirubin (Z,Z) to glucuronate ratio</t>
  </si>
  <si>
    <t>Glucuronate to etiocholanolone glucuronide ratio</t>
  </si>
  <si>
    <t>Paraxanthine to 5-acetylamino-6-formylamino-3-methyluracil ratio</t>
  </si>
  <si>
    <t>CHEM_ID</t>
  </si>
  <si>
    <t>LIB_ID</t>
  </si>
  <si>
    <t>COMP_ID</t>
  </si>
  <si>
    <t>CHRO_LIB_ENTRY_ID</t>
  </si>
  <si>
    <t>SUPER_PATHWAY</t>
  </si>
  <si>
    <t>SUB_PATHWAY</t>
  </si>
  <si>
    <t>PATHWAY_SORTORDER</t>
  </si>
  <si>
    <t>TYPE</t>
  </si>
  <si>
    <t>INCHIKEY</t>
  </si>
  <si>
    <t>SMILES</t>
  </si>
  <si>
    <t>CHEMICAL_NAME</t>
  </si>
  <si>
    <t>PLOT_NAME</t>
  </si>
  <si>
    <t>CAS</t>
  </si>
  <si>
    <t>CHEMSPIDER</t>
  </si>
  <si>
    <t>HMDB</t>
  </si>
  <si>
    <t>KEGG</t>
  </si>
  <si>
    <t>PUBCHEM</t>
  </si>
  <si>
    <t>PLATFORM</t>
  </si>
  <si>
    <t>Amino Acid</t>
  </si>
  <si>
    <t>Polyamine Metabolism</t>
  </si>
  <si>
    <t>NAMED</t>
  </si>
  <si>
    <t>ATHGHQPFGPMSJY-UHFFFAOYSA-N</t>
  </si>
  <si>
    <t>NCCCCNCCCN</t>
  </si>
  <si>
    <t>spermidine</t>
  </si>
  <si>
    <t>124-20-9</t>
  </si>
  <si>
    <t>1071</t>
  </si>
  <si>
    <t>HMDB0001257</t>
  </si>
  <si>
    <t>C00315</t>
  </si>
  <si>
    <t>1102</t>
  </si>
  <si>
    <t>Pos Late</t>
  </si>
  <si>
    <t>Cofactors and Vitamins</t>
  </si>
  <si>
    <t>Nicotinate and Nicotinamide Metabolism</t>
  </si>
  <si>
    <t>LDHMAVIPBRSVRG-UHFFFAOYSA-N</t>
  </si>
  <si>
    <t>C[N+]1=CC(C([NH-])=O)=CC=C1</t>
  </si>
  <si>
    <t>1-methylnicotinamide</t>
  </si>
  <si>
    <t>1005-24-9</t>
  </si>
  <si>
    <t>8305504</t>
  </si>
  <si>
    <t>HMDB0000699</t>
  </si>
  <si>
    <t>C02918</t>
  </si>
  <si>
    <t>457</t>
  </si>
  <si>
    <t>Pos Early</t>
  </si>
  <si>
    <t>Lipid</t>
  </si>
  <si>
    <t>Fatty Acid, Dihydroxy</t>
  </si>
  <si>
    <t>CQSLTKIXAJTQGA-FLIBITNWSA-N</t>
  </si>
  <si>
    <t>CCCCCC(C(C/C=C\CCCCCCCC(O)=O)O)O</t>
  </si>
  <si>
    <t>12,13-DiHOME</t>
  </si>
  <si>
    <t>263399-35-5</t>
  </si>
  <si>
    <t>8412123</t>
  </si>
  <si>
    <t>HMDB0004705</t>
  </si>
  <si>
    <t>C14829</t>
  </si>
  <si>
    <t>10236635</t>
  </si>
  <si>
    <t>Neg</t>
  </si>
  <si>
    <t>Tryptophan Metabolism</t>
  </si>
  <si>
    <t>DUUGKQCEGZLZNO-UHFFFAOYSA-N</t>
  </si>
  <si>
    <t>OC1=CC=C(NC=C2CC(O)=O)C2=C1</t>
  </si>
  <si>
    <t>5-hydroxyindoleacetate</t>
  </si>
  <si>
    <t>54-16-0</t>
  </si>
  <si>
    <t>1760</t>
  </si>
  <si>
    <t>HMDB0000763</t>
  </si>
  <si>
    <t>C05635</t>
  </si>
  <si>
    <t>1826</t>
  </si>
  <si>
    <t>Energy</t>
  </si>
  <si>
    <t>TCA Cycle</t>
  </si>
  <si>
    <t>KPGXRSRHYNQIFN-UHFFFAOYSA-N</t>
  </si>
  <si>
    <t>O=C(C(O)=O)CCC(O)=O</t>
  </si>
  <si>
    <t>alpha-ketoglutarate</t>
  </si>
  <si>
    <t>328-50-7,22202-68-2,305-72-6</t>
  </si>
  <si>
    <t>50</t>
  </si>
  <si>
    <t>HMDB0000208</t>
  </si>
  <si>
    <t>C00026</t>
  </si>
  <si>
    <t>51</t>
  </si>
  <si>
    <t>Polar</t>
  </si>
  <si>
    <t>HCZHHEIFKROPDY-UHFFFAOYSA-N</t>
  </si>
  <si>
    <t>OC1=C(C=CC=C2)C2=NC(C(O)=O)=C1</t>
  </si>
  <si>
    <t>kynurenate</t>
  </si>
  <si>
    <t>492-27-3</t>
  </si>
  <si>
    <t>3712</t>
  </si>
  <si>
    <t>HMDB0000715</t>
  </si>
  <si>
    <t>C01717</t>
  </si>
  <si>
    <t>3845</t>
  </si>
  <si>
    <t>Leucine, Isoleucine and Valine Metabolism</t>
  </si>
  <si>
    <t>DBXBTMSZEOQQDU-UHFFFAOYSA-N</t>
  </si>
  <si>
    <t>CC(C(O)=O)CO</t>
  </si>
  <si>
    <t>3-hydroxyisobutyrate</t>
  </si>
  <si>
    <t>2068-83-9</t>
  </si>
  <si>
    <t>10140307</t>
  </si>
  <si>
    <t>HMDB0000023,HMDB0000336</t>
  </si>
  <si>
    <t>C01188,C06001</t>
  </si>
  <si>
    <t>11966314</t>
  </si>
  <si>
    <t>Mevalonate Metabolism</t>
  </si>
  <si>
    <t>NPOAOTPXWNWTSH-UHFFFAOYSA-N</t>
  </si>
  <si>
    <t>CC(CC(O)=O)(CC(O)=O)O</t>
  </si>
  <si>
    <t>3-hydroxy-3-methylglutarate</t>
  </si>
  <si>
    <t>503-49-1</t>
  </si>
  <si>
    <t>4573695</t>
  </si>
  <si>
    <t>HMDB0000355</t>
  </si>
  <si>
    <t>C03761</t>
  </si>
  <si>
    <t>1662,5459993</t>
  </si>
  <si>
    <t>Primary Bile Acid Metabolism</t>
  </si>
  <si>
    <t>BHQCQFFYRZLCQQ-OLRQUHAPSA-N</t>
  </si>
  <si>
    <t>O[C@H]1[C@@]2([H])[C@]3([H])CC[C@H]([C@H](C)CCC(O)=O)[C@@]3(C)[C@@H](O)C[C@]2([H])[C@@]4(C)CC[C@@H](O)CC4C1</t>
  </si>
  <si>
    <t>cholate</t>
  </si>
  <si>
    <t>81-25-4</t>
  </si>
  <si>
    <t>HMDB0000619</t>
  </si>
  <si>
    <t>C00695</t>
  </si>
  <si>
    <t>221493</t>
  </si>
  <si>
    <t>Phenylalanine Metabolism</t>
  </si>
  <si>
    <t>XQXPVVBIMDBYFF-UHFFFAOYSA-N</t>
  </si>
  <si>
    <t>OC(CC1=CC=C(C=C1)O)=O</t>
  </si>
  <si>
    <t>4-hydroxyphenylacetate</t>
  </si>
  <si>
    <t>156-38-7</t>
  </si>
  <si>
    <t>3881560</t>
  </si>
  <si>
    <t>HMDB0000020</t>
  </si>
  <si>
    <t>C00642</t>
  </si>
  <si>
    <t>127</t>
  </si>
  <si>
    <t>Nucleotide</t>
  </si>
  <si>
    <t>Pyrimidine Metabolism, Thymine containing</t>
  </si>
  <si>
    <t>NBAKTGXDIBVZOO-UHFFFAOYSA-N</t>
  </si>
  <si>
    <t>O=C(NCC1C)NC1=O</t>
  </si>
  <si>
    <t>5,6-dihydrothymine</t>
  </si>
  <si>
    <t>696-04-8</t>
  </si>
  <si>
    <t>84456</t>
  </si>
  <si>
    <t>HMDB0000079</t>
  </si>
  <si>
    <t>C00906</t>
  </si>
  <si>
    <t>93556</t>
  </si>
  <si>
    <t>Purine Metabolism, (Hypo)Xanthine/Inosine containing</t>
  </si>
  <si>
    <t>FDGQSTZJBFJUBT-UHFFFAOYSA-N</t>
  </si>
  <si>
    <t>O=C1C(N=CN2)=C2N=CN1</t>
  </si>
  <si>
    <t>hypoxanthine</t>
  </si>
  <si>
    <t>68-94-0</t>
  </si>
  <si>
    <t>768</t>
  </si>
  <si>
    <t>HMDB0000157</t>
  </si>
  <si>
    <t>C00262</t>
  </si>
  <si>
    <t>790,135398638</t>
  </si>
  <si>
    <t>XEBKSQSGNGRGDW-YFHOEESVSA-N</t>
  </si>
  <si>
    <t>CCCCC/C=C\CC(C(CCCCCCCC(O)=O)O)O</t>
  </si>
  <si>
    <t>9,10-DiHOME</t>
  </si>
  <si>
    <t>263399-34-4</t>
  </si>
  <si>
    <t>8142232</t>
  </si>
  <si>
    <t>HMDB0004704</t>
  </si>
  <si>
    <t>C14828</t>
  </si>
  <si>
    <t>9966640</t>
  </si>
  <si>
    <t>Long Chain Polyunsaturated Fatty Acid (n3 and n6)</t>
  </si>
  <si>
    <t>OYHQOLUKZRVURQ-HZJYTTRNSA-N</t>
  </si>
  <si>
    <t>OC(CCCCCCC/C=C\C/C=C\CCCCC)=O</t>
  </si>
  <si>
    <t>linoleate (18:2n6)</t>
  </si>
  <si>
    <t>60-33-3</t>
  </si>
  <si>
    <t>4444105</t>
  </si>
  <si>
    <t>HMDB0006270,HMDB0000673</t>
  </si>
  <si>
    <t>C01595</t>
  </si>
  <si>
    <t>5280450</t>
  </si>
  <si>
    <t>Medium Chain Fatty Acid</t>
  </si>
  <si>
    <t>POULHZVOKOAJMA-UHFFFAOYSA-N</t>
  </si>
  <si>
    <t>O=C(O)CCCCCCCCCCC</t>
  </si>
  <si>
    <t>laurate (12:0)</t>
  </si>
  <si>
    <t>143-07-7</t>
  </si>
  <si>
    <t>3756</t>
  </si>
  <si>
    <t>HMDB0000638</t>
  </si>
  <si>
    <t>C02679</t>
  </si>
  <si>
    <t>3893</t>
  </si>
  <si>
    <t>GJAWHXHKYYXBSV-UHFFFAOYSA-N</t>
  </si>
  <si>
    <t>OC(C(C=CC=N1)=C1C(O)=O)=O</t>
  </si>
  <si>
    <t>quinolinate</t>
  </si>
  <si>
    <t>89-00-9</t>
  </si>
  <si>
    <t>1037</t>
  </si>
  <si>
    <t>HMDB0000232</t>
  </si>
  <si>
    <t>C03722</t>
  </si>
  <si>
    <t>1066</t>
  </si>
  <si>
    <t>Lysine Metabolism</t>
  </si>
  <si>
    <t>MXNRLFUSFKVQSK-UHFFFAOYSA-N</t>
  </si>
  <si>
    <t>C[N+](C)(CCCCC(C([O-])=O)N)C</t>
  </si>
  <si>
    <t>N6,N6,N6-trimethyllysine</t>
  </si>
  <si>
    <t>23284-33-5</t>
  </si>
  <si>
    <t>140379</t>
  </si>
  <si>
    <t>HMDB0001325</t>
  </si>
  <si>
    <t>C03793</t>
  </si>
  <si>
    <t>440120</t>
  </si>
  <si>
    <t>KLZGKIDSEJWEDW-UHFFFAOYSA-N</t>
  </si>
  <si>
    <t>CC(NCCCCN)=O</t>
  </si>
  <si>
    <t>N-acetylputrescine</t>
  </si>
  <si>
    <t>18233-70-0</t>
  </si>
  <si>
    <t>109095</t>
  </si>
  <si>
    <t>HMDB0002064</t>
  </si>
  <si>
    <t>C02714</t>
  </si>
  <si>
    <t>122356</t>
  </si>
  <si>
    <t>Methionine, Cysteine, SAM and Taurine Metabolism</t>
  </si>
  <si>
    <t>PYUSHNKNPOHWEZ-UHFFFAOYSA-N</t>
  </si>
  <si>
    <t>CSCCC(C(O)=O)NC=O</t>
  </si>
  <si>
    <t>N-formylmethionine</t>
  </si>
  <si>
    <t>4289-98-9</t>
  </si>
  <si>
    <t>388809</t>
  </si>
  <si>
    <t>HMDB0001015</t>
  </si>
  <si>
    <t>C03145</t>
  </si>
  <si>
    <t>439750</t>
  </si>
  <si>
    <t>ZJUKTBDSGOFHSH-UHFFFAOYSA-N</t>
  </si>
  <si>
    <t>OC1C(N2C=NC3=C2N=CN=C3N)OC(CSCCC(N)C(O)=O)C1O</t>
  </si>
  <si>
    <t>S-adenosylhomocysteine (SAH)</t>
  </si>
  <si>
    <t>979-92-0</t>
  </si>
  <si>
    <t>16788012</t>
  </si>
  <si>
    <t>HMDB0000939</t>
  </si>
  <si>
    <t>C00021</t>
  </si>
  <si>
    <t>439155</t>
  </si>
  <si>
    <t>Purine Metabolism, Adenine containing</t>
  </si>
  <si>
    <t>UDMBCSSLTHHNCD-UHFFFAOYSA-N</t>
  </si>
  <si>
    <t>NC1=NC=NC2=C1N=CN2C3OC(C(C3O)O)COP(O)(O)=O</t>
  </si>
  <si>
    <t>adenosine 5'-monophosphate (AMP)</t>
  </si>
  <si>
    <t>AMP</t>
  </si>
  <si>
    <t>149022-20-8</t>
  </si>
  <si>
    <t>10239183</t>
  </si>
  <si>
    <t>HMDB0000045</t>
  </si>
  <si>
    <t>C00020</t>
  </si>
  <si>
    <t>6083</t>
  </si>
  <si>
    <t>WUUGFSXJNOTRMR-IOSLPCCCSA-N</t>
  </si>
  <si>
    <t>NC1=NC=NC2=C1N=CN2[C@H]3[C@H](O)[C@H](O)[C@@H](CSC)O3</t>
  </si>
  <si>
    <t>5-methylthioadenosine (MTA)</t>
  </si>
  <si>
    <t>2457-80-9</t>
  </si>
  <si>
    <t>388321</t>
  </si>
  <si>
    <t>HMDB0001173</t>
  </si>
  <si>
    <t>C00170</t>
  </si>
  <si>
    <t>439176</t>
  </si>
  <si>
    <t>VQAYFKKCNSOZKM-UHFFFAOYSA-N</t>
  </si>
  <si>
    <t>OC(C1O)C(OC1CO)N(C=N2)C3=C2C(NC)=NC=N3</t>
  </si>
  <si>
    <t>N6-methyladenosine</t>
  </si>
  <si>
    <t>1867-73-8</t>
  </si>
  <si>
    <t>92307</t>
  </si>
  <si>
    <t>HMDB0004044</t>
  </si>
  <si>
    <t>102175</t>
  </si>
  <si>
    <t>SDMADEZQMYCSNO-UHFFFAOYSA-N</t>
  </si>
  <si>
    <t>NC1=NC=NC2=C1N=CN2C3OC(C(C3O)O)COP(O)(OP(O)(OC4OC(C(C4O)O)CO)=O)=O</t>
  </si>
  <si>
    <t>adenosine 5'-diphosphoribose (ADP-ribose)</t>
  </si>
  <si>
    <t>68414-18-6</t>
  </si>
  <si>
    <t>3674071</t>
  </si>
  <si>
    <t>HMDB0001178</t>
  </si>
  <si>
    <t>C00301</t>
  </si>
  <si>
    <t>192</t>
  </si>
  <si>
    <t>YZXBAPSDXZZRGB-DOFZRALJSA-N</t>
  </si>
  <si>
    <t>CCCCC/C=C\C/C=C\C/C=C\C/C=C\CCCC(O)=O</t>
  </si>
  <si>
    <t>arachidonate (20:4n6)</t>
  </si>
  <si>
    <t>506-32-1</t>
  </si>
  <si>
    <t>392692</t>
  </si>
  <si>
    <t>HMDB0001043</t>
  </si>
  <si>
    <t>C00219</t>
  </si>
  <si>
    <t>444899</t>
  </si>
  <si>
    <t>Urea cycle; Arginine and Proline Metabolism</t>
  </si>
  <si>
    <t>ODKSFYDXXFIFQN-UHFFFAOYSA-N</t>
  </si>
  <si>
    <t>N=C(N)NCCCC(N)C(O)=O</t>
  </si>
  <si>
    <t>arginine</t>
  </si>
  <si>
    <t>1119-34-2</t>
  </si>
  <si>
    <t>227</t>
  </si>
  <si>
    <t>HMDB0000517</t>
  </si>
  <si>
    <t>C00062</t>
  </si>
  <si>
    <t>6322</t>
  </si>
  <si>
    <t>Alanine and Aspartate Metabolism</t>
  </si>
  <si>
    <t>CKLJMWTZIZZHCS-UHFFFAOYSA-N</t>
  </si>
  <si>
    <t>NC(C(O)=O)CC(O)=O</t>
  </si>
  <si>
    <t>aspartate</t>
  </si>
  <si>
    <t>56-84-8</t>
  </si>
  <si>
    <t>5745</t>
  </si>
  <si>
    <t>HMDB0000191</t>
  </si>
  <si>
    <t>C00049</t>
  </si>
  <si>
    <t>5960</t>
  </si>
  <si>
    <t>CCVYRRGZDBSHFU-UHFFFAOYSA-N</t>
  </si>
  <si>
    <t>OC(CC1=C(O)C=CC=C1)=O</t>
  </si>
  <si>
    <t>2-hydroxyphenylacetate</t>
  </si>
  <si>
    <t>614-75-5</t>
  </si>
  <si>
    <t>11476</t>
  </si>
  <si>
    <t>HMDB0000669</t>
  </si>
  <si>
    <t>C05852</t>
  </si>
  <si>
    <t>11970</t>
  </si>
  <si>
    <t>Tyrosine Metabolism</t>
  </si>
  <si>
    <t>JVGVDSSUAVXRDY-UHFFFAOYSA-N</t>
  </si>
  <si>
    <t>OC(C(O)=O)CC1=CC=C(O)C=C1</t>
  </si>
  <si>
    <t>3-(4-hydroxyphenyl)lactate</t>
  </si>
  <si>
    <t>3-(4-hydroxyphenyl)lactate (HPLA)</t>
  </si>
  <si>
    <t>6482-98-0</t>
  </si>
  <si>
    <t>9010</t>
  </si>
  <si>
    <t>HMDB0000755</t>
  </si>
  <si>
    <t>C03672</t>
  </si>
  <si>
    <t>9378</t>
  </si>
  <si>
    <t>BTNMPGBKDVTSJY-UHFFFAOYSA-N</t>
  </si>
  <si>
    <t>O=C(C(O)=O)CC1=CC=CC=C1</t>
  </si>
  <si>
    <t>phenylpyruvate</t>
  </si>
  <si>
    <t>156-06-9</t>
  </si>
  <si>
    <t>972</t>
  </si>
  <si>
    <t>HMDB0000205</t>
  </si>
  <si>
    <t>C00166</t>
  </si>
  <si>
    <t>997</t>
  </si>
  <si>
    <t>Pyrimidine Metabolism, Uracil containing</t>
  </si>
  <si>
    <t>UCMIRNVEIXFBKS-UHFFFAOYSA-N</t>
  </si>
  <si>
    <t>NCCC(O)=O</t>
  </si>
  <si>
    <t>beta-alanine</t>
  </si>
  <si>
    <t>107-95-9,56-41-7</t>
  </si>
  <si>
    <t>234</t>
  </si>
  <si>
    <t>HMDB0000056</t>
  </si>
  <si>
    <t>C00099</t>
  </si>
  <si>
    <t>239</t>
  </si>
  <si>
    <t>Hemoglobin and Porphyrin Metabolism</t>
  </si>
  <si>
    <t>QBUVFDKTZJNUPP-YBRAVLHJSA-N</t>
  </si>
  <si>
    <t>CC1=C(/C=C(N2)/C(C=C)=C(C)C2=O)NC(/C=C3C(CCC(O)=O)=C(C)C(/C=C(N4)\C(C)=C(C=C)C4=O)=N\3)=C1CCC(O)=O</t>
  </si>
  <si>
    <t>biliverdin</t>
  </si>
  <si>
    <t>55482-27-4,55482-27-4</t>
  </si>
  <si>
    <t>10628548</t>
  </si>
  <si>
    <t>HMDB0001008</t>
  </si>
  <si>
    <t>C00500</t>
  </si>
  <si>
    <t>5280353</t>
  </si>
  <si>
    <t>Biotin Metabolism</t>
  </si>
  <si>
    <t>YBJHBAHKTGYVGT-UHFFFAOYSA-N</t>
  </si>
  <si>
    <t>OC(CCCCC(SC1)C(N2)C1NC2=O)=O</t>
  </si>
  <si>
    <t>biotin</t>
  </si>
  <si>
    <t>58-85-5</t>
  </si>
  <si>
    <t>149962</t>
  </si>
  <si>
    <t>HMDB0000030</t>
  </si>
  <si>
    <t>C00120</t>
  </si>
  <si>
    <t>171548</t>
  </si>
  <si>
    <t>KDYFGRWQOYBRFD-UHFFFAOYSA-N</t>
  </si>
  <si>
    <t>OC(CCC(O)=O)=O</t>
  </si>
  <si>
    <t>succinate</t>
  </si>
  <si>
    <t>110-15-6</t>
  </si>
  <si>
    <t>1078</t>
  </si>
  <si>
    <t>HMDB0000254</t>
  </si>
  <si>
    <t>C00042</t>
  </si>
  <si>
    <t>1110</t>
  </si>
  <si>
    <t>Ketone Bodies</t>
  </si>
  <si>
    <t>WHBMMWSBFZVSSR-UHFFFAOYSA-N</t>
  </si>
  <si>
    <t>CC(O)CC(O)=O</t>
  </si>
  <si>
    <t>3-hydroxybutyrate (BHBA)</t>
  </si>
  <si>
    <t>625-72-9</t>
  </si>
  <si>
    <t>428</t>
  </si>
  <si>
    <t>HMDB0000442,HMDB0000357,HMDB0000011</t>
  </si>
  <si>
    <t>C03197,C01089</t>
  </si>
  <si>
    <t>94318,441,92135</t>
  </si>
  <si>
    <t>Sterol</t>
  </si>
  <si>
    <t>HVYWMOMLDIMFJA-LBHVWCRMSA-N</t>
  </si>
  <si>
    <t>CC1(C2C(C)CCCC(C)C)C(CC2)C(CC=C3C4(CC[C@H](O)C3)C)C4CC1</t>
  </si>
  <si>
    <t>cholesterol</t>
  </si>
  <si>
    <t>57-88-5</t>
  </si>
  <si>
    <t>4937803</t>
  </si>
  <si>
    <t>HMDB0000067</t>
  </si>
  <si>
    <t>C00187</t>
  </si>
  <si>
    <t>5997,6432564,11025495</t>
  </si>
  <si>
    <t>Phospholipid Metabolism</t>
  </si>
  <si>
    <t>YHHSONZFOIEMCP-UHFFFAOYSA-N</t>
  </si>
  <si>
    <t>C[N+](C)(CCOP(O)([O-])=O)C</t>
  </si>
  <si>
    <t>choline phosphate</t>
  </si>
  <si>
    <t>phosphocholine</t>
  </si>
  <si>
    <t>72556-74-2</t>
  </si>
  <si>
    <t>119298</t>
  </si>
  <si>
    <t>HMDB0001565</t>
  </si>
  <si>
    <t>C00588</t>
  </si>
  <si>
    <t>1014</t>
  </si>
  <si>
    <t>Corticosteroids</t>
  </si>
  <si>
    <t>OMFXVFTZEKFJBZ-UHFFFAOYSA-N</t>
  </si>
  <si>
    <t>CC(C(CC1)=CC2=O)(CC2)C3C1C(CCC4C(CO)=O)C4(C)CC3O</t>
  </si>
  <si>
    <t>corticosterone</t>
  </si>
  <si>
    <t>50-22-6</t>
  </si>
  <si>
    <t>5550</t>
  </si>
  <si>
    <t>HMDB0001547</t>
  </si>
  <si>
    <t>C02140</t>
  </si>
  <si>
    <t>5753</t>
  </si>
  <si>
    <t>MFYSYFVPBJMHGN-ZPOLXVRWSA-N</t>
  </si>
  <si>
    <t>O[C@@]1([C@@](CO)=O)[C@](C2)(C)[C@](CC1)([H])[C@@](CCC3=CC4=O)([H])[C@]([C@@]3(C)CC4)([H])C2=O</t>
  </si>
  <si>
    <t>cortisone</t>
  </si>
  <si>
    <t>53-06-5</t>
  </si>
  <si>
    <t>361685</t>
  </si>
  <si>
    <t>HMDB0002802</t>
  </si>
  <si>
    <t>C00762</t>
  </si>
  <si>
    <t>222786</t>
  </si>
  <si>
    <t>Creatine Metabolism</t>
  </si>
  <si>
    <t>DDRJAANPRJIHGJ-UHFFFAOYSA-N</t>
  </si>
  <si>
    <t>CN(C(N1)=N)CC1=O</t>
  </si>
  <si>
    <t>60-27-5</t>
  </si>
  <si>
    <t>568</t>
  </si>
  <si>
    <t>HMDB0000562</t>
  </si>
  <si>
    <t>C00791</t>
  </si>
  <si>
    <t>588</t>
  </si>
  <si>
    <t>Glutathione Metabolism</t>
  </si>
  <si>
    <t>ZUKPVRWZDMRIEO-UHFFFAOYSA-N</t>
  </si>
  <si>
    <t>NC(C(NCC(O)=O)=O)CS</t>
  </si>
  <si>
    <t>cysteinylglycine</t>
  </si>
  <si>
    <t>19246-18-5</t>
  </si>
  <si>
    <t>58762</t>
  </si>
  <si>
    <t>HMDB0000078</t>
  </si>
  <si>
    <t>C01419</t>
  </si>
  <si>
    <t>439498</t>
  </si>
  <si>
    <t>LEVWYRKDKASIDU-UHFFFAOYSA-N</t>
  </si>
  <si>
    <t>NC(C(O)=O)CSSCC(N)C(O)=O</t>
  </si>
  <si>
    <t>cystine</t>
  </si>
  <si>
    <t>56-89-3</t>
  </si>
  <si>
    <t>575</t>
  </si>
  <si>
    <t>HMDB0000192</t>
  </si>
  <si>
    <t>C00491</t>
  </si>
  <si>
    <t>67678</t>
  </si>
  <si>
    <t>Sphingosines</t>
  </si>
  <si>
    <t>WWUZIQQURGPMPG-CCEZHUSRSA-N</t>
  </si>
  <si>
    <t>CCCCCCCCCCCCC/C=C/C(C(CO)N)O</t>
  </si>
  <si>
    <t>sphingosine</t>
  </si>
  <si>
    <t>123-78-4</t>
  </si>
  <si>
    <t>4510275</t>
  </si>
  <si>
    <t>HMDB0000252</t>
  </si>
  <si>
    <t>C00319</t>
  </si>
  <si>
    <t>5280335</t>
  </si>
  <si>
    <t>Secondary Bile Acid Metabolism</t>
  </si>
  <si>
    <t>KXGVEGMKQFWNSR-OHAQSFBXSA-N</t>
  </si>
  <si>
    <t>CC12[C@@]([C@]3([H])CC[C@]4([H])C[C@H](O)CC[C@]4(C)[C@@]3([H])C[C@@H]2O)([H])CC[C@]1([H])[C@]([H])(C)CCC(O)=O</t>
  </si>
  <si>
    <t>deoxycholate</t>
  </si>
  <si>
    <t>83-44-3</t>
  </si>
  <si>
    <t>389318</t>
  </si>
  <si>
    <t>HMDB0000626</t>
  </si>
  <si>
    <t>C04483</t>
  </si>
  <si>
    <t>222528,440355</t>
  </si>
  <si>
    <t>ILRYLPWNYFXEMH-UHFFFAOYSA-N</t>
  </si>
  <si>
    <t>OC(C(CCSCC(N)C(O)=O)N)=O</t>
  </si>
  <si>
    <t>cystathionine</t>
  </si>
  <si>
    <t>535-34-2</t>
  </si>
  <si>
    <t>811</t>
  </si>
  <si>
    <t>HMDB0000099</t>
  </si>
  <si>
    <t>C02291</t>
  </si>
  <si>
    <t>439258</t>
  </si>
  <si>
    <t>Sphingolipid Synthesis</t>
  </si>
  <si>
    <t>OTKJDMGTUTTYMP-UHFFFAOYSA-N</t>
  </si>
  <si>
    <t>CCCCCCCCCCCCCCCC(C(CO)N)O</t>
  </si>
  <si>
    <t>sphinganine</t>
  </si>
  <si>
    <t>3102-56-5</t>
  </si>
  <si>
    <t>3014</t>
  </si>
  <si>
    <t>HMDB0000269</t>
  </si>
  <si>
    <t>C00836</t>
  </si>
  <si>
    <t>3126</t>
  </si>
  <si>
    <t>VZCYOOQTPOCHFL-OWOJBTEDSA-N</t>
  </si>
  <si>
    <t>OC(/C=C/C(O)=O)=O</t>
  </si>
  <si>
    <t>fumarate</t>
  </si>
  <si>
    <t>100-17-8</t>
  </si>
  <si>
    <t>10197150</t>
  </si>
  <si>
    <t>HMDB0000134</t>
  </si>
  <si>
    <t>C00122</t>
  </si>
  <si>
    <t>444972</t>
  </si>
  <si>
    <t>Peptide</t>
  </si>
  <si>
    <t>Gamma-glutamyl Amino Acid</t>
  </si>
  <si>
    <t>OWQDWQKWSLFFFR-UHFFFAOYSA-N</t>
  </si>
  <si>
    <t>O=C(O)C(N)CCC(NC(C(O)=O)CCC(O)=O)=O</t>
  </si>
  <si>
    <t>gamma-glutamylglutamate</t>
  </si>
  <si>
    <t>1116-22-9</t>
  </si>
  <si>
    <t>83831</t>
  </si>
  <si>
    <t>HMDB0011737</t>
  </si>
  <si>
    <t>C05282</t>
  </si>
  <si>
    <t>92865</t>
  </si>
  <si>
    <t>Xenobiotics</t>
  </si>
  <si>
    <t>Food Component/Plant</t>
  </si>
  <si>
    <t>RGHNJXZEOKUKBD-SQOUGZDYSA-N</t>
  </si>
  <si>
    <t>OC([C@H](O)[C@@H](O)[C@H](O)[C@H](O)CO)=O</t>
  </si>
  <si>
    <t>gluconate</t>
  </si>
  <si>
    <t>527-07-1</t>
  </si>
  <si>
    <t>10240</t>
  </si>
  <si>
    <t>HMDB0000625</t>
  </si>
  <si>
    <t>C00257</t>
  </si>
  <si>
    <t>10690,3085666</t>
  </si>
  <si>
    <t>Fatty Acid, Dicarboxylate</t>
  </si>
  <si>
    <t>JFCQEDHGNNZCLN-UHFFFAOYSA-N</t>
  </si>
  <si>
    <t>OC(CCCC(O)=O)=O</t>
  </si>
  <si>
    <t>glutarate (C5-DC)</t>
  </si>
  <si>
    <t>110-94-1</t>
  </si>
  <si>
    <t>3618533</t>
  </si>
  <si>
    <t>HMDB0000661</t>
  </si>
  <si>
    <t>C00489</t>
  </si>
  <si>
    <t>743,4418048</t>
  </si>
  <si>
    <t>Glycine, Serine and Threonine Metabolism</t>
  </si>
  <si>
    <t>DHMQDGOQFOQNFH-UHFFFAOYSA-N</t>
  </si>
  <si>
    <t>NCC(O)=O</t>
  </si>
  <si>
    <t>56-40-6</t>
  </si>
  <si>
    <t>730</t>
  </si>
  <si>
    <t>HMDB0000123</t>
  </si>
  <si>
    <t>C00037</t>
  </si>
  <si>
    <t>750</t>
  </si>
  <si>
    <t>RFDAIACWWDREDC-FRVQLJSFSA-N</t>
  </si>
  <si>
    <t>O=C(CNC(CC[C@H]([C@@H]1[C@@]2(C)[C@@H](O)C[C@]3([H])[C@@]4(C)CC[C@@H](O)C[C@@]4([H])C[C@@H](O)[C@@]3([H])[C@]2([H])CC1)C)=O)O</t>
  </si>
  <si>
    <t>glycocholate</t>
  </si>
  <si>
    <t>475-31-0,863-57-0</t>
  </si>
  <si>
    <t>9734</t>
  </si>
  <si>
    <t>HMDB0000138</t>
  </si>
  <si>
    <t>C01921</t>
  </si>
  <si>
    <t>10140</t>
  </si>
  <si>
    <t>BPMFZUMJYQTVII-UHFFFAOYSA-N</t>
  </si>
  <si>
    <t>NC(NCC(O)=O)=N</t>
  </si>
  <si>
    <t>guanidinoacetate</t>
  </si>
  <si>
    <t>352-97-6</t>
  </si>
  <si>
    <t>743</t>
  </si>
  <si>
    <t>HMDB0000128</t>
  </si>
  <si>
    <t>C00581</t>
  </si>
  <si>
    <t>763</t>
  </si>
  <si>
    <t>Histidine Metabolism</t>
  </si>
  <si>
    <t>HNDVDQJCIGZPNO-UHFFFAOYSA-N</t>
  </si>
  <si>
    <t>NC(C(O)=O)CC1=CN=CN1</t>
  </si>
  <si>
    <t>5934-29-2</t>
  </si>
  <si>
    <t>752</t>
  </si>
  <si>
    <t>HMDB0000177</t>
  </si>
  <si>
    <t>C00135</t>
  </si>
  <si>
    <t>6274</t>
  </si>
  <si>
    <t>JYGXADMDTFJGBT-VWUMJDOOSA-N</t>
  </si>
  <si>
    <t>O[C@@]1([C@@](CO)=O)[C@]2(C)[C@](CC1)([H])[C@@](CCC3=CC4=O)([H])[C@]([C@@]3(C)CC4)([H])[C@@H](O)C2</t>
  </si>
  <si>
    <t>cortisol</t>
  </si>
  <si>
    <t>50-23-7</t>
  </si>
  <si>
    <t>HMDB0000063</t>
  </si>
  <si>
    <t>C00735</t>
  </si>
  <si>
    <t>5754</t>
  </si>
  <si>
    <t>VVIUBCNYACGLLV-UHFFFAOYSA-N</t>
  </si>
  <si>
    <t>NCCS(O)=O</t>
  </si>
  <si>
    <t>hypotaurine</t>
  </si>
  <si>
    <t>300-84-5</t>
  </si>
  <si>
    <t>96959</t>
  </si>
  <si>
    <t>HMDB0000965</t>
  </si>
  <si>
    <t>C00519</t>
  </si>
  <si>
    <t>107812</t>
  </si>
  <si>
    <t>UGQMRVRMYYASKQ-KQYNXXCUSA-N</t>
  </si>
  <si>
    <t>O[C@H]1[C@H](N2C(N=CN=C3O)=C3N=C2)O[C@H](CO)[C@H]1O</t>
  </si>
  <si>
    <t>inosine</t>
  </si>
  <si>
    <t>58-63-9</t>
  </si>
  <si>
    <t>21241953</t>
  </si>
  <si>
    <t>HMDB0000195</t>
  </si>
  <si>
    <t>C00294</t>
  </si>
  <si>
    <t>6021</t>
  </si>
  <si>
    <t>Inositol Metabolism</t>
  </si>
  <si>
    <t>CDAISMWEOUEBRE-GPIVLXJGSA-N</t>
  </si>
  <si>
    <t>O[C@@H]1[C@@H](O)[C@H](O)[C@H](O)[C@H](O)[C@H]1O</t>
  </si>
  <si>
    <t>myo-inositol</t>
  </si>
  <si>
    <t>87-89-8</t>
  </si>
  <si>
    <t>10239179</t>
  </si>
  <si>
    <t>HMDB0000211</t>
  </si>
  <si>
    <t>C00137</t>
  </si>
  <si>
    <t>892</t>
  </si>
  <si>
    <t>AGPKZVBTJJNPAG-UHFFFAOYSA-N</t>
  </si>
  <si>
    <t>NC(C(O)=O)C(C)CC</t>
  </si>
  <si>
    <t>73-32-5</t>
  </si>
  <si>
    <t>769</t>
  </si>
  <si>
    <t>HMDB0000172</t>
  </si>
  <si>
    <t>C06418,C00407,C16424</t>
  </si>
  <si>
    <t>6306</t>
  </si>
  <si>
    <t>OYIFNHCXNCRBQI-UHFFFAOYSA-N</t>
  </si>
  <si>
    <t>OC(CCCC(N)C(O)=O)=O</t>
  </si>
  <si>
    <t>2-aminoadipate</t>
  </si>
  <si>
    <t>1118-90-7,542-32-5</t>
  </si>
  <si>
    <t>456</t>
  </si>
  <si>
    <t>HMDB0000510</t>
  </si>
  <si>
    <t>C00956</t>
  </si>
  <si>
    <t>92136</t>
  </si>
  <si>
    <t>XVOYSCVBGLVSOL-UHFFFAOYSA-N</t>
  </si>
  <si>
    <t>O=C(O)C(N)CS(=O)(O)=O</t>
  </si>
  <si>
    <t>3-sulfo-alanine</t>
  </si>
  <si>
    <t>498-40-8</t>
  </si>
  <si>
    <t>65718</t>
  </si>
  <si>
    <t>HMDB0002757</t>
  </si>
  <si>
    <t>C00506</t>
  </si>
  <si>
    <t>72886</t>
  </si>
  <si>
    <t>RHGKLRLOHDJJDR-UHFFFAOYSA-N</t>
  </si>
  <si>
    <t>NC(C(O)=O)CCCNC(N)=O</t>
  </si>
  <si>
    <t>citrulline</t>
  </si>
  <si>
    <t>372-75-8</t>
  </si>
  <si>
    <t>810</t>
  </si>
  <si>
    <t>HMDB0000904</t>
  </si>
  <si>
    <t>C00327</t>
  </si>
  <si>
    <t>9750</t>
  </si>
  <si>
    <t>Carbohydrate</t>
  </si>
  <si>
    <t>Disaccharides and Oligosaccharides</t>
  </si>
  <si>
    <t>GUBGYTABKSRVRQ-DCSYEGIMSA-N</t>
  </si>
  <si>
    <t>O[C@H]1[C@H](O[C@H]2[C@H](O)[C@@H](O)[C@H](O)O[C@@H]2CO)O[C@H](CO)[C@H](O)[C@@H]1O</t>
  </si>
  <si>
    <t>lactose</t>
  </si>
  <si>
    <t>5965-66-2</t>
  </si>
  <si>
    <t>5904</t>
  </si>
  <si>
    <t>HMDB0041627</t>
  </si>
  <si>
    <t>C01970</t>
  </si>
  <si>
    <t>6134</t>
  </si>
  <si>
    <t>ROHFNLRQFUQHCH-YFKPBYRVSA-N</t>
  </si>
  <si>
    <t>O=C([C@H](CC(C)C)N)O</t>
  </si>
  <si>
    <t>61-90-5</t>
  </si>
  <si>
    <t>HMDB0000687</t>
  </si>
  <si>
    <t>C00123</t>
  </si>
  <si>
    <t>6106</t>
  </si>
  <si>
    <t>KDXKERNSBIXSRK-UHFFFAOYSA-N</t>
  </si>
  <si>
    <t>NC(C(O)=O)CCCCN</t>
  </si>
  <si>
    <t>lysine</t>
  </si>
  <si>
    <t>56-87-1</t>
  </si>
  <si>
    <t>5747</t>
  </si>
  <si>
    <t>HMDB0003405</t>
  </si>
  <si>
    <t>C00739,C00047</t>
  </si>
  <si>
    <t>5962</t>
  </si>
  <si>
    <t>BJEPYKJPYRNKOW-UHFFFAOYSA-N</t>
  </si>
  <si>
    <t>OC(C(O)=O)CC(O)=O</t>
  </si>
  <si>
    <t>malate</t>
  </si>
  <si>
    <t>6915-15-7</t>
  </si>
  <si>
    <t>510</t>
  </si>
  <si>
    <t>HMDB0031518,HMDB0000156,HMDB0000744</t>
  </si>
  <si>
    <t>C00149,C00711,C00497</t>
  </si>
  <si>
    <t>525</t>
  </si>
  <si>
    <t>FFEARJCKVFRZRR-UHFFFAOYSA-N</t>
  </si>
  <si>
    <t>CSCCC(N)C(O)=O</t>
  </si>
  <si>
    <t>methionine</t>
  </si>
  <si>
    <t>63-68-3</t>
  </si>
  <si>
    <t>5907</t>
  </si>
  <si>
    <t>HMDB0000696</t>
  </si>
  <si>
    <t>C00073</t>
  </si>
  <si>
    <t>6137</t>
  </si>
  <si>
    <t>Long Chain Saturated Fatty Acid</t>
  </si>
  <si>
    <t>IPCSVZSSVZVIGE-UHFFFAOYSA-N</t>
  </si>
  <si>
    <t>OC(CCCCCCCCCCCCCCC)=O</t>
  </si>
  <si>
    <t>palmitate (16:0)</t>
  </si>
  <si>
    <t>57-10-3</t>
  </si>
  <si>
    <t>960</t>
  </si>
  <si>
    <t>HMDB0000220</t>
  </si>
  <si>
    <t>C00249</t>
  </si>
  <si>
    <t>985</t>
  </si>
  <si>
    <t>DFPAKSUCGFBDDF-UHFFFAOYSA-N</t>
  </si>
  <si>
    <t>NC(C1=CN=CC=C1)=O</t>
  </si>
  <si>
    <t>nicotinamide</t>
  </si>
  <si>
    <t>98-92-0</t>
  </si>
  <si>
    <t>911</t>
  </si>
  <si>
    <t>HMDB0001406</t>
  </si>
  <si>
    <t>C00153</t>
  </si>
  <si>
    <t>936</t>
  </si>
  <si>
    <t>QIQXTHQIDYTFRH-UHFFFAOYSA-N</t>
  </si>
  <si>
    <t>CCCCCCCCCCCCCCCCCC(O)=O</t>
  </si>
  <si>
    <t>stearate (18:0)</t>
  </si>
  <si>
    <t>57-11-4</t>
  </si>
  <si>
    <t>5091</t>
  </si>
  <si>
    <t>HMDB0000827</t>
  </si>
  <si>
    <t>C01530</t>
  </si>
  <si>
    <t>5281</t>
  </si>
  <si>
    <t>AHLPHDHHMVZTML-BYPYZUCNSA-N</t>
  </si>
  <si>
    <t>O=C(O)[C@@H](N)CCCN</t>
  </si>
  <si>
    <t>ornithine</t>
  </si>
  <si>
    <t>3184-13-2</t>
  </si>
  <si>
    <t>6026</t>
  </si>
  <si>
    <t>HMDB0000214</t>
  </si>
  <si>
    <t>C00077</t>
  </si>
  <si>
    <t>6262</t>
  </si>
  <si>
    <t>Pyrimidine Metabolism, Orotate containing</t>
  </si>
  <si>
    <t>PXQPEWDEAKTCGB-UHFFFAOYSA-N</t>
  </si>
  <si>
    <t>O=C(C1=CC(O)=NC(O)=N1)O</t>
  </si>
  <si>
    <t>orotate</t>
  </si>
  <si>
    <t>50887-69-9</t>
  </si>
  <si>
    <t>942</t>
  </si>
  <si>
    <t>HMDB0000226</t>
  </si>
  <si>
    <t>C00295</t>
  </si>
  <si>
    <t>967</t>
  </si>
  <si>
    <t>Long Chain Monounsaturated Fatty Acid</t>
  </si>
  <si>
    <t>SECPZKHBENQXJG-FPLPWBNLSA-N</t>
  </si>
  <si>
    <t>CCCCCC\C=C/CCCCCCCC(O)=O</t>
  </si>
  <si>
    <t>palmitoleate (16:1n7)</t>
  </si>
  <si>
    <t>373-49-9</t>
  </si>
  <si>
    <t>393216</t>
  </si>
  <si>
    <t>HMDB0003229</t>
  </si>
  <si>
    <t>C08362</t>
  </si>
  <si>
    <t>445638</t>
  </si>
  <si>
    <t>COLNVLDHVKWLRT-UHFFFAOYSA-N</t>
  </si>
  <si>
    <t>NC(C(O)=O)CC1=CC=CC=C1</t>
  </si>
  <si>
    <t>63-91-2</t>
  </si>
  <si>
    <t>5910</t>
  </si>
  <si>
    <t>HMDB0000159</t>
  </si>
  <si>
    <t>C00079</t>
  </si>
  <si>
    <t>6140</t>
  </si>
  <si>
    <t>Oxidative Phosphorylation</t>
  </si>
  <si>
    <t>NBIIXXVUZAFLBC-UHFFFAOYSA-N</t>
  </si>
  <si>
    <t>O=P(O)(O)O</t>
  </si>
  <si>
    <t>phosphate</t>
  </si>
  <si>
    <t>7664-38-2</t>
  </si>
  <si>
    <t>1032</t>
  </si>
  <si>
    <t>HMDB0001429</t>
  </si>
  <si>
    <t>C00009</t>
  </si>
  <si>
    <t>1061</t>
  </si>
  <si>
    <t>Glycolysis, Gluconeogenesis, and Pyruvate Metabolism</t>
  </si>
  <si>
    <t>DTBNBXWJWCWCIK-UHFFFAOYSA-N</t>
  </si>
  <si>
    <t>O=P(O)(OC(C(O)=O)=C)O</t>
  </si>
  <si>
    <t>phosphoenolpyruvate (PEP)</t>
  </si>
  <si>
    <t>10526-80-4</t>
  </si>
  <si>
    <t>980</t>
  </si>
  <si>
    <t>HMDB0000263</t>
  </si>
  <si>
    <t>C00074</t>
  </si>
  <si>
    <t>1005</t>
  </si>
  <si>
    <t>RLCKHJSFHOZMDR-UHFFFAOYSA-N</t>
  </si>
  <si>
    <t>CC(CCCC(CCCC(CCCC(C)C)C)C)CC(O)=O</t>
  </si>
  <si>
    <t>phytanate</t>
  </si>
  <si>
    <t>14721-66-5</t>
  </si>
  <si>
    <t>10140204</t>
  </si>
  <si>
    <t>HMDB0000801</t>
  </si>
  <si>
    <t>C01607</t>
  </si>
  <si>
    <t>26840</t>
  </si>
  <si>
    <t>Fatty Acid, Branched</t>
  </si>
  <si>
    <t>PAHGJZDQXIOYTH-UHFFFAOYSA-N</t>
  </si>
  <si>
    <t>CC(C)CCCC(C)CCCC(C)CCCC(C)C(O)=O</t>
  </si>
  <si>
    <t>pristanate</t>
  </si>
  <si>
    <t>1189-37-3</t>
  </si>
  <si>
    <t>110458</t>
  </si>
  <si>
    <t>HMDB0000795</t>
  </si>
  <si>
    <t>123929</t>
  </si>
  <si>
    <t>ONIBWKKTOPOVIA-UHFFFAOYSA-N</t>
  </si>
  <si>
    <t>OC(C1CCCN1)=O</t>
  </si>
  <si>
    <t>proline</t>
  </si>
  <si>
    <t>147-85-3</t>
  </si>
  <si>
    <t>128566</t>
  </si>
  <si>
    <t>HMDB0000162,HMDB0003411</t>
  </si>
  <si>
    <t>C00148,C000763</t>
  </si>
  <si>
    <t>8988,145742,614</t>
  </si>
  <si>
    <t>JVTAAEKCZFNVCJ-UHFFFAOYSA-N</t>
  </si>
  <si>
    <t>CC(O)C(O)=O</t>
  </si>
  <si>
    <t>79-33-4</t>
  </si>
  <si>
    <t>592</t>
  </si>
  <si>
    <t>HMDB0000190</t>
  </si>
  <si>
    <t>C00186</t>
  </si>
  <si>
    <t>612</t>
  </si>
  <si>
    <t>Vitamin A Metabolism</t>
  </si>
  <si>
    <t>FPIPGXGPPPQFEQ-OVSJKPMPSA-N</t>
  </si>
  <si>
    <t>C/C(/C=C/C(C(C)(CCC1)C)=C1C)=C\C=C\C(C)=C\CO</t>
  </si>
  <si>
    <t>retinol (vitamin A)</t>
  </si>
  <si>
    <t>68-26-8</t>
  </si>
  <si>
    <t>393012</t>
  </si>
  <si>
    <t>HMDB0000305</t>
  </si>
  <si>
    <t>C00473</t>
  </si>
  <si>
    <t>445354</t>
  </si>
  <si>
    <t>Riboflavin Metabolism</t>
  </si>
  <si>
    <t>AUNGANRZJHBGPY-UHFFFAOYSA-N</t>
  </si>
  <si>
    <t>OC(C(O)C(O)CO)CN1C(C=C2C)=C(C=C2C)N=C(C(N3)=O)C1=NC3=O</t>
  </si>
  <si>
    <t>riboflavin (vitamin B2)</t>
  </si>
  <si>
    <t>83-88-5</t>
  </si>
  <si>
    <t>431981</t>
  </si>
  <si>
    <t>HMDB0000244</t>
  </si>
  <si>
    <t>C00255</t>
  </si>
  <si>
    <t>493570</t>
  </si>
  <si>
    <t>Drug - Topical Agents</t>
  </si>
  <si>
    <t>YGSDEFSMJLZEOE-UHFFFAOYSA-N</t>
  </si>
  <si>
    <t>OC1=C(C(O)=O)C=CC=C1</t>
  </si>
  <si>
    <t>salicylate</t>
  </si>
  <si>
    <t>69-72-7</t>
  </si>
  <si>
    <t>331</t>
  </si>
  <si>
    <t>HMDB0001895</t>
  </si>
  <si>
    <t>C00805</t>
  </si>
  <si>
    <t>338</t>
  </si>
  <si>
    <t>MTCFGRXMJLQNBG-REOHCLBHSA-N</t>
  </si>
  <si>
    <t>OC([C@@H](N)CO)=O</t>
  </si>
  <si>
    <t>serine</t>
  </si>
  <si>
    <t>56-45-1</t>
  </si>
  <si>
    <t>5736</t>
  </si>
  <si>
    <t>HMDB0000187</t>
  </si>
  <si>
    <t>C00065</t>
  </si>
  <si>
    <t>5951</t>
  </si>
  <si>
    <t>QZAYGJVTTNCVMB-UHFFFAOYSA-N</t>
  </si>
  <si>
    <t>NCCC1=CNC(C=C2)=C1C=C2O</t>
  </si>
  <si>
    <t>serotonin</t>
  </si>
  <si>
    <t>153-98-0</t>
  </si>
  <si>
    <t>5013</t>
  </si>
  <si>
    <t>HMDB0000259</t>
  </si>
  <si>
    <t>C00780</t>
  </si>
  <si>
    <t>5202</t>
  </si>
  <si>
    <t>XOAAWQZATWQOTB-UHFFFAOYSA-N</t>
  </si>
  <si>
    <t>NCCS(=O)(O)=O</t>
  </si>
  <si>
    <t>taurine</t>
  </si>
  <si>
    <t>107-35-7</t>
  </si>
  <si>
    <t>1091</t>
  </si>
  <si>
    <t>HMDB0000251</t>
  </si>
  <si>
    <t>C00245</t>
  </si>
  <si>
    <t>1123</t>
  </si>
  <si>
    <t>TUNFSRHWOTWDNC-UHFFFAOYSA-N</t>
  </si>
  <si>
    <t>OC(CCCCCCCCCCCCC)=O</t>
  </si>
  <si>
    <t>myristate (14:0)</t>
  </si>
  <si>
    <t>544-63-8</t>
  </si>
  <si>
    <t>10539</t>
  </si>
  <si>
    <t>HMDB0000806</t>
  </si>
  <si>
    <t>C06424</t>
  </si>
  <si>
    <t>11005</t>
  </si>
  <si>
    <t>XSQUKJJJFZCRTK-UHFFFAOYSA-N</t>
  </si>
  <si>
    <t>O=C(N)N</t>
  </si>
  <si>
    <t>urea</t>
  </si>
  <si>
    <t>57-13-6</t>
  </si>
  <si>
    <t>1143</t>
  </si>
  <si>
    <t>HMDB0000294</t>
  </si>
  <si>
    <t>C00086</t>
  </si>
  <si>
    <t>1176</t>
  </si>
  <si>
    <t>DRTQHJPVMGBUCF-UHFFFAOYSA-N</t>
  </si>
  <si>
    <t>OC1C(N(C=CC2=O)C(N2)=O)OC(CO)C1O</t>
  </si>
  <si>
    <t>uridine</t>
  </si>
  <si>
    <t>58-96-8</t>
  </si>
  <si>
    <t>5807</t>
  </si>
  <si>
    <t>HMDB0000296</t>
  </si>
  <si>
    <t>C00299</t>
  </si>
  <si>
    <t>6029</t>
  </si>
  <si>
    <t>MXHRCPNRJAMMIM-UHFFFAOYSA-N</t>
  </si>
  <si>
    <t>O=C(NC1=O)N(C=C1)C(CC2O)OC2CO</t>
  </si>
  <si>
    <t>2'-deoxyuridine</t>
  </si>
  <si>
    <t>951-78-0</t>
  </si>
  <si>
    <t>13118</t>
  </si>
  <si>
    <t>HMDB0000012</t>
  </si>
  <si>
    <t>C00526</t>
  </si>
  <si>
    <t>13712</t>
  </si>
  <si>
    <t>LOIYMIARKYCTBW-OWOJBTEDSA-N</t>
  </si>
  <si>
    <t>O=C(O)/C=C/C1=CNC=N1</t>
  </si>
  <si>
    <t>trans-urocanate</t>
  </si>
  <si>
    <t>104-98-3</t>
  </si>
  <si>
    <t>643824</t>
  </si>
  <si>
    <t>HMDB0000301</t>
  </si>
  <si>
    <t>C00785</t>
  </si>
  <si>
    <t>736715</t>
  </si>
  <si>
    <t>Glutamate Metabolism</t>
  </si>
  <si>
    <t>WHUUTDBJXJRKMK-VKHMYHEASA-N</t>
  </si>
  <si>
    <t>O=C(O)[C@@H](N)CCC(O)=O</t>
  </si>
  <si>
    <t>glutamate</t>
  </si>
  <si>
    <t>56-86-0</t>
  </si>
  <si>
    <t>591</t>
  </si>
  <si>
    <t>HMDB0000148</t>
  </si>
  <si>
    <t>C00025,C00217</t>
  </si>
  <si>
    <t>33032</t>
  </si>
  <si>
    <t>ZDXPYRJPNDTMRX-VKHMYHEASA-N</t>
  </si>
  <si>
    <t>OC([C@@H](N)CCC(N)=O)=O</t>
  </si>
  <si>
    <t>56-85-9</t>
  </si>
  <si>
    <t>5746</t>
  </si>
  <si>
    <t>HMDB0000641</t>
  </si>
  <si>
    <t>C00064</t>
  </si>
  <si>
    <t>5961</t>
  </si>
  <si>
    <t>AYFVYJQAPQTCCC-GBXIJSLDSA-N</t>
  </si>
  <si>
    <t>N[C@H](C(O)=O)[C@H](O)C</t>
  </si>
  <si>
    <t>threonine</t>
  </si>
  <si>
    <t>72-19-5</t>
  </si>
  <si>
    <t>6051</t>
  </si>
  <si>
    <t>HMDB0000167</t>
  </si>
  <si>
    <t>C00188</t>
  </si>
  <si>
    <t>6288</t>
  </si>
  <si>
    <t>QIVBCDIJIAJPQS-VIFPVBQESA-N</t>
  </si>
  <si>
    <t>O=C(O)[C@@H](N)CC1=CNC2=C1C=CC=C2</t>
  </si>
  <si>
    <t>tryptophan</t>
  </si>
  <si>
    <t>73-22-3</t>
  </si>
  <si>
    <t>6066</t>
  </si>
  <si>
    <t>HMDB0000929</t>
  </si>
  <si>
    <t>C00078</t>
  </si>
  <si>
    <t>6305</t>
  </si>
  <si>
    <t>KZSNJWFQEVHDMF-BYPYZUCNSA-N</t>
  </si>
  <si>
    <t>N[C@H](C(O)=O)C(C)C</t>
  </si>
  <si>
    <t>72-18-4</t>
  </si>
  <si>
    <t>6050</t>
  </si>
  <si>
    <t>HMDB0000883</t>
  </si>
  <si>
    <t>C00183</t>
  </si>
  <si>
    <t>6287</t>
  </si>
  <si>
    <t>WQZGKKKJIJFFOK-DVKNGEFBSA-N</t>
  </si>
  <si>
    <t>O[C@H]1O[C@H](CO)[C@@H](O)[C@H](O)[C@H]1O</t>
  </si>
  <si>
    <t>50-99-7</t>
  </si>
  <si>
    <t>71358</t>
  </si>
  <si>
    <t>HMDB0000122</t>
  </si>
  <si>
    <t>C00031</t>
  </si>
  <si>
    <t>5793</t>
  </si>
  <si>
    <t>TYEYBOSBBBHJIV-UHFFFAOYSA-N</t>
  </si>
  <si>
    <t>OC(C(CC)=O)=O</t>
  </si>
  <si>
    <t>alpha-ketobutyrate</t>
  </si>
  <si>
    <t>600-18-0</t>
  </si>
  <si>
    <t>2829426</t>
  </si>
  <si>
    <t>HMDB0000005</t>
  </si>
  <si>
    <t>C00109</t>
  </si>
  <si>
    <t>58</t>
  </si>
  <si>
    <t>OIRDTQYFTABQOQ-KQYNXXCUSA-N</t>
  </si>
  <si>
    <t>NC1=NC=NC2=C1N=CN2[C@@]3([H])[C@@](O)([H])[C@@](O)([H])[C@](CO)([H])O3</t>
  </si>
  <si>
    <t>adenosine</t>
  </si>
  <si>
    <t>58-61-7</t>
  </si>
  <si>
    <t>54923</t>
  </si>
  <si>
    <t>HMDB0000050</t>
  </si>
  <si>
    <t>C00212</t>
  </si>
  <si>
    <t>60961</t>
  </si>
  <si>
    <t>KWIUHFFTVRNATP-UHFFFAOYSA-N</t>
  </si>
  <si>
    <t>O=C(C[N+](C)(C)C)[O-]</t>
  </si>
  <si>
    <t>betaine</t>
  </si>
  <si>
    <t>107-43-7</t>
  </si>
  <si>
    <t>19951173,242</t>
  </si>
  <si>
    <t>HMDB0000043</t>
  </si>
  <si>
    <t>C00719</t>
  </si>
  <si>
    <t>247</t>
  </si>
  <si>
    <t>XUJNEKJLAYXESH-REOHCLBHSA-N</t>
  </si>
  <si>
    <t>SC[C@H](N)C(O)=O</t>
  </si>
  <si>
    <t>cysteine</t>
  </si>
  <si>
    <t>56-89-3,52-90-4</t>
  </si>
  <si>
    <t>5653</t>
  </si>
  <si>
    <t>HMDB0000574</t>
  </si>
  <si>
    <t>C00097</t>
  </si>
  <si>
    <t>5862</t>
  </si>
  <si>
    <t>Fructose, Mannose and Galactose Metabolism</t>
  </si>
  <si>
    <t>WQZGKKKJIJFFOK-DXQLJALPSA-N</t>
  </si>
  <si>
    <t>O[C@@H]1C(CO)O[C@@H](O)[C@@H](O)[C@H]1O</t>
  </si>
  <si>
    <t>mannose</t>
  </si>
  <si>
    <t>3458-28-4</t>
  </si>
  <si>
    <t>141983</t>
  </si>
  <si>
    <t>HMDB0000169</t>
  </si>
  <si>
    <t>C00159,C02209,C00936</t>
  </si>
  <si>
    <t>82308,439680,185698,18950</t>
  </si>
  <si>
    <t>FFDGPVCHZBVARC-UHFFFAOYSA-N</t>
  </si>
  <si>
    <t>CN(C)CC(O)=O</t>
  </si>
  <si>
    <t>dimethylglycine</t>
  </si>
  <si>
    <t>1118-68-9</t>
  </si>
  <si>
    <t>653</t>
  </si>
  <si>
    <t>HMDB0000092</t>
  </si>
  <si>
    <t>C03626</t>
  </si>
  <si>
    <t>673</t>
  </si>
  <si>
    <t>QNAYBMKLOCPYGJ-REOHCLBHSA-N</t>
  </si>
  <si>
    <t>O=C(O)[C@@H](N)C</t>
  </si>
  <si>
    <t>56-41-7</t>
  </si>
  <si>
    <t>5735</t>
  </si>
  <si>
    <t>HMDB0000161</t>
  </si>
  <si>
    <t>C00041</t>
  </si>
  <si>
    <t>5950</t>
  </si>
  <si>
    <t>OUYCCCASQSFEME-QMMMGPOBSA-N</t>
  </si>
  <si>
    <t>N[C@@H](CC1=CC=C(O)C=C1)C(O)=O</t>
  </si>
  <si>
    <t>60-18-4</t>
  </si>
  <si>
    <t>5833</t>
  </si>
  <si>
    <t>HMDB0000158</t>
  </si>
  <si>
    <t>C00082</t>
  </si>
  <si>
    <t>6057</t>
  </si>
  <si>
    <t>Fatty Acid Synthesis</t>
  </si>
  <si>
    <t>OFOBLEOULBTSOW-UHFFFAOYSA-N</t>
  </si>
  <si>
    <t>O=C(O)CC(O)=O</t>
  </si>
  <si>
    <t>malonate</t>
  </si>
  <si>
    <t>26522-22-85-0,141-82-2</t>
  </si>
  <si>
    <t>844</t>
  </si>
  <si>
    <t>HMDB0000691</t>
  </si>
  <si>
    <t>C00383</t>
  </si>
  <si>
    <t>867</t>
  </si>
  <si>
    <t>PTJWIQPHWPFNBW-GBNDHIKLSA-N</t>
  </si>
  <si>
    <t>O[C@]1([H])[C@@](O)([H])[C@](CO)([H])O[C@]1(C2=CNC(NC2=O)=O)[H]</t>
  </si>
  <si>
    <t>pseudouridine</t>
  </si>
  <si>
    <t>1445-07-4</t>
  </si>
  <si>
    <t>21403010</t>
  </si>
  <si>
    <t>HMDB0000767</t>
  </si>
  <si>
    <t>C02067</t>
  </si>
  <si>
    <t>15047</t>
  </si>
  <si>
    <t>LCTONWCANYUPML-UHFFFAOYSA-N</t>
  </si>
  <si>
    <t>CC(C(O)=O)=O</t>
  </si>
  <si>
    <t>127-17-3</t>
  </si>
  <si>
    <t>96901</t>
  </si>
  <si>
    <t>HMDB0000243</t>
  </si>
  <si>
    <t>C00022</t>
  </si>
  <si>
    <t>1060</t>
  </si>
  <si>
    <t>ISAKRJDGNUQOIC-UHFFFAOYSA-N</t>
  </si>
  <si>
    <t>O=C(NC=C1)NC1=O</t>
  </si>
  <si>
    <t>uracil</t>
  </si>
  <si>
    <t>66-22-8</t>
  </si>
  <si>
    <t>1141</t>
  </si>
  <si>
    <t>HMDB0000300</t>
  </si>
  <si>
    <t>C00106</t>
  </si>
  <si>
    <t>1174</t>
  </si>
  <si>
    <t>Pyrimidine Metabolism, Cytidine containing</t>
  </si>
  <si>
    <t>UHDGCWIWMRVCDJ-XVFCMESISA-N</t>
  </si>
  <si>
    <t>OC[C@@H]1[C@H]([C@H]([C@H](N2C(N=C(C=C2)N)=O)O1)O)O</t>
  </si>
  <si>
    <t>cytidine</t>
  </si>
  <si>
    <t>65-46-3</t>
  </si>
  <si>
    <t>5940</t>
  </si>
  <si>
    <t>HMDB0000089</t>
  </si>
  <si>
    <t>C00475</t>
  </si>
  <si>
    <t>6175</t>
  </si>
  <si>
    <t>Tobacco Metabolite</t>
  </si>
  <si>
    <t>UIKROCXWUNQSPJ-VIFPVBQESA-N</t>
  </si>
  <si>
    <t>O=C1CC[C@@H]([C@]2=CN=CC=C2)N1C</t>
  </si>
  <si>
    <t>cotinine</t>
  </si>
  <si>
    <t>486-56-6</t>
  </si>
  <si>
    <t>746405</t>
  </si>
  <si>
    <t>HMDB0001046</t>
  </si>
  <si>
    <t>408</t>
  </si>
  <si>
    <t>Xanthine Metabolism</t>
  </si>
  <si>
    <t>RYYVLZVUVIJVGH-UHFFFAOYSA-N</t>
  </si>
  <si>
    <t>O=C(N(C)C1=C2N(C)C=N1)N(C)C2=O</t>
  </si>
  <si>
    <t>caffeine</t>
  </si>
  <si>
    <t>58-08-2</t>
  </si>
  <si>
    <t>2424</t>
  </si>
  <si>
    <t>HMDB0001847</t>
  </si>
  <si>
    <t>C07481</t>
  </si>
  <si>
    <t>2519</t>
  </si>
  <si>
    <t>RFSUNEUAIZKAJO-ARQDHWQXSA-N</t>
  </si>
  <si>
    <t>OC[C@@]1(O)O[C@H](CO)[C@@H](O)[C@@H]1O</t>
  </si>
  <si>
    <t>fructose</t>
  </si>
  <si>
    <t>57-48-7</t>
  </si>
  <si>
    <t>5764</t>
  </si>
  <si>
    <t>HMDB0000660</t>
  </si>
  <si>
    <t>C00095</t>
  </si>
  <si>
    <t>2723872</t>
  </si>
  <si>
    <t>GFFGJBXGBJISGV-UHFFFAOYSA-N</t>
  </si>
  <si>
    <t>NC1=NC=NC2=C1N=CN2</t>
  </si>
  <si>
    <t>adenine</t>
  </si>
  <si>
    <t>73-24-5</t>
  </si>
  <si>
    <t>185</t>
  </si>
  <si>
    <t>HMDB0000034</t>
  </si>
  <si>
    <t>C00147</t>
  </si>
  <si>
    <t>190</t>
  </si>
  <si>
    <t>OPTASPLRGRRNAP-UHFFFAOYSA-N</t>
  </si>
  <si>
    <t>NC1=NC(NC=C1)=O</t>
  </si>
  <si>
    <t>cytosine</t>
  </si>
  <si>
    <t>71-30-7</t>
  </si>
  <si>
    <t>577</t>
  </si>
  <si>
    <t>HMDB0000630</t>
  </si>
  <si>
    <t>C00380</t>
  </si>
  <si>
    <t>597</t>
  </si>
  <si>
    <t>GHVNFZFCNZKVNT-UHFFFAOYSA-N</t>
  </si>
  <si>
    <t>CCCCCCCCCC(O)=O</t>
  </si>
  <si>
    <t>caprate (10:0)</t>
  </si>
  <si>
    <t>334-48-5</t>
  </si>
  <si>
    <t>2863</t>
  </si>
  <si>
    <t>HMDB0000511</t>
  </si>
  <si>
    <t>C01571</t>
  </si>
  <si>
    <t>2969</t>
  </si>
  <si>
    <t>KEMQGTRYUADPNZ-UHFFFAOYSA-N</t>
  </si>
  <si>
    <t>O=C(O)CCCCCCCCCCCCCCCC</t>
  </si>
  <si>
    <t>margarate (17:0)</t>
  </si>
  <si>
    <t>506-12-7</t>
  </si>
  <si>
    <t>10033</t>
  </si>
  <si>
    <t>HMDB0002259</t>
  </si>
  <si>
    <t>10465</t>
  </si>
  <si>
    <t>ISYWECDDZWTKFF-UHFFFAOYSA-N</t>
  </si>
  <si>
    <t>CCCCCCCCCCCCCCCCCCC(O)=O</t>
  </si>
  <si>
    <t>nonadecanoate (19:0)</t>
  </si>
  <si>
    <t>646-30-0</t>
  </si>
  <si>
    <t>12071</t>
  </si>
  <si>
    <t>HMDB0000772</t>
  </si>
  <si>
    <t>C16535</t>
  </si>
  <si>
    <t>12591</t>
  </si>
  <si>
    <t>VKOBVWXKNCXXDE-UHFFFAOYSA-N</t>
  </si>
  <si>
    <t>CCCCCCCCCCCCCCCCCCCC(O)=O</t>
  </si>
  <si>
    <t>arachidate (20:0)</t>
  </si>
  <si>
    <t>506-30-9</t>
  </si>
  <si>
    <t>10035</t>
  </si>
  <si>
    <t>HMDB0002212</t>
  </si>
  <si>
    <t>C06425</t>
  </si>
  <si>
    <t>10467</t>
  </si>
  <si>
    <t>Glycogen Metabolism</t>
  </si>
  <si>
    <t>GUBGYTABKSRVRQ-ASMJPISFSA-N</t>
  </si>
  <si>
    <t>O[C@@H]1[C@H]([C@H](O[C@@H]([C@H]1O)CO)O[C@H]2[C@@H]([C@H]([C@H](O[C@@H]2CO)O)O)O)O</t>
  </si>
  <si>
    <t>maltose</t>
  </si>
  <si>
    <t>6363-53-7</t>
  </si>
  <si>
    <t>388469</t>
  </si>
  <si>
    <t>HMDB0000163</t>
  </si>
  <si>
    <t>C00208</t>
  </si>
  <si>
    <t>10991489</t>
  </si>
  <si>
    <t>Pentose Metabolism</t>
  </si>
  <si>
    <t>PYMYPHUHKUWMLA-LMVFSUKVSA-N</t>
  </si>
  <si>
    <t>O=C[C@@H]([C@@H]([C@@H](CO)O)O)O</t>
  </si>
  <si>
    <t>ribose</t>
  </si>
  <si>
    <t>50-69-1</t>
  </si>
  <si>
    <t>4470639</t>
  </si>
  <si>
    <t>HMDB0000283</t>
  </si>
  <si>
    <t>C00121</t>
  </si>
  <si>
    <t>5779</t>
  </si>
  <si>
    <t>DCXYFEDJOCDNAF-REOHCLBHSA-N</t>
  </si>
  <si>
    <t>NC(C[C@H](N)C(O)=O)=O</t>
  </si>
  <si>
    <t>asparagine</t>
  </si>
  <si>
    <t>70-47-3</t>
  </si>
  <si>
    <t>6031</t>
  </si>
  <si>
    <t>HMDB0000168</t>
  </si>
  <si>
    <t>C00152</t>
  </si>
  <si>
    <t>6267</t>
  </si>
  <si>
    <t>Dihydroceramides</t>
  </si>
  <si>
    <t>KZTJQXAANJHSCE-OIDHKYIRSA-N</t>
  </si>
  <si>
    <t>CCCCCCCCCCCCCCCCCC(N[C@H]([C@H](O)CCCCCCCCCCCCCCC)CO)=O</t>
  </si>
  <si>
    <t>N-stearoyl-sphinganine (d18:0/18:0)*</t>
  </si>
  <si>
    <t>2304-80-5</t>
  </si>
  <si>
    <t>4446686</t>
  </si>
  <si>
    <t>HMDB0011761</t>
  </si>
  <si>
    <t>5283573</t>
  </si>
  <si>
    <t>UFIVEPVSAGBUSI-UHFFFAOYSA-N</t>
  </si>
  <si>
    <t>O=C(C(NC1=O)CC(N1)=O)O</t>
  </si>
  <si>
    <t>dihydroorotate</t>
  </si>
  <si>
    <t>155-54-4</t>
  </si>
  <si>
    <t>628</t>
  </si>
  <si>
    <t>HMDB03349</t>
  </si>
  <si>
    <t>C00337</t>
  </si>
  <si>
    <t>648</t>
  </si>
  <si>
    <t>MNWFXJYAOYHMED-UHFFFAOYSA-N</t>
  </si>
  <si>
    <t>CCCCCCC(O)=O</t>
  </si>
  <si>
    <t>heptanoate (7:0)</t>
  </si>
  <si>
    <t>111-14-8</t>
  </si>
  <si>
    <t>7803</t>
  </si>
  <si>
    <t>HMDB0000666</t>
  </si>
  <si>
    <t>C17714</t>
  </si>
  <si>
    <t>8094</t>
  </si>
  <si>
    <t>FUZZWVXGSFPDMH-UHFFFAOYSA-N</t>
  </si>
  <si>
    <t>CCCCCC(O)=O</t>
  </si>
  <si>
    <t>caproate (6:0)</t>
  </si>
  <si>
    <t>142-62-1</t>
  </si>
  <si>
    <t>8552</t>
  </si>
  <si>
    <t>HMDB0000535</t>
  </si>
  <si>
    <t>C01585</t>
  </si>
  <si>
    <t>8892</t>
  </si>
  <si>
    <t>WWZKQHOCKIZLMA-UHFFFAOYSA-N</t>
  </si>
  <si>
    <t>CCCCCCCC(O)=O</t>
  </si>
  <si>
    <t>caprylate (8:0)</t>
  </si>
  <si>
    <t>124-07-2</t>
  </si>
  <si>
    <t>370</t>
  </si>
  <si>
    <t>HMDB0000482</t>
  </si>
  <si>
    <t>C06423</t>
  </si>
  <si>
    <t>379</t>
  </si>
  <si>
    <t>CZMRCDWAGMRECN-UGDNZRGBSA-N</t>
  </si>
  <si>
    <t>OC[C@]1(O[C@@H]2[C@@H]([C@H]([C@@H]([C@H](O2)CO)O)O)O)[C@H]([C@@H]([C@@H](CO)O1)O)O</t>
  </si>
  <si>
    <t>sucrose</t>
  </si>
  <si>
    <t>57-50-1</t>
  </si>
  <si>
    <t>5768</t>
  </si>
  <si>
    <t>HMDB0000258</t>
  </si>
  <si>
    <t>C00089</t>
  </si>
  <si>
    <t>5988</t>
  </si>
  <si>
    <t>WQEPLUUGTLDZJY-UHFFFAOYSA-N</t>
  </si>
  <si>
    <t>O=C(O)CCCCCCCCCCCCCC</t>
  </si>
  <si>
    <t>pentadecanoate (15:0)</t>
  </si>
  <si>
    <t>10002-84-2,1002-84-2</t>
  </si>
  <si>
    <t>13249</t>
  </si>
  <si>
    <t>HMDB0000826</t>
  </si>
  <si>
    <t>C16537</t>
  </si>
  <si>
    <t>13849</t>
  </si>
  <si>
    <t>PMMYEEVYMWASQN-DMTCNVIQSA-N</t>
  </si>
  <si>
    <t>O[C@@H]1C[C@@H](C(O)=O)NC1</t>
  </si>
  <si>
    <t>trans-4-hydroxyproline</t>
  </si>
  <si>
    <t>hydroxyproline</t>
  </si>
  <si>
    <t>51-35-4</t>
  </si>
  <si>
    <t>5605</t>
  </si>
  <si>
    <t>HMDB0000725</t>
  </si>
  <si>
    <t>C01157</t>
  </si>
  <si>
    <t>5810</t>
  </si>
  <si>
    <t>POJWUDADGALRAB-UHFFFAOYSA-N</t>
  </si>
  <si>
    <t>O=C(N1)C(NC(N)=O)NC1=O</t>
  </si>
  <si>
    <t>allantoin</t>
  </si>
  <si>
    <t>97-59-6</t>
  </si>
  <si>
    <t>199</t>
  </si>
  <si>
    <t>HMDB0000462</t>
  </si>
  <si>
    <t>C02348,C01551,C02350</t>
  </si>
  <si>
    <t>439714,204,439713</t>
  </si>
  <si>
    <t>LRFVTYWOQMYALW-UHFFFAOYSA-N</t>
  </si>
  <si>
    <t>O=C(N1)C(N=CN2)=C2NC1=O</t>
  </si>
  <si>
    <t>xanthine</t>
  </si>
  <si>
    <t>69-89-6</t>
  </si>
  <si>
    <t>1151</t>
  </si>
  <si>
    <t>HMDB0000292</t>
  </si>
  <si>
    <t>C00385</t>
  </si>
  <si>
    <t>1188</t>
  </si>
  <si>
    <t>ODHCTXKNWHHXJC-VKHMYHEASA-N</t>
  </si>
  <si>
    <t>O=C1CC[C@@H]([C@@](O)=O)N1</t>
  </si>
  <si>
    <t>5-oxoproline</t>
  </si>
  <si>
    <t>98-79-3</t>
  </si>
  <si>
    <t>7127</t>
  </si>
  <si>
    <t>HMDB0000267</t>
  </si>
  <si>
    <t>C02237,C01879</t>
  </si>
  <si>
    <t>439685,7405</t>
  </si>
  <si>
    <t>SIOXPEMLGUPBBT-UHFFFAOYSA-N</t>
  </si>
  <si>
    <t>O=C(O)C1=NC=CC=C1</t>
  </si>
  <si>
    <t>picolinate</t>
  </si>
  <si>
    <t>98-98-6</t>
  </si>
  <si>
    <t>993</t>
  </si>
  <si>
    <t>HMDB0002243</t>
  </si>
  <si>
    <t>C10164</t>
  </si>
  <si>
    <t>1018</t>
  </si>
  <si>
    <t>FSYKKLYZXJSNPZ-UHFFFAOYSA-N</t>
  </si>
  <si>
    <t>CNCC(O)=O</t>
  </si>
  <si>
    <t>sarcosine</t>
  </si>
  <si>
    <t>107-97-1</t>
  </si>
  <si>
    <t>1057</t>
  </si>
  <si>
    <t>HMDB0000271</t>
  </si>
  <si>
    <t>C00213</t>
  </si>
  <si>
    <t>1088</t>
  </si>
  <si>
    <t>Pantothenate and CoA Metabolism</t>
  </si>
  <si>
    <t>GHOKWGTUZJEAQD-ZETCQYMHSA-N</t>
  </si>
  <si>
    <t>O=C(NCCC(O)=O)[C@H](O)C(C)(C)CO</t>
  </si>
  <si>
    <t>pantothenate</t>
  </si>
  <si>
    <t>pantothenate (Vitamin B5)</t>
  </si>
  <si>
    <t>137-08-6</t>
  </si>
  <si>
    <t>6361</t>
  </si>
  <si>
    <t>HMDB0000210</t>
  </si>
  <si>
    <t>C00864</t>
  </si>
  <si>
    <t>6613</t>
  </si>
  <si>
    <t>HXEACLLIILLPRG-UHFFFAOYSA-N</t>
  </si>
  <si>
    <t>OC(C1NCCCC1)=O</t>
  </si>
  <si>
    <t>pipecolate</t>
  </si>
  <si>
    <t>4043-87-2</t>
  </si>
  <si>
    <t>HMDB0000070</t>
  </si>
  <si>
    <t>SUHOOTKUPISOBE-UHFFFAOYSA-N</t>
  </si>
  <si>
    <t>NCCOP(O)(O)=O</t>
  </si>
  <si>
    <t>phosphoethanolamine</t>
  </si>
  <si>
    <t>phosphoethanolamine (PE)</t>
  </si>
  <si>
    <t>1071-23-4</t>
  </si>
  <si>
    <t>990</t>
  </si>
  <si>
    <t>HMDB0000224</t>
  </si>
  <si>
    <t>C00346</t>
  </si>
  <si>
    <t>1015</t>
  </si>
  <si>
    <t>RBNPOMFGQQGHHO-UHFFFAOYSA-N</t>
  </si>
  <si>
    <t>O=C(O)C(O)CO</t>
  </si>
  <si>
    <t>glycerate</t>
  </si>
  <si>
    <t>600-19-1</t>
  </si>
  <si>
    <t>732</t>
  </si>
  <si>
    <t>HMDB0000139,HMDB0006372</t>
  </si>
  <si>
    <t>C00258</t>
  </si>
  <si>
    <t>439194,752</t>
  </si>
  <si>
    <t>JSJWCHRYRHKBBW-UHFFFAOYSA-N</t>
  </si>
  <si>
    <t>OC(CCNC(N)=O)=O</t>
  </si>
  <si>
    <t>3-ureidopropionate</t>
  </si>
  <si>
    <t>462-88-4</t>
  </si>
  <si>
    <t>109</t>
  </si>
  <si>
    <t>HMDB0000026</t>
  </si>
  <si>
    <t>C02642</t>
  </si>
  <si>
    <t>111</t>
  </si>
  <si>
    <t>WXNXCEHXYPACJF-ZETCQYMHSA-N</t>
  </si>
  <si>
    <t>O=C(O)[C@H](CC(C)C)NC(C)=O</t>
  </si>
  <si>
    <t>N-acetylleucine</t>
  </si>
  <si>
    <t>1188-21-2</t>
  </si>
  <si>
    <t>64075</t>
  </si>
  <si>
    <t>HMDB0011756</t>
  </si>
  <si>
    <t>C02710</t>
  </si>
  <si>
    <t>70912</t>
  </si>
  <si>
    <t>XUYPXLNMDZIRQH-LURJTMIESA-N</t>
  </si>
  <si>
    <t>O=C(O)[C@H](CCSC)NC(C)=O</t>
  </si>
  <si>
    <t>N-acetylmethionine</t>
  </si>
  <si>
    <t>65-82-7</t>
  </si>
  <si>
    <t>395338</t>
  </si>
  <si>
    <t>HMDB0011745</t>
  </si>
  <si>
    <t>C02712</t>
  </si>
  <si>
    <t>448580</t>
  </si>
  <si>
    <t>IHYJTAOFMMMOPX-LURJTMIESA-N</t>
  </si>
  <si>
    <t>O=C(O)[C@@H](NC(C)=O)C(C)C</t>
  </si>
  <si>
    <t>N-acetylvaline</t>
  </si>
  <si>
    <t>96-81-1</t>
  </si>
  <si>
    <t>60154</t>
  </si>
  <si>
    <t>HMDB0011757</t>
  </si>
  <si>
    <t>66789</t>
  </si>
  <si>
    <t>DPUOLQHDNGRHBS-KTKRTIGZSA-N</t>
  </si>
  <si>
    <t>OC(CCCCCCCCCCC\C=C/CCCCCCCC)=O</t>
  </si>
  <si>
    <t>erucate (22:1n9)</t>
  </si>
  <si>
    <t>112-86-7</t>
  </si>
  <si>
    <t>7924</t>
  </si>
  <si>
    <t>HMDB0002068</t>
  </si>
  <si>
    <t>C08316</t>
  </si>
  <si>
    <t>8216,5281116</t>
  </si>
  <si>
    <t>BPYKTIZUTYGOLE-KDUUSRDASA-N</t>
  </si>
  <si>
    <t>CC(C(N\1)=O)=C(C=C)C1=C/C2=C(C)C(CCC(O)=O)=C(CC3=C(CCC(O)=O)C(C)=C(/C=C4NC(C(C=C)=C/4C)=O)N3)N2</t>
  </si>
  <si>
    <t>bilirubin (Z,Z)</t>
  </si>
  <si>
    <t>bilirubin</t>
  </si>
  <si>
    <t>635-65-4</t>
  </si>
  <si>
    <t>4444055</t>
  </si>
  <si>
    <t>HMDB0000054</t>
  </si>
  <si>
    <t>C00486</t>
  </si>
  <si>
    <t>5280352</t>
  </si>
  <si>
    <t>XUIIKFGFIJCVMT-LBPRGKRZSA-N</t>
  </si>
  <si>
    <t>OC1=C(I)C=C(OC2=C(I)C=C(C[C@H](N)C(O)=O)C=C2I)C=C1I</t>
  </si>
  <si>
    <t>thyroxine</t>
  </si>
  <si>
    <t>51-48-9</t>
  </si>
  <si>
    <t>5614</t>
  </si>
  <si>
    <t>HMDB0000248</t>
  </si>
  <si>
    <t>C01829</t>
  </si>
  <si>
    <t>5819</t>
  </si>
  <si>
    <t>Purine Metabolism, Guanine containing</t>
  </si>
  <si>
    <t>NYHBQMYGNKIUIF-UUOKFMHZSA-N</t>
  </si>
  <si>
    <t>O=C1C(N=CN2[C@@]3([H])[C@@](O)([H])[C@@](O)([H])[C@](CO)([H])O3)=C2N=C(N)N1</t>
  </si>
  <si>
    <t>guanosine</t>
  </si>
  <si>
    <t>118-00-3</t>
  </si>
  <si>
    <t>6544</t>
  </si>
  <si>
    <t>HMDB0000133</t>
  </si>
  <si>
    <t>C00387</t>
  </si>
  <si>
    <t>6802</t>
  </si>
  <si>
    <t>VVLXCWVSSLFQDS-QWRGUYRKSA-N</t>
  </si>
  <si>
    <t>OC(C=C1)=CC=C1C[C@@H](C(O)=O)NC(CC[C@@H](C(O)=O)N)=O</t>
  </si>
  <si>
    <t>gamma-glutamyltyrosine</t>
  </si>
  <si>
    <t>7432-23-7</t>
  </si>
  <si>
    <t>85142</t>
  </si>
  <si>
    <t>HMDB0011741</t>
  </si>
  <si>
    <t>94340</t>
  </si>
  <si>
    <t>KTHADMDGDNYQRX-UHFFFAOYSA-N</t>
  </si>
  <si>
    <t>O=C(OC)CC1=CNC2=C1C=CC=C2</t>
  </si>
  <si>
    <t>methyl indole-3-acetate</t>
  </si>
  <si>
    <t>1912-33-0</t>
  </si>
  <si>
    <t>67279</t>
  </si>
  <si>
    <t>HMDB0029738</t>
  </si>
  <si>
    <t>74706</t>
  </si>
  <si>
    <t>Tocopherol Metabolism</t>
  </si>
  <si>
    <t>GVJHHUAWPYXKBD-IEOSBIPESA-N</t>
  </si>
  <si>
    <t>CC1=C2C(O[C@@](CCC[C@H](C)CCC[C@H](C)CCC[C@H](C)C)(C)CC2)=C(C)C(C)=C1O</t>
  </si>
  <si>
    <t>alpha-tocopherol</t>
  </si>
  <si>
    <t>10191-41-0,59-02-9</t>
  </si>
  <si>
    <t>14265</t>
  </si>
  <si>
    <t>HMDB0001893</t>
  </si>
  <si>
    <t>C02477</t>
  </si>
  <si>
    <t>86472</t>
  </si>
  <si>
    <t>KTHDTJVBEPMMGL-VKHMYHEASA-N</t>
  </si>
  <si>
    <t>O=C(O)[C@@H](NC(C)=O)C</t>
  </si>
  <si>
    <t>N-acetylalanine</t>
  </si>
  <si>
    <t>97-69-8</t>
  </si>
  <si>
    <t>79449</t>
  </si>
  <si>
    <t>HMDB0000766</t>
  </si>
  <si>
    <t>C02847</t>
  </si>
  <si>
    <t>88064</t>
  </si>
  <si>
    <t>CGQCWMIAEPEHNQ-UHFFFAOYSA-N</t>
  </si>
  <si>
    <t>OC(C(O)=O)C1=CC=C(O)C(OC)=C1</t>
  </si>
  <si>
    <t>vanillylmandelate (VMA)</t>
  </si>
  <si>
    <t>55-10-7</t>
  </si>
  <si>
    <t>1207</t>
  </si>
  <si>
    <t>HMDB0000291</t>
  </si>
  <si>
    <t>C05584</t>
  </si>
  <si>
    <t>1245</t>
  </si>
  <si>
    <t>UZTFMUBKZQVKLK-UHFFFAOYSA-N</t>
  </si>
  <si>
    <t>CC(NCCCC(O)=O)=O</t>
  </si>
  <si>
    <t>4-acetamidobutanoate</t>
  </si>
  <si>
    <t>3025-96-5</t>
  </si>
  <si>
    <t>17180</t>
  </si>
  <si>
    <t>HMDB0003681</t>
  </si>
  <si>
    <t>C02946</t>
  </si>
  <si>
    <t>18189</t>
  </si>
  <si>
    <t>QCHPKSFMDHPSNR-UHFFFAOYSA-N</t>
  </si>
  <si>
    <t>O=C(O)C(C)CN</t>
  </si>
  <si>
    <t>3-aminoisobutyrate</t>
  </si>
  <si>
    <t>214139-20-5,10569-72-9</t>
  </si>
  <si>
    <t>58481</t>
  </si>
  <si>
    <t>HMDB0002166</t>
  </si>
  <si>
    <t>C05145</t>
  </si>
  <si>
    <t>64956</t>
  </si>
  <si>
    <t>RUDATBOHQWOJDD-LXEZOOAESA-N</t>
  </si>
  <si>
    <t>C[C@]12CC[C@]3([H])[C@@]4(C)CC[C@@H](O)C[C@@]4([H])C[C@@H](O)[C@@]3([H])[C@]1([H])CC[C@@]2(C(CCC(O)=O)C)[H]</t>
  </si>
  <si>
    <t>chenodeoxycholate</t>
  </si>
  <si>
    <t>474-25-9,474-24-9</t>
  </si>
  <si>
    <t>HMDB0000518</t>
  </si>
  <si>
    <t>C02528</t>
  </si>
  <si>
    <t>10133</t>
  </si>
  <si>
    <t>KRKNYBCHXYNGOX-UHFFFAOYSA-N</t>
  </si>
  <si>
    <t>OC(CC(CC(O)=O)(O)C(O)=O)=O</t>
  </si>
  <si>
    <t>77-92-9</t>
  </si>
  <si>
    <t>305</t>
  </si>
  <si>
    <t>HMDB0000094</t>
  </si>
  <si>
    <t>C00158</t>
  </si>
  <si>
    <t>311</t>
  </si>
  <si>
    <t>OIVLITBTBDPEFK-UHFFFAOYSA-N</t>
  </si>
  <si>
    <t>O=C(CCN1)NC1=O</t>
  </si>
  <si>
    <t>5,6-dihydrouracil</t>
  </si>
  <si>
    <t>504-07-4</t>
  </si>
  <si>
    <t>629</t>
  </si>
  <si>
    <t>HMDB0000076</t>
  </si>
  <si>
    <t>C00429</t>
  </si>
  <si>
    <t>649</t>
  </si>
  <si>
    <t>QWCKQJZIFLGMSD-GSVOUGTGSA-N</t>
  </si>
  <si>
    <t>N[C@H](CC)C(O)=O</t>
  </si>
  <si>
    <t>2-aminobutyrate</t>
  </si>
  <si>
    <t>1492-24-6</t>
  </si>
  <si>
    <t>388757</t>
  </si>
  <si>
    <t>HMDB0000452</t>
  </si>
  <si>
    <t>C02356</t>
  </si>
  <si>
    <t>80283</t>
  </si>
  <si>
    <t>LEHOTFFKMJEONL-UHFFFAOYSA-N</t>
  </si>
  <si>
    <t>O=C1NC(NC(NC2=O)=O)=C2N1</t>
  </si>
  <si>
    <t>urate</t>
  </si>
  <si>
    <t>120K5305,69-93-2</t>
  </si>
  <si>
    <t>HMDB0000289</t>
  </si>
  <si>
    <t>C00366</t>
  </si>
  <si>
    <t>1175</t>
  </si>
  <si>
    <t>RUDATBOHQWOJDD-UZVSRGJWSA-N</t>
  </si>
  <si>
    <t>O[C@@H]1[C@@]2([H])[C@]3([H])CC[C@@]([C@@H](CCC(O)=O)C)([H])[C@@]3(C)CC[C@]2([H])[C@@]4(C)CC[C@@H](O)C[C@@]4([H])C1</t>
  </si>
  <si>
    <t>ursodeoxycholate</t>
  </si>
  <si>
    <t>128-13-2</t>
  </si>
  <si>
    <t>29131</t>
  </si>
  <si>
    <t>HMDB0000946</t>
  </si>
  <si>
    <t>C07880</t>
  </si>
  <si>
    <t>31401</t>
  </si>
  <si>
    <t>Short Chain Fatty Acid</t>
  </si>
  <si>
    <t>NQPDZGIKBAWPEJ-UHFFFAOYSA-N</t>
  </si>
  <si>
    <t>OC(CCCC)=O</t>
  </si>
  <si>
    <t>valerate (5:0)</t>
  </si>
  <si>
    <t>109-52-4</t>
  </si>
  <si>
    <t>7701</t>
  </si>
  <si>
    <t>HMDB0000892</t>
  </si>
  <si>
    <t>C00803</t>
  </si>
  <si>
    <t>7991</t>
  </si>
  <si>
    <t>Endocannabinoid</t>
  </si>
  <si>
    <t>BOWVQLFMWHZBEF-KTKRTIGZSA-N</t>
  </si>
  <si>
    <t>O=C(NCCO)CCCCCCC/C=C\CCCCCCCC</t>
  </si>
  <si>
    <t>oleoyl ethanolamide</t>
  </si>
  <si>
    <t>111-58-0,11-58-0</t>
  </si>
  <si>
    <t>4446574</t>
  </si>
  <si>
    <t>HMDB0002088</t>
  </si>
  <si>
    <t>5283454</t>
  </si>
  <si>
    <t>JBFYFLXEJFQWMU-WDSKDSINSA-N</t>
  </si>
  <si>
    <t>O=C(N)CC[C@@H](C(O)=O)NC(CC[C@@H](C(O)=O)N)=O</t>
  </si>
  <si>
    <t>gamma-glutamylglutamine</t>
  </si>
  <si>
    <t>10148-81-9</t>
  </si>
  <si>
    <t>133013</t>
  </si>
  <si>
    <t>HMDB0011738</t>
  </si>
  <si>
    <t>C05283</t>
  </si>
  <si>
    <t>150914</t>
  </si>
  <si>
    <t>KKADPXVIOXHVKN-UHFFFAOYSA-N</t>
  </si>
  <si>
    <t>OC1=CC=C(CC(C(O)=O)=O)C=C1</t>
  </si>
  <si>
    <t>4-hydroxyphenylpyruvate</t>
  </si>
  <si>
    <t>156-39-8</t>
  </si>
  <si>
    <t>954</t>
  </si>
  <si>
    <t>HMDB0000707</t>
  </si>
  <si>
    <t>C01179</t>
  </si>
  <si>
    <t>979</t>
  </si>
  <si>
    <t>FERIUCNNQQJTOY-UHFFFAOYSA-N</t>
  </si>
  <si>
    <t>OC(CCC)=O</t>
  </si>
  <si>
    <t>butyrate/isobutyrate (4:0)</t>
  </si>
  <si>
    <t>109-92-6</t>
  </si>
  <si>
    <t>259</t>
  </si>
  <si>
    <t>HMDB0000039</t>
  </si>
  <si>
    <t>C00246</t>
  </si>
  <si>
    <t>264</t>
  </si>
  <si>
    <t>Aminosugar Metabolism</t>
  </si>
  <si>
    <t>SQVRNKJHWKZAKO-UHFFFAOYSA-N</t>
  </si>
  <si>
    <t>OC1(C(O)=O)CC(O)C(NC(C)=O)C(C(O)C(O)CO)O1</t>
  </si>
  <si>
    <t>N-acetylneuraminate</t>
  </si>
  <si>
    <t>131-48-6</t>
  </si>
  <si>
    <t>10292217</t>
  </si>
  <si>
    <t>HMDB0000230</t>
  </si>
  <si>
    <t>C00270</t>
  </si>
  <si>
    <t>439197</t>
  </si>
  <si>
    <t>YTTRPBWEMMPYSW-VFFCQLMOSA-N</t>
  </si>
  <si>
    <t>O[C@H]1[C@H](O)[C@@H](CO)O[C@@H](NC(CC(N)C(O)=O)=O)[C@@H]1NC(C)=O</t>
  </si>
  <si>
    <t>N-acetylglucosaminylasparagine</t>
  </si>
  <si>
    <t>2776-93-4</t>
  </si>
  <si>
    <t>21403014</t>
  </si>
  <si>
    <t>HMDB0000489</t>
  </si>
  <si>
    <t>C04540</t>
  </si>
  <si>
    <t>123826</t>
  </si>
  <si>
    <t>WDJHALXBUFZDSR-UHFFFAOYSA-N</t>
  </si>
  <si>
    <t>O=C(CC(C)=O)O</t>
  </si>
  <si>
    <t>3483-11-2,623-58-5</t>
  </si>
  <si>
    <t>94</t>
  </si>
  <si>
    <t>HMDB0000060</t>
  </si>
  <si>
    <t>C00164</t>
  </si>
  <si>
    <t>96</t>
  </si>
  <si>
    <t>CVSVTCORWBXHQV-UHFFFAOYSA-N</t>
  </si>
  <si>
    <t>CN(C(N)=N)CC(O)=O</t>
  </si>
  <si>
    <t>creatine</t>
  </si>
  <si>
    <t>57-00-1</t>
  </si>
  <si>
    <t>566</t>
  </si>
  <si>
    <t>HMDB0000064</t>
  </si>
  <si>
    <t>C00300</t>
  </si>
  <si>
    <t>586</t>
  </si>
  <si>
    <t>KDJVKDYFFTWHBO-UHFFFAOYSA-N</t>
  </si>
  <si>
    <t>O=C(NCC(O)=O)C(N)CSSCC(N)C(NCC(O)=O)=O</t>
  </si>
  <si>
    <t>cys-gly, oxidized</t>
  </si>
  <si>
    <t>7729-20-6</t>
  </si>
  <si>
    <t>295316</t>
  </si>
  <si>
    <t>333293</t>
  </si>
  <si>
    <t>Estrogenic Steroids</t>
  </si>
  <si>
    <t>JKKFKPJIXZFSSB-DFGXFYAUSA-N</t>
  </si>
  <si>
    <t>C[C@@](CC1)(C2=O)[C@](CC2)([H])[C@@](CC3)([H])[C@]1([H])C(C=C4)=C3C=C4OS(O)(=O)=O</t>
  </si>
  <si>
    <t>estrone 3-sulfate</t>
  </si>
  <si>
    <t>438-67-5</t>
  </si>
  <si>
    <t>16740220</t>
  </si>
  <si>
    <t>HMDB0001425</t>
  </si>
  <si>
    <t>C02538</t>
  </si>
  <si>
    <t>3001028</t>
  </si>
  <si>
    <t>XSXIVVZCUAHUJO-HZJYTTRNSA-N</t>
  </si>
  <si>
    <t>O=C(O)CCCCCCCCC/C=C\C/C=C\CCCCC</t>
  </si>
  <si>
    <t>dihomo-linoleate (20:2n6)</t>
  </si>
  <si>
    <t>dihomolinoleate (20:2n6)</t>
  </si>
  <si>
    <t>2091-39-6</t>
  </si>
  <si>
    <t>4944228</t>
  </si>
  <si>
    <t>HMDB0005060</t>
  </si>
  <si>
    <t>C16525</t>
  </si>
  <si>
    <t>6439848</t>
  </si>
  <si>
    <t>PXVCMZCJAUJLJP-YUMQZZPRSA-N</t>
  </si>
  <si>
    <t>O=C(O)[C@@H](N)CCC(N[C@@H](CC1=CNC=N1)C(O)=O)=O</t>
  </si>
  <si>
    <t>gamma-glutamylhistidine</t>
  </si>
  <si>
    <t>37460-15-4</t>
  </si>
  <si>
    <t>5380197</t>
  </si>
  <si>
    <t>HMDB0029151</t>
  </si>
  <si>
    <t>7017195</t>
  </si>
  <si>
    <t>Fatty Acid, Monohydroxy</t>
  </si>
  <si>
    <t>KIHBGTRZFAVZRV-QGZVFWFLSA-N</t>
  </si>
  <si>
    <t>OC([C@H](O)CCCCCCCCCCCCCCCC)=O</t>
  </si>
  <si>
    <t>2-hydroxystearate</t>
  </si>
  <si>
    <t>629-22-1</t>
  </si>
  <si>
    <t>62625</t>
  </si>
  <si>
    <t>HMDB0062549</t>
  </si>
  <si>
    <t>C03042,C03045</t>
  </si>
  <si>
    <t>439887,439885,69417</t>
  </si>
  <si>
    <t>GFYLSDSUCHVORB-IOSLPCCCSA-N</t>
  </si>
  <si>
    <t>N=C1C2=C(N([C@@]3([H])[C@@](O)([H])[C@@](O)([H])[C@](CO)([H])O3)C=N2)N=CN1C</t>
  </si>
  <si>
    <t>N1-methyladenosine</t>
  </si>
  <si>
    <t>1-methyladenosine</t>
  </si>
  <si>
    <t>15763-06-1</t>
  </si>
  <si>
    <t>4573813</t>
  </si>
  <si>
    <t>HMDB0003331</t>
  </si>
  <si>
    <t>C02494</t>
  </si>
  <si>
    <t>27476</t>
  </si>
  <si>
    <t>Glycerolipid Metabolism</t>
  </si>
  <si>
    <t>PEDCQBHIVMGVHV-UHFFFAOYSA-N</t>
  </si>
  <si>
    <t>OC(CO)CO</t>
  </si>
  <si>
    <t>glycerol</t>
  </si>
  <si>
    <t>56-81-5</t>
  </si>
  <si>
    <t>733</t>
  </si>
  <si>
    <t>HMDB0000131</t>
  </si>
  <si>
    <t>C00116</t>
  </si>
  <si>
    <t>753</t>
  </si>
  <si>
    <t>CRBHXDCYXIISFC-UHFFFAOYSA-N</t>
  </si>
  <si>
    <t>[O-]CC[N+](C)(C)C</t>
  </si>
  <si>
    <t>choline</t>
  </si>
  <si>
    <t>67-48-1</t>
  </si>
  <si>
    <t>149278</t>
  </si>
  <si>
    <t>HMDB0000097</t>
  </si>
  <si>
    <t>C00114</t>
  </si>
  <si>
    <t>RWZYAGGXGHYGMB-UHFFFAOYSA-N</t>
  </si>
  <si>
    <t>OC(C1=CC=CC=C1N)=O</t>
  </si>
  <si>
    <t>anthranilate</t>
  </si>
  <si>
    <t>118-92-3</t>
  </si>
  <si>
    <t>222</t>
  </si>
  <si>
    <t>HMDB0001123</t>
  </si>
  <si>
    <t>C00108</t>
  </si>
  <si>
    <t>Eicosanoid</t>
  </si>
  <si>
    <t>KUKJHGXXZWHSBG-WBGSEQOASA-N</t>
  </si>
  <si>
    <t>O[C@@H](CCCCC)/C=C/C=C/C/C=C\CCCC(O)=O</t>
  </si>
  <si>
    <t>12-HHTrE</t>
  </si>
  <si>
    <t>54397-84-1</t>
  </si>
  <si>
    <t>4446265</t>
  </si>
  <si>
    <t>HMDB0012535</t>
  </si>
  <si>
    <t>C20388</t>
  </si>
  <si>
    <t>5283141</t>
  </si>
  <si>
    <t>MYFMARDICOWMQP-YUMQZZPRSA-N</t>
  </si>
  <si>
    <t>CC(C)C[C@@H](C(O)=O)NC(CC[C@@H](C(O)=O)N)=O</t>
  </si>
  <si>
    <t>gamma-glutamylleucine</t>
  </si>
  <si>
    <t>2566-39-4</t>
  </si>
  <si>
    <t>133115</t>
  </si>
  <si>
    <t>HMDB0011171</t>
  </si>
  <si>
    <t>151023</t>
  </si>
  <si>
    <t>PFDUUKDQEHURQC-ZETCQYMHSA-N</t>
  </si>
  <si>
    <t>COC1=C(O)C=CC(C[C@@H](C(O)=O)N)=C1</t>
  </si>
  <si>
    <t>3-methoxytyrosine</t>
  </si>
  <si>
    <t>300-48-1</t>
  </si>
  <si>
    <t>8948</t>
  </si>
  <si>
    <t>HMDB0001434</t>
  </si>
  <si>
    <t>9307</t>
  </si>
  <si>
    <t>Drug - Psychoactive</t>
  </si>
  <si>
    <t>RTHCYVBBDHJXIQ-UHFFFAOYSA-N</t>
  </si>
  <si>
    <t>FC(F)(F)C(C=C1)=CC=C1OC(C2=CC=CC=C2)CCNC</t>
  </si>
  <si>
    <t>fluoxetine</t>
  </si>
  <si>
    <t>59333-67-4</t>
  </si>
  <si>
    <t>3269</t>
  </si>
  <si>
    <t>HMDB0014615</t>
  </si>
  <si>
    <t>D00326</t>
  </si>
  <si>
    <t>3386</t>
  </si>
  <si>
    <t>Drug - Analgesics, Anesthetics</t>
  </si>
  <si>
    <t>RZVAJINKPMORJF-UHFFFAOYSA-N</t>
  </si>
  <si>
    <t>OC1=CC=C(NC(C)=O)C=C1</t>
  </si>
  <si>
    <t>4-acetamidophenol</t>
  </si>
  <si>
    <t>103-90-2</t>
  </si>
  <si>
    <t>1906</t>
  </si>
  <si>
    <t>HMDB0001859</t>
  </si>
  <si>
    <t>C06804</t>
  </si>
  <si>
    <t>1983</t>
  </si>
  <si>
    <t>CMWTZPSULFXXJA-VIFPVBQESA-N</t>
  </si>
  <si>
    <t>COC1=CC=C2C(C=CC([C@H](C)C(O)=O)=C2)=C1</t>
  </si>
  <si>
    <t>naproxen</t>
  </si>
  <si>
    <t>22204-53-1</t>
  </si>
  <si>
    <t>137720</t>
  </si>
  <si>
    <t>HMDB0001923</t>
  </si>
  <si>
    <t>C01517</t>
  </si>
  <si>
    <t>156391</t>
  </si>
  <si>
    <t>Drug - Neurological</t>
  </si>
  <si>
    <t>KJADKKWYZYXHBB-UHFFFAOYSA-N</t>
  </si>
  <si>
    <t>CC1(OC2COC3(OC(C)(OC3C2O1)C)COS(N)(=O)=O)C</t>
  </si>
  <si>
    <t>topiramate</t>
  </si>
  <si>
    <t>97240-79-4</t>
  </si>
  <si>
    <t>4447672</t>
  </si>
  <si>
    <t>HMDB0005034</t>
  </si>
  <si>
    <t>D00537</t>
  </si>
  <si>
    <t>5284627</t>
  </si>
  <si>
    <t>AXFYFNCPONWUHW-UHFFFAOYSA-N</t>
  </si>
  <si>
    <t>CC(C)(O)CC(O)=O</t>
  </si>
  <si>
    <t>beta-hydroxyisovalerate</t>
  </si>
  <si>
    <t>625-08-1</t>
  </si>
  <si>
    <t>62571</t>
  </si>
  <si>
    <t>HMDB0000754</t>
  </si>
  <si>
    <t>69362</t>
  </si>
  <si>
    <t>HEFNNWSXXWATRW-UHFFFAOYSA-N</t>
  </si>
  <si>
    <t>CC(C1=CC=C(CC(C)C)C=C1)C(O)=O</t>
  </si>
  <si>
    <t>ibuprofen</t>
  </si>
  <si>
    <t>15687-27-1</t>
  </si>
  <si>
    <t>3544</t>
  </si>
  <si>
    <t>HMDB0001925</t>
  </si>
  <si>
    <t>C01588</t>
  </si>
  <si>
    <t>3672</t>
  </si>
  <si>
    <t>HXYVTAGFYLMHSO-UHFFFAOYSA-N</t>
  </si>
  <si>
    <t>CCCCCCCCCCCCCCCC(NCCO)=O</t>
  </si>
  <si>
    <t>palmitoyl ethanolamide</t>
  </si>
  <si>
    <t>544-31-0</t>
  </si>
  <si>
    <t>4509</t>
  </si>
  <si>
    <t>HMDB0002100</t>
  </si>
  <si>
    <t>C16512</t>
  </si>
  <si>
    <t>4671</t>
  </si>
  <si>
    <t>Fatty Acid Metabolism (Acyl Glycine)</t>
  </si>
  <si>
    <t>YCRHZEHWEYAHCO-HZJYTTRNSA-N</t>
  </si>
  <si>
    <t>O=C(O)CNC(CCCCCCC/C=C\C/C=C\CCCCC)=O</t>
  </si>
  <si>
    <t>N-linoleoylglycine</t>
  </si>
  <si>
    <t>2764-03-6</t>
  </si>
  <si>
    <t>4938516</t>
  </si>
  <si>
    <t>6433346</t>
  </si>
  <si>
    <t>Ceramides</t>
  </si>
  <si>
    <t>YDNKGFDKKRUKPY-TURZORIXSA-N</t>
  </si>
  <si>
    <t>OC[C@@H]([C@H](O)/C=C/CCCCCCCCCCCCC)NC(CCCCCCCCCCCCCCC)=O</t>
  </si>
  <si>
    <t>N-palmitoyl-sphingosine (d18:1/16:0)</t>
  </si>
  <si>
    <t>24696-26-2</t>
  </si>
  <si>
    <t>4446677</t>
  </si>
  <si>
    <t>HMDB0004949</t>
  </si>
  <si>
    <t>5283564</t>
  </si>
  <si>
    <t>Phosphatidylethanolamine (PE)</t>
  </si>
  <si>
    <t>FHQVHHIBKUMWTI-OTMQOFQLSA-N</t>
  </si>
  <si>
    <t>CCCCCCCC\C=C/CCCCCCCC(O[C@](COC(CCCCCCCCCCCCCCC)=O)(COP([O-])(OCC[N+]([H])([H])[H])=O)[H])=O</t>
  </si>
  <si>
    <t>1-palmitoyl-2-oleoyl-GPE (16:0/18:1)</t>
  </si>
  <si>
    <t>26662-94-2</t>
  </si>
  <si>
    <t>4446615</t>
  </si>
  <si>
    <t>HMDB0005320</t>
  </si>
  <si>
    <t>5283496</t>
  </si>
  <si>
    <t>Phosphatidylinositol (PI)</t>
  </si>
  <si>
    <t>BSNJSZUDOMPYIR-DMDPBSJXSA-N</t>
  </si>
  <si>
    <t>O=C(CCCCCCC/C=C\C/C=C\CCCCC)O[C@@H](COP(OC1C(O)C(O)C(O)C(O)C1O)(O)=O)COC(CCCCCCCCCCCCCCC)=O</t>
  </si>
  <si>
    <t>1-palmitoyl-2-linoleoyl-GPI (16:0/18:2)</t>
  </si>
  <si>
    <t>21403024</t>
  </si>
  <si>
    <t>HMDB0009784</t>
  </si>
  <si>
    <t>46891795</t>
  </si>
  <si>
    <t>Phosphatidylcholine (PC)</t>
  </si>
  <si>
    <t>JLPULHDHAOZNQI-ZTIMHPMXSA-N</t>
  </si>
  <si>
    <t>O=P([O-])(OC[C@@H](COC(CCCCCCCCCCCCCCC)=O)OC(CCCCCCC/C=C\C/C=C\CCCCC)=O)OCC[N+](C)(C)C</t>
  </si>
  <si>
    <t>1-palmitoyl-2-linoleoyl-GPC (16:0/18:2)</t>
  </si>
  <si>
    <t>40811-94-7</t>
  </si>
  <si>
    <t>4450224</t>
  </si>
  <si>
    <t>HMDB0007973</t>
  </si>
  <si>
    <t>5287971</t>
  </si>
  <si>
    <t>LKQLRGMMMAHREN-YJFXYUILSA-N</t>
  </si>
  <si>
    <t>CCCCCCCCCCCCCCCCCC(N[C@@](COP([O-])(OCC[N+](C)(C)C)=O)([C@](O)(/C=C/CCCCCCCCCCCCC)[H])[H])=O</t>
  </si>
  <si>
    <t>stearoyl sphingomyelin (d18:1/18:0)</t>
  </si>
  <si>
    <t>85187-10-6,85187-10-6</t>
  </si>
  <si>
    <t>4956085</t>
  </si>
  <si>
    <t>HMDB0001348</t>
  </si>
  <si>
    <t>C00550</t>
  </si>
  <si>
    <t>6453725</t>
  </si>
  <si>
    <t>WTJKGGKOPKCXLL-PFDVCBLKSA-N</t>
  </si>
  <si>
    <t>O=C(CCCCCCC/C=C\CCCCCCCC)O[C@@H](COC(CCCCCCCCCCCCCCC)=O)COP(OCC[N+](C)(C)C)([O-])=O</t>
  </si>
  <si>
    <t>1-palmitoyl-2-oleoyl-GPC (16:0/18:1)</t>
  </si>
  <si>
    <t>26853-31-6,26853-31-6</t>
  </si>
  <si>
    <t>4940699</t>
  </si>
  <si>
    <t>HMDB0007972</t>
  </si>
  <si>
    <t>C13875</t>
  </si>
  <si>
    <t>6436017</t>
  </si>
  <si>
    <t>VODZWWMEJITOND-NXCSZAMKSA-N</t>
  </si>
  <si>
    <t>OC[C@H](NC(CCCCCCCCCCCCCCCCC)=O)[C@H](O)/C=C/CCCCCCCCCCCCC</t>
  </si>
  <si>
    <t>N-stearoyl-sphingosine (d18:1/18:0)*</t>
  </si>
  <si>
    <t>104404-17-3</t>
  </si>
  <si>
    <t>4446678</t>
  </si>
  <si>
    <t>HMDB0004950</t>
  </si>
  <si>
    <t>5283565</t>
  </si>
  <si>
    <t>GHCZAUBVMUEKKP-AZDOMVTHSA-N</t>
  </si>
  <si>
    <t>O=C(NCC(O)=O)CC[C@@H](C)[C@@H]1[C@](CC[C@H]2[C@@]3([H])[C@H](O)C[C@@]4([H])C2(C)CC[C@@H](O)C4)(C)[C@]3([H])CC1</t>
  </si>
  <si>
    <t>glycochenodeoxycholate</t>
  </si>
  <si>
    <t>16564-43-5</t>
  </si>
  <si>
    <t>HMDB0000637</t>
  </si>
  <si>
    <t>C05466</t>
  </si>
  <si>
    <t>12544</t>
  </si>
  <si>
    <t>BHTRKEVKTKCXOH-BJLOMENOSA-N</t>
  </si>
  <si>
    <t>C[C@@]12[C@@]([H])(CC[C@@]2([C@@H](CCC(NCCS(O)(=O)=O)=O)C)[H])[C@@]([C@@H](C[C@]3([H])C[C@H](O)CC4)O)([H])[C@]([C@]34C)([H])CC1</t>
  </si>
  <si>
    <t>taurochenodeoxycholate</t>
  </si>
  <si>
    <t>6009-98-9</t>
  </si>
  <si>
    <t>343282</t>
  </si>
  <si>
    <t>HMDB0000951</t>
  </si>
  <si>
    <t>C05465</t>
  </si>
  <si>
    <t>387316</t>
  </si>
  <si>
    <t>WBWWGRHZICKQGZ-HGVCTONRSA-N</t>
  </si>
  <si>
    <t>C[C@@]12[C@@]([H])(CC[C@]2([H])[C@@H](CCC(NCCS(O)(=O)=O)=O)C)[C@@]([C@H](O)C[C@@]3([H])[C@@]4(CC[C@@H](O)C3)C)([H])[C@@]4([H])C[C@@H]1O</t>
  </si>
  <si>
    <t>taurocholate</t>
  </si>
  <si>
    <t>145-42-6</t>
  </si>
  <si>
    <t>HMDB0000036</t>
  </si>
  <si>
    <t>C05122</t>
  </si>
  <si>
    <t>6675,46783527</t>
  </si>
  <si>
    <t>AWDRATDZQPNJFN-RZGBOAIJSA-N</t>
  </si>
  <si>
    <t>C[C@@]12[C@@]([H])(CC[C@]2([H])[C@@H](CCC(NCCS(O)(=O)=O)=O)C)[C@@](CC[C@@]3([H])[C@@]4(CC[C@@H](O)C3)C)([H])[C@@]4([H])C[C@@H]1O</t>
  </si>
  <si>
    <t>taurodeoxycholate</t>
  </si>
  <si>
    <t>207737-97-1</t>
  </si>
  <si>
    <t>2015539</t>
  </si>
  <si>
    <t>HMDB0000896</t>
  </si>
  <si>
    <t>C05463</t>
  </si>
  <si>
    <t>2733768</t>
  </si>
  <si>
    <t>Benzoate Metabolism</t>
  </si>
  <si>
    <t>ONJSZLXSECQROL-UHFFFAOYSA-N</t>
  </si>
  <si>
    <t>O=C(C1=CC=CC=C1O)NCC(O)=O</t>
  </si>
  <si>
    <t>2-hydroxyhippurate (salicylurate)</t>
  </si>
  <si>
    <t>487-54-7</t>
  </si>
  <si>
    <t>9835</t>
  </si>
  <si>
    <t>HMDB0000840</t>
  </si>
  <si>
    <t>C07588</t>
  </si>
  <si>
    <t>10253</t>
  </si>
  <si>
    <t>BDJRBEYXGGNYIS-UHFFFAOYSA-N</t>
  </si>
  <si>
    <t>O=C(O)CCCCCCCC(O)=O</t>
  </si>
  <si>
    <t>azelate (C9-DC)</t>
  </si>
  <si>
    <t>123-99-9</t>
  </si>
  <si>
    <t>2179</t>
  </si>
  <si>
    <t>HMDB0000784</t>
  </si>
  <si>
    <t>C08261</t>
  </si>
  <si>
    <t>2266</t>
  </si>
  <si>
    <t>DVPRQNKJGQEICH-JTQLQIEISA-N</t>
  </si>
  <si>
    <t>O=C(C)NC1=CC(SC[C@@H](C(O)=O)NC(C)=O)=C(O)C=C1</t>
  </si>
  <si>
    <t>3-(N-acetyl-cystein-S-yl) acetaminophen</t>
  </si>
  <si>
    <t>52372-86-8</t>
  </si>
  <si>
    <t>75765</t>
  </si>
  <si>
    <t>83967</t>
  </si>
  <si>
    <t>IGTYILLPRJOVFY-UHFFFAOYSA-N</t>
  </si>
  <si>
    <t>CC(NC1=CC=C(OS(=O)(O)=O)C=C1)=O</t>
  </si>
  <si>
    <t>4-acetaminophen sulfate</t>
  </si>
  <si>
    <t>32113-41-0,10066-90-7</t>
  </si>
  <si>
    <t>75741</t>
  </si>
  <si>
    <t>HMDB0059911</t>
  </si>
  <si>
    <t>83939</t>
  </si>
  <si>
    <t>JAZBEHYOTPTENJ-JLNKQSITSA-N</t>
  </si>
  <si>
    <t>O=C(O)CCC\C=C/C/C=C\C/C=C\C/C=C\C/C=C\CC</t>
  </si>
  <si>
    <t>eicosapentaenoate (EPA; 20:5n3)</t>
  </si>
  <si>
    <t>10-2005-9,10417-94-4</t>
  </si>
  <si>
    <t>393682</t>
  </si>
  <si>
    <t>HMDB0001999</t>
  </si>
  <si>
    <t>C06428</t>
  </si>
  <si>
    <t>446284</t>
  </si>
  <si>
    <t>WXUAQHNMJWJLTG-UHFFFAOYSA-N</t>
  </si>
  <si>
    <t>CC(C(O)=O)CC(O)=O</t>
  </si>
  <si>
    <t>methylsuccinate</t>
  </si>
  <si>
    <t>498-21-5</t>
  </si>
  <si>
    <t>9922</t>
  </si>
  <si>
    <t>HMDB0001844</t>
  </si>
  <si>
    <t>10349</t>
  </si>
  <si>
    <t>UKFXDFUAPNAMPJ-UHFFFAOYSA-N</t>
  </si>
  <si>
    <t>CCC(C(O)=O)C(O)=O</t>
  </si>
  <si>
    <t>ethylmalonate</t>
  </si>
  <si>
    <t>601-75-2</t>
  </si>
  <si>
    <t>11263</t>
  </si>
  <si>
    <t>HMDB0000622</t>
  </si>
  <si>
    <t>11756</t>
  </si>
  <si>
    <t>Carnitine Metabolism</t>
  </si>
  <si>
    <t>PHIQHXFUZVPYII-ZCFIWIBFSA-N</t>
  </si>
  <si>
    <t>[O-]C(C[C@@H](O)C[N+](C)(C)C)=O</t>
  </si>
  <si>
    <t>carnitine</t>
  </si>
  <si>
    <t>461-05-2</t>
  </si>
  <si>
    <t>10455</t>
  </si>
  <si>
    <t>HMDB0000062</t>
  </si>
  <si>
    <t>C00487,C00308</t>
  </si>
  <si>
    <t>288</t>
  </si>
  <si>
    <t>WPYMKLBDIGXBTP-UHFFFAOYSA-N</t>
  </si>
  <si>
    <t>OC(C1=CC=CC=C1)=O</t>
  </si>
  <si>
    <t>benzoate</t>
  </si>
  <si>
    <t>65-85-0</t>
  </si>
  <si>
    <t>238</t>
  </si>
  <si>
    <t>HMDB0001870</t>
  </si>
  <si>
    <t>C00180</t>
  </si>
  <si>
    <t>243</t>
  </si>
  <si>
    <t>XMIIGOLPHOKFCH-UHFFFAOYSA-N</t>
  </si>
  <si>
    <t>OC(CCC1=CC=CC=C1)=O</t>
  </si>
  <si>
    <t>3-phenylpropionate (hydrocinnamate)</t>
  </si>
  <si>
    <t>501-52-0</t>
  </si>
  <si>
    <t>10181339</t>
  </si>
  <si>
    <t>HMDB0000764</t>
  </si>
  <si>
    <t>C05629</t>
  </si>
  <si>
    <t>107</t>
  </si>
  <si>
    <t>WLJVXDMOQOGPHL-UHFFFAOYSA-N</t>
  </si>
  <si>
    <t>O=C(O)CC1=CC=CC=C1</t>
  </si>
  <si>
    <t>phenylacetate</t>
  </si>
  <si>
    <t>103-82-2</t>
  </si>
  <si>
    <t>10181341</t>
  </si>
  <si>
    <t>HMDB0000209</t>
  </si>
  <si>
    <t>C07086</t>
  </si>
  <si>
    <t>999</t>
  </si>
  <si>
    <t>QIAFMBKCNZACKA-UHFFFAOYSA-N</t>
  </si>
  <si>
    <t>O=C(C1=CC=CC=C1)NCC(O)=O</t>
  </si>
  <si>
    <t>hippurate</t>
  </si>
  <si>
    <t>495-69-2</t>
  </si>
  <si>
    <t>451</t>
  </si>
  <si>
    <t>HMDB0000714</t>
  </si>
  <si>
    <t>C01586</t>
  </si>
  <si>
    <t>464</t>
  </si>
  <si>
    <t>FBZONXHGGPHHIY-UHFFFAOYSA-N</t>
  </si>
  <si>
    <t>OC1=C2C(C(O)=CC(C(O)=O)=N2)=CC=C1</t>
  </si>
  <si>
    <t>xanthurenate</t>
  </si>
  <si>
    <t>59-007</t>
  </si>
  <si>
    <t>5497</t>
  </si>
  <si>
    <t>HMDB0000881</t>
  </si>
  <si>
    <t>C02470</t>
  </si>
  <si>
    <t>5699</t>
  </si>
  <si>
    <t>TYFQFVWCELRYAO-UHFFFAOYSA-N</t>
  </si>
  <si>
    <t>OC(CCCCCCC(O)=O)=O</t>
  </si>
  <si>
    <t>suberate (C8-DC)</t>
  </si>
  <si>
    <t>505-48-6</t>
  </si>
  <si>
    <t>10025</t>
  </si>
  <si>
    <t>HMDB0000893</t>
  </si>
  <si>
    <t>C08278</t>
  </si>
  <si>
    <t>10457</t>
  </si>
  <si>
    <t>JVQYSWDUAOAHFM-UHFFFAOYSA-N</t>
  </si>
  <si>
    <t>CCC(C)C(C(O)=O)=O</t>
  </si>
  <si>
    <t>3-methyl-2-oxovalerate</t>
  </si>
  <si>
    <t>51829-07-3,1460-34-0</t>
  </si>
  <si>
    <t>46</t>
  </si>
  <si>
    <t>HMDB0000491</t>
  </si>
  <si>
    <t>C03465,C06008,C00671</t>
  </si>
  <si>
    <t>439286,440877</t>
  </si>
  <si>
    <t>QEFRNWWLZKMPFJ-YGVKFDHGSA-N</t>
  </si>
  <si>
    <t>O=C(O)[C@@H](N)CCS(C)=O</t>
  </si>
  <si>
    <t>methionine sulfoxide</t>
  </si>
  <si>
    <t>3226-65-1</t>
  </si>
  <si>
    <t>139840</t>
  </si>
  <si>
    <t>HMDB0002005</t>
  </si>
  <si>
    <t>C02989</t>
  </si>
  <si>
    <t>158980</t>
  </si>
  <si>
    <t>JDHILDINMRGULE-LURJTMIESA-N</t>
  </si>
  <si>
    <t>N[C@H](C(O)=O)CC1=CN=CN1C</t>
  </si>
  <si>
    <t>3-methylhistidine</t>
  </si>
  <si>
    <t>368-16-1</t>
  </si>
  <si>
    <t>58494</t>
  </si>
  <si>
    <t>HMDB0000479</t>
  </si>
  <si>
    <t>C01152</t>
  </si>
  <si>
    <t>64969</t>
  </si>
  <si>
    <t>IPROLSVTVHAQLE-UHFFFAOYSA-N</t>
  </si>
  <si>
    <t>OC1C(C(O)=O)OC(OC2=CC=C(NC(C)=O)C=C2)C(O)C1O</t>
  </si>
  <si>
    <t>4-acetamidophenylglucuronide</t>
  </si>
  <si>
    <t>120595-80-4</t>
  </si>
  <si>
    <t>3239926</t>
  </si>
  <si>
    <t>HMDB0010316</t>
  </si>
  <si>
    <t>4022661,83944</t>
  </si>
  <si>
    <t>YSMODUONRAFBET-AKGZTFGVSA-N</t>
  </si>
  <si>
    <t>N[C@@H](CCC(O)CN)C(O)=O</t>
  </si>
  <si>
    <t>5-hydroxylysine</t>
  </si>
  <si>
    <t>13204-98-3</t>
  </si>
  <si>
    <t>1002</t>
  </si>
  <si>
    <t>HMDB0000450</t>
  </si>
  <si>
    <t>C16741</t>
  </si>
  <si>
    <t>3032849</t>
  </si>
  <si>
    <t>Guanidino and Acetamido Metabolism</t>
  </si>
  <si>
    <t>TUHVEAJXIMEOSA-UHFFFAOYSA-N</t>
  </si>
  <si>
    <t>N=C(N)NCCCC(O)=O</t>
  </si>
  <si>
    <t>4-guanidinobutanoate</t>
  </si>
  <si>
    <t>463-003,463-00-3</t>
  </si>
  <si>
    <t>486</t>
  </si>
  <si>
    <t>HMDB0003464</t>
  </si>
  <si>
    <t>C01035</t>
  </si>
  <si>
    <t>500</t>
  </si>
  <si>
    <t>WLJVNTCWHIRURA-UHFFFAOYSA-N</t>
  </si>
  <si>
    <t>OC(CCCCCC(O)=O)=O</t>
  </si>
  <si>
    <t>pimelate (C7-DC)</t>
  </si>
  <si>
    <t>111-16-0</t>
  </si>
  <si>
    <t>376</t>
  </si>
  <si>
    <t>HMDB0000857</t>
  </si>
  <si>
    <t>C02656</t>
  </si>
  <si>
    <t>385</t>
  </si>
  <si>
    <t>AEMOLEFTQBMNLQ-QIUUJYRFSA-N</t>
  </si>
  <si>
    <t>O[C@@H]1O[C@H]([C@](O)=O)[C@@H](O)[C@H](O)[C@H]1O</t>
  </si>
  <si>
    <t>glucuronate</t>
  </si>
  <si>
    <t>207300-70-7</t>
  </si>
  <si>
    <t>58552</t>
  </si>
  <si>
    <t>HMDB0000127</t>
  </si>
  <si>
    <t>C16245</t>
  </si>
  <si>
    <t>441478,23677976,94715,65041,444791</t>
  </si>
  <si>
    <t>AWUCVROLDVIAJX-UHFFFAOYSA-N</t>
  </si>
  <si>
    <t>O=P(O)(OCC(CO)O)O</t>
  </si>
  <si>
    <t>glycerol 3-phosphate</t>
  </si>
  <si>
    <t>29849-82-9</t>
  </si>
  <si>
    <t>734</t>
  </si>
  <si>
    <t>HMDB0000126</t>
  </si>
  <si>
    <t>C0093</t>
  </si>
  <si>
    <t>754</t>
  </si>
  <si>
    <t>ACZFBYCNAVEFLC-UHFFFAOYSA-N</t>
  </si>
  <si>
    <t>OC(C(O)=O)CC1=CN=CN1</t>
  </si>
  <si>
    <t>imidazole lactate</t>
  </si>
  <si>
    <t>14403-45-3</t>
  </si>
  <si>
    <t>389128</t>
  </si>
  <si>
    <t>HMDB0002320</t>
  </si>
  <si>
    <t>C05568</t>
  </si>
  <si>
    <t>793</t>
  </si>
  <si>
    <t>YGPSJZOEDVAXAB-QMMMGPOBSA-N</t>
  </si>
  <si>
    <t>N[C@H](C(O)=O)CC(C1=CC=CC=C1N)=O</t>
  </si>
  <si>
    <t>kynurenine</t>
  </si>
  <si>
    <t>2922-83-0</t>
  </si>
  <si>
    <t>141580</t>
  </si>
  <si>
    <t>HMDB0000684</t>
  </si>
  <si>
    <t>C00328</t>
  </si>
  <si>
    <t>161166</t>
  </si>
  <si>
    <t>SUHOQUVVVLNYQR-MRVPVSSYSA-N</t>
  </si>
  <si>
    <t>O=P(OCC[N+](C)(C)C)([O-])OC[C@H](O)CO</t>
  </si>
  <si>
    <t>glycerophosphorylcholine (GPC)</t>
  </si>
  <si>
    <t>28319-77-9</t>
  </si>
  <si>
    <t>571409</t>
  </si>
  <si>
    <t>HMDB0000086</t>
  </si>
  <si>
    <t>C00670</t>
  </si>
  <si>
    <t>71920</t>
  </si>
  <si>
    <t>RFMMMVDNIPUKGG-YFKPBYRVSA-N</t>
  </si>
  <si>
    <t>O=C(O)CC[C@@H](C(O)=O)NC(C)=O</t>
  </si>
  <si>
    <t>N-acetylglutamate</t>
  </si>
  <si>
    <t>5817-08-3</t>
  </si>
  <si>
    <t>1266066</t>
  </si>
  <si>
    <t>HMDB0001138</t>
  </si>
  <si>
    <t>C00624</t>
  </si>
  <si>
    <t>70914</t>
  </si>
  <si>
    <t>FEWJPZIEWOKRBE-JCYAYHJZSA-N</t>
  </si>
  <si>
    <t>OC([C@H](O)[C@@H](O)C(O)=O)=O</t>
  </si>
  <si>
    <t>tartarate</t>
  </si>
  <si>
    <t>87-69-4,6106-24-7</t>
  </si>
  <si>
    <t>852</t>
  </si>
  <si>
    <t>HMDB0000956,HMDB0062642</t>
  </si>
  <si>
    <t>C00552,C02107,C00898</t>
  </si>
  <si>
    <t>444305,875</t>
  </si>
  <si>
    <t>HEBKCHPVOIAQTA-ZXFHETKHSA-N</t>
  </si>
  <si>
    <t>OC[C@@H](O)[C@@H](O)[C@@H](O)CO</t>
  </si>
  <si>
    <t>ribitol</t>
  </si>
  <si>
    <t>488-81-3</t>
  </si>
  <si>
    <t>10254628</t>
  </si>
  <si>
    <t>HMDB0002917,HMDB0001851,HMDB0000568,HMDB0000508</t>
  </si>
  <si>
    <t>C00379,C01904,C00474,C00532</t>
  </si>
  <si>
    <t>6912</t>
  </si>
  <si>
    <t>BITYXLXUCSKTJS-UHFFFAOYSA-N</t>
  </si>
  <si>
    <t>OC(CC(O)=O)(C(C)C)C(O)=O</t>
  </si>
  <si>
    <t>2-isopropylmalate</t>
  </si>
  <si>
    <t>3237-44-3</t>
  </si>
  <si>
    <t>76</t>
  </si>
  <si>
    <t>HMDB0000402</t>
  </si>
  <si>
    <t>C02504</t>
  </si>
  <si>
    <t>77</t>
  </si>
  <si>
    <t>WVULKSPCQVQLCU-BUXLTGKBSA-N</t>
  </si>
  <si>
    <t>O=C(NCC(O)=O)CC[C@@H](C)[C@@H]1[C@@]2(C)[C@@H](O)C[C@]3([H])[C@@]4(C)CC[C@@H](O)C[C@@]4([H])CC[C@@]3([H])[C@@]2(CC1)[H]</t>
  </si>
  <si>
    <t>glycodeoxycholate</t>
  </si>
  <si>
    <t>360-65-6</t>
  </si>
  <si>
    <t>HMDB00631</t>
  </si>
  <si>
    <t>C05464</t>
  </si>
  <si>
    <t>3035026</t>
  </si>
  <si>
    <t>ZFXYFBGIUFBOJW-UHFFFAOYSA-N</t>
  </si>
  <si>
    <t>O=C(N1C)C(N=CN2)=C2N(C)C1=O</t>
  </si>
  <si>
    <t>theophylline</t>
  </si>
  <si>
    <t>58-55-9</t>
  </si>
  <si>
    <t>2068</t>
  </si>
  <si>
    <t>HMDB0001889</t>
  </si>
  <si>
    <t>C07130</t>
  </si>
  <si>
    <t>2153</t>
  </si>
  <si>
    <t>AAWZDTNXLSGCEK-WYWMIBKRSA-N</t>
  </si>
  <si>
    <t>O[C@@]1([C@](O)(C[C@@](C(O)=O)(C[C@]1(O)[H])O)[H])[H]</t>
  </si>
  <si>
    <t>quinate</t>
  </si>
  <si>
    <t>77-95-2</t>
  </si>
  <si>
    <t>10246715</t>
  </si>
  <si>
    <t>HMDB0003072</t>
  </si>
  <si>
    <t>C00296</t>
  </si>
  <si>
    <t>6508</t>
  </si>
  <si>
    <t>YAPQBXQYLJRXSA-UHFFFAOYSA-N</t>
  </si>
  <si>
    <t>CN1C=NC(N(C(N2)=O)C)=C1C2=O</t>
  </si>
  <si>
    <t>theobromine</t>
  </si>
  <si>
    <t>83-67-0</t>
  </si>
  <si>
    <t>5236</t>
  </si>
  <si>
    <t>HMDB0002825</t>
  </si>
  <si>
    <t>C07480</t>
  </si>
  <si>
    <t>5429</t>
  </si>
  <si>
    <t>WXTMDXOMEHJXQO-UHFFFAOYSA-N</t>
  </si>
  <si>
    <t>O=C(O)C1=CC(O)=CC=C1O</t>
  </si>
  <si>
    <t>gentisate</t>
  </si>
  <si>
    <t>490-79-9</t>
  </si>
  <si>
    <t>3350</t>
  </si>
  <si>
    <t>HMDB0000152</t>
  </si>
  <si>
    <t>C00628</t>
  </si>
  <si>
    <t>3469</t>
  </si>
  <si>
    <t>QUNWUDVFRNGTCO-UHFFFAOYSA-N</t>
  </si>
  <si>
    <t>O=C(N2C)NC1=C(N(C)C=N1)C2=O</t>
  </si>
  <si>
    <t>paraxanthine</t>
  </si>
  <si>
    <t>611-59-6</t>
  </si>
  <si>
    <t>4525</t>
  </si>
  <si>
    <t>HMDB0001860</t>
  </si>
  <si>
    <t>C13747</t>
  </si>
  <si>
    <t>4687</t>
  </si>
  <si>
    <t>XGILAAMKEQUXLS-UHFFFAOYSA-N</t>
  </si>
  <si>
    <t>OC(C(O)=O)CC1=CNC2=C1C=CC=C2</t>
  </si>
  <si>
    <t>indolelactate</t>
  </si>
  <si>
    <t>832-97-3</t>
  </si>
  <si>
    <t>83867</t>
  </si>
  <si>
    <t>HMDB0000671</t>
  </si>
  <si>
    <t>C02043</t>
  </si>
  <si>
    <t>92904</t>
  </si>
  <si>
    <t>BXFFHSIDQOFMLE-UHFFFAOYSA-N</t>
  </si>
  <si>
    <t>O=S(OC2=CNC1=CC=CC=C12)(O)=O</t>
  </si>
  <si>
    <t>3-indoxyl sulfate</t>
  </si>
  <si>
    <t>2642-37-7</t>
  </si>
  <si>
    <t>9840</t>
  </si>
  <si>
    <t>HMDB0000682</t>
  </si>
  <si>
    <t>10258</t>
  </si>
  <si>
    <t>Dipeptide</t>
  </si>
  <si>
    <t>STKYPAFSDFAEPH-LURJTMIESA-N</t>
  </si>
  <si>
    <t>CC(C)[C@@H](C(O)=O)NC(CN)=O</t>
  </si>
  <si>
    <t>glycylvaline</t>
  </si>
  <si>
    <t>1963-21-9</t>
  </si>
  <si>
    <t>2006926</t>
  </si>
  <si>
    <t>HMDB0028854</t>
  </si>
  <si>
    <t>2724807</t>
  </si>
  <si>
    <t>XHHOHZPNYFQJKL-QWRGUYRKSA-N</t>
  </si>
  <si>
    <t>O=C(O)[C@H](CC1=CC=CC=C1)NC(CC[C@@H](C(O)=O)N)=O</t>
  </si>
  <si>
    <t>gamma-glutamylphenylalanine</t>
  </si>
  <si>
    <t>7432-24-8</t>
  </si>
  <si>
    <t>99868</t>
  </si>
  <si>
    <t>HMDB0000594</t>
  </si>
  <si>
    <t>111299</t>
  </si>
  <si>
    <t>BKAJNAXTPSGJCU-UHFFFAOYSA-N</t>
  </si>
  <si>
    <t>CC(C)CC(C(O)=O)=O</t>
  </si>
  <si>
    <t>4-methyl-2-oxopentanoate</t>
  </si>
  <si>
    <t>816-66-0</t>
  </si>
  <si>
    <t>69</t>
  </si>
  <si>
    <t>HMDB0000695</t>
  </si>
  <si>
    <t>C00233</t>
  </si>
  <si>
    <t>70</t>
  </si>
  <si>
    <t>INGSNVSERUZOAK-UHFFFAOYSA-N</t>
  </si>
  <si>
    <t>O=C(O)C(C1CCCCN1)C2=CC=CC=C2</t>
  </si>
  <si>
    <t>ritalinic acid</t>
  </si>
  <si>
    <t>19395-41-6</t>
  </si>
  <si>
    <t>78360</t>
  </si>
  <si>
    <t>HMDB0042008</t>
  </si>
  <si>
    <t>86863</t>
  </si>
  <si>
    <t>MPCAJMNYNOGXPB-SLPGGIOYSA-N</t>
  </si>
  <si>
    <t>O[C@@H]1[C@@H](CO)OC[C@H](O)[C@H]1O</t>
  </si>
  <si>
    <t>1,5-anhydroglucitol (1,5-AG)</t>
  </si>
  <si>
    <t>154-58-5</t>
  </si>
  <si>
    <t>HMDB0002712</t>
  </si>
  <si>
    <t>C07326</t>
  </si>
  <si>
    <t>64960</t>
  </si>
  <si>
    <t>Monoacylglycerol</t>
  </si>
  <si>
    <t>RCRCTBLIHCHWDZ-DOFZRALJSA-N</t>
  </si>
  <si>
    <t>CCCCC\C=C/C\C=C/C\C=C/C/C=C\CCCC(OC(CO)CO)=O</t>
  </si>
  <si>
    <t>2-arachidonoylglycerol (20:4)</t>
  </si>
  <si>
    <t>53847-30-6</t>
  </si>
  <si>
    <t>4445451</t>
  </si>
  <si>
    <t>HMDB0004666</t>
  </si>
  <si>
    <t>C13856</t>
  </si>
  <si>
    <t>5282280</t>
  </si>
  <si>
    <t>KRTOMQDUKGRFDJ-YKOKTLGVSA-N</t>
  </si>
  <si>
    <t>CCCCCCCCCCCCCCCCCC(OC[C@]([H])(COP(O)(O[C@](C(O)(C(O)(C(O)([C@](O)1[H])[H])[H])[H])([C@]1(O)[H])[H])=O)OC(CCC/C=C\C/C=C\C/C=C\C/C=C\CCCCC)=O)=O</t>
  </si>
  <si>
    <t>1-stearoyl-2-arachidonoyl-GPI (18:0/20:4)</t>
  </si>
  <si>
    <t>383907-33-3</t>
  </si>
  <si>
    <t>21403055</t>
  </si>
  <si>
    <t>HMDB0009815</t>
  </si>
  <si>
    <t>DUYSYHSSBDVJSM-KRWOKUGFSA-N</t>
  </si>
  <si>
    <t>OP([O-])(OC[C@@]([H])([C@](O)(/C=C/CCCCCCCCCCCCC)[H])[NH3+])=O</t>
  </si>
  <si>
    <t>sphingosine 1-phosphate</t>
  </si>
  <si>
    <t>26993-30-6</t>
  </si>
  <si>
    <t>4446673</t>
  </si>
  <si>
    <t>HMDB0000277</t>
  </si>
  <si>
    <t>C06124</t>
  </si>
  <si>
    <t>5283560</t>
  </si>
  <si>
    <t>Lysophospholipid</t>
  </si>
  <si>
    <t>MXAFDFDAIFZFET-CLBYPKMISA-N</t>
  </si>
  <si>
    <t>[H]C(C(O)(C(O)([C@](O)1[H])[H])[H])([C@@](OP(O)(OC[C@@]([H])(COC(CCCCCCCCCCCCCCCCC)=O)O)=O)([C@]1(O)[H])[H])O</t>
  </si>
  <si>
    <t>1-stearoyl-GPI (18:0)</t>
  </si>
  <si>
    <t>796963-93-4</t>
  </si>
  <si>
    <t>21403067</t>
  </si>
  <si>
    <t>HMDB0240261</t>
  </si>
  <si>
    <t>71581135,42607495</t>
  </si>
  <si>
    <t>KILNVBDSWZSGLL-KXQOOQHDSA-N</t>
  </si>
  <si>
    <t>CCCCCCCCCCCCCCCC(OC[C@]([H])(COP([O-])(OCC[N+](C)(C)C)=O)OC(CCCCCCCCCCCCCCC)=O)=O</t>
  </si>
  <si>
    <t>1,2-dipalmitoyl-GPC (16:0/16:0)</t>
  </si>
  <si>
    <t>63-89-8</t>
  </si>
  <si>
    <t>398235</t>
  </si>
  <si>
    <t>HMDB0000564</t>
  </si>
  <si>
    <t>D03585</t>
  </si>
  <si>
    <t>452110</t>
  </si>
  <si>
    <t>MBMBGCFOFBJSGT-KUBAVDMBSA-N</t>
  </si>
  <si>
    <t>CC\C=C/C\C=C/C\C=C/C/C=C\C/C=C\C/C=C\CCC(O)=O</t>
  </si>
  <si>
    <t>docosahexaenoate (DHA; 22:6n3)</t>
  </si>
  <si>
    <t>6217-54-5</t>
  </si>
  <si>
    <t>393183</t>
  </si>
  <si>
    <t>HMDB0002183</t>
  </si>
  <si>
    <t>C06429</t>
  </si>
  <si>
    <t>445580</t>
  </si>
  <si>
    <t>RFVFQQWKPSOBED-PSXMRANNSA-N</t>
  </si>
  <si>
    <t>CCCCCCCCCCCCCCCC(O[C@](COC(CCCCCCCCCCCCC)=O)(COP([O-])(OCC[N+](C)(C)C)=O)[H])=O</t>
  </si>
  <si>
    <t>1-myristoyl-2-palmitoyl-GPC (14:0/16:0)</t>
  </si>
  <si>
    <t>69525-80-0</t>
  </si>
  <si>
    <t>114798</t>
  </si>
  <si>
    <t>HMDB0007869</t>
  </si>
  <si>
    <t>129657</t>
  </si>
  <si>
    <t>LVRFTAZAXQPQHI-UHFFFAOYSA-N</t>
  </si>
  <si>
    <t>OC(C(CC(C)C)O)=O</t>
  </si>
  <si>
    <t>alpha-hydroxyisocaproate</t>
  </si>
  <si>
    <t>10303-64-7</t>
  </si>
  <si>
    <t>75520</t>
  </si>
  <si>
    <t>HMDB0000665,HMDB00746,HMDB0000624</t>
  </si>
  <si>
    <t>C03264</t>
  </si>
  <si>
    <t>83697,92779,439960</t>
  </si>
  <si>
    <t>VZCYOOQTPOCHFL-UHFFFAOYSA-N</t>
  </si>
  <si>
    <t>O=C(C=CC(O)=O)O</t>
  </si>
  <si>
    <t>maleate</t>
  </si>
  <si>
    <t>110-16-7</t>
  </si>
  <si>
    <t>392248</t>
  </si>
  <si>
    <t>HMDB0000176</t>
  </si>
  <si>
    <t>C01384</t>
  </si>
  <si>
    <t>444266</t>
  </si>
  <si>
    <t>GWYFCOCPABKNJV-UHFFFAOYSA-N</t>
  </si>
  <si>
    <t>CC(C)CC(O)=O</t>
  </si>
  <si>
    <t>isovalerate (i5:0)</t>
  </si>
  <si>
    <t>isovalerate (C5)</t>
  </si>
  <si>
    <t>503-74-2</t>
  </si>
  <si>
    <t>10001</t>
  </si>
  <si>
    <t>HMDB0000718</t>
  </si>
  <si>
    <t>C08262</t>
  </si>
  <si>
    <t>10430</t>
  </si>
  <si>
    <t>HOFGLAYWQRGTKC-UHFFFAOYSA-N</t>
  </si>
  <si>
    <t>O=S(OC1=CC=C(C(C)=O)C=C1)(O)=O</t>
  </si>
  <si>
    <t>4-acetylphenol sulfate</t>
  </si>
  <si>
    <t>4-acetylphenyl sulfate</t>
  </si>
  <si>
    <t>3872009</t>
  </si>
  <si>
    <t>4684006</t>
  </si>
  <si>
    <t>JKRDADVRIYVCCY-UHFFFAOYSA-N</t>
  </si>
  <si>
    <t>O=C(C(CCCCCC)O)O</t>
  </si>
  <si>
    <t>2-hydroxyoctanoate</t>
  </si>
  <si>
    <t>617-73-2</t>
  </si>
  <si>
    <t>84994</t>
  </si>
  <si>
    <t>HMDB0002264</t>
  </si>
  <si>
    <t>94180,6995013,5312860</t>
  </si>
  <si>
    <t>NDPLAKGOSZHTPH-UHFFFAOYSA-N</t>
  </si>
  <si>
    <t>OC(CC(O)=O)CCCCC</t>
  </si>
  <si>
    <t>3-hydroxyoctanoate</t>
  </si>
  <si>
    <t>88930-08-9</t>
  </si>
  <si>
    <t>24791</t>
  </si>
  <si>
    <t>HMDB0001954</t>
  </si>
  <si>
    <t>C20793</t>
  </si>
  <si>
    <t>26613</t>
  </si>
  <si>
    <t>VOXXWSYKYCBWHO-UHFFFAOYSA-N</t>
  </si>
  <si>
    <t>OC(C(O)=O)CC1=CC=CC=C1</t>
  </si>
  <si>
    <t>phenyllactate (PLA)</t>
  </si>
  <si>
    <t>828-01-3</t>
  </si>
  <si>
    <t>3715</t>
  </si>
  <si>
    <t>HMDB0000779,HMDB0000563</t>
  </si>
  <si>
    <t>C05607</t>
  </si>
  <si>
    <t>3848</t>
  </si>
  <si>
    <t>Fatty Acid Metabolism (Acyl Carnitine, Long Chain Saturated)</t>
  </si>
  <si>
    <t>XOMRRQXKHMYMOC-UHFFFAOYSA-N</t>
  </si>
  <si>
    <t>[O-]C(CC(OC(CCCCCCCCCCCCCCC)=O)C[N+](C)(C)C)=O</t>
  </si>
  <si>
    <t>palmitoylcarnitine (C16)</t>
  </si>
  <si>
    <t>6865-14-1</t>
  </si>
  <si>
    <t>448</t>
  </si>
  <si>
    <t>HMDB0000222</t>
  </si>
  <si>
    <t>C02990</t>
  </si>
  <si>
    <t>461</t>
  </si>
  <si>
    <t>Fatty Acid Metabolism (Acyl Carnitine, Medium Chain)</t>
  </si>
  <si>
    <t>VVPRQWTYSNDTEA-UHFFFAOYSA-N</t>
  </si>
  <si>
    <t>O=C(CCCCC)OC(CC([O-])=O)C[N+](C)(C)C</t>
  </si>
  <si>
    <t>hexanoylcarnitine (C6)</t>
  </si>
  <si>
    <t>6920-35-0</t>
  </si>
  <si>
    <t>4932273</t>
  </si>
  <si>
    <t>HMDB0000756</t>
  </si>
  <si>
    <t>6426853</t>
  </si>
  <si>
    <t>DATAGRPVKZEWHA-YFKPBYRVSA-N</t>
  </si>
  <si>
    <t>N[C@@H](CCC(NCC)=O)C(O)=O</t>
  </si>
  <si>
    <t>theanine</t>
  </si>
  <si>
    <t>3081-61-6</t>
  </si>
  <si>
    <t>388498</t>
  </si>
  <si>
    <t>HMDB0034365</t>
  </si>
  <si>
    <t>C01047</t>
  </si>
  <si>
    <t>439378</t>
  </si>
  <si>
    <t>OTCCIMWXFLJLIA-BYPYZUCNSA-N</t>
  </si>
  <si>
    <t>OC([C@@H](NC(C)=O)CC(O)=O)=O</t>
  </si>
  <si>
    <t>N-acetylaspartate (NAA)</t>
  </si>
  <si>
    <t>997-55-7,997-55-7</t>
  </si>
  <si>
    <t>58576</t>
  </si>
  <si>
    <t>HMDB0000812</t>
  </si>
  <si>
    <t>C01042</t>
  </si>
  <si>
    <t>65065</t>
  </si>
  <si>
    <t>Androgenic Steroids</t>
  </si>
  <si>
    <t>CZWCKYRVOZZJNM-DYIPZHMLSA-N</t>
  </si>
  <si>
    <t>[H][C@@]1(CC[C@]2(C)[C@]3(CCC2=O)[H])[C@@]4(C)C(C[C@H](OS(=O)(O)=O)CC4)=CC[C@]13[H]</t>
  </si>
  <si>
    <t>dehydroepiandrosterone sulfate (DHEA-S)</t>
  </si>
  <si>
    <t>651-48-9</t>
  </si>
  <si>
    <t>12074</t>
  </si>
  <si>
    <t>HMDB0001032</t>
  </si>
  <si>
    <t>C04555</t>
  </si>
  <si>
    <t>12594</t>
  </si>
  <si>
    <t>Fatty Acid Metabolism (Acyl Carnitine, Short Chain)</t>
  </si>
  <si>
    <t>RDHQFKQIGNGIED-MRVPVSSYSA-N</t>
  </si>
  <si>
    <t>C[N+](C)(C)C[C@H](OC(C)=O)CC([O-])=O</t>
  </si>
  <si>
    <t>acetylcarnitine (C2)</t>
  </si>
  <si>
    <t>5080-50-2</t>
  </si>
  <si>
    <t>5406074</t>
  </si>
  <si>
    <t>HMDB0000201</t>
  </si>
  <si>
    <t>C02571</t>
  </si>
  <si>
    <t>7045767</t>
  </si>
  <si>
    <t>NOKPBJYHPHHWAN-REOHCLBHSA-N</t>
  </si>
  <si>
    <t>N[C@H](C(O)=O)CSS(O)(=O)=O</t>
  </si>
  <si>
    <t>cysteine s-sulfate</t>
  </si>
  <si>
    <t>1637-71-4</t>
  </si>
  <si>
    <t>102939</t>
  </si>
  <si>
    <t>HMDB0000731</t>
  </si>
  <si>
    <t>C05824</t>
  </si>
  <si>
    <t>115015</t>
  </si>
  <si>
    <t>QHZLMUACJMDIAE-UHFFFAOYSA-N</t>
  </si>
  <si>
    <t>O=C(CCCCCCCCCCCCCCC)OCC(O)CO</t>
  </si>
  <si>
    <t>1-palmitoylglycerol (16:0)</t>
  </si>
  <si>
    <t>542-44-9</t>
  </si>
  <si>
    <t>14201</t>
  </si>
  <si>
    <t>HMDB0011564</t>
  </si>
  <si>
    <t>14900</t>
  </si>
  <si>
    <t>ROBFUDYVXSDBQM-UHFFFAOYSA-N</t>
  </si>
  <si>
    <t>O=C(C(O)C(O)=O)O</t>
  </si>
  <si>
    <t>tartronate (hydroxymalonate)</t>
  </si>
  <si>
    <t>80-69-3</t>
  </si>
  <si>
    <t>44</t>
  </si>
  <si>
    <t>HMDB0035227</t>
  </si>
  <si>
    <t>C02287</t>
  </si>
  <si>
    <t>45</t>
  </si>
  <si>
    <t>Ascorbate and Aldarate Metabolism</t>
  </si>
  <si>
    <t>MUBZPKHOEPUJKR-UHFFFAOYSA-N</t>
  </si>
  <si>
    <t>O=C(O)C(O)=O</t>
  </si>
  <si>
    <t>oxalate (ethanedioate)</t>
  </si>
  <si>
    <t>144-62-7</t>
  </si>
  <si>
    <t>946</t>
  </si>
  <si>
    <t>HMDB0002329</t>
  </si>
  <si>
    <t>C00209</t>
  </si>
  <si>
    <t>971</t>
  </si>
  <si>
    <t>UNXHWFMMPAWVPI-UHFFFAOYSA-N</t>
  </si>
  <si>
    <t>OCC(O)C(CO)O</t>
  </si>
  <si>
    <t>erythritol</t>
  </si>
  <si>
    <t>149-32-6</t>
  </si>
  <si>
    <t>13835932</t>
  </si>
  <si>
    <t>HMDB0002994</t>
  </si>
  <si>
    <t>C00503</t>
  </si>
  <si>
    <t>222285</t>
  </si>
  <si>
    <t>CVHZOJJKTDOEJC-UHFFFAOYSA-N</t>
  </si>
  <si>
    <t>O=S(C1=CC=CC=C1C2=O)(N2)=O</t>
  </si>
  <si>
    <t>saccharin</t>
  </si>
  <si>
    <t>81-07-2</t>
  </si>
  <si>
    <t>4959</t>
  </si>
  <si>
    <t>HMDB0029723</t>
  </si>
  <si>
    <t>C12283</t>
  </si>
  <si>
    <t>5143</t>
  </si>
  <si>
    <t>ATRNZOYKSNPPBF-UHFFFAOYSA-N</t>
  </si>
  <si>
    <t>CCCCCCCCCCCC(O)CC(O)=O</t>
  </si>
  <si>
    <t>3-hydroxymyristate</t>
  </si>
  <si>
    <t>3422-31-9</t>
  </si>
  <si>
    <t>15252</t>
  </si>
  <si>
    <t>HMDB0061656</t>
  </si>
  <si>
    <t>16064</t>
  </si>
  <si>
    <t>Chemical</t>
  </si>
  <si>
    <t>NBZBKCUXIYYUSX-UHFFFAOYSA-N</t>
  </si>
  <si>
    <t>O=C(O)CNCC(O)=O</t>
  </si>
  <si>
    <t>iminodiacetate (IDA)</t>
  </si>
  <si>
    <t>142-73-4</t>
  </si>
  <si>
    <t>8557</t>
  </si>
  <si>
    <t>HMDB0011753</t>
  </si>
  <si>
    <t>C19911</t>
  </si>
  <si>
    <t>8897</t>
  </si>
  <si>
    <t>RZRNAYUHWVFMIP-KTKRTIGZSA-N</t>
  </si>
  <si>
    <t>O=C(OCC(O)CO)CCCCCCC/C=C\CCCCCCCC</t>
  </si>
  <si>
    <t>1-oleoylglycerol (18:1)</t>
  </si>
  <si>
    <t>111-03-5</t>
  </si>
  <si>
    <t>4446588</t>
  </si>
  <si>
    <t>HMDB0011567</t>
  </si>
  <si>
    <t>5283468</t>
  </si>
  <si>
    <t>QHKABHOOEWYVLI-UHFFFAOYSA-N</t>
  </si>
  <si>
    <t>OC(C(C(C)C)=O)=O</t>
  </si>
  <si>
    <t>3-methyl-2-oxobutyrate</t>
  </si>
  <si>
    <t>3715-29-5</t>
  </si>
  <si>
    <t>48</t>
  </si>
  <si>
    <t>HMDB0000019</t>
  </si>
  <si>
    <t>C00141</t>
  </si>
  <si>
    <t>49</t>
  </si>
  <si>
    <t>UPWGQKDVAURUGE-KTKRTIGZSA-N</t>
  </si>
  <si>
    <t>O=C(OC(CO)CO)CCCCCCC/C=C\CCCCCCCC</t>
  </si>
  <si>
    <t>2-oleoylglycerol (18:1)</t>
  </si>
  <si>
    <t>3443-84-3</t>
  </si>
  <si>
    <t>4478086</t>
  </si>
  <si>
    <t>HMDB0011537</t>
  </si>
  <si>
    <t>5319879</t>
  </si>
  <si>
    <t>QUOGESRFPZDMMT-YFKPBYRVSA-N</t>
  </si>
  <si>
    <t>N[C@H](C(O)=O)CCCCNC(N)=N</t>
  </si>
  <si>
    <t>homoarginine</t>
  </si>
  <si>
    <t>156-86-5</t>
  </si>
  <si>
    <t>8732</t>
  </si>
  <si>
    <t>HMDB0000670</t>
  </si>
  <si>
    <t>C01924</t>
  </si>
  <si>
    <t>9085</t>
  </si>
  <si>
    <t>XIGSAGMEBXLVJJ-YFKPBYRVSA-N</t>
  </si>
  <si>
    <t>N[C@H](C(O)=O)CCCCNC(N)=O</t>
  </si>
  <si>
    <t>homocitrulline</t>
  </si>
  <si>
    <t>1190-49-4</t>
  </si>
  <si>
    <t>58582</t>
  </si>
  <si>
    <t>HMDB0000679</t>
  </si>
  <si>
    <t>C02427</t>
  </si>
  <si>
    <t>65072</t>
  </si>
  <si>
    <t>IEPGNWMPIFDNSD-HZJYTTRNSA-N</t>
  </si>
  <si>
    <t>O=C(OC(CO)CO)CCCCCCC/C=C\C/C=C\CCCCC</t>
  </si>
  <si>
    <t>2-linoleoylglycerol (18:2)</t>
  </si>
  <si>
    <t>3443-82-1</t>
  </si>
  <si>
    <t>4517636</t>
  </si>
  <si>
    <t>HMDB0011538</t>
  </si>
  <si>
    <t>5365676</t>
  </si>
  <si>
    <t>FYSSBMZUBSBFJL-UHFFFAOYSA-N</t>
  </si>
  <si>
    <t>OC(CC(O)=O)CCCCCCC</t>
  </si>
  <si>
    <t>3-hydroxydecanoate</t>
  </si>
  <si>
    <t>5561-87-5</t>
  </si>
  <si>
    <t>24790</t>
  </si>
  <si>
    <t>HMDB0002203</t>
  </si>
  <si>
    <t>26612</t>
  </si>
  <si>
    <t>KCXVZYZYPLLWCC-UHFFFAOYSA-N</t>
  </si>
  <si>
    <t>O=C(CN(CCN(CC(O)=O)CC(O)=O)CC(O)=O)O</t>
  </si>
  <si>
    <t>EDTA</t>
  </si>
  <si>
    <t>60-00-4</t>
  </si>
  <si>
    <t>5826</t>
  </si>
  <si>
    <t>HMDB0015109</t>
  </si>
  <si>
    <t>C00284</t>
  </si>
  <si>
    <t>6049</t>
  </si>
  <si>
    <t>OKJIRPAQVSHGFK-UHFFFAOYSA-N</t>
  </si>
  <si>
    <t>O=C(O)C(NC(C)=O)[H]</t>
  </si>
  <si>
    <t>N-acetylglycine</t>
  </si>
  <si>
    <t>543-24-8</t>
  </si>
  <si>
    <t>10507</t>
  </si>
  <si>
    <t>HMDB0000532</t>
  </si>
  <si>
    <t>10972</t>
  </si>
  <si>
    <t>QXKAIJAYHKCRRA-BXXZVTAOSA-N</t>
  </si>
  <si>
    <t>OC([C@H](O)[C@H](O)[C@H](O)CO)=O</t>
  </si>
  <si>
    <t>ribonate</t>
  </si>
  <si>
    <t>5336-08-3</t>
  </si>
  <si>
    <t>4574162</t>
  </si>
  <si>
    <t>HMDB0000867</t>
  </si>
  <si>
    <t>C01685</t>
  </si>
  <si>
    <t>5460677</t>
  </si>
  <si>
    <t>JPIJQSOTBSSVTP-UHFFFAOYSA-N</t>
  </si>
  <si>
    <t>O=C(O)C(O)([H])C([H])(O)CO</t>
  </si>
  <si>
    <t>threonate</t>
  </si>
  <si>
    <t>70753-61-6</t>
  </si>
  <si>
    <t>133224</t>
  </si>
  <si>
    <t>HMDB0062620,HMDB0000943</t>
  </si>
  <si>
    <t>C01620</t>
  </si>
  <si>
    <t>151152,5460407</t>
  </si>
  <si>
    <t>RGHNJXZEOKUKBD-MGCNEYSASA-N</t>
  </si>
  <si>
    <t>O[C@H]([C@H]([C@H]([C@@H](CO)O)O)O)C(O)=O</t>
  </si>
  <si>
    <t>galactonate</t>
  </si>
  <si>
    <t>299-28-5</t>
  </si>
  <si>
    <t>114198</t>
  </si>
  <si>
    <t>HMDB0000565</t>
  </si>
  <si>
    <t>C00880,C15930</t>
  </si>
  <si>
    <t>12310779,128869</t>
  </si>
  <si>
    <t>SEOVTRFCIGRIMH-UHFFFAOYSA-N</t>
  </si>
  <si>
    <t>OC(CC1=CNC2=C1C=CC=C2)=O</t>
  </si>
  <si>
    <t>indoleacetate</t>
  </si>
  <si>
    <t>87-51-4,6505-45-9</t>
  </si>
  <si>
    <t>780</t>
  </si>
  <si>
    <t>HMDB0000197</t>
  </si>
  <si>
    <t>C00954</t>
  </si>
  <si>
    <t>802</t>
  </si>
  <si>
    <t>WECGLUPZRHILCT-HZJYTTRNSA-N</t>
  </si>
  <si>
    <t>CCCCC/C=C\C/C=C\CCCCCCCC(OCC(O)CO)=O</t>
  </si>
  <si>
    <t>1-linoleoylglycerol (18:2)</t>
  </si>
  <si>
    <t>2277-28-3</t>
  </si>
  <si>
    <t>4446589</t>
  </si>
  <si>
    <t>HMDB0011568</t>
  </si>
  <si>
    <t>5283469</t>
  </si>
  <si>
    <t>BRMWTNUJHUMWMS-LURJTMIESA-N</t>
  </si>
  <si>
    <t>N[C@H](C(O)=O)CC1=CN(C)C=N1</t>
  </si>
  <si>
    <t>1-methylhistidine</t>
  </si>
  <si>
    <t>332-80-9</t>
  </si>
  <si>
    <t>83153</t>
  </si>
  <si>
    <t>HMDB0000001</t>
  </si>
  <si>
    <t>92105</t>
  </si>
  <si>
    <t>Fatty Acid Metabolism (also BCAA Metabolism)</t>
  </si>
  <si>
    <t>QWYFHHGCZUCMBN-SECBINFHSA-N</t>
  </si>
  <si>
    <t>CCCC(O[C@H](CC([O-])=O)C[N+](C)(C)C)=O</t>
  </si>
  <si>
    <t>butyrylcarnitine (C4)</t>
  </si>
  <si>
    <t>25576-40-3</t>
  </si>
  <si>
    <t>184820</t>
  </si>
  <si>
    <t>HMDB0002013</t>
  </si>
  <si>
    <t>C02862</t>
  </si>
  <si>
    <t>439829</t>
  </si>
  <si>
    <t>LRCNOZRCYBNMEP-VIFPVBQESA-N</t>
  </si>
  <si>
    <t>CC(C)C(O[C@@H](CC([O-])=O)C[N+](C)(C)C)=O</t>
  </si>
  <si>
    <t>isobutyrylcarnitine (C4)</t>
  </si>
  <si>
    <t>25518-49-4</t>
  </si>
  <si>
    <t>HMDB0000736</t>
  </si>
  <si>
    <t>168379</t>
  </si>
  <si>
    <t>RHCPKKNRWFXMAT-RRWYKFPJSA-N</t>
  </si>
  <si>
    <t>[H][C@]1([C@]2(C)[C@](CC1)([H])[C@]3([H])C(C[C@]4([H])C[C@H](O)CC[C@]4(C)[C@@]3([H])C[C@@H]2O)=O)[C@H](C)CCC(O)=O</t>
  </si>
  <si>
    <t>7-ketodeoxycholate</t>
  </si>
  <si>
    <t>911-40-0</t>
  </si>
  <si>
    <t>163659</t>
  </si>
  <si>
    <t>HMDB0000391</t>
  </si>
  <si>
    <t>188292</t>
  </si>
  <si>
    <t>XBSQTYHEGZTYJE-PGVYWSLXSA-N</t>
  </si>
  <si>
    <t>O[C@@H](C[C@]1(CC[C@]([C@@]([H])2CC3)([H])[C@](CC[C@@]2(C)[C@]3([H])[C@@H](CCC(NCC(O)=O)=O)C)4[H])[H])CC[C@@]14C</t>
  </si>
  <si>
    <t>glycolithocholate</t>
  </si>
  <si>
    <t>474-74-8</t>
  </si>
  <si>
    <t>103116</t>
  </si>
  <si>
    <t>HMDB0000698</t>
  </si>
  <si>
    <t>C15557</t>
  </si>
  <si>
    <t>115245</t>
  </si>
  <si>
    <t>ZMITXKRGXGRMKS-HLUDHZFRSA-N</t>
  </si>
  <si>
    <t>C[C@]1([C@](CC2)([H])[C@]3([H])CC[C@@]4([H])C[C@H](OS(=O)(O)=O)CC[C@]4(C)[C@@]3([H])CC1)C2=O</t>
  </si>
  <si>
    <t>androsterone sulfate</t>
  </si>
  <si>
    <t>2479-86-9</t>
  </si>
  <si>
    <t>19988780</t>
  </si>
  <si>
    <t>HMDB0002759</t>
  </si>
  <si>
    <t>159663</t>
  </si>
  <si>
    <t>HNJBEVLQSNELDL-UHFFFAOYSA-N</t>
  </si>
  <si>
    <t>O=C1CCCN1</t>
  </si>
  <si>
    <t>2-pyrrolidinone</t>
  </si>
  <si>
    <t>616-45-5</t>
  </si>
  <si>
    <t>11530</t>
  </si>
  <si>
    <t>HMDB0002039</t>
  </si>
  <si>
    <t>12025</t>
  </si>
  <si>
    <t>GOLXRNDWAUTYKT-UHFFFAOYSA-N</t>
  </si>
  <si>
    <t>OC(CCC1=CNC2=C1C=CC=C2)=O</t>
  </si>
  <si>
    <t>indolepropionate</t>
  </si>
  <si>
    <t>830-96-6</t>
  </si>
  <si>
    <t>3613</t>
  </si>
  <si>
    <t>HMDB0002302</t>
  </si>
  <si>
    <t>3744</t>
  </si>
  <si>
    <t>KSPQDMRTZZYQLM-UHFFFAOYSA-N</t>
  </si>
  <si>
    <t>O=C(NCC(O)=O)C1=CC=CO1</t>
  </si>
  <si>
    <t>N-(2-furoyl)glycine</t>
  </si>
  <si>
    <t>5657-19-2,5657-19-2</t>
  </si>
  <si>
    <t>20549</t>
  </si>
  <si>
    <t>HMDB0000439</t>
  </si>
  <si>
    <t>21863</t>
  </si>
  <si>
    <t>WWNNZCOKKKDOPX-UHFFFAOYSA-N</t>
  </si>
  <si>
    <t>C[N+]1=CC(C([O-])=O)=CC=C1</t>
  </si>
  <si>
    <t>trigonelline (N'-methylnicotinate)</t>
  </si>
  <si>
    <t>535-83-1</t>
  </si>
  <si>
    <t>5369</t>
  </si>
  <si>
    <t>HMDB0000875</t>
  </si>
  <si>
    <t>C01004</t>
  </si>
  <si>
    <t>5570</t>
  </si>
  <si>
    <t>TVIDDXQYHWJXFK-UHFFFAOYSA-N</t>
  </si>
  <si>
    <t>OC(CCCCCCCCCCC(O)=O)=O</t>
  </si>
  <si>
    <t>dodecanedioate (C12-DC)</t>
  </si>
  <si>
    <t>dodecanedioate (C12)</t>
  </si>
  <si>
    <t>693-23-2</t>
  </si>
  <si>
    <t>12213</t>
  </si>
  <si>
    <t>HMDB0000623</t>
  </si>
  <si>
    <t>C02678</t>
  </si>
  <si>
    <t>12736</t>
  </si>
  <si>
    <t>CAHKINHBCWCHCF-JTQLQIEISA-N</t>
  </si>
  <si>
    <t>OC1=CC=C(C[C@@H](C(O)=O)NC(C)=O)C=C1</t>
  </si>
  <si>
    <t>N-acetyltyrosine</t>
  </si>
  <si>
    <t>537-55-3</t>
  </si>
  <si>
    <t>61606</t>
  </si>
  <si>
    <t>HMDB0000866</t>
  </si>
  <si>
    <t>68310</t>
  </si>
  <si>
    <t>OTSBKHHWSQYEHK-UHFFFAOYSA-N</t>
  </si>
  <si>
    <t>CN1C(N(C(N2)=C(C1=O)NC2=O)C)=O</t>
  </si>
  <si>
    <t>1,3-dimethylurate</t>
  </si>
  <si>
    <t>944-73-0</t>
  </si>
  <si>
    <t>63527</t>
  </si>
  <si>
    <t>HMDB0001857</t>
  </si>
  <si>
    <t>70346</t>
  </si>
  <si>
    <t>GMSNIKWWOQHZGF-UHFFFAOYSA-N</t>
  </si>
  <si>
    <t>O=C1N(C)C2=C(N=CN2)C(N1)=O</t>
  </si>
  <si>
    <t>3-methylxanthine</t>
  </si>
  <si>
    <t>1076-22-8</t>
  </si>
  <si>
    <t>63805</t>
  </si>
  <si>
    <t>HMDB0001886</t>
  </si>
  <si>
    <t>C16357</t>
  </si>
  <si>
    <t>70639</t>
  </si>
  <si>
    <t>MUCMKTPAZLSKTL-UHFFFAOYSA-N</t>
  </si>
  <si>
    <t>OC(CC(CCCCCCCCC)O)=O</t>
  </si>
  <si>
    <t>3-hydroxylaurate</t>
  </si>
  <si>
    <t>53941-38-1</t>
  </si>
  <si>
    <t>85026</t>
  </si>
  <si>
    <t>HMDB0000387</t>
  </si>
  <si>
    <t>94216</t>
  </si>
  <si>
    <t>Vitamin B6 Metabolism</t>
  </si>
  <si>
    <t>HXACOUQIXZGNBF-UHFFFAOYSA-N</t>
  </si>
  <si>
    <t>OC1=C(C(O)=O)C(CO)=CN=C1C</t>
  </si>
  <si>
    <t>pyridoxate</t>
  </si>
  <si>
    <t>82-82-6</t>
  </si>
  <si>
    <t>6467</t>
  </si>
  <si>
    <t>HMDB0000017</t>
  </si>
  <si>
    <t>C00847</t>
  </si>
  <si>
    <t>6723</t>
  </si>
  <si>
    <t>IQHUITKNHOKGFC-CSUXEGHOSA-N</t>
  </si>
  <si>
    <t>N[C@@H](C(C)O)C(N[C@@H](CC1=CC=CC=C1)C(O)=O)=O</t>
  </si>
  <si>
    <t>threonylphenylalanine</t>
  </si>
  <si>
    <t>16875-27-7</t>
  </si>
  <si>
    <t>3313819</t>
  </si>
  <si>
    <t>HMDB0029068</t>
  </si>
  <si>
    <t>7010580</t>
  </si>
  <si>
    <t>AQAKHZVPOOGUCK-XPUUQOCRSA-N</t>
  </si>
  <si>
    <t>O=C(N[C@H]([C@@](O)=O)C(C)C)CC[C@@H]([C@](O)=O)N</t>
  </si>
  <si>
    <t>gamma-glutamylvaline</t>
  </si>
  <si>
    <t>2746-34-1</t>
  </si>
  <si>
    <t>HMDB0011172</t>
  </si>
  <si>
    <t>7015683</t>
  </si>
  <si>
    <t>WOMAZEJKVZLLFE-UHFFFAOYSA-N</t>
  </si>
  <si>
    <t>O=C(CC)NCC(O)=O</t>
  </si>
  <si>
    <t>propionylglycine</t>
  </si>
  <si>
    <t>propionylglycine (C3)</t>
  </si>
  <si>
    <t>21709-90-0</t>
  </si>
  <si>
    <t>89122</t>
  </si>
  <si>
    <t>HMDB0000783</t>
  </si>
  <si>
    <t>98681</t>
  </si>
  <si>
    <t>WPSSBBPLVMTKRN-UHFFFAOYSA-N</t>
  </si>
  <si>
    <t>O=C(CNC(CCC)=O)O</t>
  </si>
  <si>
    <t>butyrylglycine</t>
  </si>
  <si>
    <t>butyrylglycine (C4)</t>
  </si>
  <si>
    <t>20208-73-5</t>
  </si>
  <si>
    <t>79766</t>
  </si>
  <si>
    <t>HMDB0000808</t>
  </si>
  <si>
    <t>88412</t>
  </si>
  <si>
    <t>UFAHZIUFPNSHSL-UHFFFAOYSA-N</t>
  </si>
  <si>
    <t>[O-]C(CC(OC(CC)=O)C[N+](C)(C)C)=O</t>
  </si>
  <si>
    <t>propionylcarnitine (C3)</t>
  </si>
  <si>
    <t>17298-37-2</t>
  </si>
  <si>
    <t>96904</t>
  </si>
  <si>
    <t>HMDB0000824</t>
  </si>
  <si>
    <t>C03017</t>
  </si>
  <si>
    <t>107738</t>
  </si>
  <si>
    <t>ONPXCLZMBSJLSP-ALKRTJFJSA-N</t>
  </si>
  <si>
    <t>OC([C@H]1N(C([C@H]2NCCC2)=O)CC(O)C1)=O</t>
  </si>
  <si>
    <t>pro-hydroxy-pro</t>
  </si>
  <si>
    <t>prolylhydroxyproline</t>
  </si>
  <si>
    <t>18684-24-7</t>
  </si>
  <si>
    <t>9847785</t>
  </si>
  <si>
    <t>HMDB0006695</t>
  </si>
  <si>
    <t>11902893</t>
  </si>
  <si>
    <t>ZMZQVAUJTDKQGE-UHFFFAOYSA-N</t>
  </si>
  <si>
    <t>O=C(O)C(CC)CO</t>
  </si>
  <si>
    <t>3-hydroxy-2-ethylpropionate</t>
  </si>
  <si>
    <t>4374-62-3</t>
  </si>
  <si>
    <t>164207</t>
  </si>
  <si>
    <t>HMDB0000396</t>
  </si>
  <si>
    <t>188979</t>
  </si>
  <si>
    <t>WMCQWXZMVIETAO-UHFFFAOYSA-N</t>
  </si>
  <si>
    <t>CCCC1=C(C)C(C(O)=O)=C(CCC(O)=O)O1</t>
  </si>
  <si>
    <t>3-carboxy-4-methyl-5-propyl-2-furanpropanoate (CMPF)</t>
  </si>
  <si>
    <t>86879-39-2</t>
  </si>
  <si>
    <t>110498</t>
  </si>
  <si>
    <t>HMDB0061112</t>
  </si>
  <si>
    <t>123979</t>
  </si>
  <si>
    <t>YUFFSWGQGVEMMI-JLNKQSITSA-N</t>
  </si>
  <si>
    <t>O=C(O)CCCCC/C=C\C/C=C\C/C=C\C/C=C\C/C=C\CC</t>
  </si>
  <si>
    <t>docosapentaenoate (n3 DPA; 22:5n3)</t>
  </si>
  <si>
    <t>docosapentaenoate (DPA; 22:5n3)</t>
  </si>
  <si>
    <t>2234-74-4</t>
  </si>
  <si>
    <t>HMDB0006528,HMDB0001976</t>
  </si>
  <si>
    <t>C16513</t>
  </si>
  <si>
    <t>6441454</t>
  </si>
  <si>
    <t>HVGRZDASOHMCSK-AVQMFFATSA-N</t>
  </si>
  <si>
    <t>CCCCC/C=C/C/C=C/CCCCCCCCCCCC(O)=O</t>
  </si>
  <si>
    <t>docosadienoate (22:2n6)</t>
  </si>
  <si>
    <t>7370-49-2</t>
  </si>
  <si>
    <t>4445934</t>
  </si>
  <si>
    <t>HMDB0061714</t>
  </si>
  <si>
    <t>C16533</t>
  </si>
  <si>
    <t>5282807</t>
  </si>
  <si>
    <t>TWSWSIQAPQLDBP-CGRWFSSPSA-N</t>
  </si>
  <si>
    <t>O=C(CCCCC/C=C/C/C=C/C/C=C/C/C=C/CCCCC)O</t>
  </si>
  <si>
    <t>adrenate (22:4n6)</t>
  </si>
  <si>
    <t>2091-25-0</t>
  </si>
  <si>
    <t>4445971</t>
  </si>
  <si>
    <t>HMDB0002226</t>
  </si>
  <si>
    <t>C16527</t>
  </si>
  <si>
    <t>5282844,5497181</t>
  </si>
  <si>
    <t>FRPZMMHWLSIFAZ-UHFFFAOYSA-N</t>
  </si>
  <si>
    <t>O=C(CCCCCCCCC=C)O[H]</t>
  </si>
  <si>
    <t>10-undecenoate (11:1n1)</t>
  </si>
  <si>
    <t>1333-28-4</t>
  </si>
  <si>
    <t>10771160</t>
  </si>
  <si>
    <t>HMDB0033724</t>
  </si>
  <si>
    <t>C13910</t>
  </si>
  <si>
    <t>14891</t>
  </si>
  <si>
    <t>YWWVWXASSLXJHU-WAYWQWQTSA-N</t>
  </si>
  <si>
    <t>O=C(CCCCCCC/C=C\CCCC)O</t>
  </si>
  <si>
    <t>myristoleate (14:1n5)</t>
  </si>
  <si>
    <t>544-64-9</t>
  </si>
  <si>
    <t>4444564</t>
  </si>
  <si>
    <t>HMDB0002000</t>
  </si>
  <si>
    <t>C08322</t>
  </si>
  <si>
    <t>5281119</t>
  </si>
  <si>
    <t>ZHCKPJGJQOPTLB-UHFFFAOYSA-N</t>
  </si>
  <si>
    <t>O=C(O)CC1=CN(C)C=N1</t>
  </si>
  <si>
    <t>1-methyl-4-imidazoleacetate</t>
  </si>
  <si>
    <t>2625-49-2</t>
  </si>
  <si>
    <t>68319</t>
  </si>
  <si>
    <t>HMDB0002820</t>
  </si>
  <si>
    <t>C05828</t>
  </si>
  <si>
    <t>75810</t>
  </si>
  <si>
    <t>CXMXRPHRNRROMY-UHFFFAOYSA-N</t>
  </si>
  <si>
    <t>OC(CCCCCCCCC(O)=O)=O</t>
  </si>
  <si>
    <t>sebacate (C10-DC)</t>
  </si>
  <si>
    <t>111-20-6</t>
  </si>
  <si>
    <t>5004</t>
  </si>
  <si>
    <t>HMDB0000792</t>
  </si>
  <si>
    <t>C08277</t>
  </si>
  <si>
    <t>5192</t>
  </si>
  <si>
    <t>VVHOUVWJCQOYGG-UHFFFAOYSA-N</t>
  </si>
  <si>
    <t>N=C(N)NC(C(O)=O)CC(O)=O</t>
  </si>
  <si>
    <t>guanidinosuccinate</t>
  </si>
  <si>
    <t>6133-30-8</t>
  </si>
  <si>
    <t>88329</t>
  </si>
  <si>
    <t>HMDB0003157</t>
  </si>
  <si>
    <t>C03139</t>
  </si>
  <si>
    <t>439918</t>
  </si>
  <si>
    <t>JIWBIWFOSCKQMA-LTKCOYKYSA-N</t>
  </si>
  <si>
    <t>CC\C=C/C\C=C/C\C=C/C\C=C/CCCCC(O)=O</t>
  </si>
  <si>
    <t>stearidonate (18:4n3)</t>
  </si>
  <si>
    <t>111174-40-4</t>
  </si>
  <si>
    <t>4471933</t>
  </si>
  <si>
    <t>HMDB0006547</t>
  </si>
  <si>
    <t>C16300</t>
  </si>
  <si>
    <t>5312508</t>
  </si>
  <si>
    <t>IJBFSOLHRKELLR-FPLPWBNLSA-N</t>
  </si>
  <si>
    <t>CCCCCC\C=C/CCCC(O)=O</t>
  </si>
  <si>
    <t>5-dodecenoate (12:1n7)</t>
  </si>
  <si>
    <t>2430-94-6</t>
  </si>
  <si>
    <t>4471803</t>
  </si>
  <si>
    <t>HMDB0000529</t>
  </si>
  <si>
    <t>5312378</t>
  </si>
  <si>
    <t>CXTATJFJDMJMIY-UHFFFAOYSA-N</t>
  </si>
  <si>
    <t>[O-]C(CC(C[N+](C)(C)C)OC(CCCCCCC)=O)=O</t>
  </si>
  <si>
    <t>octanoylcarnitine (C8)</t>
  </si>
  <si>
    <t>3671-77-0</t>
  </si>
  <si>
    <t>110274</t>
  </si>
  <si>
    <t>HMDB0000791</t>
  </si>
  <si>
    <t>C02838</t>
  </si>
  <si>
    <t>123701,11953814</t>
  </si>
  <si>
    <t>XSOLDPYUICCHJX-OEYGYFRSSA-N</t>
  </si>
  <si>
    <t>O=S(CCNC(CC[C@@H](C)[C@@]1([H])CCC2C3[C@@H](O)[C@@H](O)[C@]4([H])C[C@H](O)CC[C@]4(C)C3CC[C@]12C)=O)(O)=O</t>
  </si>
  <si>
    <t>tauro-beta-muricholate</t>
  </si>
  <si>
    <t>25696-60-0</t>
  </si>
  <si>
    <t>147312</t>
  </si>
  <si>
    <t>HMDB0000932</t>
  </si>
  <si>
    <t>121596216,21124703,168408</t>
  </si>
  <si>
    <t>LZOSYCMHQXPBFU-UHFFFAOYSA-N</t>
  </si>
  <si>
    <t>[O-]C(CC(C[N+](C)(C)C)OC(CCCCCCCCC)=O)=O</t>
  </si>
  <si>
    <t>decanoylcarnitine (C10)</t>
  </si>
  <si>
    <t>1492-27-9</t>
  </si>
  <si>
    <t>8420677</t>
  </si>
  <si>
    <t>HMDB0000651</t>
  </si>
  <si>
    <t>10245190</t>
  </si>
  <si>
    <t>KSMRODHGGIIXDV-YFKPBYRVSA-N</t>
  </si>
  <si>
    <t>OC([C@H](CCC(N)=O)NC(C)=O)=O</t>
  </si>
  <si>
    <t>N-acetylglutamine</t>
  </si>
  <si>
    <t>2490-97-3</t>
  </si>
  <si>
    <t>158492</t>
  </si>
  <si>
    <t>HMDB0006029</t>
  </si>
  <si>
    <t>C02716</t>
  </si>
  <si>
    <t>182230</t>
  </si>
  <si>
    <t>DZTHIGRZJZPRDV-LBPRGKRZSA-N</t>
  </si>
  <si>
    <t>O=C(O)[C@@H](NC(C)=O)CC1=CNC2=C1C=CC=C2</t>
  </si>
  <si>
    <t>N-acetyltryptophan</t>
  </si>
  <si>
    <t>1218-34-4</t>
  </si>
  <si>
    <t>610602</t>
  </si>
  <si>
    <t>HMDB0013713</t>
  </si>
  <si>
    <t>C03137</t>
  </si>
  <si>
    <t>439917,700653</t>
  </si>
  <si>
    <t>CBQJSKKFNMDLON-JTQLQIEISA-N</t>
  </si>
  <si>
    <t>O=C(O)[C@@H](NC(C)=O)CC1=CC=CC=C1</t>
  </si>
  <si>
    <t>N-acetylphenylalanine</t>
  </si>
  <si>
    <t>2018-61-3</t>
  </si>
  <si>
    <t>67404</t>
  </si>
  <si>
    <t>HMDB0000512</t>
  </si>
  <si>
    <t>C03519</t>
  </si>
  <si>
    <t>74839</t>
  </si>
  <si>
    <t>HXFOXFJUNFFYMO-BYPYZUCNSA-N</t>
  </si>
  <si>
    <t>OC([C@@H](NC(C)=O)CC(N)=O)=O</t>
  </si>
  <si>
    <t>N-acetylasparagine</t>
  </si>
  <si>
    <t>4033-40-3</t>
  </si>
  <si>
    <t>90090</t>
  </si>
  <si>
    <t>HMDB0006028</t>
  </si>
  <si>
    <t>99715</t>
  </si>
  <si>
    <t>ASWBNKHCZGQVJV-UHFFFAOYSA-N</t>
  </si>
  <si>
    <t>O=P(OCC[N+](C)(C)C)([O-])OCC(O)COC(CCCCCCCCCCCCCCC)=O</t>
  </si>
  <si>
    <t>1-palmitoyl-GPC (16:0)</t>
  </si>
  <si>
    <t>17364-16-8</t>
  </si>
  <si>
    <t>78064</t>
  </si>
  <si>
    <t>HMDB0010382</t>
  </si>
  <si>
    <t>C04102</t>
  </si>
  <si>
    <t>86554</t>
  </si>
  <si>
    <t>SNEIUMQYRCDYCH-LURJTMIESA-N</t>
  </si>
  <si>
    <t>O=C(O)[C@@H](NC(C)=O)CCCNC(N)=N</t>
  </si>
  <si>
    <t>N-acetylarginine</t>
  </si>
  <si>
    <t>155-84-0</t>
  </si>
  <si>
    <t>60752</t>
  </si>
  <si>
    <t>HMDB0004620</t>
  </si>
  <si>
    <t>C02562</t>
  </si>
  <si>
    <t>67427</t>
  </si>
  <si>
    <t>MXXWOMGUGJBKIW-YPCIICBESA-N</t>
  </si>
  <si>
    <t>O=C(N1CCCCC1)/C=C/C=C/C2=CC(OCO3)=C3C=C2</t>
  </si>
  <si>
    <t>piperine</t>
  </si>
  <si>
    <t>94-62-2</t>
  </si>
  <si>
    <t>553590</t>
  </si>
  <si>
    <t>HMDB0029377</t>
  </si>
  <si>
    <t>C03882</t>
  </si>
  <si>
    <t>638024</t>
  </si>
  <si>
    <t>PSHXNVGSVNEJBD-UHFFFAOYSA-N</t>
  </si>
  <si>
    <t>O=C(CCCCCCCCCCCCC)OC(CC([O-])=O)C[N+](C)(C)C</t>
  </si>
  <si>
    <t>myristoylcarnitine (C14)</t>
  </si>
  <si>
    <t>18822-89-4</t>
  </si>
  <si>
    <t>4932274</t>
  </si>
  <si>
    <t>HMDB0005066</t>
  </si>
  <si>
    <t>6426854</t>
  </si>
  <si>
    <t>IHNKQIMGVNPMTC-RUZDIDTESA-N</t>
  </si>
  <si>
    <t>O[C@H](COC(CCCCCCCCCCCCCCCCC)=O)COP(OCC[N+](C)(C)C)([O-])=O</t>
  </si>
  <si>
    <t>1-stearoyl-GPC (18:0)</t>
  </si>
  <si>
    <t>19420-57-6</t>
  </si>
  <si>
    <t>435389</t>
  </si>
  <si>
    <t>HMDB0010384</t>
  </si>
  <si>
    <t>497300</t>
  </si>
  <si>
    <t>YAMUFBLWGFFICM-PTGWMXDISA-N</t>
  </si>
  <si>
    <t>O[C@H](COC(CCCCCCC/C=C\CCCCCCCC)=O)COP(OCC[N+](C)(C)C)([O-])=O</t>
  </si>
  <si>
    <t>1-oleoyl-GPC (18:1)</t>
  </si>
  <si>
    <t>19420-56-5</t>
  </si>
  <si>
    <t>17240641</t>
  </si>
  <si>
    <t>HMDB0002815</t>
  </si>
  <si>
    <t>C03916</t>
  </si>
  <si>
    <t>16081932</t>
  </si>
  <si>
    <t>PEDXUVCGOLSNLQ-UHFFFAOYSA-N</t>
  </si>
  <si>
    <t>CC(O)C(C(O)=O)NC(C)=O</t>
  </si>
  <si>
    <t>N-acetylthreonine</t>
  </si>
  <si>
    <t>17093-74-2</t>
  </si>
  <si>
    <t>3841173</t>
  </si>
  <si>
    <t>HMDB0062557</t>
  </si>
  <si>
    <t>152204</t>
  </si>
  <si>
    <t>JDTWZSUNGHMMJM-MSZQBOFLSA-N</t>
  </si>
  <si>
    <t>CC(N[C@H](C(O)=O)C(C)CC)=O</t>
  </si>
  <si>
    <t>N-acetylisoleucine</t>
  </si>
  <si>
    <t>3077-46-1</t>
  </si>
  <si>
    <t>2081100</t>
  </si>
  <si>
    <t>HMDB0061684</t>
  </si>
  <si>
    <t>306109</t>
  </si>
  <si>
    <t>BBOWBNGUEWHNQZ-KTKRTIGZSA-N</t>
  </si>
  <si>
    <t>O=C(O)CCCCCCCC/C=C\CCCCCCCC</t>
  </si>
  <si>
    <t>10-nonadecenoate (19:1n9)</t>
  </si>
  <si>
    <t>73033-09-7</t>
  </si>
  <si>
    <t>4471938</t>
  </si>
  <si>
    <t>HMDB0013622</t>
  </si>
  <si>
    <t>5312513</t>
  </si>
  <si>
    <t>GDTXICBNEOEPAZ-FPLPWBNLSA-N</t>
  </si>
  <si>
    <t>O=C(O)CCCCCCCC/C=C\CCCCCC</t>
  </si>
  <si>
    <t>10-heptadecenoate (17:1n7)</t>
  </si>
  <si>
    <t>29743-97-3</t>
  </si>
  <si>
    <t>4471860</t>
  </si>
  <si>
    <t>HMDB0060038</t>
  </si>
  <si>
    <t>5312435</t>
  </si>
  <si>
    <t>DKPMWHFRUGMUKF-OAEKOJLISA-N</t>
  </si>
  <si>
    <t>C[C@]12CC[C@@H](O)C[C@@]1([H])[C@@H](O)[C@@H](O)C3C2CC[C@@]4(C)C3CCC4C(CCC(O)=O)C</t>
  </si>
  <si>
    <t>hyocholate</t>
  </si>
  <si>
    <t>547-75-1</t>
  </si>
  <si>
    <t>21403098</t>
  </si>
  <si>
    <t>HMDB0000760</t>
  </si>
  <si>
    <t>C17649</t>
  </si>
  <si>
    <t>92805</t>
  </si>
  <si>
    <t>ZMITXKRGXGRMKS-FMLJXKFRSA-N</t>
  </si>
  <si>
    <t>O=C1CCC2C3CC[C@@]4([H])C[C@@H](OS(=O)(O)=O)CC[C@]4(C)C3CC[C@@]21C</t>
  </si>
  <si>
    <t>epiandrosterone sulfate</t>
  </si>
  <si>
    <t>22229-22-7</t>
  </si>
  <si>
    <t>21403101</t>
  </si>
  <si>
    <t>HMDB0062657</t>
  </si>
  <si>
    <t>9929317</t>
  </si>
  <si>
    <t>Polypeptide</t>
  </si>
  <si>
    <t>VCEHWDBVPZFHAG-POFDKVPJSA-N</t>
  </si>
  <si>
    <t>O=C(N[C@H](C(N[C@H](C(N1[C@H](C(N[C@H](C(O)=O)CC2=CC=CC=C2)=O)CCC1)=O)CO)=O)CC3=CC=CC=C3)CNC([C@H]4N(C([C@H]5N(C([C@H](CCCNC(N)=N)N)=O)CCC5)=O)CCC4)=O</t>
  </si>
  <si>
    <t>bradykinin, des-arg(9)</t>
  </si>
  <si>
    <t>15958-92-6</t>
  </si>
  <si>
    <t>94778</t>
  </si>
  <si>
    <t>HMDB04246</t>
  </si>
  <si>
    <t>C00306</t>
  </si>
  <si>
    <t>105044</t>
  </si>
  <si>
    <t>KBOJOGQFRVVWBH-ZETCQYMHSA-N</t>
  </si>
  <si>
    <t>OC([C@@H](NC(C)=O)CC1=CNC=N1)=O</t>
  </si>
  <si>
    <t>N-acetylhistidine</t>
  </si>
  <si>
    <t>39145-52-3</t>
  </si>
  <si>
    <t>68142</t>
  </si>
  <si>
    <t>HMDB0032055</t>
  </si>
  <si>
    <t>C02997</t>
  </si>
  <si>
    <t>75619</t>
  </si>
  <si>
    <t>ACIJGUBIMXQCMF-BYPYZUCNSA-N</t>
  </si>
  <si>
    <t>O=C(O)[C@@H](N)CCC(NCC(O)=O)=O</t>
  </si>
  <si>
    <t>gamma-glutamylglycine</t>
  </si>
  <si>
    <t>1948-29-4</t>
  </si>
  <si>
    <t>145071</t>
  </si>
  <si>
    <t>HMDB0011667</t>
  </si>
  <si>
    <t>100099</t>
  </si>
  <si>
    <t>CATMPQFFVNKDEY-AAEUAGOBSA-N</t>
  </si>
  <si>
    <t>O=C(O)[C@@H](N)CCC(N[C@@H](CC1=CNC2=C1C=CC=C2)C(O)=O)=O</t>
  </si>
  <si>
    <t>gamma-glutamyltryptophan</t>
  </si>
  <si>
    <t>66471-20-3</t>
  </si>
  <si>
    <t>2302065</t>
  </si>
  <si>
    <t>HMDB0029160</t>
  </si>
  <si>
    <t>3989307</t>
  </si>
  <si>
    <t>CMUNUTVVOOHQPW-LURJTMIESA-N</t>
  </si>
  <si>
    <t>C[N+]1(C)[C@H]([C@@]([O-])=O)CCC1</t>
  </si>
  <si>
    <t>stachydrine</t>
  </si>
  <si>
    <t>4136-37-2</t>
  </si>
  <si>
    <t>103115</t>
  </si>
  <si>
    <t>HMDB0004827</t>
  </si>
  <si>
    <t>C10172</t>
  </si>
  <si>
    <t>115244</t>
  </si>
  <si>
    <t>NGEWQZIDQIYUNV-UHFFFAOYSA-N</t>
  </si>
  <si>
    <t>OC(C(O)=O)C(C)C</t>
  </si>
  <si>
    <t>alpha-hydroxyisovalerate</t>
  </si>
  <si>
    <t>600-37-3</t>
  </si>
  <si>
    <t>90190</t>
  </si>
  <si>
    <t>HMDB0000407</t>
  </si>
  <si>
    <t>99823</t>
  </si>
  <si>
    <t>RCOBKSKAZMVBHT-NCWAPJAISA-N</t>
  </si>
  <si>
    <t>CC1[C@@](OCC(C)(C)N1)(O)[C@]2=CC(Cl)=CC=C2</t>
  </si>
  <si>
    <t>hydroxybupropion</t>
  </si>
  <si>
    <t>21403106</t>
  </si>
  <si>
    <t>HMDB0012235</t>
  </si>
  <si>
    <t>446</t>
  </si>
  <si>
    <t>RQNSKRXMANOPQY-BQBZGAKWSA-N</t>
  </si>
  <si>
    <t>O=C(O)[C@H](CCSC)NC(CC[C@@H](C(O)=O)N)=O</t>
  </si>
  <si>
    <t>gamma-glutamylmethionine</t>
  </si>
  <si>
    <t>17663-87-5</t>
  </si>
  <si>
    <t>5373147</t>
  </si>
  <si>
    <t>HMDB0029155</t>
  </si>
  <si>
    <t>7009567</t>
  </si>
  <si>
    <t>GWNXFCYUJXASDX-JUZNGCLZSA-N</t>
  </si>
  <si>
    <t>CC(O)[C@@H](C(O)=O)NC(CC[C@@H](C(O)=O)N)=O</t>
  </si>
  <si>
    <t>gamma-glutamylthreonine</t>
  </si>
  <si>
    <t>5652-48-2</t>
  </si>
  <si>
    <t>21403107</t>
  </si>
  <si>
    <t>HMDB0029159</t>
  </si>
  <si>
    <t>76078708</t>
  </si>
  <si>
    <t>WGNAKZGUSRVWRH-UHFFFAOYSA-N</t>
  </si>
  <si>
    <t>O=S(OC1=CC=C(C)C=C1)(O)=O</t>
  </si>
  <si>
    <t>p-cresol sulfate</t>
  </si>
  <si>
    <t>3233-57-7</t>
  </si>
  <si>
    <t>3806480</t>
  </si>
  <si>
    <t>HMDB0011635</t>
  </si>
  <si>
    <t>4615423</t>
  </si>
  <si>
    <t>Drug - Metabolic</t>
  </si>
  <si>
    <t>HYAFETHFCAUJAY-UHFFFAOYSA-N</t>
  </si>
  <si>
    <t>O=C(N1)C(SC1=O)CC(C=C2)=CC=C2OCCC(N=C3)=CC=C3CC</t>
  </si>
  <si>
    <t>pioglitazone</t>
  </si>
  <si>
    <t>112529-15-4</t>
  </si>
  <si>
    <t>4663</t>
  </si>
  <si>
    <t>HMDB0015264</t>
  </si>
  <si>
    <t>D08378,C07675,DG00117</t>
  </si>
  <si>
    <t>4829</t>
  </si>
  <si>
    <t>JPIJQSOTBSSVTP-PWNYCUMCSA-N</t>
  </si>
  <si>
    <t>OC[C@@H](O)[C@@H](O)C(O)=O</t>
  </si>
  <si>
    <t>erythronate*</t>
  </si>
  <si>
    <t>88759-55-1</t>
  </si>
  <si>
    <t>2061231</t>
  </si>
  <si>
    <t>HMDB0000613</t>
  </si>
  <si>
    <t>2781043</t>
  </si>
  <si>
    <t>Fibrinogen Cleavage Peptide</t>
  </si>
  <si>
    <t>JWICNZAGYSIBAR-UHFFFAOYSA-N</t>
  </si>
  <si>
    <t>O=C(NC(CC(C)C)C(NC(C)C(NC(CCC(O)=O)C(NCC(NCC(NCC(NC(C(C)C)C(NC(CCCNC(N)=N)C(O)=O)=O)=O)=O)=O)=O)=O)=O)C(CC1=CC=CC=C1)NC(C(CC(O)=O)NC(CNC(C(CCC(O)=O)NC(CNC(C(CO)NC(C(CC(O)=O)NC(C(C)N)=O)=O)=O)=O)=O)=O)=O</t>
  </si>
  <si>
    <t>fibrinopeptide A*</t>
  </si>
  <si>
    <t>25422-31-5</t>
  </si>
  <si>
    <t>14654187</t>
  </si>
  <si>
    <t>25081464</t>
  </si>
  <si>
    <t>JAMFMQAPZKXSKC-UHFFFAOYSA-N</t>
  </si>
  <si>
    <t>O=C(NC(CC(C)C)C(NC(C)C(NC(CCC(O)=O)C(NCC(NCC(NCC(NC(C(C)C)C(NC(CCCNC(N)=N)C(O)=O)=O)=O)=O)=O)=O)=O)=O)C(CC1=CC=CC=C1)NC(C(CC(O)=O)NC(CNC(C(CCC(O)=O)NC(CNC(C(CO)NC(C(CC(O)=O)N)=O)=O)=O)=O)=O)=O</t>
  </si>
  <si>
    <t>fibrinopeptide A, des-ala(1)*</t>
  </si>
  <si>
    <t>21403111</t>
  </si>
  <si>
    <t>132993922</t>
  </si>
  <si>
    <t>DROFZMGQYLJNLQ-UHFFFAOYSA-N</t>
  </si>
  <si>
    <t>O=C(NC(CC(C)C)C(NC(C)C(NC(CCC(O)=O)C(NCC(NCC(NCC(NC(C(C)C)C(NC(CCCNC(N)=N)C(O)=O)=O)=O)=O)=O)=O)=O)=O)C(CC1=CC=CC=C1)NC(C(CC(O)=O)NC(CNC(C(CCC(O)=O)NC(CNC(C(COP(O)(O)=O)NC(C(CC(O)=O)NC(C(C)N)=O)=O)=O)=O)=O)=O)=O</t>
  </si>
  <si>
    <t>fibrinopeptide A, phosphono-ser(3)*</t>
  </si>
  <si>
    <t>886023-52-5</t>
  </si>
  <si>
    <t>21403112</t>
  </si>
  <si>
    <t>132993923</t>
  </si>
  <si>
    <t>OEPADIDIUZTYOX-UHFFFAOYSA-N</t>
  </si>
  <si>
    <t>OC1=CC=CC=C1C(NCC(OC2C(O)C(O)C(O)C(C(O)=O)O2)=O)=O</t>
  </si>
  <si>
    <t>salicyluric glucuronide*</t>
  </si>
  <si>
    <t>21403117</t>
  </si>
  <si>
    <t>HMDB0240252</t>
  </si>
  <si>
    <t>121596205</t>
  </si>
  <si>
    <t>GNMSLDIYJOSUSW-UHFFFAOYSA-N</t>
  </si>
  <si>
    <t>O=C(O)C(CCC1)N1C(C)=O</t>
  </si>
  <si>
    <t>N-acetylproline</t>
  </si>
  <si>
    <t>1074-79-9</t>
  </si>
  <si>
    <t>285677</t>
  </si>
  <si>
    <t>HMDB0094701</t>
  </si>
  <si>
    <t>322640</t>
  </si>
  <si>
    <t>BITHHVVYSMSWAG-KTKRTIGZSA-N</t>
  </si>
  <si>
    <t>O=C(O)CCCCCCCCC/C=C\CCCCCCCC</t>
  </si>
  <si>
    <t>eicosenoate (20:1)</t>
  </si>
  <si>
    <t>eicosenoate (20:1n9 or 1n11)</t>
  </si>
  <si>
    <t>4445895</t>
  </si>
  <si>
    <t>HMDB0002231,HMDB0062436</t>
  </si>
  <si>
    <t>C16526</t>
  </si>
  <si>
    <t>5282768,5282769,94159</t>
  </si>
  <si>
    <t>DTOSIQBPPRVQHS-PDBXOOCHSA-N</t>
  </si>
  <si>
    <t>O=C(O)CCCCCCC/C=C\C/C=C\C/C=C\CC</t>
  </si>
  <si>
    <t>linolenate [alpha or gamma; (18:3n3 or 6)]</t>
  </si>
  <si>
    <t>linolenate (18:3n3 or 3n6)</t>
  </si>
  <si>
    <t>4444437</t>
  </si>
  <si>
    <t>HMDB0003073,HMDB0001388</t>
  </si>
  <si>
    <t>C06426,C06427</t>
  </si>
  <si>
    <t>5280933,5280934</t>
  </si>
  <si>
    <t>aconitate [cis or trans]</t>
  </si>
  <si>
    <t>HMDB0000958,HMDB000072</t>
  </si>
  <si>
    <t>C004174,C02341</t>
  </si>
  <si>
    <t>444212,643757</t>
  </si>
  <si>
    <t>GGIDWJQWCUJYRY-UHFFFAOYSA-K</t>
  </si>
  <si>
    <t>CC1=C(CCC(O)=O)C(/C=C(C(CCC([O-])=O)=C/2C)\[N-]C2=C/C3=N/C(C(C=C)=C3C)=C\4)=N/C1=C\C(N([Fe+2])C4=C5C)=C5C=C</t>
  </si>
  <si>
    <t>heme</t>
  </si>
  <si>
    <t>14875-96-8</t>
  </si>
  <si>
    <t>HMDB0003178</t>
  </si>
  <si>
    <t>C00032</t>
  </si>
  <si>
    <t>26945</t>
  </si>
  <si>
    <t>FNPHNLNTJNMAEE-HSZRJFAPSA-N</t>
  </si>
  <si>
    <t>[O-]C(C[C@@H](OC(CCCCCCCCCCCCCCCCC)=O)C[N+](C)(C)C)=O</t>
  </si>
  <si>
    <t>stearoylcarnitine (C18)</t>
  </si>
  <si>
    <t>18822-91-8</t>
  </si>
  <si>
    <t>21233653</t>
  </si>
  <si>
    <t>HMDB0000848</t>
  </si>
  <si>
    <t>3006797</t>
  </si>
  <si>
    <t>FUJLYHJROOYKRA-UHFFFAOYSA-N</t>
  </si>
  <si>
    <t>[O-]C(CC(C[N+](C)(C)C)OC(CCCCCCCCCCC)=O)=O</t>
  </si>
  <si>
    <t>laurylcarnitine (C12)</t>
  </si>
  <si>
    <t>25518-54-1</t>
  </si>
  <si>
    <t>8602997</t>
  </si>
  <si>
    <t>HMDB000225</t>
  </si>
  <si>
    <t>168381</t>
  </si>
  <si>
    <t>IGQBPDJNUXPEMT-UHFFFAOYSA-N</t>
  </si>
  <si>
    <t>[O-]C(CC(C[N+](C)(C)C)OC(CC(C)C)=O)=O</t>
  </si>
  <si>
    <t>isovalerylcarnitine (C5)</t>
  </si>
  <si>
    <t>31023-24-2</t>
  </si>
  <si>
    <t>4932271</t>
  </si>
  <si>
    <t>HMDB0000688</t>
  </si>
  <si>
    <t>C20826</t>
  </si>
  <si>
    <t>169235</t>
  </si>
  <si>
    <t>SPJFYYJXNPEZDW-UTJQPWESSA-N</t>
  </si>
  <si>
    <t>O=P(OCC(O)COC(CCCCCCC/C=C\C/C=C\CCCCC)=O)([O-])OCC[N+](C)(C)C</t>
  </si>
  <si>
    <t>1-linoleoyl-GPC (18:2)</t>
  </si>
  <si>
    <t>10160888</t>
  </si>
  <si>
    <t>HMDB0010386</t>
  </si>
  <si>
    <t>C04100</t>
  </si>
  <si>
    <t>11988421</t>
  </si>
  <si>
    <t>PFWLFWPASULGAN-UHFFFAOYSA-N</t>
  </si>
  <si>
    <t>OC1=C(N2C)C(N=C2)=NC(O)=N1</t>
  </si>
  <si>
    <t>7-methylxanthine</t>
  </si>
  <si>
    <t>552-62-5</t>
  </si>
  <si>
    <t>61660</t>
  </si>
  <si>
    <t>HMDB0001991</t>
  </si>
  <si>
    <t>C16353</t>
  </si>
  <si>
    <t>68374</t>
  </si>
  <si>
    <t>BYXCFUMGEBZDDI-UHFFFAOYSA-N</t>
  </si>
  <si>
    <t>CN(C(N1C)=O)C(NC2=O)=C(N2C)C1=O</t>
  </si>
  <si>
    <t>1,3,7-trimethylurate</t>
  </si>
  <si>
    <t>5415-44-1</t>
  </si>
  <si>
    <t>71754</t>
  </si>
  <si>
    <t>HMDB0002123</t>
  </si>
  <si>
    <t>C16361</t>
  </si>
  <si>
    <t>79437</t>
  </si>
  <si>
    <t>HMLZLHKHNBLLJD-UHFFFAOYSA-N</t>
  </si>
  <si>
    <t>CN1C(NC(C(N2C)=C1NC2=O)=O)=O</t>
  </si>
  <si>
    <t>3,7-dimethylurate</t>
  </si>
  <si>
    <t>13087-49-5</t>
  </si>
  <si>
    <t>74994</t>
  </si>
  <si>
    <t>HMDB0001982</t>
  </si>
  <si>
    <t>C16360</t>
  </si>
  <si>
    <t>83126</t>
  </si>
  <si>
    <t>NOFNCLGCUJJPKU-UHFFFAOYSA-N</t>
  </si>
  <si>
    <t>CN1C(NC(N2)=C(C1=O)N(C)C2=O)=O</t>
  </si>
  <si>
    <t>1,7-dimethylurate</t>
  </si>
  <si>
    <t>33868-03-0</t>
  </si>
  <si>
    <t>82720</t>
  </si>
  <si>
    <t>HMDB0011103</t>
  </si>
  <si>
    <t>C16356</t>
  </si>
  <si>
    <t>91611</t>
  </si>
  <si>
    <t>QFDRTQONISXGJA-UHFFFAOYSA-N</t>
  </si>
  <si>
    <t>CN1C(NC(N2)=C(C1=O)NC2=O)=O</t>
  </si>
  <si>
    <t>1-methylurate</t>
  </si>
  <si>
    <t>708-79-2</t>
  </si>
  <si>
    <t>62926</t>
  </si>
  <si>
    <t>HMDB0003099</t>
  </si>
  <si>
    <t>C16359</t>
  </si>
  <si>
    <t>69726</t>
  </si>
  <si>
    <t>POQOTWQIYYNXAT-UHFFFAOYSA-N</t>
  </si>
  <si>
    <t>O=C(NC(N)=C1NC(C)=O)N(C)C1=O</t>
  </si>
  <si>
    <t>5-acetylamino-6-amino-3-methyluracil</t>
  </si>
  <si>
    <t>1196153-01-1</t>
  </si>
  <si>
    <t>79659</t>
  </si>
  <si>
    <t>HMDB0004400</t>
  </si>
  <si>
    <t>C16366</t>
  </si>
  <si>
    <t>88299</t>
  </si>
  <si>
    <t>JTEDVYBZBROSJT-UHFFFAOYSA-N</t>
  </si>
  <si>
    <t>OC(CCCC1=CNC2=C1C=CC=C2)=O</t>
  </si>
  <si>
    <t>indolebutyrate</t>
  </si>
  <si>
    <t>133-32-4</t>
  </si>
  <si>
    <t>8298</t>
  </si>
  <si>
    <t>HMDB0002096</t>
  </si>
  <si>
    <t>C11284</t>
  </si>
  <si>
    <t>8617</t>
  </si>
  <si>
    <t>MVOYJPOZRLFTCP-UHFFFAOYSA-N</t>
  </si>
  <si>
    <t>O=C(N1C)NC2=C(NC=N2)C1=O</t>
  </si>
  <si>
    <t>1-methylxanthine</t>
  </si>
  <si>
    <t>6136-37-4</t>
  </si>
  <si>
    <t>72464</t>
  </si>
  <si>
    <t>HMDB0010738</t>
  </si>
  <si>
    <t>C16358</t>
  </si>
  <si>
    <t>80220</t>
  </si>
  <si>
    <t>WJNGQIYEQLPJMN-UHFFFAOYSA-N</t>
  </si>
  <si>
    <t>OC(C1O)C(OC1CO)N(C=N2)C(N=CN3C)=C2C3=O</t>
  </si>
  <si>
    <t>N1-methylinosine</t>
  </si>
  <si>
    <t>20245-33-4</t>
  </si>
  <si>
    <t>513976</t>
  </si>
  <si>
    <t>HMDB0002721</t>
  </si>
  <si>
    <t>650095</t>
  </si>
  <si>
    <t>RSPURTUNRHNVGF-IOSLPCCCSA-N</t>
  </si>
  <si>
    <t>O=C1C(N=CN2[C@@]3([H])[C@@](O)([H])[C@@](O)([H])[C@](CO)([H])O3)=C2N=C(N(C)C)N1</t>
  </si>
  <si>
    <t>N2,N2-dimethylguanosine</t>
  </si>
  <si>
    <t>2140-67-2</t>
  </si>
  <si>
    <t>83878</t>
  </si>
  <si>
    <t>HMDB0004824</t>
  </si>
  <si>
    <t>135501639</t>
  </si>
  <si>
    <t>NIDVTARKFBZMOT-PEBGCTIMSA-N</t>
  </si>
  <si>
    <t>O[C@]1([H])[C@@](O)([H])[C@](CO)([H])O[C@]1(N2C(N=C(NC(C)=O)C=C2)=O)[H]</t>
  </si>
  <si>
    <t>N4-acetylcytidine</t>
  </si>
  <si>
    <t>3768-18-1</t>
  </si>
  <si>
    <t>96702</t>
  </si>
  <si>
    <t>HMDB0005923</t>
  </si>
  <si>
    <t>107461</t>
  </si>
  <si>
    <t>UNUYMBPXEFMLNW-HZPYULPISA-N</t>
  </si>
  <si>
    <t>OC(C)C(C(O)=O)NC(NC1=NC=NC2=C1N=CN2[C@@H]3O[C@H](CO)[C@@H](O)[C@H]3O)=O</t>
  </si>
  <si>
    <t>N6-carbamoylthreonyladenosine</t>
  </si>
  <si>
    <t>24719-82-2</t>
  </si>
  <si>
    <t>141829</t>
  </si>
  <si>
    <t>HMDB0041623</t>
  </si>
  <si>
    <t>161466</t>
  </si>
  <si>
    <t>FKCRAVPPBFWEJD-XVFCMESISA-N</t>
  </si>
  <si>
    <t>O=C(C=C(C(O)=O)N1[C@H]2[C@H](O)[C@H](O)[C@@H](CO)O2)NC1=O</t>
  </si>
  <si>
    <t>orotidine</t>
  </si>
  <si>
    <t>314-50-1</t>
  </si>
  <si>
    <t>83729</t>
  </si>
  <si>
    <t>HMDB0000788</t>
  </si>
  <si>
    <t>92751</t>
  </si>
  <si>
    <t>Acetylated Peptides</t>
  </si>
  <si>
    <t>JFLIEFSWGNOPJJ-JTQLQIEISA-N</t>
  </si>
  <si>
    <t>O=C(CC1=CC=CC=C1)N[C@@H](CCC(N)=O)C(O)=O</t>
  </si>
  <si>
    <t>phenylacetylglutamine</t>
  </si>
  <si>
    <t>28047-15-6</t>
  </si>
  <si>
    <t>270643</t>
  </si>
  <si>
    <t>HMDB0006344</t>
  </si>
  <si>
    <t>C04148</t>
  </si>
  <si>
    <t>92258</t>
  </si>
  <si>
    <t>ZMHLUFWWWPBTIU-UHFFFAOYSA-N</t>
  </si>
  <si>
    <t>O=C(NCC(O)=O)C1=CC=C(O)C=C1</t>
  </si>
  <si>
    <t>4-hydroxyhippurate</t>
  </si>
  <si>
    <t>2482-25-9</t>
  </si>
  <si>
    <t>133104</t>
  </si>
  <si>
    <t>HMDB0013678</t>
  </si>
  <si>
    <t>151012</t>
  </si>
  <si>
    <t>ZPTBLXKRQACLCR-XVFCMESISA-N</t>
  </si>
  <si>
    <t>OC[C@H]1O[C@@H](N2CCC(NC2=O)=O)[C@@H]([C@@H]1O)O</t>
  </si>
  <si>
    <t>5,6-dihydrouridine</t>
  </si>
  <si>
    <t>5627-05-4</t>
  </si>
  <si>
    <t>85115</t>
  </si>
  <si>
    <t>HMDB0000497</t>
  </si>
  <si>
    <t>94312</t>
  </si>
  <si>
    <t>YXNIEZJFCGTDKV-UHFFFAOYSA-N</t>
  </si>
  <si>
    <t>OCC1C(O)C(O)C(N2C=CC(N(CCC(C(O)=O)N)C2=O)=O)O1</t>
  </si>
  <si>
    <t>3-(3-amino-3-carboxypropyl)uridine*</t>
  </si>
  <si>
    <t>52745-94-5</t>
  </si>
  <si>
    <t>149669</t>
  </si>
  <si>
    <t>171198</t>
  </si>
  <si>
    <t>DCPCOKIYJYGMDN-DOFZRALJSA-N</t>
  </si>
  <si>
    <t>O=C(CCC/C=C\C/C=C\C/C=C\C/C=C\CCCCC)OCC(O)CO</t>
  </si>
  <si>
    <t>1-arachidonylglycerol (20:4)</t>
  </si>
  <si>
    <t>35474-99-8</t>
  </si>
  <si>
    <t>4445452</t>
  </si>
  <si>
    <t>HMDB11578</t>
  </si>
  <si>
    <t>C13857</t>
  </si>
  <si>
    <t>16019980,5282281</t>
  </si>
  <si>
    <t>XQBHBEXBUZDCRY-QNEBEIHSSA-N</t>
  </si>
  <si>
    <t>O=C(OCC(O)CO)CCCC\C=C/C\C=C/C\C=C/CCCCC</t>
  </si>
  <si>
    <t>1-linolenoylglycerol (18:3)</t>
  </si>
  <si>
    <t>124151-74-2</t>
  </si>
  <si>
    <t>21403134</t>
  </si>
  <si>
    <t>HMDB0011569</t>
  </si>
  <si>
    <t>53480978</t>
  </si>
  <si>
    <t>BNRXZEPOHPEEAS-UHFFFAOYSA-N</t>
  </si>
  <si>
    <t>NC(C(O)=O)CCC(NC(CSSCC(N)C(O)=O)C(NCC(O)=O)=O)=O</t>
  </si>
  <si>
    <t>cysteine-glutathione disulfide</t>
  </si>
  <si>
    <t>13081-14-6</t>
  </si>
  <si>
    <t>3455404</t>
  </si>
  <si>
    <t>HMDB0000656</t>
  </si>
  <si>
    <t>R00900</t>
  </si>
  <si>
    <t>3080690</t>
  </si>
  <si>
    <t>YNDYKPRNFWPPFU-GOSISDBHSA-N</t>
  </si>
  <si>
    <t>OP(OC[C@H](O)COC(CCCCCCCCCCCCCCC)=O)(O)=O</t>
  </si>
  <si>
    <t>1-palmitoyl-GPA (16:0)</t>
  </si>
  <si>
    <t>17618-08-5</t>
  </si>
  <si>
    <t>4925335</t>
  </si>
  <si>
    <t>HMDB00327</t>
  </si>
  <si>
    <t>C04036</t>
  </si>
  <si>
    <t>6419701</t>
  </si>
  <si>
    <t>DWRXFEITVBNRMK-JXOAFFINSA-N</t>
  </si>
  <si>
    <t>O[C@@H]1[C@H](O)[C@@H](CO)O[C@H]1N(C=C2C)C(NC2=O)=O</t>
  </si>
  <si>
    <t>5-methyluridine (ribothymidine)</t>
  </si>
  <si>
    <t>1463-10-1</t>
  </si>
  <si>
    <t>393058</t>
  </si>
  <si>
    <t>HMDB0000884</t>
  </si>
  <si>
    <t>445408</t>
  </si>
  <si>
    <t>FYVQCLGZFXHEGL-UHFFFAOYSA-N</t>
  </si>
  <si>
    <t>O=C(O)CC(O)CCCCCCCCC(O)=O</t>
  </si>
  <si>
    <t>3-hydroxydodecanedioate*</t>
  </si>
  <si>
    <t>34574-69-1</t>
  </si>
  <si>
    <t>13628081</t>
  </si>
  <si>
    <t>HMDB0000413</t>
  </si>
  <si>
    <t>16663321</t>
  </si>
  <si>
    <t>FZWGECJQACGGTI-UHFFFAOYSA-N</t>
  </si>
  <si>
    <t>O=C1C(N2C)=C(N=C2)N=C(N)N1</t>
  </si>
  <si>
    <t>7-methylguanine</t>
  </si>
  <si>
    <t>578-76-7</t>
  </si>
  <si>
    <t>10883</t>
  </si>
  <si>
    <t>HMDB0000897</t>
  </si>
  <si>
    <t>C02242</t>
  </si>
  <si>
    <t>135398679</t>
  </si>
  <si>
    <t>BBYWOYAFBUOUFP-JOCHJYFZSA-N</t>
  </si>
  <si>
    <t>O=P(OCC[NH3+])([O-])OC[C@H](O)COC(CCCCCCCCCCCCCCCCC)=O</t>
  </si>
  <si>
    <t>1-stearoyl-GPE (18:0)</t>
  </si>
  <si>
    <t>69747-55-3</t>
  </si>
  <si>
    <t>7826018</t>
  </si>
  <si>
    <t>HMDB0011130</t>
  </si>
  <si>
    <t>9547068</t>
  </si>
  <si>
    <t>HFJVKBVEKQHVTO-OZAIVSQSSA-N</t>
  </si>
  <si>
    <t>O=P(OCC(O)CO)(O)OC[C@H](O)COC(CCCCCCCCCCCCCCCCC)=O</t>
  </si>
  <si>
    <t>1-stearoyl-GPG (18:0)</t>
  </si>
  <si>
    <t>21403138</t>
  </si>
  <si>
    <t>JLQSXXWTCJPCBC-UHFFFAOYSA-N</t>
  </si>
  <si>
    <t>O=C(C1=C([H])N(C(C([H])=C1[H])=O)C([H])([H])[H])N([H])[H]</t>
  </si>
  <si>
    <t>N1-methyl-2-pyridone-5-carboxamide</t>
  </si>
  <si>
    <t>701-44-0</t>
  </si>
  <si>
    <t>62899</t>
  </si>
  <si>
    <t>HMDB0004193</t>
  </si>
  <si>
    <t>C05842</t>
  </si>
  <si>
    <t>69698</t>
  </si>
  <si>
    <t>JWPHORDRFVRZPP-KUBAVDMBSA-N</t>
  </si>
  <si>
    <t>O=C(OCC(O)CO)CC/C=C\C/C=C\C/C=C\C/C=C\C/C=C\C/C=C\CC</t>
  </si>
  <si>
    <t>1-docosahexaenoylglycerol (22:6)</t>
  </si>
  <si>
    <t>10477810</t>
  </si>
  <si>
    <t>HMDB0011587</t>
  </si>
  <si>
    <t>53480995</t>
  </si>
  <si>
    <t>SNCKGJWJABDZHI-SIPWABPFSA-N</t>
  </si>
  <si>
    <t>CCC(C)[C@@H](C(O)=O)NC(CC[C@@H](C(O)=O)N)=O</t>
  </si>
  <si>
    <t>gamma-glutamylisoleucine*</t>
  </si>
  <si>
    <t>21403145</t>
  </si>
  <si>
    <t>HMDB0011170</t>
  </si>
  <si>
    <t>22885096</t>
  </si>
  <si>
    <t>Fatty Acid Metabolism (Acyl Carnitine, Monounsaturated)</t>
  </si>
  <si>
    <t>IPOLTUVFXFHAHI-WHIOSMTNSA-N</t>
  </si>
  <si>
    <t>[O-]C(C[C@@H](OC(CCCCCCC/C=C\CCCCCCCC)=O)C[N+](C)(C)C)=O</t>
  </si>
  <si>
    <t>oleoylcarnitine (C18:1)</t>
  </si>
  <si>
    <t>38677-66-6</t>
  </si>
  <si>
    <t>21403150</t>
  </si>
  <si>
    <t>HMDB0005065</t>
  </si>
  <si>
    <t>6441392</t>
  </si>
  <si>
    <t>IHCPDBBYTYJYIL-UHFFFAOYSA-N</t>
  </si>
  <si>
    <t>CCC(C)C(OC(CC([O-])=O)C[N+](C)(C)C)=O</t>
  </si>
  <si>
    <t>2-methylbutyrylcarnitine (C5)</t>
  </si>
  <si>
    <t>31023-25-3</t>
  </si>
  <si>
    <t>4932320</t>
  </si>
  <si>
    <t>HMDB0000378</t>
  </si>
  <si>
    <t>6426901</t>
  </si>
  <si>
    <t>CTYRPMDGLDAWRQ-UHFFFAOYSA-N</t>
  </si>
  <si>
    <t>OS(OC1=CC=CC=C1)(=O)=O</t>
  </si>
  <si>
    <t>phenol sulfate</t>
  </si>
  <si>
    <t>937-34-8</t>
  </si>
  <si>
    <t>67018</t>
  </si>
  <si>
    <t>HMDB0060015</t>
  </si>
  <si>
    <t>C02180</t>
  </si>
  <si>
    <t>74426</t>
  </si>
  <si>
    <t>LFUDDCMNKWEORN-KHPPLWFESA-N</t>
  </si>
  <si>
    <t>O=P(OCC[N+](C)(C)C)([O-])OCC(O)COC(CCCCCCC/C=C\CCCCCC)=O</t>
  </si>
  <si>
    <t>1-palmitoleoyl-GPC (16:1)*</t>
  </si>
  <si>
    <t>21403152</t>
  </si>
  <si>
    <t>HMDB0010383</t>
  </si>
  <si>
    <t>24779461</t>
  </si>
  <si>
    <t>UPCKIPHSXMXJOX-UHFFFAOYSA-N</t>
  </si>
  <si>
    <t>O=C(O)CNC(CCCCC)=O</t>
  </si>
  <si>
    <t>hexanoylglycine</t>
  </si>
  <si>
    <t>hexanoylglycine (C6)</t>
  </si>
  <si>
    <t>24003-67-6</t>
  </si>
  <si>
    <t>89859</t>
  </si>
  <si>
    <t>HMDB0000701</t>
  </si>
  <si>
    <t>99463</t>
  </si>
  <si>
    <t>WRMRXPASUROZGT-UHFFFAOYSA-N</t>
  </si>
  <si>
    <t>CC1=CC=CC(C)=C1NC(CNCC)=O</t>
  </si>
  <si>
    <t>N-ethylglycinexylidide</t>
  </si>
  <si>
    <t>7728-40-7</t>
  </si>
  <si>
    <t>22824</t>
  </si>
  <si>
    <t>HMDB0060656</t>
  </si>
  <si>
    <t>C16561</t>
  </si>
  <si>
    <t>24415</t>
  </si>
  <si>
    <t>Partially Characterized Molecules</t>
  </si>
  <si>
    <t>NPWMTBZSRRLQNJ-UHFFFAOYSA-N</t>
  </si>
  <si>
    <t>O=C(CCC1N)NC1=O</t>
  </si>
  <si>
    <t>glutamine_degradant*</t>
  </si>
  <si>
    <t>2353-44-8</t>
  </si>
  <si>
    <t>RILPIWOPNGRASR-UHFFFAOYSA-N</t>
  </si>
  <si>
    <t>O=C(C(C(CC)C)O)O</t>
  </si>
  <si>
    <t>2-hydroxy-3-methylvalerate</t>
  </si>
  <si>
    <t>488-15-3</t>
  </si>
  <si>
    <t>144317</t>
  </si>
  <si>
    <t>HMDB0000317</t>
  </si>
  <si>
    <t>164623</t>
  </si>
  <si>
    <t>XULZWQRXYTVUTE-ZETCQYMHSA-N</t>
  </si>
  <si>
    <t>C[N+]1(C)[C@@H](CCCC1)[C@]([O-])=O</t>
  </si>
  <si>
    <t>homostachydrine*</t>
  </si>
  <si>
    <t>1195-94-4</t>
  </si>
  <si>
    <t>390180</t>
  </si>
  <si>
    <t>HMDB0033433</t>
  </si>
  <si>
    <t>C08283</t>
  </si>
  <si>
    <t>441447</t>
  </si>
  <si>
    <t>LAXQYRRMGGEGOH-JXRLJXCWSA-N</t>
  </si>
  <si>
    <t>C[N+](C)(C)CCOP(OC[C@@](O)([H])COC(CCC\C=C/C\C=C/C/C=C\C/C=C\CCCCC)=O)([O-])=O</t>
  </si>
  <si>
    <t>1-arachidonoyl-GPC (20:4n6)*</t>
  </si>
  <si>
    <t>21403155</t>
  </si>
  <si>
    <t>HMDB0010395</t>
  </si>
  <si>
    <t>C05208</t>
  </si>
  <si>
    <t>24779476</t>
  </si>
  <si>
    <t>GKXPPJQBVCKAGD-DJYGDJEFSA-N</t>
  </si>
  <si>
    <t>OC[C@](OC(CCCCCCCC/C=C\CCCCC)=O)([H])COP(OCC[N+](C)(C)C)([O-])=O</t>
  </si>
  <si>
    <t>2-palmitoleoyl-GPC (16:1)*</t>
  </si>
  <si>
    <t>21403164</t>
  </si>
  <si>
    <t>HMDB10383</t>
  </si>
  <si>
    <t>122164832</t>
  </si>
  <si>
    <t>NEGQHKSYEYVFTD-HSZRJFAPSA-N</t>
  </si>
  <si>
    <t>OC[C@](OC(CCCCCCCCCCCCCCC)=O)([H])COP(OCC[N+](C)(C)C)([O-])=O</t>
  </si>
  <si>
    <t>2-palmitoyl-GPC (16:0)*</t>
  </si>
  <si>
    <t>21403165</t>
  </si>
  <si>
    <t>HMDB0061702</t>
  </si>
  <si>
    <t>15061532</t>
  </si>
  <si>
    <t>YVYMBNSKXOXSKW-HXUWFJFHSA-N</t>
  </si>
  <si>
    <t>O=P(OCC[NH3+])([O-])OC[C@H](O)COC(CCCCCCCCCCCCCCC)=O</t>
  </si>
  <si>
    <t>1-palmitoyl-GPE (16:0)</t>
  </si>
  <si>
    <t>53862-35-4</t>
  </si>
  <si>
    <t>7826019</t>
  </si>
  <si>
    <t>HMDB0011503</t>
  </si>
  <si>
    <t>9547069</t>
  </si>
  <si>
    <t>PYVRVRFVLRNJLY-MZMPXXGTSA-N</t>
  </si>
  <si>
    <t>O=P(OCC[NH3+])([O-])OC[C@H](O)COC(CCCCCCC\C=C/CCCCCCCC)=O</t>
  </si>
  <si>
    <t>1-oleoyl-GPE (18:1)</t>
  </si>
  <si>
    <t>89576-29-4</t>
  </si>
  <si>
    <t>7826021</t>
  </si>
  <si>
    <t>HMDB0011506</t>
  </si>
  <si>
    <t>9547071</t>
  </si>
  <si>
    <t>DBHKHNGBVGWQJE-HZJYTTRNSA-N</t>
  </si>
  <si>
    <t>O=P(OCC(O)COC(CCCCCCC/C=C\C/C=C\CCCCC)=O)(O)OCCN</t>
  </si>
  <si>
    <t>1-linoleoyl-GPE (18:2)*</t>
  </si>
  <si>
    <t>21403170</t>
  </si>
  <si>
    <t>HMDB0011507</t>
  </si>
  <si>
    <t>52925130</t>
  </si>
  <si>
    <t>ROPRRXYVXLDXQO-XSQXPFHXSA-N</t>
  </si>
  <si>
    <t>NCCOP(OC[C@@](O)([H])COC(CCC\C=C/C\C=C/C/C=C\C/C=C\CCCCC)=O)(O)=O</t>
  </si>
  <si>
    <t>1-arachidonoyl-GPE (20:4n6)*</t>
  </si>
  <si>
    <t>21403171</t>
  </si>
  <si>
    <t>HMDB0011517</t>
  </si>
  <si>
    <t>42607465</t>
  </si>
  <si>
    <t>WMQMIOYQXNRROC-LURJTMIESA-N</t>
  </si>
  <si>
    <t>OC([C@@H](NC(C)=O)CCCNC(N)=O)=O</t>
  </si>
  <si>
    <t>N-acetylcitrulline</t>
  </si>
  <si>
    <t>33965-42-3</t>
  </si>
  <si>
    <t>571213</t>
  </si>
  <si>
    <t>HMDB0000856</t>
  </si>
  <si>
    <t>C15532,C02851</t>
  </si>
  <si>
    <t>656979</t>
  </si>
  <si>
    <t>JGHSBPIZNUXPLA-UHFFFAOYSA-N</t>
  </si>
  <si>
    <t>O=C(O)C(O)CCCCCCCCCCCCCC</t>
  </si>
  <si>
    <t>2-hydroxypalmitate</t>
  </si>
  <si>
    <t>764-67-0</t>
  </si>
  <si>
    <t>83805</t>
  </si>
  <si>
    <t>HMDB0031057</t>
  </si>
  <si>
    <t>12575964,92836,11065598</t>
  </si>
  <si>
    <t>AVKOENOBFIYBSA-WMPRHZDHSA-N</t>
  </si>
  <si>
    <t>OC(CC/C=C\C/C=C\C/C=C\C/C=C\C/C=C\CCCCC)=O</t>
  </si>
  <si>
    <t>docosapentaenoate (n6 DPA; 22:5n6)</t>
  </si>
  <si>
    <t>25182-74-5</t>
  </si>
  <si>
    <t>4945614</t>
  </si>
  <si>
    <t>HMDB0001976</t>
  </si>
  <si>
    <t>RGHNJXZEOKUKBD-NRXMZTRTSA-N</t>
  </si>
  <si>
    <t>OC([C@H](O)[C@H](O)[C@H](O)[C@@H](O)CO)=O</t>
  </si>
  <si>
    <t>gulonate*</t>
  </si>
  <si>
    <t>20246-53-1</t>
  </si>
  <si>
    <t>7969943</t>
  </si>
  <si>
    <t>HMDB0003290</t>
  </si>
  <si>
    <t>C00800</t>
  </si>
  <si>
    <t>152304</t>
  </si>
  <si>
    <t>DCICDMMXFIELDF-UHFFFAOYSA-N</t>
  </si>
  <si>
    <t>O=C(O)CNC(C(C)C)=O</t>
  </si>
  <si>
    <t>isobutyrylglycine</t>
  </si>
  <si>
    <t>isobutyrylglycine (C4)</t>
  </si>
  <si>
    <t>15926-18-8</t>
  </si>
  <si>
    <t>9030891</t>
  </si>
  <si>
    <t>HMDB0000730</t>
  </si>
  <si>
    <t>10855600</t>
  </si>
  <si>
    <t>NXJAXUYOQLTISD-UHFFFAOYSA-N</t>
  </si>
  <si>
    <t>[O-]C(CC(C[N+](C)(C)C)OC(CCCC(O)=O)=O)=O</t>
  </si>
  <si>
    <t>glutarylcarnitine (C5-DC)</t>
  </si>
  <si>
    <t>102636-82-8</t>
  </si>
  <si>
    <t>21403175</t>
  </si>
  <si>
    <t>HMDB0013130</t>
  </si>
  <si>
    <t>71317118</t>
  </si>
  <si>
    <t>IGLHHSKNBDXCEY-UHFFFAOYSA-N</t>
  </si>
  <si>
    <t>[O-]C(CC(C[N+](C)(C)C)OC(CC(O)(C)C)=O)=O</t>
  </si>
  <si>
    <t>beta-hydroxyisovaleroylcarnitine</t>
  </si>
  <si>
    <t>99159-87-2</t>
  </si>
  <si>
    <t>21403176</t>
  </si>
  <si>
    <t>WURBQCVBQNMUQT-RMKNXTFCSA-N</t>
  </si>
  <si>
    <t>[O-]C(CC(C[N+](C)(C)C)OC(/C(C)=C/C)=O)=O</t>
  </si>
  <si>
    <t>tiglylcarnitine (C5:1-DC)</t>
  </si>
  <si>
    <t>tiglyl carnitine (C5)</t>
  </si>
  <si>
    <t>64191-86-2</t>
  </si>
  <si>
    <t>17216200</t>
  </si>
  <si>
    <t>HMDB0002366</t>
  </si>
  <si>
    <t>22833596</t>
  </si>
  <si>
    <t>FPXPQMOQWJZYBL-UHFFFAOYSA-N</t>
  </si>
  <si>
    <t>OC1=CC=C(C=C1)OS(=O)(O)=O</t>
  </si>
  <si>
    <t>hydroquinone sulfate</t>
  </si>
  <si>
    <t>123-31-9</t>
  </si>
  <si>
    <t>141624</t>
  </si>
  <si>
    <t>HMDB0240263</t>
  </si>
  <si>
    <t>C00530</t>
  </si>
  <si>
    <t>161220</t>
  </si>
  <si>
    <t>MZPWKJZDOCIALD-UHFFFAOYSA-N</t>
  </si>
  <si>
    <t>O=S(OC1=C(O)C=CC=C1)(O)=O</t>
  </si>
  <si>
    <t>catechol sulfate</t>
  </si>
  <si>
    <t>4918-96-1</t>
  </si>
  <si>
    <t>2341024</t>
  </si>
  <si>
    <t>HMDB0059724</t>
  </si>
  <si>
    <t>3083879</t>
  </si>
  <si>
    <t>BHYOQNUELFTYRT-UHFFFAOYSA-N</t>
  </si>
  <si>
    <t>CC1(C2C(C)CCCC(C)C)C(CC2)C(CC=C3C4(CCC(OS(=O)(O)=O)C3)C)C4CC1</t>
  </si>
  <si>
    <t>cholesterol sulfate</t>
  </si>
  <si>
    <t>2864-50-8</t>
  </si>
  <si>
    <t>4371550</t>
  </si>
  <si>
    <t>HMDB00653,HMDB0000653</t>
  </si>
  <si>
    <t>C18043</t>
  </si>
  <si>
    <t>65076</t>
  </si>
  <si>
    <t>SATGKQGFUDXGAX-MYWFJNCASA-N</t>
  </si>
  <si>
    <t>O=C(C(CCC[C@H]([C@H]1CC[C@H]2[C@H]3[C@@H]([C@]4(C)C(C[C@H]3O)=CC(CC4)=O)CC[C@@]21C)C)C)O</t>
  </si>
  <si>
    <t>7alpha-hydroxy-3-oxo-4-cholestenoate (7-Hoca)</t>
  </si>
  <si>
    <t>7-HOCA</t>
  </si>
  <si>
    <t>115538-85-7</t>
  </si>
  <si>
    <t>2338765</t>
  </si>
  <si>
    <t>HMDB0012458</t>
  </si>
  <si>
    <t>C17337</t>
  </si>
  <si>
    <t>3081085</t>
  </si>
  <si>
    <t>GYJSAWZGYQXRBS-GRJZKGIBSA-N</t>
  </si>
  <si>
    <t>O[C@H]1[C@@]([C@@](CC2)([H])[C@](CC[C@@H]3O)(C)C(C3)=C1)([H])[C@@]4([H])[C@@]2(C)[C@]([C@H](C)CCCC(C)C(O)=O)([H])CC4</t>
  </si>
  <si>
    <t>3beta,7alpha-dihydroxy-5-cholestenoate</t>
  </si>
  <si>
    <t>115538-84-6</t>
  </si>
  <si>
    <t>2338764</t>
  </si>
  <si>
    <t>HMDB0012454</t>
  </si>
  <si>
    <t>C17335</t>
  </si>
  <si>
    <t>3081084</t>
  </si>
  <si>
    <t>OPVPGKGADVGKTG-UHFFFAOYSA-N</t>
  </si>
  <si>
    <t>CC(NC(C(NC(CCC(O)=O)C(O)=O)=O)CC(O)=O)=O</t>
  </si>
  <si>
    <t>N-acetyl-aspartyl-glutamate (NAAG)</t>
  </si>
  <si>
    <t>3106-85-2</t>
  </si>
  <si>
    <t>5065</t>
  </si>
  <si>
    <t>HMDB0001067</t>
  </si>
  <si>
    <t>C12270</t>
  </si>
  <si>
    <t>188803</t>
  </si>
  <si>
    <t>HQHCYKULIHKCEB-UHFFFAOYSA-N</t>
  </si>
  <si>
    <t>O=C(O)CCCCCCCCCCCCC(O)=O</t>
  </si>
  <si>
    <t>tetradecanedioate (C14-DC)</t>
  </si>
  <si>
    <t>tetradecanedioate (C14)</t>
  </si>
  <si>
    <t>821-38-5</t>
  </si>
  <si>
    <t>12630</t>
  </si>
  <si>
    <t>HMDB0000872</t>
  </si>
  <si>
    <t>13185</t>
  </si>
  <si>
    <t>QQHJDPROMQRDLA-UHFFFAOYSA-N</t>
  </si>
  <si>
    <t>O=C(O)CCCCCCCCCCCCCCC(O)=O</t>
  </si>
  <si>
    <t>hexadecanedioate (C16-DC)</t>
  </si>
  <si>
    <t>hexadecanedioate (C16)</t>
  </si>
  <si>
    <t>505-54-4</t>
  </si>
  <si>
    <t>10027</t>
  </si>
  <si>
    <t>HMDB0000672</t>
  </si>
  <si>
    <t>C19615</t>
  </si>
  <si>
    <t>10459</t>
  </si>
  <si>
    <t>BNJOQKFENDDGSC-UHFFFAOYSA-N</t>
  </si>
  <si>
    <t>O=C(O)CCCCCCCCCCCCCCCCC(O)=O</t>
  </si>
  <si>
    <t>octadecanedioate (C18-DC)</t>
  </si>
  <si>
    <t>octadecanedioate (C18)</t>
  </si>
  <si>
    <t>871-70-5</t>
  </si>
  <si>
    <t>63283</t>
  </si>
  <si>
    <t>HMDB0000782</t>
  </si>
  <si>
    <t>70095</t>
  </si>
  <si>
    <t>LWBHHRRTOZQPDM-UHFFFAOYSA-N</t>
  </si>
  <si>
    <t>O=C(O)CCCCCCCCCC(O)=O</t>
  </si>
  <si>
    <t>undecanedioate (C11-DC)</t>
  </si>
  <si>
    <t>1852-04-6</t>
  </si>
  <si>
    <t>15037</t>
  </si>
  <si>
    <t>HMDB0000888</t>
  </si>
  <si>
    <t>15816</t>
  </si>
  <si>
    <t>DCBSHORRWZKAKO-UHFFFAOYSA-N</t>
  </si>
  <si>
    <t>O=C(CCCCCCCCCCCCC)OCC(O)CO</t>
  </si>
  <si>
    <t>1-myristoylglycerol (14:0)</t>
  </si>
  <si>
    <t>75685-84-6</t>
  </si>
  <si>
    <t>71382</t>
  </si>
  <si>
    <t>HMDB0011561</t>
  </si>
  <si>
    <t>C01885</t>
  </si>
  <si>
    <t>10957631</t>
  </si>
  <si>
    <t>JZNWSCPGTDBMEW-UHFFFAOYSA-N</t>
  </si>
  <si>
    <t>O=P(OCCN)(O)OCC(CO)O</t>
  </si>
  <si>
    <t>glycerophosphoethanolamine</t>
  </si>
  <si>
    <t>33049-08-0</t>
  </si>
  <si>
    <t>110410</t>
  </si>
  <si>
    <t>HMDB0000114</t>
  </si>
  <si>
    <t>C01233</t>
  </si>
  <si>
    <t>123874</t>
  </si>
  <si>
    <t>BMVUIWJCUQSHLZ-GFSNQTMESA-N</t>
  </si>
  <si>
    <t>[H]C(C(O)(C(O)([C@](O)1[H])[H])[H])([C@@](OP(O)(OC[C@@]([H])(CO)O)=O)([C@]1(O)[H])[H])O</t>
  </si>
  <si>
    <t>glycerophosphoinositol*</t>
  </si>
  <si>
    <t>16824-65-0</t>
  </si>
  <si>
    <t>167572</t>
  </si>
  <si>
    <t>QVWAEZJXDYOKEH-UHFFFAOYSA-N</t>
  </si>
  <si>
    <t>O=C(CCC1=CC(O)=CC=C1)O</t>
  </si>
  <si>
    <t>3-(3-hydroxyphenyl)propionate</t>
  </si>
  <si>
    <t>621-54-5</t>
  </si>
  <si>
    <t>89</t>
  </si>
  <si>
    <t>HMDB0000375</t>
  </si>
  <si>
    <t>C11457</t>
  </si>
  <si>
    <t>91</t>
  </si>
  <si>
    <t>WQXNXVUDBPYKBA-YFKPBYRVSA-N</t>
  </si>
  <si>
    <t>O=[C@](O)[C@H]1N=C(C)NCC1</t>
  </si>
  <si>
    <t>ectoine</t>
  </si>
  <si>
    <t>96702-03-3</t>
  </si>
  <si>
    <t>112069</t>
  </si>
  <si>
    <t>HMDB0240650</t>
  </si>
  <si>
    <t>C06231</t>
  </si>
  <si>
    <t>126041</t>
  </si>
  <si>
    <t>LXUGKKVCSTYZFK-OSKOXSHBSA-N</t>
  </si>
  <si>
    <t>[H]C(C(O)(C(O)([C@](O)1[H])[H])[H])([C@@](OP(O)(OC[C@@]([H])(COC(CCC/C=C\C/C=C\C/C=C\C/C=C\CCCCC)=O)O)=O)([C@]1(O)[H])[H])O</t>
  </si>
  <si>
    <t>1-arachidonoyl-GPI (20:4)*</t>
  </si>
  <si>
    <t>HMDB0061690</t>
  </si>
  <si>
    <t>121596217</t>
  </si>
  <si>
    <t>UOXRPRZMAROFPH-AQFLIPHUSA-N</t>
  </si>
  <si>
    <t>[H]C(C(O)(C(O)([C@](O)1[H])[H])[H])([C@@](OP(O)(OC[C@@]([H])(COC(CCCCCCCCCCCCCCC)=O)O)=O)([C@]1(O)[H])[H])O</t>
  </si>
  <si>
    <t>1-palmitoyl-GPI (16:0)</t>
  </si>
  <si>
    <t>HMDB0061695</t>
  </si>
  <si>
    <t>71296207</t>
  </si>
  <si>
    <t>FHXBAFXQVZOILS-OETIFKLTSA-N</t>
  </si>
  <si>
    <t>C[C@]12[C@@]([C@@]([C@@](CC2)([H])[C@](CC3)(C)[C@@]4([H])C[C@@H]3OS(=O)(O)=O)(CC4)[H])([H])CC[C@]1([H])[C@H](C)CCC(NCC(O)=O)=O</t>
  </si>
  <si>
    <t>glycolithocholate sulfate*</t>
  </si>
  <si>
    <t>15324-64-8</t>
  </si>
  <si>
    <t>65188</t>
  </si>
  <si>
    <t>HMDB0002639</t>
  </si>
  <si>
    <t>C11301</t>
  </si>
  <si>
    <t>72222</t>
  </si>
  <si>
    <t>HSNPMXROZIQAQD-VUIPEFFGSA-N</t>
  </si>
  <si>
    <t>C[C@@]([C@]([C@@](CC1)([H])[C@@]2([H])[C@](CC3)(C)[C@]1([H])C[C@@H]3OS(=O)(O)=O)(CC4)[H])(CC2)[C@]4([H])[C@H](C)CCC(NCCS(O)(=O)=O)=O</t>
  </si>
  <si>
    <t>taurolithocholate 3-sulfate</t>
  </si>
  <si>
    <t>64936-83-0</t>
  </si>
  <si>
    <t>389078</t>
  </si>
  <si>
    <t>HMDB0002580</t>
  </si>
  <si>
    <t>C03642</t>
  </si>
  <si>
    <t>440071</t>
  </si>
  <si>
    <t>JHPNVNIEXXLNTR-UHFFFAOYSA-N</t>
  </si>
  <si>
    <t>C[N+](C)(C)CCCC([O-])=O</t>
  </si>
  <si>
    <t>deoxycarnitine</t>
  </si>
  <si>
    <t>6249-56-5</t>
  </si>
  <si>
    <t>705</t>
  </si>
  <si>
    <t>HMDB0001161</t>
  </si>
  <si>
    <t>C01181</t>
  </si>
  <si>
    <t>22620</t>
  </si>
  <si>
    <t>VKGZCEJTCKHMRL-UHFFFAOYSA-N</t>
  </si>
  <si>
    <t>OCC(O1)C(O)C(O)C1N2C=NC3=C(NC(CC(O)=O)C(O)=O)N=CN=C32</t>
  </si>
  <si>
    <t>N6-succinyladenosine</t>
  </si>
  <si>
    <t>4542-23-8</t>
  </si>
  <si>
    <t>HMDB0000912</t>
  </si>
  <si>
    <t>165243</t>
  </si>
  <si>
    <t>AHPWEWASPTZMEK-UHFFFAOYSA-N</t>
  </si>
  <si>
    <t>OCC(O1)C(O)C(O)C1N2C=NC(CC(O)=O)=C2</t>
  </si>
  <si>
    <t>1-ribosyl-imidazoleacetate*</t>
  </si>
  <si>
    <t>29605-99-0</t>
  </si>
  <si>
    <t>4292299</t>
  </si>
  <si>
    <t>HMDB0002331</t>
  </si>
  <si>
    <t>C05131</t>
  </si>
  <si>
    <t>440569</t>
  </si>
  <si>
    <t>DZAIOXUZHHTJKN-UHFFFAOYSA-N</t>
  </si>
  <si>
    <t>O=C(CC(CO)O)O</t>
  </si>
  <si>
    <t>3,4-dihydroxybutyrate</t>
  </si>
  <si>
    <t>51267-44-8</t>
  </si>
  <si>
    <t>HMDB0000337</t>
  </si>
  <si>
    <t>150929</t>
  </si>
  <si>
    <t>DVJIJAYHBZALOJ-UHFFFAOYSA-N</t>
  </si>
  <si>
    <t>O=C(NC(CCC(N)=O)C(O)=O)CC1=CNC2=C1C=CC=C2</t>
  </si>
  <si>
    <t>indoleacetylglutamine</t>
  </si>
  <si>
    <t>HMDB0013240</t>
  </si>
  <si>
    <t>25200879</t>
  </si>
  <si>
    <t>Fatty Acid Metabolism (Acyl Glutamine)</t>
  </si>
  <si>
    <t>NONGMLDQXRDGIT-UHFFFAOYSA-N</t>
  </si>
  <si>
    <t>O=C(CCCCC)NC(CCC(N)=O)C(O)=O</t>
  </si>
  <si>
    <t>hexanoylglutamine</t>
  </si>
  <si>
    <t>DTERQYGMUDWYAZ-ZETCQYMHSA-N</t>
  </si>
  <si>
    <t>N[C@@H](CCCCNC(C)=O)C(O)=O</t>
  </si>
  <si>
    <t>N6-acetyllysine</t>
  </si>
  <si>
    <t>692-04-6</t>
  </si>
  <si>
    <t>83801</t>
  </si>
  <si>
    <t>HMDB0000206</t>
  </si>
  <si>
    <t>C02727</t>
  </si>
  <si>
    <t>92832</t>
  </si>
  <si>
    <t>AHANXAKGNAKFSK-PDBXOOCHSA-N</t>
  </si>
  <si>
    <t>CC\C=C/C\C=C/C\C=C/CCCCCCCCCC(O)=O</t>
  </si>
  <si>
    <t>dihomo-linolenate (20:3n3 or n6)</t>
  </si>
  <si>
    <t>dihomolinolenate (20:3n3 or 3n6)</t>
  </si>
  <si>
    <t>17046-59-2</t>
  </si>
  <si>
    <t>4471954</t>
  </si>
  <si>
    <t>HMDB0002925</t>
  </si>
  <si>
    <t>C03242</t>
  </si>
  <si>
    <t>5280581</t>
  </si>
  <si>
    <t>FBPFZTCFMRRESA-UHFFFAOYSA-N</t>
  </si>
  <si>
    <t>OCC(O)C(O)C(O)C(O)CO</t>
  </si>
  <si>
    <t>mannitol/sorbitol</t>
  </si>
  <si>
    <t>440</t>
  </si>
  <si>
    <t>HMDB0000247,HMDB0000765</t>
  </si>
  <si>
    <t>C00392,C00794</t>
  </si>
  <si>
    <t>5780,6251</t>
  </si>
  <si>
    <t>AOHCBEAZXHZMOR-ZDUSSCGKSA-N</t>
  </si>
  <si>
    <t>O=C([O-])[C@@H]([N@+](C)(C)C)CC1=CNC2=C1C=CC=C2</t>
  </si>
  <si>
    <t>tryptophan betaine</t>
  </si>
  <si>
    <t>20671-76-5</t>
  </si>
  <si>
    <t>390633</t>
  </si>
  <si>
    <t>HMDB0061115</t>
  </si>
  <si>
    <t>C09213</t>
  </si>
  <si>
    <t>442106</t>
  </si>
  <si>
    <t>IETVQHUKTKKBFF-UHFFFAOYSA-N</t>
  </si>
  <si>
    <t>O=S(OC1=CC=C(C=C)C=C1)(O)=O</t>
  </si>
  <si>
    <t>4-vinylphenol sulfate</t>
  </si>
  <si>
    <t>2628-17-3</t>
  </si>
  <si>
    <t>4932200</t>
  </si>
  <si>
    <t>HMDB0062775</t>
  </si>
  <si>
    <t>C05627</t>
  </si>
  <si>
    <t>6426766</t>
  </si>
  <si>
    <t>DWZGLEPNCRFCEP-UHFFFAOYSA-N</t>
  </si>
  <si>
    <t>O=S(OC1=CC=C(CC)C=C1)(O)=O</t>
  </si>
  <si>
    <t>4-ethylphenylsulfate</t>
  </si>
  <si>
    <t>4-ethylphenyl sulfate</t>
  </si>
  <si>
    <t>123-07-9</t>
  </si>
  <si>
    <t>HMDB0062551</t>
  </si>
  <si>
    <t>C13637</t>
  </si>
  <si>
    <t>20822574</t>
  </si>
  <si>
    <t>NODSEPOUFZPJEQ-UHFFFAOYSA-N</t>
  </si>
  <si>
    <t>CC(C)C1=CC=C(C)C=C1OS(=O)(O)=O</t>
  </si>
  <si>
    <t>thymol sulfate</t>
  </si>
  <si>
    <t>89-83-8</t>
  </si>
  <si>
    <t>10709958</t>
  </si>
  <si>
    <t>HMDB0062720</t>
  </si>
  <si>
    <t>C09908</t>
  </si>
  <si>
    <t>12456386</t>
  </si>
  <si>
    <t>SYEOWUNSTUDKGM-UHFFFAOYSA-N</t>
  </si>
  <si>
    <t>O=C(O)CC(C)CCC(O)=O</t>
  </si>
  <si>
    <t>3-methyladipate</t>
  </si>
  <si>
    <t>3058-01-3</t>
  </si>
  <si>
    <t>11789</t>
  </si>
  <si>
    <t>HMDB0000555</t>
  </si>
  <si>
    <t>12292</t>
  </si>
  <si>
    <t>VTYFITADLSVOAS-UHFFFAOYSA-N</t>
  </si>
  <si>
    <t>NC(C(O)=O)CCCCN1C(C=O)=CC=C1CO</t>
  </si>
  <si>
    <t>pyrraline</t>
  </si>
  <si>
    <t>74509-14-1</t>
  </si>
  <si>
    <t>19980286</t>
  </si>
  <si>
    <t>HMDB0033143</t>
  </si>
  <si>
    <t>C21013</t>
  </si>
  <si>
    <t>14274616</t>
  </si>
  <si>
    <t>UGDOFRYHDCDVHD-JCASDCETSA-N</t>
  </si>
  <si>
    <t>[H]C(C(O)(C(O)([C@](O)1[H])[H])[H])([C@@](OP(O)(OC[C@@]([H])(COC(CCCCCCC/C=C\CCCCCCCC)=O)O)=O)([C@]1(O)[H])[H])O</t>
  </si>
  <si>
    <t>1-oleoyl-GPI (18:1)</t>
  </si>
  <si>
    <t>HMDB0061693</t>
  </si>
  <si>
    <t>86289645</t>
  </si>
  <si>
    <t>SAHCQBPGXQFTRA-WNOZMNFTSA-N</t>
  </si>
  <si>
    <t>[H]C(C(O)(C(O)([C@](O)1[H])[H])[H])([C@@](OP(O)(OC[C@@]([H])(COC(CCCCCCC/C=C\C/C=C\CCCCC)=O)O)=O)([C@]1(O)[H])[H])O</t>
  </si>
  <si>
    <t>1-linoleoyl-GPI (18:2)*</t>
  </si>
  <si>
    <t>1-linoleoyl-GPI* (18:2)*</t>
  </si>
  <si>
    <t>HMDB0240597</t>
  </si>
  <si>
    <t>11124828</t>
  </si>
  <si>
    <t>XWJUDDGELKXYNO-QMMMGPOBSA-N</t>
  </si>
  <si>
    <t>OC1=CC=C2C(C=CC([C@H](C)C(O)=O)=C2)=C1</t>
  </si>
  <si>
    <t>desmethylnaproxen</t>
  </si>
  <si>
    <t>52079-10-4</t>
  </si>
  <si>
    <t>18640362</t>
  </si>
  <si>
    <t>HMDB0013989</t>
  </si>
  <si>
    <t>162920</t>
  </si>
  <si>
    <t>BNKMSCMOWGCUOF-QMMMGPOBSA-N</t>
  </si>
  <si>
    <t>C[C@H](C(O)=O)C1=CC2=CC=C(OS(=O)(O)=O)C=C2C=C1</t>
  </si>
  <si>
    <t>desmethylnaproxen sulfate</t>
  </si>
  <si>
    <t>160559</t>
  </si>
  <si>
    <t>184679</t>
  </si>
  <si>
    <t>BAQAVOSOZGMPRM-DYDPOALMSA-N</t>
  </si>
  <si>
    <t>Cl[C@]([C@@](O[C@@](O[C@@]([C@@]1(O)[H])(CCl)O[C@]([C@]1(O)[H])(CCl)[H])([C@]2(O)[H])[H])(CO)[H])([C@]2(O)[H])[H]</t>
  </si>
  <si>
    <t>sucralose</t>
  </si>
  <si>
    <t>56038-13-2</t>
  </si>
  <si>
    <t>HMDB0031554</t>
  </si>
  <si>
    <t>C12285</t>
  </si>
  <si>
    <t>71485</t>
  </si>
  <si>
    <t>HRLQZTOIKWEZBN-UHFFFAOYSA-N</t>
  </si>
  <si>
    <t>CC(NC1=C(O)C=C(OS(=O)(O)=O)C=C1)=O</t>
  </si>
  <si>
    <t>2-hydroxyacetaminophen sulfate*</t>
  </si>
  <si>
    <t>34448632</t>
  </si>
  <si>
    <t>HMDB0062547</t>
  </si>
  <si>
    <t>86290013</t>
  </si>
  <si>
    <t>NZKKXAGORRATJB-UHFFFAOYSA-N</t>
  </si>
  <si>
    <t>CC(NC1=C(OC)C=C(OS(=O)(O)=O)C=C1)=O</t>
  </si>
  <si>
    <t>2-methoxyacetaminophen sulfate*</t>
  </si>
  <si>
    <t>34448633</t>
  </si>
  <si>
    <t>HMDB0062550</t>
  </si>
  <si>
    <t>86290014</t>
  </si>
  <si>
    <t>GDCCQRYSPGZVPX-UHFFFAOYSA-N</t>
  </si>
  <si>
    <t>CC(NC1=C(OC)C=C(OC2OC(C(O)=O)C(O)C(O)C2O)C=C1)=O</t>
  </si>
  <si>
    <t>2-methoxyacetaminophen glucuronide*</t>
  </si>
  <si>
    <t>52083351</t>
  </si>
  <si>
    <t>HMDB0240215</t>
  </si>
  <si>
    <t>121596203</t>
  </si>
  <si>
    <t>LLHICPSCVFRWDT-UHFFFAOYSA-N</t>
  </si>
  <si>
    <t>CC(NC1=CC=C(O)C(SCC(C(O)=O)N)=C1)=O</t>
  </si>
  <si>
    <t>3-(cystein-S-yl)acetaminophen*</t>
  </si>
  <si>
    <t>53446-10-9</t>
  </si>
  <si>
    <t>4403253</t>
  </si>
  <si>
    <t>HMDB0240217</t>
  </si>
  <si>
    <t>171264</t>
  </si>
  <si>
    <t>Purine and Pyrimidine Metabolism</t>
  </si>
  <si>
    <t>CAAULPUQFIIOTL-UHFFFAOYSA-N</t>
  </si>
  <si>
    <t>O=P(O)(O)OC</t>
  </si>
  <si>
    <t>methylphosphate</t>
  </si>
  <si>
    <t>7023-27-0</t>
  </si>
  <si>
    <t>12578</t>
  </si>
  <si>
    <t>HMDB61711</t>
  </si>
  <si>
    <t>13130</t>
  </si>
  <si>
    <t>CYGSXDXRHXMAOV-UHFFFAOYSA-N</t>
  </si>
  <si>
    <t>O=S(OC1=CC=CC=C1C)(O)=O</t>
  </si>
  <si>
    <t>o-cresol sulfate</t>
  </si>
  <si>
    <t>9790277</t>
  </si>
  <si>
    <t>11615528</t>
  </si>
  <si>
    <t>YDGMGEXADBMOMJ-LURJTMIESA-N</t>
  </si>
  <si>
    <t>N[C@@H](CCCNC(N(C)C)=N)C(O)=O</t>
  </si>
  <si>
    <t>dimethylarginine (SDMA + ADMA)</t>
  </si>
  <si>
    <t>dimethylarginine (ADMA + SDMA)</t>
  </si>
  <si>
    <t>102783-24-4</t>
  </si>
  <si>
    <t>110375</t>
  </si>
  <si>
    <t>HMDB0003334,HMDB0001539</t>
  </si>
  <si>
    <t>C21189,C03626</t>
  </si>
  <si>
    <t>123831,169148</t>
  </si>
  <si>
    <t>WQXXXVRAFAKQJM-WHFBIAKZSA-N</t>
  </si>
  <si>
    <t>C[C@H](NC(CC[C@H](N)C(O)=O)=O)C(O)=O</t>
  </si>
  <si>
    <t>gamma-glutamylalanine</t>
  </si>
  <si>
    <t>5875-41-2</t>
  </si>
  <si>
    <t>389104</t>
  </si>
  <si>
    <t>HMDB0029142</t>
  </si>
  <si>
    <t>C03738</t>
  </si>
  <si>
    <t>440103</t>
  </si>
  <si>
    <t>JJIHLJJYMXLCOY-BYPYZUCNSA-N</t>
  </si>
  <si>
    <t>OC[C@@H](C(O)=O)NC(C)=O</t>
  </si>
  <si>
    <t>N-acetylserine</t>
  </si>
  <si>
    <t>97-14-3</t>
  </si>
  <si>
    <t>58744</t>
  </si>
  <si>
    <t>HMDB0002931</t>
  </si>
  <si>
    <t>65249</t>
  </si>
  <si>
    <t>JQKOHRZNEOQNJE-AYBNWLFXSA-N</t>
  </si>
  <si>
    <t>O=C(CCCCCCC/C=C/CCCCCCCC)O[C@@H](COP(OCCN)(O)=O)COC(CCCCCCCCCCCCCCCCC)=O</t>
  </si>
  <si>
    <t>1-stearoyl-2-oleoyl-GPE (18:0/18:1)</t>
  </si>
  <si>
    <t>HMDB0008993</t>
  </si>
  <si>
    <t>9546742</t>
  </si>
  <si>
    <t>CDAISMWEOUEBRE-LKPKBOIGSA-N</t>
  </si>
  <si>
    <t>O[C@@H]1[C@@H](O)[C@H](O)[C@@H](O)[C@@H](O)[C@@H]1O</t>
  </si>
  <si>
    <t>chiro-inositol</t>
  </si>
  <si>
    <t>643-12-9</t>
  </si>
  <si>
    <t>10254647</t>
  </si>
  <si>
    <t>HMDB0240209</t>
  </si>
  <si>
    <t>C19891</t>
  </si>
  <si>
    <t>KFDHKOFCRYUXLA-UHFFFAOYSA-N</t>
  </si>
  <si>
    <t>C=CCC1=CC=C(OS(=O)(O)=O)C=C1</t>
  </si>
  <si>
    <t>4-allylphenol sulfate</t>
  </si>
  <si>
    <t>66633409</t>
  </si>
  <si>
    <t>PSVRFUPOQYJOOZ-QNPWAGBNSA-N</t>
  </si>
  <si>
    <t>C[N+](C)(CCOP([O-])(OC[C@@]([H])(COC(CCCCCCCCCCCCCCCCC)=O)OC(CCC/C=C\C/C=C\C/C=C\C/C=C\CCCCC)=O)=O)C</t>
  </si>
  <si>
    <t>1-stearoyl-2-arachidonoyl-GPC (18:0/20:4)</t>
  </si>
  <si>
    <t>35418-59-8</t>
  </si>
  <si>
    <t>17347139</t>
  </si>
  <si>
    <t>HMDB0008048</t>
  </si>
  <si>
    <t>16219824</t>
  </si>
  <si>
    <t>HBZNVZIRJWODIB-NHCUFCNUSA-N</t>
  </si>
  <si>
    <t>O=C(CCCCCCC/C=C\C/C=C\CCCCC)O[C@@H](COP(OCCN)(O)=O)COC(CCCCCCCCCCCCCCC)=O</t>
  </si>
  <si>
    <t>1-palmitoyl-2-linoleoyl-GPE (16:0/18:2)</t>
  </si>
  <si>
    <t>7825697</t>
  </si>
  <si>
    <t>HMDB0005322</t>
  </si>
  <si>
    <t>9546747</t>
  </si>
  <si>
    <t>YHEDRJPUIRMZMP-UHFFFAOYSA-N</t>
  </si>
  <si>
    <t>OP(O)(OCC(C(CCCCCCCCCCCCCCC)O)N)=O</t>
  </si>
  <si>
    <t>sphinganine-1-phosphate</t>
  </si>
  <si>
    <t>19794-97-9</t>
  </si>
  <si>
    <t>505</t>
  </si>
  <si>
    <t>HMDB0001383</t>
  </si>
  <si>
    <t>520</t>
  </si>
  <si>
    <t>Hexosylceramides (HCER)</t>
  </si>
  <si>
    <t>YMYQEDCYNANIPI-OQRGLTFYSA-N</t>
  </si>
  <si>
    <t>OC1C(CO)OC(OC[C@H](NC(CCCCCCCCCCCCCCCCC)=O)[C@H](O)/C=C/CCCCCCCCCCCCC)C(O)C1O</t>
  </si>
  <si>
    <t>glycosyl-N-stearoyl-sphingosine (d18:1/18:0)</t>
  </si>
  <si>
    <t>SZJNCZMRZAUNQT-IUCAKERBSA-N</t>
  </si>
  <si>
    <t>O=C(N[C@H]1CC(C)C)[C@H]2N(CCC2)C1=O</t>
  </si>
  <si>
    <t>cyclo(leu-pro)</t>
  </si>
  <si>
    <t>2873-36-1</t>
  </si>
  <si>
    <t>5428292</t>
  </si>
  <si>
    <t>HMDB0034276</t>
  </si>
  <si>
    <t>7074739</t>
  </si>
  <si>
    <t>HAEVNYBCYZZDFL-UHFFFAOYSA-N</t>
  </si>
  <si>
    <t>[O-]C(CC(C[N+](C)(C)C)OC(CCC(O)=O)=O)=O</t>
  </si>
  <si>
    <t>succinylcarnitine (C4-DC)</t>
  </si>
  <si>
    <t>256928-74-2</t>
  </si>
  <si>
    <t>28639166</t>
  </si>
  <si>
    <t>HMDB0061717</t>
  </si>
  <si>
    <t>71464481</t>
  </si>
  <si>
    <t>BPYKTIZUTYGOLE-VVCLLGATSA-N</t>
  </si>
  <si>
    <t>CC(C(N/1)=O)=C(C=C)C1=C/C2=C(C)C(CCC(O)=O)=C(CC3=C(CCC(O)=O)C(C)=C(/C=C4NC(C(C=C)=C\4C)=O)N3)N2</t>
  </si>
  <si>
    <t>bilirubin (E,E)*</t>
  </si>
  <si>
    <t>4474753</t>
  </si>
  <si>
    <t>HMDB0240584</t>
  </si>
  <si>
    <t>129320511</t>
  </si>
  <si>
    <t>BPYKTIZUTYGOLE-BMNRKXRESA-N</t>
  </si>
  <si>
    <t>CC(C(N/1)=O)=C(C=C)C1=C/C2=C(C)C(CCC(O)=O)=C(CC3=C(CCC(O)=O)C(C)=C(/C=C4NC(C(C=C)=C/4C)=O)N3)N2</t>
  </si>
  <si>
    <t>bilirubin (E,Z or Z,E)*</t>
  </si>
  <si>
    <t>4705847</t>
  </si>
  <si>
    <t>HMDB0000488</t>
  </si>
  <si>
    <t>5799469</t>
  </si>
  <si>
    <t>CWLQUGTUXBXTLF-UHFFFAOYSA-N</t>
  </si>
  <si>
    <t>O=C(O)C1N(C)CCC1</t>
  </si>
  <si>
    <t>N-methylproline</t>
  </si>
  <si>
    <t>475-11-6</t>
  </si>
  <si>
    <t>541</t>
  </si>
  <si>
    <t>HMDB0094696</t>
  </si>
  <si>
    <t>643474</t>
  </si>
  <si>
    <t>DMASLKHVQRHNES-QQGJMDNJSA-N</t>
  </si>
  <si>
    <t>CC1=C(/C=C/C(C)=C/C=C/C(C)=C/C=C/C=C(C)/C=C/C=C(C)/C=C/C2=C(C)CCCC2(C)C)C(C)(C)CC(O)C1</t>
  </si>
  <si>
    <t>beta-cryptoxanthin</t>
  </si>
  <si>
    <t>472-70-8</t>
  </si>
  <si>
    <t>4904571</t>
  </si>
  <si>
    <t>HMDB0033844</t>
  </si>
  <si>
    <t>C08591</t>
  </si>
  <si>
    <t>5281235</t>
  </si>
  <si>
    <t>JHFAETDERBWUOO-ARKAXQQOSA-N</t>
  </si>
  <si>
    <t>C[C@@]12[C@](CCC3C2CC[C@@]4(C)C3CC[C@@H]4OS(=O)(O)=O)([H])C[C@@H](OS(=O)(O)=O)CC1</t>
  </si>
  <si>
    <t>5alpha-androstan-3beta,17beta-diol disulfate</t>
  </si>
  <si>
    <t>571-20-0</t>
  </si>
  <si>
    <t>HMDB00493</t>
  </si>
  <si>
    <t>C12525</t>
  </si>
  <si>
    <t>90186325</t>
  </si>
  <si>
    <t>Progestin Steroids</t>
  </si>
  <si>
    <t>LSQGWMYMIHQKSA-VNCHAANSSA-N</t>
  </si>
  <si>
    <t>C[C@@]12[C@](CCC3C2CC[C@@]4(C)C3CCC4C(OS(=O)(O)=O)C)([H])C[C@@H](OS(=O)(O)=O)CC1</t>
  </si>
  <si>
    <t>5alpha-pregnan-3beta,20alpha-diol disulfate</t>
  </si>
  <si>
    <t>HMDB0094650</t>
  </si>
  <si>
    <t>118703093</t>
  </si>
  <si>
    <t>HCXZDHWUVRQLGC-UHFFFAOYSA-N</t>
  </si>
  <si>
    <t>O=S(OC1CCC2(C)C(CCC3C2CCC4(C)C3CCC4C(CCC(NCC(O)=O)=O)C)=C1)(O)=O</t>
  </si>
  <si>
    <t>glycocholenate sulfate*</t>
  </si>
  <si>
    <t>OEDITLKCLMKBOM-UHFFFAOYSA-N</t>
  </si>
  <si>
    <t>O=S(OC1CCC2(C)C(CCC3C2CCC4(C)C3CCC4C(CCC(NCCS(=O)(O)=O)=O)C)=C1)(O)=O</t>
  </si>
  <si>
    <t>taurocholenate sulfate*</t>
  </si>
  <si>
    <t>UWPTUYJASNIIJM-QJIZPQHZSA-N</t>
  </si>
  <si>
    <t>C[C@@]12C(CCC3C2CC[C@@]4(C)C3CC[C@@H]4OS(=O)(O)=O)=C[C@@H](OS(=O)(O)=O)CC1</t>
  </si>
  <si>
    <t>androstenediol (3beta,17beta) disulfate (1)</t>
  </si>
  <si>
    <t>HMDB0240313</t>
  </si>
  <si>
    <t>C04295</t>
  </si>
  <si>
    <t>87120982</t>
  </si>
  <si>
    <t>Pregnenolone Steroids</t>
  </si>
  <si>
    <t>RKYCGXFEFAPXIP-BWUXAKENSA-N</t>
  </si>
  <si>
    <t>C[C@@]12C(CCC3C2CC[C@@]4(C)C3CCC4C(OS(=O)(O)=O)C)=CC(OS(=O)(O)=O)CC1</t>
  </si>
  <si>
    <t>pregnenediol disulfate (C21H34O8S2)*</t>
  </si>
  <si>
    <t>pregnen-diol disulfate*</t>
  </si>
  <si>
    <t>C[C@]12C(CCC3C1CC[C@]4(C3CC[C@@H]4OS(=O)(O)=O)C)=C[C@H](CC2)OS(=O)(O)=O</t>
  </si>
  <si>
    <t>androstenediol (3beta,17beta) disulfate (2)</t>
  </si>
  <si>
    <t>CBOVWLYQUCVTFA-WGKOQXAXSA-N</t>
  </si>
  <si>
    <t>C[C@@]1([C@H]2[C@@](COS(=O)(O)=O)=O)[C@](CC2)([H])[C@@](CC=C3[C@@]4(CC[C@H](OS(=O)(O)=O)C3)C)([H])[C@@]4([H])CC1</t>
  </si>
  <si>
    <t>21-hydroxypregnenolone disulfate</t>
  </si>
  <si>
    <t>1164-98-3</t>
  </si>
  <si>
    <t>118625</t>
  </si>
  <si>
    <t>134595</t>
  </si>
  <si>
    <t>LERFMBCTNMFXCT-SKIFDASYSA-N</t>
  </si>
  <si>
    <t>O[C@H]1C2(C)C(CC1)C(CCC3C4(C)CC[C@@H](OS(=O)(O)=O)C3)C4CC2</t>
  </si>
  <si>
    <t>5alpha-androstan-3alpha,17alpha-diol monosulfate</t>
  </si>
  <si>
    <t>HMDB0000412</t>
  </si>
  <si>
    <t>NOGKXXMAHGCQBS-VNCHAANSSA-N</t>
  </si>
  <si>
    <t>O[C@H]1CC[C@@]2(C)[C@](CCC3C2CC[C@@]4(C)C3CCC4C(C)OS(=O)(O)=O)([H])C1</t>
  </si>
  <si>
    <t>5alpha-pregnan-3beta,20beta-diol monosulfate (1)</t>
  </si>
  <si>
    <t>HMDB0240580</t>
  </si>
  <si>
    <t>ZIVKBPVUJZDVBI-MHACIFFSSA-N</t>
  </si>
  <si>
    <t>C[C@@]12[C@](CCC3C2CC[C@@]4(C)C3CCC4[C@](C)([H])O)([H])C[C@@H](OS(=O)(O)=O)CC1</t>
  </si>
  <si>
    <t>5alpha-pregnan-3beta,20alpha-diol monosulfate (2)</t>
  </si>
  <si>
    <t>LSQGWMYMIHQKSA-UHFFFAOYSA-N</t>
  </si>
  <si>
    <t>CC(OS(=O)(O)=O)C1CCC2C3CCC4CC(OS(=O)(O)=O)CCC4(C)C3CCC21C</t>
  </si>
  <si>
    <t>5alpha-pregnan-diol disulfate</t>
  </si>
  <si>
    <t>4302261</t>
  </si>
  <si>
    <t>HMDB0240581,HMDB0240582</t>
  </si>
  <si>
    <t>3082277,5127902</t>
  </si>
  <si>
    <t>JHFAETDERBWUOO-ILBJSTGGSA-N</t>
  </si>
  <si>
    <t>C[C@@]12[C@](CCC3C2CC[C@@]4(C)C3CC[C@@H]4OS(=O)(O)=O)([H])C[C@H](OS(=O)(O)=O)CC1</t>
  </si>
  <si>
    <t>5alpha-androstan-3alpha,17beta-diol disulfate</t>
  </si>
  <si>
    <t>HMDB0094682</t>
  </si>
  <si>
    <t>56639109</t>
  </si>
  <si>
    <t>LERFMBCTNMFXCT-ILBJSTGGSA-N</t>
  </si>
  <si>
    <t>C[C@@]12[C@](CCC3C2CC[C@@]4(C)C3CC[C@@H]4O)([H])C[C@H](OS(=O)(O)=O)CC1</t>
  </si>
  <si>
    <t>5alpha-androstan-3alpha,17beta-diol monosulfate (1)</t>
  </si>
  <si>
    <t>121596226,121596225</t>
  </si>
  <si>
    <t>JHFAETDERBWUOO-ILSMVHKQSA-N</t>
  </si>
  <si>
    <t>O=S(O[C@@H]1CCC2C3CC[C@@]4([H])C[C@@H](OS(=O)(O)=O)CC[C@]4(C)C3CC[C@@]21C)(O)=O</t>
  </si>
  <si>
    <t>5alpha-androstan-3beta,17alpha-diol disulfate</t>
  </si>
  <si>
    <t>KWYNDVHEQWYGIL-ARKAXQQOSA-N</t>
  </si>
  <si>
    <t>O[C@H]1CC[C@@]2(C)[C@](CCC3C2CC[C@@]4(C)C3CC[C@@H]4OS(=O)(O)=O)([H])C1</t>
  </si>
  <si>
    <t>5alpha-androstan-3beta,17beta-diol monosulfate (2)</t>
  </si>
  <si>
    <t>VPDALJSLCNNODJ-BVKUPEMCSA-N</t>
  </si>
  <si>
    <t>O[C@@H]1CCC2C3CCC4=C[C@H](OS(=O)(O)=O)CC[C@]4(C)C3CC[C@@]21C</t>
  </si>
  <si>
    <t>androstenediol (3alpha, 17alpha) monosulfate (2)</t>
  </si>
  <si>
    <t>VPDALJSLCNNODJ-IUIQAQCZSA-N</t>
  </si>
  <si>
    <t>O[C@@H]1CCC2C3CCC4=CC(OS(=O)(O)=O)CC[C@]4(C)C3CC[C@@]21C</t>
  </si>
  <si>
    <t>androstenediol (3alpha, 17alpha) monosulfate (3)</t>
  </si>
  <si>
    <t>VPDALJSLCNNODJ-QJIZPQHZSA-N</t>
  </si>
  <si>
    <t>O[C@H]1CCC2C3CCC4=C[C@@H](OS(=O)(O)=O)CC[C@]4(C)C3CC[C@@]21C</t>
  </si>
  <si>
    <t>androstenediol (3beta,17beta) monosulfate (1)</t>
  </si>
  <si>
    <t>521-17-5</t>
  </si>
  <si>
    <t>HMDB0240429</t>
  </si>
  <si>
    <t>129670631,13847309</t>
  </si>
  <si>
    <t>KMTOEENORMWLCF-QJIZPQHZSA-N</t>
  </si>
  <si>
    <t>O[C@H]1CC[C@@]2(C)C(CCC3C2CC[C@@]4(C)C3CC[C@@H]4OS(=O)(O)=O)=C1</t>
  </si>
  <si>
    <t>androstenediol (3beta,17beta) monosulfate (2)</t>
  </si>
  <si>
    <t>HMDB0240429,HMDB0186954</t>
  </si>
  <si>
    <t>MENQCIVHHONJLU-PSLKZVIBSA-N</t>
  </si>
  <si>
    <t>C[C@@]12C(CCC2C(C)=O)C3CC[C@@]4([H])C[C@@H](OS(=O)(O)=O)CC[C@]4(C)C3CC1</t>
  </si>
  <si>
    <t>5alpha-pregnan-3beta-ol,20-one sulfate</t>
  </si>
  <si>
    <t>7730-00-9</t>
  </si>
  <si>
    <t>Drug - Cardiovascular</t>
  </si>
  <si>
    <t>VXIXUWQIVKSKSA-UHFFFAOYSA-N</t>
  </si>
  <si>
    <t>OC(C1=CC=CC=C1O2)=CC2=O</t>
  </si>
  <si>
    <t>4-hydroxycoumarin</t>
  </si>
  <si>
    <t>1076-38-6</t>
  </si>
  <si>
    <t>10254753</t>
  </si>
  <si>
    <t>C20414</t>
  </si>
  <si>
    <t>54682930</t>
  </si>
  <si>
    <t>MENQCIVHHONJLU-UHFFFAOYSA-N</t>
  </si>
  <si>
    <t>CC(C1CCC2C3CCC4CC(OS(O)(=O)=O)CCC4(C3CCC12C)C)=O</t>
  </si>
  <si>
    <t>pregnenediol sulfate (C21H34O5S)*</t>
  </si>
  <si>
    <t>1247-64-9</t>
  </si>
  <si>
    <t>13465233</t>
  </si>
  <si>
    <t>HMDB0000774</t>
  </si>
  <si>
    <t>C18044</t>
  </si>
  <si>
    <t>105074</t>
  </si>
  <si>
    <t>HWXBTNAVRSUOJR-UHFFFAOYSA-N</t>
  </si>
  <si>
    <t>O=C(O)CCC(O)C(O)=O</t>
  </si>
  <si>
    <t>2-hydroxyglutarate</t>
  </si>
  <si>
    <t>40951-21-1</t>
  </si>
  <si>
    <t>42</t>
  </si>
  <si>
    <t>HMDB0059655</t>
  </si>
  <si>
    <t>C02630</t>
  </si>
  <si>
    <t>43</t>
  </si>
  <si>
    <t>VMJQLPNCUPGMNQ-UHFFFAOYSA-N</t>
  </si>
  <si>
    <t>OC1=C(C)C(C)=C(OC(C)(CCC(O)=O)CC2)C2=C1</t>
  </si>
  <si>
    <t>gamma-CEHC</t>
  </si>
  <si>
    <t>178167-75-4</t>
  </si>
  <si>
    <t>117455</t>
  </si>
  <si>
    <t>HMDB0001931</t>
  </si>
  <si>
    <t>133098</t>
  </si>
  <si>
    <t>LJLLAWRMBZNPMO-UHFFFAOYSA-N</t>
  </si>
  <si>
    <t>CC(NCCC(O)=O)=O</t>
  </si>
  <si>
    <t>N-acetyl-beta-alanine</t>
  </si>
  <si>
    <t>3025-95-4</t>
  </si>
  <si>
    <t>68881</t>
  </si>
  <si>
    <t>HMDB0061880</t>
  </si>
  <si>
    <t>C01073</t>
  </si>
  <si>
    <t>76406</t>
  </si>
  <si>
    <t>OLVVOVIFTBSBBH-UHFFFAOYSA-N</t>
  </si>
  <si>
    <t>OC1C(O)C(O)C(CSC)O1</t>
  </si>
  <si>
    <t>5-methylthioribose**</t>
  </si>
  <si>
    <t>23656-67-9</t>
  </si>
  <si>
    <t>480</t>
  </si>
  <si>
    <t>HMDB0001087</t>
  </si>
  <si>
    <t>6419710</t>
  </si>
  <si>
    <t>NBEADXWAAWCCDG-QDDWGVBQSA-N</t>
  </si>
  <si>
    <t>O=C(CCCCCCC/C=C\CCCCCCCC)N[C@@](COP([O-])(OCC[N+](C)(C)C)=O)([C@](O)(/C=C/CCCCCCCCCCCCC)[H])[H]</t>
  </si>
  <si>
    <t>sphingomyelin (d18:1/18:1, d18:2/18:0)</t>
  </si>
  <si>
    <t>108392-10-5</t>
  </si>
  <si>
    <t>4947837</t>
  </si>
  <si>
    <t>HMDB0012101</t>
  </si>
  <si>
    <t>6443882</t>
  </si>
  <si>
    <t>RWKUXQNLWDTSLO-GWQJGLRPSA-N</t>
  </si>
  <si>
    <t>CCCCCCCCCCCCCCCC(N[C@@](COP([O-])(OCC[N+](C)(C)C)=O)([C@](O)(/C=C/CCCCCCCCCCCCC)[H])[H])=O</t>
  </si>
  <si>
    <t>palmitoyl sphingomyelin (d18:1/16:0)</t>
  </si>
  <si>
    <t>6254-89-3</t>
  </si>
  <si>
    <t>8115562</t>
  </si>
  <si>
    <t>HMDB0010169</t>
  </si>
  <si>
    <t>9939941</t>
  </si>
  <si>
    <t>ADVPTQAUNPRNPO-UHFFFAOYSA-N</t>
  </si>
  <si>
    <t>O=C(C(CS(O)=O)N)O</t>
  </si>
  <si>
    <t>cysteine sulfinic acid</t>
  </si>
  <si>
    <t>207121-48-0</t>
  </si>
  <si>
    <t>HMDB0000996</t>
  </si>
  <si>
    <t>C00606</t>
  </si>
  <si>
    <t>XDOFWFNMYJRHEW-UHFFFAOYSA-N</t>
  </si>
  <si>
    <t>O=C(C1=CC=CC(O)=C1)NCC(O)=O</t>
  </si>
  <si>
    <t>3-hydroxyhippurate</t>
  </si>
  <si>
    <t>1637-75-8</t>
  </si>
  <si>
    <t>396603</t>
  </si>
  <si>
    <t>HMDB0006116</t>
  </si>
  <si>
    <t>450268</t>
  </si>
  <si>
    <t>ALBNSVAJDFJRKQ-UAFBDMIJSA-N</t>
  </si>
  <si>
    <t>O=C1[C@H](O)CC2C3CC=C4C[C@@H](OS(=O)(O)=O)CC[C@]4(C)C3CC[C@@]21C</t>
  </si>
  <si>
    <t>16alpha-hydroxy DHEA 3-sulfate</t>
  </si>
  <si>
    <t>HMDB0062544</t>
  </si>
  <si>
    <t>20848950</t>
  </si>
  <si>
    <t>OMOKWYAQVYBHMG-QUPIPBJSSA-N</t>
  </si>
  <si>
    <t>O=[C@@](C)[C@@]1(O)CC[C@@]2([H])[C@]3([H])CC=C4CC(OS(=O)(O)=O)CC[C@]4(C)[C@@]3([H])CC[C@]12C</t>
  </si>
  <si>
    <t>17alpha-hydroxypregnenolone 3-sulfate</t>
  </si>
  <si>
    <t>28901-70-4</t>
  </si>
  <si>
    <t>134824</t>
  </si>
  <si>
    <t>HMDB00416</t>
  </si>
  <si>
    <t>152971</t>
  </si>
  <si>
    <t>DIJBBUIOWGGQOP-QGVNFLHTSA-N</t>
  </si>
  <si>
    <t>C[C@]12CC[C@H](OS(=O)(O)=O)CC1=CC[C@@]3([H])[C@]4([H])CC[C@H]([C@](C)=O)[C@](C)4CC[C@]23[H]</t>
  </si>
  <si>
    <t>pregnenolone sulfate</t>
  </si>
  <si>
    <t>94802</t>
  </si>
  <si>
    <t>KGIJOOYOSFUGPC-XTDASVJISA-N</t>
  </si>
  <si>
    <t>OC(CCCC(O)/C=C/C=C\C/C=C\C/C=C\CCCCC)=O</t>
  </si>
  <si>
    <t>5-HETE</t>
  </si>
  <si>
    <t>73307-52-5</t>
  </si>
  <si>
    <t>8038582</t>
  </si>
  <si>
    <t>HMDB0011134</t>
  </si>
  <si>
    <t>C04805</t>
  </si>
  <si>
    <t>5280733</t>
  </si>
  <si>
    <t>UNURIUSTYBXRLV-UHFFFAOYSA-N</t>
  </si>
  <si>
    <t>CC12CCC(O)CC1=CCC3C2CCC4(C)C3CC(OS(=O)(O)=O)C4=O</t>
  </si>
  <si>
    <t>andro steroid monosulfate C19H28O6S (1)*</t>
  </si>
  <si>
    <t>SSISHJJTAXXQAX-UHFFFAOYSA-N</t>
  </si>
  <si>
    <t>S=C1NC(CC(C([O-])=O)[N+](C)(C)C)=CN1</t>
  </si>
  <si>
    <t>ergothioneine</t>
  </si>
  <si>
    <t>58511-63-0</t>
  </si>
  <si>
    <t>2297320</t>
  </si>
  <si>
    <t>HMDB0003045</t>
  </si>
  <si>
    <t>C05570</t>
  </si>
  <si>
    <t>5351619</t>
  </si>
  <si>
    <t>ZNHVWPKMFKADKW-VXBMJZGYSA-N</t>
  </si>
  <si>
    <t>OC(CCC/C=C\C\C=C/C=C/C(C/C=C\CCCCC)O)=O</t>
  </si>
  <si>
    <t>12-HETE</t>
  </si>
  <si>
    <t>73837-14-6,71030-37-0</t>
  </si>
  <si>
    <t>21509475</t>
  </si>
  <si>
    <t>HMDB0006111</t>
  </si>
  <si>
    <t>C14777</t>
  </si>
  <si>
    <t>5283155</t>
  </si>
  <si>
    <t>YDBYJHTYSHBBAU-UHFFFAOYSA-N</t>
  </si>
  <si>
    <t>NC(CC[S+](C)C)C([O-])=O</t>
  </si>
  <si>
    <t>S-methylmethionine</t>
  </si>
  <si>
    <t>3493-12-7</t>
  </si>
  <si>
    <t>8351775</t>
  </si>
  <si>
    <t>HMDB0038670</t>
  </si>
  <si>
    <t>C05319</t>
  </si>
  <si>
    <t>458</t>
  </si>
  <si>
    <t>KMAKOBLIOCQGJP-UHFFFAOYSA-N</t>
  </si>
  <si>
    <t>O=C(C1=CNC2=C1C=CC=C2)O</t>
  </si>
  <si>
    <t>indole-3-carboxylate</t>
  </si>
  <si>
    <t>771-50-6</t>
  </si>
  <si>
    <t>HMDB0003320</t>
  </si>
  <si>
    <t>C19837</t>
  </si>
  <si>
    <t>69867</t>
  </si>
  <si>
    <t>HNICUWMFWZBIFP-IRQZEAMPSA-N</t>
  </si>
  <si>
    <t>OC(CCCCCCC/C=C\C=C\[C@H](CCCCC)O)=O</t>
  </si>
  <si>
    <t>13-HODE + 9-HODE</t>
  </si>
  <si>
    <t>HMDB0004670,HMDB0004667</t>
  </si>
  <si>
    <t>C14767,C14762</t>
  </si>
  <si>
    <t>5312830,5282945,1424,5282947,5282944</t>
  </si>
  <si>
    <t>LGDMAFABHAIORE-DUXPYHPUSA-N</t>
  </si>
  <si>
    <t>O=C(O)CCCCCC/C=C/CCCC(O)=O</t>
  </si>
  <si>
    <t>tridecenedioate (C13:1-DC)*</t>
  </si>
  <si>
    <t>FKTXRTPBUWLETL-UHFFFAOYSA-N</t>
  </si>
  <si>
    <t>O=C(O)C(NC(C)=O)CC1=CN=CN1C</t>
  </si>
  <si>
    <t>N-acetyl-3-methylhistidine*</t>
  </si>
  <si>
    <t>37841-04-6</t>
  </si>
  <si>
    <t>19993498</t>
  </si>
  <si>
    <t>HMDB0240341</t>
  </si>
  <si>
    <t>193270</t>
  </si>
  <si>
    <t>AXODOWFEFKOVSH-UHFFFAOYSA-N</t>
  </si>
  <si>
    <t>OC1=C(C)C(C)=C(OC(C)(CCC(O)=O)CC2)C2=C1C</t>
  </si>
  <si>
    <t>alpha-CEHC</t>
  </si>
  <si>
    <t>4072-32-6</t>
  </si>
  <si>
    <t>8119154</t>
  </si>
  <si>
    <t>HMDB0001518</t>
  </si>
  <si>
    <t>9943542</t>
  </si>
  <si>
    <t>NYOXRYYXRWJDKP-UHFFFAOYSA-N</t>
  </si>
  <si>
    <t>CC12C(CCC3C2CCC4(C)C3CCC4C(CCCC(C)C)C)=CC(CC1)=O</t>
  </si>
  <si>
    <t>4-cholesten-3-one</t>
  </si>
  <si>
    <t>601-57-0</t>
  </si>
  <si>
    <t>427</t>
  </si>
  <si>
    <t>HMDB0000921</t>
  </si>
  <si>
    <t>C00599</t>
  </si>
  <si>
    <t>91477</t>
  </si>
  <si>
    <t>YAADMLWHGMUGQL-VOTSOKGWSA-N</t>
  </si>
  <si>
    <t>O=C(NCC(O)=O)/C=C/C1=CC=CC=C1</t>
  </si>
  <si>
    <t>cinnamoylglycine</t>
  </si>
  <si>
    <t>16534-24-0</t>
  </si>
  <si>
    <t>618829</t>
  </si>
  <si>
    <t>HMDB0011621</t>
  </si>
  <si>
    <t>709625</t>
  </si>
  <si>
    <t>OTGQIQQTPXJQRG-UHFFFAOYSA-N</t>
  </si>
  <si>
    <t>OCCNC(CCCCCCCCCCCCCCCCC)=O</t>
  </si>
  <si>
    <t>stearoyl ethanolamide</t>
  </si>
  <si>
    <t>111-57-9</t>
  </si>
  <si>
    <t>25958</t>
  </si>
  <si>
    <t>HMDB0013078</t>
  </si>
  <si>
    <t>27902</t>
  </si>
  <si>
    <t>OQWOHRPOYAVIOK-KTKRTIGZSA-N</t>
  </si>
  <si>
    <t>O=C([O-])CC(OC(CC/C=C\CCCCC)=O)C[N+](C)(C)C</t>
  </si>
  <si>
    <t>cis-4-decenoylcarnitine (C10:1)</t>
  </si>
  <si>
    <t>98930-66-6</t>
  </si>
  <si>
    <t>28639171</t>
  </si>
  <si>
    <t>HMDB0013205</t>
  </si>
  <si>
    <t>57357170</t>
  </si>
  <si>
    <t>LOUGYXZSURQALL-GBXIJSLDSA-N</t>
  </si>
  <si>
    <t>C[C@@H](O)[C@H](O)C(O)=O</t>
  </si>
  <si>
    <t>2S,3R-dihydroxybutyrate</t>
  </si>
  <si>
    <t>5057-93-2</t>
  </si>
  <si>
    <t>9139682</t>
  </si>
  <si>
    <t>HMDB0002453</t>
  </si>
  <si>
    <t>10964471</t>
  </si>
  <si>
    <t>ZRWWEEVEIOGMMT-UHFFFAOYSA-N</t>
  </si>
  <si>
    <t>O=C(N1C2=C(C3C(O3)C4=CC=CC=C14)C=CC=C2)N</t>
  </si>
  <si>
    <t>carbamazepine 10,11-epoxide</t>
  </si>
  <si>
    <t>36507-30-9</t>
  </si>
  <si>
    <t>2458</t>
  </si>
  <si>
    <t>HMDB0060658</t>
  </si>
  <si>
    <t>C07496</t>
  </si>
  <si>
    <t>2555</t>
  </si>
  <si>
    <t>VKZWFMGCAPKSML-UHFFFAOYSA-N</t>
  </si>
  <si>
    <t>O=C(N1C2=C(C=CC3=CC=CC=C13)C=CC=C2)NC4OC(C(O)=O)C(O)C(O)C4O</t>
  </si>
  <si>
    <t>carbamazepine glucuronide*</t>
  </si>
  <si>
    <t>83870</t>
  </si>
  <si>
    <t>Drug - Other</t>
  </si>
  <si>
    <t>GBFLZEXEOZUWRN-UHFFFAOYSA-N</t>
  </si>
  <si>
    <t>OC(CSCC(N)C(O)=O)=O</t>
  </si>
  <si>
    <t>S-carboxymethyl-cysteine</t>
  </si>
  <si>
    <t>638-23-3</t>
  </si>
  <si>
    <t>1050</t>
  </si>
  <si>
    <t>HMDB0029415</t>
  </si>
  <si>
    <t>C03727</t>
  </si>
  <si>
    <t>193653</t>
  </si>
  <si>
    <t>YETXGSGCWODRAA-UHFFFAOYSA-N</t>
  </si>
  <si>
    <t>OC(CCCCCCCCCCCCCCCC(C)C)=O</t>
  </si>
  <si>
    <t>(16 or 17)-methylstearate (a19:0 or i19:0)</t>
  </si>
  <si>
    <t>2724-59-6</t>
  </si>
  <si>
    <t>2340933</t>
  </si>
  <si>
    <t>HMDB0037397</t>
  </si>
  <si>
    <t>3083779</t>
  </si>
  <si>
    <t>LOUGYXZSURQALL-PWNYCUMCSA-N</t>
  </si>
  <si>
    <t>OC([C@H](O)[C@H](O)C)=O</t>
  </si>
  <si>
    <t>2R,3R-dihydroxybutyrate</t>
  </si>
  <si>
    <t>759-06-8</t>
  </si>
  <si>
    <t>17215960</t>
  </si>
  <si>
    <t>HMDB0000498</t>
  </si>
  <si>
    <t>13120901</t>
  </si>
  <si>
    <t>JOXIMZWYDAKGHI-UHFFFAOYSA-N</t>
  </si>
  <si>
    <t>CC1=CC=C(S(O)(=O)=O)C=C1</t>
  </si>
  <si>
    <t>4-methylbenzenesulfonate</t>
  </si>
  <si>
    <t>104-15-4</t>
  </si>
  <si>
    <t>5876</t>
  </si>
  <si>
    <t>HMDB0059933</t>
  </si>
  <si>
    <t>C06677</t>
  </si>
  <si>
    <t>85570</t>
  </si>
  <si>
    <t>SJJCQDRGABAVBB-UHFFFAOYSA-N</t>
  </si>
  <si>
    <t>OC1=C(C(O)=O)C=CC2=C1C=CC=C2</t>
  </si>
  <si>
    <t>1-hydroxy-2-naphthalenecarboxylate</t>
  </si>
  <si>
    <t>86-48-6</t>
  </si>
  <si>
    <t>6583</t>
  </si>
  <si>
    <t>C03203</t>
  </si>
  <si>
    <t>54675865</t>
  </si>
  <si>
    <t>COJBGNAUUSNXHX-UHFFFAOYSA-N</t>
  </si>
  <si>
    <t>NC(CCC(C(O)=O)=O)=O</t>
  </si>
  <si>
    <t>alpha-ketoglutaramate*</t>
  </si>
  <si>
    <t>18465-19-5</t>
  </si>
  <si>
    <t>HMDB0001552</t>
  </si>
  <si>
    <t>C00940</t>
  </si>
  <si>
    <t>XZWYZXLIPXDOLR-UHFFFAOYSA-N</t>
  </si>
  <si>
    <t>N=C(N(C)C)NC(N)=N</t>
  </si>
  <si>
    <t>metformin</t>
  </si>
  <si>
    <t>1115-70-4</t>
  </si>
  <si>
    <t>3949</t>
  </si>
  <si>
    <t>HMDB0001921</t>
  </si>
  <si>
    <t>C07151</t>
  </si>
  <si>
    <t>4091</t>
  </si>
  <si>
    <t>ABOLXXZAJIAUGR-JPMMFUSZSA-N</t>
  </si>
  <si>
    <t>CC(C)CC1=CC=C(C(C(O[C@H]2[C@H](O)[C@@H](O)[C@H](O)[C@@H]([C@](O)=O)O2)=O)C)C=C1</t>
  </si>
  <si>
    <t>ibuprofen acyl glucuronide</t>
  </si>
  <si>
    <t>115075-59-7</t>
  </si>
  <si>
    <t>143793</t>
  </si>
  <si>
    <t>HMDB0010343</t>
  </si>
  <si>
    <t>163959</t>
  </si>
  <si>
    <t>Drug - Antibiotic</t>
  </si>
  <si>
    <t>BSRUJCFCZKMFMB-YGHPHNMRSA-N</t>
  </si>
  <si>
    <t>COC1=CC=C(N=CC=C2[C@H]([C@]3(N(C[C@@]4(C=C)O)CC[C@@]4([H])C3)[H])O)C2=C1</t>
  </si>
  <si>
    <t>3-hydroxyquinine</t>
  </si>
  <si>
    <t>78549-61-8</t>
  </si>
  <si>
    <t>138373</t>
  </si>
  <si>
    <t>HMDB0001091</t>
  </si>
  <si>
    <t>C07344</t>
  </si>
  <si>
    <t>157225</t>
  </si>
  <si>
    <t>JTEYKUFKXGDTEU-UHFFFAOYSA-N</t>
  </si>
  <si>
    <t>OC(C(O)C(C)(O)C)=O</t>
  </si>
  <si>
    <t>2,3-dihydroxyisovalerate</t>
  </si>
  <si>
    <t>1756-18-9</t>
  </si>
  <si>
    <t>657</t>
  </si>
  <si>
    <t>HMDB0012141</t>
  </si>
  <si>
    <t>C04039</t>
  </si>
  <si>
    <t>677</t>
  </si>
  <si>
    <t>KFQUAMTWOJHPEJ-DAGMQNCNSA-N</t>
  </si>
  <si>
    <t>O[C@@H]1[C@@H](CO)O[C@@H](N2C(N=CN=C3O)=C3C=N2)[C@@H]1O</t>
  </si>
  <si>
    <t>allopurinol riboside</t>
  </si>
  <si>
    <t>16220-07-8</t>
  </si>
  <si>
    <t>HMDB0000481</t>
  </si>
  <si>
    <t>135407110</t>
  </si>
  <si>
    <t>WKRBKYFIJPGYQC-DUXPYHPUSA-N</t>
  </si>
  <si>
    <t>OC(C/C(C)=C/C(O)=O)=O</t>
  </si>
  <si>
    <t>3-methylglutaconate</t>
  </si>
  <si>
    <t>5746-90-7</t>
  </si>
  <si>
    <t>1267861</t>
  </si>
  <si>
    <t>HMDB0000522</t>
  </si>
  <si>
    <t>1551553</t>
  </si>
  <si>
    <t>OWGKYELXGFKIHH-MYLOADSESA-N</t>
  </si>
  <si>
    <t>O[C@@H]1[C@@H](O)[C@@H](O)[C@@H](CO)OC1OC(CCC(N)C(O)=O)CN</t>
  </si>
  <si>
    <t>5-(galactosylhydroxy)-lysine</t>
  </si>
  <si>
    <t>32448-36-5</t>
  </si>
  <si>
    <t>66995551</t>
  </si>
  <si>
    <t>ZHRLECIZINSPKL-AKGZTFGVSA-N</t>
  </si>
  <si>
    <t>OC(CNC(C(N)CSSC[C@@H](C(O)=O)N)=O)=O</t>
  </si>
  <si>
    <t>cysteinylglycine disulfide*</t>
  </si>
  <si>
    <t>70555-24-7</t>
  </si>
  <si>
    <t>17215992</t>
  </si>
  <si>
    <t>HMDB0000709</t>
  </si>
  <si>
    <t>22833544</t>
  </si>
  <si>
    <t>RUDATBOHQWOJDD-DNMBCGTGSA-N</t>
  </si>
  <si>
    <t>O=C(O)CC[C@@H](C)[C@H]1CC[C@@]2([H])[C@]3([H])[C@@H](O)C[C@]4([H])C[C@@H](O)CC[C@]4(C)[C@@]3([H])CC[C@@]21C</t>
  </si>
  <si>
    <t>isoursodeoxycholate</t>
  </si>
  <si>
    <t>78919-26-3</t>
  </si>
  <si>
    <t>113205</t>
  </si>
  <si>
    <t>HMDB0000686</t>
  </si>
  <si>
    <t>C17662</t>
  </si>
  <si>
    <t>127601</t>
  </si>
  <si>
    <t>HXNFUBHNUDHIGC-UHFFFAOYSA-N</t>
  </si>
  <si>
    <t>O=C(N1)NC2=C(C=NN2)C1=O</t>
  </si>
  <si>
    <t>oxypurinol</t>
  </si>
  <si>
    <t>2465-59-0</t>
  </si>
  <si>
    <t>4483</t>
  </si>
  <si>
    <t>HMDB0000786</t>
  </si>
  <si>
    <t>D02365</t>
  </si>
  <si>
    <t>135398752</t>
  </si>
  <si>
    <t>NRXIKWMTVXPVEF-BYPYZUCNSA-N</t>
  </si>
  <si>
    <t>OC([C@@H](NC=N)CCC(O)=O)=O</t>
  </si>
  <si>
    <t>formiminoglutamate</t>
  </si>
  <si>
    <t>816-90-0</t>
  </si>
  <si>
    <t>388370</t>
  </si>
  <si>
    <t>HMDB0000854</t>
  </si>
  <si>
    <t>C00439</t>
  </si>
  <si>
    <t>439233</t>
  </si>
  <si>
    <t>VWFWNXQAMGDPGG-UHFFFAOYSA-N</t>
  </si>
  <si>
    <t>O=C1NC(C(CCC(O)=O)N1)=O</t>
  </si>
  <si>
    <t>hydantoin-5-propionate</t>
  </si>
  <si>
    <t>5624-26-0</t>
  </si>
  <si>
    <t>761</t>
  </si>
  <si>
    <t>HMDB0001212</t>
  </si>
  <si>
    <t>C05565</t>
  </si>
  <si>
    <t>782</t>
  </si>
  <si>
    <t>QAOWNCQODCNURD-UHFFFAOYSA-N</t>
  </si>
  <si>
    <t>OS(O)(=O)=O</t>
  </si>
  <si>
    <t>sulfate*</t>
  </si>
  <si>
    <t>14808-79-8</t>
  </si>
  <si>
    <t>1086</t>
  </si>
  <si>
    <t>HMDB01448</t>
  </si>
  <si>
    <t>C00059</t>
  </si>
  <si>
    <t>5152822</t>
  </si>
  <si>
    <t>HBDWQSHEVMSFGY-SCQFTWEKSA-N</t>
  </si>
  <si>
    <t>OC(C(O)=O)C[C@@H](C(O)=O)N</t>
  </si>
  <si>
    <t>4-hydroxyglutamate</t>
  </si>
  <si>
    <t>2485-33-8</t>
  </si>
  <si>
    <t>388936</t>
  </si>
  <si>
    <t>HMDB0001344</t>
  </si>
  <si>
    <t>C03079</t>
  </si>
  <si>
    <t>439902</t>
  </si>
  <si>
    <t>TYOWQSLRVAUSMI-WKULSOCRSA-N</t>
  </si>
  <si>
    <t>OC(CCC1=C(C(CC(C(C2C)CC)NC2=O)=N/C1=C/C(NC(CC(C(C3CC)C)NC3=O)=C4C)=C4CCC(O)=O)C)=O</t>
  </si>
  <si>
    <t>L-urobilin</t>
  </si>
  <si>
    <t>34217-90-8</t>
  </si>
  <si>
    <t>4444369</t>
  </si>
  <si>
    <t>HMDB0240259</t>
  </si>
  <si>
    <t>C05793</t>
  </si>
  <si>
    <t>5280818</t>
  </si>
  <si>
    <t>OTOIIPJYVQJATP-BYPYZUCNSA-N</t>
  </si>
  <si>
    <t>OC([C@H](O)C(C)(C)CO)=O</t>
  </si>
  <si>
    <t>pantoate</t>
  </si>
  <si>
    <t>470-29-1</t>
  </si>
  <si>
    <t>388387</t>
  </si>
  <si>
    <t>HMDB0240389</t>
  </si>
  <si>
    <t>C00522</t>
  </si>
  <si>
    <t>5289105</t>
  </si>
  <si>
    <t>XOKCJXZZNAUIQN-IENPIDJESA-N</t>
  </si>
  <si>
    <t>O=C1N(C)[C@H]([C@]2=CN=CC=C2)CC1O</t>
  </si>
  <si>
    <t>hydroxycotinine</t>
  </si>
  <si>
    <t>34834-67-8</t>
  </si>
  <si>
    <t>8395266</t>
  </si>
  <si>
    <t>HMDB0001390</t>
  </si>
  <si>
    <t>107963</t>
  </si>
  <si>
    <t>Drug - Gastrointestinal</t>
  </si>
  <si>
    <t>SUBDBMMJDZJVOS-UHFFFAOYSA-N</t>
  </si>
  <si>
    <t>O=S(C1=NC2=C(C=C(C=C2)OC)N1)CC3=NC=C(C(OC)=C3C)C</t>
  </si>
  <si>
    <t>omeprazole</t>
  </si>
  <si>
    <t>73590-58-6</t>
  </si>
  <si>
    <t>4433</t>
  </si>
  <si>
    <t>HMDB0001913</t>
  </si>
  <si>
    <t>C07324</t>
  </si>
  <si>
    <t>4594</t>
  </si>
  <si>
    <t>METKIMKYRPQLGS-UHFFFAOYSA-N</t>
  </si>
  <si>
    <t>OC(COC1=CC=C(CC(N)=O)C=C1)CNC(C)C</t>
  </si>
  <si>
    <t>atenolol</t>
  </si>
  <si>
    <t>29122-68-7</t>
  </si>
  <si>
    <t>2162</t>
  </si>
  <si>
    <t>HMDB0001924</t>
  </si>
  <si>
    <t>D00235</t>
  </si>
  <si>
    <t>2249</t>
  </si>
  <si>
    <t>JZUFKLXOESDKRF-UHFFFAOYSA-N</t>
  </si>
  <si>
    <t>ClC1=C(C=C2S(=O)(NCNC2=C1)=O)S(=O)(N)=O</t>
  </si>
  <si>
    <t>hydrochlorothiazide</t>
  </si>
  <si>
    <t>58-93-5</t>
  </si>
  <si>
    <t>3513</t>
  </si>
  <si>
    <t>HMDB0001928</t>
  </si>
  <si>
    <t>C07041</t>
  </si>
  <si>
    <t>3639</t>
  </si>
  <si>
    <t>VMXUWOKSQNHOCA-UKTHLTGXSA-N</t>
  </si>
  <si>
    <t>[O-][N+](/C=C(NC)/NCCSCC1=CC=C(CN(C)C)O1)=O</t>
  </si>
  <si>
    <t>ranitidine</t>
  </si>
  <si>
    <t>66357-59-3</t>
  </si>
  <si>
    <t>2272523</t>
  </si>
  <si>
    <t>HMDB0001930</t>
  </si>
  <si>
    <t>D00422</t>
  </si>
  <si>
    <t>3001055</t>
  </si>
  <si>
    <t>IDIDJDIHTAOVLG-VKHMYHEASA-N</t>
  </si>
  <si>
    <t>OC([C@H](CSC)N)=O</t>
  </si>
  <si>
    <t>S-methylcysteine</t>
  </si>
  <si>
    <t>1187-84-4</t>
  </si>
  <si>
    <t>22826</t>
  </si>
  <si>
    <t>HMDB0002108</t>
  </si>
  <si>
    <t>24417,7058174,88180</t>
  </si>
  <si>
    <t>VFUIRAVTUVCQTF-BSOWLZGZSA-N</t>
  </si>
  <si>
    <t>O[C@H]1[C@H](O)[C@@H]([C@](O)=O)O[C@@H](O[C@@H]2CC[C@@]3(C)[C@](CC[C@]4([H])[C@]3([H])CC[C@@]5(C)[C@@]4([H])CCC5=O)([H])C2)[C@@H]1O</t>
  </si>
  <si>
    <t>androsterone glucuronide</t>
  </si>
  <si>
    <t>1852-43-3</t>
  </si>
  <si>
    <t>102793</t>
  </si>
  <si>
    <t>HMDB0002829</t>
  </si>
  <si>
    <t>C11135</t>
  </si>
  <si>
    <t>114833</t>
  </si>
  <si>
    <t>BMFMQGXDDJALKQ-BYPYZUCNSA-N</t>
  </si>
  <si>
    <t>N=C(N)NCCC[C@H](O)C(O)=O</t>
  </si>
  <si>
    <t>argininate*</t>
  </si>
  <si>
    <t>157-07-3</t>
  </si>
  <si>
    <t>140984</t>
  </si>
  <si>
    <t>HMDB0003148</t>
  </si>
  <si>
    <t>160437</t>
  </si>
  <si>
    <t>JVKYZPBMZPJNAJ-OQFNDJACSA-N</t>
  </si>
  <si>
    <t>O[C@H](C1)CC[C@@]2(C)C1=CC[C@]3([H])[C@]2([H])CC[C@@]4(C)[C@@]3([H])C[C@@]5([H])[C@]4([H])[C@H](C)[C@]6([H])N5C[C@@H](C)CC6</t>
  </si>
  <si>
    <t>solanidine</t>
  </si>
  <si>
    <t>80-78-4</t>
  </si>
  <si>
    <t>59150</t>
  </si>
  <si>
    <t>HMDB0003236</t>
  </si>
  <si>
    <t>C06543</t>
  </si>
  <si>
    <t>65727</t>
  </si>
  <si>
    <t>ARBHXJXXVVHMET-UHFFFAOYSA-N</t>
  </si>
  <si>
    <t>OC(C(CCC/N=C(N)/N)=O)=O</t>
  </si>
  <si>
    <t>2-oxoarginine*</t>
  </si>
  <si>
    <t>3715-10-4</t>
  </si>
  <si>
    <t>542</t>
  </si>
  <si>
    <t>HMDB0004225</t>
  </si>
  <si>
    <t>C03771</t>
  </si>
  <si>
    <t>558</t>
  </si>
  <si>
    <t>XKZKQTCECFWKBN-SREVYHEPSA-N</t>
  </si>
  <si>
    <t>OC(CC\C=C/CCCCC)=O</t>
  </si>
  <si>
    <t>cis-4-decenoate (10:1n6)*</t>
  </si>
  <si>
    <t>505-90-8</t>
  </si>
  <si>
    <t>4471776</t>
  </si>
  <si>
    <t>HMDB0004980</t>
  </si>
  <si>
    <t>5282726</t>
  </si>
  <si>
    <t>VGKDLMBJGBXTGI-SJCJKPOMSA-N</t>
  </si>
  <si>
    <t>ClC(C=[C@@](C=C1)[C@@H](C2=CC=CC=C32)CC[C@@H]3NC)=C1Cl</t>
  </si>
  <si>
    <t>sertraline</t>
  </si>
  <si>
    <t>79559-97-0</t>
  </si>
  <si>
    <t>61881</t>
  </si>
  <si>
    <t>HMDB0005010</t>
  </si>
  <si>
    <t>C07246</t>
  </si>
  <si>
    <t>68617</t>
  </si>
  <si>
    <t>UGJMXCAKCUNAIE-UHFFFAOYSA-N</t>
  </si>
  <si>
    <t>NCC1(CCCCC1)CC(O)=O</t>
  </si>
  <si>
    <t>gabapentin</t>
  </si>
  <si>
    <t>60142-96-3</t>
  </si>
  <si>
    <t>3328</t>
  </si>
  <si>
    <t>HMDB0005015</t>
  </si>
  <si>
    <t>D00332</t>
  </si>
  <si>
    <t>3446</t>
  </si>
  <si>
    <t>PNVNVHUZROJLTJ-UHFFFAOYSA-N</t>
  </si>
  <si>
    <t>COC1=CC=C(C(C2(CCCCC2)O)CN(C)C)C=C1</t>
  </si>
  <si>
    <t>venlafaxine</t>
  </si>
  <si>
    <t>93413-69-5</t>
  </si>
  <si>
    <t>5454</t>
  </si>
  <si>
    <t>HMDB0005016</t>
  </si>
  <si>
    <t>C07187</t>
  </si>
  <si>
    <t>5656</t>
  </si>
  <si>
    <t>IQPSEEYGBUAQFF-UHFFFAOYSA-N</t>
  </si>
  <si>
    <t>COC1=C(C(CS(C2=NC3=CC=C(C=C3N2)OC(F)F)=O)=NC=C1)OC</t>
  </si>
  <si>
    <t>pantoprazole</t>
  </si>
  <si>
    <t>102625-70-7</t>
  </si>
  <si>
    <t>4517</t>
  </si>
  <si>
    <t>HMDB0005017</t>
  </si>
  <si>
    <t>C11806</t>
  </si>
  <si>
    <t>4679</t>
  </si>
  <si>
    <t>URKOMYMAXPYINW-UHFFFAOYSA-N</t>
  </si>
  <si>
    <t>OCCOCCN1CCN(C2=NC3=CC=CC=C3SC4=CC=CC=C24)CC1</t>
  </si>
  <si>
    <t>quetiapine</t>
  </si>
  <si>
    <t>111974-69-7</t>
  </si>
  <si>
    <t>4827</t>
  </si>
  <si>
    <t>HMDB0005021</t>
  </si>
  <si>
    <t>D08456,DG00899,C07397</t>
  </si>
  <si>
    <t>5002</t>
  </si>
  <si>
    <t>IWJBVMJWSPZNJH-XWBUKDKVSA-N</t>
  </si>
  <si>
    <t>O[C@H]([C@H]1O)[C@@H]([C@@H]([C@](O)=O)OC1OCC)O</t>
  </si>
  <si>
    <t>ethyl glucuronide</t>
  </si>
  <si>
    <t>17685-04-0</t>
  </si>
  <si>
    <t>134174</t>
  </si>
  <si>
    <t>HMDB0010325</t>
  </si>
  <si>
    <t>18392195</t>
  </si>
  <si>
    <t>SKJMUADLQLZAGH-WJOKGBTCSA-N</t>
  </si>
  <si>
    <t>CCCCCCCCCCCCCCCCCCCCCCCC(OC[C@H](COP([O-])(OCC[N+](C)(C)C)=O)O)=O</t>
  </si>
  <si>
    <t>1-lignoceroyl-GPC (24:0)</t>
  </si>
  <si>
    <t>325171-59-3</t>
  </si>
  <si>
    <t>24766539</t>
  </si>
  <si>
    <t>HMDB0010405</t>
  </si>
  <si>
    <t>24779481</t>
  </si>
  <si>
    <t>Lysoplasmalogen</t>
  </si>
  <si>
    <t>HTZINLFNXLXRBC-CQLBIITFSA-N</t>
  </si>
  <si>
    <t>CCCCCCCCCCCCCC/C=C\OC[C@H](COP([O-])(OCC[N+](C)(C)C)=O)O</t>
  </si>
  <si>
    <t>1-(1-enyl-palmitoyl)-GPC (P-16:0)*</t>
  </si>
  <si>
    <t>9093054</t>
  </si>
  <si>
    <t>HMDB0010407</t>
  </si>
  <si>
    <t>10917802</t>
  </si>
  <si>
    <t>UJCGYTCAMOHYCG-UHFFFAOYSA-N</t>
  </si>
  <si>
    <t>O=C(O)CC1=CN=CN1C</t>
  </si>
  <si>
    <t>1-methyl-5-imidazoleacetate</t>
  </si>
  <si>
    <t>4200-48-0</t>
  </si>
  <si>
    <t>4954265</t>
  </si>
  <si>
    <t>HMDB04988</t>
  </si>
  <si>
    <t>6451814</t>
  </si>
  <si>
    <t>GHCZAUBVMUEKKP-XROMFQGDSA-N</t>
  </si>
  <si>
    <t>[H][C@]1([C@H](C)CCC(NCC(O)=O)=O)CC[C@@]2([H])[C@]3([H])[C@@H](O)C[C@]4([H])C[C@H](O)CC[C@]4(C)[C@@]3([H])CC[C@@]21C</t>
  </si>
  <si>
    <t>glycoursodeoxycholate</t>
  </si>
  <si>
    <t>64480-66-6</t>
  </si>
  <si>
    <t>19973534</t>
  </si>
  <si>
    <t>HMDB0000708</t>
  </si>
  <si>
    <t>12310288</t>
  </si>
  <si>
    <t>BHTRKEVKTKCXOH-BWIGJTJCSA-N</t>
  </si>
  <si>
    <t>O=C(NCCS(=O)(O)=O)CC[C@@H](C)C1CC[C@@]2([H])[C@]3([H])[C@@H](O)CC4C[C@H](O)CC[C@]4(C)[C@@]3([H])CC[C@@]21C</t>
  </si>
  <si>
    <t>tauroursodeoxycholate</t>
  </si>
  <si>
    <t>14605-22-2</t>
  </si>
  <si>
    <t>24539842</t>
  </si>
  <si>
    <t>HMDB0000874</t>
  </si>
  <si>
    <t>9848818</t>
  </si>
  <si>
    <t>ZZLHPCSGGOGHFW-UHFFFAOYSA-N</t>
  </si>
  <si>
    <t>NC(CS(C)=O)C(O)=O</t>
  </si>
  <si>
    <t>S-methylcysteine sulfoxide</t>
  </si>
  <si>
    <t>6853-87-8</t>
  </si>
  <si>
    <t>74136</t>
  </si>
  <si>
    <t>HMDB0029432</t>
  </si>
  <si>
    <t>82142</t>
  </si>
  <si>
    <t>IIUXHTGBZYEGHI-UHFFFAOYSA-N</t>
  </si>
  <si>
    <t>CC(CCCCCCCCCCCCCC(O)=O)C</t>
  </si>
  <si>
    <t>(14 or 15)-methylpalmitate (a17:0 or i17:0)</t>
  </si>
  <si>
    <t>HMDB0061859</t>
  </si>
  <si>
    <t>C16995</t>
  </si>
  <si>
    <t>8181,17903417</t>
  </si>
  <si>
    <t>JJOJFIHJIRWASH-UHFFFAOYSA-N</t>
  </si>
  <si>
    <t>O=C(O)CCCCCCCCCCCCCCCCCCC(O)=O</t>
  </si>
  <si>
    <t>eicosanedioate (C20-DC)</t>
  </si>
  <si>
    <t>2424-92-2</t>
  </si>
  <si>
    <t>68030</t>
  </si>
  <si>
    <t>75502</t>
  </si>
  <si>
    <t>DGXRZJSPDXZJFG-UHFFFAOYSA-N</t>
  </si>
  <si>
    <t>O=C(O)CCCCCCCCCCCCCCCCCCCCC(O)=O</t>
  </si>
  <si>
    <t>docosadioate (C22-DC)</t>
  </si>
  <si>
    <t>505-56-6</t>
  </si>
  <si>
    <t>214170</t>
  </si>
  <si>
    <t>C14240</t>
  </si>
  <si>
    <t>7641</t>
  </si>
  <si>
    <t>UGAGPNKCDRTDHP-UHFFFAOYSA-N</t>
  </si>
  <si>
    <t>OC(CCCCCCCCCCCCCCCO)=O</t>
  </si>
  <si>
    <t>16-hydroxypalmitate</t>
  </si>
  <si>
    <t>506-13-8</t>
  </si>
  <si>
    <t>10034</t>
  </si>
  <si>
    <t>HMDB0006294</t>
  </si>
  <si>
    <t>C18218</t>
  </si>
  <si>
    <t>10466</t>
  </si>
  <si>
    <t>LOUPRKONTZGTKE-WGFDLZGGSA-N</t>
  </si>
  <si>
    <t>COC1=CC2=C(N=CC=C2[C@@H](O)C3N(CC4C=C)CCC4C3)C=C1</t>
  </si>
  <si>
    <t>quinine</t>
  </si>
  <si>
    <t>130-95-0</t>
  </si>
  <si>
    <t>2010267</t>
  </si>
  <si>
    <t>HMDB0014611</t>
  </si>
  <si>
    <t>C06526</t>
  </si>
  <si>
    <t>3034034</t>
  </si>
  <si>
    <t>Diacylglycerol</t>
  </si>
  <si>
    <t>BLZVZPYMHLXLHG-RQOIEFAZSA-N</t>
  </si>
  <si>
    <t>CCCCCCCC/C=C\CCCCCCCC(OCC(CO)OC(CCCCCCC/C=C\C/C=C\CCCCC)=O)=O</t>
  </si>
  <si>
    <t>oleoyl-linoleoyl-glycerol (18:1/18:2) [1]</t>
  </si>
  <si>
    <t>106292-55-1</t>
  </si>
  <si>
    <t>23975985</t>
  </si>
  <si>
    <t>HMDB0007219</t>
  </si>
  <si>
    <t>14275396</t>
  </si>
  <si>
    <t>GREDRAMJRDQWEJ-LTEAFHAISA-N</t>
  </si>
  <si>
    <t>CCCCCCCC/C=C\CCCCCCCC(OCC(COC(CCCCCCC/C=C\C/C=C\CCCCC)=O)O)=O</t>
  </si>
  <si>
    <t>oleoyl-linoleoyl-glycerol (18:1/18:2) [2]</t>
  </si>
  <si>
    <t>104346-53-4</t>
  </si>
  <si>
    <t>29788004</t>
  </si>
  <si>
    <t>71433693</t>
  </si>
  <si>
    <t>QYTPGOPLNFESQC-RLHAVTDZSA-N</t>
  </si>
  <si>
    <t>O=P(OCC[NH3+])([O-])OC[C@H](O)CO/C=C/CCCCCCCCCCCCCC</t>
  </si>
  <si>
    <t>1-(1-enyl-palmitoyl)-GPE (P-16:0)*</t>
  </si>
  <si>
    <t>10471193</t>
  </si>
  <si>
    <t>HMDB0011152</t>
  </si>
  <si>
    <t>KACDZDULGKPXHT-BIHRDVDLSA-N</t>
  </si>
  <si>
    <t>O=P(OCC[NH3+])([O-])OC[C@H](O)CO/C=C/CCCCCCCCCCCCCCCC</t>
  </si>
  <si>
    <t>1-(1-enyl-stearoyl)-GPE (P-18:0)*</t>
  </si>
  <si>
    <t>HMDB0240598</t>
  </si>
  <si>
    <t>KOGRJTUIKPMZEJ-KTKRTIGZSA-N</t>
  </si>
  <si>
    <t>O=C(CCCCCCC/C=C\CCCCCCCC)NCCS(O)(=O)=O</t>
  </si>
  <si>
    <t>N-oleoyltaurine</t>
  </si>
  <si>
    <t>52514-04-2</t>
  </si>
  <si>
    <t>4941625</t>
  </si>
  <si>
    <t>6437033</t>
  </si>
  <si>
    <t>Fatty Acid Metabolism (Acyl Carnitine, Polyunsaturated)</t>
  </si>
  <si>
    <t>MJLXQSQYKZWZCB-DQFWFXSYSA-N</t>
  </si>
  <si>
    <t>[O-]C(C[C@H](C[N+](C)(C)C)OC(CCCCCCC/C=C\C/C=C\CCCCC)=O)=O</t>
  </si>
  <si>
    <t>linoleoylcarnitine (C18:2)*</t>
  </si>
  <si>
    <t>36816-10-1</t>
  </si>
  <si>
    <t>4952667</t>
  </si>
  <si>
    <t>HMDB0006469</t>
  </si>
  <si>
    <t>6450015</t>
  </si>
  <si>
    <t>UCGDDTHMMVWVMV-UHFFFAOYSA-N</t>
  </si>
  <si>
    <t>O=C(C(C(CC)C)N)NCC(O)=O</t>
  </si>
  <si>
    <t>isoleucylglycine</t>
  </si>
  <si>
    <t>868-28-0</t>
  </si>
  <si>
    <t>303621</t>
  </si>
  <si>
    <t>HMDB0028907</t>
  </si>
  <si>
    <t>342532</t>
  </si>
  <si>
    <t>HSQGMTRYSIHDAC-UHFFFAOYSA-N</t>
  </si>
  <si>
    <t>O=C(C(CC(C)C)N)NC(C)C(O)=O</t>
  </si>
  <si>
    <t>leucylalanine</t>
  </si>
  <si>
    <t>7298-84-2</t>
  </si>
  <si>
    <t>227625</t>
  </si>
  <si>
    <t>HMDB0028922</t>
  </si>
  <si>
    <t>81721</t>
  </si>
  <si>
    <t>LPDJCYFKKSLKRO-UHFFFAOYSA-N</t>
  </si>
  <si>
    <t>O=C(NCCS(=O)(O)=O)CCCCCCCCCCCCCCC</t>
  </si>
  <si>
    <t>N-palmitoyltaurine</t>
  </si>
  <si>
    <t>83982-06-3</t>
  </si>
  <si>
    <t>14435932</t>
  </si>
  <si>
    <t>14504290</t>
  </si>
  <si>
    <t>LMIJIHJZVURGQK-UHFFFAOYSA-N</t>
  </si>
  <si>
    <t>O=C(CCCCCCCCCCCCCCCCC)NCCS(=O)(O)=O</t>
  </si>
  <si>
    <t>N-stearoyltaurine</t>
  </si>
  <si>
    <t>63155-80-6</t>
  </si>
  <si>
    <t>147194</t>
  </si>
  <si>
    <t>168274</t>
  </si>
  <si>
    <t>RMHBODZVODTFAH-UHFFFAOYSA-N</t>
  </si>
  <si>
    <t>OC1=C(OC)C(C(C(CO)O)O1)=O</t>
  </si>
  <si>
    <t>2-O-methylascorbic acid</t>
  </si>
  <si>
    <t>17860-87-6</t>
  </si>
  <si>
    <t>90149</t>
  </si>
  <si>
    <t>HMDB0240294</t>
  </si>
  <si>
    <t>54726398</t>
  </si>
  <si>
    <t>GAQNUGISBQJMKO-UHFFFAOYSA-N</t>
  </si>
  <si>
    <t>OC(CC(C(NC(CCC(O)=O)C(O)=O)=O)(CC(O)=O)O)=O</t>
  </si>
  <si>
    <t>beta-citrylglutamate</t>
  </si>
  <si>
    <t>73590-26-8</t>
  </si>
  <si>
    <t>19992713</t>
  </si>
  <si>
    <t>C20775</t>
  </si>
  <si>
    <t>189741</t>
  </si>
  <si>
    <t>UYPYRKYUKCHHIB-UHFFFAOYSA-N</t>
  </si>
  <si>
    <t>C[N+](C)([O-])C</t>
  </si>
  <si>
    <t>trimethylamine N-oxide</t>
  </si>
  <si>
    <t>1184-78-7</t>
  </si>
  <si>
    <t>1113</t>
  </si>
  <si>
    <t>HMDB0000925</t>
  </si>
  <si>
    <t>C01104</t>
  </si>
  <si>
    <t>1145</t>
  </si>
  <si>
    <t>PQNASZJZHFPQLE-LURJTMIESA-N</t>
  </si>
  <si>
    <t>O=C([C@H](CCCCNC)N)O</t>
  </si>
  <si>
    <t>N6-methyllysine</t>
  </si>
  <si>
    <t>1188-07-4</t>
  </si>
  <si>
    <t>144469</t>
  </si>
  <si>
    <t>HMDB0002038</t>
  </si>
  <si>
    <t>C02728</t>
  </si>
  <si>
    <t>164795</t>
  </si>
  <si>
    <t>BOLQJTPHPSDZHR-UHFFFAOYSA-N</t>
  </si>
  <si>
    <t>O=C(CCC1=CC=C(O)C(OC)=C1)O</t>
  </si>
  <si>
    <t>dihydroferulate</t>
  </si>
  <si>
    <t>1135-23-5</t>
  </si>
  <si>
    <t>13701</t>
  </si>
  <si>
    <t>HMDB0062121</t>
  </si>
  <si>
    <t>14340</t>
  </si>
  <si>
    <t>ZCKYOWGFRHAZIQ-UHFFFAOYSA-N</t>
  </si>
  <si>
    <t>OC(CCC1=CN=CN1)=O</t>
  </si>
  <si>
    <t>imidazole propionate</t>
  </si>
  <si>
    <t>1074-59-5</t>
  </si>
  <si>
    <t>63798</t>
  </si>
  <si>
    <t>HMDB0002271</t>
  </si>
  <si>
    <t>70630</t>
  </si>
  <si>
    <t>AHOUBRCZNHFOSL-YOEHRIQHSA-N</t>
  </si>
  <si>
    <t>FC1=CC=[C@]([C@@H]2CCNC[C@H]2COC3=CC(OCO4)=C4C=C3)C=C1</t>
  </si>
  <si>
    <t>paroxetine</t>
  </si>
  <si>
    <t>110429-49-8</t>
  </si>
  <si>
    <t>39888</t>
  </si>
  <si>
    <t>HMDB0014853</t>
  </si>
  <si>
    <t>C07415,D02362</t>
  </si>
  <si>
    <t>43815</t>
  </si>
  <si>
    <t>WSEQXVZVJXJVFP-FQEVSTJZSA-N</t>
  </si>
  <si>
    <t>FC1=CC=[C@]([C@]2(CCCN(C)C)OCC3=C2C=CC(C#N)=C3)C=C1</t>
  </si>
  <si>
    <t>citalopram/escitalopram</t>
  </si>
  <si>
    <t>219861-08-2</t>
  </si>
  <si>
    <t>129277</t>
  </si>
  <si>
    <t>HMDB0005028</t>
  </si>
  <si>
    <t>D07913</t>
  </si>
  <si>
    <t>146570</t>
  </si>
  <si>
    <t>RONZAEMNMFQXRA-UHFFFAOYSA-N</t>
  </si>
  <si>
    <t>CN(CC1)CC(C2=C(C3)C=CC=C2)N1C4=C3C=CC=N4</t>
  </si>
  <si>
    <t>mirtazapine</t>
  </si>
  <si>
    <t>61337-67-5</t>
  </si>
  <si>
    <t>4060</t>
  </si>
  <si>
    <t>HMDB0014514</t>
  </si>
  <si>
    <t>C07570</t>
  </si>
  <si>
    <t>4205</t>
  </si>
  <si>
    <t>ZFFFJLDTCLJDHL-JQYCEVDMSA-N</t>
  </si>
  <si>
    <t>[H][C@]12CC[C@]3([C@@]4(CC[C@]([C@@H](O)C)([C@]4(CC[C@@]3([C@]1(CC[C@@H](O[C@@H]5O[C@H]([C@](O)=O)[C@H]([C@@H]([C@H]5O)O)O)C2)C)[H])C)[H])[H])[H]</t>
  </si>
  <si>
    <t>pregnanediol-3-glucuronide</t>
  </si>
  <si>
    <t>1852-49-9</t>
  </si>
  <si>
    <t>110346</t>
  </si>
  <si>
    <t>HMDB0010318</t>
  </si>
  <si>
    <t>123796</t>
  </si>
  <si>
    <t>XUHLIQGRKRUKPH-ITZCMCNPSA-N</t>
  </si>
  <si>
    <t>C=CCS(C[C@H](N)C(O)=O)=O</t>
  </si>
  <si>
    <t>alliin</t>
  </si>
  <si>
    <t>556-27-4</t>
  </si>
  <si>
    <t>78760</t>
  </si>
  <si>
    <t>HMDB0033592</t>
  </si>
  <si>
    <t>C08265</t>
  </si>
  <si>
    <t>87310</t>
  </si>
  <si>
    <t>GLUBLISJVJFHQS-UHFFFAOYSA-N</t>
  </si>
  <si>
    <t>O=C(CNC(C(CC1=CC=CC=C1)N)=O)O</t>
  </si>
  <si>
    <t>phenylalanylglycine</t>
  </si>
  <si>
    <t>721-90-4</t>
  </si>
  <si>
    <t>88678</t>
  </si>
  <si>
    <t>HMDB0028995</t>
  </si>
  <si>
    <t>6992304</t>
  </si>
  <si>
    <t>XXDVDTMEVBYRPK-UHFFFAOYSA-N</t>
  </si>
  <si>
    <t>O=C(C(C(C)C)N)NC(CCC(N)=O)C(O)=O</t>
  </si>
  <si>
    <t>valylglutamine</t>
  </si>
  <si>
    <t>42854-54-6</t>
  </si>
  <si>
    <t>4419671</t>
  </si>
  <si>
    <t>HMDB0029125</t>
  </si>
  <si>
    <t>5253209</t>
  </si>
  <si>
    <t>IOUPEELXVYPCPG-UHFFFAOYSA-N</t>
  </si>
  <si>
    <t>O=C(C(C(C)C)N)NCC(O)=O</t>
  </si>
  <si>
    <t>valylglycine</t>
  </si>
  <si>
    <t>686-43-1</t>
  </si>
  <si>
    <t>120256</t>
  </si>
  <si>
    <t>HMDB0029127</t>
  </si>
  <si>
    <t>136487</t>
  </si>
  <si>
    <t>RNKSNIBMTUYWSH-YFKPBYRVSA-N</t>
  </si>
  <si>
    <t>O=[C@]([C@H]1NCCC1)NCC(O)=O</t>
  </si>
  <si>
    <t>prolylglycine</t>
  </si>
  <si>
    <t>2578-57-6</t>
  </si>
  <si>
    <t>4932143</t>
  </si>
  <si>
    <t>HMDB0011178</t>
  </si>
  <si>
    <t>6426709</t>
  </si>
  <si>
    <t>KVTFEOAKFFQCCX-UHFFFAOYSA-N</t>
  </si>
  <si>
    <t>O=C(CCCCCCCCCCCCCCC)NCC(O)=O</t>
  </si>
  <si>
    <t>N-palmitoylglycine</t>
  </si>
  <si>
    <t>2441-41-0</t>
  </si>
  <si>
    <t>133100</t>
  </si>
  <si>
    <t>HMDB0013034</t>
  </si>
  <si>
    <t>151008</t>
  </si>
  <si>
    <t>RGHNJXZEOKUKBD-MBMOQRBOSA-N</t>
  </si>
  <si>
    <t>O=C([C@H]([C@H]([C@@H]([C@@H](CO)O)O)O)O)O</t>
  </si>
  <si>
    <t>mannonate*</t>
  </si>
  <si>
    <t>642-99-9</t>
  </si>
  <si>
    <t>2496757</t>
  </si>
  <si>
    <t>3246006</t>
  </si>
  <si>
    <t>WIQRCHMSJFFONW-UHFFFAOYSA-N</t>
  </si>
  <si>
    <t>NCCC(OC1=CC=C(C(F)(F)F)C=C1)C2=CC=CC=C2</t>
  </si>
  <si>
    <t>norfluoxetine</t>
  </si>
  <si>
    <t>83891-03-6</t>
  </si>
  <si>
    <t>4382</t>
  </si>
  <si>
    <t>HMDB0060551</t>
  </si>
  <si>
    <t>4541</t>
  </si>
  <si>
    <t>DWPCPZJAHOETAG-IMJSIDKUSA-N</t>
  </si>
  <si>
    <t>O=C([C@H](CSC[C@@H](C(O)=O)N)N)O</t>
  </si>
  <si>
    <t>lanthionine</t>
  </si>
  <si>
    <t>3183-08-2</t>
  </si>
  <si>
    <t>88959</t>
  </si>
  <si>
    <t>98504</t>
  </si>
  <si>
    <t>KIHAGWUUUHJRMS-JOCHJYFZSA-N</t>
  </si>
  <si>
    <t>OC[C@@H](OC(CCCCCCCCCCCCCCCCC)=O)COP(OCC[NH3+])([O-])=O</t>
  </si>
  <si>
    <t>2-stearoyl-GPE (18:0)*</t>
  </si>
  <si>
    <t>24769218</t>
  </si>
  <si>
    <t>HMDB0011129</t>
  </si>
  <si>
    <t>90658453,53480667</t>
  </si>
  <si>
    <t>Fatty Acid Metabolism (Acyl Carnitine, Hydroxy)</t>
  </si>
  <si>
    <t>UEFRDQSMQXDWTO-UHFFFAOYSA-N</t>
  </si>
  <si>
    <t>CC(CC(OC(C[N+](C)(C)C)CC([O-])=O)=O)O</t>
  </si>
  <si>
    <t>(R)-3-hydroxybutyrylcarnitine</t>
  </si>
  <si>
    <t>HMDB0013127</t>
  </si>
  <si>
    <t>53481617</t>
  </si>
  <si>
    <t>XUFQPHANEAPEMJ-UHFFFAOYSA-N</t>
  </si>
  <si>
    <t>O=S(/N=C(CCSCC1=CSC(/N=C(N)\N)=N1)/N)(N)=O</t>
  </si>
  <si>
    <t>famotidine</t>
  </si>
  <si>
    <t>76824-35-6</t>
  </si>
  <si>
    <t>3208</t>
  </si>
  <si>
    <t>HMDB0001919</t>
  </si>
  <si>
    <t>D00318</t>
  </si>
  <si>
    <t>5702160</t>
  </si>
  <si>
    <t>HSUGRBWQSSZJOP-RTWAWAEBSA-N</t>
  </si>
  <si>
    <t>O=C1N(CCN(C)C)C2=C(C=CC=C2)S[C@H]([C@H]1OC(C)=O)[C@]3=CC=C(OC)C=C3</t>
  </si>
  <si>
    <t>diltiazem</t>
  </si>
  <si>
    <t>33286-22-5</t>
  </si>
  <si>
    <t>35850</t>
  </si>
  <si>
    <t>HMDB0014487</t>
  </si>
  <si>
    <t>D07845</t>
  </si>
  <si>
    <t>39186</t>
  </si>
  <si>
    <t>BKAYIFDRRZZKNF-VIFPVBQESA-N</t>
  </si>
  <si>
    <t>OC([C@H](CC1=CN=CN1)NC(CCNC(C)=O)=O)=O</t>
  </si>
  <si>
    <t>N-acetylcarnosine</t>
  </si>
  <si>
    <t>56353-15-2</t>
  </si>
  <si>
    <t>8079136</t>
  </si>
  <si>
    <t>HMDB0012881</t>
  </si>
  <si>
    <t>9903482</t>
  </si>
  <si>
    <t>DWSFAVOTORHAAL-UHFFFAOYSA-N</t>
  </si>
  <si>
    <t>[O-]C(CC(C[N+](C)(C)C)OC(CCCCCCCCCCCCCCCC)=O)=O</t>
  </si>
  <si>
    <t>margaroylcarnitine (C17)*</t>
  </si>
  <si>
    <t>106182-29-0</t>
  </si>
  <si>
    <t>35015987</t>
  </si>
  <si>
    <t>HMDB0006210</t>
  </si>
  <si>
    <t>53477803</t>
  </si>
  <si>
    <t>SUZRRICLUFMAQD-UHFFFAOYSA-N</t>
  </si>
  <si>
    <t>O=S(O)(CCNC)=O</t>
  </si>
  <si>
    <t>N-methyltaurine</t>
  </si>
  <si>
    <t>107-68-6</t>
  </si>
  <si>
    <t>7594</t>
  </si>
  <si>
    <t>7882</t>
  </si>
  <si>
    <t>GPPYTCRVKHULJH-UHFFFAOYSA-N</t>
  </si>
  <si>
    <t>C[N+](C)(C(C([O-])=O)CC1=CN=CN1)C</t>
  </si>
  <si>
    <t>histidine betaine (hercynine)*</t>
  </si>
  <si>
    <t>534-30-5</t>
  </si>
  <si>
    <t>2340795</t>
  </si>
  <si>
    <t>HMDB0029422</t>
  </si>
  <si>
    <t>3083620</t>
  </si>
  <si>
    <t>ZQYUKJFJPJDMMR-JPZDKMBBSA-N</t>
  </si>
  <si>
    <t>C[C@@]([C@@]1([H])C[C@@H]2O)(CC2)[C@](CC3)([H])[C@]([C@H](O)[C@@H]1O)([H])[C@@](CC4)([H])[C@]3(C)[C@H]4[C@H](C)CCC(NCC(O)=O)=O</t>
  </si>
  <si>
    <t>glycohyocholate</t>
  </si>
  <si>
    <t>71361462</t>
  </si>
  <si>
    <t>NCYCYZXNIZJOKI-OVSJKPMPSA-N</t>
  </si>
  <si>
    <t>O=C([H])/C=C(C)/C=C/C=C(C)/C=C/C1=C(C)CCCC1(C)C</t>
  </si>
  <si>
    <t>retinal</t>
  </si>
  <si>
    <t>553582</t>
  </si>
  <si>
    <t>HMDB0001358</t>
  </si>
  <si>
    <t>C00376</t>
  </si>
  <si>
    <t>638015</t>
  </si>
  <si>
    <t>GHPVDCPCKSNJDR-UHFFFAOYSA-N</t>
  </si>
  <si>
    <t>OC(C(O)=O)CCCCCCCC</t>
  </si>
  <si>
    <t>2-hydroxydecanoate</t>
  </si>
  <si>
    <t>5393-81-7</t>
  </si>
  <si>
    <t>20195</t>
  </si>
  <si>
    <t>HMDB0094656</t>
  </si>
  <si>
    <t>21488</t>
  </si>
  <si>
    <t>LMHJFKYQYDSOQO-UHFFFAOYSA-N</t>
  </si>
  <si>
    <t>OC(CCCC(O)=O)CCCCC</t>
  </si>
  <si>
    <t>5-hydroxydecanoate</t>
  </si>
  <si>
    <t>624-00-0</t>
  </si>
  <si>
    <t>1759</t>
  </si>
  <si>
    <t>HMDB0040329</t>
  </si>
  <si>
    <t>1825</t>
  </si>
  <si>
    <t>NCOMUGOPQPRVSE-UHFFFAOYSA-N</t>
  </si>
  <si>
    <t>OC1=CC(C)=CC=C1OS(O)(=O)=O</t>
  </si>
  <si>
    <t>4-methylcatechol sulfate</t>
  </si>
  <si>
    <t>HMDB0240459</t>
  </si>
  <si>
    <t>54104170</t>
  </si>
  <si>
    <t>HFDKYCXWNHNKAF-UHFFFAOYSA-N</t>
  </si>
  <si>
    <t>OC1=C(C)C=CC=C1OS(O)(=O)=O</t>
  </si>
  <si>
    <t>3-methyl catechol sulfate (1)</t>
  </si>
  <si>
    <t>118431379</t>
  </si>
  <si>
    <t>UJHKVYPPCJBOSG-UHFFFAOYSA-N</t>
  </si>
  <si>
    <t>OC(C)(C)CC(C=C1)=CC=C1C(C(O)=O)C</t>
  </si>
  <si>
    <t>2-hydroxyibuprofen</t>
  </si>
  <si>
    <t>51146-55-5</t>
  </si>
  <si>
    <t>HMDB0060920</t>
  </si>
  <si>
    <t>10443535</t>
  </si>
  <si>
    <t>DIVLBIVDYADZPL-UHFFFAOYSA-N</t>
  </si>
  <si>
    <t>OC(C(CC1=CC=C(C(C(O)=O)C)C=C1)C)=O</t>
  </si>
  <si>
    <t>carboxyibuprofen</t>
  </si>
  <si>
    <t>15935-54-3</t>
  </si>
  <si>
    <t>8619532</t>
  </si>
  <si>
    <t>HMDB0060564</t>
  </si>
  <si>
    <t>10444113</t>
  </si>
  <si>
    <t>KYYIDSXMWOZKMP-UHFFFAOYSA-N</t>
  </si>
  <si>
    <t>CN(CC(C1(CCCCC1)O)C2=CC=C(C=C2)O)C</t>
  </si>
  <si>
    <t>O-desmethylvenlafaxine</t>
  </si>
  <si>
    <t>300827-87-6</t>
  </si>
  <si>
    <t>111300</t>
  </si>
  <si>
    <t>HMDB0015646</t>
  </si>
  <si>
    <t>D07793</t>
  </si>
  <si>
    <t>125017</t>
  </si>
  <si>
    <t>ZAFYATHCZYHLPB-UHFFFAOYSA-N</t>
  </si>
  <si>
    <t>CN(C(CC1=C(C2=CC=C(C=C2)C)N=C3C=CC(C)=CN13)=O)C</t>
  </si>
  <si>
    <t>zolpidem</t>
  </si>
  <si>
    <t>82626-48-0</t>
  </si>
  <si>
    <t>HMDB0005023</t>
  </si>
  <si>
    <t>C07219</t>
  </si>
  <si>
    <t>5732</t>
  </si>
  <si>
    <t>PJVWKTKQMONHTI-UHFFFAOYSA-N</t>
  </si>
  <si>
    <t>O=C1C(C(C2=CC=CC=C2)CC(C)=O)=C(O)C(C=CC=C3)=C3O1</t>
  </si>
  <si>
    <t>warfarin</t>
  </si>
  <si>
    <t>5543-57-7</t>
  </si>
  <si>
    <t>HMDB0001935</t>
  </si>
  <si>
    <t>DG00149,D08682,C01541</t>
  </si>
  <si>
    <t>54678486</t>
  </si>
  <si>
    <t>JMLKLMFMQRAJNI-UHFFFAOYSA-N</t>
  </si>
  <si>
    <t>O=C1N([H])C(SC1CC(C=C2)=CC=C2OCCC3=NC=C(C(C)=O)C=C3)=O</t>
  </si>
  <si>
    <t>ketopioglitazone</t>
  </si>
  <si>
    <t>146062-45-5</t>
  </si>
  <si>
    <t>5201446</t>
  </si>
  <si>
    <t>OXVFDZYQLGRLCD-UHFFFAOYSA-N</t>
  </si>
  <si>
    <t>O=C1N([H])C(SC1CC(C=C2)=CC=C2OCCC(C=C3)=NC=C3C(C)O)=O</t>
  </si>
  <si>
    <t>hydroxypioglitazone (M-IV)</t>
  </si>
  <si>
    <t>146062-44-4</t>
  </si>
  <si>
    <t>4147757</t>
  </si>
  <si>
    <t>HIAJCGFYHIANNA-QIZZZRFXSA-N</t>
  </si>
  <si>
    <t>O[C@@H]1CC2=CC[C@@]([C@@]3([H])[C@@]2(C)CC1)([H])[C@@]4([H])[C@@](CC3)(C)[C@]([C@H](C)CCC(O)=O)([H])CC4</t>
  </si>
  <si>
    <t>3beta-hydroxy-5-cholenoate</t>
  </si>
  <si>
    <t>5255-17-4</t>
  </si>
  <si>
    <t>83950</t>
  </si>
  <si>
    <t>HMDB0000308</t>
  </si>
  <si>
    <t>92997</t>
  </si>
  <si>
    <t>AQTYXAPIHMXAAV-UHFFFAOYSA-N</t>
  </si>
  <si>
    <t>COC1=C(OS(O)(=O)=O)C=CC=C1</t>
  </si>
  <si>
    <t>guaiacol sulfate</t>
  </si>
  <si>
    <t>21078</t>
  </si>
  <si>
    <t>HMDB0060013</t>
  </si>
  <si>
    <t>22473</t>
  </si>
  <si>
    <t>Fatty Acid, Amino</t>
  </si>
  <si>
    <t>AKVBCGQVQXPRLD-UHFFFAOYSA-N</t>
  </si>
  <si>
    <t>CCCCCCC(C(O)=O)N</t>
  </si>
  <si>
    <t>2-aminooctanoate</t>
  </si>
  <si>
    <t>644-90-6</t>
  </si>
  <si>
    <t>62727</t>
  </si>
  <si>
    <t>HMDB0000991</t>
  </si>
  <si>
    <t>69522</t>
  </si>
  <si>
    <t>ZZUFCTLCJUWOSV-UHFFFAOYSA-N</t>
  </si>
  <si>
    <t>NS(=O)(C1=C(C=C(C(C(O)=O)=C1)NCC2=CC=CO2)Cl)=O</t>
  </si>
  <si>
    <t>furosemide</t>
  </si>
  <si>
    <t>54-31-9</t>
  </si>
  <si>
    <t>3322</t>
  </si>
  <si>
    <t>HMDB0001933</t>
  </si>
  <si>
    <t>D00331</t>
  </si>
  <si>
    <t>3440</t>
  </si>
  <si>
    <t>NOZSTAZEOBPSBY-UHFFFAOYSA-N</t>
  </si>
  <si>
    <t>OC(C1C(O)C(O)C(O)C(OC2=C(C)C(C)=C(OC(C)(CCC(O)=O)CC3)C3=C2)O1)=O</t>
  </si>
  <si>
    <t>gamma-CEHC glucuronide*</t>
  </si>
  <si>
    <t>121596235</t>
  </si>
  <si>
    <t>HHVIBTZHLRERCL-UHFFFAOYSA-N</t>
  </si>
  <si>
    <t>CS(C)(=O)=O</t>
  </si>
  <si>
    <t>dimethyl sulfone</t>
  </si>
  <si>
    <t>67-71-0</t>
  </si>
  <si>
    <t>5978</t>
  </si>
  <si>
    <t>HMDB0004983</t>
  </si>
  <si>
    <t>C11142</t>
  </si>
  <si>
    <t>6213</t>
  </si>
  <si>
    <t>XUWHAWMETYGRKB-UHFFFAOYSA-N</t>
  </si>
  <si>
    <t>O=C1CCCCN1</t>
  </si>
  <si>
    <t>2-piperidinone</t>
  </si>
  <si>
    <t>675-20-7</t>
  </si>
  <si>
    <t>12144</t>
  </si>
  <si>
    <t>HMDB0011749</t>
  </si>
  <si>
    <t>12665</t>
  </si>
  <si>
    <t>GVRCKHXHWSYDEF-UHFFFAOYSA-N</t>
  </si>
  <si>
    <t>OC(C(CC1=CN(C)C=N1)NC(C)=O)=O</t>
  </si>
  <si>
    <t>N-acetyl-1-methylhistidine*</t>
  </si>
  <si>
    <t>HMDB0240340</t>
  </si>
  <si>
    <t>53859791</t>
  </si>
  <si>
    <t>VSTZVCJQGSLNLL-UHFFFAOYSA-N</t>
  </si>
  <si>
    <t>NC1=CC=CC=C1OS(O)(=O)=O</t>
  </si>
  <si>
    <t>2-aminophenol sulfate</t>
  </si>
  <si>
    <t>158022</t>
  </si>
  <si>
    <t>HMDB0061116</t>
  </si>
  <si>
    <t>181670</t>
  </si>
  <si>
    <t>ZPDQFUYPBVXUKS-KEKNWZKVSA-N</t>
  </si>
  <si>
    <t>O=P(O)(OCC(O)COC(CCCCCCCCCCCCCCCCC)=O)OC[C@@H](C(O)=O)N</t>
  </si>
  <si>
    <t>1-stearoyl-GPS (18:0)*</t>
  </si>
  <si>
    <t>7826051</t>
  </si>
  <si>
    <t>HMDB0061698</t>
  </si>
  <si>
    <t>74819135</t>
  </si>
  <si>
    <t>KYICBZWZQPCUMO-PSALXKTOSA-N</t>
  </si>
  <si>
    <t>CCCCCCCCCCCCCC(N[C@@](COP([O-])(OCC[N+](C)(C)C)=O)([C@](O)(/C=C/CCCCCCCCCCCCC)[H])[H])=O</t>
  </si>
  <si>
    <t>sphingomyelin (d18:1/14:0, d16:1/16:0)*</t>
  </si>
  <si>
    <t>9608732</t>
  </si>
  <si>
    <t>HMDB0012097</t>
  </si>
  <si>
    <t>11433862</t>
  </si>
  <si>
    <t>IWHLTJGDYLJQSH-FLPFCPAFSA-N</t>
  </si>
  <si>
    <t>CCCCC/C=C/CCCCCCCCC(N[C@@](COP([O-])(OCC[N+](C)(C)C)=O)([C@](O)(/C=C/CCCCCCCCCCCCC)[H])[H])=O</t>
  </si>
  <si>
    <t>sphingomyelin (d18:2/16:0, d18:1/16:1)*</t>
  </si>
  <si>
    <t>HMDB0240638,HMDB0240613</t>
  </si>
  <si>
    <t>YVOMYDHIQVMMTA-UHFFFAOYSA-N</t>
  </si>
  <si>
    <t>OC(CC(O)=O)CCC(O)=O</t>
  </si>
  <si>
    <t>3-hydroxyadipate</t>
  </si>
  <si>
    <t>133894</t>
  </si>
  <si>
    <t>HMDB0000345</t>
  </si>
  <si>
    <t>151913</t>
  </si>
  <si>
    <t>FZXCPFJMYOQZCA-UHFFFAOYSA-N</t>
  </si>
  <si>
    <t>OC(C1CCCC(N1)=O)=O</t>
  </si>
  <si>
    <t>6-oxopiperidine-2-carboxylate</t>
  </si>
  <si>
    <t>34622-39-4</t>
  </si>
  <si>
    <t>2282737</t>
  </si>
  <si>
    <t>HMDB0061705</t>
  </si>
  <si>
    <t>3014237</t>
  </si>
  <si>
    <t>ZFAHNWWNDFHPOH-UHFFFAOYSA-N</t>
  </si>
  <si>
    <t>OC(C(CSCC=C)N)=O</t>
  </si>
  <si>
    <t>S-allylcysteine</t>
  </si>
  <si>
    <t>21593-77-1</t>
  </si>
  <si>
    <t>88744</t>
  </si>
  <si>
    <t>HMDB0034323</t>
  </si>
  <si>
    <t>98280</t>
  </si>
  <si>
    <t>OFCNXPDARWKPPY-UHFFFAOYSA-N</t>
  </si>
  <si>
    <t>OC1=NC=NC2=C1C=NN2</t>
  </si>
  <si>
    <t>allopurinol</t>
  </si>
  <si>
    <t>315-30-0</t>
  </si>
  <si>
    <t>2010</t>
  </si>
  <si>
    <t>HMDB0014581</t>
  </si>
  <si>
    <t>D00224</t>
  </si>
  <si>
    <t>135401907</t>
  </si>
  <si>
    <t>SRXKAYJJGAAOBP-UHFFFAOYSA-N</t>
  </si>
  <si>
    <t>CC(NCCCC(N)C(O)=O)=O</t>
  </si>
  <si>
    <t>N-delta-acetylornithine</t>
  </si>
  <si>
    <t>8096135</t>
  </si>
  <si>
    <t>HMDB0003357</t>
  </si>
  <si>
    <t>C00437</t>
  </si>
  <si>
    <t>9920500</t>
  </si>
  <si>
    <t>OAUYENAPBFTAQT-UHFFFAOYSA-N</t>
  </si>
  <si>
    <t>O=C1N(CCCN([H])C(C)=O)CCC1</t>
  </si>
  <si>
    <t>acisoga</t>
  </si>
  <si>
    <t>7663-77-6</t>
  </si>
  <si>
    <t>114601</t>
  </si>
  <si>
    <t>HMDB0061384</t>
  </si>
  <si>
    <t>129397</t>
  </si>
  <si>
    <t>RDFMDVXONNIGBC-UHFFFAOYSA-N</t>
  </si>
  <si>
    <t>OC(C(CCCCC)N([H])[H])=O</t>
  </si>
  <si>
    <t>2-aminoheptanoate</t>
  </si>
  <si>
    <t>1115-90-8</t>
  </si>
  <si>
    <t>198338</t>
  </si>
  <si>
    <t>HMDB0094649</t>
  </si>
  <si>
    <t>227939</t>
  </si>
  <si>
    <t>LLLPDUXGHXIXIW-UHFFFAOYSA-N</t>
  </si>
  <si>
    <t>OC(C1=CC=CC=C1N([H])C=O)=O</t>
  </si>
  <si>
    <t>N-formylanthranilic acid</t>
  </si>
  <si>
    <t>3342-77-6</t>
  </si>
  <si>
    <t>91624</t>
  </si>
  <si>
    <t>HMDB0004089</t>
  </si>
  <si>
    <t>C05653</t>
  </si>
  <si>
    <t>101399</t>
  </si>
  <si>
    <t>XUYANFPPYJSBPU-UHFFFAOYSA-N</t>
  </si>
  <si>
    <t>OC(C(CCCNC(C)=O)N([H])C(C)=O)=O</t>
  </si>
  <si>
    <t>N2,N5-diacetylornithine</t>
  </si>
  <si>
    <t>39825-23-5</t>
  </si>
  <si>
    <t>8573834</t>
  </si>
  <si>
    <t>HMDB0240345</t>
  </si>
  <si>
    <t>65977</t>
  </si>
  <si>
    <t>Bacterial/Fungal</t>
  </si>
  <si>
    <t>KNSAWRXCIVESQC-UHFFFAOYSA-N</t>
  </si>
  <si>
    <t>O=C(O)CC1=C2C(C=CN2)=CC=C1</t>
  </si>
  <si>
    <t>1H-indole-7-acetic acid</t>
  </si>
  <si>
    <t>39689-63-9</t>
  </si>
  <si>
    <t>13535457</t>
  </si>
  <si>
    <t>18356439</t>
  </si>
  <si>
    <t>UCUNFLYVYCGDHP-UHFFFAOYSA-N</t>
  </si>
  <si>
    <t>O=S(C)(CCC(N)C(O)=O)=O</t>
  </si>
  <si>
    <t>methionine sulfone</t>
  </si>
  <si>
    <t>820-10-0</t>
  </si>
  <si>
    <t>63154</t>
  </si>
  <si>
    <t>HMDB0062174</t>
  </si>
  <si>
    <t>69961</t>
  </si>
  <si>
    <t>WKQNRCYKYCKESD-YHTMAJSVSA-N</t>
  </si>
  <si>
    <t>C[N+](CCOP(OCC(O)COC(CCCCCCC/C=C/C/C=C/C/C=C/CC)=O)([O-])=O)(C)C</t>
  </si>
  <si>
    <t>1-linolenoyl-GPC (18:3)*</t>
  </si>
  <si>
    <t>HMDB0010388</t>
  </si>
  <si>
    <t>CCCNUHFRBBIFHO-CVSPRKDYSA-N</t>
  </si>
  <si>
    <t>C=CCS(C[C@H](NC(C)=O)C(O)=O)=O</t>
  </si>
  <si>
    <t>N-acetylalliin</t>
  </si>
  <si>
    <t>URGVIWXYPWWBQO-ZCJATDNESA-N</t>
  </si>
  <si>
    <t>O=P(OCC[NH3+])([O-])OC[C@H](O)CO/C=C/CCCCCC/C=C/CCCCCCCC</t>
  </si>
  <si>
    <t>1-(1-enyl-oleoyl)-GPE (P-18:1)*</t>
  </si>
  <si>
    <t>BFSYFTQDGRDJNV-QCNRFFRDSA-N</t>
  </si>
  <si>
    <t>OC[C@@H](O)[C@@H](O)[C@H](O)C(CNCCCC[C@@H](N)C(O)=O)=O</t>
  </si>
  <si>
    <t>fructosyllysine</t>
  </si>
  <si>
    <t>21291-40-7</t>
  </si>
  <si>
    <t>110281</t>
  </si>
  <si>
    <t>HMDB0034879</t>
  </si>
  <si>
    <t>9839580</t>
  </si>
  <si>
    <t>JEAGLCKGAKACCE-MDZDMXLPSA-N</t>
  </si>
  <si>
    <t>O=P(OCC(O)COC(CCCCCCCCC/C=C/CCCCCCCC)=O)(O)OCCN</t>
  </si>
  <si>
    <t>1-eicosenoyl-GPE (20:1)*</t>
  </si>
  <si>
    <t>HMDB0011518</t>
  </si>
  <si>
    <t>52925139</t>
  </si>
  <si>
    <t>BPSLZWSRHTULGU-ZCFIWIBFSA-N</t>
  </si>
  <si>
    <t>CN1[C@@H](C(O)=O)CCCC1</t>
  </si>
  <si>
    <t>N-methylpipecolate</t>
  </si>
  <si>
    <t>41447-17-0</t>
  </si>
  <si>
    <t>9461516</t>
  </si>
  <si>
    <t>11286529</t>
  </si>
  <si>
    <t>CIQHWLTYGMYQQR-QMMMGPOBSA-N</t>
  </si>
  <si>
    <t>OS(OC1=CC=C(C[C@H](N)C(O)=O)C=C1)(=O)=O</t>
  </si>
  <si>
    <t>O-sulfo-tyrosine</t>
  </si>
  <si>
    <t>448617</t>
  </si>
  <si>
    <t>HMDB0155722</t>
  </si>
  <si>
    <t>514186</t>
  </si>
  <si>
    <t>ZJYZOWMDMWQJIV-UPDIMMRZSA-N</t>
  </si>
  <si>
    <t>O[C@@H]1CC[C@]2(C)[C@]3([H])[C@](CCC2C1)([H])[C@@](CC4)([H])[C@@](CC3)(C)[C@H]4O[C@@H]([C@@H]([C@H]5O)O)O[C@H](C(O)=O)[C@H]5O</t>
  </si>
  <si>
    <t>5alpha-androstan-3alpha,17beta-diol 17-glucuronide</t>
  </si>
  <si>
    <t>QTXWOOLAHRQMGZ-NFZJBPARSA-N</t>
  </si>
  <si>
    <t>O=C1C2[C@](CC[C@H]3OC4[C@H](O)[C@@H](O)[C@H](O)[C@@H](C(O)=O)O4)(C)[C@](C3)([H])CCC2C(CCC5=O)[C@]5(C)C1</t>
  </si>
  <si>
    <t>11-ketoetiocholanolone glucuronide</t>
  </si>
  <si>
    <t>17181-16-7</t>
  </si>
  <si>
    <t>VFUIRAVTUVCQTF-ILTUOXSPSA-N</t>
  </si>
  <si>
    <t>O=C1[C@](CC2)(C)C(CC1)C3C2[C@](CC[C@H]4OC5[C@H](O)[C@@H](O)[C@H](O)[C@@H](C(O)=O)O5)(C)[C@](C4)([H])CC3</t>
  </si>
  <si>
    <t>etiocholanolone glucuronide</t>
  </si>
  <si>
    <t>3602-09-3</t>
  </si>
  <si>
    <t>HMDB0004484</t>
  </si>
  <si>
    <t>270605</t>
  </si>
  <si>
    <t>IZDWMNZNEAXAFE-CQQKWVOPSA-N</t>
  </si>
  <si>
    <t>O=C(C)[C@]1(O)[C@]2(C)C(CC1)C3C(CC2)[C@](CC[C@@H](OC4[C@H](O)[C@@H](O)[C@H](O)[C@@H]([C@@](O)=O)O4)C5)(C)[C@@]5([H])CC3</t>
  </si>
  <si>
    <t>17alpha-hydroxypregnanolone glucuronide</t>
  </si>
  <si>
    <t>CXJAAWRLVGAKDV-UHFFFAOYSA-N</t>
  </si>
  <si>
    <t>O=S(CCNC(C)=O)(O)=O</t>
  </si>
  <si>
    <t>N-acetyltaurine</t>
  </si>
  <si>
    <t>140553</t>
  </si>
  <si>
    <t>HMDB0240253</t>
  </si>
  <si>
    <t>159864</t>
  </si>
  <si>
    <t>FQQQKGAFQIIGLQ-VYFUBJQISA-N</t>
  </si>
  <si>
    <t>O[C@H](COC(CCCCCCC/C=C\CCCCCCCC)=O)COP(OCC(O)CO)(O)=O</t>
  </si>
  <si>
    <t>1-oleoyl-GPG (18:1)*</t>
  </si>
  <si>
    <t>34999689</t>
  </si>
  <si>
    <t>HMDB0240602</t>
  </si>
  <si>
    <t>BVJSKAUUFXBDOB-UHFFFAOYSA-N</t>
  </si>
  <si>
    <t>O=P(OCC(O)CO)(O)OCC(O)COC(CCCCCCCCCCCCCCC)=O</t>
  </si>
  <si>
    <t>1-palmitoyl-GPG (16:0)*</t>
  </si>
  <si>
    <t>2548639</t>
  </si>
  <si>
    <t>HMDB0240601</t>
  </si>
  <si>
    <t>3300276</t>
  </si>
  <si>
    <t>DBABZHXKTCFAPX-UHFFFAOYSA-N</t>
  </si>
  <si>
    <t>O=S(N(CCC)CCC)(C1=CC=C(C(O)=O)C=C1)=O</t>
  </si>
  <si>
    <t>probenecid</t>
  </si>
  <si>
    <t>57-66-9</t>
  </si>
  <si>
    <t>4742</t>
  </si>
  <si>
    <t>HMDB0015166</t>
  </si>
  <si>
    <t>C07372</t>
  </si>
  <si>
    <t>4911</t>
  </si>
  <si>
    <t>RKHXDCVAPIMDMG-UHFFFAOYSA-N</t>
  </si>
  <si>
    <t>OC(CCCCCCCC(O)=O)CCCCCCCCC</t>
  </si>
  <si>
    <t>9-hydroxystearate</t>
  </si>
  <si>
    <t>25498-28-6</t>
  </si>
  <si>
    <t>7844595</t>
  </si>
  <si>
    <t>HMDB0061661</t>
  </si>
  <si>
    <t>9570127</t>
  </si>
  <si>
    <t>HFCPFJNSBPQJDP-UHFFFAOYSA-N</t>
  </si>
  <si>
    <t>[O-]C(CC(C[N+](C)(C)C)OC(CC(C)CC(O)=O)=O)=O</t>
  </si>
  <si>
    <t>3-methylglutarylcarnitine (2)</t>
  </si>
  <si>
    <t>113619</t>
  </si>
  <si>
    <t>HMDB0000552</t>
  </si>
  <si>
    <t>128145</t>
  </si>
  <si>
    <t>HOVAGTYPODGVJG-ZFYZTMLRSA-N</t>
  </si>
  <si>
    <t>O[C@H]1[C@@H]([C@H]([C@H](O[C@@H]1CO)OC)O)O</t>
  </si>
  <si>
    <t>methyl glucopyranoside (alpha + beta)</t>
  </si>
  <si>
    <t>HMDB0029965</t>
  </si>
  <si>
    <t>445238,3036743,2108</t>
  </si>
  <si>
    <t>WPAMZTWLKIDIOP-WVZVXSGGSA-N</t>
  </si>
  <si>
    <t>OC[C@@H](O)[C@@H](O)CC(C(O)=O)=O</t>
  </si>
  <si>
    <t>2-keto-3-deoxy-gluconate</t>
  </si>
  <si>
    <t>17510-99-5</t>
  </si>
  <si>
    <t>141630</t>
  </si>
  <si>
    <t>HMDB0001353</t>
  </si>
  <si>
    <t>C00204</t>
  </si>
  <si>
    <t>161227</t>
  </si>
  <si>
    <t>ZQMMTPNJGWUHCB-UHFFFAOYSA-N</t>
  </si>
  <si>
    <t>CC1=C(OS(O)(=O)=O)C(C)=C2C(OC(C)(CCC(O)=O)CC2)=C1C</t>
  </si>
  <si>
    <t>alpha-CEHC sulfate</t>
  </si>
  <si>
    <t>DYOFESDCRUIQTB-UHFFFAOYSA-N</t>
  </si>
  <si>
    <t>OC(C1C(O)C(O)C(O)C(OC2=C(C)C(C)=C(OC(C)(CCCC(C)C(O)=O)CC3)C3=C2C)O1)=O</t>
  </si>
  <si>
    <t>alpha-CMBHC glucuronide</t>
  </si>
  <si>
    <t>SOWIKWJDPCEPOJ-IOBWIPHESA-N</t>
  </si>
  <si>
    <t>CCCC/C=C/CCCCCCCC(N[C@@](COP([O-])(OCC[N+](C)(C)C)=O)([C@](O)(/C=C/CCCCCCCCCCCCC)[H])[H])=O</t>
  </si>
  <si>
    <t>sphingomyelin (d18:2/14:0, d18:1/14:1)*</t>
  </si>
  <si>
    <t>HMDB0240637,HMDB0240612</t>
  </si>
  <si>
    <t>WKZHECFHXLTOLJ-QYKFWSDSSA-N</t>
  </si>
  <si>
    <t>O[C@H](/C=C/CCCCCCCCCCCCC)[C@H](CO[P](OCC[N+](C)(C)C)([O-])=O)NC(CCCCCCCCCCCCC/C=C\CCCCCCCC)=O</t>
  </si>
  <si>
    <t>sphingomyelin (d18:1/24:1, d18:2/24:0)*</t>
  </si>
  <si>
    <t>94359-13-4</t>
  </si>
  <si>
    <t>24846874</t>
  </si>
  <si>
    <t>HMDB0012107</t>
  </si>
  <si>
    <t>44260126</t>
  </si>
  <si>
    <t>Fatty Acid Metabolism (Acyl Carnitine, Dicarboxylate)</t>
  </si>
  <si>
    <t>CYPBWZKNUDFJJE-PLNGDYQASA-N</t>
  </si>
  <si>
    <t>O=C(CCCCCCC/C=C\CCCCCCCC(O)=O)OC(CC([O-])=O)C[N+](C)(C)C</t>
  </si>
  <si>
    <t>octadecenedioylcarnitine (C18:1-DC)*</t>
  </si>
  <si>
    <t>251981-06-3</t>
  </si>
  <si>
    <t>28639201</t>
  </si>
  <si>
    <t>ULCCGBCYWCYNIC-UHFFFAOYSA-N</t>
  </si>
  <si>
    <t>O=C(CCCCCCCCCCCCCCCCC(O)=O)OC(CC([O-])=O)C[N+](C)(C)C</t>
  </si>
  <si>
    <t>octadecanedioylcarnitine (C18-DC)*</t>
  </si>
  <si>
    <t>123233-50-1</t>
  </si>
  <si>
    <t>28639203</t>
  </si>
  <si>
    <t>5alpha-androstan-3alpha,17beta-diol monosulfate (2)</t>
  </si>
  <si>
    <t>121596225</t>
  </si>
  <si>
    <t>ABVVZYXTZLEOHP-OLHLWXQYSA-N</t>
  </si>
  <si>
    <t>O=C(CCCCCCC/C=C\CCCC)O[C@H](CC([O-])=O)C[N+](C)(C)C</t>
  </si>
  <si>
    <t>myristoleoylcarnitine (C14:1)*</t>
  </si>
  <si>
    <t>889848-55-9</t>
  </si>
  <si>
    <t>34999520</t>
  </si>
  <si>
    <t>HMDB0240588</t>
  </si>
  <si>
    <t>129691961</t>
  </si>
  <si>
    <t>NSTPXGARCQOSAU-VIFPVBQESA-N</t>
  </si>
  <si>
    <t>OC([C@@H](NC=O)CC1=CC=CC=C1)=O</t>
  </si>
  <si>
    <t>N-formylphenylalanine</t>
  </si>
  <si>
    <t>13200-85-6</t>
  </si>
  <si>
    <t>663938</t>
  </si>
  <si>
    <t>HMDB0240317</t>
  </si>
  <si>
    <t>759256,7064571</t>
  </si>
  <si>
    <t>MDQKYGOECVSPIW-UHFFFAOYSA-N</t>
  </si>
  <si>
    <t>ClC1=C(C#N)C(Cl)=C(Cl)C(O)=C1C#N</t>
  </si>
  <si>
    <t>4-hydroxychlorothalonil</t>
  </si>
  <si>
    <t>28343-61-5</t>
  </si>
  <si>
    <t>31530</t>
  </si>
  <si>
    <t>HMDB0240624</t>
  </si>
  <si>
    <t>34217</t>
  </si>
  <si>
    <t>HRHBRUPGUDLQIF-ONEGZZNKSA-N</t>
  </si>
  <si>
    <t>C/C=C/C1=CC(OC)=C(OS(O)(=O)=O)C=C1</t>
  </si>
  <si>
    <t>isoeugenol sulfate</t>
  </si>
  <si>
    <t>157181</t>
  </si>
  <si>
    <t>122198202</t>
  </si>
  <si>
    <t>DYDUXGMDSXJQFT-UHFFFAOYSA-N</t>
  </si>
  <si>
    <t>NCCC1=CC=C(OS(O)(=O)=O)C=C1</t>
  </si>
  <si>
    <t>tyramine O-sulfate</t>
  </si>
  <si>
    <t>30223-92-8</t>
  </si>
  <si>
    <t>134849</t>
  </si>
  <si>
    <t>HMDB0006409</t>
  </si>
  <si>
    <t>153005</t>
  </si>
  <si>
    <t>BDERIBJTVYFANV-UHFFFAOYSA-N</t>
  </si>
  <si>
    <t>O=S(OC1=CC=CN=C1)(O)=O</t>
  </si>
  <si>
    <t>3-hydroxypyridine sulfate</t>
  </si>
  <si>
    <t>1955-23-3</t>
  </si>
  <si>
    <t>16232314</t>
  </si>
  <si>
    <t>LILXPJXZNJTPQZ-UHFFFAOYSA-N</t>
  </si>
  <si>
    <t>CC1=CC=C(OS(=O)(O)=O)C(OC)=C1</t>
  </si>
  <si>
    <t>4-methylguaiacol sulfate</t>
  </si>
  <si>
    <t>756760-43-7</t>
  </si>
  <si>
    <t>DZTZJNGATJMDSH-CYBMUJFWSA-N</t>
  </si>
  <si>
    <t>O=C(CC1=CC=CC=C1)O[C@H](CC([O-])=O)C[N+](C)(C)C</t>
  </si>
  <si>
    <t>phenylacetylcarnitine</t>
  </si>
  <si>
    <t>287108-21-8</t>
  </si>
  <si>
    <t>101724840</t>
  </si>
  <si>
    <t>QXKAIJAYHKCRRA-JJYYJPOSSA-N</t>
  </si>
  <si>
    <t>OC([C@H]([C@@H]([C@@H](CO)O)O)O)=O</t>
  </si>
  <si>
    <t>arabonate/xylonate</t>
  </si>
  <si>
    <t>HMDB0000539</t>
  </si>
  <si>
    <t>C00502,C05411</t>
  </si>
  <si>
    <t>122045,6602431</t>
  </si>
  <si>
    <t>IBEAHXYYSZWGED-UHFFFAOYSA-N</t>
  </si>
  <si>
    <t>O=C(OC)C1=CC=C(OS(=O)(O)=O)C=C1</t>
  </si>
  <si>
    <t>methyl-4-hydroxybenzoate sulfate</t>
  </si>
  <si>
    <t>HMDB0041646</t>
  </si>
  <si>
    <t>10657183</t>
  </si>
  <si>
    <t>LERKRWCYZNDWFH-QNEBEIHSSA-N</t>
  </si>
  <si>
    <t>OCC(O)COC(CCCCCC/C=C\C/C=C\C/C=C\CCCCC)=O</t>
  </si>
  <si>
    <t>1-dihomo-linolenylglycerol (20:3)</t>
  </si>
  <si>
    <t>HMDB0011577</t>
  </si>
  <si>
    <t>FKCHAXAGQVCJPN-UHFFFAOYSA-N</t>
  </si>
  <si>
    <t>COC1=C(OS(O)(=O)=O)C=CC(C=C)=C1</t>
  </si>
  <si>
    <t>4-vinylguaiacol sulfate</t>
  </si>
  <si>
    <t>HMDB0127980</t>
  </si>
  <si>
    <t>53803570</t>
  </si>
  <si>
    <t>SVYIZYRTOYHQRE-UHFFFAOYSA-N</t>
  </si>
  <si>
    <t>OC1=C(OC)C=C(CC(C(O)=O)O)C=C1</t>
  </si>
  <si>
    <t>vanillactate</t>
  </si>
  <si>
    <t>2475-56-1</t>
  </si>
  <si>
    <t>141152</t>
  </si>
  <si>
    <t>HMDB0000913</t>
  </si>
  <si>
    <t>160637</t>
  </si>
  <si>
    <t>XWAZTQUZONPJEW-UHFFFAOYSA-N</t>
  </si>
  <si>
    <t>COC1=CC(CC=C)=CC=C1OS(=O)(O)=O</t>
  </si>
  <si>
    <t>eugenol sulfate</t>
  </si>
  <si>
    <t>95480-60-7</t>
  </si>
  <si>
    <t>HMDB0135245</t>
  </si>
  <si>
    <t>180632</t>
  </si>
  <si>
    <t>MENQCIVHHONJLU-GQCBXAOTSA-N</t>
  </si>
  <si>
    <t>C[C@]12C(C3CC[C@@]4(C[C@@H](CC[C@@]4(C3CC2)C)OS(=O)(O)=O)[H])CCC1C(C)=O</t>
  </si>
  <si>
    <t>pregnanolone/allopregnanolone sulfate</t>
  </si>
  <si>
    <t>HMDB0240591,HMDB0062782</t>
  </si>
  <si>
    <t>C05480</t>
  </si>
  <si>
    <t>31402,129699967</t>
  </si>
  <si>
    <t>ARLAWMCEVZUXEY-UHFFFAOYSA-N</t>
  </si>
  <si>
    <t>OC1=CC=CC(OS(=O)(O)=O)=C1OC</t>
  </si>
  <si>
    <t>2-methoxyresorcinol sulfate</t>
  </si>
  <si>
    <t>1446269-78-8</t>
  </si>
  <si>
    <t>HTQMVQVXFRQIKW-UHFFFAOYSA-N</t>
  </si>
  <si>
    <t>O=C(C1=CC=CC2=C1N(CC(C=C3)=CC=C3C4=CC=CC=C4C5=NN=NN5)C(OCC)=N2)O</t>
  </si>
  <si>
    <t>candesartan</t>
  </si>
  <si>
    <t>139481-59-7</t>
  </si>
  <si>
    <t>2445</t>
  </si>
  <si>
    <t>HMDB0014934</t>
  </si>
  <si>
    <t>C07468</t>
  </si>
  <si>
    <t>2541</t>
  </si>
  <si>
    <t>JCVGTUVGDOWZJE-UHFFFAOYSA-N</t>
  </si>
  <si>
    <t>CC(NC(C=CC=C1)=C1OS(=O)(O)=O)=O</t>
  </si>
  <si>
    <t>2-acetamidophenol sulfate</t>
  </si>
  <si>
    <t>40712-60-5</t>
  </si>
  <si>
    <t>158023</t>
  </si>
  <si>
    <t>181671</t>
  </si>
  <si>
    <t>JPAUCQAJHLSMQW-XPORZQOISA-N</t>
  </si>
  <si>
    <t>O[C@H]([C@@H](O)[C@@H]1O)[C@@H](O[C@@H]1C(O)=O)OC2=CC=C(C)C=C2</t>
  </si>
  <si>
    <t>p-cresol glucuronide*</t>
  </si>
  <si>
    <t>17680-99-8</t>
  </si>
  <si>
    <t>135751</t>
  </si>
  <si>
    <t>HMDB0011686</t>
  </si>
  <si>
    <t>154035</t>
  </si>
  <si>
    <t>YGCFIWIQZPHFLU-UHFFFAOYSA-N</t>
  </si>
  <si>
    <t>CC1=CC(NS(O1)(=O)=O)=O</t>
  </si>
  <si>
    <t>acesulfame</t>
  </si>
  <si>
    <t>55589-62-3</t>
  </si>
  <si>
    <t>33607</t>
  </si>
  <si>
    <t>HMDB0033585</t>
  </si>
  <si>
    <t>36573</t>
  </si>
  <si>
    <t>QELSKZZBTMNZEB-UHFFFAOYSA-N</t>
  </si>
  <si>
    <t>OC1=CC=C(C(OCCC)=O)C=C1</t>
  </si>
  <si>
    <t>propyl 4-hydroxybenzoate</t>
  </si>
  <si>
    <t>94-13-3</t>
  </si>
  <si>
    <t>6907</t>
  </si>
  <si>
    <t>HMDB0032574</t>
  </si>
  <si>
    <t>D01422</t>
  </si>
  <si>
    <t>7175</t>
  </si>
  <si>
    <t>CYLYVXPHAQLXFG-UHFFFAOYSA-N</t>
  </si>
  <si>
    <t>CC(NC(C=C1)=CC=C1S(NC2=NC=CC=C2)(=O)=O)=O</t>
  </si>
  <si>
    <t>N-acetyl sulfapyridine</t>
  </si>
  <si>
    <t>19077-98-6</t>
  </si>
  <si>
    <t>52841</t>
  </si>
  <si>
    <t>58638</t>
  </si>
  <si>
    <t>ACWBQPMHZXGDFX-UHFFFAOYSA-N</t>
  </si>
  <si>
    <t>O=C(O)C(C(C)C)N(C(CCCC)=O)CC1=CC=C(C2=CC=CC=C2C3=NN=NN3)C=C1</t>
  </si>
  <si>
    <t>valsartan</t>
  </si>
  <si>
    <t>137862-53-4</t>
  </si>
  <si>
    <t>5448</t>
  </si>
  <si>
    <t>HMDB0014323</t>
  </si>
  <si>
    <t>60846</t>
  </si>
  <si>
    <t>VTRAEEWXHOVJFV-UHFFFAOYSA-N</t>
  </si>
  <si>
    <t>OC(C)(C)C1=C(C(O)=O)N(CC(C=C2)=CC=C2C(C=CC=C3)=C3C4=NN=NN4)C(CCC)=N1</t>
  </si>
  <si>
    <t>olmesartan</t>
  </si>
  <si>
    <t>144689-24-7</t>
  </si>
  <si>
    <t>139674</t>
  </si>
  <si>
    <t>HMDB0014420</t>
  </si>
  <si>
    <t>D05246</t>
  </si>
  <si>
    <t>158781</t>
  </si>
  <si>
    <t>QRHHXPIYYXPEMG-UHFFFAOYSA-N</t>
  </si>
  <si>
    <t>O=S(OC1=CC=C2C=CNC2=C1)(O)=O</t>
  </si>
  <si>
    <t>6-hydroxyindole sulfate</t>
  </si>
  <si>
    <t>122198196</t>
  </si>
  <si>
    <t>IGTMFIJOUADBDC-UHFFFAOYSA-N</t>
  </si>
  <si>
    <t>COC1=CC=C(OS(=O)(O)=O)C=C1</t>
  </si>
  <si>
    <t>4-methoxyphenol sulfate</t>
  </si>
  <si>
    <t>3233-60-1</t>
  </si>
  <si>
    <t>WEKBGFBWJOHXKR-UHFFFAOYSA-N</t>
  </si>
  <si>
    <t>CCCOC(C1=CC=C(OS(=O)(O)=O)C=C1)=O</t>
  </si>
  <si>
    <t>propyl 4-hydroxybenzoate sulfate</t>
  </si>
  <si>
    <t>162338-10-5</t>
  </si>
  <si>
    <t>48063224</t>
  </si>
  <si>
    <t>HMDB0135261</t>
  </si>
  <si>
    <t>131838881</t>
  </si>
  <si>
    <t>LJOOSFYJELZGMR-UHFFFAOYSA-N</t>
  </si>
  <si>
    <t>O=C1C=CC2=CC=C(OS(=O)(O)=O)C=C2O1</t>
  </si>
  <si>
    <t>umbelliferone sulfate</t>
  </si>
  <si>
    <t>69526-88-1</t>
  </si>
  <si>
    <t>114800</t>
  </si>
  <si>
    <t>HMDB0240565</t>
  </si>
  <si>
    <t>129659</t>
  </si>
  <si>
    <t>AADLTHQNYQJHQV-SVLGDMRNSA-N</t>
  </si>
  <si>
    <t>CCCCCCCCCCCCC/C=C/[C@@H](O)[C@@H](NC(CCCCCCCCCCCCCCCCCCC)=O)COP([O-])(OCC[N+](C)(C)C)=O</t>
  </si>
  <si>
    <t>sphingomyelin (d18:1/20:0, d16:1/22:0)*</t>
  </si>
  <si>
    <t>23113477</t>
  </si>
  <si>
    <t>HMDB0012102</t>
  </si>
  <si>
    <t>44260124</t>
  </si>
  <si>
    <t>MDRFMTLYKHBJTF-YECRPIIFSA-N</t>
  </si>
  <si>
    <t>CCCCCCCCCCCCC/C=C/[C@@H](O)[C@@H](NC(CCCCCCCCC/C=C/CCCCCCCC)=O)COP([O-])(OCC[N+](C)(C)C)=O</t>
  </si>
  <si>
    <t>sphingomyelin (d18:1/20:1, d18:2/20:0)*</t>
  </si>
  <si>
    <t>222403-67-0</t>
  </si>
  <si>
    <t>HMDB0240610,HMDB0240632</t>
  </si>
  <si>
    <t>YVTVVJRJLRHYSJ-COUPUTHFSA-N</t>
  </si>
  <si>
    <t>CCCCCCCCCCCCC/C=C/[C@@H](O)[C@@H](NC(CCCCCCCCC/C=C/C/C=C/CCCCC)=O)COP([O-])(OCC[N+](C)(C)C)=O</t>
  </si>
  <si>
    <t>sphingomyelin (d18:1/20:2, d18:2/20:1, d16:1/22:2)*</t>
  </si>
  <si>
    <t>FJJANLYCZUNFSE-TWKUQIQBSA-N</t>
  </si>
  <si>
    <t>CCCCCCCCCCCCC/C=C/[C@@H](O)[C@@H](NC(CCCCCCCCCCCCCCCCCCCCC)=O)COP([O-])(OCC[N+](C)(C)C)=O</t>
  </si>
  <si>
    <t>behenoyl sphingomyelin (d18:1/22:0)*</t>
  </si>
  <si>
    <t>24846873</t>
  </si>
  <si>
    <t>HMDB0012103</t>
  </si>
  <si>
    <t>44260125</t>
  </si>
  <si>
    <t>VBFKEZGCUWHGSK-ADSSWVSQSA-N</t>
  </si>
  <si>
    <t>CCCCCCCCCCCCC/C=C/[C@@H](O)[C@@H](NC(CCCCCCCCCCC/C=C\CCCCCCCC)=O)COP([O-])(OCC[N+](C)(C)C)=O</t>
  </si>
  <si>
    <t>sphingomyelin (d18:1/22:1, d18:2/22:0, d16:1/24:1)*</t>
  </si>
  <si>
    <t>29368329</t>
  </si>
  <si>
    <t>HMDB0012104</t>
  </si>
  <si>
    <t>BBJBWENPFZYXKM-CUYAXJSGSA-N</t>
  </si>
  <si>
    <t>CCCCCCCCCCCCC/C=C/[C@@H](O)[C@@H](NC(CCCCCCCCCCC/C=C/C/C=C/CCCCC)=O)COP([O-])(OCC[N+](C)(C)C)=O</t>
  </si>
  <si>
    <t>sphingomyelin (d18:1/22:2, d18:2/22:1, d16:1/24:2)*</t>
  </si>
  <si>
    <t>HMDB0240670,HMDB0240672,HMDB0240669</t>
  </si>
  <si>
    <t>QEDPUVGSSDPBMD-XTAIVQBESA-N</t>
  </si>
  <si>
    <t>CCCCCCCCCCCCC/C=C/[C@@H](O)[C@@H](NC(CCCCCCCCCCCCCCCCCCCCCCC)=O)COP([O-])(OCC[N+](C)(C)C)=O</t>
  </si>
  <si>
    <t>lignoceroyl sphingomyelin (d18:1/24:0)</t>
  </si>
  <si>
    <t>60037-60-7</t>
  </si>
  <si>
    <t>24846875</t>
  </si>
  <si>
    <t>HMDB0011697</t>
  </si>
  <si>
    <t>LQINJRUGTUOHGS-YPDYIYJKSA-N</t>
  </si>
  <si>
    <t>CCCCCCCCCCCCC/C=C/[C@@H](O)[C@@H](NC(CCCCCCCCCCCCCC)=O)COP([O-])(OCC[N+](C)(C)C)=O</t>
  </si>
  <si>
    <t>sphingomyelin (d17:1/16:0, d18:1/15:0, d16:1/17:0)*</t>
  </si>
  <si>
    <t>121999-58-4</t>
  </si>
  <si>
    <t>28532779</t>
  </si>
  <si>
    <t>HMDB0240617,HMDB0240608</t>
  </si>
  <si>
    <t>DEKNNWJXAQTLFA-UHFFFAOYSA-N</t>
  </si>
  <si>
    <t>O=S(OC1=CC=C(CCN)C=C1O)(O)=O</t>
  </si>
  <si>
    <t>dopamine 4-sulfate</t>
  </si>
  <si>
    <t>110461</t>
  </si>
  <si>
    <t>HMDB0004148</t>
  </si>
  <si>
    <t>C13691</t>
  </si>
  <si>
    <t>68517194</t>
  </si>
  <si>
    <t>NZKRYJGNYPYXJZ-UHFFFAOYSA-N</t>
  </si>
  <si>
    <t>NCCC1=CC(OS(=O)(O)=O)=C(O)C=C1</t>
  </si>
  <si>
    <t>dopamine 3-O-sulfate</t>
  </si>
  <si>
    <t>108936</t>
  </si>
  <si>
    <t>HMDB0006275</t>
  </si>
  <si>
    <t>C13690</t>
  </si>
  <si>
    <t>122136</t>
  </si>
  <si>
    <t>HPMGFDVTYHWBAG-UHFFFAOYSA-N</t>
  </si>
  <si>
    <t>CCCC(O)CC(O)=O</t>
  </si>
  <si>
    <t>3-hydroxyhexanoate</t>
  </si>
  <si>
    <t>10191-24-9</t>
  </si>
  <si>
    <t>133518</t>
  </si>
  <si>
    <t>HMDB0061652,HMDB0010718</t>
  </si>
  <si>
    <t>151492</t>
  </si>
  <si>
    <t>LUSWEUMSEVLFEQ-UHFFFAOYSA-N</t>
  </si>
  <si>
    <t>O=C(C(C)NC(N)=O)O</t>
  </si>
  <si>
    <t>N-carbamoylalanine</t>
  </si>
  <si>
    <t>77340-50-2</t>
  </si>
  <si>
    <t>377278</t>
  </si>
  <si>
    <t>426409</t>
  </si>
  <si>
    <t>WVXOMPRLWLXFAP-AMQKJUDNSA-N</t>
  </si>
  <si>
    <t>C[C@@H]([C@H]1CC[C@@H]2[C@]1(C)CC[C@H]3[C@H]2CC=C4[C@]3(C)CC[C@H](O)C4)CCCC(C(O)=O)C</t>
  </si>
  <si>
    <t>3beta-hydroxy-5-cholestenoate</t>
  </si>
  <si>
    <t>6561-58-6</t>
  </si>
  <si>
    <t>HMDB0012453</t>
  </si>
  <si>
    <t>C17333</t>
  </si>
  <si>
    <t>165511</t>
  </si>
  <si>
    <t>NGVLEQPKHLWZLN-UHFFFAOYSA-N</t>
  </si>
  <si>
    <t>OC1=C(O)C(OS(=O)(O)=O)=CC=C1</t>
  </si>
  <si>
    <t>1,2,3-benzenetriol sulfate (2)</t>
  </si>
  <si>
    <t>HMDB0060018,HMDB0060016</t>
  </si>
  <si>
    <t>92013662,54110629</t>
  </si>
  <si>
    <t>NTXOJWKIHIOUQN-UHFFFAOYSA-N</t>
  </si>
  <si>
    <t>OC1=C(C=CC=C1OS(=O)(O)=O)OC</t>
  </si>
  <si>
    <t>3-methoxycatechol sulfate (1)</t>
  </si>
  <si>
    <t>129892430</t>
  </si>
  <si>
    <t>OC1=C(OC)C=CC=C1OS(=O)(O)=O</t>
  </si>
  <si>
    <t>3-methoxycatechol sulfate (2)</t>
  </si>
  <si>
    <t>PPIMFXHQDQRWGJ-JTQLQIEISA-N</t>
  </si>
  <si>
    <t>OC([C@@H](NC(C)=O)CC(C1=CC=CC=C1N)=O)=O</t>
  </si>
  <si>
    <t>N-acetylkynurenine (2)</t>
  </si>
  <si>
    <t>HMDB0240342</t>
  </si>
  <si>
    <t>73817779</t>
  </si>
  <si>
    <t>CPXSBHKDEPPWIX-RAYCSJGISA-N</t>
  </si>
  <si>
    <t>N[C@H](C(O)=O)CC1=C([C@H]([C@H]([C@@H](O)[C@@H]2O)O)O[C@@H]2CO)NC3=CC=CC=C13</t>
  </si>
  <si>
    <t>C-glycosyltryptophan</t>
  </si>
  <si>
    <t>180509-18-6</t>
  </si>
  <si>
    <t>9157171</t>
  </si>
  <si>
    <t>HMDB0240296</t>
  </si>
  <si>
    <t>10981970</t>
  </si>
  <si>
    <t>TVYLLZQTGLZFBW-ZBFHGGJFSA-N</t>
  </si>
  <si>
    <t>CN(C[C@H]1CCCC[C@]1(O)C2=CC(OC)=CC=C2)C</t>
  </si>
  <si>
    <t>tramadol</t>
  </si>
  <si>
    <t>27203-92-5</t>
  </si>
  <si>
    <t>31105</t>
  </si>
  <si>
    <t>HMDB0014339</t>
  </si>
  <si>
    <t>C07153</t>
  </si>
  <si>
    <t>33741</t>
  </si>
  <si>
    <t>UWJUQVWARXYRCG-UHFFFAOYSA-N</t>
  </si>
  <si>
    <t>OC1(CCCCC1CN(C)C)c2cccc(O)c2</t>
  </si>
  <si>
    <t>O-desmethyltramadol</t>
  </si>
  <si>
    <t>73986-53-5</t>
  </si>
  <si>
    <t>115703</t>
  </si>
  <si>
    <t>HMDB0060997</t>
  </si>
  <si>
    <t>9838803</t>
  </si>
  <si>
    <t>DSBGQRZOJXSECT-VFUSOVNCSA-N</t>
  </si>
  <si>
    <t>CN(CC1CCCCC1(O)c2cc(O[C@H]3[C@H](O)[C@@H](O)[C@H](O)[C@@H](C(O)=O)O3)ccc2)C</t>
  </si>
  <si>
    <t>O-desmethyltramadol glucuronide</t>
  </si>
  <si>
    <t>383891-39-2</t>
  </si>
  <si>
    <t>28467711</t>
  </si>
  <si>
    <t>HMDB0060856</t>
  </si>
  <si>
    <t>29919005</t>
  </si>
  <si>
    <t>HEBKCHPVOIAQTA-IMJSIDKUSA-N</t>
  </si>
  <si>
    <t>OC[C@@H](C([C@H](CO)O)O)O</t>
  </si>
  <si>
    <t>arabitol/xylitol</t>
  </si>
  <si>
    <t>HMDB0001851,HMDB0000568,HMDB0002917</t>
  </si>
  <si>
    <t>C00379,C00542,C01904</t>
  </si>
  <si>
    <t>94154,6912</t>
  </si>
  <si>
    <t>OVRNDRQMDRJTHS-FMDGEEDCSA-N</t>
  </si>
  <si>
    <t>O[C@@H]1[C@H]([C@@H](O[C@@H]([C@H]1O)CO)O)NC(C)=O</t>
  </si>
  <si>
    <t>N-acetylglucosamine/N-acetylgalactosamine</t>
  </si>
  <si>
    <t>HMDB0000212,HMDB0000215</t>
  </si>
  <si>
    <t>C01074</t>
  </si>
  <si>
    <t>439174,84265</t>
  </si>
  <si>
    <t>HNEGQIOMVPPMNR-IHWYPQMZSA-N</t>
  </si>
  <si>
    <t>C/C(C(O)=O)=C/C(O)=O</t>
  </si>
  <si>
    <t>citraconate/glutaconate</t>
  </si>
  <si>
    <t>HMDB0000634,HMDB0000620</t>
  </si>
  <si>
    <t>C02226,C02214</t>
  </si>
  <si>
    <t>5280498,643798</t>
  </si>
  <si>
    <t>BSVHAXJKBCWVDA-UHFFFAOYSA-N</t>
  </si>
  <si>
    <t>[O-]C(CC(OC(CCCCC(O)=O)=O)C[N+](C)(C)C)=O</t>
  </si>
  <si>
    <t>adipoylcarnitine (C6-DC)</t>
  </si>
  <si>
    <t>28540385</t>
  </si>
  <si>
    <t>HMDB0061677</t>
  </si>
  <si>
    <t>71296139</t>
  </si>
  <si>
    <t>MPSPNFAQQQMFLK-UHFFFAOYSA-N</t>
  </si>
  <si>
    <t>[O-]C(CC(OC(CCCCCCCC)=O)C[N+](C)(C)C)=O</t>
  </si>
  <si>
    <t>nonanoylcarnitine (C9)</t>
  </si>
  <si>
    <t>28533402</t>
  </si>
  <si>
    <t>HMDB0013288</t>
  </si>
  <si>
    <t>91825642</t>
  </si>
  <si>
    <t>YVWVEIPYMGBQPE-UHFFFAOYSA-N</t>
  </si>
  <si>
    <t>[O-]C(CC(OC(CCCCCCC(O)=O)=O)C[N+](C)(C)C)=O</t>
  </si>
  <si>
    <t>suberoylcarnitine (C8-DC)</t>
  </si>
  <si>
    <t>DKXXSIJHWWVNMO-ISIKUUMTSA-N</t>
  </si>
  <si>
    <t>OS(OC1C[C@]2([H])C(CC1)(C)[C@@H]3[C@@]([C@@](CC4)([H])[C@@](CC3)(C)[C@H]4[C@H](C)CCC(NCC(O)=O)=O)([H])[C@H](O)C2)(=O)=O</t>
  </si>
  <si>
    <t>glycochenodeoxycholate 3-sulfate</t>
  </si>
  <si>
    <t>HMDB0002409,HMDB0002496,HMDB0002497</t>
  </si>
  <si>
    <t>21116917,21125002,11954205</t>
  </si>
  <si>
    <t>QJZCNFGUZPMYAX-WWZCPACMSA-N</t>
  </si>
  <si>
    <t>OS(OC1CC[C@@]2(C)[C@@](CC[C@]3([H])[C@]2([H])C[C@H](O)[C@@]4(C)[C@]3(CC[C@@H]4[C@H](C)CCC(NCC(O)=O)=O)[H])([H])C1)(=O)=O</t>
  </si>
  <si>
    <t>glycodeoxycholate 3-sulfate</t>
  </si>
  <si>
    <t>101602538</t>
  </si>
  <si>
    <t>UCVGCHGIKFWAGH-WQVRBXQRSA-N</t>
  </si>
  <si>
    <t>C[C@@]12[C@@](CCC3C2C[C@H](O)[C@@]4(C)C3CC[C@@H]4[C@@H](CCC(NCCS(O)(=O)=O)=O)C)([H])C[C@H](OS(O)(=O)=O)CC1</t>
  </si>
  <si>
    <t>taurodeoxycholic acid 3-sulfate</t>
  </si>
  <si>
    <t>VFMNSFWBDMRNLJ-UHFFFAOYSA-N</t>
  </si>
  <si>
    <t>OC(CC1C(CCC)C1)=O</t>
  </si>
  <si>
    <t>trans-3,4-methyleneheptanoate</t>
  </si>
  <si>
    <t>WVHAUDNUGBNUDZ-GOVZDWNOSA-N</t>
  </si>
  <si>
    <t>O[C@H]1[C@H](OC2=CC=CC=C2)O[C@H](C(O)=O)[C@@H](O)[C@@H]1O</t>
  </si>
  <si>
    <t>phenol glucuronide</t>
  </si>
  <si>
    <t>17685-05-1</t>
  </si>
  <si>
    <t>78692</t>
  </si>
  <si>
    <t>HMDB0060014</t>
  </si>
  <si>
    <t>87235</t>
  </si>
  <si>
    <t>KQXDGUVSAAQARU-HZJYTTRNSA-N</t>
  </si>
  <si>
    <t>CCCCC/C=C\C/C=C\CCCCCCCC(NCCO)=O</t>
  </si>
  <si>
    <t>linoleoyl ethanolamide</t>
  </si>
  <si>
    <t>68171-52-8</t>
  </si>
  <si>
    <t>4446566</t>
  </si>
  <si>
    <t>HMDB0012252</t>
  </si>
  <si>
    <t>5283446</t>
  </si>
  <si>
    <t>YESZIQBQBRDCJZ-OOJCLDBCSA-N</t>
  </si>
  <si>
    <t>[O-][C@@H]1[C@@H](N2CCOCC2)C[C@@]3(C)[C@](CC[C@]4([H])[C@]3([H])CC[C@@]5(C)[C@@]4([H])C[C@H]([N+]6(CC=C)CCCC6)[C@@H]5OC(C)=O)([H])C1</t>
  </si>
  <si>
    <t>rocuronium</t>
  </si>
  <si>
    <t>143558-00-3</t>
  </si>
  <si>
    <t>8025583</t>
  </si>
  <si>
    <t>HMDB0014866</t>
  </si>
  <si>
    <t>C07556</t>
  </si>
  <si>
    <t>441290</t>
  </si>
  <si>
    <t>FVXDQWZBHIXIEJ-LNDKUQBDSA-N</t>
  </si>
  <si>
    <t>CCCCC/C=C\C/C=C\CCCCCCCC(OC[C@@H](OC(CCCCCCC/C=C\C/C=C\CCCCC)=O)COP([O-])(OCC[N+](C)(C)C)=O)=O</t>
  </si>
  <si>
    <t>1,2-dilinoleoyl-GPC (18:2/18:2)</t>
  </si>
  <si>
    <t>998-06-1</t>
  </si>
  <si>
    <t>4450312</t>
  </si>
  <si>
    <t>HMDB0008138</t>
  </si>
  <si>
    <t>5288075</t>
  </si>
  <si>
    <t>ATHVAWFAEPLPPQ-VRDBWYNSSA-N</t>
  </si>
  <si>
    <t>O=C(CCCCCCCCCCCCCCCCC)OC[C@]([H])(COP(OCC[N+](C)(C)C)([O-])=O)OC(CCCCCCC/C=C\CCCCCCCC)=O</t>
  </si>
  <si>
    <t>1-stearoyl-2-oleoyl-GPC (18:0/18:1)</t>
  </si>
  <si>
    <t>56421-10-4</t>
  </si>
  <si>
    <t>24766704</t>
  </si>
  <si>
    <t>HMDB0008038</t>
  </si>
  <si>
    <t>24778825</t>
  </si>
  <si>
    <t>IIZPXYDJLKNOIY-JXPKJXOSSA-N</t>
  </si>
  <si>
    <t>CCCCCCCCCCCCCCCC(OC[C@@]([H])(OC(CCC/C=C\C/C=C\C/C=C\C/C=C\CCCCC)=O)COP([O-])(OCC[N+](C)(C)C)=O)=O</t>
  </si>
  <si>
    <t>1-palmitoyl-2-arachidonoyl-GPC (16:0/20:4n6)</t>
  </si>
  <si>
    <t>35418-58-7</t>
  </si>
  <si>
    <t>8923140</t>
  </si>
  <si>
    <t>HMDB0007982</t>
  </si>
  <si>
    <t>10747814</t>
  </si>
  <si>
    <t>IESVDEZGAHUQJU-ZLBXKVHBSA-N</t>
  </si>
  <si>
    <t>CCCCCCCCCCCCCCCC(OC[C@](OC(CC/C=C\C/C=C\C/C=C\C/C=C\C/C=C\C/C=C\CC)=O)([H])COP([O-])(OCC[N+](C)(C)C)=O)=O</t>
  </si>
  <si>
    <t>1-palmitoyl-2-docosahexaenoyl-GPC (16:0/22:6)</t>
  </si>
  <si>
    <t>59403-54-2</t>
  </si>
  <si>
    <t>4946007</t>
  </si>
  <si>
    <t>HMDB0007991</t>
  </si>
  <si>
    <t>6441886</t>
  </si>
  <si>
    <t>FAUYAENFVCNTAL-PFFNLMTBSA-N</t>
  </si>
  <si>
    <t>O=C(CC/C=C\C/C=C\C/C=C\C/C=C\C/C=C\C/C=C\CC)O[C@H](COC(CCCCCCCCCCCCCCCCC)=O)CO[P](OCC[N+](C)(C)C)([O-])=O</t>
  </si>
  <si>
    <t>1-stearoyl-2-docosahexaenoyl-GPC (18:0/22:6)</t>
  </si>
  <si>
    <t>59403-52-0</t>
  </si>
  <si>
    <t>HMDB0008057</t>
  </si>
  <si>
    <t>24778876</t>
  </si>
  <si>
    <t>Plasmalogen</t>
  </si>
  <si>
    <t>XVYPOHCSLJZFED-QZEVRULJSA-N</t>
  </si>
  <si>
    <t>[H][C@@](COP([O-])(OCC[NH3+])=O)(OC(CCCCCCC/C=C\CCCCCCCC)=O)CO/C=C\CCCCCCCCCCCCCCCC</t>
  </si>
  <si>
    <t>1-(1-enyl-stearoyl)-2-oleoyl-GPE (P-18:0/18:1)</t>
  </si>
  <si>
    <t>144371-68-6</t>
  </si>
  <si>
    <t>24769260</t>
  </si>
  <si>
    <t>HMDB0011375</t>
  </si>
  <si>
    <t>42607457</t>
  </si>
  <si>
    <t>YMQZQHIESOAPQH-JXGHDCMNSA-N</t>
  </si>
  <si>
    <t>O=C(N[C@@]([C@]([H])(O)/C=C/CCCCCCCCCCCCC)([H])COP([O-])(OCC[N+](C)(C)C)=O)CCCCCCCCCCCCCCCC</t>
  </si>
  <si>
    <t>sphingomyelin (d18:1/17:0, d17:1/18:0, d19:1/16:0)</t>
  </si>
  <si>
    <t>121999-64-2</t>
  </si>
  <si>
    <t>HMDB0240620,HMDB0240609,HMDB0240622</t>
  </si>
  <si>
    <t>46891763</t>
  </si>
  <si>
    <t>PZNPLUBHRSSFHT-RRHRGVEJSA-N</t>
  </si>
  <si>
    <t>O=C(CCCCCCCCCCCCCCC)OC[C@]([H])(COP(OCC[N+](C)(C)C)([O-])=O)OC(CCCCCCCCCCCCCCCCC)=O</t>
  </si>
  <si>
    <t>1-palmitoyl-2-stearoyl-GPC (16:0/18:0)</t>
  </si>
  <si>
    <t>59403-51-9</t>
  </si>
  <si>
    <t>24766643</t>
  </si>
  <si>
    <t>HMDB0007970</t>
  </si>
  <si>
    <t>C03889</t>
  </si>
  <si>
    <t>24778686</t>
  </si>
  <si>
    <t>AFENDNXGAFYKQO-UHFFFAOYSA-N</t>
  </si>
  <si>
    <t>CCC(O)C(O)=O</t>
  </si>
  <si>
    <t>2-hydroxybutyrate/2-hydroxyisobutyrate</t>
  </si>
  <si>
    <t>HMDB0000729,HMDB00008</t>
  </si>
  <si>
    <t>C21297,C05984</t>
  </si>
  <si>
    <t>440864,4277439</t>
  </si>
  <si>
    <t>YNOXCRMFGMSKIJ-UHFFFAOYSA-N</t>
  </si>
  <si>
    <t>CC(C(O)=O)C(C(O)=O)(O)CC(O)=O</t>
  </si>
  <si>
    <t>2-methylcitrate/homocitrate</t>
  </si>
  <si>
    <t>HMDB0003518,HMDB0000379</t>
  </si>
  <si>
    <t>C01251</t>
  </si>
  <si>
    <t>439459,515</t>
  </si>
  <si>
    <t>ZQPPMHVWECSIRJ-KTKRTIGZSA-N</t>
  </si>
  <si>
    <t>OC(CCCCCCC/C=C\CCCCCCCC)=O</t>
  </si>
  <si>
    <t>oleate/vaccenate (18:1)</t>
  </si>
  <si>
    <t>HMDB0003231,HMDB0000573,HMDB0240219,HMDB0000207</t>
  </si>
  <si>
    <t>C21944,C08367,C01712,C00712</t>
  </si>
  <si>
    <t>5282761,637517,5281127,445639</t>
  </si>
  <si>
    <t>YDZIJQXINJLRLL-UHFFFAOYSA-N</t>
  </si>
  <si>
    <t>OC(C(O)CCCCCCCCCC)=O</t>
  </si>
  <si>
    <t>2-hydroxylaurate</t>
  </si>
  <si>
    <t>2984-55-6</t>
  </si>
  <si>
    <t>88259</t>
  </si>
  <si>
    <t>97783</t>
  </si>
  <si>
    <t>AYXYPKUFHZROOJ-UHFFFAOYSA-N</t>
  </si>
  <si>
    <t>CC(C)CC(CN)CC(O)=O</t>
  </si>
  <si>
    <t>pregabalin</t>
  </si>
  <si>
    <t>148553-50-8</t>
  </si>
  <si>
    <t>3902475</t>
  </si>
  <si>
    <t>HMDB0014375</t>
  </si>
  <si>
    <t>5486971</t>
  </si>
  <si>
    <t>KVYUBFKSKZWZSV-BQYQJAHWSA-N</t>
  </si>
  <si>
    <t>CCCCCC/C=C/CCCCCCCC(OCC(O)CO)=O</t>
  </si>
  <si>
    <t>1-palmitoleoylglycerol (16:1)*</t>
  </si>
  <si>
    <t>HMDB0011565</t>
  </si>
  <si>
    <t>Dihydrosphingomyelins</t>
  </si>
  <si>
    <t>QHZIGNLCLJPLCU-QPPIDDCLSA-N</t>
  </si>
  <si>
    <t>[H][C@](NC(CCCCCCCCCCCCCCC)=O)(COP(OCC[N+](C)(C)C)([O-])=O)[C@@](O)([H])CCCCCCCCCCCCCCC</t>
  </si>
  <si>
    <t>palmitoyl dihydrosphingomyelin (d18:0/16:0)*</t>
  </si>
  <si>
    <t>8115586</t>
  </si>
  <si>
    <t>HMDB0010168</t>
  </si>
  <si>
    <t>9939965</t>
  </si>
  <si>
    <t>SXZWBNWTCVLZJN-NMIJJABPSA-N</t>
  </si>
  <si>
    <t>[H][C@](NC(CCCCCCCCCCCCCCCCCCCCCC)=O)(COP(OCC[N+](C)(C)C)([O-])=O)[C@@](O)([H])/C=C/CCCCCCCCCCCCC</t>
  </si>
  <si>
    <t>tricosanoyl sphingomyelin (d18:1/23:0)*</t>
  </si>
  <si>
    <t>HMDB0012105</t>
  </si>
  <si>
    <t>JBDGKEXQKCCQFK-JWQIMADESA-N</t>
  </si>
  <si>
    <t>[H][C@](NC(CCCCCCCCCCCCCCCCCCCCCC)=O)(COP(OCC[N+](C)(C)C)([O-])=O)[C@@](O)([H])/C=C/CCCCCCCC/C=C\CCC</t>
  </si>
  <si>
    <t>sphingomyelin (d18:2/23:0, d18:1/23:1, d17:1/24:1)*</t>
  </si>
  <si>
    <t>HMDB0240634,HMDB0011696,HMDB0240614</t>
  </si>
  <si>
    <t>134757653</t>
  </si>
  <si>
    <t>TXFLWJQVQCDUDZ-BRUGZULGSA-N</t>
  </si>
  <si>
    <t>[H][C@](NC(CCCCCCCCCCCCC/C=C\CCCCCCCC)=O)(COP(OCC[N+](C)(C)C)([O-])=O)[C@@](O)([H])/C=C/CCCCCCCC/C=C\CCC</t>
  </si>
  <si>
    <t>sphingomyelin (d18:2/24:1, d18:1/24:2)*</t>
  </si>
  <si>
    <t>HMDB0240636,HMDB0240615</t>
  </si>
  <si>
    <t>85336023</t>
  </si>
  <si>
    <t>DCOPUUMXTXDBNB-UHFFFAOYSA-N</t>
  </si>
  <si>
    <t>OC(CC1=CC=CC=C1NC2=C(Cl)C=CC=C2Cl)=O</t>
  </si>
  <si>
    <t>diclofenac</t>
  </si>
  <si>
    <t>15307-86-5</t>
  </si>
  <si>
    <t>HMDB0014724</t>
  </si>
  <si>
    <t>D07816,DG00441,C01690</t>
  </si>
  <si>
    <t>3033</t>
  </si>
  <si>
    <t>LSQZJLSUYDQPKJ-UHFFFAOYSA-N</t>
  </si>
  <si>
    <t>O=C1C(NC(C(N)C2=CC=C(O)C=C2)=O)C3N1C(C(O)=O)C(C)(C)S3</t>
  </si>
  <si>
    <t>amoxicillin</t>
  </si>
  <si>
    <t>26787-78-0</t>
  </si>
  <si>
    <t>2086</t>
  </si>
  <si>
    <t>HMDB0015193</t>
  </si>
  <si>
    <t>DG00520,C06827,D00229</t>
  </si>
  <si>
    <t>33613</t>
  </si>
  <si>
    <t>MFFMDFFZMYYVKS-UHFFFAOYSA-N</t>
  </si>
  <si>
    <t>FC1=CC(CC(N)CC(N2CC3=NN=C(C(F)(F)F)N3CC2)=O)=C(F)C=C1F</t>
  </si>
  <si>
    <t>sitagliptin</t>
  </si>
  <si>
    <t>486460-32-6</t>
  </si>
  <si>
    <t>9481667</t>
  </si>
  <si>
    <t>HMDB0015390</t>
  </si>
  <si>
    <t>DG00118,D08516</t>
  </si>
  <si>
    <t>4369359</t>
  </si>
  <si>
    <t>WOXKDUGGOYFFRN-UHFFFAOYSA-N</t>
  </si>
  <si>
    <t>O=C(CN1C)N2C(C3=CC=C(OCO4)C4=C3)C5=C(C(C=CC=C6)=C6N5)CC2C1=O</t>
  </si>
  <si>
    <t>tadalafil</t>
  </si>
  <si>
    <t>171596-29-5</t>
  </si>
  <si>
    <t>3875386</t>
  </si>
  <si>
    <t>HMDB0014958</t>
  </si>
  <si>
    <t>110635</t>
  </si>
  <si>
    <t>YDTWOEYVDRKKCR-KNERPIHHSA-N</t>
  </si>
  <si>
    <t>O=C(CCCCCCCCCCCCCCCCC)OC[C@]([H])(COP(OCCN)(O)=O)OC(CCCCCCC/C=C\C/C=C\CCCCC)=O</t>
  </si>
  <si>
    <t>1-stearoyl-2-linoleoyl-GPE (18:0/18:2)*</t>
  </si>
  <si>
    <t>7825699</t>
  </si>
  <si>
    <t>HMDB0008994</t>
  </si>
  <si>
    <t>9546749</t>
  </si>
  <si>
    <t>ANRKEHNWXKCXDB-BHFWLYLHSA-N</t>
  </si>
  <si>
    <t>O=C(CCCCCCCCCCCCCCCCC)OC[C@]([H])(COP(OCCN)(O)=O)OC(CCC/C=C\C/C=C\C/C=C\C/C=C\CCCCC)=O</t>
  </si>
  <si>
    <t>1-stearoyl-2-arachidonoyl-GPE (18:0/20:4)</t>
  </si>
  <si>
    <t>4451158</t>
  </si>
  <si>
    <t>HMDB0009003</t>
  </si>
  <si>
    <t>C05210</t>
  </si>
  <si>
    <t>5289133</t>
  </si>
  <si>
    <t>FORFDCPQKJHEBF-JEFUZMEDSA-N</t>
  </si>
  <si>
    <t>CCCCCCCCCCCCCCCCCC(OCC(OC(CCCCCCC/C=C/C/C=C/CCCCC)=O)COP([O-])(OCC[N+](C)(C)C)=O)=O</t>
  </si>
  <si>
    <t>1-stearoyl-2-linoleoyl-GPC (18:0/18:2)*</t>
  </si>
  <si>
    <t>HMDB0008039</t>
  </si>
  <si>
    <t>6441487</t>
  </si>
  <si>
    <t>QIBZFHLFHCIUOT-HTXNQAPBSA-N</t>
  </si>
  <si>
    <t>CCCCCCCCCCCCCCCC(OCC(OC(CCCCCCC/C=C/CCCCCC)=O)COP([O-])(OCC[N+](C)(C)C)=O)=O</t>
  </si>
  <si>
    <t>1-palmitoyl-2-palmitoleoyl-GPC (16:0/16:1)*</t>
  </si>
  <si>
    <t>HMDB0007969</t>
  </si>
  <si>
    <t>6443788</t>
  </si>
  <si>
    <t>SRIGHEHXEGELQJ-YYQUKWHJSA-N</t>
  </si>
  <si>
    <t>CCCCCCCCCCCCCCCC(OC[C@@H](OC(CCCCCC/C=C\C/C=C\C/C=C\CCCCC)=O)COP([O-])(OCC[N+](C)(C)C)=O)=O</t>
  </si>
  <si>
    <t>1-palmitoyl-2-dihomo-linolenoyl-GPC (16:0/20:3n3 or 6)*</t>
  </si>
  <si>
    <t>DRIVXEVMDWCWLI-CAQMIEAISA-N</t>
  </si>
  <si>
    <t>O=C(CCCCCCCCCCCCCCC)OC[C@]([H])(COP(OCCN)(O)=O)OC(CCC/C=C\C/C=C\C/C=C\C/C=C\CCCCC)=O</t>
  </si>
  <si>
    <t>1-palmitoyl-2-arachidonoyl-GPE (16:0/20:4)*</t>
  </si>
  <si>
    <t>7825750</t>
  </si>
  <si>
    <t>HMDB0005323</t>
  </si>
  <si>
    <t>9546800</t>
  </si>
  <si>
    <t>MPWUZHVZZKSTPV-MADBQMNMSA-N</t>
  </si>
  <si>
    <t>O=C(CCCCCCCCCCCCCCC)OC[C@]([H])(COP(OCCN)(O)=O)OC(CC/C=C\C/C=C\C/C=C\C/C=C\C/C=C\C/C=C\CC)=O</t>
  </si>
  <si>
    <t>1-palmitoyl-2-docosahexaenoyl-GPE (16:0/22:6)*</t>
  </si>
  <si>
    <t>7825749</t>
  </si>
  <si>
    <t>HMDB0008946</t>
  </si>
  <si>
    <t>9546799</t>
  </si>
  <si>
    <t>XYYHNDVKALDFHQ-OXHZBIAZSA-N</t>
  </si>
  <si>
    <t>O=C(CCCCCCCCCCCCCCCCC)OC[C@]([H])(COP(OCCN)(O)=O)OC(CC/C=C\C/C=C\C/C=C\C/C=C\C/C=C\C/C=C\CC)=O</t>
  </si>
  <si>
    <t>1-stearoyl-2-docosahexaenoyl-GPE (18:0/22:6)*</t>
  </si>
  <si>
    <t>7825748</t>
  </si>
  <si>
    <t>HMDB0009012</t>
  </si>
  <si>
    <t>9546798</t>
  </si>
  <si>
    <t>KIQYUSYSJTUGFZ-LSLODQAYSA-N</t>
  </si>
  <si>
    <t>O=C(CCCCCCCCCCCCCCC)OC[C@@]([H])(OC(CCC/C=C\C/C=C\C/C=C\C/C=C\CCCCC)=O)COP(O[C@H]1[C@H](O)[C@@H](O)[C@H](O)[C@@H](O)[C@H]1O)(O)=O</t>
  </si>
  <si>
    <t>1-palmitoyl-2-arachidonoyl-GPI (16:0/20:4)*</t>
  </si>
  <si>
    <t>24767674</t>
  </si>
  <si>
    <t>HMDB0009789</t>
  </si>
  <si>
    <t>KZVRAFHIKMDULK-HAVSRZFESA-N</t>
  </si>
  <si>
    <t>O=C(CCCCCCCCCCCCCCCCC)OC[C@@]([H])(OC(CCCCCCC/C=C\C/C=C\CCCCC)=O)COP(O[C@H]1[C@H](O)[C@@H](O)[C@H](O)[C@@H](O)[C@H]1O)(O)=O</t>
  </si>
  <si>
    <t>1-stearoyl-2-linoleoyl-GPI (18:0/18:2)</t>
  </si>
  <si>
    <t>24767694</t>
  </si>
  <si>
    <t>HMDB0009809</t>
  </si>
  <si>
    <t>QUEDXNHFTDJVIY-DQCZWYHMSA-N</t>
  </si>
  <si>
    <t>CC1=C(C(CC2)=CC(O)=C1C)O[C@@]2(CCC[C@@H](CCC[C@@H](CCCC(C)C)C)C)C</t>
  </si>
  <si>
    <t>gamma-tocopherol/beta-tocopherol</t>
  </si>
  <si>
    <t>HMDB0006335,HMDB0001492</t>
  </si>
  <si>
    <t>C14152,C02483</t>
  </si>
  <si>
    <t>URPXXNCTXCOATD-FXMFQVEGSA-N</t>
  </si>
  <si>
    <t>[H][C@](OC(CCC/C=C\C/C=C\C/C=C\C/C=C\CCCCC)=O)(COP(OCCN)(O)=O)CO/C=C\CCCCCCCCCCCCCCCC</t>
  </si>
  <si>
    <t>1-(1-enyl-stearoyl)-2-arachidonoyl-GPE (P-18:0/20:4)*</t>
  </si>
  <si>
    <t>7826008</t>
  </si>
  <si>
    <t>HMDB0005779</t>
  </si>
  <si>
    <t>9547058</t>
  </si>
  <si>
    <t>UUYSKERSKRMYME-MAIXUNBTSA-N</t>
  </si>
  <si>
    <t>[H][C@](OC(CCC/C=C\C/C=C\C/C=C\C/C=C\CCCCC)=O)(COP(OCCN)(O)=O)CO/C=C\CCCCCCCCCCCCCC</t>
  </si>
  <si>
    <t>1-(1-enyl-palmitoyl)-2-arachidonoyl-GPE (P-16:0/20:4)*</t>
  </si>
  <si>
    <t>24769238</t>
  </si>
  <si>
    <t>HMDB0011352</t>
  </si>
  <si>
    <t>52925126</t>
  </si>
  <si>
    <t>ZVVYJAAMWXATNY-PRWZWGSOSA-N</t>
  </si>
  <si>
    <t>[H][C@](OC(CCCCCCC/C=C\CCCCCCCC)=O)(COP(OCCN)(O)=O)CO/C=C\CCCCCCCCCCCCCC</t>
  </si>
  <si>
    <t>1-(1-enyl-palmitoyl)-2-oleoyl-GPE (P-16:0/18:1)*</t>
  </si>
  <si>
    <t>24769228</t>
  </si>
  <si>
    <t>HMDB0011342</t>
  </si>
  <si>
    <t>52925128</t>
  </si>
  <si>
    <t>CRBBMHQTIAELIS-KQBBALDBSA-N</t>
  </si>
  <si>
    <t>[H][C@](OC(CCCCCCC/C=C\CCCCCCCC)=O)(CO[P-](OCC[N+](C)(C)C)([O])=O)CO/C=C\CCCCCCCCCCCCCC</t>
  </si>
  <si>
    <t>1-(1-enyl-palmitoyl)-2-oleoyl-GPC (P-16:0/18:1)*</t>
  </si>
  <si>
    <t>HMDB0007996</t>
  </si>
  <si>
    <t>34779384</t>
  </si>
  <si>
    <t>QLEHHUPUHJPURI-PWYDUFMYSA-N</t>
  </si>
  <si>
    <t>[H][C@](OC(CCCCCCC/C=C\C/C=C\CCCCC)=O)(COP(OCC[N+](C)(C)C)([O-])=O)CO/C=C\CCCCCCCCCCCCCC</t>
  </si>
  <si>
    <t>1-(1-enyl-palmitoyl)-2-linoleoyl-GPC (P-16:0/18:2)*</t>
  </si>
  <si>
    <t>24767486</t>
  </si>
  <si>
    <t>HMDB0011211</t>
  </si>
  <si>
    <t>24779386</t>
  </si>
  <si>
    <t>IOYKZPNDXIIXLN-LOQSCQKMSA-N</t>
  </si>
  <si>
    <t>[H][C@](OC(CCC/C=C\C/C=C\C/C=C\C/C=C\CCCCC)=O)(COP(OCC[N+](C)(C)C)([O-])=O)CO/C=C\CCCCCCCCCCCCCC</t>
  </si>
  <si>
    <t>1-(1-enyl-palmitoyl)-2-arachidonoyl-GPC (P-16:0/20:4)*</t>
  </si>
  <si>
    <t>24767495</t>
  </si>
  <si>
    <t>HMDB0011220</t>
  </si>
  <si>
    <t>YXSZOBWVQJIWNE-QVDCKBILSA-N</t>
  </si>
  <si>
    <t>[H][C@](NC(CCCCCCCCCCCCCCCCCCCC)=O)(COP(OCC[N+](C)(C)C)([O-])=O)[C@@](O)([H])/C=C/CCCCCCCCCCCCC</t>
  </si>
  <si>
    <t>sphingomyelin (d18:1/21:0, d17:1/22:0, d16:1/23:0)*</t>
  </si>
  <si>
    <t>HMDB0240619,HMDB0240611,HMDB0240621</t>
  </si>
  <si>
    <t>FONAXCRWZQFJHY-JCGOJSMZSA-N</t>
  </si>
  <si>
    <t>[H][C@](NC(CCCCCCCCCCCCCCCCCCCCC)=O)(COP(OCC[N+](C)(C)C)([O-])=O)[C@@](O)([H])CCCCCCCCCCCCCCC</t>
  </si>
  <si>
    <t>behenoyl dihydrosphingomyelin (d18:0/22:0)*</t>
  </si>
  <si>
    <t>24846880</t>
  </si>
  <si>
    <t>HMDB0012091</t>
  </si>
  <si>
    <t>44260132</t>
  </si>
  <si>
    <t>JCELSEVNSMXGKA-IOLBBIBUSA-N</t>
  </si>
  <si>
    <t>[H][C@](NC(CCCCCCCCCCCCCCCCC)=O)(COP(OCC[N+](C)(C)C)([O-])=O)[C@@](O)([H])CCCCCCCCCCCCCCC</t>
  </si>
  <si>
    <t>sphingomyelin (d18:0/18:0, d19:0/17:0)*</t>
  </si>
  <si>
    <t>24846878</t>
  </si>
  <si>
    <t>HMDB0012087</t>
  </si>
  <si>
    <t>44260130</t>
  </si>
  <si>
    <t>GCGTXOVNNFGTPQ-JHOUSYSJSA-N</t>
  </si>
  <si>
    <t>[H][C@](NC(CCCCCCCCCCCCCCC)=O)(CO)[C@@](O)([H])CCCCCCCCCCCCCCC</t>
  </si>
  <si>
    <t>N-palmitoyl-sphinganine (d18:0/16:0)</t>
  </si>
  <si>
    <t>5966-29-0</t>
  </si>
  <si>
    <t>4446685</t>
  </si>
  <si>
    <t>HMDB11760</t>
  </si>
  <si>
    <t>5283572</t>
  </si>
  <si>
    <t>Lactosylceramides (LCER)</t>
  </si>
  <si>
    <t>HLIJNIKSBCIDGO-QKLMXXKVSA-N</t>
  </si>
  <si>
    <t>O=C(CCCCCCCCCCCCCCC)N[C@@]([C@]([H])(O)/C=C/CCCCCCCCCCCCC)([H])CO[C@H](O1)[C@H](O)[C@@H](O)[C@@H]([C@H]1CO)O[C@H](O2)[C@H](O)[C@@H](O)[C@H]([C@H]2CO)O</t>
  </si>
  <si>
    <t>lactosyl-N-palmitoyl-sphingosine (d18:1/16:0)</t>
  </si>
  <si>
    <t>4201-62-1</t>
  </si>
  <si>
    <t>HMDB0006750</t>
  </si>
  <si>
    <t>53477895</t>
  </si>
  <si>
    <t>Drug - Respiratory</t>
  </si>
  <si>
    <t>ZKLPARSLTMPFCP-UHFFFAOYSA-N</t>
  </si>
  <si>
    <t>ClC1=CC=C(C=C1)C(C2=CC=CC=C2)N3CCN(CCOCC(O)=O)CC3</t>
  </si>
  <si>
    <t>cetirizine</t>
  </si>
  <si>
    <t>83881-51-0</t>
  </si>
  <si>
    <t>2577</t>
  </si>
  <si>
    <t>HMDB0005032</t>
  </si>
  <si>
    <t>C07778</t>
  </si>
  <si>
    <t>2678</t>
  </si>
  <si>
    <t>MJAFYELZQYPMQG-MPQUPPDSSA-N</t>
  </si>
  <si>
    <t>[H][C@](NC(CCCCCCCCCCCCC)=O)(COP(OCC[N+](C)(C)C)([O-])=O)[C@@](O)([H])CCCCCCCCCCCCCCC</t>
  </si>
  <si>
    <t>myristoyl dihydrosphingomyelin (d18:0/14:0)*</t>
  </si>
  <si>
    <t>24846886</t>
  </si>
  <si>
    <t>HMDB0012085</t>
  </si>
  <si>
    <t>44260138</t>
  </si>
  <si>
    <t>YJRFFCVUYDRNTR-UHFFFAOYSA-N</t>
  </si>
  <si>
    <t>OS(OC1=CC=C2C(C=CN2)=C1)(=O)=O</t>
  </si>
  <si>
    <t>5-hydroxyindole sulfate</t>
  </si>
  <si>
    <t>PTSRBZOZSRJCKX-JTQLQIEISA-N</t>
  </si>
  <si>
    <t>O=C(N[C@H](C(O)=O)CCC(O)=O)CC1=CC=CC=C1</t>
  </si>
  <si>
    <t>phenylacetylglutamate</t>
  </si>
  <si>
    <t>9754592</t>
  </si>
  <si>
    <t>HMDB0059772</t>
  </si>
  <si>
    <t>11579826</t>
  </si>
  <si>
    <t>PDLAMJKMOKWLAJ-KTBSNPQYSA-N</t>
  </si>
  <si>
    <t>O=C(CCCCCCCCCCCCCCC)OC[C@@]([H])(OC(CCCCCCC/C=C\CCCCCCCC)=O)COP(O[C@H]1[C@H](O)[C@@H](O)[C@H](O)[C@@H](O)[C@H]1O)(O)=O</t>
  </si>
  <si>
    <t>1-palmitoyl-2-oleoyl-GPI (16:0/18:1)*</t>
  </si>
  <si>
    <t>24767668</t>
  </si>
  <si>
    <t>HMDB0009783</t>
  </si>
  <si>
    <t>71296232</t>
  </si>
  <si>
    <t>LJVXDBWIBQQKFU-CCJYEBHUSA-N</t>
  </si>
  <si>
    <t>[H][C@](OC(CCCCCCC/C=C\C/C=C\CCCCC)=O)(COP(OCCN)(O)=O)CO/C=C\CCCCCCCCCCCCCC</t>
  </si>
  <si>
    <t>1-(1-enyl-palmitoyl)-2-linoleoyl-GPE (P-16:0/18:2)*</t>
  </si>
  <si>
    <t>24769229</t>
  </si>
  <si>
    <t>HMDB0011343</t>
  </si>
  <si>
    <t>52925127</t>
  </si>
  <si>
    <t>FPEVDFOXMCHLKL-KFDYCXSYSA-N</t>
  </si>
  <si>
    <t>O=C(CCCCCCC/C=C\CCCCCCCC)OC[C@]([H])(COP(OCC[N+](C)(C)C)([O-])=O)OC(CC/C=C\C/C=C\C/C=C\C/C=C\C/C=C\C/C=C\CC)=O</t>
  </si>
  <si>
    <t>1-oleoyl-2-docosahexaenoyl-GPC (18:1/22:6)*</t>
  </si>
  <si>
    <t>24766785</t>
  </si>
  <si>
    <t>HMDB0008123</t>
  </si>
  <si>
    <t>24778955</t>
  </si>
  <si>
    <t>ZZSZQATYGVHNLZ-PUMLCSCDSA-N</t>
  </si>
  <si>
    <t>O=C(CCCCCCC/C=C\C/C=C\CCCCC)OC[C@]([H])(COP(OCC[N+](C)(C)C)([O-])=O)OC(CCC/C=C\C/C=C\C/C=C\C/C=C\CCCCC)=O</t>
  </si>
  <si>
    <t>1-linoleoyl-2-arachidonoyl-GPC (18:2/20:4n6)*</t>
  </si>
  <si>
    <t>24766809</t>
  </si>
  <si>
    <t>HMDB0008147</t>
  </si>
  <si>
    <t>24778979</t>
  </si>
  <si>
    <t>SRQSAJRUMDQMMS-NLDJLLEISA-N</t>
  </si>
  <si>
    <t>O=C(CCCCCCCCCCCCC)OC[C@]([H])(COP(OCC[N+](C)(C)C)([O-])=O)OC(CCC/C=C\C/C=C\C/C=C\C/C=C\CCCCC)=O</t>
  </si>
  <si>
    <t>1-myristoyl-2-arachidonoyl-GPC (14:0/20:4)*</t>
  </si>
  <si>
    <t>24766559</t>
  </si>
  <si>
    <t>HMDB0007883</t>
  </si>
  <si>
    <t>24778634</t>
  </si>
  <si>
    <t>FZMYLOBGNYZPQO-QLSONYGBSA-N</t>
  </si>
  <si>
    <t>[H][C@](OC(CCCCCCC/C=C\CCCCCC)=O)(COP(OCC[N+](C)(C)C)([O-])=O)CO/C=C\CCCCCCCCCCCCCC</t>
  </si>
  <si>
    <t>1-(1-enyl-palmitoyl)-2-palmitoleoyl-GPC (P-16:0/16:1)*</t>
  </si>
  <si>
    <t>24767482</t>
  </si>
  <si>
    <t>HMDB0011207</t>
  </si>
  <si>
    <t>52923882</t>
  </si>
  <si>
    <t>PEWXKAOBUSBJLD-MCBGMKGZSA-N</t>
  </si>
  <si>
    <t>[H][C@](OC(CCCCCCCCCCCCCCC)=O)(COP(OCC[N+](C)(C)C)([O-])=O)CO/C=C\CCCCCCCCCCCCCC</t>
  </si>
  <si>
    <t>1-(1-enyl-palmitoyl)-2-palmitoyl-GPC (P-16:0/16:0)*</t>
  </si>
  <si>
    <t>9322076</t>
  </si>
  <si>
    <t>HMDB0011206</t>
  </si>
  <si>
    <t>11146967</t>
  </si>
  <si>
    <t>PECSWFQRRFRZPW-BHPGJWMBSA-N</t>
  </si>
  <si>
    <t>O=C(CCCCCCC/C=C\CCCCCCCC)OC[C@]([H])(COP(OCCN)(O)=O)OC(CCC/C=C\C/C=C\C/C=C\C/C=C\CCCCC)=O</t>
  </si>
  <si>
    <t>1-oleoyl-2-arachidonoyl-GPE (18:1/20:4)*</t>
  </si>
  <si>
    <t>24768534</t>
  </si>
  <si>
    <t>HMDB0009069</t>
  </si>
  <si>
    <t>348281223</t>
  </si>
  <si>
    <t>JZSZAGWWWKKXLO-RMEBTJIYSA-N</t>
  </si>
  <si>
    <t>O=C(CCCCCCC/C=C\CCCCCCCC)OC[C@]([H])(COP(OCCN)(O)=O)OC(CC/C=C\C/C=C\C/C=C\C/C=C\C/C=C\C/C=C\CC)=O</t>
  </si>
  <si>
    <t>1-oleoyl-2-docosahexaenoyl-GPE (18:1/22:6)*</t>
  </si>
  <si>
    <t>24768542</t>
  </si>
  <si>
    <t>HMDB0009078</t>
  </si>
  <si>
    <t>52922113</t>
  </si>
  <si>
    <t>LFGBKOUQHCWBQI-BZGLIJSBSA-N</t>
  </si>
  <si>
    <t>O=C(CCCCCCC/C=C\C/C=C\CCCCC)OC[C@]([H])(COP(OCCN)(O)=O)OC(CCC/C=C\C/C=C\C/C=C\C/C=C\CCCCC)=O</t>
  </si>
  <si>
    <t>1-linoleoyl-2-arachidonoyl-GPE (18:2/20:4)*</t>
  </si>
  <si>
    <t>24768565</t>
  </si>
  <si>
    <t>HMDB0009102</t>
  </si>
  <si>
    <t>348279332</t>
  </si>
  <si>
    <t>XVXISDREVDGQPX-PISDLAQISA-N</t>
  </si>
  <si>
    <t>[H][C@](OC(CCCCCCC/C=C\C/C=C\CCCCC)=O)(COP(OCCN)(O)=O)CO/C=C\CCCCCCCCCCCCCCCC</t>
  </si>
  <si>
    <t>1-(1-enyl-stearoyl)-2-linoleoyl-GPE (P-18:0/18:2)*</t>
  </si>
  <si>
    <t>24769261</t>
  </si>
  <si>
    <t>HMDB0011376</t>
  </si>
  <si>
    <t>VEEHTGYBVMTAAF-RFFZIGDUSA-N</t>
  </si>
  <si>
    <t>[H][C@@](CO)(O)COP(OC[C@]([H])(O)COC(CCCCCCC/C=C\C/C=C\CCCCC)=O)(O)=O</t>
  </si>
  <si>
    <t>1-linoleoyl-GPG (18:2)*</t>
  </si>
  <si>
    <t>HMDB0240600</t>
  </si>
  <si>
    <t>DZLNHFMRPBPULJ-VKHMYHEASA-N</t>
  </si>
  <si>
    <t>O=C(O)[C@]1(NCSC1)[H]</t>
  </si>
  <si>
    <t>thioproline</t>
  </si>
  <si>
    <t>34592-47-4</t>
  </si>
  <si>
    <t>84120</t>
  </si>
  <si>
    <t>HMDB0062164</t>
  </si>
  <si>
    <t>93176</t>
  </si>
  <si>
    <t>Fatty Acid Metabolism (Acyl Choline)</t>
  </si>
  <si>
    <t>UFQZDKMTMXCDBP-UHFFFAOYSA-N</t>
  </si>
  <si>
    <t>C[N+](C)(C)CCOC(CCCCCCCCCCCCCC[CH2-])=O</t>
  </si>
  <si>
    <t>palmitoylcholine</t>
  </si>
  <si>
    <t>133731</t>
  </si>
  <si>
    <t>HMDB0240592</t>
  </si>
  <si>
    <t>151731</t>
  </si>
  <si>
    <t>Drug - Antiinflammatory, Immunosuppressant</t>
  </si>
  <si>
    <t>HPNSFSBZBAHARI-RUDMXATFSA-N</t>
  </si>
  <si>
    <t>Cc1c(OC)c(C/C=C(CCC(O)=O)\C)c(O)c2c1COC2=O</t>
  </si>
  <si>
    <t>mycophenolic acid</t>
  </si>
  <si>
    <t>24280-93-1</t>
  </si>
  <si>
    <t>393865</t>
  </si>
  <si>
    <t>HMDB0015159</t>
  </si>
  <si>
    <t>C20380</t>
  </si>
  <si>
    <t>446541</t>
  </si>
  <si>
    <t>BYFGTSAYQQIUCN-HGIHDBQLSA-N</t>
  </si>
  <si>
    <t>O[C@H]([C@@H](O)[C@@H]1O)[C@@H](O[C@@H]1C(O)=O)OC(C(C2=O)=C(CO2)C(C)=C3OC)=C3C/C=C(C)/CCC(O)=O</t>
  </si>
  <si>
    <t>mycophenolic acid glucuronide</t>
  </si>
  <si>
    <t>4946725</t>
  </si>
  <si>
    <t>HMDB0060634</t>
  </si>
  <si>
    <t>6442661</t>
  </si>
  <si>
    <t>BWWWIHHYPYDOJQ-ICKMJTCPSA-N</t>
  </si>
  <si>
    <t>O[C@H]1CC2[C@]3(CC[C@H](CC3C[C@H](C2C4CCC([C@@]14C)[C@@H](CCC(NCC(O)=O)=O)C)O)OC5C(C(C(C(O5)C(O)=O)O)O)O)C</t>
  </si>
  <si>
    <t>glycocholate glucuronide (1)</t>
  </si>
  <si>
    <t>44263357</t>
  </si>
  <si>
    <t>ABFZMYIIUREPLL-ASWJIRIHSA-N</t>
  </si>
  <si>
    <t>O[C@H]1[C@@]2([C@@]([H])([C@]3(CC[C@H](C[C@]3(C1)[H])O[C@H]4[C@@H]([C@H]([C@@H]([C@H](O4)C(O)=O)O)O)O)C)CC[C@]5([C@]2(CC[C@@H]5[C@@H](CCC(NCC(O)=O)=O)C)[H])C)[H]</t>
  </si>
  <si>
    <t>glycochenodeoxycholate glucuronide (1)</t>
  </si>
  <si>
    <t>HMDB0002579</t>
  </si>
  <si>
    <t>44263370</t>
  </si>
  <si>
    <t>CC(O)CC(OC(C[N+](C)(C)C)CC([O-])=O)=O</t>
  </si>
  <si>
    <t>(S)-3-hydroxybutyrylcarnitine</t>
  </si>
  <si>
    <t>71464477</t>
  </si>
  <si>
    <t>VJLLLMIZEJJZTE-NNTBDIJYSA-N</t>
  </si>
  <si>
    <t>[H][C@](O)([C@@](NC(CCCCCCCCCCCCCCC)=O)(CO[C@@H]1O[C@H](CO)[C@@H](O)[C@H](O)[C@H]1O)[H])/C=C/CCCCCCCCCCCCC</t>
  </si>
  <si>
    <t>glycosyl-N-palmitoyl-sphingosine (d18:1/16:0)</t>
  </si>
  <si>
    <t>SKKZOYBAANIUOV-ZAFYKAAXSA-N</t>
  </si>
  <si>
    <t>O[C@@H](CO)[C@@](C1=O)([H])OC(O)=C1OS(O)(=O)=O</t>
  </si>
  <si>
    <t>ascorbic acid 2-sulfate</t>
  </si>
  <si>
    <t>52174-99-9</t>
  </si>
  <si>
    <t>77998</t>
  </si>
  <si>
    <t>HMDB0060649</t>
  </si>
  <si>
    <t>54676864</t>
  </si>
  <si>
    <t>GFSSJDJAEKYAGX-UHFFFAOYSA-N</t>
  </si>
  <si>
    <t>O=C(CCCCCCC/[C-]=C/CCCCCCCC)OCC[N+](C)(C)C</t>
  </si>
  <si>
    <t>oleoylcholine</t>
  </si>
  <si>
    <t>HMDB0240596</t>
  </si>
  <si>
    <t>59040790</t>
  </si>
  <si>
    <t>XUWOVXDQNYUPNL-WYTUUNCASA-N</t>
  </si>
  <si>
    <t>O=C(CCC/[C-]=C/C/C=C/C/C=C/C/C=C/CCCCC)OCC[N+](C)(C)C</t>
  </si>
  <si>
    <t>arachidonoylcholine</t>
  </si>
  <si>
    <t>HMDB0240583</t>
  </si>
  <si>
    <t>122198216</t>
  </si>
  <si>
    <t>OKLWSURGMYZXCS-GUTOPQIJSA-N</t>
  </si>
  <si>
    <t>O=C(CC/C=[C-]/C/C=C/C/C=C/C/C=C/C/C=C/C/C=C/CC)OCC[N+](C)(C)C</t>
  </si>
  <si>
    <t>docosahexaenoylcholine</t>
  </si>
  <si>
    <t>HMDB0240647</t>
  </si>
  <si>
    <t>CLIZBTUFRKKPFA-UHFFFAOYSA-N</t>
  </si>
  <si>
    <t>O=C(CCCCCCC/[C-]=C/CCCCCC)OCC[N+](C)(C)C</t>
  </si>
  <si>
    <t>palmitoloelycholine</t>
  </si>
  <si>
    <t>HMDB0013208</t>
  </si>
  <si>
    <t>FRBBZHFNTVMXIH-OKLKQMLOSA-N</t>
  </si>
  <si>
    <t>O=C(CCCCCC/C=[C-]/C/C=C/C/C=C/CCCCC)OCC[N+](C)(C)C</t>
  </si>
  <si>
    <t>dihomo-linolenoyl-choline</t>
  </si>
  <si>
    <t>HMDB0240646</t>
  </si>
  <si>
    <t>AVBRNEQAXKXDAZ-CGRWFSSPSA-N</t>
  </si>
  <si>
    <t>O=C(CCC/[C-]=C/C/C=C/C/C=C/C/C=C/C/C=C/CC)OCC[N+](C)(C)C</t>
  </si>
  <si>
    <t>eicosapentaenoylcholine</t>
  </si>
  <si>
    <t>SNVAIAITQIIEMQ-DUXPYHPUSA-N</t>
  </si>
  <si>
    <t>OS(OC1=CC=C(C=C1O)/C=C/C(O)=O)(=O)=O</t>
  </si>
  <si>
    <t>caffeic acid sulfate</t>
  </si>
  <si>
    <t>30777608</t>
  </si>
  <si>
    <t>HMDB0041708</t>
  </si>
  <si>
    <t>21668705</t>
  </si>
  <si>
    <t>HZGAVPNEGHQJID-UNBCHYIMSA-N</t>
  </si>
  <si>
    <t>O=C(CCCCCCC/C=C\C/C=C\CCCCC)OC[C@]([H])(COP(OCC[N+](C)(C)C)([O-])=O)OC(CCCCCCC/C=C\C/C=C\C/C=C\CC)=O</t>
  </si>
  <si>
    <t>1-linoleoyl-2-linolenoyl-GPC (18:2/18:3)*</t>
  </si>
  <si>
    <t>24766802</t>
  </si>
  <si>
    <t>HMDB0008141</t>
  </si>
  <si>
    <t>52922731</t>
  </si>
  <si>
    <t>MMUCLZZSNHBNFL-KBTBXKTRSA-N</t>
  </si>
  <si>
    <t>O=C(CCCCCCC/C=C\CCCCCC)OC[C@]([H])(COP(OCC[N+](C)(C)C)([O-])=O)OC(CCCCCCC/C=C\C/C=C\C/C=C\CC)=O</t>
  </si>
  <si>
    <t>1-palmitoleoyl-2-linolenoyl-GPC (16:1/18:3)*</t>
  </si>
  <si>
    <t>24766677</t>
  </si>
  <si>
    <t>HMDB0008008</t>
  </si>
  <si>
    <t>52922452</t>
  </si>
  <si>
    <t>PYZRQGJRPPTADH-UHFFFAOYSA-N</t>
  </si>
  <si>
    <t>NC1=NN=C(C2=C(Cl)C(Cl)=CC=C2)C(N)=N1</t>
  </si>
  <si>
    <t>lamotrigine</t>
  </si>
  <si>
    <t>3741</t>
  </si>
  <si>
    <t>HMDB0014695</t>
  </si>
  <si>
    <t>D00354</t>
  </si>
  <si>
    <t>3878</t>
  </si>
  <si>
    <t>WPJGPAAPSBVXNU-HZJYTTRNSA-N</t>
  </si>
  <si>
    <t>CCCCC/C=C\C/C=C\CCCCCC(O)=O</t>
  </si>
  <si>
    <t>hexadecadienoate (16:2n6)</t>
  </si>
  <si>
    <t>28290-73-5</t>
  </si>
  <si>
    <t>13628094</t>
  </si>
  <si>
    <t>HMDB0000477</t>
  </si>
  <si>
    <t>13932172</t>
  </si>
  <si>
    <t>JFAGPSOZZSTLRF-KHPPLWFESA-N</t>
  </si>
  <si>
    <t>O=C(OC(CC([O-])=O)C[N+](C)(C)C)CCCCCCC/C=C\CCCCCC</t>
  </si>
  <si>
    <t>palmitoleoylcarnitine (C16:1)*</t>
  </si>
  <si>
    <t>28639183</t>
  </si>
  <si>
    <t>HMDB0013207</t>
  </si>
  <si>
    <t>71464547</t>
  </si>
  <si>
    <t>NNBITIFYUGRBJL-JTQLQIEISA-N</t>
  </si>
  <si>
    <t>O=C(N[C@@H](CCC(N)=O)C(O)=O)CC(C=C1)=CC=C1O</t>
  </si>
  <si>
    <t>4-hydroxyphenylacetylglutamine</t>
  </si>
  <si>
    <t>AOWPAWLEXIYETE-UHFFFAOYSA-N</t>
  </si>
  <si>
    <t>OC(C)(C(O)=O)C(C)O</t>
  </si>
  <si>
    <t>2,3-dihydroxy-2-methylbutyrate</t>
  </si>
  <si>
    <t>14868-24-7</t>
  </si>
  <si>
    <t>266858</t>
  </si>
  <si>
    <t>HMDB0029576</t>
  </si>
  <si>
    <t>301941</t>
  </si>
  <si>
    <t>RFCQJGFZUQFYRF-ZOQUXTDFSA-N</t>
  </si>
  <si>
    <t>O=C1N(C=CC(N)=N1)[C@@H]([C@H](OC)[C@@H]2O)O[C@@H]2CO</t>
  </si>
  <si>
    <t>2'-O-methylcytidine</t>
  </si>
  <si>
    <t>2140-72-9</t>
  </si>
  <si>
    <t>133067</t>
  </si>
  <si>
    <t>150971</t>
  </si>
  <si>
    <t>SXUXMRMBWZCMEN-ZOQUXTDFSA-N</t>
  </si>
  <si>
    <t>CO[C@@H]1[C@@H]([C@H](O[C@H]1N2C=CC(NC2=O)=O)CO)O</t>
  </si>
  <si>
    <t>2'-O-methyluridine</t>
  </si>
  <si>
    <t>2140-76-3</t>
  </si>
  <si>
    <t>92343</t>
  </si>
  <si>
    <t>HMDB0240328</t>
  </si>
  <si>
    <t>102212</t>
  </si>
  <si>
    <t>LNLLNTMHVMIMOG-YUMQZZPRSA-N</t>
  </si>
  <si>
    <t>O=C(N[C@@H](CCCCN)C(O)=O)CC[C@H](N)C(O)=O</t>
  </si>
  <si>
    <t>gamma-glutamyl-alpha-lysine</t>
  </si>
  <si>
    <t>58747</t>
  </si>
  <si>
    <t>65254</t>
  </si>
  <si>
    <t>AFSHUZFNMVJNKX-CLFAGFIQSA-N</t>
  </si>
  <si>
    <t>OCC(OC(CCCCCCC/C=C\CCCCCCCC)=O)COC(CCCCCCC/C=C\CCCCCCCC)=O</t>
  </si>
  <si>
    <t>oleoyl-oleoyl-glycerol (18:1/18:1) [2]*</t>
  </si>
  <si>
    <t>HMDB0007218</t>
  </si>
  <si>
    <t>9543716</t>
  </si>
  <si>
    <t>MQGBAQLIFKSMEM-WVZYQCMWSA-N</t>
  </si>
  <si>
    <t>CCCCC/C=C/C/C=C/CCCCCCCC(OCC(OC(CCCCCCC/C=C/C/C=C/CCCCC)=O)CO)=O</t>
  </si>
  <si>
    <t>linoleoyl-linoleoyl-glycerol (18:2/18:2) [2]*</t>
  </si>
  <si>
    <t>HMDB0007248</t>
  </si>
  <si>
    <t>9543729</t>
  </si>
  <si>
    <t>YFSUTJLHUFNCNZ-UHFFFAOYSA-N</t>
  </si>
  <si>
    <t>O=S(C(F)(F)C(F)(F)C(F)(F)C(F)(F)C(F)(F)C(F)(F)C(F)(F)C(F)(F)F)(O)=O</t>
  </si>
  <si>
    <t>perfluorooctanesulfonate (PFOS)</t>
  </si>
  <si>
    <t>1763-23-1</t>
  </si>
  <si>
    <t>67068</t>
  </si>
  <si>
    <t>HMDB0059586</t>
  </si>
  <si>
    <t>C18142</t>
  </si>
  <si>
    <t>74483</t>
  </si>
  <si>
    <t>XXWRZIYYFPIQHE-XPAOSYCESA-N</t>
  </si>
  <si>
    <t>[H][C@](NC(CCCCCCCCCCCCCCC)=O)(CO)[C@@](O)([H])/C=C/CCCCCCCC/C=C\CCC</t>
  </si>
  <si>
    <t>N-palmitoyl-sphingadienine (d18:2/16:0)*</t>
  </si>
  <si>
    <t>HMDB0240686</t>
  </si>
  <si>
    <t>MKOKWBRPIBQYJJ-WZBOJYASSA-N</t>
  </si>
  <si>
    <t>[H][C@](NC(CCCCCCCCCCCCC/C=C\CCCCCCCC)=O)(CO[C@H]1[C@H](O)[C@@H](O)[C@H](O[C@H]2[C@H](O)[C@@H](O)[C@@H](O)[C@H](O2)CO)[C@H](O1)CO)[C@@](O)([H])/C=C/CCCCCCCCCCCCC</t>
  </si>
  <si>
    <t>lactosyl-N-nervonoyl-sphingosine (d18:1/24:1)*</t>
  </si>
  <si>
    <t>24846896</t>
  </si>
  <si>
    <t>HMDB0004872</t>
  </si>
  <si>
    <t>QYWVASPEUXEHSY-NNRNTGNWSA-N</t>
  </si>
  <si>
    <t>[H][C@](NC(CCCCCCCCCCCCCCCCCCCCC)=O)(CO[C@H]1[C@H](O)[C@@H](O)[C@H](O[C@H]2[C@H](O)[C@@H](O)[C@@H](O)[C@H](O2)CO)[C@H](O1)CO)[C@@](O)([H])/C=C/CCCCCCCCCCCCC</t>
  </si>
  <si>
    <t>lactosyl-N-behenoyl-sphingosine (d18:1/22:0)*</t>
  </si>
  <si>
    <t>24846893</t>
  </si>
  <si>
    <t>HMDB0011594</t>
  </si>
  <si>
    <t>44260143</t>
  </si>
  <si>
    <t>HILTUFAERVOALR-MQXYEJFFSA-N</t>
  </si>
  <si>
    <t>[H][C@](NC(CCCCCCCCCCCCCCCCCCCCC)=O)(CO)[C@@](O)([H])/C=C/CCCCCCCC/C=C\CCC</t>
  </si>
  <si>
    <t>N-behenoyl-sphingadienine (d18:2/22:0)*</t>
  </si>
  <si>
    <t>BZVOAOVDSULRAB-NUBHLNQHSA-N</t>
  </si>
  <si>
    <t>[H][C@](NC(CCCCCCCCCCCCCCCCCCCCC)=O)(CO[C@H]1[C@H](O)[C@@H](O)[C@@H](O)[C@@H](CO)O1)[C@@](O)([H])/C=C/CCCCCCCC/C=C\CCC</t>
  </si>
  <si>
    <t>glycosyl-N-behenoyl-sphingadienine (d18:2/22:0)*</t>
  </si>
  <si>
    <t>LBBFOWQGVUEADU-CKGMUTLASA-N</t>
  </si>
  <si>
    <t>CCCCCCCCCCCCCCCCCC(NC(C(O)/C=C/CCCCCCCC/C=C/CCC)CO)=O</t>
  </si>
  <si>
    <t>N-stearoyl-sphingadienine (d18:2/18:0)*</t>
  </si>
  <si>
    <t>HMDB0240362</t>
  </si>
  <si>
    <t>132282053</t>
  </si>
  <si>
    <t>RPGJJWLCCOPDAZ-UHFFFAOYSA-N</t>
  </si>
  <si>
    <t>CCCCCCCCCCCCCCCCCCCCC(O)C(O)=O</t>
  </si>
  <si>
    <t>2-hydroxybehenate</t>
  </si>
  <si>
    <t>167899</t>
  </si>
  <si>
    <t>HMDB0061660</t>
  </si>
  <si>
    <t>193484</t>
  </si>
  <si>
    <t>UFOOFOUFKSIFCD-KTKRTIGZSA-N</t>
  </si>
  <si>
    <t>OC(C(O)=O)CCCCCCCCCCCC/C=C\CCCCCCCC</t>
  </si>
  <si>
    <t>2-hydroxynervonate*</t>
  </si>
  <si>
    <t>4472208</t>
  </si>
  <si>
    <t>5312783</t>
  </si>
  <si>
    <t>BFVRFWIQTACAPT-KRWDZBQOSA-N</t>
  </si>
  <si>
    <t>O=C(CCCCCCCCCCCCCCC)N([H])[C@H](C(O)=O)CO</t>
  </si>
  <si>
    <t>N-palmitoylserine</t>
  </si>
  <si>
    <t>58725-46-5,474943-14-1</t>
  </si>
  <si>
    <t>4956046</t>
  </si>
  <si>
    <t>6453686</t>
  </si>
  <si>
    <t>MBDKGXAMSZIDKF-KTKRTIGZSA-N</t>
  </si>
  <si>
    <t>CCCCCCCC/C=C\CCCCCCCC(NC(C(O)=O)CO)=O</t>
  </si>
  <si>
    <t>N-oleoylserine</t>
  </si>
  <si>
    <t>21466990</t>
  </si>
  <si>
    <t>44190514</t>
  </si>
  <si>
    <t>KWDXKYNWAKMLKK-YQMRQDNGSA-N</t>
  </si>
  <si>
    <t>OC(/C=C/CCCCCCCC/C=C\CCC)C(CO)N([H])[H]</t>
  </si>
  <si>
    <t>sphingadienine</t>
  </si>
  <si>
    <t>25696-03-1</t>
  </si>
  <si>
    <t>4952479</t>
  </si>
  <si>
    <t>6449795</t>
  </si>
  <si>
    <t>ZWZWYGMENQVNFU-AKGZTFGVSA-N</t>
  </si>
  <si>
    <t>OC([C@@H](N)COP(OCC(CO)O)(O)=O)=O</t>
  </si>
  <si>
    <t>glycerophosphoserine*</t>
  </si>
  <si>
    <t>2339060</t>
  </si>
  <si>
    <t>3081457</t>
  </si>
  <si>
    <t>NQNRUVQAQHEVGR-PCKKJQKNSA-N</t>
  </si>
  <si>
    <t>OC(/C=C/CCCCCCCC/C=C\CCC)C(CO)NC(CCCCCCCCCCCCC/C=C\CCCCCCCC)=O</t>
  </si>
  <si>
    <t>N-nervonoyl-sphingadiene (d18:2/24:1)*</t>
  </si>
  <si>
    <t>ODRVSCJZSDNQBP-LMGPGFSZSA-N</t>
  </si>
  <si>
    <t>OC(/C=C/CCCCCCCCCCC)C(CO)NC(CCCCCCCCCCCCC/C=C\CCCCCCCC)=O</t>
  </si>
  <si>
    <t>ceramide (d16:1/24:1, d18:1/22:1)*</t>
  </si>
  <si>
    <t>ZKRPGPZHULJLKJ-IMVLJIQESA-N</t>
  </si>
  <si>
    <t>OC(/C=C/CCCCCCCCCCCCC)C(CO)NC(CCCCCCCCCCCCC)=O</t>
  </si>
  <si>
    <t>ceramide (d18:1/14:0, d16:1/16:0)*</t>
  </si>
  <si>
    <t>HMDB0240681,HMDB0011773</t>
  </si>
  <si>
    <t>WYTRSDHGWSSQLK-PCKKJQKNSA-N</t>
  </si>
  <si>
    <t>OC(/C=C/CCCCCCCC/C=C\CCC)C(COC1C(O)C(O)C(O)C(CO)O1)NC(CCCCCCCCCCCCC/C=C\CCCCCCCC)=O</t>
  </si>
  <si>
    <t>glycosyl ceramide (d18:2/24:1, d18:1/24:2)*</t>
  </si>
  <si>
    <t>ZTXYYHYUNQRYIR-BLIGVESQSA-N</t>
  </si>
  <si>
    <t>CCCCCCCCCCCCC/C=C/C(O)C(NC(CCCCCCCCC/C=C/CCCCCCCCCCC)=O)COC1OC(CO)C(O)C(O)C1O</t>
  </si>
  <si>
    <t>glycosyl ceramide (d18:1/23:1, d17:1/24:1)*</t>
  </si>
  <si>
    <t>KNDOGXSGCOJBRQ-UHRQUHAFSA-N</t>
  </si>
  <si>
    <t>O=C(C(O)CCCCCCCCCCCC/C=C\CCCCCCCC)NC(COC1OC(CO)C(O)C(O)C1O)C(O)/C=C/CCCCCCCCCCCCC</t>
  </si>
  <si>
    <t>glycosyl-N-(2-hydroxynervonoyl)-sphingosine (d18:1/24:1(2OH))*</t>
  </si>
  <si>
    <t>XWBWIAOWSABHFI-QOSDPKFLSA-N</t>
  </si>
  <si>
    <t>OC(/C=C/CCCCCCCCCCCCC)C(CO)NC(CCCCCCCCCCCCCCCCCCC)=O</t>
  </si>
  <si>
    <t>ceramide (d18:1/20:0, d16:1/22:0, d20:1/18:0)*</t>
  </si>
  <si>
    <t>HMDB0240684,HMDB0240682,HMDB0004951</t>
  </si>
  <si>
    <t>WYVHUXGFCVDOEA-UHFFFAOYSA-N</t>
  </si>
  <si>
    <t>C[N+](C)(C)C[CH-]OC(CCCCCCCCCCCCCCCCC)=O</t>
  </si>
  <si>
    <t>stearoylcholine*</t>
  </si>
  <si>
    <t>HMDB0240648</t>
  </si>
  <si>
    <t>90111</t>
  </si>
  <si>
    <t>GVYIAXNFCSAJSK-OKLKQMLOSA-N</t>
  </si>
  <si>
    <t>C[N+](C)(C)C[CH-]OC(CCCCCCC/C=C/C/C=C/CCCCC)=O</t>
  </si>
  <si>
    <t>linoleoylcholine*</t>
  </si>
  <si>
    <t>HMDB0013213</t>
  </si>
  <si>
    <t>53481656</t>
  </si>
  <si>
    <t>WSDKRPCAPHRNNZ-MGBGTMOVSA-N</t>
  </si>
  <si>
    <t>C[N+](C)(CCOP([O-])(OC[C@@](O)([H])COC(CCCCCCCCCCCCCCCCCCCCCCCCC)=O)=O)C</t>
  </si>
  <si>
    <t>1-cerotoyl-GPC (26:0)*</t>
  </si>
  <si>
    <t>35032836</t>
  </si>
  <si>
    <t>HMDB29205</t>
  </si>
  <si>
    <t>FELGMEQIXOGIFQ-UHFFFAOYSA-N</t>
  </si>
  <si>
    <t>CC1=NC=CN1CC2CCC3=C(C2=O)c4c(N3C)cccc4</t>
  </si>
  <si>
    <t>ondansetron</t>
  </si>
  <si>
    <t>99614-02-5</t>
  </si>
  <si>
    <t>4434</t>
  </si>
  <si>
    <t>HMDB0005035</t>
  </si>
  <si>
    <t>C07325</t>
  </si>
  <si>
    <t>4595</t>
  </si>
  <si>
    <t>KPYSYYIEGFHWSV-UHFFFAOYSA-N</t>
  </si>
  <si>
    <t>O=C(O)CC(CN)c1ccc(Cl)cc1</t>
  </si>
  <si>
    <t>baclofen</t>
  </si>
  <si>
    <t>1134-47-0</t>
  </si>
  <si>
    <t>2197</t>
  </si>
  <si>
    <t>HMDB0014327</t>
  </si>
  <si>
    <t>D00241</t>
  </si>
  <si>
    <t>2284</t>
  </si>
  <si>
    <t>PHLBKPHSAVXXEF-UHFFFAOYSA-N</t>
  </si>
  <si>
    <t>O=c1n(cccc2)c2nn1CCCN3CCN(c4cc(Cl)ccc4)CC3</t>
  </si>
  <si>
    <t>trazadone</t>
  </si>
  <si>
    <t>19794-93-5</t>
  </si>
  <si>
    <t>5332</t>
  </si>
  <si>
    <t>HMDB0014794</t>
  </si>
  <si>
    <t>C07156,D08626</t>
  </si>
  <si>
    <t>5533</t>
  </si>
  <si>
    <t>YHGJECVSSKXFCJ-KUBAVDMBSA-N</t>
  </si>
  <si>
    <t>OC(CCCC/C=C\C/C=C\C/C=C\C/C=C\C/C=C\C/C=C\CC)=O</t>
  </si>
  <si>
    <t>nisinate (24:6n3)</t>
  </si>
  <si>
    <t>68378-49-4</t>
  </si>
  <si>
    <t>9967286</t>
  </si>
  <si>
    <t>HMDB0013025</t>
  </si>
  <si>
    <t>11792612</t>
  </si>
  <si>
    <t>UGRZESKDAPEULH-ACEXITHZSA-N</t>
  </si>
  <si>
    <t>CCCCCCCCCCCCCCC[C@@H](O)[C@@H](NC(CCCCCCCCCCCCCCCCCCC)=O)COP([O-])(OCC[N+](C)(C)C)=O</t>
  </si>
  <si>
    <t>sphingomyelin (d18:0/20:0, d16:0/22:0)*</t>
  </si>
  <si>
    <t>HMDB0012090</t>
  </si>
  <si>
    <t>HAFQHLHNPJDAGB-MAJDXUCPSA-N</t>
  </si>
  <si>
    <t>CCCCCCCCCCCCCCCCCCC(N[C@H]([C@H](O)/C=C/CCCCCCCCCCCCC)COP([O-])(OCC[N+](C)(C)C)=O)=O</t>
  </si>
  <si>
    <t>sphingomyelin (d18:1/19:0, d19:1/18:0)*</t>
  </si>
  <si>
    <t>YMTVMVYOUDDTQJ-UOMMIRHQSA-N</t>
  </si>
  <si>
    <t>[H][C@](NC(CCCCCCC/C=C\CCCCCCCC)=O)(COP(OCC[N+](C)(C)C)([O-])=O)[C@@](O)([H])/C=C/CCCCCCCC/C=C\CCC</t>
  </si>
  <si>
    <t>sphingomyelin (d18:2/18:1)*</t>
  </si>
  <si>
    <t>52931155</t>
  </si>
  <si>
    <t>ZLNGRWIWHFFRNK-UKCALJHFSA-N</t>
  </si>
  <si>
    <t>CCC/C=C/CCCCCCCC/C=C/[C@@H](O)[C@@H](NC(CCCCCCCCCCCCCCCC/C=C/C/C=C/CC)=O)COP([O-])(OCC[N+](C)(C)C)=O</t>
  </si>
  <si>
    <t>sphingomyelin (d18:2/24:2)*</t>
  </si>
  <si>
    <t>HMDB0240644</t>
  </si>
  <si>
    <t>SDUGEKJCGFHJRC-GKPQAQNZSA-N</t>
  </si>
  <si>
    <t>CCC/C=C/CCCCCCCC/C=C/[C@@H](O)[C@@H](NC(CCCCCCCCCCCCCCCCCCCC)=O)COP([O-])(OCC[N+](C)(C)C)=O</t>
  </si>
  <si>
    <t>sphingomyelin (d18:2/21:0, d16:2/23:0)*</t>
  </si>
  <si>
    <t>HMDB0240676</t>
  </si>
  <si>
    <t>FEKSRDMVIULIDJ-SQPFVDNVSA-N</t>
  </si>
  <si>
    <t>CCC/C=C/CCCCCCCC/C=C/[C@@H](O)[C@@H](NC(CCCCCCCCCCCCCCCCC/C=C/CCC)=O)COP([O-])(OCC[N+](C)(C)C)=O</t>
  </si>
  <si>
    <t>sphingomyelin (d18:2/23:1)*</t>
  </si>
  <si>
    <t>HMDB0240668</t>
  </si>
  <si>
    <t>JONXXLXMISNQNG-BXMSAMRLSA-N</t>
  </si>
  <si>
    <t>[H][C@](NC(CCCCCCCCCCCCCCCCCCCCCCCC)=O)(COP(OCC[N+](C)(C)C)([O-])=O)[C@@](O)([H])/C=C/CCCCCCCCCCCCC</t>
  </si>
  <si>
    <t>sphingomyelin (d18:1/25:0, d19:0/24:1, d20:1/23:0, d19:1/24:0)*</t>
  </si>
  <si>
    <t>24846885</t>
  </si>
  <si>
    <t>HMDB0240675,HMDB0240674,HMDB0240673,HMDB0240671</t>
  </si>
  <si>
    <t>YHBBZTIPONDTRX-TVUHHANTSA-N</t>
  </si>
  <si>
    <t>[H][C@](NC(CCCCCCCCCCCCCC)=O)(COP(OCC[N+](C)(C)C)([O-])=O)[C@@](O)([H])/C=C/CCCCCCCC/C=C\CCC</t>
  </si>
  <si>
    <t>sphingomyelin (d17:2/16:0, d18:2/15:0)*</t>
  </si>
  <si>
    <t>HMDB0240677</t>
  </si>
  <si>
    <t>MJIHNNLFOKEZEW-RUZDIDTESA-N</t>
  </si>
  <si>
    <t>CC1=C(OCC(F)(F)F)C=CN=C1C[S@](C2=NC3=CC=CC=C3N2)=O</t>
  </si>
  <si>
    <t>dexlansoprazole</t>
  </si>
  <si>
    <t>138530-94-6</t>
  </si>
  <si>
    <t>7852369</t>
  </si>
  <si>
    <t>D08903</t>
  </si>
  <si>
    <t>9578005</t>
  </si>
  <si>
    <t>OQOCQFSPEWCSDO-JLNKQSITSA-N</t>
  </si>
  <si>
    <t>OC(CCCC/C=C\C/C=C\C/C=C\C/C=C\C/C=C\CC)=O</t>
  </si>
  <si>
    <t>heneicosapentaenoate (21:5n3)</t>
  </si>
  <si>
    <t>24257-10-1</t>
  </si>
  <si>
    <t>10171040</t>
  </si>
  <si>
    <t>11998573</t>
  </si>
  <si>
    <t>WJCRATGUUISKDG-QNEBEIHSSA-N</t>
  </si>
  <si>
    <t>O=C(OC(C[N+](C)(C)C)CC([O-])=O)CCCCCCC/C=C\C/C=C\C/C=C\CC</t>
  </si>
  <si>
    <t>linolenoylcarnitine (C18:3)*</t>
  </si>
  <si>
    <t>IUMXSSOVGPXXJL-UHFFFAOYSA-N</t>
  </si>
  <si>
    <t>O=C(OC(C[N+](C)(C)C)CC([O-])=O)CCCCCCCCCCCCCCCCCCCCC</t>
  </si>
  <si>
    <t>behenoylcarnitine (C22)*</t>
  </si>
  <si>
    <t>28639204</t>
  </si>
  <si>
    <t>HMDB0062468</t>
  </si>
  <si>
    <t>71464577</t>
  </si>
  <si>
    <t>SVJLJQBGUITFLI-UHFFFAOYSA-N</t>
  </si>
  <si>
    <t>O=C(OC(C[N+](C)(C)C)CC([O-])=O)CCCCCCCCCCCCCCCCCCC</t>
  </si>
  <si>
    <t>arachidoylcarnitine (C20)*</t>
  </si>
  <si>
    <t>28639199</t>
  </si>
  <si>
    <t>HMDB0006460</t>
  </si>
  <si>
    <t>53477833</t>
  </si>
  <si>
    <t>YDUFZFUYBBPVLJ-UHFFFAOYSA-N</t>
  </si>
  <si>
    <t>O=C(CCCCCCCCCCCCCCCCCCCCCCC)OC(C[N+](C)(C)C)CC([O-])=O</t>
  </si>
  <si>
    <t>lignoceroylcarnitine (C24)*</t>
  </si>
  <si>
    <t>HMDB0240665</t>
  </si>
  <si>
    <t>KOCKWDDTAHPJSX-UHFFFAOYSA-N</t>
  </si>
  <si>
    <t>[O-]C(CC(C[N+](C)(C)C)OC(CCCCCCCCCCCCCCCCCCCCCCCCC)=O)=O</t>
  </si>
  <si>
    <t>cerotoylcarnitine (C26)*</t>
  </si>
  <si>
    <t>35015992</t>
  </si>
  <si>
    <t>HMDB0006347</t>
  </si>
  <si>
    <t>53477828</t>
  </si>
  <si>
    <t>ONGUASHYQLGIFC-OCOZRVBESA-N</t>
  </si>
  <si>
    <t>O=C(OC(C[N+](C)(C)C)CC([O-])=O)CCC/C=C/CCCCCCCCCCCCCCCCCCCC</t>
  </si>
  <si>
    <t>ximenoylcarnitine (C26:1)*</t>
  </si>
  <si>
    <t>RBFQHRALHSUPIA-SNPVRQPZSA-N</t>
  </si>
  <si>
    <t>CCCCC/C=C\C/C=C\C/C=C\C/C=C\CCCC(OC(C[N+](C)(C)C)CC([O-])=O)=O</t>
  </si>
  <si>
    <t>arachidonoylcarnitine (C20:4)</t>
  </si>
  <si>
    <t>HMDB0006455</t>
  </si>
  <si>
    <t>136212424</t>
  </si>
  <si>
    <t>OLZWDVKTOGTVLC-UTJQPWESSA-N</t>
  </si>
  <si>
    <t>O=C(CCCCCCCCC/C=C\C/C=C\CCCCC)OC(C[N+](C)(C)C)CC([O-])=O</t>
  </si>
  <si>
    <t>dihomo-linoleoylcarnitine (C20:2)*</t>
  </si>
  <si>
    <t>RDIZZXFTCZPSRY-WYTUUNCASA-N</t>
  </si>
  <si>
    <t>O=C(CCCCCC/C=C/C/C=C/C/C=C/CCCCC)OC(CC([O-])=O)C[N+](C)(C)C</t>
  </si>
  <si>
    <t>dihomo-linolenoylcarnitine (C20:3n3 or 6)*</t>
  </si>
  <si>
    <t>WLLMYDQRCSWAST-WSDBEMKQSA-N</t>
  </si>
  <si>
    <t>O=C(CC/C=C\C/C=C\C/C=C\C/C=C\C/C=C\C/C=C\CC)OC(C[N+](C)(C)C)CC([O-])=O</t>
  </si>
  <si>
    <t>docosahexaenoylcarnitine (C22:6)*</t>
  </si>
  <si>
    <t>QGIHQXKFCAACHN-SEYXRHQNSA-N</t>
  </si>
  <si>
    <t>O=C(CCCCCCCCCCCCC/C=C\CCCCCCCC)OC(C[N+](C)(C)C)CC([O-])=O</t>
  </si>
  <si>
    <t>nervonoylcarnitine (C24:1)*</t>
  </si>
  <si>
    <t>HMDB0006509</t>
  </si>
  <si>
    <t>MJPIXACTUMSGGI-WMPRHZDHSA-N</t>
  </si>
  <si>
    <t>O=C(OC(CC([O-])=O)C[N+](C)(C)C)CCCCC/C=C\C/C=C\C/C=C\C/C=C\C/C=C\CC</t>
  </si>
  <si>
    <t>docosapentaenoylcarnitine (C22:5n3)*</t>
  </si>
  <si>
    <t>71464594</t>
  </si>
  <si>
    <t>VAOCPAMSLUNLGC-UHFFFAOYSA-N</t>
  </si>
  <si>
    <t>Cc1n(CCO)c([N+]([O-])=O)cn1</t>
  </si>
  <si>
    <t>metronidazole</t>
  </si>
  <si>
    <t>73334-05-1</t>
  </si>
  <si>
    <t>4029</t>
  </si>
  <si>
    <t>HMDB0015052</t>
  </si>
  <si>
    <t>DG00006,C07203,D00409</t>
  </si>
  <si>
    <t>4173</t>
  </si>
  <si>
    <t>FXNTXJCUSRJUFN-QOSDPKFLSA-N</t>
  </si>
  <si>
    <t>OCC(NC(CCCCCCCCCCCCCCCCCCC)=O)C(OC1OC(CO)C(O)C(O)C1O)/C=C/CCCCCCCCCCCCC</t>
  </si>
  <si>
    <t>glycosyl ceramide (d18:1/20:0, d16:1/22:0)*</t>
  </si>
  <si>
    <t>CDLVFVFTRQPQFU-UHFFFAOYSA-N</t>
  </si>
  <si>
    <t>C[N+](C)(C)CCCCC([O-])=O</t>
  </si>
  <si>
    <t>N,N,N-trimethyl-5-aminovalerate</t>
  </si>
  <si>
    <t>34236878</t>
  </si>
  <si>
    <t>14274897</t>
  </si>
  <si>
    <t>WYUFTYLVLQZQNH-UHFFFAOYSA-N</t>
  </si>
  <si>
    <t>CCOC1C(O)C(O)C(O)C(CO)O1</t>
  </si>
  <si>
    <t>ethyl alpha-glucopyranoside</t>
  </si>
  <si>
    <t>34625-23-5</t>
  </si>
  <si>
    <t>378664</t>
  </si>
  <si>
    <t>HMDB0029968</t>
  </si>
  <si>
    <t>11127487</t>
  </si>
  <si>
    <t>JKQXZKUSFCKOGQ-DKLMTRRASA-N</t>
  </si>
  <si>
    <t>CC1=C(/C=C/C(C)=C/C=C/C(C)=C/C=C/C=C(C)/C=C/C=C(C)/C=C/C2=C(C)CC(O)CC2(C)C)C(C)(C)CC(O)C1</t>
  </si>
  <si>
    <t>carotene diol (1)</t>
  </si>
  <si>
    <t>carotene diol (2)</t>
  </si>
  <si>
    <t>carotene diol (3)</t>
  </si>
  <si>
    <t>INMJYSGZRBTEOR-RXCXIKFNSA-N</t>
  </si>
  <si>
    <t>O[C@H]([C@]([C@]([C@]1([H])[C@@](CC2)([H])[C@@]3([H])[C@]([C@@]2([H])C[C@@H]4OC5C(O)C(O)C(O)C(C(O)=O)O5)(CC4)C)(CC3=O)C)(CC1)O)CO</t>
  </si>
  <si>
    <t>cortolone glucuronide (1)</t>
  </si>
  <si>
    <t>RFHAOTPXVQNOHP-UHFFFAOYSA-N</t>
  </si>
  <si>
    <t>Fc1ccc(C(Cn2ncnc2)(O)Cn3ncnc3)c(F)c1</t>
  </si>
  <si>
    <t>fluconazole</t>
  </si>
  <si>
    <t>86386-73-4</t>
  </si>
  <si>
    <t>3248</t>
  </si>
  <si>
    <t>HMDB0014342</t>
  </si>
  <si>
    <t>C07002</t>
  </si>
  <si>
    <t>3365</t>
  </si>
  <si>
    <t>QQCFBZCATDIWTH-UHFFFAOYSA-N</t>
  </si>
  <si>
    <t>O=C(N)N1C2=CC(O)=CC=C2C=CC3=CC=CC=C13</t>
  </si>
  <si>
    <t>3-hydroxycarbamazepine</t>
  </si>
  <si>
    <t>68011-67-6</t>
  </si>
  <si>
    <t>119184</t>
  </si>
  <si>
    <t>HMDB0060653</t>
  </si>
  <si>
    <t>C16602</t>
  </si>
  <si>
    <t>135290</t>
  </si>
  <si>
    <t>MQTAVJHICJWXBR-UHFFFAOYSA-N</t>
  </si>
  <si>
    <t>CC(NCCCNCCCCN)=O</t>
  </si>
  <si>
    <t>(N(1) + N(8))-acetylspermidine</t>
  </si>
  <si>
    <t>HMDB0002189,HMDB0001276</t>
  </si>
  <si>
    <t>C01029,C00612</t>
  </si>
  <si>
    <t>496,123689</t>
  </si>
  <si>
    <t>PETYOUXDCHQKTQ-QXPKXGMISA-N</t>
  </si>
  <si>
    <t>CCCCCC/C=C\CCCC(O[C@@H](C[N+](C)(C)C)CC([O-])=O)=O</t>
  </si>
  <si>
    <t>5-dodecenoylcarnitine (C12:1)</t>
  </si>
  <si>
    <t>HMDB13326</t>
  </si>
  <si>
    <t>91825571</t>
  </si>
  <si>
    <t>WWJXRJJBIVSSNF-NSCUHMNNSA-N</t>
  </si>
  <si>
    <t>OC(CN([H])C(/C=C/C)=O)=O</t>
  </si>
  <si>
    <t>2-butenoylglycine</t>
  </si>
  <si>
    <t>71428-89-2</t>
  </si>
  <si>
    <t>4877902</t>
  </si>
  <si>
    <t>6303498</t>
  </si>
  <si>
    <t>OZOJARPUDFLESM-UHFFFAOYSA-N</t>
  </si>
  <si>
    <t>CCC(O)C1=C(C)C(C(O)=O)=C(CCC(O)=O)O1</t>
  </si>
  <si>
    <t>hydroxy-CMPF*</t>
  </si>
  <si>
    <t>YBCVTTMMURGSEY-LMLDZDDJSA-N</t>
  </si>
  <si>
    <t>CCCCCCCC/C=C\CCCCCC(O)CC(O[C@@H](C[N+](C)(C)C)CC([O-])=O)=O</t>
  </si>
  <si>
    <t>3-hydroxyoleoylcarnitine</t>
  </si>
  <si>
    <t>48061587</t>
  </si>
  <si>
    <t>129637446</t>
  </si>
  <si>
    <t>AAPHATPOQGNLOZ-SNAWJCMRSA-N</t>
  </si>
  <si>
    <t>CCC/C=C/C(NCC(O)=O)=O</t>
  </si>
  <si>
    <t>trans-2-hexenoylglycine</t>
  </si>
  <si>
    <t>25033670</t>
  </si>
  <si>
    <t>CPLYLXYEVLGWFJ-UHFFFAOYSA-N</t>
  </si>
  <si>
    <t>CCCCCCCCCCCCCCCCCCC(O)C(O)=O</t>
  </si>
  <si>
    <t>2-hydroxyarachidate*</t>
  </si>
  <si>
    <t>4395406</t>
  </si>
  <si>
    <t>5225199</t>
  </si>
  <si>
    <t>CLHUCXCVFSEJRR-UHFFFAOYSA-N</t>
  </si>
  <si>
    <t>CCCCCCCCCCCCCCCCCC(NC(C(O)=O)CO)=O</t>
  </si>
  <si>
    <t>N-stearoylserine*</t>
  </si>
  <si>
    <t>15545488</t>
  </si>
  <si>
    <t>Fatty Acid, Amide</t>
  </si>
  <si>
    <t>UQQXKOPWRCINAH-HZJYTTRNSA-N</t>
  </si>
  <si>
    <t>O=C(O)C(CO)NC(CCCCCCC/C=C\C/C=C\CCCCC)=O</t>
  </si>
  <si>
    <t>N-linoleoylserine*</t>
  </si>
  <si>
    <t>RGMMREBHCYXQMA-UHFFFAOYSA-N</t>
  </si>
  <si>
    <t>OC(C(O)CCCCC)=O</t>
  </si>
  <si>
    <t>2-hydroxyheptanoate*</t>
  </si>
  <si>
    <t>2032206</t>
  </si>
  <si>
    <t>2750949</t>
  </si>
  <si>
    <t>QXKAIJAYHKCRRA-PZGQECOJSA-N</t>
  </si>
  <si>
    <t>OC[C@H](O)[C@@H](O)[C@@H](O)C(O)=O</t>
  </si>
  <si>
    <t>lyxonate</t>
  </si>
  <si>
    <t>HMDB0060255</t>
  </si>
  <si>
    <t>OHCMUMNQAHNIEP-HNQUOIGGSA-N</t>
  </si>
  <si>
    <t>OC(CCC/C=C/CCCCCC(O)=O)=O</t>
  </si>
  <si>
    <t>dodecenedioate (C12:1-DC)*</t>
  </si>
  <si>
    <t>HMDB0000933</t>
  </si>
  <si>
    <t>5283028</t>
  </si>
  <si>
    <t>IWTMSCUHCJHPPR-ACCUITESSA-N</t>
  </si>
  <si>
    <t>O=C(O)CCCCCCCCCCCC/C=C/C(O)=O</t>
  </si>
  <si>
    <t>hexadecenedioate (C16:1-DC)*</t>
  </si>
  <si>
    <t>YDPSQMGOAILWPE-FYWRMAATSA-N</t>
  </si>
  <si>
    <t>O=C(O)CCCCCCCCCCCCCC/C=C/C(O)=O</t>
  </si>
  <si>
    <t>octadecenedioate (C18:1-DC)</t>
  </si>
  <si>
    <t>9543674</t>
  </si>
  <si>
    <t>OXQWBLJQOBXJPM-DUXPYHPUSA-N</t>
  </si>
  <si>
    <t>OC(CCC/C=C/C(O)=O)=O</t>
  </si>
  <si>
    <t>heptenedioate (C7:1-DC)*</t>
  </si>
  <si>
    <t>ZKQNWTGXRAIVGG-PXELCPQFSA-N</t>
  </si>
  <si>
    <t>O=C(O)CCCCCCCCCCCC/C=C/C=C/C(O)=O</t>
  </si>
  <si>
    <t>octadecadienedioate (C18:2-DC)*</t>
  </si>
  <si>
    <t>glucuronide of C10H18O2 (1)*</t>
  </si>
  <si>
    <t>RIJDKRLRDVBUHJ-UHFFFAOYSA-N</t>
  </si>
  <si>
    <t>OC(C1=C(CCC(O)=O)OC(CCCCC)=C1C)=O</t>
  </si>
  <si>
    <t>3-carboxy-4-methyl-5-pentyl-2-furanpropionate (3-CMPFP)**</t>
  </si>
  <si>
    <t>168762</t>
  </si>
  <si>
    <t>HMDB0061643</t>
  </si>
  <si>
    <t>194501</t>
  </si>
  <si>
    <t>SBYDEYGHJXSIDV-UHFFFAOYSA-N</t>
  </si>
  <si>
    <t>CC1=C(OS(=O)(O)=O)C=CC2=CC=CC=C21</t>
  </si>
  <si>
    <t>methylnaphthyl sulfate (2)*</t>
  </si>
  <si>
    <t>glucuronide of C10H18O2 (7)*</t>
  </si>
  <si>
    <t>glucuronide of C10H18O2 (8)*</t>
  </si>
  <si>
    <t>DJMIFDZBCUUQJN-NTSWFWBYSA-N</t>
  </si>
  <si>
    <t>O[C@@H]1[C@H](C([O-])=O)[N+](C)(C)CC1</t>
  </si>
  <si>
    <t>3-hydroxystachydrine*</t>
  </si>
  <si>
    <t>391002</t>
  </si>
  <si>
    <t>C10151</t>
  </si>
  <si>
    <t>46173781</t>
  </si>
  <si>
    <t>JJGNMSOJTSABGA-UHFFFAOYSA-N</t>
  </si>
  <si>
    <t>OC(C(CCCCCC)N([H])C(C)=O)=O</t>
  </si>
  <si>
    <t>N-acetyl-2-aminooctanoate*</t>
  </si>
  <si>
    <t>86248</t>
  </si>
  <si>
    <t>HMDB0059745</t>
  </si>
  <si>
    <t>95555</t>
  </si>
  <si>
    <t>ZBYVTTSIVDYQSO-REOHCLBHSA-N</t>
  </si>
  <si>
    <t>O=C(O)[C@@H](N)CC(NO)=O</t>
  </si>
  <si>
    <t>hydroxyasparagine**</t>
  </si>
  <si>
    <t>88149</t>
  </si>
  <si>
    <t>HMDB32332</t>
  </si>
  <si>
    <t>C20631</t>
  </si>
  <si>
    <t>15991574</t>
  </si>
  <si>
    <t>SNGREZUHAYWORS-UHFFFAOYSA-N</t>
  </si>
  <si>
    <t>OC(C(F)(F)C(F)(F)C(F)(F)C(F)(F)C(F)(F)C(F)(F)C(F)(F)F)=O</t>
  </si>
  <si>
    <t>perfluorooctanoate (PFOA)</t>
  </si>
  <si>
    <t>9180</t>
  </si>
  <si>
    <t>HMDB0059587</t>
  </si>
  <si>
    <t>9554</t>
  </si>
  <si>
    <t>VMIWHQCIHIUYCS-UHFFFAOYSA-N</t>
  </si>
  <si>
    <t>O=C(CC(O)C)NCC(O)=O</t>
  </si>
  <si>
    <t>3-hydroxybutyroylglycine**</t>
  </si>
  <si>
    <t>ZQYUKJFJPJDMMR-PRRFOZOMSA-N</t>
  </si>
  <si>
    <t>CC(C1CCC2C3[C@H]([C@H]([C@@]4(C[C@@H](CC[C@@]4(C3CC[C@]12C)C)O)[H])O)O)CCC(NCC(O)=O)=O</t>
  </si>
  <si>
    <t>glyco-beta-muricholate**</t>
  </si>
  <si>
    <t>FMIPNAUMSPFTHK-UHFFFAOYSA-N</t>
  </si>
  <si>
    <t>OC1CN(C)C(C(O)=O)C1</t>
  </si>
  <si>
    <t>N-methylhydroxyproline**</t>
  </si>
  <si>
    <t>9860390</t>
  </si>
  <si>
    <t>KXONJPJIFNGMCN-UHFFFAOYSA-N</t>
  </si>
  <si>
    <t>O=C(C([N+](C)(C)C)C)N1CCCC1C([O-])=O</t>
  </si>
  <si>
    <t>N,N,N-trimethyl-alanylproline betaine (TMAP)</t>
  </si>
  <si>
    <t>HMDB0240365</t>
  </si>
  <si>
    <t>OLNJUISKUQQNIM-UHFFFAOYSA-N</t>
  </si>
  <si>
    <t>O=CC1=CNC2=CC=CC=C12</t>
  </si>
  <si>
    <t>3-formylindole</t>
  </si>
  <si>
    <t>487-89-8</t>
  </si>
  <si>
    <t>9838</t>
  </si>
  <si>
    <t>HMDB29737</t>
  </si>
  <si>
    <t>C08493</t>
  </si>
  <si>
    <t>10256</t>
  </si>
  <si>
    <t>SCTJBDDLOROJJM-UHFFFAOYSA-N</t>
  </si>
  <si>
    <t>NC(C(O)=O)CCC(NC(CCCNC(N)=O)C(O)=O)=O</t>
  </si>
  <si>
    <t>gamma-glutamylcitrulline*</t>
  </si>
  <si>
    <t>glycine conjugate of C10H12O2*</t>
  </si>
  <si>
    <t>glycine conjugate of C10H14O2 (1)*</t>
  </si>
  <si>
    <t>glutamine conjugate of C7H12O2*</t>
  </si>
  <si>
    <t>glutamine conjugate of C6H10O2 (1)*</t>
  </si>
  <si>
    <t>glutamine conjugate of C6H10O2 (2)*</t>
  </si>
  <si>
    <t>UMCDODPBPQMWQP-UHFFFAOYSA-N</t>
  </si>
  <si>
    <t>COC1=C(OS(=O)(O)=O)C=CC(CCC(O)=O)=C1</t>
  </si>
  <si>
    <t>dihydroferulic acid sulfate</t>
  </si>
  <si>
    <t>162994</t>
  </si>
  <si>
    <t>HMDB0041724</t>
  </si>
  <si>
    <t>187489</t>
  </si>
  <si>
    <t>NFUNGJWOQYYPEX-UHFFFAOYSA-N</t>
  </si>
  <si>
    <t>NC(CCC(O)=O)C(NCC(NC(CC(O)=O)C(NC(CC1=CC=CC=C1)C(NC(CC(C)C)C(NC(C)C(NC(CCC(O)=O)C(NCC(NCC(NCC(NC(C(C)C)C(NC(CCCNC(N)=N)C(O)=O)=O)=O)=O)=O)=O)=O)=O)=O)=O)=O)=O</t>
  </si>
  <si>
    <t>fibrinopeptide A (5-16)*</t>
  </si>
  <si>
    <t>NQUPYRJVFYRZQX-UHFFFAOYSA-N</t>
  </si>
  <si>
    <t>NC(CC(O)=O)C(NC(CC1=CC=CC=C1)C(NC(CC(C)C)C(NC(C)C(NC(CCC(O)=O)C(NCC(NCC(NCC(NC(C(C)C)C(NC(CCCNC(N)=N)C(O)=O)=O)=O)=O)=O)=O)=O)=O)=O)=O</t>
  </si>
  <si>
    <t>fibrinopeptide A (7-16)*</t>
  </si>
  <si>
    <t>VDFACZRLDXDTEB-WSYRTZMQSA-N</t>
  </si>
  <si>
    <t>CCCCCCCCCCC/C=C/[C@@H](O)[C@@H](NC(CCCCCCCCCCCCCC)=O)COP(OCC[N+](C)(C)C)([O-])=O</t>
  </si>
  <si>
    <t>sphingomyelin (d17:1/14:0, d16:1/15:0)*</t>
  </si>
  <si>
    <t>HXHZGHRLVRFQDR-HZJYTTRNSA-N</t>
  </si>
  <si>
    <t>OC(CCC/C=C\C/C=C\CCCCC)=O</t>
  </si>
  <si>
    <t>tetradecadienoate (14:2)*</t>
  </si>
  <si>
    <t>39039-37-7</t>
  </si>
  <si>
    <t>4471834</t>
  </si>
  <si>
    <t>HMDB0000560</t>
  </si>
  <si>
    <t>5312409</t>
  </si>
  <si>
    <t>YCCMTCQQDULIFE-UHFFFAOYSA-N</t>
  </si>
  <si>
    <t>NC1CCCNC1=O</t>
  </si>
  <si>
    <t>3-amino-2-piperidone</t>
  </si>
  <si>
    <t>1892-22-4</t>
  </si>
  <si>
    <t>4371576</t>
  </si>
  <si>
    <t>HMDB0000323</t>
  </si>
  <si>
    <t>5200225</t>
  </si>
  <si>
    <t>QCYOIFVBYZNUNW-BYPYZUCNSA-N</t>
  </si>
  <si>
    <t>C[C@@](C(O)=O)(N(C)C)[H]</t>
  </si>
  <si>
    <t>N,N-dimethylalanine</t>
  </si>
  <si>
    <t>2812-31-9</t>
  </si>
  <si>
    <t>4589713</t>
  </si>
  <si>
    <t>5488191</t>
  </si>
  <si>
    <t>DWLVFWDCSFTDOD-UHFFFAOYSA-N</t>
  </si>
  <si>
    <t>OC(C(C1=CNC2=C1C=CC=C2)=O)=O</t>
  </si>
  <si>
    <t>3-indoleglyoxylic acid</t>
  </si>
  <si>
    <t>1477-49-2</t>
  </si>
  <si>
    <t>66497</t>
  </si>
  <si>
    <t>73863</t>
  </si>
  <si>
    <t>KGRVJHAUYBGFFP-UHFFFAOYSA-N</t>
  </si>
  <si>
    <t>CC1=CC(C(C)(C)C)=C(C(CC2=C(C(C(C)(C)C)=CC(C)=C2)O)=C1)O</t>
  </si>
  <si>
    <t>2,2'-methylenebis(6-tert-butyl-p-cresol)</t>
  </si>
  <si>
    <t>119-47-1</t>
  </si>
  <si>
    <t>8092</t>
  </si>
  <si>
    <t>8398</t>
  </si>
  <si>
    <t>WYUFTYLVLQZQNH-JAJWTYFOSA-N</t>
  </si>
  <si>
    <t>O[C@H]([C@H]1O)[C@@H]([C@@H](CO)O[C@H]1OCC)O</t>
  </si>
  <si>
    <t>ethyl beta-glucopyranoside</t>
  </si>
  <si>
    <t>108559</t>
  </si>
  <si>
    <t>121667</t>
  </si>
  <si>
    <t>FBFZPSQPKNIVMT-ZAFYKAAXSA-N</t>
  </si>
  <si>
    <t>O=C1O[C@@]([C@@H](O)CO)([H])C(OS(=O)(O)=O)=C1O</t>
  </si>
  <si>
    <t>ascorbic acid 3-sulfate*</t>
  </si>
  <si>
    <t>9600241</t>
  </si>
  <si>
    <t>11425365</t>
  </si>
  <si>
    <t>SBLCKJXUMHOIBU-UHFFFAOYSA-N</t>
  </si>
  <si>
    <t>O=C(NCC(O)=O)C1=CC(OS(=O)(O)=O)=CC=C1</t>
  </si>
  <si>
    <t>3-hydroxyhippurate sulfate</t>
  </si>
  <si>
    <t>161984</t>
  </si>
  <si>
    <t>186339</t>
  </si>
  <si>
    <t>OAORYCZPERQARS-UHFFFAOYSA-N</t>
  </si>
  <si>
    <t>Brc1ccc2c(CC(N)C(O)=O)c[nH]c2c1</t>
  </si>
  <si>
    <t>6-bromotryptophan</t>
  </si>
  <si>
    <t>9856996</t>
  </si>
  <si>
    <t>XXEWFEBMSGLYBY-ZETCQYMHSA-N</t>
  </si>
  <si>
    <t>OC([C@@H](N)CCCCN(C)C)=O</t>
  </si>
  <si>
    <t>N6,N6-dimethyllysine</t>
  </si>
  <si>
    <t>2259-86-1</t>
  </si>
  <si>
    <t>167778</t>
  </si>
  <si>
    <t>HMDB0013287</t>
  </si>
  <si>
    <t>C05545</t>
  </si>
  <si>
    <t>193344</t>
  </si>
  <si>
    <t>QHRHXXRXWDTFLI-HZJYTTRNSA-N</t>
  </si>
  <si>
    <t>CCCCC/C=C\C/C=C\CC(O)=O</t>
  </si>
  <si>
    <t>dodecadienoate (12:2)*</t>
  </si>
  <si>
    <t>25480</t>
  </si>
  <si>
    <t>PBMNAYVZYLZVKC-UHFFFAOYSA-N</t>
  </si>
  <si>
    <t>O=C(OC(C[N+](C)(C)C)CC([O-])=O)CC1=CNC2=CC=CC=C12</t>
  </si>
  <si>
    <t>indoleacetoylcarnitine*</t>
  </si>
  <si>
    <t>YGIAGXACEXFIDU-UHFFFAOYSA-N</t>
  </si>
  <si>
    <t>O=C(C)NCCCNCCCC(O)=O</t>
  </si>
  <si>
    <t>N-acetyl-isoputreanine</t>
  </si>
  <si>
    <t>131802901</t>
  </si>
  <si>
    <t>glucuronide of piperine metabolite C17H21NO3 (3)*</t>
  </si>
  <si>
    <t>glucuronide of piperine metabolite C17H21NO3 (4)*</t>
  </si>
  <si>
    <t>glucuronide of piperine metabolite C17H21NO3 (5)*</t>
  </si>
  <si>
    <t>sulfate of piperine metabolite C16H19NO3 (2)*</t>
  </si>
  <si>
    <t>sulfate of piperine metabolite C16H19NO3 (3)*</t>
  </si>
  <si>
    <t>sulfate of piperine metabolite C18H21NO3 (1)*</t>
  </si>
  <si>
    <t>sulfate of piperine metabolite C18H21NO3 (3)*</t>
  </si>
  <si>
    <t>STZOUWQDQRPMBI-ZETCQYMHSA-N</t>
  </si>
  <si>
    <t>O=C(NCC)CC[C@@H](C(O)=O)NC(C)=O</t>
  </si>
  <si>
    <t>N-acetyltheanine</t>
  </si>
  <si>
    <t>HXEZIDSFDHEIIQ-UHFFFAOYSA-N</t>
  </si>
  <si>
    <t>O=S(OC1=CC=C(C=CC=C2)C2=C1)(O)=O</t>
  </si>
  <si>
    <t>2-naphthol sulfate</t>
  </si>
  <si>
    <t>67020</t>
  </si>
  <si>
    <t>74428</t>
  </si>
  <si>
    <t>CLCCTVXAPVYLKM-UHFFFAOYSA-N</t>
  </si>
  <si>
    <t>CC1=CC=C(C)C(OS(=O)(O)=O)=C1</t>
  </si>
  <si>
    <t>(2,4 or 2,5)-dimethylphenol sulfate</t>
  </si>
  <si>
    <t>KHZCNGJFSKSSIJ-UHFFFAOYSA-N</t>
  </si>
  <si>
    <t>OC1=CC=C(CC)C=C1OS(=O)(O)=O</t>
  </si>
  <si>
    <t>4-ethylcatechol sulfate</t>
  </si>
  <si>
    <t>BRPLOVMHAFXVOQ-HXVIYJDASA-N</t>
  </si>
  <si>
    <t>C[C@]12CC[C@@H](OC3C(O)C(O)C(O)C(C(O)=O)O3)C[C@]1([H])CC[C@]4([H])[C@]2([H])[C@@H](O)C[C@@]5(C)[C@@]4([H])CCC5=O</t>
  </si>
  <si>
    <t>11beta-hydroxyandrosterone glucuronide</t>
  </si>
  <si>
    <t>HMDB0010351</t>
  </si>
  <si>
    <t>BRPLOVMHAFXVOQ-KXVRARTKSA-N</t>
  </si>
  <si>
    <t>O[C@@H]1[C@@]2([H])[C@](CCC3[C@]2(C)CC[C@H](O[C@@H]4O[C@H](C(O)=O)[C@@H](O)[C@H](O)[C@H]4O)C3)([H])[C@@]5([H])[C@](C(CC5)=O)(C)C1</t>
  </si>
  <si>
    <t>11beta-hydroxyetiocholanolone glucuronide*</t>
  </si>
  <si>
    <t>17181-15-6</t>
  </si>
  <si>
    <t>UNPVIYLDJYPILW-VIFPVBQESA-N</t>
  </si>
  <si>
    <t>OC([C@@H](NC(C)=O)CCCCN(C)C)=O</t>
  </si>
  <si>
    <t>N2-acetyl,N6,N6-dimethyllysine</t>
  </si>
  <si>
    <t>MKWKYAGEJHBUOX-QMMMGPOBSA-N</t>
  </si>
  <si>
    <t>OC([C@@H](NC(C)=O)CCCCNC)=O</t>
  </si>
  <si>
    <t>N2-acetyl,N6-methyllysine</t>
  </si>
  <si>
    <t>RBLDVEUUCHVWMW-LFKDYQRZSA-N</t>
  </si>
  <si>
    <t>O[C@H]1[C@@]2([H])[C@]3([H])CC[C@H]([C@H](C)CCC(O)=O)[C@@]3(C)[C@@H](O)C[C@]2([H])[C@@]4(C)CC[C@@H](OC5C(O)C(O)C(O)C(C(O)=O)O5)CC4C1</t>
  </si>
  <si>
    <t>cholic acid glucuronide</t>
  </si>
  <si>
    <t>HMDB0002577</t>
  </si>
  <si>
    <t>21252309</t>
  </si>
  <si>
    <t>NNEIBJNHWVDJBA-WOSXBVGSSA-N</t>
  </si>
  <si>
    <t>O[C@H]1C[C@]2([H])[C@@]3(C)CC[C@@H](OC4C(O)C(O)C(O)C(C(O)=O)O4)CC3CC[C@@]2([H])[C@]5([H])CC[C@H]([C@H](C)CCC(O)=O)[C@@]15C</t>
  </si>
  <si>
    <t>deoxycholic acid glucuronide</t>
  </si>
  <si>
    <t>USWXDXYEVISELK-UHFFFAOYSA-N</t>
  </si>
  <si>
    <t>OS(OC1=CC=C(CC=C)C=C1O)(=O)=O</t>
  </si>
  <si>
    <t>4-allylcatechol sulfate</t>
  </si>
  <si>
    <t>IOLHQSZMUUGACW-UHFFFAOYSA-N</t>
  </si>
  <si>
    <t>OC(C1OC(OC2=CC=CN=C2)C(O)C(O)C1O)=O</t>
  </si>
  <si>
    <t>3-hydroxypyridine glucuronide</t>
  </si>
  <si>
    <t>ZPFYUMPBKRRSTR-UHFFFAOYSA-N</t>
  </si>
  <si>
    <t>ClC1=CC(Cl)=CC=C1OC2=C(OS(O)(=O)=O)C=C(Cl)C=C2</t>
  </si>
  <si>
    <t>triclosan sulfate</t>
  </si>
  <si>
    <t>30778644</t>
  </si>
  <si>
    <t>HMDB0061387</t>
  </si>
  <si>
    <t>67606152</t>
  </si>
  <si>
    <t>VCZLDSLBUPQMCV-UHFFFAOYSA-N</t>
  </si>
  <si>
    <t>CCC(C)CCC(NC(CCC(N)=O)C(O)=O)=O</t>
  </si>
  <si>
    <t>4-methylhexanoylglutamine</t>
  </si>
  <si>
    <t>PTJADDMMFYXMMG-UHFFFAOYSA-N</t>
  </si>
  <si>
    <t>FC1=CC=C(C=C1)C2(CCCNC)OCC3=C2C=CC(C#N)=C3</t>
  </si>
  <si>
    <t>desmethylcitalopram*</t>
  </si>
  <si>
    <t>142424</t>
  </si>
  <si>
    <t>HMDB0014021</t>
  </si>
  <si>
    <t>C16608</t>
  </si>
  <si>
    <t>162180</t>
  </si>
  <si>
    <t>JSYNRZJODZWUKX-UHFFFAOYSA-N</t>
  </si>
  <si>
    <t>FC1=CC=C(C=C1)C2(CCC(O)=O)OCC3=C2C=CC(C#N)=C3</t>
  </si>
  <si>
    <t>citalopram propionate*</t>
  </si>
  <si>
    <t>8578612</t>
  </si>
  <si>
    <t>HMDB60463</t>
  </si>
  <si>
    <t>C16610</t>
  </si>
  <si>
    <t>10403174</t>
  </si>
  <si>
    <t>OBIZFSZXDHWUJZ-ANUWOGMRSA-N</t>
  </si>
  <si>
    <t>O=C(O)[C@H]1O[C@H]([C@H](O)[C@@H](O)[C@@H]1O)OC2=CC=C(C3=CC=CC=C23)O[C@](CCNC)([H])C4=CC=CS4</t>
  </si>
  <si>
    <t>4-hydroxy duloxetine glucuronide*</t>
  </si>
  <si>
    <t>28516882</t>
  </si>
  <si>
    <t>HMDB0060763</t>
  </si>
  <si>
    <t>29981512</t>
  </si>
  <si>
    <t>XYZBSFYKOKLCKI-INIZCTEOSA-N</t>
  </si>
  <si>
    <t>CNCC[C@@H](C1=CC=CS1)OC2=CC=CC3=C(C(OC)=CC=C23)OS(=O)(O)=O</t>
  </si>
  <si>
    <t>5-hydroxy-6-methoxy duloxetine sulfate*</t>
  </si>
  <si>
    <t>25061067</t>
  </si>
  <si>
    <t>JLOAJISUHPIQOX-UHFFFAOYSA-N</t>
  </si>
  <si>
    <t>N1(C2=NC3=C(SC4=C2C=CC=C4)C=CC=C3)CCNCC1</t>
  </si>
  <si>
    <t>N-desalkylquetiapine*</t>
  </si>
  <si>
    <t>9544835</t>
  </si>
  <si>
    <t>11369918</t>
  </si>
  <si>
    <t>DFJVUWAHTQPQCV-MDWZMJQESA-N</t>
  </si>
  <si>
    <t>[O-][N+](C)(C)CC1=CC=C(CSCCN([H])/C(N([H])C)=C/[N+]([O-])=O)O1</t>
  </si>
  <si>
    <t>ranitidine N-oxide*</t>
  </si>
  <si>
    <t>2298463</t>
  </si>
  <si>
    <t>62985</t>
  </si>
  <si>
    <t>BPZSPAZBZFZZBN-UHFFFAOYSA-N</t>
  </si>
  <si>
    <t>O=C1OC(C=CC=C2)=C2C(O)=C1C(C3=CC=CC=C3)C(O)C(C)=O</t>
  </si>
  <si>
    <t>10-hydroxywarfarin</t>
  </si>
  <si>
    <t>19983904</t>
  </si>
  <si>
    <t>HMDB0013884</t>
  </si>
  <si>
    <t>54692492</t>
  </si>
  <si>
    <t>SKFYEJMLNMTTJA-UHFFFAOYSA-N</t>
  </si>
  <si>
    <t>O=C1OC(C=C(O)C=C2)=C2C(O)=C1C(C3=CC=CC=C3)CC(C)=O</t>
  </si>
  <si>
    <t>7-hydroxywarfarin</t>
  </si>
  <si>
    <t>20129467</t>
  </si>
  <si>
    <t>HMDB0013886</t>
  </si>
  <si>
    <t>54682507,54732122</t>
  </si>
  <si>
    <t>IQWPEJBUOJQPDE-UHFFFAOYSA-N</t>
  </si>
  <si>
    <t>O=C1C(C(C2=CC=CC=C2)CC(C)=O)=C(O)C(C=C3O)=C(C=C3)O1</t>
  </si>
  <si>
    <t>6-hydroxywarfarin</t>
  </si>
  <si>
    <t>10533313</t>
  </si>
  <si>
    <t>HMDB0013883,HMDB0013880</t>
  </si>
  <si>
    <t>54682459</t>
  </si>
  <si>
    <t>DKXXSIJHWWVNMO-XROMFQGDSA-N</t>
  </si>
  <si>
    <t>[H][C@@]12[C@@]3(C)CC[C@@H](OS(=O)(O)=O)C[C@@]3([H])C[C@H](O)[C@@]1([H])[C@]4([H])CC[C@]([H])([C@H](C)CCC(NCC(O)=O)=O)[C@@]4(C)CC2</t>
  </si>
  <si>
    <t>glycoursodeoxycholic acid sulfate (1)</t>
  </si>
  <si>
    <t>glycoursodeoxycholic acid sulfate (2)</t>
  </si>
  <si>
    <t>WEPNMLSXEATIJK-UHFFFAOYSA-N</t>
  </si>
  <si>
    <t>OC1=CC(CCC(O)=O)=CC=C1OS(O)(=O)=O</t>
  </si>
  <si>
    <t>dihydrocaffeate sulfate (2)</t>
  </si>
  <si>
    <t>AXDXVEYHEODSPN-HVATVPOCSA-N</t>
  </si>
  <si>
    <t>[H][C@@]12[C@@]3(C)CC[C@@H](OS(=O)(O)=O)C[C@@]3([H])CC[C@@]1([H])[C@]4([H])CC[C@]([H])([C@H](C)CCC(O)=O)[C@@]4(C)CC2</t>
  </si>
  <si>
    <t>lithocholate sulfate (1)</t>
  </si>
  <si>
    <t>451489</t>
  </si>
  <si>
    <t>lithocholic acid sulfate (2)</t>
  </si>
  <si>
    <t>VYEONLJQPYRKAN-UHFFFAOYSA-N</t>
  </si>
  <si>
    <t>C[N+](C)(C)CC(OC(CC(O)CCC)=O)CC([O-])=O</t>
  </si>
  <si>
    <t>3-hydroxyhexanoylcarnitine (1)</t>
  </si>
  <si>
    <t>VOXWKXZBPMQUJH-UHFFFAOYSA-N</t>
  </si>
  <si>
    <t>CSC1=CC(NC(C)=O)=CC=C1OS(O)(=O)=O</t>
  </si>
  <si>
    <t>3-(methylthio)acetaminophen sulfate*</t>
  </si>
  <si>
    <t>GPPUPQFYDYLTIY-UHFFFAOYSA-N</t>
  </si>
  <si>
    <t>CCCCCCC(C(O)=O)=O</t>
  </si>
  <si>
    <t>2-ketocaprylate</t>
  </si>
  <si>
    <t>328-51-8</t>
  </si>
  <si>
    <t>60921</t>
  </si>
  <si>
    <t>HMDB0013211</t>
  </si>
  <si>
    <t>67600</t>
  </si>
  <si>
    <t>AKEUNCKRJATALU-UHFFFAOYSA-N</t>
  </si>
  <si>
    <t>OC(C1=C(O)C=CC=C1O)=O</t>
  </si>
  <si>
    <t>2,6-dihydroxybenzoic acid</t>
  </si>
  <si>
    <t>303-07-1</t>
  </si>
  <si>
    <t>8974</t>
  </si>
  <si>
    <t>HMDB0013676</t>
  </si>
  <si>
    <t>9338</t>
  </si>
  <si>
    <t>UYZSNVLEDLCWGU-UHFFFAOYSA-N</t>
  </si>
  <si>
    <t>CN(C)CCCCC(O)=O</t>
  </si>
  <si>
    <t>N,N-dimethyl-5-aminovalerate</t>
  </si>
  <si>
    <t>UCVZOQFWMUAZJZ-GXBDJPPSSA-N</t>
  </si>
  <si>
    <t>[H][C@@]12[C@@]3(C)CC[C@@H](OS(=O)(O)=O)C[C@@]3([H])CC[C@@]1([H])[C@]4([H])CC[C@](O)(C(CO)=O)[C@@]4(C)C[C@@H]2O</t>
  </si>
  <si>
    <t>tetrahydrocortisol sulfate (1)</t>
  </si>
  <si>
    <t>NUPWKYZXNXCOHY-UHFFFAOYSA-N</t>
  </si>
  <si>
    <t>CCC1=C(OS(=O)(O)=O)C(O)=CC=C1</t>
  </si>
  <si>
    <t>3-ethylcatechol sulfate (1)</t>
  </si>
  <si>
    <t>RRWBOGSYNDIRNR-UHFFFAOYSA-N</t>
  </si>
  <si>
    <t>OC1=CC=C(C(C)=O)C=C1OS(=O)(O)=O</t>
  </si>
  <si>
    <t>4-acetylcatechol sulfate (1)</t>
  </si>
  <si>
    <t>IEDVJHCEMCRBQM-UHFFFAOYSA-N</t>
  </si>
  <si>
    <t>COc1c(OC)c(OC)cc(Cc2c(N)nc(N)nc2)c1</t>
  </si>
  <si>
    <t>trimethoprim</t>
  </si>
  <si>
    <t>738-70-5</t>
  </si>
  <si>
    <t>5376</t>
  </si>
  <si>
    <t>HMDB0014583</t>
  </si>
  <si>
    <t>C01965,D00145</t>
  </si>
  <si>
    <t>5578</t>
  </si>
  <si>
    <t>AGOYDEPGAOXOCK-KCBOHYOISA-N</t>
  </si>
  <si>
    <t>CC[C@@H]1[C@@](C)(O)[C@H](O)[C@@H](C)C([C@H](C)C[C@@](C)(OC)[C@H](O[C@H]2[C@H](O)[C@@H](N(C)C)C[C@@H](C)O2)[C@@H](C)[C@H](O[C@H]3C[C@@](C)(OC)[C@@H](O)[C@H](C)O3)[C@@H](C)C(O1)=O)=O</t>
  </si>
  <si>
    <t>clarithromycin</t>
  </si>
  <si>
    <t>81103-11-9</t>
  </si>
  <si>
    <t>10342604</t>
  </si>
  <si>
    <t>HMDB0015342</t>
  </si>
  <si>
    <t>C06912,D00276</t>
  </si>
  <si>
    <t>84029</t>
  </si>
  <si>
    <t>UCHDWCPVSPXUMX-TZIWLTJVSA-N</t>
  </si>
  <si>
    <t>CC(c1c(CC[C@@H](SCC2(CC(O)=O)CC2)c3cc(/C=C/c(cc4)nc5c4ccc(Cl)c5)ccc3)cccc1)(O)C</t>
  </si>
  <si>
    <t>montelukast</t>
  </si>
  <si>
    <t>158966-92-8</t>
  </si>
  <si>
    <t>4444507</t>
  </si>
  <si>
    <t>HMDB0014614</t>
  </si>
  <si>
    <t>C07482</t>
  </si>
  <si>
    <t>5281040</t>
  </si>
  <si>
    <t>XMZBEAXQGSBWLG-NSCUHMNNSA-N</t>
  </si>
  <si>
    <t>OC(C(O)=O)C(O)/C=C/SC</t>
  </si>
  <si>
    <t>2,3-dihydroxy-5-methylthio-4-pentenoate (DMTPA)*</t>
  </si>
  <si>
    <t>HMDB0240388</t>
  </si>
  <si>
    <t>ROMVHQMTMINAHB-UHFFFAOYSA-N</t>
  </si>
  <si>
    <t>NC(CO)C(NCC(NC(CCC(O)=O)C(NCC(NC(CC(O)=O)C(NC(CC1=CC=CC=C1)C(NC(CC(C)C)C(NC(C)C(NC(CCC(O)=O)C(NCC(NCC(NCC(NC(C(C)C)C(O)=O)=O)=O)=O)=O)=O)=O)=O)=O)=O)=O)=O)=O</t>
  </si>
  <si>
    <t>fibrinopeptide A (3-15)**</t>
  </si>
  <si>
    <t>25078015</t>
  </si>
  <si>
    <t>BIJNWWNHDMFRFM-UHFFFAOYSA-N</t>
  </si>
  <si>
    <t>OCC(C(NCC(NC(CCC(O)=O)C(NCC(NC(CC(O)=O)C(NC(CC1=CC=CC=C1)C(NC(CC(C)C)C(NC(C)C(NC(CCC(O)=O)C(NCC(NCC(NCC(NC(C(C)C)C(O)=O)=O)=O)=O)=O)=O)=O)=O)=O)=O)=O)=O)=O)NC(C(CC(O)=O)N)=O</t>
  </si>
  <si>
    <t>fibrinopeptide A (2-15)**</t>
  </si>
  <si>
    <t>RTIAWGDTSQOGQP-UHFFFAOYSA-N</t>
  </si>
  <si>
    <t>NC(CO)C(NCC(NC(CCC(O)=O)C(NCC(NC(CC(O)=O)C(NC(CC1=CC=CC=C1)C(NC(CC(C)C)C(NC(C)C(NC(CCC(O)=O)C(NCC(NCC(NCC(NC(C(C)C)C(NC(CCCNC(N)=N)C(O)=O)=O)=O)=O)=O)=O)=O)=O)=O)=O)=O)=O)=O)=O</t>
  </si>
  <si>
    <t>fibrinopeptide A (3-16)**</t>
  </si>
  <si>
    <t>GXMAZYIQAHTXHM-UHFFFAOYSA-N</t>
  </si>
  <si>
    <t>NCC(NC(CCC(O)=O)C(NCC(NC(CC(O)=O)C(NC(CC1=CC=CC=C1)C(NC(CC(C)C)C(NC(C)C(NC(CCC(O)=O)C(NCC(NCC(NCC(NC(C(C)C)C(O)=O)=O)=O)=O)=O)=O)=O)=O)=O)=O)=O)=O</t>
  </si>
  <si>
    <t>fibrinopeptide A (4-15)**</t>
  </si>
  <si>
    <t>IVDQZJOLQPZCET-UHFFFAOYSA-N</t>
  </si>
  <si>
    <t>NC(CC1=CC=CC=C1)C(NC(CC(C)C)C(NC(C)C(NC(CCC(O)=O)C(NCC(NCC(NCC(NC(C(C)C)C(NC(CCCNC(N)=N)C(O)=O)=O)=O)=O)=O)=O)=O)=O)=O</t>
  </si>
  <si>
    <t>fibrinopeptide A (8-16)**</t>
  </si>
  <si>
    <t>ZRVUJXDFFKFLMG-UHFFFAOYSA-N</t>
  </si>
  <si>
    <t>Cc1sc(NC(C2=C(O)c3c(S(=O)(N2C)=O)cccc3)=O)nc1</t>
  </si>
  <si>
    <t>meloxicam</t>
  </si>
  <si>
    <t>71125-38-7</t>
  </si>
  <si>
    <t>10442740</t>
  </si>
  <si>
    <t>HMDB0014952</t>
  </si>
  <si>
    <t>D00969,C08169</t>
  </si>
  <si>
    <t>54677470</t>
  </si>
  <si>
    <t>CCYANGYMJWBLQM-UHFFFAOYSA-N</t>
  </si>
  <si>
    <t>OC(C(C)NC(C(CO)NC(C(CC1=CC=CC=C1)NC(C(CC2=CC=CC=C2)NC(CNC(C(CCC(O)=O)NC(C(CCC(O)=O)NC(C(CC(N)=O)NC(C(CC(O)=O)NC(C(CC(N)=O)NC(C(C(C)C)NC(CNC(C(CC3)NC3=O)=O)=O)=O)=O)=O)=O)=O)=O)=O)=O)=O)=O)=O</t>
  </si>
  <si>
    <t>fibrinopeptide B (1-13)**</t>
  </si>
  <si>
    <t>PSIFNNKUMBGKDQ-UHFFFAOYSA-N</t>
  </si>
  <si>
    <t>CCCCc1n(Cc2ccc(c3c(c4nnn[nH]4)cccc3)cc2)c(CO)c(Cl)n1</t>
  </si>
  <si>
    <t>losartan</t>
  </si>
  <si>
    <t>114798-26-4</t>
  </si>
  <si>
    <t>HMDB0014816</t>
  </si>
  <si>
    <t>C07072,D08146</t>
  </si>
  <si>
    <t>3961</t>
  </si>
  <si>
    <t>BQQBOORXDTXWLE-UHFFFAOYSA-N</t>
  </si>
  <si>
    <t>OC(C(CO)NC(C(CC1=CC=CC=C1)NC(C(CC2=CC=CC=C2)NC(CNC(C(CCC(O)=O)NC(C(CCC(O)=O)NC(C(CC(N)=O)NC(C(CC(O)=O)NC(C(CC(N)=O)NC(C(C(C)C)NC(CNC(C(CC3)NC3=O)=O)=O)=O)=O)=O)=O)=O)=O)=O)=O)=O)=O</t>
  </si>
  <si>
    <t>fibrinopeptide B (1-12)**</t>
  </si>
  <si>
    <t>16132131</t>
  </si>
  <si>
    <t>YXFOTICOZNPKPN-UHFFFAOYSA-N</t>
  </si>
  <si>
    <t>OC(C(CC1=CC=CC=C1)NC(C(CC2=CC=CC=C2)NC(CNC(C(CCC(O)=O)NC(C(CCC(O)=O)NC(C(CC(N)=O)NC(C(CC(O)=O)NC(C(CC(N)=O)NC(C(C(C)C)NC(CNC(C(CC3)NC3=O)=O)=O)=O)=O)=O)=O)=O)=O)=O)=O)=O</t>
  </si>
  <si>
    <t>fibrinopeptide B (1-11)**</t>
  </si>
  <si>
    <t>WWZFLBITCJUQNV-UHFFFAOYSA-N</t>
  </si>
  <si>
    <t>O=C1CCC(N1)C(NCC(NC(C(C)C)C(NC(CC(N)=O)C(NC(CC(O)=O)C(NC(CC(N)=O)C(NC(CCC(O)=O)C(NC(CCC(O)=O)C(NCC(O)=O)=O)=O)=O)=O)=O)=O)=O)=O</t>
  </si>
  <si>
    <t>fibrinopeptide B (1-9)**</t>
  </si>
  <si>
    <t>Drug - Antiviral</t>
  </si>
  <si>
    <t>XQSPYNMVSIKCOC-NTSWFWBYSA-N</t>
  </si>
  <si>
    <t>O=c1n([C@@H]2CS[C@H](CO)O2)cc(F)c(N)n1</t>
  </si>
  <si>
    <t>emtricitabine</t>
  </si>
  <si>
    <t>143491-57-0</t>
  </si>
  <si>
    <t>54859</t>
  </si>
  <si>
    <t>HMDB0015017</t>
  </si>
  <si>
    <t>C12599,D01199</t>
  </si>
  <si>
    <t>60877</t>
  </si>
  <si>
    <t>XPOQHMRABVBWPR-ZDUSSCGKSA-N</t>
  </si>
  <si>
    <t>Clc1ccc2c([C@@](C#CC3CC3)(C(F)(F)F)OC(N2)=O)c1</t>
  </si>
  <si>
    <t>efavirenz</t>
  </si>
  <si>
    <t>154598-52-4</t>
  </si>
  <si>
    <t>57715</t>
  </si>
  <si>
    <t>HMDB0014763</t>
  </si>
  <si>
    <t>C08088,D00896</t>
  </si>
  <si>
    <t>64139</t>
  </si>
  <si>
    <t>AXRYRYVKAWYZBR-GASGPIRDSA-N</t>
  </si>
  <si>
    <t>CC(C)([C@H](NC(OC)=O)C(N[C@H]([C@@H](O)CN(NC([C@@H](NC(OC)=O)C(C)(C)C)=O)Cc1ccc(c2ncccc2)cc1)Cc3ccccc3)=O)C</t>
  </si>
  <si>
    <t>atazanavir</t>
  </si>
  <si>
    <t>198904-31-3</t>
  </si>
  <si>
    <t>130642</t>
  </si>
  <si>
    <t>HMDB0015205</t>
  </si>
  <si>
    <t>DG00657,D07471</t>
  </si>
  <si>
    <t>148192</t>
  </si>
  <si>
    <t>NCDNCNXCDXHOMX-XGKFQTDJSA-N</t>
  </si>
  <si>
    <t>CC(c1scc(CN(C(N[C@H](C(N[C@H](C[C@H](O)[C@@H](NC(OCc2scnc2)=O)Cc3ccccc3)Cc4ccccc4)=O)C(C)C)=O)C)n1)C</t>
  </si>
  <si>
    <t>ritonavir</t>
  </si>
  <si>
    <t>155213-67-5</t>
  </si>
  <si>
    <t>347980</t>
  </si>
  <si>
    <t>HMDB0014646</t>
  </si>
  <si>
    <t>D00427</t>
  </si>
  <si>
    <t>392622</t>
  </si>
  <si>
    <t>ZCIGNRJZKPOIKD-CQXVEOKZSA-N</t>
  </si>
  <si>
    <t>CC(c1scc(CN(C(N[C@H](C(N[C@@H](Cc2ccccc2)CC[C@@H](NC(OCc3scnc3)=O)Cc4ccccc4)=O)CCN5CCOCC5)=O)C)n1)C</t>
  </si>
  <si>
    <t>cobicistat</t>
  </si>
  <si>
    <t>1004316-88-4</t>
  </si>
  <si>
    <t>25084912</t>
  </si>
  <si>
    <t>D09881</t>
  </si>
  <si>
    <t>25151504</t>
  </si>
  <si>
    <t>UAQAOMYUJQVGMD-UHFFFAOYSA-N</t>
  </si>
  <si>
    <t>CC1=NC=C(OS(=O)(O)=O)C=C1</t>
  </si>
  <si>
    <t>5-hydroxy-2-methylpyridine sulfate</t>
  </si>
  <si>
    <t>GOXQGRHDLROYBT-UHFFFAOYSA-N</t>
  </si>
  <si>
    <t>CC1=NC=CC=C1OS(=O)(O)=O</t>
  </si>
  <si>
    <t>3-hydroxy-2-methylpyridine sulfate</t>
  </si>
  <si>
    <t>FAVAZPKFPKOYCT-VTAPXIELSA-N</t>
  </si>
  <si>
    <t>CCCCCCCCCCCCCCC(O)C(N[C@@H](COP([O-])(OCC[N+](C)(C)C)=O)[C@@H](/C=C/CCCCCCCCCCCCC)O)=O</t>
  </si>
  <si>
    <t>hydroxypalmitoyl sphingomyelin (d18:1/16:0(OH))**</t>
  </si>
  <si>
    <t>Drug - Antineoplastic</t>
  </si>
  <si>
    <t>NKANXQFJJICGDU-QPLCGJKRSA-N</t>
  </si>
  <si>
    <t>CC/C(c1ccccc1)=C(c2ccc(OCCN(C)C)cc2)\c3ccccc3</t>
  </si>
  <si>
    <t>tamoxifen</t>
  </si>
  <si>
    <t>10540-29-1</t>
  </si>
  <si>
    <t>2015313</t>
  </si>
  <si>
    <t>HMDB14813</t>
  </si>
  <si>
    <t>D08559,C07108</t>
  </si>
  <si>
    <t>2733526</t>
  </si>
  <si>
    <t>IJHJZQKOSUFQCX-WZJRQFJBSA-N</t>
  </si>
  <si>
    <t>[H][C@@](CCC(NCCS(O)(=O)=O)=O)([C@]1(CC[C@]2([C@@]3([C@@H](C[C@@]4(C[C@H](S(O)(=O)=O)CC[C@@]4([C@]3(C[C@H]([C@]12C)O)[H])C)[H])O)[H])[H])[H])C</t>
  </si>
  <si>
    <t>taurochenodeoxycholic acid 3-sulfate</t>
  </si>
  <si>
    <t>24850141</t>
  </si>
  <si>
    <t>HMDB0002486</t>
  </si>
  <si>
    <t>52931550</t>
  </si>
  <si>
    <t>MUFSRLVOUKHPIZ-OVYZBVKCSA-N</t>
  </si>
  <si>
    <t>O=C(O)CCC/C=C\C/C=C\CCCCC(O)=O</t>
  </si>
  <si>
    <t>tetradecadienedioate (C14:2-DC)*</t>
  </si>
  <si>
    <t>86018718</t>
  </si>
  <si>
    <t>HIYOTPJZDPVBTL-HXOPQMAFSA-N</t>
  </si>
  <si>
    <t>O[C@H]1C2=C[C@@H](OS(=O)(O)=O)CC[C@]2(C)C3CC[C@@]4(C)C(CCC4[C@H](O)C)C3C1</t>
  </si>
  <si>
    <t>pregnenetriol sulfate*</t>
  </si>
  <si>
    <t>129671303</t>
  </si>
  <si>
    <t>KANYWSIUKWPEOE-HXOPQMAFSA-N</t>
  </si>
  <si>
    <t>C[C@]12CC[C@H](OS(=O)(O)=O)C=C1[C@H](OS(=O)(O)=O)CC3C2CC[C@@]4(C)C3CCC4[C@H](O)C</t>
  </si>
  <si>
    <t>pregnenetriol disulfate*</t>
  </si>
  <si>
    <t>NZLFRLCYQVOISV-IWQZZHSRSA-N</t>
  </si>
  <si>
    <t>OC(CCCCCCCCC/C=C\CCCCCCCC(O)=O)=O</t>
  </si>
  <si>
    <t>eicosenedioate (C20:1-DC)*</t>
  </si>
  <si>
    <t>QTVRCQRIGVKQHD-UHFFFAOYSA-N</t>
  </si>
  <si>
    <t>O=C(O)C(C(C)C)NC(C(NC(CNC(C(N)CCC(O)=O)=O)=O)CC(N)=O)=O</t>
  </si>
  <si>
    <t>glu-gly-asn-val**</t>
  </si>
  <si>
    <t>16618843</t>
  </si>
  <si>
    <t>ZRJHLGYVUCPZNH-MQWKRIRWSA-N</t>
  </si>
  <si>
    <t>[O-]C([C@@H](N)C(O)CCC[N+](C)(C)C)=O</t>
  </si>
  <si>
    <t>hydroxy-N6,N6,N6-trimethyllysine*</t>
  </si>
  <si>
    <t>FVOVZEONZTWNTC-OUKQBFOZSA-N</t>
  </si>
  <si>
    <t>CCCCCCCC/C=C/C(OC(CC([O-])=O)C[N+](C)(C)C)=O</t>
  </si>
  <si>
    <t>undecenoylcarnitine (C11:1)</t>
  </si>
  <si>
    <t>YMJNFVUJNDWLND-ZHACJKMWSA-N</t>
  </si>
  <si>
    <t>O=C(C/C([H])=C(CCCCCC)\[H])OC(CC([O-])=O)C[N+](C)(C)C</t>
  </si>
  <si>
    <t>3-decenoylcarnitine</t>
  </si>
  <si>
    <t>VCRSQDIROUELAR-UHFFFAOYSA-N</t>
  </si>
  <si>
    <t>OC(CCCCCCC)CC(OC(CC([O-])=O)C[N+](C)(C)C)=O</t>
  </si>
  <si>
    <t>3-hydroxydecanoylcarnitine</t>
  </si>
  <si>
    <t>59664325</t>
  </si>
  <si>
    <t>HMDB0061636</t>
  </si>
  <si>
    <t>121454166</t>
  </si>
  <si>
    <t>Ceramide PEs</t>
  </si>
  <si>
    <t>JTVNQMOIYKXJKF-WSYRTZMQSA-N</t>
  </si>
  <si>
    <t>CCCCCCCCCCCCC/C=C/[C@@]([H])(O)[C@@]([H])(NC(CCCCCCCCCCCCCCC)=O)COP(O)(OCCN)=O</t>
  </si>
  <si>
    <t>palmitoyl-sphingosine-phosphoethanolamine (d18:1/16:0)</t>
  </si>
  <si>
    <t>MNYZGNSHBPLAFN-UHFFFAOYSA-N</t>
  </si>
  <si>
    <t>O=C(C1=CC=CC=N1)N([H])CC(O)=O</t>
  </si>
  <si>
    <t>picolinoylglycine</t>
  </si>
  <si>
    <t>5616-29-5</t>
  </si>
  <si>
    <t>9963296</t>
  </si>
  <si>
    <t>HMDB0059766</t>
  </si>
  <si>
    <t>11788622</t>
  </si>
  <si>
    <t>ILVXQMHYFMBCMJ-UHFFFAOYSA-N</t>
  </si>
  <si>
    <t>C=CC(C=C1O)=CC=C1OS(=O)(O)=O</t>
  </si>
  <si>
    <t>4-vinylcatechol sulfate</t>
  </si>
  <si>
    <t>SBQWITJAJITAMM-UHFFFAOYSA-N</t>
  </si>
  <si>
    <t>OC(CCC(NCCS(=O)(O)=O)=O)=O</t>
  </si>
  <si>
    <t>succinoyltaurine</t>
  </si>
  <si>
    <t>20509456</t>
  </si>
  <si>
    <t>VWRPEMDBGHWXEQ-UHFFFAOYSA-N</t>
  </si>
  <si>
    <t>O=C(CCCCCCCC(O)=O)NCCS(=O)(O)=O</t>
  </si>
  <si>
    <t>azeloyltaurine</t>
  </si>
  <si>
    <t>KLXACYSQYFWVLM-UHFFFAOYSA-N</t>
  </si>
  <si>
    <t>ClC1=C(O)C(C(O)=O)=C(O)C(Cl)=C1</t>
  </si>
  <si>
    <t>3,5-dichloro-2,6-dihydroxybenzoic acid</t>
  </si>
  <si>
    <t>24339141</t>
  </si>
  <si>
    <t>24721632</t>
  </si>
  <si>
    <t>IJIWKJRHDDIJKI-MVCMDAJNSA-N</t>
  </si>
  <si>
    <t>CC1(C)C(OS(O)(=O)=O)CCC2(C)C1CC[C@]3(C)[C@H]2CC[C@@H]3C4(C)OC(CC4)=O</t>
  </si>
  <si>
    <t>metabolonic lactone sulfate</t>
  </si>
  <si>
    <t>LOODYTDRRBLQNH-UHFFFAOYSA-N</t>
  </si>
  <si>
    <t>OC1=CC=C(C=C1OC)C(NCC(O)=O)=O</t>
  </si>
  <si>
    <t>vanilloylglycine</t>
  </si>
  <si>
    <t>2340857</t>
  </si>
  <si>
    <t>HMDB0060026</t>
  </si>
  <si>
    <t>3083688</t>
  </si>
  <si>
    <t>ONFOSYPQQXJWGS-UHFFFAOYSA-N</t>
  </si>
  <si>
    <t>CSCCC(O)C(O)=O</t>
  </si>
  <si>
    <t>2-hydroxy-4-(methylthio)butanoic acid</t>
  </si>
  <si>
    <t>583-91-5</t>
  </si>
  <si>
    <t>HMDB0037115</t>
  </si>
  <si>
    <t>11427</t>
  </si>
  <si>
    <t>JUODHHFNSQAXKF-UHFFFAOYSA-N</t>
  </si>
  <si>
    <t>CCCCCC(CCCC(O)=O)CCCC(O)=O</t>
  </si>
  <si>
    <t>branched chain 14:0 dicarboxylic acid**</t>
  </si>
  <si>
    <t>pentose acid*</t>
  </si>
  <si>
    <t>MXETUSMIYKMMAT-UHFFFAOYSA-N</t>
  </si>
  <si>
    <t>CN1C=NC=C1CC(O)C(O)=O</t>
  </si>
  <si>
    <t>1-methyl-5-imidazolelactate</t>
  </si>
  <si>
    <t>2022510-60-5</t>
  </si>
  <si>
    <t>65563369</t>
  </si>
  <si>
    <t>WXBXVVIUZANZAU-CMDGGOBGSA-N</t>
  </si>
  <si>
    <t>CCCCCCC/C=C/C(O)=O</t>
  </si>
  <si>
    <t>(2 or 3)-decenoate (10:1n7 or n8)</t>
  </si>
  <si>
    <t>CAMXXPUSAROUCX-BYPYZUCNSA-N</t>
  </si>
  <si>
    <t>SC[C@@H](C(O)=O)NCCC(O)=O</t>
  </si>
  <si>
    <t>S-carboxyethylcysteine</t>
  </si>
  <si>
    <t>4033-46-9</t>
  </si>
  <si>
    <t>19955529</t>
  </si>
  <si>
    <t>WHMOBEGYTDWMIG-DNMBCGTGSA-N</t>
  </si>
  <si>
    <t>O[C@@H]1[C@]2([H])[C@@](CC[C@@]3(C)[C@@]2([H])CC[C@]3([H])[C@H](C)CCC(O)=O)([H])[C@@]4(C)CC[C@H](OS(=O)(O)=O)C[C@@]4([H])C1</t>
  </si>
  <si>
    <t>isoursodeoxycholate sulfate (2)</t>
  </si>
  <si>
    <t>WHMOBEGYTDWMIG-BSWAIDMHSA-N</t>
  </si>
  <si>
    <t>O[C@H]1[C@]2([H])[C@@](CC[C@@]3(C)[C@@]2([H])CC[C@]3([H])[C@H](C)CCC(O)=O)([H])[C@@]4(C)CC[C@@H](OS(=O)(O)=O)C[C@@]4([H])C1</t>
  </si>
  <si>
    <t>chenodeoxycholic acid sulfate (1)</t>
  </si>
  <si>
    <t>HMDB0002522</t>
  </si>
  <si>
    <t>21252308</t>
  </si>
  <si>
    <t>NIFITBVFNGQSNA-SOFGYWHQSA-N</t>
  </si>
  <si>
    <t>CC(C)CCCC/C=C/C(O)=O</t>
  </si>
  <si>
    <t>branched-chain, straight-chain, or cyclopropyl 10:1 fatty acid (1)*</t>
  </si>
  <si>
    <t>carnitine of C10H14O2 (5)*</t>
  </si>
  <si>
    <t>AJSVSHDVMDXRFN-UHFFFAOYSA-N</t>
  </si>
  <si>
    <t>OC(C1=C(O)C(Cl)=CC(Br)=C1O)=O</t>
  </si>
  <si>
    <t>3-bromo-5-chloro-2,6-dihydroxybenzoic acid*</t>
  </si>
  <si>
    <t>134581543</t>
  </si>
  <si>
    <t>FQSFPMAZIOPKLO-JXMROGBWSA-N</t>
  </si>
  <si>
    <t>OC(/C=C/CCCC(C)CCCC)=O</t>
  </si>
  <si>
    <t>branched-chain, straight-chain, or cyclopropyl 12:1 fatty acid*</t>
  </si>
  <si>
    <t>FRWVXIATCBRYHA-KPMZXABDSA-N</t>
  </si>
  <si>
    <t>OC(/C=C/C=C/CCCCC(O)=O)=O</t>
  </si>
  <si>
    <t>decadienedioic acid (C10:2-DC)**</t>
  </si>
  <si>
    <t>17789717</t>
  </si>
  <si>
    <t>GMRIQHBJNVMHJA-LLQZFEROSA-N</t>
  </si>
  <si>
    <t>O[C@H]1C[C@]2([H])[C@]([C@@]3([H])C[C@H](OS(O)(=O)=O)[C@@]4(C)[C@](CC[C@@]4([C@H](C)CCC(O)=O)[H])([H])[C@]3([H])CC2)(C)CC1</t>
  </si>
  <si>
    <t>deoxycholic acid 12-sulfate*</t>
  </si>
  <si>
    <t>GlcNAc sulfate conjugate of C21H34O2 steroid**</t>
  </si>
  <si>
    <t>VFMNSFWBDMRNLJ-BQBZGAKWSA-N</t>
  </si>
  <si>
    <t>O=C(C[C@@]1([H])[C@@](C1)([H])CCC)O</t>
  </si>
  <si>
    <t>cis-3,4-methyleneheptanoate</t>
  </si>
  <si>
    <t>LNGSHJPPGDBEPT-VYAYZGMFSA-N</t>
  </si>
  <si>
    <t>O=C(C[C@@]1([H])[C@@](C1)([H])CCC)OC(CC([O-])=O)C[N+](C)(C)C</t>
  </si>
  <si>
    <t>cis-3,4-methyleneheptanoylcarnitine</t>
  </si>
  <si>
    <t>FTTGAAZKBNZDCZ-LURJTMIESA-N</t>
  </si>
  <si>
    <t>CC(N[C@@](CCCC(O)=O)(C(O)=O)[H])=O</t>
  </si>
  <si>
    <t>N-acetyl-2-aminoadipate</t>
  </si>
  <si>
    <t>392027</t>
  </si>
  <si>
    <t>C12986</t>
  </si>
  <si>
    <t>443992</t>
  </si>
  <si>
    <t>NBQBQRKLQXVPIS-LJQANCHMSA-N</t>
  </si>
  <si>
    <t>ClC1=CC=C([C@@H](C2=CC=CC=C2)N3CCN(CC(O)=O)CC3)C=C1</t>
  </si>
  <si>
    <t>De(carboxymethoxy) cetirizine acetic acid</t>
  </si>
  <si>
    <t>942193-17-1</t>
  </si>
  <si>
    <t>NDDAHWYSQHTHNT-UHFFFAOYSA-N</t>
  </si>
  <si>
    <t>CC1Cc2c(N1NC(c3cc(S(=O)(N)=O)c(Cl)cc3)=O)cccc2</t>
  </si>
  <si>
    <t>indapamide</t>
  </si>
  <si>
    <t>26807-65-8</t>
  </si>
  <si>
    <t>LEJCLCZOTCOTQE-UHFFFAOYSA-N</t>
  </si>
  <si>
    <t>OC1=CC=C(OS(=O)(O)=O)C=C1OC</t>
  </si>
  <si>
    <t>2-methoxyhydroquinone sulfate (1)</t>
  </si>
  <si>
    <t>Drug - Contraceptive</t>
  </si>
  <si>
    <t>KQESAGAIEQFHRL-UHFFFAOYSA-N</t>
  </si>
  <si>
    <t>CC12CCC(OS(=O)(O)=O)CC1C3CC3C4C2CCC5(C)C4C6CC6C57CCC(O7)=O</t>
  </si>
  <si>
    <t>4,5-dihydro drospirenine 3-sulfate</t>
  </si>
  <si>
    <t>HMDB0061126</t>
  </si>
  <si>
    <t>131770037</t>
  </si>
  <si>
    <t>AAOVKJBEBIDNHE-UHFFFAOYSA-N</t>
  </si>
  <si>
    <t>CN1c2c(C(c3ccccc3)=NCC1=O)cc(Cl)cc2</t>
  </si>
  <si>
    <t>diazepam</t>
  </si>
  <si>
    <t>HMDB0014967</t>
  </si>
  <si>
    <t>D00293</t>
  </si>
  <si>
    <t>3016</t>
  </si>
  <si>
    <t>ICKWICRCANNIBI-UHFFFAOYSA-N</t>
  </si>
  <si>
    <t>CC(C)(c1cc(C(C)(C)C)c(O)cc1)C</t>
  </si>
  <si>
    <t>2,4-di-tert-butylphenol</t>
  </si>
  <si>
    <t>96-76-4</t>
  </si>
  <si>
    <t>BOVGTQGAOIONJV-UHFFFAOYSA-N</t>
  </si>
  <si>
    <t>O=C(NS(C1=CC=C(C)C=C1)(=O)=O)NN2CC3CCCC3C2</t>
  </si>
  <si>
    <t>gliclazide</t>
  </si>
  <si>
    <t>21187-98-4</t>
  </si>
  <si>
    <t>RCXSFDNDEVSQNG-UHFFFAOYSA-N</t>
  </si>
  <si>
    <t>[O-]C(CC(OC(C(O)CCCCCC)=O)C[N+](C)(C)C)=O</t>
  </si>
  <si>
    <t>3-hydroxyoctanoylcarnitine (1)</t>
  </si>
  <si>
    <t>3-hydroxyoctanoylcarnitine (2)</t>
  </si>
  <si>
    <t>FFFQOVJTIDIKQJ-YUMQZZPRSA-N</t>
  </si>
  <si>
    <t>O=C(NCC(O)=O)C[C@@H]1C[C@@H]1CCC</t>
  </si>
  <si>
    <t>cis-3,4-methyleneheptanoylglycine</t>
  </si>
  <si>
    <t>bilirubin degradation product, C16H18N2O5 (1)**</t>
  </si>
  <si>
    <t>bilirubin degradation product, C16H18N2O5 (2)**</t>
  </si>
  <si>
    <t>bilirubin degradation product, C17H18N2O4 (1)**</t>
  </si>
  <si>
    <t>bilirubin degradation product, C17H18N2O4 (2)**</t>
  </si>
  <si>
    <t>bilirubin degradation product, C17H18N2O4 (3)**</t>
  </si>
  <si>
    <t>bilirubin degradation product, C17H20N2O5 (1)**</t>
  </si>
  <si>
    <t>bilirubin degradation product, C17H20N2O5 (2)**</t>
  </si>
  <si>
    <t>OZINUFSVVJAFHD-LUPKFNMHSA-N</t>
  </si>
  <si>
    <t>[H][C@@]12[C@@]3(C)CC[C@@H](OC4OC(C(O)=O)C(O)C(O)C4O)C[C@@]3([H])CC[C@@]1([H])[C@]5([H])CC[C@@](C(CO)=O)(O)[C@@]5(C)C[C@@H]2O</t>
  </si>
  <si>
    <t>tetrahydrocortisol glucuronide</t>
  </si>
  <si>
    <t>bilirubin degradation product, C16H18N2O5 (3)**</t>
  </si>
  <si>
    <t>bilirubin degradation product, C16H18N2O5 (4)**</t>
  </si>
  <si>
    <t>FURTUUDQMNFNLY-UHFFFAOYSA-N</t>
  </si>
  <si>
    <t>OCC(C)(C)COC(CCCCCCCCC(O)=O)=O</t>
  </si>
  <si>
    <t>neopentyl glycol sebacate**</t>
  </si>
  <si>
    <t>HYGYPUHPOGMAIC-UHFFFAOYSA-N</t>
  </si>
  <si>
    <t>OCC(C)(C)COC(CCCCCCCCCC(O)=O)=O</t>
  </si>
  <si>
    <t>neopentyl glycol undecanedioate**</t>
  </si>
  <si>
    <t>AKOWTSAHKQKSOL-UHFFFAOYSA-N</t>
  </si>
  <si>
    <t>OC(CCCCCCC(OCC(C)(C)CO)=O)=O</t>
  </si>
  <si>
    <t>neopentyl glycol suberate**</t>
  </si>
  <si>
    <t>Modified Peptides</t>
  </si>
  <si>
    <t>VOWFCBSRZKGKTF-UHFFFAOYSA-N</t>
  </si>
  <si>
    <t>O=C(N1CCCC1C([O-])=O)C2CCC[N+]2(C)C</t>
  </si>
  <si>
    <t>N,N-dimethyl-pro-pro</t>
  </si>
  <si>
    <t>YLEQTOAIAOPFBY-UHFFFAOYSA-N</t>
  </si>
  <si>
    <t>OC(C(N)(C)N(C1=C(C2)C=CC=C1)C2=O)=O</t>
  </si>
  <si>
    <t>oxindolylalanine</t>
  </si>
  <si>
    <t>20977764</t>
  </si>
  <si>
    <t>QUOCEDQXFGCYTL-QMELEVSMSA-N</t>
  </si>
  <si>
    <t>[H][C@@]12C[C@H](OC3C(O)C(O)C(O)C(C(O)=O)O3)CC[C@]1(C)[C@@]([C@@]4([H])CC2)([H])C(C[C@@]5(C)[C@@]4([H])CC[C@]5(O)C(CO)=O)=O</t>
  </si>
  <si>
    <t>tetrahydrocortisone glucuronide (5)</t>
  </si>
  <si>
    <t>QZHDEAJFRJCDMF-UHFFFAOYSA-N</t>
  </si>
  <si>
    <t>FC(F)(F)C(F)(F)C(F)(F)C(F)(F)C(F)(F)C(F)(F)S(=O)(O)=O</t>
  </si>
  <si>
    <t>perfluorohexanesulfonate (PFHxS)</t>
  </si>
  <si>
    <t>355-46-4</t>
  </si>
  <si>
    <t>HMDB0094700</t>
  </si>
  <si>
    <t>CLJGMBYGTHRUNF-PJQJKGEDSA-N</t>
  </si>
  <si>
    <t>C[C@@H]1CC[C@@H](C(C)C)[C@H](O[C@H]2[C@H](O)[C@@H](O)[C@H](O)[C@@H](C(O)=O)O2)C1</t>
  </si>
  <si>
    <t>menthol glucuronide</t>
  </si>
  <si>
    <t>79466-08-3</t>
  </si>
  <si>
    <t>Lactoyl Amino Acid</t>
  </si>
  <si>
    <t>OC([C@@H](NC([C@H](C)O)=O)[C@H](CC)C)=O</t>
  </si>
  <si>
    <t>N-lactoyl isoleucine</t>
  </si>
  <si>
    <t>210769-85-0</t>
  </si>
  <si>
    <t>OC([C@@H](NC([C@H](C)O)=O)CC(C)C)=O</t>
  </si>
  <si>
    <t>N-lactoyl leucine</t>
  </si>
  <si>
    <t>210769-82-7</t>
  </si>
  <si>
    <t>OC([C@@H](NC([C@H](C)O)=O)CC1=CC=CC=C1)=O</t>
  </si>
  <si>
    <t>N-lactoyl phenylalanine</t>
  </si>
  <si>
    <t>183241-73-8</t>
  </si>
  <si>
    <t>OC([C@@H](NC([C@H](C)O)=O)CC1=CC=C(C=C1)O)=O</t>
  </si>
  <si>
    <t>N-lactoyl tyrosine</t>
  </si>
  <si>
    <t>1373771-50-6</t>
  </si>
  <si>
    <t>OC([C@@H](NC([C@H](C)O)=O)C(C)C)=O</t>
  </si>
  <si>
    <t>N-lactoyl valine</t>
  </si>
  <si>
    <t>21753-44-6</t>
  </si>
  <si>
    <t>[H][C@](O)(COP(OCC[N+](C)(C)C)([O-])=O)COCCCCCCCC/C=C\CCCCCCCC</t>
  </si>
  <si>
    <t>1-oleyl-GPC (O-18:1)*</t>
  </si>
  <si>
    <t>UNNAMED</t>
  </si>
  <si>
    <t>X-07765</t>
  </si>
  <si>
    <t>X-10458</t>
  </si>
  <si>
    <t>X-11299</t>
  </si>
  <si>
    <t>X-11308</t>
  </si>
  <si>
    <t>X-11315</t>
  </si>
  <si>
    <t>X-11372</t>
  </si>
  <si>
    <t>X-11378</t>
  </si>
  <si>
    <t>X-11381</t>
  </si>
  <si>
    <t>X-11407</t>
  </si>
  <si>
    <t>X-11444</t>
  </si>
  <si>
    <t>X-11470</t>
  </si>
  <si>
    <t>X-11478</t>
  </si>
  <si>
    <t>X-11483</t>
  </si>
  <si>
    <t>X-11632</t>
  </si>
  <si>
    <t>X-11787</t>
  </si>
  <si>
    <t>X-11795</t>
  </si>
  <si>
    <t>X-11843</t>
  </si>
  <si>
    <t>X-11847</t>
  </si>
  <si>
    <t>X-11849</t>
  </si>
  <si>
    <t>X-11850</t>
  </si>
  <si>
    <t>X-11852</t>
  </si>
  <si>
    <t>X-11858</t>
  </si>
  <si>
    <t>X-11880</t>
  </si>
  <si>
    <t>X-12013</t>
  </si>
  <si>
    <t>X-12026</t>
  </si>
  <si>
    <t>X-12096</t>
  </si>
  <si>
    <t>X-12100</t>
  </si>
  <si>
    <t>X-12101</t>
  </si>
  <si>
    <t>X-12104</t>
  </si>
  <si>
    <t>X-12193</t>
  </si>
  <si>
    <t>X-12216</t>
  </si>
  <si>
    <t>X-12221</t>
  </si>
  <si>
    <t>X-12261</t>
  </si>
  <si>
    <t>X-12283</t>
  </si>
  <si>
    <t>X-12306</t>
  </si>
  <si>
    <t>X-12407</t>
  </si>
  <si>
    <t>X-12410</t>
  </si>
  <si>
    <t>X-12411</t>
  </si>
  <si>
    <t>X-12456</t>
  </si>
  <si>
    <t>X-12462</t>
  </si>
  <si>
    <t>X-12544</t>
  </si>
  <si>
    <t>X-12680</t>
  </si>
  <si>
    <t>X-12689</t>
  </si>
  <si>
    <t>X-12701</t>
  </si>
  <si>
    <t>X-12707</t>
  </si>
  <si>
    <t>X-12729</t>
  </si>
  <si>
    <t>X-12730</t>
  </si>
  <si>
    <t>X-12740</t>
  </si>
  <si>
    <t>X-12798</t>
  </si>
  <si>
    <t>X-12812</t>
  </si>
  <si>
    <t>X-12816</t>
  </si>
  <si>
    <t>X-12822</t>
  </si>
  <si>
    <t>X-12830</t>
  </si>
  <si>
    <t>X-12839</t>
  </si>
  <si>
    <t>X-12844</t>
  </si>
  <si>
    <t>X-12847</t>
  </si>
  <si>
    <t>X-12851</t>
  </si>
  <si>
    <t>X-12906</t>
  </si>
  <si>
    <t>X-13431</t>
  </si>
  <si>
    <t>X-13507</t>
  </si>
  <si>
    <t>X-13553</t>
  </si>
  <si>
    <t>X-13684</t>
  </si>
  <si>
    <t>X-13726</t>
  </si>
  <si>
    <t>X-13728</t>
  </si>
  <si>
    <t>X-13844</t>
  </si>
  <si>
    <t>X-13866</t>
  </si>
  <si>
    <t>X-14056</t>
  </si>
  <si>
    <t>X-14939</t>
  </si>
  <si>
    <t>X-15220</t>
  </si>
  <si>
    <t>X-15245</t>
  </si>
  <si>
    <t>X-15461</t>
  </si>
  <si>
    <t>X-15486</t>
  </si>
  <si>
    <t>X-15503</t>
  </si>
  <si>
    <t>X-15728</t>
  </si>
  <si>
    <t>X-16087</t>
  </si>
  <si>
    <t>X-16124</t>
  </si>
  <si>
    <t>X-16397</t>
  </si>
  <si>
    <t>X-16576</t>
  </si>
  <si>
    <t>X-16580</t>
  </si>
  <si>
    <t>X-16649</t>
  </si>
  <si>
    <t>X-16935</t>
  </si>
  <si>
    <t>X-16964</t>
  </si>
  <si>
    <t>X-17010</t>
  </si>
  <si>
    <t>X-17146</t>
  </si>
  <si>
    <t>X-17323</t>
  </si>
  <si>
    <t>X-17325</t>
  </si>
  <si>
    <t>X-17328</t>
  </si>
  <si>
    <t>X-17335</t>
  </si>
  <si>
    <t>X-17343</t>
  </si>
  <si>
    <t>X-17348</t>
  </si>
  <si>
    <t>X-17351</t>
  </si>
  <si>
    <t>X-17353</t>
  </si>
  <si>
    <t>X-17355</t>
  </si>
  <si>
    <t>X-17357</t>
  </si>
  <si>
    <t>X-17361</t>
  </si>
  <si>
    <t>X-17367</t>
  </si>
  <si>
    <t>X-17398</t>
  </si>
  <si>
    <t>X-17438</t>
  </si>
  <si>
    <t>X-17612</t>
  </si>
  <si>
    <t>X-17653</t>
  </si>
  <si>
    <t>X-17654</t>
  </si>
  <si>
    <t>X-17676</t>
  </si>
  <si>
    <t>X-17685</t>
  </si>
  <si>
    <t>X-17690</t>
  </si>
  <si>
    <t>X-17969</t>
  </si>
  <si>
    <t>X-18345</t>
  </si>
  <si>
    <t>X-18779</t>
  </si>
  <si>
    <t>X-18886</t>
  </si>
  <si>
    <t>X-18887</t>
  </si>
  <si>
    <t>X-18888</t>
  </si>
  <si>
    <t>X-18901</t>
  </si>
  <si>
    <t>X-18913</t>
  </si>
  <si>
    <t>X-18921</t>
  </si>
  <si>
    <t>X-18922</t>
  </si>
  <si>
    <t>X-19141</t>
  </si>
  <si>
    <t>X-19183</t>
  </si>
  <si>
    <t>X-19299</t>
  </si>
  <si>
    <t>X-19438</t>
  </si>
  <si>
    <t>X-21258</t>
  </si>
  <si>
    <t>X-21283</t>
  </si>
  <si>
    <t>X-21285</t>
  </si>
  <si>
    <t>X-21286</t>
  </si>
  <si>
    <t>X-21310</t>
  </si>
  <si>
    <t>X-21312</t>
  </si>
  <si>
    <t>X-21319</t>
  </si>
  <si>
    <t>X-21339</t>
  </si>
  <si>
    <t>X-21351</t>
  </si>
  <si>
    <t>X-21353</t>
  </si>
  <si>
    <t>X-21364</t>
  </si>
  <si>
    <t>X-21383</t>
  </si>
  <si>
    <t>X-21410</t>
  </si>
  <si>
    <t>X-21441</t>
  </si>
  <si>
    <t>X-21442</t>
  </si>
  <si>
    <t>X-21467</t>
  </si>
  <si>
    <t>X-21470</t>
  </si>
  <si>
    <t>X-21471</t>
  </si>
  <si>
    <t>X-21607</t>
  </si>
  <si>
    <t>X-21628</t>
  </si>
  <si>
    <t>X-21733</t>
  </si>
  <si>
    <t>X-21736</t>
  </si>
  <si>
    <t>X-21742</t>
  </si>
  <si>
    <t>X-21752</t>
  </si>
  <si>
    <t>X-21796</t>
  </si>
  <si>
    <t>X-21803</t>
  </si>
  <si>
    <t>X-21815</t>
  </si>
  <si>
    <t>X-21821</t>
  </si>
  <si>
    <t>X-21831</t>
  </si>
  <si>
    <t>X-21834</t>
  </si>
  <si>
    <t>X-21839</t>
  </si>
  <si>
    <t>X-21840</t>
  </si>
  <si>
    <t>X-21845</t>
  </si>
  <si>
    <t>X-21851</t>
  </si>
  <si>
    <t>X-22143</t>
  </si>
  <si>
    <t>X-22162</t>
  </si>
  <si>
    <t>X-22520</t>
  </si>
  <si>
    <t>X-22771</t>
  </si>
  <si>
    <t>X-22776</t>
  </si>
  <si>
    <t>X-22834</t>
  </si>
  <si>
    <t>X-23583</t>
  </si>
  <si>
    <t>X-23587</t>
  </si>
  <si>
    <t>X-23593</t>
  </si>
  <si>
    <t>X-23636</t>
  </si>
  <si>
    <t>X-23639</t>
  </si>
  <si>
    <t>X-23641</t>
  </si>
  <si>
    <t>X-23644</t>
  </si>
  <si>
    <t>X-23648</t>
  </si>
  <si>
    <t>X-23654</t>
  </si>
  <si>
    <t>X-23655</t>
  </si>
  <si>
    <t>X-23659</t>
  </si>
  <si>
    <t>X-23662</t>
  </si>
  <si>
    <t>X-23665</t>
  </si>
  <si>
    <t>X-23666</t>
  </si>
  <si>
    <t>X-23680</t>
  </si>
  <si>
    <t>X-23739</t>
  </si>
  <si>
    <t>X-23780</t>
  </si>
  <si>
    <t>X-23782</t>
  </si>
  <si>
    <t>X-23787</t>
  </si>
  <si>
    <t>X-23974</t>
  </si>
  <si>
    <t>X-23997</t>
  </si>
  <si>
    <t>X-24241</t>
  </si>
  <si>
    <t>X-24243</t>
  </si>
  <si>
    <t>X-24295</t>
  </si>
  <si>
    <t>X-24328</t>
  </si>
  <si>
    <t>X-24337</t>
  </si>
  <si>
    <t>X-24352</t>
  </si>
  <si>
    <t>X-24408</t>
  </si>
  <si>
    <t>X-24410</t>
  </si>
  <si>
    <t>X-24411</t>
  </si>
  <si>
    <t>X-24418</t>
  </si>
  <si>
    <t>X-24422</t>
  </si>
  <si>
    <t>X-24431</t>
  </si>
  <si>
    <t>X-24473</t>
  </si>
  <si>
    <t>X-24475</t>
  </si>
  <si>
    <t>X-24494</t>
  </si>
  <si>
    <t>X-24544</t>
  </si>
  <si>
    <t>X-24545</t>
  </si>
  <si>
    <t>X-24546</t>
  </si>
  <si>
    <t>X-24556</t>
  </si>
  <si>
    <t>X-24571</t>
  </si>
  <si>
    <t>X-24578</t>
  </si>
  <si>
    <t>X-24581</t>
  </si>
  <si>
    <t>X-24582</t>
  </si>
  <si>
    <t>X-24588</t>
  </si>
  <si>
    <t>X-24608</t>
  </si>
  <si>
    <t>X-24728</t>
  </si>
  <si>
    <t>X-24736</t>
  </si>
  <si>
    <t>X-24757</t>
  </si>
  <si>
    <t>X-24795</t>
  </si>
  <si>
    <t>X-24811</t>
  </si>
  <si>
    <t>X-24812</t>
  </si>
  <si>
    <t>X-24947</t>
  </si>
  <si>
    <t>X-24949</t>
  </si>
  <si>
    <t>X-24951</t>
  </si>
  <si>
    <t>X-24952</t>
  </si>
  <si>
    <t>X-24953</t>
  </si>
  <si>
    <t>X-24970</t>
  </si>
  <si>
    <t>X-25109</t>
  </si>
  <si>
    <t>X-25217</t>
  </si>
  <si>
    <t>X-25265</t>
  </si>
  <si>
    <t>X-25271</t>
  </si>
  <si>
    <t>X-25279</t>
  </si>
  <si>
    <t>X-25343</t>
  </si>
  <si>
    <t>X-25371</t>
  </si>
  <si>
    <t>X-25406</t>
  </si>
  <si>
    <t>X-25417</t>
  </si>
  <si>
    <t>X-25419</t>
  </si>
  <si>
    <t>X-25420</t>
  </si>
  <si>
    <t>X-25422</t>
  </si>
  <si>
    <t>X-25433</t>
  </si>
  <si>
    <t>X-25450</t>
  </si>
  <si>
    <t>X-25454</t>
  </si>
  <si>
    <t>X-25511</t>
  </si>
  <si>
    <t>X-25519</t>
  </si>
  <si>
    <t>X-25520</t>
  </si>
  <si>
    <t>X-25790</t>
  </si>
  <si>
    <t>X-25810</t>
  </si>
  <si>
    <t>X-25855</t>
  </si>
  <si>
    <t>X-25936</t>
  </si>
  <si>
    <t>X-25948</t>
  </si>
  <si>
    <t>X-25957</t>
  </si>
  <si>
    <t>X-25983</t>
  </si>
  <si>
    <t>X-26062</t>
  </si>
  <si>
    <t>X-26097</t>
  </si>
  <si>
    <t>X-26106</t>
  </si>
  <si>
    <t>X-26107</t>
  </si>
  <si>
    <t>X-26108</t>
  </si>
  <si>
    <t>X-26109</t>
  </si>
  <si>
    <t>X-26111</t>
  </si>
  <si>
    <t>X-26119</t>
  </si>
  <si>
    <t>X-26191</t>
  </si>
  <si>
    <t>X-26193</t>
  </si>
  <si>
    <t>X-26220</t>
  </si>
  <si>
    <t>X-26235</t>
  </si>
  <si>
    <t>X-26268</t>
  </si>
  <si>
    <t>X-26273</t>
  </si>
  <si>
    <t>feature_names</t>
  </si>
  <si>
    <t>raw.label</t>
  </si>
  <si>
    <t>class</t>
  </si>
  <si>
    <t>subclass</t>
  </si>
  <si>
    <t>label</t>
  </si>
  <si>
    <t>label.no.units</t>
  </si>
  <si>
    <t>totalc</t>
  </si>
  <si>
    <t>Total-C</t>
  </si>
  <si>
    <t>Total cholesterol (mmol/l)</t>
  </si>
  <si>
    <t>nonhdlc</t>
  </si>
  <si>
    <t>non-HDL-C</t>
  </si>
  <si>
    <t>Total cholesterol minus HDL-C (mmol/l)</t>
  </si>
  <si>
    <t>remnantc</t>
  </si>
  <si>
    <t>Remnant cholesterol (non-HDL, non-LDL -cholesterol) (mmol/l)</t>
  </si>
  <si>
    <t>Remnant cholesterol (mmol/l)</t>
  </si>
  <si>
    <t>vldlc</t>
  </si>
  <si>
    <t>Total cholesterol in VLDL (mmol/l)</t>
  </si>
  <si>
    <t>VLDL cholesterol (mmol/l)</t>
  </si>
  <si>
    <t>clinicalldlc</t>
  </si>
  <si>
    <t>Clinical LDL-C</t>
  </si>
  <si>
    <t>Clinical LDL cholesterol (mmol/l)</t>
  </si>
  <si>
    <t>ldlc</t>
  </si>
  <si>
    <t>Total cholesterol in LDL (mmol/l)</t>
  </si>
  <si>
    <t>LDL cholesterol (mmol/l)</t>
  </si>
  <si>
    <t>hdlc</t>
  </si>
  <si>
    <t>Total cholesterol in HDL (mmol/l)</t>
  </si>
  <si>
    <t>HDL cholesterol (mmol/l)</t>
  </si>
  <si>
    <t>totaltg</t>
  </si>
  <si>
    <t>Total-TG</t>
  </si>
  <si>
    <t>Total triglycerides (mmol/l)</t>
  </si>
  <si>
    <t>vldltg</t>
  </si>
  <si>
    <t>Triglycerides in VLDL (mmol/l)</t>
  </si>
  <si>
    <t>VLDL triglycerides (mmol/l)</t>
  </si>
  <si>
    <t>ldltg</t>
  </si>
  <si>
    <t>Triglycerides in LDL (mmol/l)</t>
  </si>
  <si>
    <t>LDL triglycerides (mmol/l)</t>
  </si>
  <si>
    <t>hdltg</t>
  </si>
  <si>
    <t>Triglycerides in HDL (mmol/l)</t>
  </si>
  <si>
    <t>HDL triglycerides (mmol/l)</t>
  </si>
  <si>
    <t>totalpl</t>
  </si>
  <si>
    <t>Total-PL</t>
  </si>
  <si>
    <t>Total phospholipids in lipoprotein particles (mmol/l)</t>
  </si>
  <si>
    <t>vldlpl</t>
  </si>
  <si>
    <t>VLDL-PL</t>
  </si>
  <si>
    <t>Phospholipids in VLDL (mmol/l)</t>
  </si>
  <si>
    <t>ldlpl</t>
  </si>
  <si>
    <t>LDL-PL</t>
  </si>
  <si>
    <t>Phospholipids in LDL (mmol/l)</t>
  </si>
  <si>
    <t>hdlpl</t>
  </si>
  <si>
    <t>HDL-PL</t>
  </si>
  <si>
    <t>Phospholipids in HDL (mmol/l)</t>
  </si>
  <si>
    <t>totalce</t>
  </si>
  <si>
    <t>Total-CE</t>
  </si>
  <si>
    <t>Total esterified cholesterol (mmol/l)</t>
  </si>
  <si>
    <t>vldlce</t>
  </si>
  <si>
    <t>VLDL-CE</t>
  </si>
  <si>
    <t>Cholesteryl esters in VLDL (mmol/l)</t>
  </si>
  <si>
    <t>ldlce</t>
  </si>
  <si>
    <t>LDL-CE</t>
  </si>
  <si>
    <t>Cholesteryl esters in LDL (mmol/l)</t>
  </si>
  <si>
    <t>hdlce</t>
  </si>
  <si>
    <t>HDL-CE</t>
  </si>
  <si>
    <t>Cholesteryl esters in HDL (mmol/l)</t>
  </si>
  <si>
    <t>totalfc</t>
  </si>
  <si>
    <t>Total-FC</t>
  </si>
  <si>
    <t>Total free cholesterol (mmol/l)</t>
  </si>
  <si>
    <t>vldlfc</t>
  </si>
  <si>
    <t>VLDL-FC</t>
  </si>
  <si>
    <t>Free cholesterol in VLDL (mmol/l)</t>
  </si>
  <si>
    <t>ldlfc</t>
  </si>
  <si>
    <t>LDL-FC</t>
  </si>
  <si>
    <t>Free cholesterol in LDL (mmol/l)</t>
  </si>
  <si>
    <t>hdlfc</t>
  </si>
  <si>
    <t>HDL-FC</t>
  </si>
  <si>
    <t>Free cholesterol in HDL (mmol/l)</t>
  </si>
  <si>
    <t>totall</t>
  </si>
  <si>
    <t>Total-L</t>
  </si>
  <si>
    <t>Total lipids in lipoprotein particles (mmol/l)</t>
  </si>
  <si>
    <t>vldll</t>
  </si>
  <si>
    <t>VLDL-L</t>
  </si>
  <si>
    <t>Total lipids in VLDL (mmol/l)</t>
  </si>
  <si>
    <t>ldll</t>
  </si>
  <si>
    <t>LDL-L</t>
  </si>
  <si>
    <t>Total lipids in LDL (mmol/l)</t>
  </si>
  <si>
    <t>hdll</t>
  </si>
  <si>
    <t>HDL-L</t>
  </si>
  <si>
    <t>Total lipids in HDL (mmol/l)</t>
  </si>
  <si>
    <t>totalp</t>
  </si>
  <si>
    <t>Total-P</t>
  </si>
  <si>
    <t>Total concentration of lipoprotein particles (mmol/l)</t>
  </si>
  <si>
    <t>vldlp</t>
  </si>
  <si>
    <t>VLDL-P</t>
  </si>
  <si>
    <t>Concentration of VLDL particles (mmol/l)</t>
  </si>
  <si>
    <t>ldlp</t>
  </si>
  <si>
    <t>LDL-P</t>
  </si>
  <si>
    <t>Concentration of LDL particles (mmol/l)</t>
  </si>
  <si>
    <t>hdlp</t>
  </si>
  <si>
    <t>HDL-P</t>
  </si>
  <si>
    <t>Concentration of HDL particles (mmol/l)</t>
  </si>
  <si>
    <t>vldlsize</t>
  </si>
  <si>
    <t>VLDL size</t>
  </si>
  <si>
    <t>Average diameter for VLDL particles (nm)</t>
  </si>
  <si>
    <t>ldlsize</t>
  </si>
  <si>
    <t>LDL size</t>
  </si>
  <si>
    <t>Average diameter for LDL particles (nm)</t>
  </si>
  <si>
    <t>hdlsize</t>
  </si>
  <si>
    <t>HDL size</t>
  </si>
  <si>
    <t>Average diameter for HDL particles (nm)</t>
  </si>
  <si>
    <t>phosphoglyc</t>
  </si>
  <si>
    <t>Phosphoglyc</t>
  </si>
  <si>
    <t>Phosphoglycerides (mmol/l)</t>
  </si>
  <si>
    <t>tgpg</t>
  </si>
  <si>
    <t>Ratio of triglycerides to phosphoglycerides ratio (%)</t>
  </si>
  <si>
    <t>Triglycerides phosphoglycerides ratio (%)</t>
  </si>
  <si>
    <t>cholines</t>
  </si>
  <si>
    <t>Cholines</t>
  </si>
  <si>
    <t>Total cholines (mmol/l)</t>
  </si>
  <si>
    <t>phosphatidylc</t>
  </si>
  <si>
    <t>Phosphatidylc</t>
  </si>
  <si>
    <t>Phosphatidylcholines (mmol/l)</t>
  </si>
  <si>
    <t>Sphingomyelins (mmol/l)</t>
  </si>
  <si>
    <t>apob</t>
  </si>
  <si>
    <t>Apolipoprotein B (g/l)</t>
  </si>
  <si>
    <t>apoa1</t>
  </si>
  <si>
    <t>Apolipoprotein A-I (g/l)</t>
  </si>
  <si>
    <t>apobapoa1</t>
  </si>
  <si>
    <t>Ratio of apolipoprotein B to apolipoprotein A-I</t>
  </si>
  <si>
    <t>Apolipoprotein B/A-I (g/l)</t>
  </si>
  <si>
    <t>totalfa</t>
  </si>
  <si>
    <t>Total-FA</t>
  </si>
  <si>
    <t>Total fatty acids (mmol/l)</t>
  </si>
  <si>
    <t>unsaturation</t>
  </si>
  <si>
    <t>Unsaturation</t>
  </si>
  <si>
    <t>Degree of unsaturation (degree)</t>
  </si>
  <si>
    <t>omega3</t>
  </si>
  <si>
    <t>Omega-3</t>
  </si>
  <si>
    <t>Omega-3 fatty acids (mmol/l)</t>
  </si>
  <si>
    <t>omega6</t>
  </si>
  <si>
    <t>Omega-6</t>
  </si>
  <si>
    <t>Omega-6 fatty acids (mmol/l)</t>
  </si>
  <si>
    <t>pufa</t>
  </si>
  <si>
    <t>Polyunsaturated fatty acids (mmol/l)</t>
  </si>
  <si>
    <t>PUFA (mmol/l)</t>
  </si>
  <si>
    <t>mufa</t>
  </si>
  <si>
    <t>Monounsaturated fatty acids; 16:1, 18:1 (mmol/l)</t>
  </si>
  <si>
    <t>MUFA (mmol/l)</t>
  </si>
  <si>
    <t>sfa</t>
  </si>
  <si>
    <t>Saturated fatty acids (mmol/l)</t>
  </si>
  <si>
    <t>la</t>
  </si>
  <si>
    <t>18:2, linoleic acid (mmol/l)</t>
  </si>
  <si>
    <t>Linoleic acid (mmol/l)</t>
  </si>
  <si>
    <t>dha</t>
  </si>
  <si>
    <t>22:6, docosahexaenoic acid (mmol/l)</t>
  </si>
  <si>
    <t>Docosahexaenoic acid (mmol/l)</t>
  </si>
  <si>
    <t>omega3pct</t>
  </si>
  <si>
    <t>Omega-3 %</t>
  </si>
  <si>
    <t>Ratio of omega-3 fatty acids to total fatty acids (%)</t>
  </si>
  <si>
    <t>omega6pct</t>
  </si>
  <si>
    <t>Omega-6 %</t>
  </si>
  <si>
    <t>Ratio of omega-6 fatty acids to total fatty acids (%)</t>
  </si>
  <si>
    <t>pufapct</t>
  </si>
  <si>
    <t>PUFA %</t>
  </si>
  <si>
    <t>Ratio of polyunsaturated fatty acids to total fatty acids (%)</t>
  </si>
  <si>
    <t>mufapct</t>
  </si>
  <si>
    <t>MUFA %</t>
  </si>
  <si>
    <t>Ratio of monounsaturated fatty acids to total fatty acids (%)</t>
  </si>
  <si>
    <t>sfapct</t>
  </si>
  <si>
    <t>SFA %</t>
  </si>
  <si>
    <t>Ratio of saturated fatty acids to total fatty acids (%)</t>
  </si>
  <si>
    <t>lapct</t>
  </si>
  <si>
    <t>LA %</t>
  </si>
  <si>
    <t>Ratio of linoleic acid to total fatty acids (%)</t>
  </si>
  <si>
    <t>dhapct</t>
  </si>
  <si>
    <t>DHA %</t>
  </si>
  <si>
    <t>Ratio of docosahexaenoic acid to total fatty acids (%)</t>
  </si>
  <si>
    <t>pufamufa</t>
  </si>
  <si>
    <t>PUFA/MUFA</t>
  </si>
  <si>
    <t>Ratio of polyunsaturated fatty acids to monounsaturated fatty acids (ratio)</t>
  </si>
  <si>
    <t>omega6omega3</t>
  </si>
  <si>
    <t>Omega-6/Omega-3</t>
  </si>
  <si>
    <t>Ratio of omega-6 fatty acids to omega-3 fatty acids (ratio)</t>
  </si>
  <si>
    <t>ala</t>
  </si>
  <si>
    <t>Alanine (mmol/l)</t>
  </si>
  <si>
    <t>gln</t>
  </si>
  <si>
    <t>Glutamine (mmol/l)</t>
  </si>
  <si>
    <t>gly</t>
  </si>
  <si>
    <t>Glycine  (mmol/l)</t>
  </si>
  <si>
    <t>his</t>
  </si>
  <si>
    <t>Histidine (mmol/l)</t>
  </si>
  <si>
    <t>totalbcaa</t>
  </si>
  <si>
    <t>Total BCAA</t>
  </si>
  <si>
    <t>Total concentration of branched-chain amino acids (leucine + isoleucine + valine) (mmol/l)</t>
  </si>
  <si>
    <t>ile</t>
  </si>
  <si>
    <t>Isoleucine (mmol/l)</t>
  </si>
  <si>
    <t>leu</t>
  </si>
  <si>
    <t>Leucine (mmol/l)</t>
  </si>
  <si>
    <t>val</t>
  </si>
  <si>
    <t>Valine (mmol/l)</t>
  </si>
  <si>
    <t>phe</t>
  </si>
  <si>
    <t>Phenylalanine (mmol/l)</t>
  </si>
  <si>
    <t>tyr</t>
  </si>
  <si>
    <t>Tyrosine (mmol/l)</t>
  </si>
  <si>
    <t>Glucose (mmol/l)</t>
  </si>
  <si>
    <t>Lactate (mmol/l)</t>
  </si>
  <si>
    <t>Pyruvate (mmol/l)</t>
  </si>
  <si>
    <t>Citrate (mmol/l)</t>
  </si>
  <si>
    <t>Glycerol (mmol/l)</t>
  </si>
  <si>
    <t>bohbutyrate</t>
  </si>
  <si>
    <t>bOHbutyrate</t>
  </si>
  <si>
    <t>3-Hydroxybutyrate (mmol/l)</t>
  </si>
  <si>
    <t>Acetate (mmol/l)</t>
  </si>
  <si>
    <t>Acetoacetate (mmol/l)</t>
  </si>
  <si>
    <t>Acetone (mmol/l)</t>
  </si>
  <si>
    <t>Creatinine (Œºmol/l)</t>
  </si>
  <si>
    <t>Albumin (g/l)</t>
  </si>
  <si>
    <t>glyca</t>
  </si>
  <si>
    <t>GlycA</t>
  </si>
  <si>
    <t>Glycoprotein acetyls (mmol/l)</t>
  </si>
  <si>
    <t>xxlvldlp</t>
  </si>
  <si>
    <t>Concentration of chylomicrons and extremely large VLDL particles (mol/l)</t>
  </si>
  <si>
    <t>Particle concentration (mol/l)</t>
  </si>
  <si>
    <t>xxlvldll</t>
  </si>
  <si>
    <t>Total lipids in chylomicrons and extremely large VLDL (mmol/l)</t>
  </si>
  <si>
    <t>Total lipids (mmol/l)</t>
  </si>
  <si>
    <t>xxlvldlpl</t>
  </si>
  <si>
    <t>Phospholipids in chylomicrons and extremely large VLDL (mmol/l)</t>
  </si>
  <si>
    <t>Phospholipids (mmol/l)</t>
  </si>
  <si>
    <t>xxlvldlc</t>
  </si>
  <si>
    <t>Total cholesterol in chylomicrons and extremely large VLDL (mmol/l)</t>
  </si>
  <si>
    <t>xxlvldlce</t>
  </si>
  <si>
    <t>Cholesterol esters in chylomicrons and extremely large VLDL (mmol/l)</t>
  </si>
  <si>
    <t>Cholesterol esters (mmol/l)</t>
  </si>
  <si>
    <t>xxlvldlfc</t>
  </si>
  <si>
    <t>Free cholesterol in chylomicrons and extremely large VLDL (mmol/l)</t>
  </si>
  <si>
    <t>Free cholesterol (mmol/l)</t>
  </si>
  <si>
    <t>xxlvldltg</t>
  </si>
  <si>
    <t>Triglycerides in chylomicrons and extremely large VLDL (mmol/l)</t>
  </si>
  <si>
    <t>Triglycerides (mmol/l)</t>
  </si>
  <si>
    <t>xlvldlp</t>
  </si>
  <si>
    <t>Concentration of very large VLDL particles (mol/l)</t>
  </si>
  <si>
    <t>xlvldll</t>
  </si>
  <si>
    <t>Total lipids in very large VLDL (mmol/l)</t>
  </si>
  <si>
    <t>xlvldlpl</t>
  </si>
  <si>
    <t>Phospholipids in very large VLDL (mmol/l)</t>
  </si>
  <si>
    <t>xlvldlc</t>
  </si>
  <si>
    <t>Total cholesterol in very large VLDL (mmol/l)</t>
  </si>
  <si>
    <t>xlvldlce</t>
  </si>
  <si>
    <t>Cholesterol esters in very large VLDL (mmol/l)</t>
  </si>
  <si>
    <t>xlvldlfc</t>
  </si>
  <si>
    <t>Free cholesterol in very large VLDL (mmol/l)</t>
  </si>
  <si>
    <t>xlvldltg</t>
  </si>
  <si>
    <t>Triglycerides in very large VLDL (mmol/l)</t>
  </si>
  <si>
    <t>lvldlp</t>
  </si>
  <si>
    <t>Concentration of large VLDL particles (mol/l)</t>
  </si>
  <si>
    <t>lvldll</t>
  </si>
  <si>
    <t>Total lipids in large VLDL (mmol/l)</t>
  </si>
  <si>
    <t>lvldlpl</t>
  </si>
  <si>
    <t>Phospholipids in large VLDL (mmol/l)</t>
  </si>
  <si>
    <t>lvldlc</t>
  </si>
  <si>
    <t>Total cholesterol in large VLDL (mmol/l)</t>
  </si>
  <si>
    <t>lvldlce</t>
  </si>
  <si>
    <t>Cholesterol esters in large VLDL (mmol/l)</t>
  </si>
  <si>
    <t>lvldlfc</t>
  </si>
  <si>
    <t>Free cholesterol in large VLDL (mmol/l)</t>
  </si>
  <si>
    <t>lvldltg</t>
  </si>
  <si>
    <t>Triglycerides in large VLDL (mmol/l)</t>
  </si>
  <si>
    <t>mvldlp</t>
  </si>
  <si>
    <t>Concentration of medium VLDL particles (mol/l)</t>
  </si>
  <si>
    <t>mvldll</t>
  </si>
  <si>
    <t>Total lipids in medium VLDL (mmol/l)</t>
  </si>
  <si>
    <t>mvldlpl</t>
  </si>
  <si>
    <t>Phospholipids in medium VLDL (mmol/l)</t>
  </si>
  <si>
    <t>mvldlc</t>
  </si>
  <si>
    <t>Total cholesterol in medium VLDL (mmol/l)</t>
  </si>
  <si>
    <t>mvldlce</t>
  </si>
  <si>
    <t>Cholesterol esters in medium VLDL (mmol/l)</t>
  </si>
  <si>
    <t>mvldlfc</t>
  </si>
  <si>
    <t>Free cholesterol in medium VLDL (mmol/l)</t>
  </si>
  <si>
    <t>mvldltg</t>
  </si>
  <si>
    <t>Triglycerides in medium VLDL (mmol/l)</t>
  </si>
  <si>
    <t>svldlp</t>
  </si>
  <si>
    <t>Concentration of small VLDL particles (mol/l)</t>
  </si>
  <si>
    <t>svldll</t>
  </si>
  <si>
    <t>Total lipids in small VLDL (mmol/l)</t>
  </si>
  <si>
    <t>svldlpl</t>
  </si>
  <si>
    <t>Phospholipids in small VLDL (mmol/l)</t>
  </si>
  <si>
    <t>svldlc</t>
  </si>
  <si>
    <t>Total cholesterol in small VLDL (mmol/l)</t>
  </si>
  <si>
    <t>svldlce</t>
  </si>
  <si>
    <t>Cholesterol esters in small VLDL (mmol/l)</t>
  </si>
  <si>
    <t>svldlfc</t>
  </si>
  <si>
    <t>Free cholesterol in small VLDL (mmol/l)</t>
  </si>
  <si>
    <t>svldltg</t>
  </si>
  <si>
    <t>Triglycerides in small VLDL (mmol/l)</t>
  </si>
  <si>
    <t>xsvldlp</t>
  </si>
  <si>
    <t>Concentration of very small VLDL particles (mol/l)</t>
  </si>
  <si>
    <t>xsvldll</t>
  </si>
  <si>
    <t>Total lipids in very small VLDL (mmol/l)</t>
  </si>
  <si>
    <t>xsvldlpl</t>
  </si>
  <si>
    <t>Phospholipids in very small VLDL (mmol/l)</t>
  </si>
  <si>
    <t>Phospholipids  (mmol/l)</t>
  </si>
  <si>
    <t>xsvldlc</t>
  </si>
  <si>
    <t>Total cholesterol in very small VLDL (mmol/l)</t>
  </si>
  <si>
    <t>xsvldlce</t>
  </si>
  <si>
    <t>Cholesterol esters in very small VLDL (mmol/l)</t>
  </si>
  <si>
    <t>xsvldlfc</t>
  </si>
  <si>
    <t>Free cholesterol in very small VLDL (mmol/l)</t>
  </si>
  <si>
    <t>xsvldltg</t>
  </si>
  <si>
    <t>Triglycerides in very small VLDL (mmol/l)</t>
  </si>
  <si>
    <t>idlp</t>
  </si>
  <si>
    <t>Concentration of IDL particles (mol/l)</t>
  </si>
  <si>
    <t>idll</t>
  </si>
  <si>
    <t>Total lipids in IDL (mmol/l)</t>
  </si>
  <si>
    <t>idlpl</t>
  </si>
  <si>
    <t>Phospholipids in IDL (mmol/l)</t>
  </si>
  <si>
    <t>idlc</t>
  </si>
  <si>
    <t>Total cholesterol in IDL (mmol/l)</t>
  </si>
  <si>
    <t>idlce</t>
  </si>
  <si>
    <t>Cholesterol esters in IDL (mmol/l)</t>
  </si>
  <si>
    <t>idlfc</t>
  </si>
  <si>
    <t>Free cholesterol in IDL (mmol/l)</t>
  </si>
  <si>
    <t>idltg</t>
  </si>
  <si>
    <t>Triglycerides in IDL (mmol/l)</t>
  </si>
  <si>
    <t>lldlp</t>
  </si>
  <si>
    <t>Concentration of large LDL particles (mol/l)</t>
  </si>
  <si>
    <t>lldll</t>
  </si>
  <si>
    <t>Total lipids in large LDL (mmol/l)</t>
  </si>
  <si>
    <t>lldlpl</t>
  </si>
  <si>
    <t>Phospholipids in large LDL (mmol/l)</t>
  </si>
  <si>
    <t>lldlc</t>
  </si>
  <si>
    <t>Total cholesterol in large LDL (mmol/l)</t>
  </si>
  <si>
    <t>lldlce</t>
  </si>
  <si>
    <t>Cholesterol esters in large LDL (mmol/l)</t>
  </si>
  <si>
    <t>lldlfc</t>
  </si>
  <si>
    <t>Free cholesterol in large LDL (mmol/l)</t>
  </si>
  <si>
    <t>lldltg</t>
  </si>
  <si>
    <t>Triglycerides in large LDL (mmol/l)</t>
  </si>
  <si>
    <t>mldlp</t>
  </si>
  <si>
    <t>Concentration of medium LDL particles (mol/l)</t>
  </si>
  <si>
    <t>mldll</t>
  </si>
  <si>
    <t>Total lipids in medium LDL (mmol/l)</t>
  </si>
  <si>
    <t>mldlpl</t>
  </si>
  <si>
    <t>Phospholipids in medium LDL (mmol/l)</t>
  </si>
  <si>
    <t>mldlc</t>
  </si>
  <si>
    <t>Total cholesterol in medium LDL (mmol/l)</t>
  </si>
  <si>
    <t>mldlce</t>
  </si>
  <si>
    <t>Cholesterol esters in medium LDL (mmol/l)</t>
  </si>
  <si>
    <t>mldlfc</t>
  </si>
  <si>
    <t>Free cholesterol in medium LDL (mmol/l)</t>
  </si>
  <si>
    <t>mldltg</t>
  </si>
  <si>
    <t>Triglycerides in medium LDL (mmol/l)</t>
  </si>
  <si>
    <t>sldlp</t>
  </si>
  <si>
    <t>Concentration of small LDL particles (mol/l)</t>
  </si>
  <si>
    <t>sldll</t>
  </si>
  <si>
    <t>Total lipids in small LDL (mmol/l)</t>
  </si>
  <si>
    <t>sldlpl</t>
  </si>
  <si>
    <t>Phospholipids in small LDL (mmol/l)</t>
  </si>
  <si>
    <t>sldlc</t>
  </si>
  <si>
    <t>Total cholesterol in small LDL (mmol/l)</t>
  </si>
  <si>
    <t>sldlce</t>
  </si>
  <si>
    <t>Cholesterol esters in small LDL (mmol/l)</t>
  </si>
  <si>
    <t>sldlfc</t>
  </si>
  <si>
    <t>Free cholesterol in small LDL (mmol/l)</t>
  </si>
  <si>
    <t>sldltg</t>
  </si>
  <si>
    <t>Triglycerides in small LDL (mmol/l)</t>
  </si>
  <si>
    <t>xlhdlp</t>
  </si>
  <si>
    <t>Concentration of very large HDL particles (mol/l)</t>
  </si>
  <si>
    <t>xlhdll</t>
  </si>
  <si>
    <t>Total lipids in very large HDL (mmol/l)</t>
  </si>
  <si>
    <t>xlhdlpl</t>
  </si>
  <si>
    <t>Phospholipids in very large HDL (mmol/l)</t>
  </si>
  <si>
    <t>xlhdlc</t>
  </si>
  <si>
    <t>Total cholesterol in very large HDL (mmol/l)</t>
  </si>
  <si>
    <t>xlhdlce</t>
  </si>
  <si>
    <t>Cholesterol esters in very large HDL (mmol/l)</t>
  </si>
  <si>
    <t>xlhdlfc</t>
  </si>
  <si>
    <t>Free cholesterol in very large HDL (mmol/l)</t>
  </si>
  <si>
    <t>xlhdltg</t>
  </si>
  <si>
    <t>Triglycerides in very large HDL (mmol/l)</t>
  </si>
  <si>
    <t>lhdlp</t>
  </si>
  <si>
    <t>Concentration of large HDL particles (mol/l)</t>
  </si>
  <si>
    <t>lhdll</t>
  </si>
  <si>
    <t>Total lipids in large HDL (mmol/l)</t>
  </si>
  <si>
    <t>lhdlpl</t>
  </si>
  <si>
    <t>Phospholipids in large HDL (mmol/l)</t>
  </si>
  <si>
    <t>lhdlc</t>
  </si>
  <si>
    <t>Total cholesterol in large HDL (mmol/l)</t>
  </si>
  <si>
    <t>lhdlce</t>
  </si>
  <si>
    <t>Cholesterol esters in large HDL (mmol/l)</t>
  </si>
  <si>
    <t>lhdlfc</t>
  </si>
  <si>
    <t>Free cholesterol in large HDL (mmol/l)</t>
  </si>
  <si>
    <t>lhdltg</t>
  </si>
  <si>
    <t>Triglycerides in large HDL (mmol/l)</t>
  </si>
  <si>
    <t>mhdlp</t>
  </si>
  <si>
    <t>Concentration of medium HDL particles (mol/l)</t>
  </si>
  <si>
    <t>mhdll</t>
  </si>
  <si>
    <t>Total lipids in medium HDL (mmol/l)</t>
  </si>
  <si>
    <t>mhdlpl</t>
  </si>
  <si>
    <t>Phospholipids in medium HDL (mmol/l)</t>
  </si>
  <si>
    <t>mhdlc</t>
  </si>
  <si>
    <t>Total cholesterol in medium HDL (mmol/l)</t>
  </si>
  <si>
    <t>mhdlce</t>
  </si>
  <si>
    <t>Cholesterol esters in medium HDL (mmol/l)</t>
  </si>
  <si>
    <t>mhdlfc</t>
  </si>
  <si>
    <t>Free cholesterol in medium HDL (mmol/l)</t>
  </si>
  <si>
    <t>mhdltg</t>
  </si>
  <si>
    <t>Triglycerides in medium HDL (mmol/l)</t>
  </si>
  <si>
    <t>shdlp</t>
  </si>
  <si>
    <t>Concentration of small HDL particles (mol/l)</t>
  </si>
  <si>
    <t>shdll</t>
  </si>
  <si>
    <t>Total lipids in small HDL (mmol/l)</t>
  </si>
  <si>
    <t>shdlpl</t>
  </si>
  <si>
    <t>Phospholipids in small HDL (mmol/l)</t>
  </si>
  <si>
    <t>shdlc</t>
  </si>
  <si>
    <t>Total cholesterol in small HDL (mmol/l)</t>
  </si>
  <si>
    <t>shdlce</t>
  </si>
  <si>
    <t>Cholesterol esters in small HDL (mmol/l)</t>
  </si>
  <si>
    <t>shdlfc</t>
  </si>
  <si>
    <t>Free cholesterol in small HDL (mmol/l)</t>
  </si>
  <si>
    <t>shdltg</t>
  </si>
  <si>
    <t>Triglycerides in small HDL (mmol/l)</t>
  </si>
  <si>
    <t>xxlvldlplpct</t>
  </si>
  <si>
    <t>Phospholipids in chylomicrons and extremely large VLDL to total lipids in chylomicrons and extremely large VLDL ratio (%)</t>
  </si>
  <si>
    <t>Phospholipids to total lipid ratio (%)</t>
  </si>
  <si>
    <t>xxlvldlcpct</t>
  </si>
  <si>
    <t>Total cholesterol in chylomicrons and extremely large VLDL to total lipids in chylomicrons and extremely large VLDL ratio (%)</t>
  </si>
  <si>
    <t>Total cholesterol to total lipid ratio (%)</t>
  </si>
  <si>
    <t>xxlvldlcepct</t>
  </si>
  <si>
    <t>Cholesterol esters in chylomicrons and extremely large VLDL to total lipids in chylomicrons and extremely large VLDL ratio (%)</t>
  </si>
  <si>
    <t>Cholesterol esters to total lipid ratio (%)</t>
  </si>
  <si>
    <t>xxlvldlfcpct</t>
  </si>
  <si>
    <t>Free cholesterol in chylomicrons and extremely large VLDL to total lipids in chylomicrons and extremely large VLDL ratio (%)</t>
  </si>
  <si>
    <t>Free cholesterol to total lipid ratio (%)</t>
  </si>
  <si>
    <t>xxlvldltgpct</t>
  </si>
  <si>
    <t>Triglycerides in chylomicrons and extremely large VLDL to total lipids in chylomicrons and extremely large VLDL ratio (%)</t>
  </si>
  <si>
    <t>xlvldlplpct</t>
  </si>
  <si>
    <t>Phospholipids in very large VLDL to total lipids in very large VLDL ratio (%)</t>
  </si>
  <si>
    <t>xlvldlcpct</t>
  </si>
  <si>
    <t>Total cholesterol in very large VLDL to total lipids in very large VLDL ratio (%)</t>
  </si>
  <si>
    <t>xlvldlcepct</t>
  </si>
  <si>
    <t>Cholesterol esters in very large VLDL to total lipids in very large VLDL ratio (%)</t>
  </si>
  <si>
    <t>xlvldlfcpct</t>
  </si>
  <si>
    <t>Free cholesterol in very large VLDL to total lipids in very large VLDL ratio (%)</t>
  </si>
  <si>
    <t>xlvldltgpct</t>
  </si>
  <si>
    <t>Triglycerides in very large VLDL to total lipids in very large VLDL ratio (%)</t>
  </si>
  <si>
    <t>Triglycerides to total lipid ratio (%)</t>
  </si>
  <si>
    <t>lvldlplpct</t>
  </si>
  <si>
    <t>Phospholipids in large VLDL to total lipids in large VLDL ratio (%)</t>
  </si>
  <si>
    <t>lvldlcpct</t>
  </si>
  <si>
    <t>Total cholesterol in large VLDL to total lipids in large VLDL ratio (%)</t>
  </si>
  <si>
    <t>lvldlcepct</t>
  </si>
  <si>
    <t>Cholesterol esters in large VLDL to total lipids in large VLDL ratio (%)</t>
  </si>
  <si>
    <t>lvldlfcpct</t>
  </si>
  <si>
    <t>Free cholesterol in large VLDL to total lipids in large VLDL ratio (%)</t>
  </si>
  <si>
    <t>lvldltgpct</t>
  </si>
  <si>
    <t>Triglycerides in large VLDL to total lipids in large VLDL ratio (%)</t>
  </si>
  <si>
    <t>mvldlplpct</t>
  </si>
  <si>
    <t>Phospholipids in medium VLDL to total lipids in medium VLDL ratio (%)</t>
  </si>
  <si>
    <t>mvldlcpct</t>
  </si>
  <si>
    <t>Total cholesterol in medium VLDL to total lipids in medium VLDL ratio (%)</t>
  </si>
  <si>
    <t>mvldlcepct</t>
  </si>
  <si>
    <t>Cholesterol esters in medium VLDL to total lipids in medium VLDL ratio (%)</t>
  </si>
  <si>
    <t>mvldlfcpct</t>
  </si>
  <si>
    <t>Free cholesterol in medium VLDL to total lipids in medium VLDL ratio (%)</t>
  </si>
  <si>
    <t>mvldltgpct</t>
  </si>
  <si>
    <t>Triglycerides in medium VLDL to total lipids in medium VLDL ratio (%)</t>
  </si>
  <si>
    <t>svldlplpct</t>
  </si>
  <si>
    <t>Phospholipids in small VLDL to total lipids in small VLDL ratio (%)</t>
  </si>
  <si>
    <t>svldlcpct</t>
  </si>
  <si>
    <t>Total cholesterol in small VLDL to total lipids in small VLDL ratio (%)</t>
  </si>
  <si>
    <t>svldlcepct</t>
  </si>
  <si>
    <t>Cholesterol esters in small VLDL to total lipids in small VLDL ratio (%)</t>
  </si>
  <si>
    <t>svldlfcpct</t>
  </si>
  <si>
    <t>Free cholesterol in small VLDL to total lipids in small VLDL ratio (%)</t>
  </si>
  <si>
    <t>svldltgpct</t>
  </si>
  <si>
    <t>Triglycerides in small VLDL  to total lipids in small VLDL ratio (%)</t>
  </si>
  <si>
    <t>xsvldlplpct</t>
  </si>
  <si>
    <t>Phospholipids in very small VLDL to total lipids in very small VLDL ratio (%)</t>
  </si>
  <si>
    <t>xsvldlcpct</t>
  </si>
  <si>
    <t>Total cholesterol in very small VLDL to total lipids in very small VLDL ratio (%)</t>
  </si>
  <si>
    <t>xsvldlcepct</t>
  </si>
  <si>
    <t>Cholesterol esters in very small VLDL to total lipids in very small VLDL ratio (%)</t>
  </si>
  <si>
    <t>xsvldlfcpct</t>
  </si>
  <si>
    <t>Free cholesterol in very small VLDL to total lipids in very small VLDL ratio (%)</t>
  </si>
  <si>
    <t>xsvldltgpct</t>
  </si>
  <si>
    <t>Triglycerides in very small VLDL to total lipids in very small VLDL ratio (%)</t>
  </si>
  <si>
    <t>idlplpct</t>
  </si>
  <si>
    <t>Phospholipids in IDL to total lipids in IDL ratio (%)</t>
  </si>
  <si>
    <t>idlcpct</t>
  </si>
  <si>
    <t>Total cholesterol in IDL to total lipids in IDL ratio (%)</t>
  </si>
  <si>
    <t>idlcepct</t>
  </si>
  <si>
    <t>Cholesterol esters in IDL to total lipids in IDL ratio (%)</t>
  </si>
  <si>
    <t>idlfcpct</t>
  </si>
  <si>
    <t>Free cholesterol in IDL to total lipids in IDL ratio (%)</t>
  </si>
  <si>
    <t>idltgpct</t>
  </si>
  <si>
    <t>Triglycerides in IDL to total lipids in IDL ratio (%)</t>
  </si>
  <si>
    <t>lldlplpct</t>
  </si>
  <si>
    <t>Phospholipids in large LDL to total lipids in large LDL ratio (%)</t>
  </si>
  <si>
    <t>lldlcpct</t>
  </si>
  <si>
    <t xml:space="preserve"> Total cholesterol in large LDL to total lipids in large LDL ratio (%)</t>
  </si>
  <si>
    <t>lldlcepct</t>
  </si>
  <si>
    <t xml:space="preserve"> Cholesterol esters in large LDL to total lipids in large LDL ratio (%)</t>
  </si>
  <si>
    <t>lldlfcpct</t>
  </si>
  <si>
    <t>Free cholesterol in large LDL to total lipids in large LDL ratio (%)</t>
  </si>
  <si>
    <t>lldltgpct</t>
  </si>
  <si>
    <t>Triglycerides in large LDL to total lipids in large LDL ratio (%)</t>
  </si>
  <si>
    <t>mldlplpct</t>
  </si>
  <si>
    <t>Phospholipids in medium LDL to total lipids in medium LDL ratio (%)</t>
  </si>
  <si>
    <t>mldlcpct</t>
  </si>
  <si>
    <t>Total cholesterol in medium LDL to total lipids in medium LDL ratio (%)</t>
  </si>
  <si>
    <t>mldlcepct</t>
  </si>
  <si>
    <t>Cholesterol esters in medium LDL to total lipids in medium LDL ratio (%)</t>
  </si>
  <si>
    <t>mldlfcpct</t>
  </si>
  <si>
    <t>Free cholesterol in medium LDL to total lipids in medium LDL ratio (%)</t>
  </si>
  <si>
    <t>mldltgpct</t>
  </si>
  <si>
    <t>Triglycerides in medium LDL to total lipids in medium LDL ratio (%)</t>
  </si>
  <si>
    <t>sldlplpct</t>
  </si>
  <si>
    <t>Phospholipids in small LDL to total lipids in small LDL ratio (%)</t>
  </si>
  <si>
    <t>sldlcpct</t>
  </si>
  <si>
    <t>Total cholesterol in small LDL to total lipids in small LDL ratio (%)</t>
  </si>
  <si>
    <t>sldlcepct</t>
  </si>
  <si>
    <t>Cholesterol esters in small LDL to total lipids in small LDL ratio (%)</t>
  </si>
  <si>
    <t>sldlfcpct</t>
  </si>
  <si>
    <t>Free cholesterol in small LDL to total lipids in small LDL ratio (%)</t>
  </si>
  <si>
    <t>sldltgpct</t>
  </si>
  <si>
    <t>Triglycerides in small LDL to total lipids in small LDL ratio (%)</t>
  </si>
  <si>
    <t>xlhdlplpct</t>
  </si>
  <si>
    <t>Phospholipids in very large HDL to total lipids in very large HDL ratio (%)</t>
  </si>
  <si>
    <t>xlhdlcpct</t>
  </si>
  <si>
    <t>Total cholesterol in very large HDL to total lipids in very large HDL ratio (%)</t>
  </si>
  <si>
    <t>xlhdlcepct</t>
  </si>
  <si>
    <t>Cholesterol esters in very large HDL to total lipids in very large HDL ratio (%)</t>
  </si>
  <si>
    <t>xlhdlfcpct</t>
  </si>
  <si>
    <t>Free cholesterol in very large HDL to total lipids in very large HDL ratio (%)</t>
  </si>
  <si>
    <t>xlhdltgpct</t>
  </si>
  <si>
    <t>Triglycerides in very large HDL to total lipids in very large HDL ratio (%)</t>
  </si>
  <si>
    <t>lhdlplpct</t>
  </si>
  <si>
    <t>Phospholipids in large HDL to total lipids in large HDL ratio (%)</t>
  </si>
  <si>
    <t>lhdlcpct</t>
  </si>
  <si>
    <t>Total cholesterol in large HDL to total lipids in large HDL ratio (%)</t>
  </si>
  <si>
    <t>lhdlcepct</t>
  </si>
  <si>
    <t>Cholesterol esters in large HDL to total lipids in large HDL ratio (%)</t>
  </si>
  <si>
    <t>lhdlfcpct</t>
  </si>
  <si>
    <t>Free cholesterol in large HDL to total lipids in large HDL ratio (%)</t>
  </si>
  <si>
    <t>lhdltgpct</t>
  </si>
  <si>
    <t>Triglycerides in large HDL to total lipids in large HDL ratio (%)</t>
  </si>
  <si>
    <t>mhdlplpct</t>
  </si>
  <si>
    <t>Phospholipids in medium HDL to total lipids in medium HDL ratio (%)</t>
  </si>
  <si>
    <t>mhdlcpct</t>
  </si>
  <si>
    <t>Total cholesterol in medium HDL to total lipids in medium HDL ratio (%)</t>
  </si>
  <si>
    <t>mhdlcepct</t>
  </si>
  <si>
    <t>Cholesterol esters in medium HDL to total lipids in medium HDL ratio (%)</t>
  </si>
  <si>
    <t>mhdlfcpct</t>
  </si>
  <si>
    <t>Free cholesterol in medium HDL to total lipids in medium HDL ratio (%)</t>
  </si>
  <si>
    <t>mhdltgpct</t>
  </si>
  <si>
    <t>Triglycerides in medium HDL to total lipids in medium HDL ratio (%)</t>
  </si>
  <si>
    <t>shdlplpct</t>
  </si>
  <si>
    <t>Phospholipids in small HDL to total lipids in small HDL ratio (%)</t>
  </si>
  <si>
    <t>shdlcpct</t>
  </si>
  <si>
    <t>Total cholesterol in small HDL to total lipids in small HDL ratio (%)</t>
  </si>
  <si>
    <t>shdlcepct</t>
  </si>
  <si>
    <t>Cholesterol esters in small HDL to total lipids in small HDL ratio (%)</t>
  </si>
  <si>
    <t>shdlfcpct</t>
  </si>
  <si>
    <t>Free cholesterol in small HDL to total lipids in small HDL ratio (%)</t>
  </si>
  <si>
    <t>shdltgpct</t>
  </si>
  <si>
    <t>Triglycerides in small HDL to total lipids in small HDL ratio (%)</t>
  </si>
  <si>
    <t>Glc</t>
  </si>
  <si>
    <t>mmol/l</t>
  </si>
  <si>
    <t>%</t>
  </si>
  <si>
    <t>Ile</t>
  </si>
  <si>
    <t>Mean diameter for HDL particles</t>
  </si>
  <si>
    <t>HDL-D</t>
  </si>
  <si>
    <t>nm</t>
  </si>
  <si>
    <t>Leu</t>
  </si>
  <si>
    <t>XL-HDL-PL</t>
  </si>
  <si>
    <t>XL-HDL-L</t>
  </si>
  <si>
    <t>Cholesterol esters to total lipids ratio in large VLDL</t>
  </si>
  <si>
    <t>Cholesterol esters to total lipids ratio in medium VLDL</t>
  </si>
  <si>
    <t>Cholesterol esters to total lipids ratio in small VLDL</t>
  </si>
  <si>
    <t>Ala</t>
  </si>
  <si>
    <t>S-HDL-PL</t>
  </si>
  <si>
    <t>XL-HDL-P</t>
  </si>
  <si>
    <t>Val</t>
  </si>
  <si>
    <t>S-HDL-TG</t>
  </si>
  <si>
    <t>XL-HDL-FC</t>
  </si>
  <si>
    <t>Total cholesterol in very large HDL</t>
  </si>
  <si>
    <t>XL-HDL-C</t>
  </si>
  <si>
    <t>XL-HDL-CE</t>
  </si>
  <si>
    <t>S-HDL-FC</t>
  </si>
  <si>
    <t>IDL-FC</t>
  </si>
  <si>
    <t>L-HDL-FC</t>
  </si>
  <si>
    <t>L-LDL-FC</t>
  </si>
  <si>
    <t>Mean diameter for VLDL particles</t>
  </si>
  <si>
    <t>VLDL-D</t>
  </si>
  <si>
    <t>NA</t>
  </si>
  <si>
    <t>Cholesterol esters to total lipids ratio in small LDL</t>
  </si>
  <si>
    <t>Glol</t>
  </si>
  <si>
    <t>L-HDL-C</t>
  </si>
  <si>
    <t>FAw3</t>
  </si>
  <si>
    <t>IDL-PL</t>
  </si>
  <si>
    <t>L-HDL-L</t>
  </si>
  <si>
    <t>L-HDL-CE</t>
  </si>
  <si>
    <t>Cholesterol esters to total lipids ratio in large LDL</t>
  </si>
  <si>
    <t>Cholesterol esters to total lipids ratio in medium LDL</t>
  </si>
  <si>
    <t>L-HDL-P</t>
  </si>
  <si>
    <t>S-LDL-CE</t>
  </si>
  <si>
    <t>L-LDL-C</t>
  </si>
  <si>
    <t>Total cholesterol in LDL</t>
  </si>
  <si>
    <t>LDL-C</t>
  </si>
  <si>
    <t>Total cholesterol in IDL</t>
  </si>
  <si>
    <t>IDL-C</t>
  </si>
  <si>
    <t>Esterified cholesterol</t>
  </si>
  <si>
    <t>EstC</t>
  </si>
  <si>
    <t>M-LDL-C</t>
  </si>
  <si>
    <t>M-LDL-CE</t>
  </si>
  <si>
    <t>Cholesterol esters to total lipids ratio in large HDL</t>
  </si>
  <si>
    <t>Gln</t>
  </si>
  <si>
    <t>L-LDL-CE</t>
  </si>
  <si>
    <t>L-LDL-PL</t>
  </si>
  <si>
    <t>Total cholesterol in small LDL</t>
  </si>
  <si>
    <t>S-LDL-C</t>
  </si>
  <si>
    <t>S-HDL-P</t>
  </si>
  <si>
    <t>Serum total cholesterol</t>
  </si>
  <si>
    <t>Serum-C</t>
  </si>
  <si>
    <t>L-LDL-L</t>
  </si>
  <si>
    <t>L-HDL-PL</t>
  </si>
  <si>
    <t>Cholesterol esters to total lipids ratio in chylomicrons and extremely large VLDL</t>
  </si>
  <si>
    <t>IDL-L</t>
  </si>
  <si>
    <t>IDL-CE</t>
  </si>
  <si>
    <t>S-HDL-L</t>
  </si>
  <si>
    <t>L-LDL-P</t>
  </si>
  <si>
    <t>Cholesterol esters to total lipids ratio in very large VLDL</t>
  </si>
  <si>
    <t>Cholesterol esters to total lipids ratio in small HDL</t>
  </si>
  <si>
    <t>IDL-P</t>
  </si>
  <si>
    <t>Total lipids in medium LDL</t>
  </si>
  <si>
    <t>M-LDL-L</t>
  </si>
  <si>
    <t>HDL2-C</t>
  </si>
  <si>
    <t>XS-VLDL-PL</t>
  </si>
  <si>
    <t>M-LDL-FC</t>
  </si>
  <si>
    <t>M-LDL-P</t>
  </si>
  <si>
    <t>S-LDL-L</t>
  </si>
  <si>
    <t>S-LDL-P</t>
  </si>
  <si>
    <t>Total cholesterol in HDL</t>
  </si>
  <si>
    <t>HDL-C</t>
  </si>
  <si>
    <t>TG/PG</t>
  </si>
  <si>
    <t>S-LDL-FC</t>
  </si>
  <si>
    <t>XS-VLDL-FC</t>
  </si>
  <si>
    <t>Cholesterol esters to total lipids ratio in IDL</t>
  </si>
  <si>
    <t>L-VLDL-P</t>
  </si>
  <si>
    <t>Cholesterol esters to total lipids ratio in very small VLDL</t>
  </si>
  <si>
    <t>ApoA1</t>
  </si>
  <si>
    <t>g/l</t>
  </si>
  <si>
    <t>XS-VLDL-C</t>
  </si>
  <si>
    <t>S-VLDL-TG</t>
  </si>
  <si>
    <t>L-VLDL-TG</t>
  </si>
  <si>
    <t>FreeC</t>
  </si>
  <si>
    <t>M-LDL-PL</t>
  </si>
  <si>
    <t>VLDL-TG</t>
  </si>
  <si>
    <t>FAw6</t>
  </si>
  <si>
    <t>L-VLDL-FC</t>
  </si>
  <si>
    <t>M-VLDL-TG</t>
  </si>
  <si>
    <t>XS-VLDL-CE</t>
  </si>
  <si>
    <t>Cholesterol esters to total lipids ratio in medium HDL</t>
  </si>
  <si>
    <t>L-VLDL-L</t>
  </si>
  <si>
    <t>Free cholesterol in chylomicrons and extremely large VLDL</t>
  </si>
  <si>
    <t>XXL-VLDL-FC</t>
  </si>
  <si>
    <t>XL-VLDL-TG</t>
  </si>
  <si>
    <t>LA</t>
  </si>
  <si>
    <t>XS-VLDL-TG</t>
  </si>
  <si>
    <t>S-VLDL-CE</t>
  </si>
  <si>
    <t>Serum total triglycerides</t>
  </si>
  <si>
    <t>Serum-TG</t>
  </si>
  <si>
    <t>TotCho</t>
  </si>
  <si>
    <t>S-LDL-PL</t>
  </si>
  <si>
    <t>M-VLDL-FC</t>
  </si>
  <si>
    <t>Phosphatidylcholine and other cholines</t>
  </si>
  <si>
    <t>PC</t>
  </si>
  <si>
    <t>L-HDL-TG</t>
  </si>
  <si>
    <t>L-VLDL-PL</t>
  </si>
  <si>
    <t>Ace</t>
  </si>
  <si>
    <t>M-HDL-TG</t>
  </si>
  <si>
    <t>XL-VLDL-P</t>
  </si>
  <si>
    <t>Total cholesterol in large VLDL</t>
  </si>
  <si>
    <t>L-VLDL-C</t>
  </si>
  <si>
    <t>XL-VLDL-L</t>
  </si>
  <si>
    <t>Phospholipids in chylomicrons and extremely large VLDL</t>
  </si>
  <si>
    <t>XXL-VLDL-PL</t>
  </si>
  <si>
    <t>Cholesterol esters to total lipids ratio in very large HDL</t>
  </si>
  <si>
    <t>Remnant-C</t>
  </si>
  <si>
    <t>M-VLDL-P</t>
  </si>
  <si>
    <t>XS-VLDL-L</t>
  </si>
  <si>
    <t>M-VLDL-L</t>
  </si>
  <si>
    <t>ApoB</t>
  </si>
  <si>
    <t>Phe</t>
  </si>
  <si>
    <t>Crea</t>
  </si>
  <si>
    <t>Cit</t>
  </si>
  <si>
    <t>M-VLDL-PL</t>
  </si>
  <si>
    <t>Total lipids in chylomicrons and extremely large VLDL</t>
  </si>
  <si>
    <t>XXL-VLDL-L</t>
  </si>
  <si>
    <t>Lac</t>
  </si>
  <si>
    <t>Pyr</t>
  </si>
  <si>
    <t>S-VLDL-PL</t>
  </si>
  <si>
    <t>XL-VLDL-C</t>
  </si>
  <si>
    <t>SM</t>
  </si>
  <si>
    <t>XL-HDL-TG</t>
  </si>
  <si>
    <t>His</t>
  </si>
  <si>
    <t>XL-VLDL-PL</t>
  </si>
  <si>
    <t>XS-VLDL-P</t>
  </si>
  <si>
    <t>3-hydroxybutyrate</t>
  </si>
  <si>
    <t>bOHBut</t>
  </si>
  <si>
    <t>Triglycerides in chylomicrons and extremely large VLDL</t>
  </si>
  <si>
    <t>XXL-VLDL-TG</t>
  </si>
  <si>
    <t>Total phosphoglycerides</t>
  </si>
  <si>
    <t>TotPG</t>
  </si>
  <si>
    <t>L-VLDL-CE</t>
  </si>
  <si>
    <t>XL-VLDL-CE</t>
  </si>
  <si>
    <t>S-VLDL-P</t>
  </si>
  <si>
    <t>S-VLDL-FC</t>
  </si>
  <si>
    <t>XL-VLDL-FC</t>
  </si>
  <si>
    <t>HDL3-C</t>
  </si>
  <si>
    <t>IDL-TG</t>
  </si>
  <si>
    <t>HDL-TG</t>
  </si>
  <si>
    <t>M-HDL-PL</t>
  </si>
  <si>
    <t>S-VLDL-L</t>
  </si>
  <si>
    <t>XXL-VLDL-P</t>
  </si>
  <si>
    <t>ApoB/ApoA1</t>
  </si>
  <si>
    <t>Gly</t>
  </si>
  <si>
    <t>TotFA</t>
  </si>
  <si>
    <t>Mean diameter for LDL particles</t>
  </si>
  <si>
    <t>LDL-D</t>
  </si>
  <si>
    <t>S-VLDL-C</t>
  </si>
  <si>
    <t>M-VLDL-C</t>
  </si>
  <si>
    <t>M-HDL-P</t>
  </si>
  <si>
    <t>M-HDL-L</t>
  </si>
  <si>
    <t>S-HDL-CE</t>
  </si>
  <si>
    <t>Alb</t>
  </si>
  <si>
    <t>Tyr</t>
  </si>
  <si>
    <t>LDL-TG</t>
  </si>
  <si>
    <t>M-HDL-FC</t>
  </si>
  <si>
    <t>M-VLDL-CE</t>
  </si>
  <si>
    <t>Total cholesterol in VLDL</t>
  </si>
  <si>
    <t>VLDL-C</t>
  </si>
  <si>
    <t>Cholesterol esters in chylomicrons and extremely large VLDL</t>
  </si>
  <si>
    <t>XXL-VLDL-CE</t>
  </si>
  <si>
    <t>Total cholesterol in chylomicrons and extremely large VLDL</t>
  </si>
  <si>
    <t>XXL-VLDL-C</t>
  </si>
  <si>
    <t>S-LDL-TG</t>
  </si>
  <si>
    <t>L-LDL-TG</t>
  </si>
  <si>
    <t>Total cholesterol in small HDL</t>
  </si>
  <si>
    <t>S-HDL-C</t>
  </si>
  <si>
    <t>M-LDL-TG</t>
  </si>
  <si>
    <t>Total cholesterol in medium HDL</t>
  </si>
  <si>
    <t>M-HDL-C</t>
  </si>
  <si>
    <t>SFA</t>
  </si>
  <si>
    <t>M-HDL-CE</t>
  </si>
  <si>
    <t>compid_to_match</t>
  </si>
  <si>
    <t>pathway.sortorder</t>
  </si>
  <si>
    <t>biochemical</t>
  </si>
  <si>
    <t>sub.pathway</t>
  </si>
  <si>
    <t>comp.id</t>
  </si>
  <si>
    <t>platform</t>
  </si>
  <si>
    <t>chemical.id</t>
  </si>
  <si>
    <t>ri</t>
  </si>
  <si>
    <t>mass</t>
  </si>
  <si>
    <t>cas</t>
  </si>
  <si>
    <t>pubchem</t>
  </si>
  <si>
    <t>kegg</t>
  </si>
  <si>
    <t>hmdb</t>
  </si>
  <si>
    <t>compid57814</t>
  </si>
  <si>
    <t>posearly</t>
  </si>
  <si>
    <t>compid52603</t>
  </si>
  <si>
    <t>poslate</t>
  </si>
  <si>
    <t>HMDB08138</t>
  </si>
  <si>
    <t>compid19130</t>
  </si>
  <si>
    <t>HMDB00564</t>
  </si>
  <si>
    <t>compid20675</t>
  </si>
  <si>
    <t>neg</t>
  </si>
  <si>
    <t>HMDB02712</t>
  </si>
  <si>
    <t>compid44621</t>
  </si>
  <si>
    <t>compid52689</t>
  </si>
  <si>
    <t>HMDB11220</t>
  </si>
  <si>
    <t>compid52673</t>
  </si>
  <si>
    <t>HMDB11352</t>
  </si>
  <si>
    <t>compid52682</t>
  </si>
  <si>
    <t>HMDB11211</t>
  </si>
  <si>
    <t>compid52677</t>
  </si>
  <si>
    <t>HMDB11343</t>
  </si>
  <si>
    <t>compid52478</t>
  </si>
  <si>
    <t>compid52477</t>
  </si>
  <si>
    <t>HMDB11342</t>
  </si>
  <si>
    <t>compid52713</t>
  </si>
  <si>
    <t>HMDB11207</t>
  </si>
  <si>
    <t>compid52716</t>
  </si>
  <si>
    <t>HMDB11206</t>
  </si>
  <si>
    <t>compid52474</t>
  </si>
  <si>
    <t>HMDB10407</t>
  </si>
  <si>
    <t>compid39270</t>
  </si>
  <si>
    <t>compid52475</t>
  </si>
  <si>
    <t>HMDB05779</t>
  </si>
  <si>
    <t>compid52748</t>
  </si>
  <si>
    <t>HMDB11376</t>
  </si>
  <si>
    <t>compid52614</t>
  </si>
  <si>
    <t>HMDB11375</t>
  </si>
  <si>
    <t>compid39271</t>
  </si>
  <si>
    <t>compid46325</t>
  </si>
  <si>
    <t>1-arachidonoyl-GPA (20:4)</t>
  </si>
  <si>
    <t>799268-65-8</t>
  </si>
  <si>
    <t>compid33228</t>
  </si>
  <si>
    <t>HMDB10395</t>
  </si>
  <si>
    <t>compid35186</t>
  </si>
  <si>
    <t>HMDB11517</t>
  </si>
  <si>
    <t>compid34214</t>
  </si>
  <si>
    <t>HMDB61690</t>
  </si>
  <si>
    <t>compid34397</t>
  </si>
  <si>
    <t>HMDB11549</t>
  </si>
  <si>
    <t>compid64879</t>
  </si>
  <si>
    <t>HMDB0062180</t>
  </si>
  <si>
    <t>compid64880</t>
  </si>
  <si>
    <t>HMDB0062176</t>
  </si>
  <si>
    <t>compid64881</t>
  </si>
  <si>
    <t>HMDB0062175</t>
  </si>
  <si>
    <t>compid64882</t>
  </si>
  <si>
    <t>HMDB0062177</t>
  </si>
  <si>
    <t>compid64883</t>
  </si>
  <si>
    <t>HMDB0062181</t>
  </si>
  <si>
    <t>compid48341</t>
  </si>
  <si>
    <t>compid35153</t>
  </si>
  <si>
    <t>HMDB11587</t>
  </si>
  <si>
    <t>compid45951</t>
  </si>
  <si>
    <t>HMDB10388</t>
  </si>
  <si>
    <t>compid34393</t>
  </si>
  <si>
    <t>HMDB11569</t>
  </si>
  <si>
    <t>compid52710</t>
  </si>
  <si>
    <t>HMDB08147</t>
  </si>
  <si>
    <t>compid53176</t>
  </si>
  <si>
    <t>HMDB08141</t>
  </si>
  <si>
    <t>compid52690</t>
  </si>
  <si>
    <t>1-linoleoyl-GPA (18:2)*</t>
  </si>
  <si>
    <t>HMDB07856</t>
  </si>
  <si>
    <t>compid34419</t>
  </si>
  <si>
    <t>HMDB10386</t>
  </si>
  <si>
    <t>compid36600</t>
  </si>
  <si>
    <t>HMDB11507</t>
  </si>
  <si>
    <t>compid54885</t>
  </si>
  <si>
    <t>compid36594</t>
  </si>
  <si>
    <t>compid27447</t>
  </si>
  <si>
    <t>compid32350</t>
  </si>
  <si>
    <t>HMDB02820</t>
  </si>
  <si>
    <t>compid30460</t>
  </si>
  <si>
    <t>HMDB00001</t>
  </si>
  <si>
    <t>compid27665</t>
  </si>
  <si>
    <t>HMDB00699</t>
  </si>
  <si>
    <t>compid53195</t>
  </si>
  <si>
    <t>HMDB07883</t>
  </si>
  <si>
    <t>compid19258</t>
  </si>
  <si>
    <t>HMDB07869</t>
  </si>
  <si>
    <t>compid35625</t>
  </si>
  <si>
    <t>HMDB11561</t>
  </si>
  <si>
    <t>compid55041</t>
  </si>
  <si>
    <t>HMDB09069</t>
  </si>
  <si>
    <t>compid52697</t>
  </si>
  <si>
    <t>HMDB08123</t>
  </si>
  <si>
    <t>compid52687</t>
  </si>
  <si>
    <t>1-oleoyl-2-linoleoyl-GPE (18:1/18:2)*</t>
  </si>
  <si>
    <t>HMDB05349</t>
  </si>
  <si>
    <t>compid48258</t>
  </si>
  <si>
    <t>HMDB02815</t>
  </si>
  <si>
    <t>compid35628</t>
  </si>
  <si>
    <t>HMDB11506</t>
  </si>
  <si>
    <t>compid45968</t>
  </si>
  <si>
    <t>compid36602</t>
  </si>
  <si>
    <t>1-oleoyl-GPI (18:1)*</t>
  </si>
  <si>
    <t>compid21184</t>
  </si>
  <si>
    <t>HMDB11567</t>
  </si>
  <si>
    <t>compid53180</t>
  </si>
  <si>
    <t>HMDB08008</t>
  </si>
  <si>
    <t>compid33230</t>
  </si>
  <si>
    <t>compid52431</t>
  </si>
  <si>
    <t>HMDB11565</t>
  </si>
  <si>
    <t>compid52462</t>
  </si>
  <si>
    <t>HMDB07982</t>
  </si>
  <si>
    <t>compid52464</t>
  </si>
  <si>
    <t>HMDB05323</t>
  </si>
  <si>
    <t>compid52467</t>
  </si>
  <si>
    <t>HMDB09789</t>
  </si>
  <si>
    <t>compid52454</t>
  </si>
  <si>
    <t>compid52610</t>
  </si>
  <si>
    <t>HMDB07991</t>
  </si>
  <si>
    <t>compid52465</t>
  </si>
  <si>
    <t>HMDB05324</t>
  </si>
  <si>
    <t>compid42446</t>
  </si>
  <si>
    <t>HMDB07973</t>
  </si>
  <si>
    <t>compid42449</t>
  </si>
  <si>
    <t>HMDB05322</t>
  </si>
  <si>
    <t>compid52450</t>
  </si>
  <si>
    <t>HMDB09784</t>
  </si>
  <si>
    <t>compid52461</t>
  </si>
  <si>
    <t>26853-31-6;26853-31-6</t>
  </si>
  <si>
    <t>HMDB07972</t>
  </si>
  <si>
    <t>compid19263</t>
  </si>
  <si>
    <t>HMDB05320</t>
  </si>
  <si>
    <t>compid52669</t>
  </si>
  <si>
    <t>HMDB09783</t>
  </si>
  <si>
    <t>compid52470</t>
  </si>
  <si>
    <t>HMDB07969</t>
  </si>
  <si>
    <t>compid52616</t>
  </si>
  <si>
    <t>HMDB07970</t>
  </si>
  <si>
    <t>compid34428</t>
  </si>
  <si>
    <t>compid33955</t>
  </si>
  <si>
    <t>HMDB10382</t>
  </si>
  <si>
    <t>compid35631</t>
  </si>
  <si>
    <t>HMDB11503</t>
  </si>
  <si>
    <t>compid45970</t>
  </si>
  <si>
    <t>compid35305</t>
  </si>
  <si>
    <t>HMDB61695</t>
  </si>
  <si>
    <t>compid61868</t>
  </si>
  <si>
    <t>HMDB02331</t>
  </si>
  <si>
    <t>compid42450</t>
  </si>
  <si>
    <t>HMDB08048</t>
  </si>
  <si>
    <t>compid52447</t>
  </si>
  <si>
    <t>HMDB09003</t>
  </si>
  <si>
    <t>compid52449</t>
  </si>
  <si>
    <t>HMDB09815</t>
  </si>
  <si>
    <t>compid52611</t>
  </si>
  <si>
    <t>HMDB08057</t>
  </si>
  <si>
    <t>compid52466</t>
  </si>
  <si>
    <t>HMDB05334</t>
  </si>
  <si>
    <t>compid52452</t>
  </si>
  <si>
    <t>HMDB08039</t>
  </si>
  <si>
    <t>compid52446</t>
  </si>
  <si>
    <t>HMDB08994</t>
  </si>
  <si>
    <t>compid52468</t>
  </si>
  <si>
    <t>HMDB09809</t>
  </si>
  <si>
    <t>compid52438</t>
  </si>
  <si>
    <t>HMDB08038</t>
  </si>
  <si>
    <t>compid42448</t>
  </si>
  <si>
    <t>HMDB08993</t>
  </si>
  <si>
    <t>compid52726</t>
  </si>
  <si>
    <t>1-stearoyl-2-oleoyl-GPI (18:0/18:1)*</t>
  </si>
  <si>
    <t>compid19265</t>
  </si>
  <si>
    <t>1-stearoyl-2-oleoyl-GPS (18:0/18:1)</t>
  </si>
  <si>
    <t>Phosphatidylserine (PS)</t>
  </si>
  <si>
    <t>HMDB10163</t>
  </si>
  <si>
    <t>compid33961</t>
  </si>
  <si>
    <t>HMDB10384</t>
  </si>
  <si>
    <t>compid42398</t>
  </si>
  <si>
    <t>HMDB11130</t>
  </si>
  <si>
    <t>compid34437</t>
  </si>
  <si>
    <t>compid19324</t>
  </si>
  <si>
    <t>HMDB61696</t>
  </si>
  <si>
    <t>compid33971</t>
  </si>
  <si>
    <t>Long Chain Fatty Acid</t>
  </si>
  <si>
    <t>HMDB60038</t>
  </si>
  <si>
    <t>compid33972</t>
  </si>
  <si>
    <t>HMDB13622</t>
  </si>
  <si>
    <t>compid32497</t>
  </si>
  <si>
    <t>HMDB33724</t>
  </si>
  <si>
    <t>compid37536</t>
  </si>
  <si>
    <t>71030-37-0;73837-14-6</t>
  </si>
  <si>
    <t>HMDB06111</t>
  </si>
  <si>
    <t>compid57393</t>
  </si>
  <si>
    <t>HMDB12535</t>
  </si>
  <si>
    <t>compid37752</t>
  </si>
  <si>
    <t>compid53034</t>
  </si>
  <si>
    <t>14-HDoHE/17-HDoHE</t>
  </si>
  <si>
    <t>compid38768</t>
  </si>
  <si>
    <t>15-methylpalmitate (i17:0)</t>
  </si>
  <si>
    <t>compid39609</t>
  </si>
  <si>
    <t>HMDB06294</t>
  </si>
  <si>
    <t>compid38168</t>
  </si>
  <si>
    <t>16a-hydroxy DHEA 3-sulfate</t>
  </si>
  <si>
    <t>compid38296</t>
  </si>
  <si>
    <t>17-methylstearate (i19:0)</t>
  </si>
  <si>
    <t>HMDB37397</t>
  </si>
  <si>
    <t>compid52602</t>
  </si>
  <si>
    <t>HMDB00012</t>
  </si>
  <si>
    <t>compid57655</t>
  </si>
  <si>
    <t>compid57547</t>
  </si>
  <si>
    <t>HMDB29576</t>
  </si>
  <si>
    <t>compid6146</t>
  </si>
  <si>
    <t>542-32-5;1118-90-7</t>
  </si>
  <si>
    <t>HMDB00510</t>
  </si>
  <si>
    <t>compid42374</t>
  </si>
  <si>
    <t>C02261</t>
  </si>
  <si>
    <t>HMDB00650</t>
  </si>
  <si>
    <t>compid43343</t>
  </si>
  <si>
    <t>HMDB00991</t>
  </si>
  <si>
    <t>compid48675</t>
  </si>
  <si>
    <t>2-docosahexaenoylglycerol (22:6)*</t>
  </si>
  <si>
    <t>HMDB11557</t>
  </si>
  <si>
    <t>compid36746</t>
  </si>
  <si>
    <t>HMDB00317</t>
  </si>
  <si>
    <t>compid57663</t>
  </si>
  <si>
    <t>compid52281</t>
  </si>
  <si>
    <t>polar</t>
  </si>
  <si>
    <t>compid42489</t>
  </si>
  <si>
    <t>compid37253</t>
  </si>
  <si>
    <t>HMDB00606</t>
  </si>
  <si>
    <t>compid52916</t>
  </si>
  <si>
    <t>compid61698</t>
  </si>
  <si>
    <t>compid22036</t>
  </si>
  <si>
    <t>HMDB02264</t>
  </si>
  <si>
    <t>compid35675</t>
  </si>
  <si>
    <t>HMDB31057</t>
  </si>
  <si>
    <t>compid1432</t>
  </si>
  <si>
    <t>HMDB00669</t>
  </si>
  <si>
    <t>compid17945</t>
  </si>
  <si>
    <t>C03045</t>
  </si>
  <si>
    <t>compid32506</t>
  </si>
  <si>
    <t>HMDB11538</t>
  </si>
  <si>
    <t>compid45095</t>
  </si>
  <si>
    <t>HMDB00378</t>
  </si>
  <si>
    <t>compid52282</t>
  </si>
  <si>
    <t>compid55072</t>
  </si>
  <si>
    <t>HMDB04225</t>
  </si>
  <si>
    <t>compid47118</t>
  </si>
  <si>
    <t>compid35253</t>
  </si>
  <si>
    <t>HMDB61702</t>
  </si>
  <si>
    <t>compid31675</t>
  </si>
  <si>
    <t>HMDB02039</t>
  </si>
  <si>
    <t>compid41220</t>
  </si>
  <si>
    <t>HMDB11129</t>
  </si>
  <si>
    <t>compid46115</t>
  </si>
  <si>
    <t>compid32197</t>
  </si>
  <si>
    <t>HMDB00755</t>
  </si>
  <si>
    <t>compid1566</t>
  </si>
  <si>
    <t>10569-72-9;214139-20-5</t>
  </si>
  <si>
    <t>HMDB03911</t>
  </si>
  <si>
    <t>compid61871</t>
  </si>
  <si>
    <t>compid31787</t>
  </si>
  <si>
    <t>HMDB61112</t>
  </si>
  <si>
    <t>compid32397</t>
  </si>
  <si>
    <t>HMDB00396</t>
  </si>
  <si>
    <t>compid531</t>
  </si>
  <si>
    <t>HMDB00355</t>
  </si>
  <si>
    <t>compid62069</t>
  </si>
  <si>
    <t>3-hydroxyadipate*</t>
  </si>
  <si>
    <t>HMDB00345</t>
  </si>
  <si>
    <t>compid542</t>
  </si>
  <si>
    <t>C01089</t>
  </si>
  <si>
    <t>HMDB00357</t>
  </si>
  <si>
    <t>compid62064</t>
  </si>
  <si>
    <t>Fatty Acid Metabolism(Acyl Glycine)</t>
  </si>
  <si>
    <t>compid43264</t>
  </si>
  <si>
    <t>3-hydroxybutyrylcarnitine (1)</t>
  </si>
  <si>
    <t>Fatty Acid Metabolism(Acyl Carnitine)</t>
  </si>
  <si>
    <t>HMDB13127</t>
  </si>
  <si>
    <t>compid52984</t>
  </si>
  <si>
    <t>3-hydroxybutyrylcarnitine (2)</t>
  </si>
  <si>
    <t>compid22053</t>
  </si>
  <si>
    <t>HMDB02203</t>
  </si>
  <si>
    <t>compid53230</t>
  </si>
  <si>
    <t>compid1549</t>
  </si>
  <si>
    <t>C06001</t>
  </si>
  <si>
    <t>HMDB00336</t>
  </si>
  <si>
    <t>compid32457</t>
  </si>
  <si>
    <t>HMDB00387</t>
  </si>
  <si>
    <t>compid22001</t>
  </si>
  <si>
    <t>HMDB01954</t>
  </si>
  <si>
    <t>compid61843</t>
  </si>
  <si>
    <t>3-hydroxyoleate*</t>
  </si>
  <si>
    <t>compid31943</t>
  </si>
  <si>
    <t>3-hydroxysebacate</t>
  </si>
  <si>
    <t>73141-46-5</t>
  </si>
  <si>
    <t>HMDB00350</t>
  </si>
  <si>
    <t>compid27672</t>
  </si>
  <si>
    <t>HMDB00682</t>
  </si>
  <si>
    <t>compid44618</t>
  </si>
  <si>
    <t>3-methoxytyramine sulfate</t>
  </si>
  <si>
    <t>compid12017</t>
  </si>
  <si>
    <t>HMDB01434</t>
  </si>
  <si>
    <t>compid44526</t>
  </si>
  <si>
    <t>HMDB00019</t>
  </si>
  <si>
    <t>compid15676</t>
  </si>
  <si>
    <t>1460-34-0;51829-07-3</t>
  </si>
  <si>
    <t>C00671</t>
  </si>
  <si>
    <t>HMDB03736</t>
  </si>
  <si>
    <t>compid57747</t>
  </si>
  <si>
    <t>HMDB00522</t>
  </si>
  <si>
    <t>compid15677</t>
  </si>
  <si>
    <t>HMDB00479</t>
  </si>
  <si>
    <t>compid47089</t>
  </si>
  <si>
    <t>3-sulfo-L-alanine</t>
  </si>
  <si>
    <t>HMDB02757</t>
  </si>
  <si>
    <t>compid3155</t>
  </si>
  <si>
    <t>HMDB00026</t>
  </si>
  <si>
    <t>compid36803</t>
  </si>
  <si>
    <t>compid54805</t>
  </si>
  <si>
    <t>compid38125</t>
  </si>
  <si>
    <t>HMDB00921</t>
  </si>
  <si>
    <t>compid15681</t>
  </si>
  <si>
    <t>463-003;463-00-3</t>
  </si>
  <si>
    <t>HMDB03464</t>
  </si>
  <si>
    <t>compid1669</t>
  </si>
  <si>
    <t>HMDB00707</t>
  </si>
  <si>
    <t>compid48457</t>
  </si>
  <si>
    <t>compid22116</t>
  </si>
  <si>
    <t>HMDB00695</t>
  </si>
  <si>
    <t>compid1418</t>
  </si>
  <si>
    <t>HMDB00079</t>
  </si>
  <si>
    <t>compid1559</t>
  </si>
  <si>
    <t>HMDB00076</t>
  </si>
  <si>
    <t>compid61833</t>
  </si>
  <si>
    <t>compid43582</t>
  </si>
  <si>
    <t>5-(galactosylhydroxy)-L-lysine</t>
  </si>
  <si>
    <t>compid33968</t>
  </si>
  <si>
    <t>HMDB00529</t>
  </si>
  <si>
    <t>compid61769</t>
  </si>
  <si>
    <t>compid31938</t>
  </si>
  <si>
    <t>5-hydroxyhexanoate</t>
  </si>
  <si>
    <t>44843-89-2</t>
  </si>
  <si>
    <t>HMDB00525</t>
  </si>
  <si>
    <t>compid437</t>
  </si>
  <si>
    <t>HMDB00763</t>
  </si>
  <si>
    <t>compid1419</t>
  </si>
  <si>
    <t>HMDB01173</t>
  </si>
  <si>
    <t>compid62100</t>
  </si>
  <si>
    <t>HMDB01087</t>
  </si>
  <si>
    <t>compid35136</t>
  </si>
  <si>
    <t>HMDB00884</t>
  </si>
  <si>
    <t>compid1494</t>
  </si>
  <si>
    <t>C01879</t>
  </si>
  <si>
    <t>HMDB00267</t>
  </si>
  <si>
    <t>compid37184</t>
  </si>
  <si>
    <t>compid37186</t>
  </si>
  <si>
    <t>compid37187</t>
  </si>
  <si>
    <t>compid37190</t>
  </si>
  <si>
    <t>compid37192</t>
  </si>
  <si>
    <t>compid37198</t>
  </si>
  <si>
    <t>compid37200</t>
  </si>
  <si>
    <t>compid37196</t>
  </si>
  <si>
    <t>compid62503</t>
  </si>
  <si>
    <t>compid43231</t>
  </si>
  <si>
    <t>HMDB61705</t>
  </si>
  <si>
    <t>compid36776</t>
  </si>
  <si>
    <t>7-alpha-hydroxy-3-oxo-4-cholestenoate (7-Hoca)</t>
  </si>
  <si>
    <t>HMDB12458</t>
  </si>
  <si>
    <t>compid35114</t>
  </si>
  <si>
    <t>HMDB00897</t>
  </si>
  <si>
    <t>compid47120</t>
  </si>
  <si>
    <t>HMDB61661</t>
  </si>
  <si>
    <t>compid32198</t>
  </si>
  <si>
    <t>HMDB00201</t>
  </si>
  <si>
    <t>compid43258</t>
  </si>
  <si>
    <t>106692-36-8</t>
  </si>
  <si>
    <t>compid46173</t>
  </si>
  <si>
    <t>compid554</t>
  </si>
  <si>
    <t>HMDB00034</t>
  </si>
  <si>
    <t>compid52988</t>
  </si>
  <si>
    <t>HMDB61677</t>
  </si>
  <si>
    <t>compid32980</t>
  </si>
  <si>
    <t>Polyunsaturated Fatty Acid (n3 and n6)</t>
  </si>
  <si>
    <t>HMDB02226</t>
  </si>
  <si>
    <t>compid57528</t>
  </si>
  <si>
    <t>adrenoylcarnitine (C22:4)*</t>
  </si>
  <si>
    <t>compid1126</t>
  </si>
  <si>
    <t>HMDB00161</t>
  </si>
  <si>
    <t>compid1107</t>
  </si>
  <si>
    <t>C02350</t>
  </si>
  <si>
    <t>HMDB00462</t>
  </si>
  <si>
    <t>compid37073</t>
  </si>
  <si>
    <t>alpha-hydroxycaproate</t>
  </si>
  <si>
    <t>6064-63-7</t>
  </si>
  <si>
    <t>HMDB01624</t>
  </si>
  <si>
    <t>compid22132</t>
  </si>
  <si>
    <t>HMDB00746</t>
  </si>
  <si>
    <t>compid46537</t>
  </si>
  <si>
    <t>HMDB00407</t>
  </si>
  <si>
    <t>compid62101</t>
  </si>
  <si>
    <t>compid528</t>
  </si>
  <si>
    <t>305-72-6;328-50-7;22202-68-2</t>
  </si>
  <si>
    <t>HMDB00208</t>
  </si>
  <si>
    <t>compid1561</t>
  </si>
  <si>
    <t>59-02-9;10191-41-0</t>
  </si>
  <si>
    <t>HMDB01893</t>
  </si>
  <si>
    <t>compid32827</t>
  </si>
  <si>
    <t>HMDB02759</t>
  </si>
  <si>
    <t>compid37207</t>
  </si>
  <si>
    <t>compid37209</t>
  </si>
  <si>
    <t>compid37202</t>
  </si>
  <si>
    <t>HMDB03818</t>
  </si>
  <si>
    <t>compid37203</t>
  </si>
  <si>
    <t>compid37211</t>
  </si>
  <si>
    <t>compid37210</t>
  </si>
  <si>
    <t>compid61846</t>
  </si>
  <si>
    <t>HMDB02829</t>
  </si>
  <si>
    <t>compid31591</t>
  </si>
  <si>
    <t>compid48885</t>
  </si>
  <si>
    <t>C01904</t>
  </si>
  <si>
    <t>compid48255</t>
  </si>
  <si>
    <t>compid1118</t>
  </si>
  <si>
    <t>HMDB02212</t>
  </si>
  <si>
    <t>compid1110</t>
  </si>
  <si>
    <t>HMDB01043</t>
  </si>
  <si>
    <t>compid32463</t>
  </si>
  <si>
    <t>arachidonoyl ethanolamide</t>
  </si>
  <si>
    <t>94421-68-8</t>
  </si>
  <si>
    <t>C11695</t>
  </si>
  <si>
    <t>HMDB04080</t>
  </si>
  <si>
    <t>compid57518</t>
  </si>
  <si>
    <t>compid53261</t>
  </si>
  <si>
    <t>compid57461</t>
  </si>
  <si>
    <t>HMDB03148</t>
  </si>
  <si>
    <t>compid1638</t>
  </si>
  <si>
    <t>HMDB00517</t>
  </si>
  <si>
    <t>compid512</t>
  </si>
  <si>
    <t>HMDB00168</t>
  </si>
  <si>
    <t>compid443</t>
  </si>
  <si>
    <t>HMDB00191</t>
  </si>
  <si>
    <t>compid57331</t>
  </si>
  <si>
    <t>HMDB12091</t>
  </si>
  <si>
    <t>compid48492</t>
  </si>
  <si>
    <t>HMDB12103</t>
  </si>
  <si>
    <t>compid57514</t>
  </si>
  <si>
    <t>compid55</t>
  </si>
  <si>
    <t>56-41-7;107-95-9</t>
  </si>
  <si>
    <t>HMDB00056</t>
  </si>
  <si>
    <t>compid54923</t>
  </si>
  <si>
    <t>compid57591</t>
  </si>
  <si>
    <t>HMDB33844</t>
  </si>
  <si>
    <t>compid12129</t>
  </si>
  <si>
    <t>HMDB00754</t>
  </si>
  <si>
    <t>compid3141</t>
  </si>
  <si>
    <t>HMDB00043</t>
  </si>
  <si>
    <t>compid32586</t>
  </si>
  <si>
    <t>114-25-0</t>
  </si>
  <si>
    <t>compid47886</t>
  </si>
  <si>
    <t>HMDB00488</t>
  </si>
  <si>
    <t>compid43807</t>
  </si>
  <si>
    <t>HMDB00054</t>
  </si>
  <si>
    <t>compid2137</t>
  </si>
  <si>
    <t>55482-27-4;55482-27-4</t>
  </si>
  <si>
    <t>HMDB01008</t>
  </si>
  <si>
    <t>compid32412</t>
  </si>
  <si>
    <t>HMDB02013</t>
  </si>
  <si>
    <t>compid31850</t>
  </si>
  <si>
    <t>HMDB00808</t>
  </si>
  <si>
    <t>compid48782</t>
  </si>
  <si>
    <t>compid33997</t>
  </si>
  <si>
    <t>campesterol</t>
  </si>
  <si>
    <t>474-62-4</t>
  </si>
  <si>
    <t>C01789</t>
  </si>
  <si>
    <t>HMDB02869</t>
  </si>
  <si>
    <t>compid1642</t>
  </si>
  <si>
    <t>HMDB00511</t>
  </si>
  <si>
    <t>compid32489</t>
  </si>
  <si>
    <t>HMDB00535</t>
  </si>
  <si>
    <t>compid32492</t>
  </si>
  <si>
    <t>HMDB00482</t>
  </si>
  <si>
    <t>compid15500</t>
  </si>
  <si>
    <t>C00318</t>
  </si>
  <si>
    <t>HMDB00062</t>
  </si>
  <si>
    <t>compid57635</t>
  </si>
  <si>
    <t>compid57636</t>
  </si>
  <si>
    <t>compid57432</t>
  </si>
  <si>
    <t>compid57434</t>
  </si>
  <si>
    <t>ceramide (d18:1/17:0, d17:1/18:0)*</t>
  </si>
  <si>
    <t>compid57443</t>
  </si>
  <si>
    <t>ceramide (d18:2/24:1, d18:1/24:2)*</t>
  </si>
  <si>
    <t>compid57516</t>
  </si>
  <si>
    <t>HMDB06347</t>
  </si>
  <si>
    <t>compid22842</t>
  </si>
  <si>
    <t>HMDB00619</t>
  </si>
  <si>
    <t>compid63</t>
  </si>
  <si>
    <t>HMDB00067</t>
  </si>
  <si>
    <t>compid15506</t>
  </si>
  <si>
    <t>HMDB00097</t>
  </si>
  <si>
    <t>compid34396</t>
  </si>
  <si>
    <t>HMDB01565</t>
  </si>
  <si>
    <t>compid38178</t>
  </si>
  <si>
    <t>compid1564</t>
  </si>
  <si>
    <t>HMDB00094</t>
  </si>
  <si>
    <t>compid2132</t>
  </si>
  <si>
    <t>HMDB00904</t>
  </si>
  <si>
    <t>compid1712</t>
  </si>
  <si>
    <t>HMDB00063</t>
  </si>
  <si>
    <t>compid1769</t>
  </si>
  <si>
    <t>HMDB02802</t>
  </si>
  <si>
    <t>compid27718</t>
  </si>
  <si>
    <t>HMDB00064</t>
  </si>
  <si>
    <t>compid513</t>
  </si>
  <si>
    <t>HMDB00562</t>
  </si>
  <si>
    <t>compid18368</t>
  </si>
  <si>
    <t>compid15705</t>
  </si>
  <si>
    <t>HMDB00099</t>
  </si>
  <si>
    <t>compid1868</t>
  </si>
  <si>
    <t>52-90-4;56-89-3</t>
  </si>
  <si>
    <t>HMDB00574</t>
  </si>
  <si>
    <t>compid22176</t>
  </si>
  <si>
    <t>HMDB00731</t>
  </si>
  <si>
    <t>compid35637</t>
  </si>
  <si>
    <t>HMDB00078</t>
  </si>
  <si>
    <t>compid62103</t>
  </si>
  <si>
    <t>HMDB00709</t>
  </si>
  <si>
    <t>compid56</t>
  </si>
  <si>
    <t>HMDB00192</t>
  </si>
  <si>
    <t>compid514</t>
  </si>
  <si>
    <t>HMDB00089</t>
  </si>
  <si>
    <t>compid33941</t>
  </si>
  <si>
    <t>HMDB00651</t>
  </si>
  <si>
    <t>compid32425</t>
  </si>
  <si>
    <t>dehydroisoandrosterone sulfate (DHEA-S)</t>
  </si>
  <si>
    <t>HMDB01032</t>
  </si>
  <si>
    <t>compid36747</t>
  </si>
  <si>
    <t>HMDB01161</t>
  </si>
  <si>
    <t>compid1114</t>
  </si>
  <si>
    <t>HMDB00626</t>
  </si>
  <si>
    <t>compid55001</t>
  </si>
  <si>
    <t>diacylglycerol (12:0/18:1, 14:0/16:1, 16:0/14:1) [2]*</t>
  </si>
  <si>
    <t>compid54953</t>
  </si>
  <si>
    <t>diacylglycerol (14:0/18:1, 16:0/16:1) [1]*</t>
  </si>
  <si>
    <t>compid54954</t>
  </si>
  <si>
    <t>diacylglycerol (14:0/18:1, 16:0/16:1) [2]*</t>
  </si>
  <si>
    <t>compid54966</t>
  </si>
  <si>
    <t>diacylglycerol (16:1/18:2 [2], 16:0/18:3 [1])*</t>
  </si>
  <si>
    <t>compid17805</t>
  </si>
  <si>
    <t>HMDB05060</t>
  </si>
  <si>
    <t>compid35718</t>
  </si>
  <si>
    <t>HMDB02925</t>
  </si>
  <si>
    <t>compid53262</t>
  </si>
  <si>
    <t>compid57521</t>
  </si>
  <si>
    <t>compid57520</t>
  </si>
  <si>
    <t>compid601</t>
  </si>
  <si>
    <t>compid36808</t>
  </si>
  <si>
    <t>HMDB01539</t>
  </si>
  <si>
    <t>compid5086</t>
  </si>
  <si>
    <t>C01026</t>
  </si>
  <si>
    <t>HMDB00092</t>
  </si>
  <si>
    <t>compid32415</t>
  </si>
  <si>
    <t>HMDB61714</t>
  </si>
  <si>
    <t>compid39837</t>
  </si>
  <si>
    <t>C19625</t>
  </si>
  <si>
    <t>compid44675</t>
  </si>
  <si>
    <t>HMDB02183</t>
  </si>
  <si>
    <t>compid53263</t>
  </si>
  <si>
    <t>compid32504</t>
  </si>
  <si>
    <t>HMDB06528</t>
  </si>
  <si>
    <t>compid57529</t>
  </si>
  <si>
    <t>compid62276</t>
  </si>
  <si>
    <t>compid32388</t>
  </si>
  <si>
    <t>HMDB00623</t>
  </si>
  <si>
    <t>compid48407</t>
  </si>
  <si>
    <t>HMDB06275</t>
  </si>
  <si>
    <t>compid39831</t>
  </si>
  <si>
    <t>eicosanodioate (C20-DC)</t>
  </si>
  <si>
    <t>compid18467</t>
  </si>
  <si>
    <t>10-2005-9;10417-94-4</t>
  </si>
  <si>
    <t>HMDB01999</t>
  </si>
  <si>
    <t>compid33587</t>
  </si>
  <si>
    <t>HMDB02231</t>
  </si>
  <si>
    <t>compid57519</t>
  </si>
  <si>
    <t>eicosenoylcarnitine (C20:1)*</t>
  </si>
  <si>
    <t>compid33973</t>
  </si>
  <si>
    <t>compid1552</t>
  </si>
  <si>
    <t>HMDB02068</t>
  </si>
  <si>
    <t>compid42420</t>
  </si>
  <si>
    <t>HMDB00613</t>
  </si>
  <si>
    <t>compid15765</t>
  </si>
  <si>
    <t>HMDB00622</t>
  </si>
  <si>
    <t>compid47112</t>
  </si>
  <si>
    <t>HMDB04484</t>
  </si>
  <si>
    <t>compid62148</t>
  </si>
  <si>
    <t>Fibrinopeptide A (5-16)*</t>
  </si>
  <si>
    <t>compid62149</t>
  </si>
  <si>
    <t>Fibrinopeptide A (7-16)*</t>
  </si>
  <si>
    <t>compid31548</t>
  </si>
  <si>
    <t>Fibrinopeptide A, des-ala(1)*</t>
  </si>
  <si>
    <t>compid48195</t>
  </si>
  <si>
    <t>HMDB00660</t>
  </si>
  <si>
    <t>compid1643</t>
  </si>
  <si>
    <t>HMDB00134</t>
  </si>
  <si>
    <t>compid44876</t>
  </si>
  <si>
    <t>HMDB01931</t>
  </si>
  <si>
    <t>compid55015</t>
  </si>
  <si>
    <t>compid33934</t>
  </si>
  <si>
    <t>gamma-glutamyl-epsilon-lysine</t>
  </si>
  <si>
    <t>17105-15-6</t>
  </si>
  <si>
    <t>HMDB03869</t>
  </si>
  <si>
    <t>compid37063</t>
  </si>
  <si>
    <t>HMDB29142</t>
  </si>
  <si>
    <t>compid2730</t>
  </si>
  <si>
    <t>HMDB11738</t>
  </si>
  <si>
    <t>compid33949</t>
  </si>
  <si>
    <t>HMDB11667</t>
  </si>
  <si>
    <t>compid18245</t>
  </si>
  <si>
    <t>compid34456</t>
  </si>
  <si>
    <t>HMDB11170</t>
  </si>
  <si>
    <t>compid18369</t>
  </si>
  <si>
    <t>HMDB11171</t>
  </si>
  <si>
    <t>compid44872</t>
  </si>
  <si>
    <t>HMDB29155</t>
  </si>
  <si>
    <t>compid33422</t>
  </si>
  <si>
    <t>HMDB00594</t>
  </si>
  <si>
    <t>compid33364</t>
  </si>
  <si>
    <t>HMDB29159</t>
  </si>
  <si>
    <t>compid2734</t>
  </si>
  <si>
    <t>HMDB11741</t>
  </si>
  <si>
    <t>compid43829</t>
  </si>
  <si>
    <t>HMDB11172</t>
  </si>
  <si>
    <t>compid52473</t>
  </si>
  <si>
    <t>compid18280</t>
  </si>
  <si>
    <t>HMDB00152</t>
  </si>
  <si>
    <t>compid20488</t>
  </si>
  <si>
    <t>HMDB00122</t>
  </si>
  <si>
    <t>compid15443</t>
  </si>
  <si>
    <t>C00191</t>
  </si>
  <si>
    <t>HMDB00127</t>
  </si>
  <si>
    <t>compid61887</t>
  </si>
  <si>
    <t>compid57</t>
  </si>
  <si>
    <t>C00025</t>
  </si>
  <si>
    <t>HMDB00148</t>
  </si>
  <si>
    <t>compid33487</t>
  </si>
  <si>
    <t>glutamate, gamma-methyl ester</t>
  </si>
  <si>
    <t>1499-55-4;1499-55-4</t>
  </si>
  <si>
    <t>HMDB61715</t>
  </si>
  <si>
    <t>compid53</t>
  </si>
  <si>
    <t>HMDB00641</t>
  </si>
  <si>
    <t>compid396</t>
  </si>
  <si>
    <t>HMDB00661</t>
  </si>
  <si>
    <t>compid44664</t>
  </si>
  <si>
    <t>HMDB13130</t>
  </si>
  <si>
    <t>compid1572</t>
  </si>
  <si>
    <t>HMDB00139</t>
  </si>
  <si>
    <t>compid15122</t>
  </si>
  <si>
    <t>HMDB00131</t>
  </si>
  <si>
    <t>compid43847</t>
  </si>
  <si>
    <t>C00093</t>
  </si>
  <si>
    <t>HMDB00126</t>
  </si>
  <si>
    <t>compid37455</t>
  </si>
  <si>
    <t>HMDB00114</t>
  </si>
  <si>
    <t>compid15990</t>
  </si>
  <si>
    <t>HMDB00086</t>
  </si>
  <si>
    <t>compid58</t>
  </si>
  <si>
    <t>HMDB00123</t>
  </si>
  <si>
    <t>compid62146</t>
  </si>
  <si>
    <t>compid32346</t>
  </si>
  <si>
    <t>HMDB00637</t>
  </si>
  <si>
    <t>compid52983</t>
  </si>
  <si>
    <t>compid52974</t>
  </si>
  <si>
    <t>glycochenodeoxycholate sulfate</t>
  </si>
  <si>
    <t>compid18476</t>
  </si>
  <si>
    <t>475-31-0;863-57-0</t>
  </si>
  <si>
    <t>HMDB00138</t>
  </si>
  <si>
    <t>compid32599</t>
  </si>
  <si>
    <t>compid18477</t>
  </si>
  <si>
    <t>compid52975</t>
  </si>
  <si>
    <t>glycodeoxycholate sulfate</t>
  </si>
  <si>
    <t>compid31912</t>
  </si>
  <si>
    <t>HMDB00698</t>
  </si>
  <si>
    <t>compid32620</t>
  </si>
  <si>
    <t>HMDB02639</t>
  </si>
  <si>
    <t>compid57595</t>
  </si>
  <si>
    <t>compid57448</t>
  </si>
  <si>
    <t>compid57453</t>
  </si>
  <si>
    <t>compid57444</t>
  </si>
  <si>
    <t>compid57421</t>
  </si>
  <si>
    <t>compid53013</t>
  </si>
  <si>
    <t>compid52234</t>
  </si>
  <si>
    <t>compid57445</t>
  </si>
  <si>
    <t>glycosyl-N-tricosanoyl-sphingadienine (d18:2/23:0)*</t>
  </si>
  <si>
    <t>compid39379</t>
  </si>
  <si>
    <t>HMDB00708</t>
  </si>
  <si>
    <t>compid18357</t>
  </si>
  <si>
    <t>HMDB28854</t>
  </si>
  <si>
    <t>compid43802</t>
  </si>
  <si>
    <t>HMDB00128</t>
  </si>
  <si>
    <t>compid32446</t>
  </si>
  <si>
    <t>HMDB03157</t>
  </si>
  <si>
    <t>compid1573</t>
  </si>
  <si>
    <t>HMDB00133</t>
  </si>
  <si>
    <t>compid46957</t>
  </si>
  <si>
    <t>HMDB03290</t>
  </si>
  <si>
    <t>compid61866</t>
  </si>
  <si>
    <t>compid57652</t>
  </si>
  <si>
    <t>HMDB00477</t>
  </si>
  <si>
    <t>compid35678</t>
  </si>
  <si>
    <t>HMDB00672</t>
  </si>
  <si>
    <t>compid61862</t>
  </si>
  <si>
    <t>compid32328</t>
  </si>
  <si>
    <t>HMDB00705</t>
  </si>
  <si>
    <t>compid54907</t>
  </si>
  <si>
    <t>compid59</t>
  </si>
  <si>
    <t>HMDB00177</t>
  </si>
  <si>
    <t>compid22137</t>
  </si>
  <si>
    <t>HMDB00670</t>
  </si>
  <si>
    <t>compid22138</t>
  </si>
  <si>
    <t>HMDB00679</t>
  </si>
  <si>
    <t>compid40473</t>
  </si>
  <si>
    <t>hydantoin-5-propionic acid</t>
  </si>
  <si>
    <t>HMDB01212</t>
  </si>
  <si>
    <t>compid62277</t>
  </si>
  <si>
    <t>compid62060</t>
  </si>
  <si>
    <t>C03124</t>
  </si>
  <si>
    <t>compid590</t>
  </si>
  <si>
    <t>HMDB00965</t>
  </si>
  <si>
    <t>compid3127</t>
  </si>
  <si>
    <t>HMDB00157</t>
  </si>
  <si>
    <t>compid15716</t>
  </si>
  <si>
    <t>HMDB02320</t>
  </si>
  <si>
    <t>compid38116</t>
  </si>
  <si>
    <t>HMDB03320</t>
  </si>
  <si>
    <t>compid27513</t>
  </si>
  <si>
    <t>6505-45-9</t>
  </si>
  <si>
    <t>HMDB00197</t>
  </si>
  <si>
    <t>compid42087</t>
  </si>
  <si>
    <t>HMDB13240</t>
  </si>
  <si>
    <t>compid18349</t>
  </si>
  <si>
    <t>HMDB00671</t>
  </si>
  <si>
    <t>compid32405</t>
  </si>
  <si>
    <t>HMDB02302</t>
  </si>
  <si>
    <t>compid1123</t>
  </si>
  <si>
    <t>HMDB00195</t>
  </si>
  <si>
    <t>compid33441</t>
  </si>
  <si>
    <t>HMDB00736</t>
  </si>
  <si>
    <t>compid35437</t>
  </si>
  <si>
    <t>HMDB00730</t>
  </si>
  <si>
    <t>compid1125</t>
  </si>
  <si>
    <t>C00407</t>
  </si>
  <si>
    <t>HMDB00172</t>
  </si>
  <si>
    <t>compid40008</t>
  </si>
  <si>
    <t>HMDB28907</t>
  </si>
  <si>
    <t>compid57577</t>
  </si>
  <si>
    <t>HMDB00686</t>
  </si>
  <si>
    <t>compid44656</t>
  </si>
  <si>
    <t>HMDB00718</t>
  </si>
  <si>
    <t>compid34407</t>
  </si>
  <si>
    <t>HMDB00688</t>
  </si>
  <si>
    <t>compid1417</t>
  </si>
  <si>
    <t>HMDB00715</t>
  </si>
  <si>
    <t>compid15140</t>
  </si>
  <si>
    <t>HMDB00684</t>
  </si>
  <si>
    <t>compid527</t>
  </si>
  <si>
    <t>HMDB00190</t>
  </si>
  <si>
    <t>compid57422</t>
  </si>
  <si>
    <t>compid57370</t>
  </si>
  <si>
    <t>compid53010</t>
  </si>
  <si>
    <t>compid42002</t>
  </si>
  <si>
    <t>compid1645</t>
  </si>
  <si>
    <t>HMDB00638</t>
  </si>
  <si>
    <t>compid34534</t>
  </si>
  <si>
    <t>HMDB02250</t>
  </si>
  <si>
    <t>compid60</t>
  </si>
  <si>
    <t>compid40045</t>
  </si>
  <si>
    <t>leucylglycine</t>
  </si>
  <si>
    <t>686-50-0</t>
  </si>
  <si>
    <t>HMDB28929</t>
  </si>
  <si>
    <t>compid57330</t>
  </si>
  <si>
    <t>compid57515</t>
  </si>
  <si>
    <t>compid1105</t>
  </si>
  <si>
    <t>HMDB00673</t>
  </si>
  <si>
    <t>compid34035</t>
  </si>
  <si>
    <t>C06426</t>
  </si>
  <si>
    <t>HMDB03073</t>
  </si>
  <si>
    <t>compid57511</t>
  </si>
  <si>
    <t>compid52608</t>
  </si>
  <si>
    <t>HMDB12252</t>
  </si>
  <si>
    <t>compid54955</t>
  </si>
  <si>
    <t>linoleoyl-arachidonoyl-glycerol (18:2/20:4) [1]*</t>
  </si>
  <si>
    <t>HMDB07257</t>
  </si>
  <si>
    <t>compid54956</t>
  </si>
  <si>
    <t>linoleoyl-arachidonoyl-glycerol (18:2/20:4) [2]*</t>
  </si>
  <si>
    <t>compid54950</t>
  </si>
  <si>
    <t>linoleoyl-docosahexaenoyl-glycerol (18:2/22:6) [2]*</t>
  </si>
  <si>
    <t>HMDB07266</t>
  </si>
  <si>
    <t>compid54964</t>
  </si>
  <si>
    <t>linoleoyl-linolenoyl-glycerol (18:2/18:3) [2]*</t>
  </si>
  <si>
    <t>HMDB07250</t>
  </si>
  <si>
    <t>compid54968</t>
  </si>
  <si>
    <t>linoleoyl-linoleoyl-glycerol (18:2/18:2) [1]*</t>
  </si>
  <si>
    <t>HMDB07248</t>
  </si>
  <si>
    <t>compid46223</t>
  </si>
  <si>
    <t>HMDB06469</t>
  </si>
  <si>
    <t>compid57463</t>
  </si>
  <si>
    <t>compid62526</t>
  </si>
  <si>
    <t>compid1301</t>
  </si>
  <si>
    <t>C00047</t>
  </si>
  <si>
    <t>HMDB00182</t>
  </si>
  <si>
    <t>compid1303</t>
  </si>
  <si>
    <t>C00149</t>
  </si>
  <si>
    <t>HMDB00156</t>
  </si>
  <si>
    <t>compid20676</t>
  </si>
  <si>
    <t>HMDB00176</t>
  </si>
  <si>
    <t>compid15872</t>
  </si>
  <si>
    <t>141-82-2;26522-22-85-0</t>
  </si>
  <si>
    <t>HMDB00691</t>
  </si>
  <si>
    <t>compid44688</t>
  </si>
  <si>
    <t>maltotriose</t>
  </si>
  <si>
    <t>1109-28-0</t>
  </si>
  <si>
    <t>C01835</t>
  </si>
  <si>
    <t>HMDB01262</t>
  </si>
  <si>
    <t>compid46142</t>
  </si>
  <si>
    <t>C00794</t>
  </si>
  <si>
    <t>HMDB00247</t>
  </si>
  <si>
    <t>compid48153</t>
  </si>
  <si>
    <t>C00159</t>
  </si>
  <si>
    <t>HMDB00169</t>
  </si>
  <si>
    <t>compid1121</t>
  </si>
  <si>
    <t>HMDB02259</t>
  </si>
  <si>
    <t>compid57512</t>
  </si>
  <si>
    <t>HMDB06210</t>
  </si>
  <si>
    <t>compid1302</t>
  </si>
  <si>
    <t>HMDB00696</t>
  </si>
  <si>
    <t>compid44878</t>
  </si>
  <si>
    <t>compid18374</t>
  </si>
  <si>
    <t>HMDB02005</t>
  </si>
  <si>
    <t>compid1496</t>
  </si>
  <si>
    <t>methylmalonate (MMA)</t>
  </si>
  <si>
    <t>516-05-2</t>
  </si>
  <si>
    <t>C02170</t>
  </si>
  <si>
    <t>HMDB00202</t>
  </si>
  <si>
    <t>compid15745</t>
  </si>
  <si>
    <t>HMDB01844</t>
  </si>
  <si>
    <t>compid1124</t>
  </si>
  <si>
    <t>HMDB00211</t>
  </si>
  <si>
    <t>compid1365</t>
  </si>
  <si>
    <t>HMDB00806</t>
  </si>
  <si>
    <t>compid32418</t>
  </si>
  <si>
    <t>HMDB02000</t>
  </si>
  <si>
    <t>compid48182</t>
  </si>
  <si>
    <t>compid57365</t>
  </si>
  <si>
    <t>HMDB12085</t>
  </si>
  <si>
    <t>compid57407</t>
  </si>
  <si>
    <t>myristoyl-linoleoyl-glycerol (14:0/18:2) [1]*</t>
  </si>
  <si>
    <t>compid57408</t>
  </si>
  <si>
    <t>myristoyl-linoleoyl-glycerol (14:0/18:2) [2]*</t>
  </si>
  <si>
    <t>compid33952</t>
  </si>
  <si>
    <t>HMDB05066</t>
  </si>
  <si>
    <t>compid57687</t>
  </si>
  <si>
    <t>compid62059</t>
  </si>
  <si>
    <t>HMDB59745</t>
  </si>
  <si>
    <t>compid37432</t>
  </si>
  <si>
    <t>compid62309</t>
  </si>
  <si>
    <t>N-acetyl-isoputreanine*</t>
  </si>
  <si>
    <t>compid1585</t>
  </si>
  <si>
    <t>HMDB00766</t>
  </si>
  <si>
    <t>compid33942</t>
  </si>
  <si>
    <t>HMDB06028</t>
  </si>
  <si>
    <t>compid22185</t>
  </si>
  <si>
    <t>997-55-7;997-55-7</t>
  </si>
  <si>
    <t>HMDB00812</t>
  </si>
  <si>
    <t>compid43488</t>
  </si>
  <si>
    <t>HMDB12881</t>
  </si>
  <si>
    <t>compid48434</t>
  </si>
  <si>
    <t>C15532</t>
  </si>
  <si>
    <t>HMDB00856</t>
  </si>
  <si>
    <t>compid46539</t>
  </si>
  <si>
    <t>HMDB00215</t>
  </si>
  <si>
    <t>compid15720</t>
  </si>
  <si>
    <t>HMDB01138</t>
  </si>
  <si>
    <t>compid33943</t>
  </si>
  <si>
    <t>HMDB06029</t>
  </si>
  <si>
    <t>compid27710</t>
  </si>
  <si>
    <t>HMDB00532</t>
  </si>
  <si>
    <t>compid33946</t>
  </si>
  <si>
    <t>HMDB32055</t>
  </si>
  <si>
    <t>compid33967</t>
  </si>
  <si>
    <t>HMDB61684</t>
  </si>
  <si>
    <t>compid1587</t>
  </si>
  <si>
    <t>HMDB11756</t>
  </si>
  <si>
    <t>compid1589</t>
  </si>
  <si>
    <t>HMDB11745</t>
  </si>
  <si>
    <t>compid33950</t>
  </si>
  <si>
    <t>HMDB00512</t>
  </si>
  <si>
    <t>compid37496</t>
  </si>
  <si>
    <t>HMDB02064</t>
  </si>
  <si>
    <t>compid37076</t>
  </si>
  <si>
    <t>HMDB02931</t>
  </si>
  <si>
    <t>compid48187</t>
  </si>
  <si>
    <t>compid33939</t>
  </si>
  <si>
    <t>compid33959</t>
  </si>
  <si>
    <t>HMDB13713</t>
  </si>
  <si>
    <t>compid32390</t>
  </si>
  <si>
    <t>HMDB00866</t>
  </si>
  <si>
    <t>compid1591</t>
  </si>
  <si>
    <t>HMDB11757</t>
  </si>
  <si>
    <t>compid43249</t>
  </si>
  <si>
    <t>compid43549</t>
  </si>
  <si>
    <t>HMDB04089</t>
  </si>
  <si>
    <t>compid2829</t>
  </si>
  <si>
    <t>HMDB01015</t>
  </si>
  <si>
    <t>compid37431</t>
  </si>
  <si>
    <t>compid57435</t>
  </si>
  <si>
    <t>N-nervonoyl-hexadecasphingosine (d16:1/24:1)*</t>
  </si>
  <si>
    <t>compid57664</t>
  </si>
  <si>
    <t>compid39732</t>
  </si>
  <si>
    <t>compid57430</t>
  </si>
  <si>
    <t>N-palmitoyl-heptadecasphingosine (d17:1/16:0)*</t>
  </si>
  <si>
    <t>compid57416</t>
  </si>
  <si>
    <t>compid52604</t>
  </si>
  <si>
    <t>compid44877</t>
  </si>
  <si>
    <t>HMDB04949</t>
  </si>
  <si>
    <t>compid42092</t>
  </si>
  <si>
    <t>HMDB13034</t>
  </si>
  <si>
    <t>compid57417</t>
  </si>
  <si>
    <t>compid54979</t>
  </si>
  <si>
    <t>HMDB04950</t>
  </si>
  <si>
    <t>compid61822</t>
  </si>
  <si>
    <t>compid39730</t>
  </si>
  <si>
    <t>compid40469</t>
  </si>
  <si>
    <t>N1-Methyl-2-pyridone-5-carboxamide</t>
  </si>
  <si>
    <t>HMDB04193</t>
  </si>
  <si>
    <t>compid15650</t>
  </si>
  <si>
    <t>HMDB03331</t>
  </si>
  <si>
    <t>compid48351</t>
  </si>
  <si>
    <t>HMDB02721</t>
  </si>
  <si>
    <t>compid35137</t>
  </si>
  <si>
    <t>HMDB04824</t>
  </si>
  <si>
    <t>compid43591</t>
  </si>
  <si>
    <t>compid35130</t>
  </si>
  <si>
    <t>HMDB05923</t>
  </si>
  <si>
    <t>compid1498</t>
  </si>
  <si>
    <t>HMDB01325</t>
  </si>
  <si>
    <t>compid36752</t>
  </si>
  <si>
    <t>HMDB00206</t>
  </si>
  <si>
    <t>compid35157</t>
  </si>
  <si>
    <t>HMDB41623</t>
  </si>
  <si>
    <t>compid48130</t>
  </si>
  <si>
    <t>HMDB00912</t>
  </si>
  <si>
    <t>compid52674</t>
  </si>
  <si>
    <t>nervonate (24:1n9)*</t>
  </si>
  <si>
    <t>506-37-6</t>
  </si>
  <si>
    <t>C08323</t>
  </si>
  <si>
    <t>HMDB02368</t>
  </si>
  <si>
    <t>compid57531</t>
  </si>
  <si>
    <t>compid594</t>
  </si>
  <si>
    <t>HMDB01406</t>
  </si>
  <si>
    <t>compid57810</t>
  </si>
  <si>
    <t>HMDB02007</t>
  </si>
  <si>
    <t>compid1356</t>
  </si>
  <si>
    <t>HMDB00772</t>
  </si>
  <si>
    <t>compid61860</t>
  </si>
  <si>
    <t>compid36754</t>
  </si>
  <si>
    <t>HMDB00782</t>
  </si>
  <si>
    <t>compid61867</t>
  </si>
  <si>
    <t>compid61861</t>
  </si>
  <si>
    <t>octadecenedioate (C18:1-DC)*</t>
  </si>
  <si>
    <t>compid61865</t>
  </si>
  <si>
    <t>compid33936</t>
  </si>
  <si>
    <t>HMDB00791</t>
  </si>
  <si>
    <t>compid52285</t>
  </si>
  <si>
    <t>compid54960</t>
  </si>
  <si>
    <t>oleoyl-arachidonoyl-glycerol (18:1/20:4) [1]*</t>
  </si>
  <si>
    <t>HMDB07228</t>
  </si>
  <si>
    <t>compid54961</t>
  </si>
  <si>
    <t>oleoyl-arachidonoyl-glycerol (18:1/20:4) [2]*</t>
  </si>
  <si>
    <t>compid54970</t>
  </si>
  <si>
    <t>oleoyl-linolenoyl-glycerol (18:1/18:3) [2]*</t>
  </si>
  <si>
    <t>HMDB07220</t>
  </si>
  <si>
    <t>compid46798</t>
  </si>
  <si>
    <t>HMDB07219</t>
  </si>
  <si>
    <t>compid46799</t>
  </si>
  <si>
    <t>compid54945</t>
  </si>
  <si>
    <t>oleoyl-oleoyl-glycerol (18:1/18:1)  [1]*</t>
  </si>
  <si>
    <t>HMDB07218</t>
  </si>
  <si>
    <t>compid54946</t>
  </si>
  <si>
    <t>compid35160</t>
  </si>
  <si>
    <t>HMDB05065</t>
  </si>
  <si>
    <t>compid53260</t>
  </si>
  <si>
    <t>compid1493</t>
  </si>
  <si>
    <t>HMDB03374</t>
  </si>
  <si>
    <t>compid1505</t>
  </si>
  <si>
    <t>HMDB00226</t>
  </si>
  <si>
    <t>compid35172</t>
  </si>
  <si>
    <t>HMDB00788</t>
  </si>
  <si>
    <t>compid20694</t>
  </si>
  <si>
    <t>HMDB02329</t>
  </si>
  <si>
    <t>compid48841</t>
  </si>
  <si>
    <t>HMDB11686</t>
  </si>
  <si>
    <t>compid1336</t>
  </si>
  <si>
    <t>HMDB00220</t>
  </si>
  <si>
    <t>compid33447</t>
  </si>
  <si>
    <t>HMDB03229</t>
  </si>
  <si>
    <t>compid57406</t>
  </si>
  <si>
    <t>palmitoleoyl-arachidonoyl-glycerol (16:1/20:4) [2]*</t>
  </si>
  <si>
    <t>compid54967</t>
  </si>
  <si>
    <t>palmitoleoyl-linoleoyl-glycerol (16:1/18:2) [1]*</t>
  </si>
  <si>
    <t>HMDB07132</t>
  </si>
  <si>
    <t>compid52631</t>
  </si>
  <si>
    <t>palmitoleoyl-oleoyl-glycerol (16:1/18:1) [2]*</t>
  </si>
  <si>
    <t>compid53223</t>
  </si>
  <si>
    <t>compid52434</t>
  </si>
  <si>
    <t>compid37506</t>
  </si>
  <si>
    <t>compid54957</t>
  </si>
  <si>
    <t>palmitoyl-arachidonoyl-glycerol (16:0/20:4) [1]*</t>
  </si>
  <si>
    <t>HMDB07112</t>
  </si>
  <si>
    <t>compid54958</t>
  </si>
  <si>
    <t>palmitoyl-arachidonoyl-glycerol (16:0/20:4) [2]*</t>
  </si>
  <si>
    <t>compid57373</t>
  </si>
  <si>
    <t>palmitoyl-docosahexaenoyl-glycerol (16:0/22:6) [1]*</t>
  </si>
  <si>
    <t>HMDB07121</t>
  </si>
  <si>
    <t>compid54965</t>
  </si>
  <si>
    <t>palmitoyl-linolenoyl-glycerol (16:0/18:3) [2]*</t>
  </si>
  <si>
    <t>HMDB07105</t>
  </si>
  <si>
    <t>compid52633</t>
  </si>
  <si>
    <t>palmitoyl-linoleoyl-glycerol (16:0/18:2) [1]*</t>
  </si>
  <si>
    <t>HMDB07103</t>
  </si>
  <si>
    <t>compid52634</t>
  </si>
  <si>
    <t>palmitoyl-linoleoyl-glycerol (16:0/18:2) [2]*</t>
  </si>
  <si>
    <t>compid61709</t>
  </si>
  <si>
    <t>palmitoyl-myristoyl-glycerol (16:0/14:0) [1]*</t>
  </si>
  <si>
    <t>compid57364</t>
  </si>
  <si>
    <t>palmitoyl-myristoyl-glycerol (16:0/14:0) [2]</t>
  </si>
  <si>
    <t>HMDB07095</t>
  </si>
  <si>
    <t>compid54943</t>
  </si>
  <si>
    <t>palmitoyl-oleoyl-glycerol (16:0/18:1) [1]*</t>
  </si>
  <si>
    <t>C13861</t>
  </si>
  <si>
    <t>HMDB07102</t>
  </si>
  <si>
    <t>compid54942</t>
  </si>
  <si>
    <t>palmitoyl-oleoyl-glycerol (16:0/18:1) [2]*</t>
  </si>
  <si>
    <t>compid54991</t>
  </si>
  <si>
    <t>palmitoyl-palmitoyl-glycerol (16:0/16:0) [1]*</t>
  </si>
  <si>
    <t>HMDB07098</t>
  </si>
  <si>
    <t>compid54990</t>
  </si>
  <si>
    <t>palmitoyl-palmitoyl-glycerol (16:0/16:0) [2]*</t>
  </si>
  <si>
    <t>compid44681</t>
  </si>
  <si>
    <t>HMDB00222</t>
  </si>
  <si>
    <t>compid52944</t>
  </si>
  <si>
    <t>compid1508</t>
  </si>
  <si>
    <t>HMDB00210</t>
  </si>
  <si>
    <t>compid1361</t>
  </si>
  <si>
    <t>1002-84-2;10002-84-2</t>
  </si>
  <si>
    <t>HMDB00826</t>
  </si>
  <si>
    <t>compid32553</t>
  </si>
  <si>
    <t>HMDB60015</t>
  </si>
  <si>
    <t>compid52925</t>
  </si>
  <si>
    <t>HMDB59772</t>
  </si>
  <si>
    <t>compid35126</t>
  </si>
  <si>
    <t>HMDB06344</t>
  </si>
  <si>
    <t>compid64</t>
  </si>
  <si>
    <t>HMDB00159</t>
  </si>
  <si>
    <t>compid22130</t>
  </si>
  <si>
    <t>HMDB00779</t>
  </si>
  <si>
    <t>compid566</t>
  </si>
  <si>
    <t>HMDB00205</t>
  </si>
  <si>
    <t>compid42109</t>
  </si>
  <si>
    <t>HMDB01429</t>
  </si>
  <si>
    <t>compid1600</t>
  </si>
  <si>
    <t>HMDB00224</t>
  </si>
  <si>
    <t>compid1444</t>
  </si>
  <si>
    <t>C00408</t>
  </si>
  <si>
    <t>HMDB00070</t>
  </si>
  <si>
    <t>compid40708</t>
  </si>
  <si>
    <t>HMDB10318</t>
  </si>
  <si>
    <t>compid32562</t>
  </si>
  <si>
    <t>compid32619</t>
  </si>
  <si>
    <t>compid38170</t>
  </si>
  <si>
    <t>HMDB00774</t>
  </si>
  <si>
    <t>compid38271</t>
  </si>
  <si>
    <t>HMDB00795</t>
  </si>
  <si>
    <t>compid35127</t>
  </si>
  <si>
    <t>HMDB06695</t>
  </si>
  <si>
    <t>compid1898</t>
  </si>
  <si>
    <t>C00148</t>
  </si>
  <si>
    <t>HMDB00162</t>
  </si>
  <si>
    <t>compid32452</t>
  </si>
  <si>
    <t>HMDB00824</t>
  </si>
  <si>
    <t>compid31932</t>
  </si>
  <si>
    <t>HMDB00783</t>
  </si>
  <si>
    <t>compid33442</t>
  </si>
  <si>
    <t>HMDB00767</t>
  </si>
  <si>
    <t>compid31555</t>
  </si>
  <si>
    <t>HMDB00017</t>
  </si>
  <si>
    <t>compid46225</t>
  </si>
  <si>
    <t>pyroglutamine*</t>
  </si>
  <si>
    <t>compid48990</t>
  </si>
  <si>
    <t>HMDB00243</t>
  </si>
  <si>
    <t>compid1899</t>
  </si>
  <si>
    <t>HMDB00232</t>
  </si>
  <si>
    <t>compid1806</t>
  </si>
  <si>
    <t>retinol (Vitamin A)</t>
  </si>
  <si>
    <t>HMDB00305</t>
  </si>
  <si>
    <t>compid15772</t>
  </si>
  <si>
    <t>C00474</t>
  </si>
  <si>
    <t>HMDB00508</t>
  </si>
  <si>
    <t>compid1827</t>
  </si>
  <si>
    <t>riboflavin (Vitamin B2)</t>
  </si>
  <si>
    <t>HMDB00244</t>
  </si>
  <si>
    <t>compid27731</t>
  </si>
  <si>
    <t>HMDB00867</t>
  </si>
  <si>
    <t>compid61858</t>
  </si>
  <si>
    <t>ribulonate/xylulonate*</t>
  </si>
  <si>
    <t>compid42370</t>
  </si>
  <si>
    <t>S-1-pyrroline-5-carboxylate</t>
  </si>
  <si>
    <t>2906-39-0</t>
  </si>
  <si>
    <t>C04322</t>
  </si>
  <si>
    <t>HMDB01301</t>
  </si>
  <si>
    <t>compid42382</t>
  </si>
  <si>
    <t>HMDB00939</t>
  </si>
  <si>
    <t>compid39592</t>
  </si>
  <si>
    <t>HMDB02108</t>
  </si>
  <si>
    <t>compid43378</t>
  </si>
  <si>
    <t>HMDB29432</t>
  </si>
  <si>
    <t>compid1516</t>
  </si>
  <si>
    <t>HMDB00271</t>
  </si>
  <si>
    <t>compid32398</t>
  </si>
  <si>
    <t>HMDB00792</t>
  </si>
  <si>
    <t>compid1648</t>
  </si>
  <si>
    <t>HMDB00187</t>
  </si>
  <si>
    <t>compid2342</t>
  </si>
  <si>
    <t>HMDB00259</t>
  </si>
  <si>
    <t>compid57426</t>
  </si>
  <si>
    <t>compid17769</t>
  </si>
  <si>
    <t>HMDB00269</t>
  </si>
  <si>
    <t>compid52605</t>
  </si>
  <si>
    <t>HMDB01383</t>
  </si>
  <si>
    <t>compid62152</t>
  </si>
  <si>
    <t>compid52433</t>
  </si>
  <si>
    <t>compid57483</t>
  </si>
  <si>
    <t>compid57473</t>
  </si>
  <si>
    <t>HMDB12087</t>
  </si>
  <si>
    <t>compid57476</t>
  </si>
  <si>
    <t>compid42463</t>
  </si>
  <si>
    <t>HMDB12097</t>
  </si>
  <si>
    <t>compid52615</t>
  </si>
  <si>
    <t>compid37529</t>
  </si>
  <si>
    <t>HMDB12101</t>
  </si>
  <si>
    <t>compid57475</t>
  </si>
  <si>
    <t>compid48490</t>
  </si>
  <si>
    <t>HMDB12102</t>
  </si>
  <si>
    <t>compid48491</t>
  </si>
  <si>
    <t>compid57481</t>
  </si>
  <si>
    <t>compid52495</t>
  </si>
  <si>
    <t>compid48493</t>
  </si>
  <si>
    <t>HMDB12104</t>
  </si>
  <si>
    <t>compid57477</t>
  </si>
  <si>
    <t>compid47153</t>
  </si>
  <si>
    <t>HMDB12107</t>
  </si>
  <si>
    <t>compid57478</t>
  </si>
  <si>
    <t>compid47154</t>
  </si>
  <si>
    <t>compid42459</t>
  </si>
  <si>
    <t>compid57474</t>
  </si>
  <si>
    <t>compid57480</t>
  </si>
  <si>
    <t>compid52435</t>
  </si>
  <si>
    <t>compid57482</t>
  </si>
  <si>
    <t>compid52437</t>
  </si>
  <si>
    <t>compid57479</t>
  </si>
  <si>
    <t>compid17747</t>
  </si>
  <si>
    <t>HMDB00252</t>
  </si>
  <si>
    <t>compid34445</t>
  </si>
  <si>
    <t>HMDB00277</t>
  </si>
  <si>
    <t>compid1358</t>
  </si>
  <si>
    <t>HMDB00827</t>
  </si>
  <si>
    <t>compid33969</t>
  </si>
  <si>
    <t>HMDB06547</t>
  </si>
  <si>
    <t>compid19503</t>
  </si>
  <si>
    <t>85187-10-6;85187-10-6</t>
  </si>
  <si>
    <t>HMDB01348</t>
  </si>
  <si>
    <t>compid57450</t>
  </si>
  <si>
    <t>stearoyl-arachidonoyl-glycerol (18:0/20:4) [1]*</t>
  </si>
  <si>
    <t>compid57449</t>
  </si>
  <si>
    <t>stearoyl-arachidonoyl-glycerol (18:0/20:4) [2]*</t>
  </si>
  <si>
    <t>compid34409</t>
  </si>
  <si>
    <t>HMDB00848</t>
  </si>
  <si>
    <t>compid57464</t>
  </si>
  <si>
    <t>compid1437</t>
  </si>
  <si>
    <t>HMDB00254</t>
  </si>
  <si>
    <t>compid37058</t>
  </si>
  <si>
    <t>HMDB61717</t>
  </si>
  <si>
    <t>compid2125</t>
  </si>
  <si>
    <t>HMDB00251</t>
  </si>
  <si>
    <t>compid18494</t>
  </si>
  <si>
    <t>HMDB00951</t>
  </si>
  <si>
    <t>compid18497</t>
  </si>
  <si>
    <t>HMDB00036</t>
  </si>
  <si>
    <t>compid32807</t>
  </si>
  <si>
    <t>compid12261</t>
  </si>
  <si>
    <t>HMDB00896</t>
  </si>
  <si>
    <t>compid36850</t>
  </si>
  <si>
    <t>HMDB02580</t>
  </si>
  <si>
    <t>compid35669</t>
  </si>
  <si>
    <t>HMDB00872</t>
  </si>
  <si>
    <t>compid27738</t>
  </si>
  <si>
    <t>HMDB00943</t>
  </si>
  <si>
    <t>compid1284</t>
  </si>
  <si>
    <t>HMDB00167</t>
  </si>
  <si>
    <t>compid31530</t>
  </si>
  <si>
    <t>HMDB29068</t>
  </si>
  <si>
    <t>compid2761</t>
  </si>
  <si>
    <t>HMDB01918</t>
  </si>
  <si>
    <t>compid35428</t>
  </si>
  <si>
    <t>HMDB02366</t>
  </si>
  <si>
    <t>compid32306</t>
  </si>
  <si>
    <t>HMDB00725</t>
  </si>
  <si>
    <t>compid607</t>
  </si>
  <si>
    <t>HMDB00301</t>
  </si>
  <si>
    <t>compid52436</t>
  </si>
  <si>
    <t>HMDB12105</t>
  </si>
  <si>
    <t>compid32401</t>
  </si>
  <si>
    <t>HMDB00875</t>
  </si>
  <si>
    <t>compid40406</t>
  </si>
  <si>
    <t>HMDB00925</t>
  </si>
  <si>
    <t>compid54</t>
  </si>
  <si>
    <t>HMDB00929</t>
  </si>
  <si>
    <t>compid37097</t>
  </si>
  <si>
    <t>HMDB61115</t>
  </si>
  <si>
    <t>compid48408</t>
  </si>
  <si>
    <t>HMDB06409</t>
  </si>
  <si>
    <t>compid1299</t>
  </si>
  <si>
    <t>HMDB00158</t>
  </si>
  <si>
    <t>compid605</t>
  </si>
  <si>
    <t>HMDB00300</t>
  </si>
  <si>
    <t>compid1604</t>
  </si>
  <si>
    <t>69-93-2;120K5305</t>
  </si>
  <si>
    <t>HMDB00289</t>
  </si>
  <si>
    <t>compid1670</t>
  </si>
  <si>
    <t>HMDB00294</t>
  </si>
  <si>
    <t>compid606</t>
  </si>
  <si>
    <t>HMDB00296</t>
  </si>
  <si>
    <t>compid1605</t>
  </si>
  <si>
    <t>HMDB00946</t>
  </si>
  <si>
    <t>compid1649</t>
  </si>
  <si>
    <t>HMDB00883</t>
  </si>
  <si>
    <t>compid40475</t>
  </si>
  <si>
    <t>HMDB29127</t>
  </si>
  <si>
    <t>compid54910</t>
  </si>
  <si>
    <t>HMDB00913</t>
  </si>
  <si>
    <t>compid1567</t>
  </si>
  <si>
    <t>HMDB00291</t>
  </si>
  <si>
    <t>compid3147</t>
  </si>
  <si>
    <t>HMDB00292</t>
  </si>
  <si>
    <t>compid15136</t>
  </si>
  <si>
    <t>xanthosine</t>
  </si>
  <si>
    <t>146-80-5</t>
  </si>
  <si>
    <t>C01762</t>
  </si>
  <si>
    <t>HMDB00299</t>
  </si>
  <si>
    <t>compid15679</t>
  </si>
  <si>
    <t>HMDB00881</t>
  </si>
  <si>
    <t>compid57517</t>
  </si>
  <si>
    <t>compid46590</t>
  </si>
  <si>
    <t>X - 07765</t>
  </si>
  <si>
    <t>compid46355</t>
  </si>
  <si>
    <t>X - 09789</t>
  </si>
  <si>
    <t>compid32578</t>
  </si>
  <si>
    <t>X - 11261</t>
  </si>
  <si>
    <t>compid46592</t>
  </si>
  <si>
    <t>X - 11299</t>
  </si>
  <si>
    <t>compid46390</t>
  </si>
  <si>
    <t>X - 11308</t>
  </si>
  <si>
    <t>compid49592</t>
  </si>
  <si>
    <t>X - 11315</t>
  </si>
  <si>
    <t>compid46594</t>
  </si>
  <si>
    <t>X - 11372</t>
  </si>
  <si>
    <t>compid46595</t>
  </si>
  <si>
    <t>X - 11378</t>
  </si>
  <si>
    <t>compid32698</t>
  </si>
  <si>
    <t>X - 11381</t>
  </si>
  <si>
    <t>compid46598</t>
  </si>
  <si>
    <t>X - 11438</t>
  </si>
  <si>
    <t>compid46599</t>
  </si>
  <si>
    <t>X - 11440</t>
  </si>
  <si>
    <t>compid46360</t>
  </si>
  <si>
    <t>X - 11441</t>
  </si>
  <si>
    <t>compid46443</t>
  </si>
  <si>
    <t>X - 11442</t>
  </si>
  <si>
    <t>compid46460</t>
  </si>
  <si>
    <t>X - 11444</t>
  </si>
  <si>
    <t>compid46601</t>
  </si>
  <si>
    <t>X - 11470</t>
  </si>
  <si>
    <t>compid46602</t>
  </si>
  <si>
    <t>X - 11478</t>
  </si>
  <si>
    <t>compid47650</t>
  </si>
  <si>
    <t>X - 11483</t>
  </si>
  <si>
    <t>compid47651</t>
  </si>
  <si>
    <t>X - 11491</t>
  </si>
  <si>
    <t>compid46914</t>
  </si>
  <si>
    <t>X - 11522</t>
  </si>
  <si>
    <t>compid46603</t>
  </si>
  <si>
    <t>X - 11530</t>
  </si>
  <si>
    <t>compid47652</t>
  </si>
  <si>
    <t>X - 11549</t>
  </si>
  <si>
    <t>compid46260</t>
  </si>
  <si>
    <t>X - 11564</t>
  </si>
  <si>
    <t>compid33132</t>
  </si>
  <si>
    <t>X - 11787</t>
  </si>
  <si>
    <t>compid33140</t>
  </si>
  <si>
    <t>X - 11795</t>
  </si>
  <si>
    <t>compid46509</t>
  </si>
  <si>
    <t>X - 11805</t>
  </si>
  <si>
    <t>compid46607</t>
  </si>
  <si>
    <t>X - 11849</t>
  </si>
  <si>
    <t>compid46507</t>
  </si>
  <si>
    <t>X - 11850</t>
  </si>
  <si>
    <t>compid46608</t>
  </si>
  <si>
    <t>X - 11880</t>
  </si>
  <si>
    <t>compid46610</t>
  </si>
  <si>
    <t>X - 12007</t>
  </si>
  <si>
    <t>compid47390</t>
  </si>
  <si>
    <t>X - 12015</t>
  </si>
  <si>
    <t>compid47905</t>
  </si>
  <si>
    <t>X - 12026</t>
  </si>
  <si>
    <t>compid46588</t>
  </si>
  <si>
    <t>X - 12063</t>
  </si>
  <si>
    <t>compid47687</t>
  </si>
  <si>
    <t>X - 12100</t>
  </si>
  <si>
    <t>compid47642</t>
  </si>
  <si>
    <t>X - 12101</t>
  </si>
  <si>
    <t>compid52597</t>
  </si>
  <si>
    <t>X - 12104</t>
  </si>
  <si>
    <t>compid46966</t>
  </si>
  <si>
    <t>X - 12126</t>
  </si>
  <si>
    <t>compid47702</t>
  </si>
  <si>
    <t>X - 12127</t>
  </si>
  <si>
    <t>compid47909</t>
  </si>
  <si>
    <t>X - 12170</t>
  </si>
  <si>
    <t>compid46612</t>
  </si>
  <si>
    <t>X - 12206</t>
  </si>
  <si>
    <t>compid46358</t>
  </si>
  <si>
    <t>X - 12212</t>
  </si>
  <si>
    <t>compid46613</t>
  </si>
  <si>
    <t>X - 12216</t>
  </si>
  <si>
    <t>compid46614</t>
  </si>
  <si>
    <t>X - 12230</t>
  </si>
  <si>
    <t>compid46616</t>
  </si>
  <si>
    <t>X - 12411</t>
  </si>
  <si>
    <t>compid46618</t>
  </si>
  <si>
    <t>X - 12442</t>
  </si>
  <si>
    <t>compid33904</t>
  </si>
  <si>
    <t>X - 12459</t>
  </si>
  <si>
    <t>compid46620</t>
  </si>
  <si>
    <t>X - 12462</t>
  </si>
  <si>
    <t>compid46628</t>
  </si>
  <si>
    <t>X - 12472</t>
  </si>
  <si>
    <t>compid46621</t>
  </si>
  <si>
    <t>X - 12524</t>
  </si>
  <si>
    <t>compid46510</t>
  </si>
  <si>
    <t>X - 12544</t>
  </si>
  <si>
    <t>compid47201</t>
  </si>
  <si>
    <t>X - 12680</t>
  </si>
  <si>
    <t>compid46973</t>
  </si>
  <si>
    <t>X - 12718</t>
  </si>
  <si>
    <t>compid46623</t>
  </si>
  <si>
    <t>X - 12729</t>
  </si>
  <si>
    <t>compid46626</t>
  </si>
  <si>
    <t>X - 12739</t>
  </si>
  <si>
    <t>compid46624</t>
  </si>
  <si>
    <t>X - 12798</t>
  </si>
  <si>
    <t>compid46997</t>
  </si>
  <si>
    <t>X - 12822</t>
  </si>
  <si>
    <t>compid46633</t>
  </si>
  <si>
    <t>X - 12844</t>
  </si>
  <si>
    <t>compid46634</t>
  </si>
  <si>
    <t>X - 12846</t>
  </si>
  <si>
    <t>compid46364</t>
  </si>
  <si>
    <t>X - 12847</t>
  </si>
  <si>
    <t>compid46636</t>
  </si>
  <si>
    <t>X - 12849</t>
  </si>
  <si>
    <t>compid46639</t>
  </si>
  <si>
    <t>X - 12851</t>
  </si>
  <si>
    <t>compid47955</t>
  </si>
  <si>
    <t>X - 12906</t>
  </si>
  <si>
    <t>compid47788</t>
  </si>
  <si>
    <t>X - 13431</t>
  </si>
  <si>
    <t>compid47959</t>
  </si>
  <si>
    <t>X - 13553</t>
  </si>
  <si>
    <t>compid47790</t>
  </si>
  <si>
    <t>X - 13684</t>
  </si>
  <si>
    <t>compid47774</t>
  </si>
  <si>
    <t>X - 13689</t>
  </si>
  <si>
    <t>compid46645</t>
  </si>
  <si>
    <t>X - 13728</t>
  </si>
  <si>
    <t>compid47971</t>
  </si>
  <si>
    <t>X - 13729</t>
  </si>
  <si>
    <t>compid47441</t>
  </si>
  <si>
    <t>X - 13737</t>
  </si>
  <si>
    <t>compid46646</t>
  </si>
  <si>
    <t>X - 13835</t>
  </si>
  <si>
    <t>compid46417</t>
  </si>
  <si>
    <t>X - 13866</t>
  </si>
  <si>
    <t>compid46632</t>
  </si>
  <si>
    <t>X - 14056</t>
  </si>
  <si>
    <t>compid46655</t>
  </si>
  <si>
    <t>X - 14626</t>
  </si>
  <si>
    <t>compid46652</t>
  </si>
  <si>
    <t>X - 14658</t>
  </si>
  <si>
    <t>compid47787</t>
  </si>
  <si>
    <t>X - 14838</t>
  </si>
  <si>
    <t>compid46657</t>
  </si>
  <si>
    <t>X - 14939</t>
  </si>
  <si>
    <t>compid46661</t>
  </si>
  <si>
    <t>X - 15245</t>
  </si>
  <si>
    <t>compid46640</t>
  </si>
  <si>
    <t>X - 15469</t>
  </si>
  <si>
    <t>compid46266</t>
  </si>
  <si>
    <t>X - 15486</t>
  </si>
  <si>
    <t>compid46662</t>
  </si>
  <si>
    <t>X - 15492</t>
  </si>
  <si>
    <t>compid46977</t>
  </si>
  <si>
    <t>X - 15503</t>
  </si>
  <si>
    <t>compid46665</t>
  </si>
  <si>
    <t>X - 15674</t>
  </si>
  <si>
    <t>compid46738</t>
  </si>
  <si>
    <t>X - 16071</t>
  </si>
  <si>
    <t>compid47988</t>
  </si>
  <si>
    <t>X - 16087</t>
  </si>
  <si>
    <t>compid46668</t>
  </si>
  <si>
    <t>X - 16123</t>
  </si>
  <si>
    <t>compid47802</t>
  </si>
  <si>
    <t>X - 16397</t>
  </si>
  <si>
    <t>compid47013</t>
  </si>
  <si>
    <t>X - 16570</t>
  </si>
  <si>
    <t>compid46677</t>
  </si>
  <si>
    <t>X - 16654</t>
  </si>
  <si>
    <t>compid46681</t>
  </si>
  <si>
    <t>X - 16935</t>
  </si>
  <si>
    <t>compid46511</t>
  </si>
  <si>
    <t>X - 16938</t>
  </si>
  <si>
    <t>compid46683</t>
  </si>
  <si>
    <t>X - 16944</t>
  </si>
  <si>
    <t>compid46517</t>
  </si>
  <si>
    <t>X - 16946</t>
  </si>
  <si>
    <t>compid46685</t>
  </si>
  <si>
    <t>X - 16964</t>
  </si>
  <si>
    <t>compid47993</t>
  </si>
  <si>
    <t>X - 17010</t>
  </si>
  <si>
    <t>compid46689</t>
  </si>
  <si>
    <t>X - 17145</t>
  </si>
  <si>
    <t>compid46692</t>
  </si>
  <si>
    <t>X - 17166</t>
  </si>
  <si>
    <t>compid46693</t>
  </si>
  <si>
    <t>X - 17167</t>
  </si>
  <si>
    <t>compid46406</t>
  </si>
  <si>
    <t>X - 17178</t>
  </si>
  <si>
    <t>compid46698</t>
  </si>
  <si>
    <t>X - 17179</t>
  </si>
  <si>
    <t>compid46412</t>
  </si>
  <si>
    <t>X - 17189</t>
  </si>
  <si>
    <t>compid40097</t>
  </si>
  <si>
    <t>X - 17299</t>
  </si>
  <si>
    <t>compid47000</t>
  </si>
  <si>
    <t>X - 17327</t>
  </si>
  <si>
    <t>compid47820</t>
  </si>
  <si>
    <t>X - 17335</t>
  </si>
  <si>
    <t>compid47821</t>
  </si>
  <si>
    <t>X - 17337</t>
  </si>
  <si>
    <t>compid47872</t>
  </si>
  <si>
    <t>X - 17340</t>
  </si>
  <si>
    <t>compid48001</t>
  </si>
  <si>
    <t>X - 17351</t>
  </si>
  <si>
    <t>compid48009</t>
  </si>
  <si>
    <t>X - 17357</t>
  </si>
  <si>
    <t>compid48011</t>
  </si>
  <si>
    <t>X - 17359</t>
  </si>
  <si>
    <t>compid48052</t>
  </si>
  <si>
    <t>X - 17612</t>
  </si>
  <si>
    <t>compid46707</t>
  </si>
  <si>
    <t>X - 17653</t>
  </si>
  <si>
    <t>compid46709</t>
  </si>
  <si>
    <t>X - 17654</t>
  </si>
  <si>
    <t>compid46970</t>
  </si>
  <si>
    <t>X - 17676</t>
  </si>
  <si>
    <t>compid46366</t>
  </si>
  <si>
    <t>X - 18249</t>
  </si>
  <si>
    <t>compid47342</t>
  </si>
  <si>
    <t>X - 18345</t>
  </si>
  <si>
    <t>compid46687</t>
  </si>
  <si>
    <t>X - 18779</t>
  </si>
  <si>
    <t>compid48047</t>
  </si>
  <si>
    <t>X - 18886</t>
  </si>
  <si>
    <t>compid47670</t>
  </si>
  <si>
    <t>X - 18899</t>
  </si>
  <si>
    <t>compid46690</t>
  </si>
  <si>
    <t>X - 18901</t>
  </si>
  <si>
    <t>compid46695</t>
  </si>
  <si>
    <t>X - 18913</t>
  </si>
  <si>
    <t>compid46368</t>
  </si>
  <si>
    <t>X - 18914</t>
  </si>
  <si>
    <t>compid47671</t>
  </si>
  <si>
    <t>X - 18921</t>
  </si>
  <si>
    <t>compid46700</t>
  </si>
  <si>
    <t>X - 18922</t>
  </si>
  <si>
    <t>compid46701</t>
  </si>
  <si>
    <t>X - 19141</t>
  </si>
  <si>
    <t>compid46259</t>
  </si>
  <si>
    <t>X - 21258</t>
  </si>
  <si>
    <t>compid46295</t>
  </si>
  <si>
    <t>X - 21286</t>
  </si>
  <si>
    <t>compid46354</t>
  </si>
  <si>
    <t>X - 21310</t>
  </si>
  <si>
    <t>compid46363</t>
  </si>
  <si>
    <t>X - 21319</t>
  </si>
  <si>
    <t>compid46384</t>
  </si>
  <si>
    <t>X - 21339</t>
  </si>
  <si>
    <t>compid46398</t>
  </si>
  <si>
    <t>X - 21353</t>
  </si>
  <si>
    <t>compid46409</t>
  </si>
  <si>
    <t>X - 21364</t>
  </si>
  <si>
    <t>compid46428</t>
  </si>
  <si>
    <t>X - 21383</t>
  </si>
  <si>
    <t>compid46455</t>
  </si>
  <si>
    <t>X - 21410</t>
  </si>
  <si>
    <t>compid46456</t>
  </si>
  <si>
    <t>X - 21411</t>
  </si>
  <si>
    <t>compid46486</t>
  </si>
  <si>
    <t>X - 21441</t>
  </si>
  <si>
    <t>compid46493</t>
  </si>
  <si>
    <t>X - 21448</t>
  </si>
  <si>
    <t>compid46503</t>
  </si>
  <si>
    <t>X - 21458</t>
  </si>
  <si>
    <t>compid46512</t>
  </si>
  <si>
    <t>X - 21467</t>
  </si>
  <si>
    <t>compid46515</t>
  </si>
  <si>
    <t>X - 21470</t>
  </si>
  <si>
    <t>compid46516</t>
  </si>
  <si>
    <t>X - 21471</t>
  </si>
  <si>
    <t>compid46674</t>
  </si>
  <si>
    <t>X - 21607</t>
  </si>
  <si>
    <t>compid46694</t>
  </si>
  <si>
    <t>X - 21626</t>
  </si>
  <si>
    <t>compid46696</t>
  </si>
  <si>
    <t>X - 21628</t>
  </si>
  <si>
    <t>compid46898</t>
  </si>
  <si>
    <t>X - 21729</t>
  </si>
  <si>
    <t>compid46904</t>
  </si>
  <si>
    <t>X - 21735</t>
  </si>
  <si>
    <t>compid46905</t>
  </si>
  <si>
    <t>X - 21736</t>
  </si>
  <si>
    <t>compid46961</t>
  </si>
  <si>
    <t>X - 21785</t>
  </si>
  <si>
    <t>compid46968</t>
  </si>
  <si>
    <t>X - 21792</t>
  </si>
  <si>
    <t>compid46972</t>
  </si>
  <si>
    <t>X - 21796</t>
  </si>
  <si>
    <t>compid46998</t>
  </si>
  <si>
    <t>X - 21821</t>
  </si>
  <si>
    <t>compid47006</t>
  </si>
  <si>
    <t>X - 21829</t>
  </si>
  <si>
    <t>compid47389</t>
  </si>
  <si>
    <t>X - 22143</t>
  </si>
  <si>
    <t>compid47417</t>
  </si>
  <si>
    <t>X - 22162</t>
  </si>
  <si>
    <t>compid47784</t>
  </si>
  <si>
    <t>X - 22520</t>
  </si>
  <si>
    <t>compid48067</t>
  </si>
  <si>
    <t>X - 22764</t>
  </si>
  <si>
    <t>compid48076</t>
  </si>
  <si>
    <t>X - 22771</t>
  </si>
  <si>
    <t>compid48080</t>
  </si>
  <si>
    <t>X - 22775</t>
  </si>
  <si>
    <t>compid48972</t>
  </si>
  <si>
    <t>X - 23276</t>
  </si>
  <si>
    <t>compid48992</t>
  </si>
  <si>
    <t>X - 23293</t>
  </si>
  <si>
    <t>compid48994</t>
  </si>
  <si>
    <t>X - 23295</t>
  </si>
  <si>
    <t>compid48996</t>
  </si>
  <si>
    <t>X - 23297</t>
  </si>
  <si>
    <t>compid49014</t>
  </si>
  <si>
    <t>X - 23314</t>
  </si>
  <si>
    <t>compid49228</t>
  </si>
  <si>
    <t>X - 23369</t>
  </si>
  <si>
    <t>compid49466</t>
  </si>
  <si>
    <t>X - 23590</t>
  </si>
  <si>
    <t>compid49469</t>
  </si>
  <si>
    <t>X - 23593</t>
  </si>
  <si>
    <t>compid49515</t>
  </si>
  <si>
    <t>X - 23639</t>
  </si>
  <si>
    <t>compid49521</t>
  </si>
  <si>
    <t>X - 23644</t>
  </si>
  <si>
    <t>compid49543</t>
  </si>
  <si>
    <t>X - 23666</t>
  </si>
  <si>
    <t>compid49557</t>
  </si>
  <si>
    <t>X - 23680</t>
  </si>
  <si>
    <t>compid49637</t>
  </si>
  <si>
    <t>X - 23739</t>
  </si>
  <si>
    <t>compid49681</t>
  </si>
  <si>
    <t>X - 23782</t>
  </si>
  <si>
    <t>compid52135</t>
  </si>
  <si>
    <t>X - 24106</t>
  </si>
  <si>
    <t>compid52286</t>
  </si>
  <si>
    <t>X - 24243</t>
  </si>
  <si>
    <t>compid52483</t>
  </si>
  <si>
    <t>X - 24295</t>
  </si>
  <si>
    <t>compid52504</t>
  </si>
  <si>
    <t>X - 24309</t>
  </si>
  <si>
    <t>compid52524</t>
  </si>
  <si>
    <t>X - 24328</t>
  </si>
  <si>
    <t>compid52525</t>
  </si>
  <si>
    <t>X - 24329</t>
  </si>
  <si>
    <t>compid52530</t>
  </si>
  <si>
    <t>X - 24334</t>
  </si>
  <si>
    <t>compid52533</t>
  </si>
  <si>
    <t>X - 24337</t>
  </si>
  <si>
    <t>compid52647</t>
  </si>
  <si>
    <t>X - 24418</t>
  </si>
  <si>
    <t>compid52662</t>
  </si>
  <si>
    <t>X - 24432</t>
  </si>
  <si>
    <t>compid52665</t>
  </si>
  <si>
    <t>X - 24435</t>
  </si>
  <si>
    <t>compid52769</t>
  </si>
  <si>
    <t>X - 24452</t>
  </si>
  <si>
    <t>compid52813</t>
  </si>
  <si>
    <t>X - 24494</t>
  </si>
  <si>
    <t>compid52835</t>
  </si>
  <si>
    <t>X - 24514</t>
  </si>
  <si>
    <t>compid52865</t>
  </si>
  <si>
    <t>X - 24544</t>
  </si>
  <si>
    <t>compid52867</t>
  </si>
  <si>
    <t>X - 24546</t>
  </si>
  <si>
    <t>compid52870</t>
  </si>
  <si>
    <t>X - 24549</t>
  </si>
  <si>
    <t>compid52877</t>
  </si>
  <si>
    <t>X - 24556</t>
  </si>
  <si>
    <t>compid52909</t>
  </si>
  <si>
    <t>X - 24588</t>
  </si>
  <si>
    <t>compid53114</t>
  </si>
  <si>
    <t>X - 24686</t>
  </si>
  <si>
    <t>compid53127</t>
  </si>
  <si>
    <t>X - 24699</t>
  </si>
  <si>
    <t>compid53157</t>
  </si>
  <si>
    <t>X - 24728</t>
  </si>
  <si>
    <t>compid53267</t>
  </si>
  <si>
    <t>X - 24748</t>
  </si>
  <si>
    <t>compid54704</t>
  </si>
  <si>
    <t>X - 24766</t>
  </si>
  <si>
    <t>compid54831</t>
  </si>
  <si>
    <t>X - 24803</t>
  </si>
  <si>
    <t>compid54832</t>
  </si>
  <si>
    <t>X - 24804</t>
  </si>
  <si>
    <t>compid54841</t>
  </si>
  <si>
    <t>X - 24813</t>
  </si>
  <si>
    <t>compid54859</t>
  </si>
  <si>
    <t>X - 24831</t>
  </si>
  <si>
    <t>compid54877</t>
  </si>
  <si>
    <t>X - 24849</t>
  </si>
  <si>
    <t>compid54977</t>
  </si>
  <si>
    <t>X - 24870</t>
  </si>
  <si>
    <t>compid57714</t>
  </si>
  <si>
    <t>X - 24947</t>
  </si>
  <si>
    <t>compid57715</t>
  </si>
  <si>
    <t>X - 24948</t>
  </si>
  <si>
    <t>compid57716</t>
  </si>
  <si>
    <t>X - 24949</t>
  </si>
  <si>
    <t>compid57718</t>
  </si>
  <si>
    <t>X - 24951</t>
  </si>
  <si>
    <t>compid57719</t>
  </si>
  <si>
    <t>X - 24952</t>
  </si>
  <si>
    <t>compid57815</t>
  </si>
  <si>
    <t>X - 24974</t>
  </si>
  <si>
    <t>compid57839</t>
  </si>
  <si>
    <t>X - 24983</t>
  </si>
  <si>
    <t>compid62249</t>
  </si>
  <si>
    <t>X - 25182</t>
  </si>
  <si>
    <t>compid62602</t>
  </si>
  <si>
    <t>X - 25309 - replaced with X-11805</t>
  </si>
  <si>
    <t>compid62713</t>
  </si>
  <si>
    <t>X - 25416</t>
  </si>
  <si>
    <t>compid62749</t>
  </si>
  <si>
    <t>X - 25433</t>
  </si>
  <si>
    <t>compid48762</t>
  </si>
  <si>
    <t>compid34404</t>
  </si>
  <si>
    <t>HMDB02123</t>
  </si>
  <si>
    <t>compid32391</t>
  </si>
  <si>
    <t>HMDB01857</t>
  </si>
  <si>
    <t>compid34400</t>
  </si>
  <si>
    <t>HMDB11103</t>
  </si>
  <si>
    <t>compid38140</t>
  </si>
  <si>
    <t>compid34395</t>
  </si>
  <si>
    <t>HMDB03099</t>
  </si>
  <si>
    <t>compid34389</t>
  </si>
  <si>
    <t>HMDB10738</t>
  </si>
  <si>
    <t>compid57783</t>
  </si>
  <si>
    <t>compid38276</t>
  </si>
  <si>
    <t>HMDB12141</t>
  </si>
  <si>
    <t>compid62533</t>
  </si>
  <si>
    <t>2,5-dimethylphenol sulfate</t>
  </si>
  <si>
    <t>compid48580</t>
  </si>
  <si>
    <t>compid43266</t>
  </si>
  <si>
    <t>HMDB61116</t>
  </si>
  <si>
    <t>compid33173</t>
  </si>
  <si>
    <t>compid18281</t>
  </si>
  <si>
    <t>HMDB00840</t>
  </si>
  <si>
    <t>compid43330</t>
  </si>
  <si>
    <t>HMDB60920</t>
  </si>
  <si>
    <t>compid15667</t>
  </si>
  <si>
    <t>HMDB00402</t>
  </si>
  <si>
    <t>compid48141</t>
  </si>
  <si>
    <t>HMDB01353</t>
  </si>
  <si>
    <t>compid33161</t>
  </si>
  <si>
    <t>compid47031</t>
  </si>
  <si>
    <t>compid48445</t>
  </si>
  <si>
    <t>compid62520</t>
  </si>
  <si>
    <t>compid53026</t>
  </si>
  <si>
    <t>3,4-methyleneheptanoate</t>
  </si>
  <si>
    <t>compid34399</t>
  </si>
  <si>
    <t>HMDB01982</t>
  </si>
  <si>
    <t>compid35635</t>
  </si>
  <si>
    <t>HMDB00375</t>
  </si>
  <si>
    <t>compid45415</t>
  </si>
  <si>
    <t>3-(3-hydroxyphenyl)propionate sulfate</t>
  </si>
  <si>
    <t>86321-32-6</t>
  </si>
  <si>
    <t>compid34365</t>
  </si>
  <si>
    <t>compid62567</t>
  </si>
  <si>
    <t>compid45721</t>
  </si>
  <si>
    <t>3-(N-acetyl-L-cystein-S-yl) acetaminophen</t>
  </si>
  <si>
    <t>compid48693</t>
  </si>
  <si>
    <t>3-acetylphenol sulfate</t>
  </si>
  <si>
    <t>compid36848</t>
  </si>
  <si>
    <t>3-ethylphenylsulfate</t>
  </si>
  <si>
    <t>C14386</t>
  </si>
  <si>
    <t>compid43470</t>
  </si>
  <si>
    <t>3-hydroxycotinine glucuronide</t>
  </si>
  <si>
    <t>132929-88-5</t>
  </si>
  <si>
    <t>HMDB01204</t>
  </si>
  <si>
    <t>compid39600</t>
  </si>
  <si>
    <t>HMDB06116</t>
  </si>
  <si>
    <t>compid62530</t>
  </si>
  <si>
    <t>compid48419</t>
  </si>
  <si>
    <t>3-hydroxyindolin-2-one sulfate</t>
  </si>
  <si>
    <t>compid48448</t>
  </si>
  <si>
    <t>compid62062</t>
  </si>
  <si>
    <t>compid48763</t>
  </si>
  <si>
    <t>compid48752</t>
  </si>
  <si>
    <t>compid46165</t>
  </si>
  <si>
    <t>compid32445</t>
  </si>
  <si>
    <t>HMDB01886</t>
  </si>
  <si>
    <t>compid15749</t>
  </si>
  <si>
    <t>HMDB00764</t>
  </si>
  <si>
    <t>compid12032</t>
  </si>
  <si>
    <t>HMDB01859</t>
  </si>
  <si>
    <t>compid15736</t>
  </si>
  <si>
    <t>HMDB10316</t>
  </si>
  <si>
    <t>compid37475</t>
  </si>
  <si>
    <t>10066-90-7;32113-41-0</t>
  </si>
  <si>
    <t>HMDB59911</t>
  </si>
  <si>
    <t>compid44620</t>
  </si>
  <si>
    <t>compid37181</t>
  </si>
  <si>
    <t>compid54809</t>
  </si>
  <si>
    <t>4-aminophenol sulfate (2)</t>
  </si>
  <si>
    <t>compid52937</t>
  </si>
  <si>
    <t>4-ethylphenol glucuronide</t>
  </si>
  <si>
    <t>compid36099</t>
  </si>
  <si>
    <t>compid62480</t>
  </si>
  <si>
    <t>HMDB60763</t>
  </si>
  <si>
    <t>compid21133</t>
  </si>
  <si>
    <t>4-hydroxybenzoate</t>
  </si>
  <si>
    <t>99-96-7</t>
  </si>
  <si>
    <t>C00156</t>
  </si>
  <si>
    <t>HMDB00500</t>
  </si>
  <si>
    <t>compid48441</t>
  </si>
  <si>
    <t>compid37445</t>
  </si>
  <si>
    <t>compid35527</t>
  </si>
  <si>
    <t>HMDB13678</t>
  </si>
  <si>
    <t>compid46146</t>
  </si>
  <si>
    <t>compid48418</t>
  </si>
  <si>
    <t>compid43337</t>
  </si>
  <si>
    <t>4-phenylbutyrate</t>
  </si>
  <si>
    <t>1821-12-1</t>
  </si>
  <si>
    <t>HMDB00543</t>
  </si>
  <si>
    <t>compid48442</t>
  </si>
  <si>
    <t>compid36098</t>
  </si>
  <si>
    <t>HMDB04072</t>
  </si>
  <si>
    <t>compid34424</t>
  </si>
  <si>
    <t>HMDB04400</t>
  </si>
  <si>
    <t>compid34401</t>
  </si>
  <si>
    <t>5-acetylamino-6-formylamino-3-methyluracil</t>
  </si>
  <si>
    <t>85438-96-6</t>
  </si>
  <si>
    <t>C16365</t>
  </si>
  <si>
    <t>HMDB11105</t>
  </si>
  <si>
    <t>compid62481</t>
  </si>
  <si>
    <t>compid48698</t>
  </si>
  <si>
    <t>compid39598</t>
  </si>
  <si>
    <t>7-methylurate</t>
  </si>
  <si>
    <t>612-37-3</t>
  </si>
  <si>
    <t>C16355</t>
  </si>
  <si>
    <t>HMDB11107</t>
  </si>
  <si>
    <t>compid34390</t>
  </si>
  <si>
    <t>HMDB01991</t>
  </si>
  <si>
    <t>compid48569</t>
  </si>
  <si>
    <t>HMDB33585</t>
  </si>
  <si>
    <t>compid43534</t>
  </si>
  <si>
    <t>compid38321</t>
  </si>
  <si>
    <t>compid52948</t>
  </si>
  <si>
    <t>C06827</t>
  </si>
  <si>
    <t>HMDB15193</t>
  </si>
  <si>
    <t>compid38658</t>
  </si>
  <si>
    <t>HMDB01924</t>
  </si>
  <si>
    <t>compid38619</t>
  </si>
  <si>
    <t>atorvastatin (lipitor)</t>
  </si>
  <si>
    <t>134523-03-8</t>
  </si>
  <si>
    <t>D00887</t>
  </si>
  <si>
    <t>HMDB05006</t>
  </si>
  <si>
    <t>compid52376</t>
  </si>
  <si>
    <t>bendroflumethiazide</t>
  </si>
  <si>
    <t>73-48-3</t>
  </si>
  <si>
    <t>D00650,C07758</t>
  </si>
  <si>
    <t>compid15778</t>
  </si>
  <si>
    <t>HMDB01870</t>
  </si>
  <si>
    <t>compid35101</t>
  </si>
  <si>
    <t>beta-guanidinopropanoate</t>
  </si>
  <si>
    <t>353-09-3</t>
  </si>
  <si>
    <t>C03065</t>
  </si>
  <si>
    <t>HMDB13222</t>
  </si>
  <si>
    <t>compid21125</t>
  </si>
  <si>
    <t>bisphenol A</t>
  </si>
  <si>
    <t>80-05-7</t>
  </si>
  <si>
    <t>C13624</t>
  </si>
  <si>
    <t>HMDB32133</t>
  </si>
  <si>
    <t>compid53254</t>
  </si>
  <si>
    <t>HMDB41708</t>
  </si>
  <si>
    <t>compid569</t>
  </si>
  <si>
    <t>HMDB01847</t>
  </si>
  <si>
    <t>compid54749</t>
  </si>
  <si>
    <t>D00522,C07468</t>
  </si>
  <si>
    <t>HMDB14934</t>
  </si>
  <si>
    <t>compid37033</t>
  </si>
  <si>
    <t>carbamazepine</t>
  </si>
  <si>
    <t>298-46-4</t>
  </si>
  <si>
    <t>D00252</t>
  </si>
  <si>
    <t>HMDB14704</t>
  </si>
  <si>
    <t>compid37020</t>
  </si>
  <si>
    <t>carbamazepine 10,11-epoxide*</t>
  </si>
  <si>
    <t>HMDB60658</t>
  </si>
  <si>
    <t>compid37056</t>
  </si>
  <si>
    <t>compid43333</t>
  </si>
  <si>
    <t>HMDB60564</t>
  </si>
  <si>
    <t>compid62067</t>
  </si>
  <si>
    <t>carboxyibuprofen glucuronide*</t>
  </si>
  <si>
    <t>compid35320</t>
  </si>
  <si>
    <t>HMDB59724</t>
  </si>
  <si>
    <t>compid38599</t>
  </si>
  <si>
    <t>celecoxib</t>
  </si>
  <si>
    <t>169590-42-5</t>
  </si>
  <si>
    <t>C07589</t>
  </si>
  <si>
    <t>HMDB05014</t>
  </si>
  <si>
    <t>compid54745</t>
  </si>
  <si>
    <t>HMDB05032</t>
  </si>
  <si>
    <t>compid38637</t>
  </si>
  <si>
    <t>HMDB11621</t>
  </si>
  <si>
    <t>compid62479</t>
  </si>
  <si>
    <t>compid553</t>
  </si>
  <si>
    <t>HMDB01046</t>
  </si>
  <si>
    <t>compid62070</t>
  </si>
  <si>
    <t>daidzein glucuronide*</t>
  </si>
  <si>
    <t>HMDB41718</t>
  </si>
  <si>
    <t>compid48728</t>
  </si>
  <si>
    <t>daidzein sulfate (2)</t>
  </si>
  <si>
    <t>compid62477</t>
  </si>
  <si>
    <t>HMDB14021,HMDB60576</t>
  </si>
  <si>
    <t>compid46331</t>
  </si>
  <si>
    <t>HMDB13989</t>
  </si>
  <si>
    <t>compid46106</t>
  </si>
  <si>
    <t>compid57668</t>
  </si>
  <si>
    <t>compid62524</t>
  </si>
  <si>
    <t>compid40481</t>
  </si>
  <si>
    <t>dihydroferulic acid</t>
  </si>
  <si>
    <t>compid42981</t>
  </si>
  <si>
    <t>C06958</t>
  </si>
  <si>
    <t>HMDB14487</t>
  </si>
  <si>
    <t>compid39273</t>
  </si>
  <si>
    <t>doxycycline</t>
  </si>
  <si>
    <t>24390-14-5</t>
  </si>
  <si>
    <t>compid35651</t>
  </si>
  <si>
    <t>compid22163</t>
  </si>
  <si>
    <t>HMDB15109</t>
  </si>
  <si>
    <t>compid62482</t>
  </si>
  <si>
    <t>enalaprilat*</t>
  </si>
  <si>
    <t>C11720</t>
  </si>
  <si>
    <t>HMDB41886</t>
  </si>
  <si>
    <t>compid37459</t>
  </si>
  <si>
    <t>HMDB03045</t>
  </si>
  <si>
    <t>compid20699</t>
  </si>
  <si>
    <t>HMDB02994</t>
  </si>
  <si>
    <t>compid40459</t>
  </si>
  <si>
    <t>escitalopram</t>
  </si>
  <si>
    <t>HMDB05028</t>
  </si>
  <si>
    <t>compid39603</t>
  </si>
  <si>
    <t>HMDB10325</t>
  </si>
  <si>
    <t>compid48715</t>
  </si>
  <si>
    <t>compid62483</t>
  </si>
  <si>
    <t>ezetimibe glucuronide*</t>
  </si>
  <si>
    <t>compid47114</t>
  </si>
  <si>
    <t>ferulic acid 4-sulfate</t>
  </si>
  <si>
    <t>86321-29-1</t>
  </si>
  <si>
    <t>HMDB29200</t>
  </si>
  <si>
    <t>compid44619</t>
  </si>
  <si>
    <t>compid43009</t>
  </si>
  <si>
    <t>HMDB01933</t>
  </si>
  <si>
    <t>compid38686</t>
  </si>
  <si>
    <t>HMDB05015</t>
  </si>
  <si>
    <t>compid62061</t>
  </si>
  <si>
    <t>genistein sulfate*</t>
  </si>
  <si>
    <t>compid587</t>
  </si>
  <si>
    <t>HMDB00625</t>
  </si>
  <si>
    <t>compid62290</t>
  </si>
  <si>
    <t>compid62291</t>
  </si>
  <si>
    <t>compid62292</t>
  </si>
  <si>
    <t>compid15737</t>
  </si>
  <si>
    <t>glycolate (hydroxyacetate)</t>
  </si>
  <si>
    <t>79-14-1</t>
  </si>
  <si>
    <t>C00160</t>
  </si>
  <si>
    <t>HMDB00115</t>
  </si>
  <si>
    <t>compid46111</t>
  </si>
  <si>
    <t>HMDB60013</t>
  </si>
  <si>
    <t>compid15753</t>
  </si>
  <si>
    <t>HMDB00714</t>
  </si>
  <si>
    <t>compid33009</t>
  </si>
  <si>
    <t>HMDB33433</t>
  </si>
  <si>
    <t>compid43508</t>
  </si>
  <si>
    <t>homoveratric acid</t>
  </si>
  <si>
    <t>93-40-3</t>
  </si>
  <si>
    <t>HMDB00434</t>
  </si>
  <si>
    <t>compid39625</t>
  </si>
  <si>
    <t>HMDB01928</t>
  </si>
  <si>
    <t>compid35322</t>
  </si>
  <si>
    <t>HMDB02434</t>
  </si>
  <si>
    <t>compid38661</t>
  </si>
  <si>
    <t>HMDB01390</t>
  </si>
  <si>
    <t>compid43580</t>
  </si>
  <si>
    <t>compid17799</t>
  </si>
  <si>
    <t>D00126</t>
  </si>
  <si>
    <t>HMDB01925</t>
  </si>
  <si>
    <t>compid38366</t>
  </si>
  <si>
    <t>compid21025</t>
  </si>
  <si>
    <t>HMDB11753</t>
  </si>
  <si>
    <t>compid62279</t>
  </si>
  <si>
    <t>indoleacetylcarnitine*</t>
  </si>
  <si>
    <t>compid48997</t>
  </si>
  <si>
    <t>compid43579</t>
  </si>
  <si>
    <t>compid54787</t>
  </si>
  <si>
    <t>lisinopril</t>
  </si>
  <si>
    <t>76547-98-3</t>
  </si>
  <si>
    <t>compid38306</t>
  </si>
  <si>
    <t>HMDB01921</t>
  </si>
  <si>
    <t>compid46144</t>
  </si>
  <si>
    <t>compid1584</t>
  </si>
  <si>
    <t>HMDB29738</t>
  </si>
  <si>
    <t>compid48429</t>
  </si>
  <si>
    <t>compid61873</t>
  </si>
  <si>
    <t>compid18037</t>
  </si>
  <si>
    <t>metoprolol</t>
  </si>
  <si>
    <t>56392-17-7</t>
  </si>
  <si>
    <t>D02358</t>
  </si>
  <si>
    <t>HMDB01932</t>
  </si>
  <si>
    <t>compid34109</t>
  </si>
  <si>
    <t>metoprolol acid metabolite*</t>
  </si>
  <si>
    <t>56392-14-4</t>
  </si>
  <si>
    <t>compid61844</t>
  </si>
  <si>
    <t>morphine-3-glucuronide</t>
  </si>
  <si>
    <t>C16643</t>
  </si>
  <si>
    <t>HMDB41936</t>
  </si>
  <si>
    <t>compid31536</t>
  </si>
  <si>
    <t>5657-19-2;5657-19-2</t>
  </si>
  <si>
    <t>HMDB00439</t>
  </si>
  <si>
    <t>compid45404</t>
  </si>
  <si>
    <t>compid62711</t>
  </si>
  <si>
    <t>compid52355</t>
  </si>
  <si>
    <t>N-desmethyl tramadol</t>
  </si>
  <si>
    <t>147762-57-0</t>
  </si>
  <si>
    <t>HMDB61007</t>
  </si>
  <si>
    <t>compid47101</t>
  </si>
  <si>
    <t>compid12122</t>
  </si>
  <si>
    <t>HMDB01923</t>
  </si>
  <si>
    <t>compid34598</t>
  </si>
  <si>
    <t>nifedipine</t>
  </si>
  <si>
    <t>21829-25-4</t>
  </si>
  <si>
    <t>D00437,C07266</t>
  </si>
  <si>
    <t>compid36845</t>
  </si>
  <si>
    <t>compid53239</t>
  </si>
  <si>
    <t>HMDB60997</t>
  </si>
  <si>
    <t>compid52357</t>
  </si>
  <si>
    <t>compid43334</t>
  </si>
  <si>
    <t>HMDB60532</t>
  </si>
  <si>
    <t>compid47883</t>
  </si>
  <si>
    <t>o-hydroxyatorvastatin</t>
  </si>
  <si>
    <t>214217-86-4</t>
  </si>
  <si>
    <t>compid45413</t>
  </si>
  <si>
    <t>O-sulfo-L-tyrosine</t>
  </si>
  <si>
    <t>compid38600</t>
  </si>
  <si>
    <t>HMDB01913</t>
  </si>
  <si>
    <t>compid41726</t>
  </si>
  <si>
    <t>HMDB00786</t>
  </si>
  <si>
    <t>compid36103</t>
  </si>
  <si>
    <t>HMDB11635</t>
  </si>
  <si>
    <t>compid47881</t>
  </si>
  <si>
    <t>p-hydroxyatorvastatin</t>
  </si>
  <si>
    <t>265989-44-4</t>
  </si>
  <si>
    <t>compid18254</t>
  </si>
  <si>
    <t>HMDB01860</t>
  </si>
  <si>
    <t>compid57564</t>
  </si>
  <si>
    <t>HMDB59586</t>
  </si>
  <si>
    <t>compid62071</t>
  </si>
  <si>
    <t>perfluorooctanoate (PFOA)*</t>
  </si>
  <si>
    <t>HMDB59587</t>
  </si>
  <si>
    <t>compid52372</t>
  </si>
  <si>
    <t>perindopril</t>
  </si>
  <si>
    <t>82834-16-0</t>
  </si>
  <si>
    <t>C07706,D03753</t>
  </si>
  <si>
    <t>HMDB14928</t>
  </si>
  <si>
    <t>compid598</t>
  </si>
  <si>
    <t>HMDB00801</t>
  </si>
  <si>
    <t>compid33139</t>
  </si>
  <si>
    <t>C07675</t>
  </si>
  <si>
    <t>HMDB15264</t>
  </si>
  <si>
    <t>compid33935</t>
  </si>
  <si>
    <t>HMDB29377</t>
  </si>
  <si>
    <t>compid52913</t>
  </si>
  <si>
    <t>compid48480</t>
  </si>
  <si>
    <t>HMDB32574</t>
  </si>
  <si>
    <t>compid48460</t>
  </si>
  <si>
    <t>compid48428</t>
  </si>
  <si>
    <t>HMDB33143</t>
  </si>
  <si>
    <t>compid18335</t>
  </si>
  <si>
    <t>HMDB03072</t>
  </si>
  <si>
    <t>compid39767</t>
  </si>
  <si>
    <t>compid38595</t>
  </si>
  <si>
    <t>HMDB01930</t>
  </si>
  <si>
    <t>compid62485</t>
  </si>
  <si>
    <t>compid52958</t>
  </si>
  <si>
    <t>rivaroxaban</t>
  </si>
  <si>
    <t>366789-02-8</t>
  </si>
  <si>
    <t>compid43239</t>
  </si>
  <si>
    <t>HMDB34323</t>
  </si>
  <si>
    <t>compid21151</t>
  </si>
  <si>
    <t>D01085</t>
  </si>
  <si>
    <t>HMDB29723</t>
  </si>
  <si>
    <t>compid1515</t>
  </si>
  <si>
    <t>HMDB01895</t>
  </si>
  <si>
    <t>compid33384</t>
  </si>
  <si>
    <t>compid52961</t>
  </si>
  <si>
    <t>sildenafil</t>
  </si>
  <si>
    <t>139755-83-2</t>
  </si>
  <si>
    <t>C07259,D08514</t>
  </si>
  <si>
    <t>HMDB05039</t>
  </si>
  <si>
    <t>compid52954</t>
  </si>
  <si>
    <t>compid39788</t>
  </si>
  <si>
    <t>HMDB03236</t>
  </si>
  <si>
    <t>compid34384</t>
  </si>
  <si>
    <t>HMDB04827</t>
  </si>
  <si>
    <t>compid41888</t>
  </si>
  <si>
    <t>succinimide</t>
  </si>
  <si>
    <t>123-56-8</t>
  </si>
  <si>
    <t>C07273</t>
  </si>
  <si>
    <t>compid62295</t>
  </si>
  <si>
    <t>compid62296</t>
  </si>
  <si>
    <t>compid62297</t>
  </si>
  <si>
    <t>compid62299</t>
  </si>
  <si>
    <t>compid46960</t>
  </si>
  <si>
    <t>compid52950</t>
  </si>
  <si>
    <t>compid15336</t>
  </si>
  <si>
    <t>87-69-4;6106-24-7</t>
  </si>
  <si>
    <t>C00898</t>
  </si>
  <si>
    <t>HMDB00956</t>
  </si>
  <si>
    <t>compid20693</t>
  </si>
  <si>
    <t>HMDB35227</t>
  </si>
  <si>
    <t>compid61836</t>
  </si>
  <si>
    <t>THC carboxylic acid</t>
  </si>
  <si>
    <t>compid22206</t>
  </si>
  <si>
    <t>HMDB34365</t>
  </si>
  <si>
    <t>compid18394</t>
  </si>
  <si>
    <t>HMDB01889</t>
  </si>
  <si>
    <t>compid53231</t>
  </si>
  <si>
    <t>compid36095</t>
  </si>
  <si>
    <t>HMDB01878</t>
  </si>
  <si>
    <t>compid53241</t>
  </si>
  <si>
    <t>HMDB14339</t>
  </si>
  <si>
    <t>compid57691</t>
  </si>
  <si>
    <t>HMDB14794</t>
  </si>
  <si>
    <t>compid22202</t>
  </si>
  <si>
    <t>triethanolamine</t>
  </si>
  <si>
    <t>102-71-6</t>
  </si>
  <si>
    <t>C06771</t>
  </si>
  <si>
    <t>HMDB32538</t>
  </si>
  <si>
    <t>compid48674</t>
  </si>
  <si>
    <t>compid38623</t>
  </si>
  <si>
    <t>HMDB05016</t>
  </si>
  <si>
    <t>compid42990</t>
  </si>
  <si>
    <t>verapamil</t>
  </si>
  <si>
    <t>152-11-4</t>
  </si>
  <si>
    <t>D02356</t>
  </si>
  <si>
    <t>HMDB01850</t>
  </si>
  <si>
    <t>compid43335</t>
  </si>
  <si>
    <t>C01541</t>
  </si>
  <si>
    <t>HMDB01935</t>
  </si>
  <si>
    <t>id</t>
  </si>
  <si>
    <t>Row.names</t>
  </si>
  <si>
    <t>Excel.column.name</t>
  </si>
  <si>
    <t>CSV.column.name</t>
  </si>
  <si>
    <t>Biomarker.name</t>
  </si>
  <si>
    <t>Unit</t>
  </si>
  <si>
    <t>Group</t>
  </si>
  <si>
    <t>Subgroup</t>
  </si>
  <si>
    <t>HDL_size</t>
  </si>
  <si>
    <t>XS-VLDL-TG %</t>
  </si>
  <si>
    <t>XS_VLDL_TG_pct</t>
  </si>
  <si>
    <t>Relative lipoprotein lipid concentrations</t>
  </si>
  <si>
    <t>Very small VLDL ratios</t>
  </si>
  <si>
    <t>XS-VLDL-PL %</t>
  </si>
  <si>
    <t>XS_VLDL_PL_pct</t>
  </si>
  <si>
    <t>XL_HDL_PL</t>
  </si>
  <si>
    <t>XL_HDL_L</t>
  </si>
  <si>
    <t>S-VLDL-TG %</t>
  </si>
  <si>
    <t>S_VLDL_TG_pct</t>
  </si>
  <si>
    <t>S-VLDL-CE %</t>
  </si>
  <si>
    <t>S_VLDL_CE_pct</t>
  </si>
  <si>
    <t>L_HDL_FC</t>
  </si>
  <si>
    <t>S-VLDL-C %</t>
  </si>
  <si>
    <t>S_VLDL_C_pct</t>
  </si>
  <si>
    <t>Cholesterol to total lipids ratio in small VLDL</t>
  </si>
  <si>
    <t>IDL-TG %</t>
  </si>
  <si>
    <t>IDL_TG_pct</t>
  </si>
  <si>
    <t>IDL-FC %</t>
  </si>
  <si>
    <t>IDL_FC_pct</t>
  </si>
  <si>
    <t>XS-VLDL-FC %</t>
  </si>
  <si>
    <t>XS_VLDL_FC_pct</t>
  </si>
  <si>
    <t>S-LDL-TG %</t>
  </si>
  <si>
    <t>S_LDL_TG_pct</t>
  </si>
  <si>
    <t>L_HDL_C</t>
  </si>
  <si>
    <t>Cholesterol in large HDL</t>
  </si>
  <si>
    <t>XL_HDL_FC</t>
  </si>
  <si>
    <t>XL_HDL_C</t>
  </si>
  <si>
    <t>Cholesterol in very large HDL</t>
  </si>
  <si>
    <t>L_HDL_CE</t>
  </si>
  <si>
    <t>Cholesteryl esters in large HDL</t>
  </si>
  <si>
    <t>M-VLDL-CE %</t>
  </si>
  <si>
    <t>M_VLDL_CE_pct</t>
  </si>
  <si>
    <t>IDL_FC</t>
  </si>
  <si>
    <t>VLDL_size</t>
  </si>
  <si>
    <t>XL_HDL_CE</t>
  </si>
  <si>
    <t>Cholesteryl esters in very large HDL</t>
  </si>
  <si>
    <t>L-LDL-TG %</t>
  </si>
  <si>
    <t>L_LDL_TG_pct</t>
  </si>
  <si>
    <t>L_HDL_L</t>
  </si>
  <si>
    <t>L_LDL_FC</t>
  </si>
  <si>
    <t>degree</t>
  </si>
  <si>
    <t>hdl2c</t>
  </si>
  <si>
    <t>HDL_C</t>
  </si>
  <si>
    <t>HDL cholesterol</t>
  </si>
  <si>
    <t>M-LDL-TG %</t>
  </si>
  <si>
    <t>M_LDL_TG_pct</t>
  </si>
  <si>
    <t>IDL_PL</t>
  </si>
  <si>
    <t>Total_CE</t>
  </si>
  <si>
    <t>PUFA_pct</t>
  </si>
  <si>
    <t>L_HDL_PL</t>
  </si>
  <si>
    <t>L_LDL_C</t>
  </si>
  <si>
    <t>Cholesterol in large LDL</t>
  </si>
  <si>
    <t>S_LDL_CE</t>
  </si>
  <si>
    <t>Cholesteryl esters in small LDL</t>
  </si>
  <si>
    <t>S-HDL-C %</t>
  </si>
  <si>
    <t>S_HDL_C_pct</t>
  </si>
  <si>
    <t>Cholesterol to total lipids ratio in small HDL</t>
  </si>
  <si>
    <t>XS-VLDL-C %</t>
  </si>
  <si>
    <t>XS_VLDL_C_pct</t>
  </si>
  <si>
    <t>Cholesterol to total lipids ratio in very small VLDL</t>
  </si>
  <si>
    <t>LDL_C</t>
  </si>
  <si>
    <t>LDL cholesterol</t>
  </si>
  <si>
    <t>L_LDL_PL</t>
  </si>
  <si>
    <t>S_LDL_C</t>
  </si>
  <si>
    <t>Cholesterol in small LDL</t>
  </si>
  <si>
    <t>M_LDL_CE</t>
  </si>
  <si>
    <t>Cholesteryl esters in medium LDL</t>
  </si>
  <si>
    <t>Omega_6_pct</t>
  </si>
  <si>
    <t>S-HDL-CE %</t>
  </si>
  <si>
    <t>S_HDL_CE_pct</t>
  </si>
  <si>
    <t>M_LDL_C</t>
  </si>
  <si>
    <t>Cholesterol in medium LDL</t>
  </si>
  <si>
    <t>Total_C</t>
  </si>
  <si>
    <t>IDL-C %</t>
  </si>
  <si>
    <t>IDL_C_pct</t>
  </si>
  <si>
    <t>Cholesterol to total lipids ratio in IDL</t>
  </si>
  <si>
    <t>S-LDL-C %</t>
  </si>
  <si>
    <t>S_LDL_C_pct</t>
  </si>
  <si>
    <t>Cholesterol to total lipids ratio in small LDL</t>
  </si>
  <si>
    <t>IDL_C</t>
  </si>
  <si>
    <t>L_LDL_CE</t>
  </si>
  <si>
    <t>Cholesteryl esters in large LDL</t>
  </si>
  <si>
    <t>L-HDL-FC %</t>
  </si>
  <si>
    <t>L_HDL_FC_pct</t>
  </si>
  <si>
    <t>M-HDL-PL %</t>
  </si>
  <si>
    <t>M_HDL_PL_pct</t>
  </si>
  <si>
    <t>L_LDL_L</t>
  </si>
  <si>
    <t>L-LDL-C %</t>
  </si>
  <si>
    <t>L_LDL_C_pct</t>
  </si>
  <si>
    <t>Cholesterol to total lipids ratio in large LDL</t>
  </si>
  <si>
    <t>IDL_CE</t>
  </si>
  <si>
    <t>Cholesteryl esters in IDL</t>
  </si>
  <si>
    <t>S_HDL_TG</t>
  </si>
  <si>
    <t>M-LDL-C %</t>
  </si>
  <si>
    <t>M_LDL_C_pct</t>
  </si>
  <si>
    <t>Cholesterol to total lipids ratio in medium LDL</t>
  </si>
  <si>
    <t>M_LDL_FC</t>
  </si>
  <si>
    <t>S-LDL-CE %</t>
  </si>
  <si>
    <t>S_LDL_CE_pct</t>
  </si>
  <si>
    <t>M_LDL_L</t>
  </si>
  <si>
    <t>IDL_L</t>
  </si>
  <si>
    <t>Omega_3</t>
  </si>
  <si>
    <t>S_LDL_L</t>
  </si>
  <si>
    <t>S_LDL_FC</t>
  </si>
  <si>
    <t>XS_VLDL_PL</t>
  </si>
  <si>
    <t>Very small VLDL</t>
  </si>
  <si>
    <t>S-HDL-PL %</t>
  </si>
  <si>
    <t>S_HDL_PL_pct</t>
  </si>
  <si>
    <t>Total_FC</t>
  </si>
  <si>
    <t>M-LDL-CE %</t>
  </si>
  <si>
    <t>M_LDL_CE_pct</t>
  </si>
  <si>
    <t>M_LDL_PL</t>
  </si>
  <si>
    <t>M-HDL-C %</t>
  </si>
  <si>
    <t>M_HDL_C_pct</t>
  </si>
  <si>
    <t>Cholesterol to total lipids ratio in medium HDL</t>
  </si>
  <si>
    <t>M-HDL-CE %</t>
  </si>
  <si>
    <t>M_HDL_CE_pct</t>
  </si>
  <si>
    <t>S-LDL-PL %</t>
  </si>
  <si>
    <t>S_LDL_PL_pct</t>
  </si>
  <si>
    <t>XXL-VLDL-FC %</t>
  </si>
  <si>
    <t>XXL_VLDL_FC_pct</t>
  </si>
  <si>
    <t>Chylomicrons and extremely large VLDL ratios</t>
  </si>
  <si>
    <t>M-LDL-PL %</t>
  </si>
  <si>
    <t>M_LDL_PL_pct</t>
  </si>
  <si>
    <t>M-VLDL-TG %</t>
  </si>
  <si>
    <t>M_VLDL_TG_pct</t>
  </si>
  <si>
    <t>M-VLDL-FC %</t>
  </si>
  <si>
    <t>M_VLDL_FC_pct</t>
  </si>
  <si>
    <t>S-HDL-FC %</t>
  </si>
  <si>
    <t>S_HDL_FC_pct</t>
  </si>
  <si>
    <t>L-LDL-CE %</t>
  </si>
  <si>
    <t>L_LDL_CE_pct</t>
  </si>
  <si>
    <t>L-HDL-C %</t>
  </si>
  <si>
    <t>L_HDL_C_pct</t>
  </si>
  <si>
    <t>Cholesterol to total lipids ratio in large HDL</t>
  </si>
  <si>
    <t>S_LDL_PL</t>
  </si>
  <si>
    <t>S_HDL_PL</t>
  </si>
  <si>
    <t>XS_VLDL_FC</t>
  </si>
  <si>
    <t>Omega_6</t>
  </si>
  <si>
    <t>S-HDL-TG %</t>
  </si>
  <si>
    <t>S_HDL_TG_pct</t>
  </si>
  <si>
    <t>TG_by_PG</t>
  </si>
  <si>
    <t>ratio</t>
  </si>
  <si>
    <t>M-VLDL-C %</t>
  </si>
  <si>
    <t>M_VLDL_C_pct</t>
  </si>
  <si>
    <t>Cholesterol to total lipids ratio in medium VLDL</t>
  </si>
  <si>
    <t>L-HDL-PL %</t>
  </si>
  <si>
    <t>L_HDL_PL_pct</t>
  </si>
  <si>
    <t>XS_VLDL_C</t>
  </si>
  <si>
    <t>Cholesterol in very small VLDL</t>
  </si>
  <si>
    <t>IDL-CE %</t>
  </si>
  <si>
    <t>IDL_CE_pct</t>
  </si>
  <si>
    <t>XS-VLDL-CE %</t>
  </si>
  <si>
    <t>XS_VLDL_CE_pct</t>
  </si>
  <si>
    <t>XS_VLDL_CE</t>
  </si>
  <si>
    <t>Cholesteryl esters in very small VLDL</t>
  </si>
  <si>
    <t>L-VLDL-CE %</t>
  </si>
  <si>
    <t>L_VLDL_CE_pct</t>
  </si>
  <si>
    <t>S_HDL_FC</t>
  </si>
  <si>
    <t>hdl3c</t>
  </si>
  <si>
    <t>L-LDL-PL %</t>
  </si>
  <si>
    <t>L_LDL_PL_pct</t>
  </si>
  <si>
    <t>XXL-VLDL-CE %</t>
  </si>
  <si>
    <t>XXL_VLDL_CE_pct</t>
  </si>
  <si>
    <t>L-HDL-CE %</t>
  </si>
  <si>
    <t>L_HDL_CE_pct</t>
  </si>
  <si>
    <t>S-LDL-FC %</t>
  </si>
  <si>
    <t>S_LDL_FC_pct</t>
  </si>
  <si>
    <t>SFA_pct</t>
  </si>
  <si>
    <t>S_VLDL_CE</t>
  </si>
  <si>
    <t>Cholesteryl esters in small VLDL</t>
  </si>
  <si>
    <t>Remnant_C</t>
  </si>
  <si>
    <t>M-LDL-FC %</t>
  </si>
  <si>
    <t>M_LDL_FC_pct</t>
  </si>
  <si>
    <t>XL-HDL-PL %</t>
  </si>
  <si>
    <t>XL_HDL_PL_pct</t>
  </si>
  <si>
    <t>L_HDL_TG</t>
  </si>
  <si>
    <t>XL-HDL-CE %</t>
  </si>
  <si>
    <t>XL_HDL_CE_pct</t>
  </si>
  <si>
    <t>XL-HDL-TG %</t>
  </si>
  <si>
    <t>XL_HDL_TG_pct</t>
  </si>
  <si>
    <t>XS_VLDL_L</t>
  </si>
  <si>
    <t>XL-VLDL-TG %</t>
  </si>
  <si>
    <t>XL_VLDL_TG_pct</t>
  </si>
  <si>
    <t>M-HDL-TG %</t>
  </si>
  <si>
    <t>M_HDL_TG_pct</t>
  </si>
  <si>
    <t>XL-VLDL-PL %</t>
  </si>
  <si>
    <t>XL_VLDL_PL_pct</t>
  </si>
  <si>
    <t>Omega_3_pct</t>
  </si>
  <si>
    <t>L-VLDL-FC %</t>
  </si>
  <si>
    <t>L_VLDL_FC_pct</t>
  </si>
  <si>
    <t>XL-HDL-C %</t>
  </si>
  <si>
    <t>XL_HDL_C_pct</t>
  </si>
  <si>
    <t>Cholesterol to total lipids ratio in very large HDL</t>
  </si>
  <si>
    <t>Total_FA</t>
  </si>
  <si>
    <t>M-VLDL-PL %</t>
  </si>
  <si>
    <t>M_VLDL_PL_pct</t>
  </si>
  <si>
    <t>MUFA_pct</t>
  </si>
  <si>
    <t>S_HDL_CE</t>
  </si>
  <si>
    <t>Cholesteryl esters in small HDL</t>
  </si>
  <si>
    <t>XL-VLDL-CE %</t>
  </si>
  <si>
    <t>XL_VLDL_CE_pct</t>
  </si>
  <si>
    <t>XL-VLDL-C %</t>
  </si>
  <si>
    <t>XL_VLDL_C_pct</t>
  </si>
  <si>
    <t>Cholesterol to total lipids ratio in very large VLDL</t>
  </si>
  <si>
    <t>S_HDL_L</t>
  </si>
  <si>
    <t>LDL_size</t>
  </si>
  <si>
    <t>M-HDL-FC %</t>
  </si>
  <si>
    <t>M_HDL_FC_pct</t>
  </si>
  <si>
    <t>S_VLDL_TG</t>
  </si>
  <si>
    <t>L_VLDL_TG</t>
  </si>
  <si>
    <t>M_HDL_CE</t>
  </si>
  <si>
    <t>Cholesteryl esters in medium HDL</t>
  </si>
  <si>
    <t>M_HDL_TG</t>
  </si>
  <si>
    <t>M_HDL_C</t>
  </si>
  <si>
    <t>Cholesterol in medium HDL</t>
  </si>
  <si>
    <t>S_VLDL_C</t>
  </si>
  <si>
    <t>Cholesterol in small VLDL</t>
  </si>
  <si>
    <t>S-VLDL-PL %</t>
  </si>
  <si>
    <t>S_VLDL_PL_pct</t>
  </si>
  <si>
    <t>L_VLDL_L</t>
  </si>
  <si>
    <t>VLDL_TG</t>
  </si>
  <si>
    <t>M_VLDL_TG</t>
  </si>
  <si>
    <t>XL_HDL_TG</t>
  </si>
  <si>
    <t>XS_VLDL_TG</t>
  </si>
  <si>
    <t>LA_pct</t>
  </si>
  <si>
    <t>XL-VLDL-FC %</t>
  </si>
  <si>
    <t>XL_VLDL_FC_pct</t>
  </si>
  <si>
    <t>L_VLDL_PL</t>
  </si>
  <si>
    <t>Œºmol/l</t>
  </si>
  <si>
    <t>Monounsaturated fatty acids</t>
  </si>
  <si>
    <t>XL_VLDL_TG</t>
  </si>
  <si>
    <t>L-LDL-FC %</t>
  </si>
  <si>
    <t>L_LDL_FC_pct</t>
  </si>
  <si>
    <t>Total_TG</t>
  </si>
  <si>
    <t>M_HDL_FC</t>
  </si>
  <si>
    <t>S_HDL_C</t>
  </si>
  <si>
    <t>Cholesterol in small HDL</t>
  </si>
  <si>
    <t>L_VLDL_FC</t>
  </si>
  <si>
    <t>S_HDL_P</t>
  </si>
  <si>
    <t>L-HDL-TG %</t>
  </si>
  <si>
    <t>L_HDL_TG_pct</t>
  </si>
  <si>
    <t>ApoB_by_ApoA1</t>
  </si>
  <si>
    <t>Ratio of apolipoprotein B to apolipoprotein A1</t>
  </si>
  <si>
    <t>L_VLDL_C</t>
  </si>
  <si>
    <t>Cholesterol in large VLDL</t>
  </si>
  <si>
    <t>M_VLDL_FC</t>
  </si>
  <si>
    <t>IDL-PL %</t>
  </si>
  <si>
    <t>IDL_PL_pct</t>
  </si>
  <si>
    <t>XL_VLDL_L</t>
  </si>
  <si>
    <t>L_HDL_P</t>
  </si>
  <si>
    <t>XXL-VLDL-PL %</t>
  </si>
  <si>
    <t>XXL_VLDL_PL_pct</t>
  </si>
  <si>
    <t>VLDL_C</t>
  </si>
  <si>
    <t>VLDL cholesterol</t>
  </si>
  <si>
    <t>XXL-VLDL-C %</t>
  </si>
  <si>
    <t>XXL_VLDL_C_pct</t>
  </si>
  <si>
    <t>Cholesterol to total lipids ratio in chylomicrons and extremely large VLDL</t>
  </si>
  <si>
    <t>L_VLDL_CE</t>
  </si>
  <si>
    <t>Cholesteryl esters in large VLDL</t>
  </si>
  <si>
    <t>M_VLDL_CE</t>
  </si>
  <si>
    <t>Cholesteryl esters in medium VLDL</t>
  </si>
  <si>
    <t>M_VLDL_L</t>
  </si>
  <si>
    <t>S_VLDL_PL</t>
  </si>
  <si>
    <t>M_HDL_L</t>
  </si>
  <si>
    <t>S-VLDL-FC %</t>
  </si>
  <si>
    <t>S_VLDL_FC_pct</t>
  </si>
  <si>
    <t>M_VLDL_PL</t>
  </si>
  <si>
    <t>M_LDL_TG</t>
  </si>
  <si>
    <t>XXL_VLDL_FC</t>
  </si>
  <si>
    <t>Chylomicrons and extremely large VLDL</t>
  </si>
  <si>
    <t>HDL_TG</t>
  </si>
  <si>
    <t>XXL_VLDL_CE</t>
  </si>
  <si>
    <t>Cholesteryl esters in chylomicrons and extremely large VLDL</t>
  </si>
  <si>
    <t>XL_VLDL_PL</t>
  </si>
  <si>
    <t>XXL_VLDL_TG</t>
  </si>
  <si>
    <t>XL_VLDL_CE</t>
  </si>
  <si>
    <t>Cholesteryl esters in very large VLDL</t>
  </si>
  <si>
    <t>XL_VLDL_C</t>
  </si>
  <si>
    <t>Cholesterol in very large VLDL</t>
  </si>
  <si>
    <t>L-VLDL-PL %</t>
  </si>
  <si>
    <t>L_VLDL_PL_pct</t>
  </si>
  <si>
    <t>XL_VLDL_FC</t>
  </si>
  <si>
    <t>M_HDL_P</t>
  </si>
  <si>
    <t>XXL_VLDL_PL</t>
  </si>
  <si>
    <t>L_LDL_TG</t>
  </si>
  <si>
    <t>XXL_VLDL_L</t>
  </si>
  <si>
    <t>IDL_TG</t>
  </si>
  <si>
    <t>S_VLDL_FC</t>
  </si>
  <si>
    <t>S_LDL_TG</t>
  </si>
  <si>
    <t>M_HDL_PL</t>
  </si>
  <si>
    <t>S_VLDL_L</t>
  </si>
  <si>
    <t>XL_HDL_P</t>
  </si>
  <si>
    <t>XXL-VLDL-TG %</t>
  </si>
  <si>
    <t>XXL_VLDL_TG_pct</t>
  </si>
  <si>
    <t>LDL_TG</t>
  </si>
  <si>
    <t>L-VLDL-TG %</t>
  </si>
  <si>
    <t>L_VLDL_TG_pct</t>
  </si>
  <si>
    <t>XL-HDL-FC %</t>
  </si>
  <si>
    <t>XL_HDL_FC_pct</t>
  </si>
  <si>
    <t>L_LDL_P</t>
  </si>
  <si>
    <t>S_LDL_P</t>
  </si>
  <si>
    <t>M_LDL_P</t>
  </si>
  <si>
    <t>XXL_VLDL_C</t>
  </si>
  <si>
    <t>Cholesterol in chylomicrons and extremely large VLDL</t>
  </si>
  <si>
    <t>IDL_P</t>
  </si>
  <si>
    <t>M_VLDL_C</t>
  </si>
  <si>
    <t>Cholesterol in medium VLDL</t>
  </si>
  <si>
    <t>XS_VLDL_P</t>
  </si>
  <si>
    <t>S_VLDL_P</t>
  </si>
  <si>
    <t>M_VLDL_P</t>
  </si>
  <si>
    <t>L-VLDL-C %</t>
  </si>
  <si>
    <t>L_VLDL_C_pct</t>
  </si>
  <si>
    <t>Cholesterol to total lipids ratio in large VLDL</t>
  </si>
  <si>
    <t>L_VLDL_P</t>
  </si>
  <si>
    <t>XL_VLDL_P</t>
  </si>
  <si>
    <t>XXL_VLDL_P</t>
  </si>
  <si>
    <t>metab_compid_437</t>
  </si>
  <si>
    <t>metab_compid_3127</t>
  </si>
  <si>
    <t>metab_compid_37114</t>
  </si>
  <si>
    <t>metab_compid_558</t>
  </si>
  <si>
    <t>metab_compid_568</t>
  </si>
  <si>
    <t>metab_compid_542</t>
  </si>
  <si>
    <t>metab_compid_5983</t>
  </si>
  <si>
    <t>metab_compid_513</t>
  </si>
  <si>
    <t>metab_compid_1643</t>
  </si>
  <si>
    <t>metab_compid_58</t>
  </si>
  <si>
    <t>metab_compid_59</t>
  </si>
  <si>
    <t>metab_compid_1125</t>
  </si>
  <si>
    <t>metab_compid_6146</t>
  </si>
  <si>
    <t>metab_compid_47089</t>
  </si>
  <si>
    <t>metab_compid_567</t>
  </si>
  <si>
    <t>metab_compid_60</t>
  </si>
  <si>
    <t>metab_compid_64</t>
  </si>
  <si>
    <t>metab_compid_597</t>
  </si>
  <si>
    <t>metab_compid_527</t>
  </si>
  <si>
    <t>metab_compid_1827</t>
  </si>
  <si>
    <t>metab_compid_53</t>
  </si>
  <si>
    <t>metab_compid_1649</t>
  </si>
  <si>
    <t>metab_compid_48152</t>
  </si>
  <si>
    <t>metab_compid_4968</t>
  </si>
  <si>
    <t>metab_compid_555</t>
  </si>
  <si>
    <t>metab_compid_1126</t>
  </si>
  <si>
    <t>metab_compid_1299</t>
  </si>
  <si>
    <t>metab_compid_15872</t>
  </si>
  <si>
    <t>metab_compid_48990</t>
  </si>
  <si>
    <t>metab_compid_605</t>
  </si>
  <si>
    <t>metab_compid_553</t>
  </si>
  <si>
    <t>metab_compid_554</t>
  </si>
  <si>
    <t>metab_compid_573</t>
  </si>
  <si>
    <t>metab_compid_1471</t>
  </si>
  <si>
    <t>metab_compid_1644</t>
  </si>
  <si>
    <t>metab_compid_1573</t>
  </si>
  <si>
    <t>metab_compid_1563</t>
  </si>
  <si>
    <t>metab_compid_1564</t>
  </si>
  <si>
    <t>metab_compid_1559</t>
  </si>
  <si>
    <t>metab_compid_33443</t>
  </si>
  <si>
    <t>metab_compid_40605</t>
  </si>
  <si>
    <t>metab_compid_33963</t>
  </si>
  <si>
    <t>metab_compid_18474</t>
  </si>
  <si>
    <t>metab_compid_15122</t>
  </si>
  <si>
    <t>metab_compid_57393</t>
  </si>
  <si>
    <t>metab_compid_44619</t>
  </si>
  <si>
    <t>metab_compid_12032</t>
  </si>
  <si>
    <t>metab_compid_12122</t>
  </si>
  <si>
    <t>metab_compid_2772</t>
  </si>
  <si>
    <t>metab_compid_17799</t>
  </si>
  <si>
    <t>metab_compid_38165</t>
  </si>
  <si>
    <t>metab_compid_32462</t>
  </si>
  <si>
    <t>metab_compid_18362</t>
  </si>
  <si>
    <t>metab_compid_45721</t>
  </si>
  <si>
    <t>metab_compid_15749</t>
  </si>
  <si>
    <t>metab_compid_15736</t>
  </si>
  <si>
    <t>metab_compid_15704</t>
  </si>
  <si>
    <t>metab_compid_15667</t>
  </si>
  <si>
    <t>metab_compid_18357</t>
  </si>
  <si>
    <t>metab_compid_33422</t>
  </si>
  <si>
    <t>metab_compid_22196</t>
  </si>
  <si>
    <t>metab_compid_19266</t>
  </si>
  <si>
    <t>metab_compid_44675</t>
  </si>
  <si>
    <t>metab_compid_32328</t>
  </si>
  <si>
    <t>metab_compid_22206</t>
  </si>
  <si>
    <t>metab_compid_32425</t>
  </si>
  <si>
    <t>metab_compid_21127</t>
  </si>
  <si>
    <t>metab_compid_21151</t>
  </si>
  <si>
    <t>metab_compid_21025</t>
  </si>
  <si>
    <t>metab_compid_21232</t>
  </si>
  <si>
    <t>metab_compid_27731</t>
  </si>
  <si>
    <t>metab_compid_31904</t>
  </si>
  <si>
    <t>metab_compid_31675</t>
  </si>
  <si>
    <t>metab_compid_31536</t>
  </si>
  <si>
    <t>metab_compid_31530</t>
  </si>
  <si>
    <t>metab_compid_32504</t>
  </si>
  <si>
    <t>metab_compid_32446</t>
  </si>
  <si>
    <t>metab_compid_33959</t>
  </si>
  <si>
    <t>metab_compid_34420</t>
  </si>
  <si>
    <t>metab_compid_33937</t>
  </si>
  <si>
    <t>metab_compid_32882</t>
  </si>
  <si>
    <t>metab_compid_33139</t>
  </si>
  <si>
    <t>metab_compid_33084</t>
  </si>
  <si>
    <t>metab_compid_31548</t>
  </si>
  <si>
    <t>metab_compid_57712</t>
  </si>
  <si>
    <t>metab_compid_41754</t>
  </si>
  <si>
    <t>metab_compid_34534</t>
  </si>
  <si>
    <t>metab_compid_34400</t>
  </si>
  <si>
    <t>metab_compid_34395</t>
  </si>
  <si>
    <t>metab_compid_62924</t>
  </si>
  <si>
    <t>metab_compid_34393</t>
  </si>
  <si>
    <t>metab_compid_34428</t>
  </si>
  <si>
    <t>metab_compid_35153</t>
  </si>
  <si>
    <t>metab_compid_45095</t>
  </si>
  <si>
    <t>metab_compid_35436</t>
  </si>
  <si>
    <t>metab_compid_33080</t>
  </si>
  <si>
    <t>metab_compid_46225</t>
  </si>
  <si>
    <t>metab_compid_35324</t>
  </si>
  <si>
    <t>metab_compid_36803</t>
  </si>
  <si>
    <t>metab_compid_42395</t>
  </si>
  <si>
    <t>metab_compid_35625</t>
  </si>
  <si>
    <t>metab_compid_52307</t>
  </si>
  <si>
    <t>metab_compid_35651</t>
  </si>
  <si>
    <t>metab_compid_34214</t>
  </si>
  <si>
    <t>metab_compid_48130</t>
  </si>
  <si>
    <t>metab_compid_46331</t>
  </si>
  <si>
    <t>metab_compid_46106</t>
  </si>
  <si>
    <t>metab_compid_36649</t>
  </si>
  <si>
    <t>metab_compid_33173</t>
  </si>
  <si>
    <t>metab_compid_47031</t>
  </si>
  <si>
    <t>metab_compid_33161</t>
  </si>
  <si>
    <t>metab_compid_34365</t>
  </si>
  <si>
    <t>metab_compid_37070</t>
  </si>
  <si>
    <t>metab_compid_37112</t>
  </si>
  <si>
    <t>metab_compid_37104</t>
  </si>
  <si>
    <t>metab_compid_37058</t>
  </si>
  <si>
    <t>metab_compid_37207</t>
  </si>
  <si>
    <t>metab_compid_37480</t>
  </si>
  <si>
    <t>metab_compid_62100</t>
  </si>
  <si>
    <t>metab_compid_37443</t>
  </si>
  <si>
    <t>metab_compid_37482</t>
  </si>
  <si>
    <t>metab_compid_37372</t>
  </si>
  <si>
    <t>metab_compid_37536</t>
  </si>
  <si>
    <t>metab_compid_38127</t>
  </si>
  <si>
    <t>metab_compid_62919</t>
  </si>
  <si>
    <t>metab_compid_48188</t>
  </si>
  <si>
    <t>metab_compid_38625</t>
  </si>
  <si>
    <t>metab_compid_37020</t>
  </si>
  <si>
    <t>metab_compid_37056</t>
  </si>
  <si>
    <t>metab_compid_47897</t>
  </si>
  <si>
    <t>metab_compid_43592</t>
  </si>
  <si>
    <t>metab_compid_38140</t>
  </si>
  <si>
    <t>metab_compid_38306</t>
  </si>
  <si>
    <t>metab_compid_38366</t>
  </si>
  <si>
    <t>metab_compid_43496</t>
  </si>
  <si>
    <t>metab_compid_38321</t>
  </si>
  <si>
    <t>metab_compid_41726</t>
  </si>
  <si>
    <t>metab_compid_40173</t>
  </si>
  <si>
    <t>metab_compid_38661</t>
  </si>
  <si>
    <t>metab_compid_38600</t>
  </si>
  <si>
    <t>metab_compid_38658</t>
  </si>
  <si>
    <t>metab_compid_39625</t>
  </si>
  <si>
    <t>metab_compid_38595</t>
  </si>
  <si>
    <t>metab_compid_39788</t>
  </si>
  <si>
    <t>metab_compid_62873</t>
  </si>
  <si>
    <t>metab_compid_39757</t>
  </si>
  <si>
    <t>metab_compid_38686</t>
  </si>
  <si>
    <t>metab_compid_38623</t>
  </si>
  <si>
    <t>metab_compid_38609</t>
  </si>
  <si>
    <t>metab_compid_39787</t>
  </si>
  <si>
    <t>metab_compid_39603</t>
  </si>
  <si>
    <t>metab_compid_62946</t>
  </si>
  <si>
    <t>metab_compid_39378</t>
  </si>
  <si>
    <t>metab_compid_38768</t>
  </si>
  <si>
    <t>metab_compid_39609</t>
  </si>
  <si>
    <t>metab_compid_39767</t>
  </si>
  <si>
    <t>metab_compid_46798</t>
  </si>
  <si>
    <t>metab_compid_46223</t>
  </si>
  <si>
    <t>metab_compid_40008</t>
  </si>
  <si>
    <t>metab_compid_40010</t>
  </si>
  <si>
    <t>metab_compid_39835</t>
  </si>
  <si>
    <t>metab_compid_39730</t>
  </si>
  <si>
    <t>metab_compid_63990</t>
  </si>
  <si>
    <t>metab_compid_62860</t>
  </si>
  <si>
    <t>metab_compid_40461</t>
  </si>
  <si>
    <t>metab_compid_40459</t>
  </si>
  <si>
    <t>metab_compid_40437</t>
  </si>
  <si>
    <t>metab_compid_41370</t>
  </si>
  <si>
    <t>metab_compid_42079</t>
  </si>
  <si>
    <t>metab_compid_40475</t>
  </si>
  <si>
    <t>metab_compid_37252</t>
  </si>
  <si>
    <t>metab_compid_42613</t>
  </si>
  <si>
    <t>metab_compid_42981</t>
  </si>
  <si>
    <t>metab_compid_40807</t>
  </si>
  <si>
    <t>metab_compid_43011</t>
  </si>
  <si>
    <t>metab_compid_43330</t>
  </si>
  <si>
    <t>metab_compid_43333</t>
  </si>
  <si>
    <t>metab_compid_43334</t>
  </si>
  <si>
    <t>metab_compid_62976</t>
  </si>
  <si>
    <t>metab_compid_43335</t>
  </si>
  <si>
    <t>metab_compid_43579</t>
  </si>
  <si>
    <t>metab_compid_43580</t>
  </si>
  <si>
    <t>metab_compid_43507</t>
  </si>
  <si>
    <t>metab_compid_43009</t>
  </si>
  <si>
    <t>metab_compid_45966</t>
  </si>
  <si>
    <t>metab_compid_62069</t>
  </si>
  <si>
    <t>metab_compid_43534</t>
  </si>
  <si>
    <t>metab_compid_62352</t>
  </si>
  <si>
    <t>metab_compid_47101</t>
  </si>
  <si>
    <t>metab_compid_47132</t>
  </si>
  <si>
    <t>metab_compid_47135</t>
  </si>
  <si>
    <t>metab_compid_47119</t>
  </si>
  <si>
    <t>metab_compid_48141</t>
  </si>
  <si>
    <t>metab_compid_47666</t>
  </si>
  <si>
    <t>metab_compid_63926</t>
  </si>
  <si>
    <t>metab_compid_48433</t>
  </si>
  <si>
    <t>metab_compid_48997</t>
  </si>
  <si>
    <t>metab_compid_48394</t>
  </si>
  <si>
    <t>metab_compid_54749</t>
  </si>
  <si>
    <t>metab_compid_48569</t>
  </si>
  <si>
    <t>metab_compid_48480</t>
  </si>
  <si>
    <t>metab_compid_48680</t>
  </si>
  <si>
    <t>metab_compid_48566</t>
  </si>
  <si>
    <t>metab_compid_53256</t>
  </si>
  <si>
    <t>metab_compid_53241</t>
  </si>
  <si>
    <t>metab_compid_53239</t>
  </si>
  <si>
    <t>metab_compid_52357</t>
  </si>
  <si>
    <t>metab_compid_52990</t>
  </si>
  <si>
    <t>metab_compid_62889</t>
  </si>
  <si>
    <t>metab_compid_53026</t>
  </si>
  <si>
    <t>metab_compid_52747</t>
  </si>
  <si>
    <t>metab_compid_52381</t>
  </si>
  <si>
    <t>metab_compid_52282</t>
  </si>
  <si>
    <t>metab_compid_52916</t>
  </si>
  <si>
    <t>metab_compid_52913</t>
  </si>
  <si>
    <t>metab_compid_52931</t>
  </si>
  <si>
    <t>metab_compid_52948</t>
  </si>
  <si>
    <t>metab_compid_52954</t>
  </si>
  <si>
    <t>metab_compid_52950</t>
  </si>
  <si>
    <t>metab_compid_54745</t>
  </si>
  <si>
    <t>metab_compid_53209</t>
  </si>
  <si>
    <t>metab_compid_53189</t>
  </si>
  <si>
    <t>metab_compid_54800</t>
  </si>
  <si>
    <t>metab_compid_54792</t>
  </si>
  <si>
    <t>metab_compid_53257</t>
  </si>
  <si>
    <t>metab_compid_53258</t>
  </si>
  <si>
    <t>metab_compid_54762</t>
  </si>
  <si>
    <t>metab_compid_54946</t>
  </si>
  <si>
    <t>metab_compid_54969</t>
  </si>
  <si>
    <t>metab_compid_57422</t>
  </si>
  <si>
    <t>metab_compid_57372</t>
  </si>
  <si>
    <t>metab_compid_57663</t>
  </si>
  <si>
    <t>metab_compid_61698</t>
  </si>
  <si>
    <t>metab_compid_57659</t>
  </si>
  <si>
    <t>metab_compid_57404</t>
  </si>
  <si>
    <t>metab_compid_57442</t>
  </si>
  <si>
    <t>metab_compid_57437</t>
  </si>
  <si>
    <t>metab_compid_57440</t>
  </si>
  <si>
    <t>metab_compid_61505</t>
  </si>
  <si>
    <t>metab_compid_57794</t>
  </si>
  <si>
    <t>metab_compid_57646</t>
  </si>
  <si>
    <t>metab_compid_57691</t>
  </si>
  <si>
    <t>metab_compid_57668</t>
  </si>
  <si>
    <t>metab_compid_57658</t>
  </si>
  <si>
    <t>metab_compid_57529</t>
  </si>
  <si>
    <t>metab_compid_57642</t>
  </si>
  <si>
    <t>metab_compid_57699</t>
  </si>
  <si>
    <t>metab_compid_57707</t>
  </si>
  <si>
    <t>metab_compid_57788</t>
  </si>
  <si>
    <t>metab_compid_61785</t>
  </si>
  <si>
    <t>metab_compid_61822</t>
  </si>
  <si>
    <t>metab_compid_61823</t>
  </si>
  <si>
    <t>metab_compid_61827</t>
  </si>
  <si>
    <t>metab_compid_61858</t>
  </si>
  <si>
    <t>metab_compid_61881</t>
  </si>
  <si>
    <t>metab_compid_61871</t>
  </si>
  <si>
    <t>metab_compid_61873</t>
  </si>
  <si>
    <t>metab_compid_61888</t>
  </si>
  <si>
    <t>metab_compid_62062</t>
  </si>
  <si>
    <t>metab_compid_62060</t>
  </si>
  <si>
    <t>metab_compid_62064</t>
  </si>
  <si>
    <t>metab_compid_62066</t>
  </si>
  <si>
    <t>metab_compid_62068</t>
  </si>
  <si>
    <t>metab_compid_62947</t>
  </si>
  <si>
    <t>metab_compid_62863</t>
  </si>
  <si>
    <t>metab_compid_63658</t>
  </si>
  <si>
    <t>metab_compid_62148</t>
  </si>
  <si>
    <t>metab_compid_62149</t>
  </si>
  <si>
    <t>metab_compid_62850</t>
  </si>
  <si>
    <t>metab_compid_62853</t>
  </si>
  <si>
    <t>metab_compid_63583</t>
  </si>
  <si>
    <t>metab_compid_64131</t>
  </si>
  <si>
    <t>metab_compid_62530</t>
  </si>
  <si>
    <t>metab_compid_62862</t>
  </si>
  <si>
    <t>metab_compid_62711</t>
  </si>
  <si>
    <t>metab_compid_63072</t>
  </si>
  <si>
    <t>metab_compid_63251</t>
  </si>
  <si>
    <t>metab_compid_63610</t>
  </si>
  <si>
    <t>metab_compid_63597</t>
  </si>
  <si>
    <t>metab_compid_62732</t>
  </si>
  <si>
    <t>metab_compid_62477</t>
  </si>
  <si>
    <t>metab_compid_62479</t>
  </si>
  <si>
    <t>metab_compid_62480</t>
  </si>
  <si>
    <t>metab_compid_62481</t>
  </si>
  <si>
    <t>metab_compid_62484</t>
  </si>
  <si>
    <t>metab_compid_62485</t>
  </si>
  <si>
    <t>metab_compid_62970</t>
  </si>
  <si>
    <t>metab_compid_62972</t>
  </si>
  <si>
    <t>metab_compid_62973</t>
  </si>
  <si>
    <t>metab_compid_63732</t>
  </si>
  <si>
    <t>metab_compid_62527</t>
  </si>
  <si>
    <t>metab_compid_62567</t>
  </si>
  <si>
    <t>metab_compid_63120</t>
  </si>
  <si>
    <t>metab_compid_63042</t>
  </si>
  <si>
    <t>metab_compid_62819</t>
  </si>
  <si>
    <t>metab_compid_62793</t>
  </si>
  <si>
    <t>metab_compid_64075</t>
  </si>
  <si>
    <t>metab_compid_64117</t>
  </si>
  <si>
    <t>metab_compid_64124</t>
  </si>
  <si>
    <t>metab_compid_62805</t>
  </si>
  <si>
    <t>metab_compid_62808</t>
  </si>
  <si>
    <t>metab_compid_62809</t>
  </si>
  <si>
    <t>metab_compid_62811</t>
  </si>
  <si>
    <t>metab_compid_62810</t>
  </si>
  <si>
    <t>metab_compid_62812</t>
  </si>
  <si>
    <t>metab_compid_64093</t>
  </si>
  <si>
    <t>metab_compid_62813</t>
  </si>
  <si>
    <t>metab_compid_64102</t>
  </si>
  <si>
    <t>metab_compid_62814</t>
  </si>
  <si>
    <t>metab_compid_62815</t>
  </si>
  <si>
    <t>metab_compid_62816</t>
  </si>
  <si>
    <t>metab_compid_63285</t>
  </si>
  <si>
    <t>metab_compid_63282</t>
  </si>
  <si>
    <t>metab_compid_63279</t>
  </si>
  <si>
    <t>metab_compid_63278</t>
  </si>
  <si>
    <t>metab_compid_63275</t>
  </si>
  <si>
    <t>metab_compid_62851</t>
  </si>
  <si>
    <t>metab_compid_64205</t>
  </si>
  <si>
    <t>metab_compid_62890</t>
  </si>
  <si>
    <t>metab_compid_62922</t>
  </si>
  <si>
    <t>metab_compid_62921</t>
  </si>
  <si>
    <t>metab_compid_62923</t>
  </si>
  <si>
    <t>metab_compid_62917</t>
  </si>
  <si>
    <t>metab_compid_62959</t>
  </si>
  <si>
    <t>metab_compid_63613</t>
  </si>
  <si>
    <t>metab_compid_63361</t>
  </si>
  <si>
    <t>metab_compid_62984</t>
  </si>
  <si>
    <t>metab_compid_63057</t>
  </si>
  <si>
    <t>metab_compid_64579</t>
  </si>
  <si>
    <t>metab_compid_63226</t>
  </si>
  <si>
    <t>metab_compid_63589</t>
  </si>
  <si>
    <t>metab_compid_63153</t>
  </si>
  <si>
    <t>metab_compid_63853</t>
  </si>
  <si>
    <t>metab_compid_63191</t>
  </si>
  <si>
    <t>metab_compid_64596</t>
  </si>
  <si>
    <t>metab_compid_63436</t>
  </si>
  <si>
    <t>metab_compid_63603</t>
  </si>
  <si>
    <t>metab_compid_63607</t>
  </si>
  <si>
    <t>metab_compid_63650</t>
  </si>
  <si>
    <t>metab_compid_63681</t>
  </si>
  <si>
    <t>metab_compid_63683</t>
  </si>
  <si>
    <t>metab_compid_63685</t>
  </si>
  <si>
    <t>metab_compid_63688</t>
  </si>
  <si>
    <t>metab_compid_63699</t>
  </si>
  <si>
    <t>metab_compid_64390</t>
  </si>
  <si>
    <t>metab_compid_63920</t>
  </si>
  <si>
    <t>metab_compid_64199</t>
  </si>
  <si>
    <t>metab_compid_64209</t>
  </si>
  <si>
    <t>metab_compid_64593</t>
  </si>
  <si>
    <t>metab_compid_64527</t>
  </si>
  <si>
    <t>metab_compid_64328</t>
  </si>
  <si>
    <t>metab_compid_64330</t>
  </si>
  <si>
    <t>metab_compid_64393</t>
  </si>
  <si>
    <t>metab_compid_64386</t>
  </si>
  <si>
    <t>metab_compid_64403</t>
  </si>
  <si>
    <t>metab_compid_64404</t>
  </si>
  <si>
    <t>metab_compid_64409</t>
  </si>
  <si>
    <t>metab_compid_64407</t>
  </si>
  <si>
    <t>metab_compid_64408</t>
  </si>
  <si>
    <t>metab_compid_64405</t>
  </si>
  <si>
    <t>metab_compid_64406</t>
  </si>
  <si>
    <t>metab_compid_64411</t>
  </si>
  <si>
    <t>metab_compid_64414</t>
  </si>
  <si>
    <t>metab_compid_64415</t>
  </si>
  <si>
    <t>metab_compid_64420</t>
  </si>
  <si>
    <t>metab_compid_64424</t>
  </si>
  <si>
    <t>metab_compid_64421</t>
  </si>
  <si>
    <t>metab_compid_64571</t>
  </si>
  <si>
    <t>metab_compid_64568</t>
  </si>
  <si>
    <t>metab_compid_64591</t>
  </si>
  <si>
    <t>metab_compid_64623</t>
  </si>
  <si>
    <t>metab_compid_64873</t>
  </si>
  <si>
    <t>metab_compid_64896</t>
  </si>
  <si>
    <t>metab_compid_46595</t>
  </si>
  <si>
    <t>metab_compid_46596</t>
  </si>
  <si>
    <t>metab_compid_47686</t>
  </si>
  <si>
    <t>metab_compid_47657</t>
  </si>
  <si>
    <t>metab_compid_47639</t>
  </si>
  <si>
    <t>metab_compid_47437</t>
  </si>
  <si>
    <t>metab_compid_47719</t>
  </si>
  <si>
    <t>metab_compid_46962</t>
  </si>
  <si>
    <t>metab_compid_47937</t>
  </si>
  <si>
    <t>metab_compid_46630</t>
  </si>
  <si>
    <t>metab_compid_47967</t>
  </si>
  <si>
    <t>metab_compid_46658</t>
  </si>
  <si>
    <t>metab_compid_46661</t>
  </si>
  <si>
    <t>metab_compid_46673</t>
  </si>
  <si>
    <t>metab_compid_47992</t>
  </si>
  <si>
    <t>metab_compid_47813</t>
  </si>
  <si>
    <t>metab_compid_47995</t>
  </si>
  <si>
    <t>metab_compid_46989</t>
  </si>
  <si>
    <t>metab_compid_48003</t>
  </si>
  <si>
    <t>metab_compid_48007</t>
  </si>
  <si>
    <t>metab_compid_48013</t>
  </si>
  <si>
    <t>metab_compid_48051</t>
  </si>
  <si>
    <t>metab_compid_48052</t>
  </si>
  <si>
    <t>metab_compid_47323</t>
  </si>
  <si>
    <t>metab_compid_47672</t>
  </si>
  <si>
    <t>metab_compid_47673</t>
  </si>
  <si>
    <t>metab_compid_46396</t>
  </si>
  <si>
    <t>metab_compid_46455</t>
  </si>
  <si>
    <t>metab_compid_46696</t>
  </si>
  <si>
    <t>metab_compid_46980</t>
  </si>
  <si>
    <t>metab_compid_46992</t>
  </si>
  <si>
    <t>metab_compid_47008</t>
  </si>
  <si>
    <t>metab_compid_47016</t>
  </si>
  <si>
    <t>metab_compid_47017</t>
  </si>
  <si>
    <t>metab_compid_47028</t>
  </si>
  <si>
    <t>metab_compid_47389</t>
  </si>
  <si>
    <t>metab_compid_49459</t>
  </si>
  <si>
    <t>metab_compid_49512</t>
  </si>
  <si>
    <t>metab_compid_49517</t>
  </si>
  <si>
    <t>metab_compid_49532</t>
  </si>
  <si>
    <t>metab_compid_49539</t>
  </si>
  <si>
    <t>metab_compid_49543</t>
  </si>
  <si>
    <t>metab_compid_49688</t>
  </si>
  <si>
    <t>metab_compid_52548</t>
  </si>
  <si>
    <t>metab_compid_52637</t>
  </si>
  <si>
    <t>metab_compid_52639</t>
  </si>
  <si>
    <t>metab_compid_52640</t>
  </si>
  <si>
    <t>metab_compid_52636</t>
  </si>
  <si>
    <t>metab_compid_52661</t>
  </si>
  <si>
    <t>metab_compid_52790</t>
  </si>
  <si>
    <t>metab_compid_52792</t>
  </si>
  <si>
    <t>metab_compid_52866</t>
  </si>
  <si>
    <t>metab_compid_52892</t>
  </si>
  <si>
    <t>metab_compid_52899</t>
  </si>
  <si>
    <t>metab_compid_52902</t>
  </si>
  <si>
    <t>metab_compid_52903</t>
  </si>
  <si>
    <t>metab_compid_53023</t>
  </si>
  <si>
    <t>metab_compid_53172</t>
  </si>
  <si>
    <t>metab_compid_54695</t>
  </si>
  <si>
    <t>metab_compid_54823</t>
  </si>
  <si>
    <t>metab_compid_57719</t>
  </si>
  <si>
    <t>metab_compid_57720</t>
  </si>
  <si>
    <t>metab_compid_57754</t>
  </si>
  <si>
    <t>metab_compid_62403</t>
  </si>
  <si>
    <t>metab_compid_62494</t>
  </si>
  <si>
    <t>metab_compid_62521</t>
  </si>
  <si>
    <t>metab_compid_62700</t>
  </si>
  <si>
    <t>metab_compid_62714</t>
  </si>
  <si>
    <t>metab_compid_62820</t>
  </si>
  <si>
    <t>metab_compid_62824</t>
  </si>
  <si>
    <t>metab_compid_62945</t>
  </si>
  <si>
    <t>metab_compid_63721</t>
  </si>
  <si>
    <t>metab_compid_63840</t>
  </si>
  <si>
    <t>metab_compid_63899</t>
  </si>
  <si>
    <t>metab_compid_63908</t>
  </si>
  <si>
    <t>metab_compid_63973</t>
  </si>
  <si>
    <t>metab_compid_64337</t>
  </si>
  <si>
    <t>metab_compid_64372</t>
  </si>
  <si>
    <t>metab_compid_64395</t>
  </si>
  <si>
    <t>metab_compid_64396</t>
  </si>
  <si>
    <t>metab_compid_64397</t>
  </si>
  <si>
    <t>metab_compid_64440</t>
  </si>
  <si>
    <t>metab_compid_64917</t>
  </si>
  <si>
    <t>metab_compid_64921</t>
  </si>
  <si>
    <t>metab_compid_64950</t>
  </si>
  <si>
    <t>metab_compid_64987</t>
  </si>
  <si>
    <t>metab_compid_65032</t>
  </si>
  <si>
    <t>metab_compid_65045</t>
  </si>
  <si>
    <t>metab_compid_46325</t>
  </si>
  <si>
    <t>metab_compid_52690</t>
  </si>
  <si>
    <t>metab_compid_53034</t>
  </si>
  <si>
    <t>metab_compid_48675</t>
  </si>
  <si>
    <t>metab_compid_61843</t>
  </si>
  <si>
    <t>metab_compid_57528</t>
  </si>
  <si>
    <t>metab_compid_32463</t>
  </si>
  <si>
    <t>metab_compid_57443</t>
  </si>
  <si>
    <t>metab_compid_55001</t>
  </si>
  <si>
    <t>metab_compid_54953</t>
  </si>
  <si>
    <t>metab_compid_54954</t>
  </si>
  <si>
    <t>metab_compid_54966</t>
  </si>
  <si>
    <t>metab_compid_33934</t>
  </si>
  <si>
    <t>metab_compid_20488</t>
  </si>
  <si>
    <t>metab_compid_33487</t>
  </si>
  <si>
    <t>metab_compid_40045</t>
  </si>
  <si>
    <t>metab_compid_54950</t>
  </si>
  <si>
    <t>metab_compid_54964</t>
  </si>
  <si>
    <t>metab_compid_54968</t>
  </si>
  <si>
    <t>metab_compid_1496</t>
  </si>
  <si>
    <t>metab_compid_57407</t>
  </si>
  <si>
    <t>metab_compid_57408</t>
  </si>
  <si>
    <t>metab_compid_57435</t>
  </si>
  <si>
    <t>metab_compid_52674</t>
  </si>
  <si>
    <t>metab_compid_54960</t>
  </si>
  <si>
    <t>metab_compid_54961</t>
  </si>
  <si>
    <t>metab_compid_54970</t>
  </si>
  <si>
    <t>metab_compid_54945</t>
  </si>
  <si>
    <t>metab_compid_57406</t>
  </si>
  <si>
    <t>metab_compid_54967</t>
  </si>
  <si>
    <t>metab_compid_52631</t>
  </si>
  <si>
    <t>metab_compid_54957</t>
  </si>
  <si>
    <t>metab_compid_54958</t>
  </si>
  <si>
    <t>metab_compid_57373</t>
  </si>
  <si>
    <t>metab_compid_54965</t>
  </si>
  <si>
    <t>metab_compid_52633</t>
  </si>
  <si>
    <t>metab_compid_52634</t>
  </si>
  <si>
    <t>metab_compid_61709</t>
  </si>
  <si>
    <t>metab_compid_57364</t>
  </si>
  <si>
    <t>metab_compid_54943</t>
  </si>
  <si>
    <t>metab_compid_54942</t>
  </si>
  <si>
    <t>metab_compid_54991</t>
  </si>
  <si>
    <t>metab_compid_54990</t>
  </si>
  <si>
    <t>metab_compid_57450</t>
  </si>
  <si>
    <t>metab_compid_57449</t>
  </si>
  <si>
    <t>metab_compid_15136</t>
  </si>
  <si>
    <t>metab_compid_32578</t>
  </si>
  <si>
    <t>metab_compid_46360</t>
  </si>
  <si>
    <t>metab_compid_46443</t>
  </si>
  <si>
    <t>metab_compid_46914</t>
  </si>
  <si>
    <t>metab_compid_46603</t>
  </si>
  <si>
    <t>metab_compid_46509</t>
  </si>
  <si>
    <t>metab_compid_47390</t>
  </si>
  <si>
    <t>metab_compid_46966</t>
  </si>
  <si>
    <t>metab_compid_46612</t>
  </si>
  <si>
    <t>metab_compid_33904</t>
  </si>
  <si>
    <t>metab_compid_46628</t>
  </si>
  <si>
    <t>metab_compid_46973</t>
  </si>
  <si>
    <t>metab_compid_46626</t>
  </si>
  <si>
    <t>metab_compid_46636</t>
  </si>
  <si>
    <t>metab_compid_47774</t>
  </si>
  <si>
    <t>metab_compid_47441</t>
  </si>
  <si>
    <t>metab_compid_46646</t>
  </si>
  <si>
    <t>metab_compid_46665</t>
  </si>
  <si>
    <t>metab_compid_46668</t>
  </si>
  <si>
    <t>metab_compid_46511</t>
  </si>
  <si>
    <t>metab_compid_46683</t>
  </si>
  <si>
    <t>metab_compid_46517</t>
  </si>
  <si>
    <t>metab_compid_46689</t>
  </si>
  <si>
    <t>metab_compid_46692</t>
  </si>
  <si>
    <t>metab_compid_46693</t>
  </si>
  <si>
    <t>metab_compid_46406</t>
  </si>
  <si>
    <t>metab_compid_46698</t>
  </si>
  <si>
    <t>metab_compid_46412</t>
  </si>
  <si>
    <t>metab_compid_47872</t>
  </si>
  <si>
    <t>metab_compid_47670</t>
  </si>
  <si>
    <t>metab_compid_46493</t>
  </si>
  <si>
    <t>metab_compid_46503</t>
  </si>
  <si>
    <t>metab_compid_46694</t>
  </si>
  <si>
    <t>metab_compid_46904</t>
  </si>
  <si>
    <t>metab_compid_46968</t>
  </si>
  <si>
    <t>metab_compid_48080</t>
  </si>
  <si>
    <t>metab_compid_48994</t>
  </si>
  <si>
    <t>metab_compid_52504</t>
  </si>
  <si>
    <t>metab_compid_52662</t>
  </si>
  <si>
    <t>metab_compid_52665</t>
  </si>
  <si>
    <t>metab_compid_52835</t>
  </si>
  <si>
    <t>metab_compid_52870</t>
  </si>
  <si>
    <t>metab_compid_53114</t>
  </si>
  <si>
    <t>metab_compid_53127</t>
  </si>
  <si>
    <t>metab_compid_53267</t>
  </si>
  <si>
    <t>metab_compid_54831</t>
  </si>
  <si>
    <t>metab_compid_54832</t>
  </si>
  <si>
    <t>metab_compid_54841</t>
  </si>
  <si>
    <t>metab_compid_54859</t>
  </si>
  <si>
    <t>metab_compid_54877</t>
  </si>
  <si>
    <t>metab_compid_54977</t>
  </si>
  <si>
    <t>metab_compid_62602</t>
  </si>
  <si>
    <t>metab_compid_62713</t>
  </si>
  <si>
    <t>metab_compid_45415</t>
  </si>
  <si>
    <t>metab_compid_48693</t>
  </si>
  <si>
    <t>metab_compid_36848</t>
  </si>
  <si>
    <t>metab_compid_43470</t>
  </si>
  <si>
    <t>metab_compid_48419</t>
  </si>
  <si>
    <t>metab_compid_54809</t>
  </si>
  <si>
    <t>metab_compid_52937</t>
  </si>
  <si>
    <t>metab_compid_21133</t>
  </si>
  <si>
    <t>metab_compid_43337</t>
  </si>
  <si>
    <t>metab_compid_39598</t>
  </si>
  <si>
    <t>metab_compid_38619</t>
  </si>
  <si>
    <t>metab_compid_52376</t>
  </si>
  <si>
    <t>metab_compid_35101</t>
  </si>
  <si>
    <t>metab_compid_21125</t>
  </si>
  <si>
    <t>metab_compid_37033</t>
  </si>
  <si>
    <t>metab_compid_62067</t>
  </si>
  <si>
    <t>metab_compid_38599</t>
  </si>
  <si>
    <t>metab_compid_62070</t>
  </si>
  <si>
    <t>metab_compid_48728</t>
  </si>
  <si>
    <t>metab_compid_39273</t>
  </si>
  <si>
    <t>metab_compid_62482</t>
  </si>
  <si>
    <t>metab_compid_62483</t>
  </si>
  <si>
    <t>metab_compid_47114</t>
  </si>
  <si>
    <t>metab_compid_62061</t>
  </si>
  <si>
    <t>metab_compid_15737</t>
  </si>
  <si>
    <t>metab_compid_43508</t>
  </si>
  <si>
    <t>metab_compid_54787</t>
  </si>
  <si>
    <t>metab_compid_18037</t>
  </si>
  <si>
    <t>metab_compid_34109</t>
  </si>
  <si>
    <t>metab_compid_61844</t>
  </si>
  <si>
    <t>metab_compid_52355</t>
  </si>
  <si>
    <t>metab_compid_34598</t>
  </si>
  <si>
    <t>metab_compid_47883</t>
  </si>
  <si>
    <t>metab_compid_47881</t>
  </si>
  <si>
    <t>metab_compid_52372</t>
  </si>
  <si>
    <t>metab_compid_52958</t>
  </si>
  <si>
    <t>metab_compid_52961</t>
  </si>
  <si>
    <t>metab_compid_61836</t>
  </si>
  <si>
    <t>metab_compid_22202</t>
  </si>
  <si>
    <t>metab_compid_42990</t>
  </si>
  <si>
    <t>bbs_name</t>
  </si>
  <si>
    <t>direct_name</t>
  </si>
  <si>
    <t>direct_pathway</t>
  </si>
  <si>
    <t>bbs_subpathway</t>
  </si>
  <si>
    <t>direct_subpathway</t>
  </si>
  <si>
    <t>gwas_name</t>
  </si>
  <si>
    <t>ukbb_olink_name</t>
  </si>
  <si>
    <t>nightingale</t>
  </si>
  <si>
    <t>metabolon</t>
  </si>
  <si>
    <t/>
  </si>
  <si>
    <t>gwas_id</t>
  </si>
  <si>
    <t>name</t>
  </si>
  <si>
    <t>ontology</t>
  </si>
  <si>
    <t>GCST90199621</t>
  </si>
  <si>
    <t>EFO_0010469</t>
  </si>
  <si>
    <t>GCST90199622</t>
  </si>
  <si>
    <t>EFO_0021150</t>
  </si>
  <si>
    <t>GCST90199623</t>
  </si>
  <si>
    <t>EFO_0800142</t>
  </si>
  <si>
    <t>GCST90199624</t>
  </si>
  <si>
    <t>EFO_0010992</t>
  </si>
  <si>
    <t>GCST90199625</t>
  </si>
  <si>
    <t>EFO_0021650</t>
  </si>
  <si>
    <t>GCST90199626</t>
  </si>
  <si>
    <t>EFO_0010551</t>
  </si>
  <si>
    <t>GCST90199627</t>
  </si>
  <si>
    <t>EFO_0800006</t>
  </si>
  <si>
    <t>GCST90199628</t>
  </si>
  <si>
    <t>EFO_0021004</t>
  </si>
  <si>
    <t>GCST90199629</t>
  </si>
  <si>
    <t>EFO_0020018</t>
  </si>
  <si>
    <t>GCST90199630</t>
  </si>
  <si>
    <t>EFO_0021012</t>
  </si>
  <si>
    <t>GCST90199631</t>
  </si>
  <si>
    <t>EFO_0021021</t>
  </si>
  <si>
    <t>GCST90199632</t>
  </si>
  <si>
    <t>EFO_0800941</t>
  </si>
  <si>
    <t>GCST90199633</t>
  </si>
  <si>
    <t>EFO_0800181</t>
  </si>
  <si>
    <t>GCST90199634</t>
  </si>
  <si>
    <t>EFO_0800002</t>
  </si>
  <si>
    <t>GCST90199635</t>
  </si>
  <si>
    <t>EFO_0021010</t>
  </si>
  <si>
    <t>GCST90199636</t>
  </si>
  <si>
    <t>EFO_0008529</t>
  </si>
  <si>
    <t>GCST90199637</t>
  </si>
  <si>
    <t>EFO_0800005</t>
  </si>
  <si>
    <t>GCST90199638</t>
  </si>
  <si>
    <t>EFO_0010488</t>
  </si>
  <si>
    <t>GCST90199639</t>
  </si>
  <si>
    <t>EFO_0800004</t>
  </si>
  <si>
    <t>GCST90199640</t>
  </si>
  <si>
    <t>EFO_0800003</t>
  </si>
  <si>
    <t>GCST90199641</t>
  </si>
  <si>
    <t>EFO_0010486</t>
  </si>
  <si>
    <t>GCST90199642</t>
  </si>
  <si>
    <t>EFO_0800143</t>
  </si>
  <si>
    <t>GCST90199643</t>
  </si>
  <si>
    <t>EFO_0010493</t>
  </si>
  <si>
    <t>GCST90199644</t>
  </si>
  <si>
    <t>EFO_0021179</t>
  </si>
  <si>
    <t>GCST90199645</t>
  </si>
  <si>
    <t>EFO_0021167</t>
  </si>
  <si>
    <t>GCST90199646</t>
  </si>
  <si>
    <t>EFO_0800007</t>
  </si>
  <si>
    <t>GCST90199647</t>
  </si>
  <si>
    <t>EFO_0021180</t>
  </si>
  <si>
    <t>GCST90199648</t>
  </si>
  <si>
    <t>EFO_0008009</t>
  </si>
  <si>
    <t>GCST90199649</t>
  </si>
  <si>
    <t>EFO_0800184</t>
  </si>
  <si>
    <t>GCST90199650</t>
  </si>
  <si>
    <t>EFO_0020012</t>
  </si>
  <si>
    <t>GCST90199651</t>
  </si>
  <si>
    <t>EFO_0021047</t>
  </si>
  <si>
    <t>GCST90199652</t>
  </si>
  <si>
    <t>EFO_0800187</t>
  </si>
  <si>
    <t>GCST90199653</t>
  </si>
  <si>
    <t>EFO_0800191</t>
  </si>
  <si>
    <t>GCST90199654</t>
  </si>
  <si>
    <t>EFO_0021178</t>
  </si>
  <si>
    <t>GCST90199655</t>
  </si>
  <si>
    <t>EFO_0021022</t>
  </si>
  <si>
    <t>GCST90199656</t>
  </si>
  <si>
    <t>EFO_0010502</t>
  </si>
  <si>
    <t>GCST90199657</t>
  </si>
  <si>
    <t>EFO_0800185</t>
  </si>
  <si>
    <t>GCST90199658</t>
  </si>
  <si>
    <t>EFO_0800009</t>
  </si>
  <si>
    <t>GCST90199659</t>
  </si>
  <si>
    <t>EFO_0800188</t>
  </si>
  <si>
    <t>GCST90199660</t>
  </si>
  <si>
    <t>EFO_0800189</t>
  </si>
  <si>
    <t>GCST90199661</t>
  </si>
  <si>
    <t>EFO_0010509</t>
  </si>
  <si>
    <t>GCST90199662</t>
  </si>
  <si>
    <t>EFO_0800010</t>
  </si>
  <si>
    <t>GCST90199663</t>
  </si>
  <si>
    <t>EFO_0800942</t>
  </si>
  <si>
    <t>GCST90199664</t>
  </si>
  <si>
    <t>EFO_0021662</t>
  </si>
  <si>
    <t>GCST90199665</t>
  </si>
  <si>
    <t>EFO_0800012</t>
  </si>
  <si>
    <t>GCST90199666</t>
  </si>
  <si>
    <t>EFO_0021044</t>
  </si>
  <si>
    <t>GCST90199667</t>
  </si>
  <si>
    <t>EFO_0021171</t>
  </si>
  <si>
    <t>GCST90199668</t>
  </si>
  <si>
    <t>EFO_0021040</t>
  </si>
  <si>
    <t>GCST90199669</t>
  </si>
  <si>
    <t>EFO_0021038</t>
  </si>
  <si>
    <t>GCST90199670</t>
  </si>
  <si>
    <t>EFO_0800945</t>
  </si>
  <si>
    <t>GCST90199671</t>
  </si>
  <si>
    <t>EFO_0800013</t>
  </si>
  <si>
    <t>GCST90199672</t>
  </si>
  <si>
    <t>EFO_0010517</t>
  </si>
  <si>
    <t>GCST90199673</t>
  </si>
  <si>
    <t>EFO_0007001</t>
  </si>
  <si>
    <t>GCST90199674</t>
  </si>
  <si>
    <t>EFO_0022197</t>
  </si>
  <si>
    <t>GCST90199675</t>
  </si>
  <si>
    <t>EFO_0005421</t>
  </si>
  <si>
    <t>GCST90199676</t>
  </si>
  <si>
    <t>EFO_0800195</t>
  </si>
  <si>
    <t>GCST90199677</t>
  </si>
  <si>
    <t>EFO_0021020</t>
  </si>
  <si>
    <t>GCST90199678</t>
  </si>
  <si>
    <t>EFO_0800944</t>
  </si>
  <si>
    <t>GCST90199679</t>
  </si>
  <si>
    <t>EFO_0022199</t>
  </si>
  <si>
    <t>GCST90199680</t>
  </si>
  <si>
    <t>EFO_0800193</t>
  </si>
  <si>
    <t>GCST90199681</t>
  </si>
  <si>
    <t>EFO_0800192</t>
  </si>
  <si>
    <t>GCST90199682</t>
  </si>
  <si>
    <t>EFO_0021018</t>
  </si>
  <si>
    <t>GCST90199683</t>
  </si>
  <si>
    <t>EFO_0021015</t>
  </si>
  <si>
    <t>GCST90199684</t>
  </si>
  <si>
    <t>EFO_0800199</t>
  </si>
  <si>
    <t>GCST90199685</t>
  </si>
  <si>
    <t>EFO_0800197</t>
  </si>
  <si>
    <t>GCST90199686</t>
  </si>
  <si>
    <t>EFO_0021016</t>
  </si>
  <si>
    <t>GCST90199687</t>
  </si>
  <si>
    <t>EFO_0021032</t>
  </si>
  <si>
    <t>GCST90199688</t>
  </si>
  <si>
    <t>EFO_0021002</t>
  </si>
  <si>
    <t>GCST90199689</t>
  </si>
  <si>
    <t>EFO_0800203</t>
  </si>
  <si>
    <t>GCST90199690</t>
  </si>
  <si>
    <t>EFO_0800946</t>
  </si>
  <si>
    <t>GCST90199691</t>
  </si>
  <si>
    <t>EFO_0021543</t>
  </si>
  <si>
    <t>GCST90199692</t>
  </si>
  <si>
    <t>EFO_0022198</t>
  </si>
  <si>
    <t>GCST90199693</t>
  </si>
  <si>
    <t>EFO_0800198</t>
  </si>
  <si>
    <t>GCST90199694</t>
  </si>
  <si>
    <t>EFO_0800948</t>
  </si>
  <si>
    <t>GCST90199695</t>
  </si>
  <si>
    <t>EFO_0800145</t>
  </si>
  <si>
    <t>GCST90199696</t>
  </si>
  <si>
    <t>EFO_0800154</t>
  </si>
  <si>
    <t>GCST90199697</t>
  </si>
  <si>
    <t>EFO_0021054</t>
  </si>
  <si>
    <t>GCST90199698</t>
  </si>
  <si>
    <t>EFO_0021023</t>
  </si>
  <si>
    <t>GCST90199699</t>
  </si>
  <si>
    <t>EFO_0021175</t>
  </si>
  <si>
    <t>GCST90199700</t>
  </si>
  <si>
    <t>EFO_0800204</t>
  </si>
  <si>
    <t>GCST90199701</t>
  </si>
  <si>
    <t>EFO_0010527</t>
  </si>
  <si>
    <t>GCST90199702</t>
  </si>
  <si>
    <t>EFO_0800206</t>
  </si>
  <si>
    <t>GCST90199703</t>
  </si>
  <si>
    <t>EFO_0021145</t>
  </si>
  <si>
    <t>GCST90199704</t>
  </si>
  <si>
    <t>EFO_0800205</t>
  </si>
  <si>
    <t>GCST90199705</t>
  </si>
  <si>
    <t>EFO_0800207</t>
  </si>
  <si>
    <t>GCST90199706</t>
  </si>
  <si>
    <t>EFO_0800208</t>
  </si>
  <si>
    <t>GCST90199707</t>
  </si>
  <si>
    <t>EFO_0021132</t>
  </si>
  <si>
    <t>GCST90199708</t>
  </si>
  <si>
    <t>EFO_0800210</t>
  </si>
  <si>
    <t>GCST90199709</t>
  </si>
  <si>
    <t>EFO_0021062</t>
  </si>
  <si>
    <t>GCST90199710</t>
  </si>
  <si>
    <t>OBA_2050329</t>
  </si>
  <si>
    <t>GCST90199711</t>
  </si>
  <si>
    <t>EFO_0800211</t>
  </si>
  <si>
    <t>GCST90199712</t>
  </si>
  <si>
    <t>EFO_0021053</t>
  </si>
  <si>
    <t>GCST90199713</t>
  </si>
  <si>
    <t>EFO_0021048</t>
  </si>
  <si>
    <t>GCST90199714</t>
  </si>
  <si>
    <t>EFO_0800014</t>
  </si>
  <si>
    <t>GCST90199715</t>
  </si>
  <si>
    <t>EFO_0021068</t>
  </si>
  <si>
    <t>GCST90199716</t>
  </si>
  <si>
    <t>EFO_0021099</t>
  </si>
  <si>
    <t>GCST90199717</t>
  </si>
  <si>
    <t>EFO_0800015</t>
  </si>
  <si>
    <t>GCST90199718</t>
  </si>
  <si>
    <t>EFO_0800212</t>
  </si>
  <si>
    <t>GCST90199719</t>
  </si>
  <si>
    <t>EFO_0800213</t>
  </si>
  <si>
    <t>GCST90199720</t>
  </si>
  <si>
    <t>EFO_0021042</t>
  </si>
  <si>
    <t>GCST90199721</t>
  </si>
  <si>
    <t>EFO_0021075</t>
  </si>
  <si>
    <t>GCST90199722</t>
  </si>
  <si>
    <t>EFO_0021039</t>
  </si>
  <si>
    <t>GCST90199723</t>
  </si>
  <si>
    <t>EFO_0021100</t>
  </si>
  <si>
    <t>GCST90199724</t>
  </si>
  <si>
    <t>EFO_0800021</t>
  </si>
  <si>
    <t>GCST90199725</t>
  </si>
  <si>
    <t>EFO_0020008</t>
  </si>
  <si>
    <t>GCST90199726</t>
  </si>
  <si>
    <t>EFO_0800020</t>
  </si>
  <si>
    <t>GCST90199727</t>
  </si>
  <si>
    <t>EFO_0800218</t>
  </si>
  <si>
    <t>GCST90199728</t>
  </si>
  <si>
    <t>EFO_0021061</t>
  </si>
  <si>
    <t>GCST90199729</t>
  </si>
  <si>
    <t>EFO_0021166</t>
  </si>
  <si>
    <t>GCST90199730</t>
  </si>
  <si>
    <t>EFO_0800216</t>
  </si>
  <si>
    <t>GCST90199731</t>
  </si>
  <si>
    <t>EFO_0021060</t>
  </si>
  <si>
    <t>GCST90199732</t>
  </si>
  <si>
    <t>EFO_0800217</t>
  </si>
  <si>
    <t>GCST90199733</t>
  </si>
  <si>
    <t>EFO_0800214</t>
  </si>
  <si>
    <t>GCST90199734</t>
  </si>
  <si>
    <t>EFO_0800219</t>
  </si>
  <si>
    <t>GCST90199735</t>
  </si>
  <si>
    <t>EFO_0800022</t>
  </si>
  <si>
    <t>GCST90199736</t>
  </si>
  <si>
    <t>EFO_0800023</t>
  </si>
  <si>
    <t>GCST90199737</t>
  </si>
  <si>
    <t>EFO_0022207</t>
  </si>
  <si>
    <t>GCST90199738</t>
  </si>
  <si>
    <t>EFO_0021169</t>
  </si>
  <si>
    <t>GCST90199739</t>
  </si>
  <si>
    <t>EFO_0021162</t>
  </si>
  <si>
    <t>GCST90199740</t>
  </si>
  <si>
    <t>EFO_0010998</t>
  </si>
  <si>
    <t>GCST90199741</t>
  </si>
  <si>
    <t>EFO_0800670</t>
  </si>
  <si>
    <t>GCST90199742</t>
  </si>
  <si>
    <t>EFO_0800223</t>
  </si>
  <si>
    <t>GCST90199743</t>
  </si>
  <si>
    <t>EFO_0021045</t>
  </si>
  <si>
    <t>GCST90199744</t>
  </si>
  <si>
    <t>EFO_0800220</t>
  </si>
  <si>
    <t>GCST90199745</t>
  </si>
  <si>
    <t>EFO_0010451</t>
  </si>
  <si>
    <t>GCST90199746</t>
  </si>
  <si>
    <t>EFO_0021025</t>
  </si>
  <si>
    <t>GCST90199747</t>
  </si>
  <si>
    <t>EFO_0800024</t>
  </si>
  <si>
    <t>GCST90199748</t>
  </si>
  <si>
    <t>EFO_0021050</t>
  </si>
  <si>
    <t>GCST90199749</t>
  </si>
  <si>
    <t>EFO_0021143</t>
  </si>
  <si>
    <t>GCST90199750</t>
  </si>
  <si>
    <t>EFO_0021041</t>
  </si>
  <si>
    <t>GCST90199751</t>
  </si>
  <si>
    <t>EFO_0021141</t>
  </si>
  <si>
    <t>GCST90199752</t>
  </si>
  <si>
    <t>EFO_0021120</t>
  </si>
  <si>
    <t>GCST90199753</t>
  </si>
  <si>
    <t>EFO_0800671</t>
  </si>
  <si>
    <t>GCST90199754</t>
  </si>
  <si>
    <t>EFO_0021176</t>
  </si>
  <si>
    <t>GCST90199755</t>
  </si>
  <si>
    <t>EFO_0800949</t>
  </si>
  <si>
    <t>GCST90199756</t>
  </si>
  <si>
    <t>EFO_0021512</t>
  </si>
  <si>
    <t>GCST90199757</t>
  </si>
  <si>
    <t>EFO_0021172</t>
  </si>
  <si>
    <t>GCST90199758</t>
  </si>
  <si>
    <t>EFO_0800628</t>
  </si>
  <si>
    <t>GCST90199759</t>
  </si>
  <si>
    <t>EFO_0021559</t>
  </si>
  <si>
    <t>GCST90199760</t>
  </si>
  <si>
    <t>EFO_0800951</t>
  </si>
  <si>
    <t>GCST90199761</t>
  </si>
  <si>
    <t>EFO_0800627</t>
  </si>
  <si>
    <t>GCST90199762</t>
  </si>
  <si>
    <t>EFO_0800629</t>
  </si>
  <si>
    <t>GCST90199763</t>
  </si>
  <si>
    <t>EFO_0021174</t>
  </si>
  <si>
    <t>GCST90199764</t>
  </si>
  <si>
    <t>EFO_0021125</t>
  </si>
  <si>
    <t>GCST90199765</t>
  </si>
  <si>
    <t>EFO_0021508</t>
  </si>
  <si>
    <t>GCST90199766</t>
  </si>
  <si>
    <t>EFO_0800632</t>
  </si>
  <si>
    <t>GCST90199767</t>
  </si>
  <si>
    <t>EFO_0800631</t>
  </si>
  <si>
    <t>GCST90199768</t>
  </si>
  <si>
    <t>EFO_0021013</t>
  </si>
  <si>
    <t>GCST90199769</t>
  </si>
  <si>
    <t>EFO_0800226</t>
  </si>
  <si>
    <t>GCST90199770</t>
  </si>
  <si>
    <t>EFO_0800224</t>
  </si>
  <si>
    <t>GCST90199771</t>
  </si>
  <si>
    <t>EFO_0021123</t>
  </si>
  <si>
    <t>GCST90199772</t>
  </si>
  <si>
    <t>EFO_0800227</t>
  </si>
  <si>
    <t>GCST90199773</t>
  </si>
  <si>
    <t>EFO_0021011</t>
  </si>
  <si>
    <t>GCST90199774</t>
  </si>
  <si>
    <t>EFO_0021043</t>
  </si>
  <si>
    <t>GCST90199775</t>
  </si>
  <si>
    <t>EFO_0021139</t>
  </si>
  <si>
    <t>GCST90199776</t>
  </si>
  <si>
    <t>EFO_0800232</t>
  </si>
  <si>
    <t>GCST90199777</t>
  </si>
  <si>
    <t>EFO_0800231</t>
  </si>
  <si>
    <t>GCST90199778</t>
  </si>
  <si>
    <t>EFO_0010994</t>
  </si>
  <si>
    <t>GCST90199779</t>
  </si>
  <si>
    <t>EFO_0800674</t>
  </si>
  <si>
    <t>GCST90199780</t>
  </si>
  <si>
    <t>EFO_0800228</t>
  </si>
  <si>
    <t>GCST90199781</t>
  </si>
  <si>
    <t>EFO_0800233</t>
  </si>
  <si>
    <t>GCST90199782</t>
  </si>
  <si>
    <t>EFO_0009768</t>
  </si>
  <si>
    <t>GCST90199783</t>
  </si>
  <si>
    <t>EFO_0020013</t>
  </si>
  <si>
    <t>GCST90199784</t>
  </si>
  <si>
    <t>EFO_0021001</t>
  </si>
  <si>
    <t>GCST90199785</t>
  </si>
  <si>
    <t>EFO_0800025</t>
  </si>
  <si>
    <t>GCST90199786</t>
  </si>
  <si>
    <t>EFO_0800027</t>
  </si>
  <si>
    <t>GCST90199787</t>
  </si>
  <si>
    <t>EFO_0021164</t>
  </si>
  <si>
    <t>GCST90199788</t>
  </si>
  <si>
    <t>EFO_0800234</t>
  </si>
  <si>
    <t>GCST90199789</t>
  </si>
  <si>
    <t>EFO_0800241</t>
  </si>
  <si>
    <t>GCST90199790</t>
  </si>
  <si>
    <t>EFO_0800240</t>
  </si>
  <si>
    <t>GCST90199791</t>
  </si>
  <si>
    <t>EFO_0800248</t>
  </si>
  <si>
    <t>GCST90199792</t>
  </si>
  <si>
    <t>EFO_0800245</t>
  </si>
  <si>
    <t>GCST90199793</t>
  </si>
  <si>
    <t>EFO_0800247</t>
  </si>
  <si>
    <t>GCST90199794</t>
  </si>
  <si>
    <t>EFO_0800246</t>
  </si>
  <si>
    <t>GCST90199795</t>
  </si>
  <si>
    <t>EFO_0021507</t>
  </si>
  <si>
    <t>GCST90199796</t>
  </si>
  <si>
    <t>EFO_0800249</t>
  </si>
  <si>
    <t>GCST90199797</t>
  </si>
  <si>
    <t>EFO_0800159</t>
  </si>
  <si>
    <t>GCST90199798</t>
  </si>
  <si>
    <t>EFO_0800029</t>
  </si>
  <si>
    <t>GCST90199799</t>
  </si>
  <si>
    <t>EFO_0800030</t>
  </si>
  <si>
    <t>GCST90199800</t>
  </si>
  <si>
    <t>EFO_0800032</t>
  </si>
  <si>
    <t>GCST90199801</t>
  </si>
  <si>
    <t>EFO_0021157</t>
  </si>
  <si>
    <t>GCST90199802</t>
  </si>
  <si>
    <t>EFO_0800031</t>
  </si>
  <si>
    <t>GCST90199803</t>
  </si>
  <si>
    <t>EFO_0021151</t>
  </si>
  <si>
    <t>GCST90199804</t>
  </si>
  <si>
    <t>EFO_0021116</t>
  </si>
  <si>
    <t>GCST90199805</t>
  </si>
  <si>
    <t>EFO_0021056</t>
  </si>
  <si>
    <t>GCST90199806</t>
  </si>
  <si>
    <t>EFO_0021057</t>
  </si>
  <si>
    <t>GCST90199807</t>
  </si>
  <si>
    <t>EFO_0021055</t>
  </si>
  <si>
    <t>GCST90199808</t>
  </si>
  <si>
    <t>EFO_0800253</t>
  </si>
  <si>
    <t>GCST90199809</t>
  </si>
  <si>
    <t>EFO_0021036</t>
  </si>
  <si>
    <t>GCST90199810</t>
  </si>
  <si>
    <t>EFO_0800257</t>
  </si>
  <si>
    <t>GCST90199811</t>
  </si>
  <si>
    <t>EFO_0800258</t>
  </si>
  <si>
    <t>GCST90199812</t>
  </si>
  <si>
    <t>EFO_0800952</t>
  </si>
  <si>
    <t>GCST90199813</t>
  </si>
  <si>
    <t>EFO_0800259</t>
  </si>
  <si>
    <t>GCST90199814</t>
  </si>
  <si>
    <t>EFO_0800261</t>
  </si>
  <si>
    <t>GCST90199815</t>
  </si>
  <si>
    <t>EFO_0800034</t>
  </si>
  <si>
    <t>GCST90199816</t>
  </si>
  <si>
    <t>EFO_0022215</t>
  </si>
  <si>
    <t>GCST90199817</t>
  </si>
  <si>
    <t>EFO_0800035</t>
  </si>
  <si>
    <t>GCST90199818</t>
  </si>
  <si>
    <t>EFO_0010533</t>
  </si>
  <si>
    <t>GCST90199819</t>
  </si>
  <si>
    <t>EFO_0021017</t>
  </si>
  <si>
    <t>GCST90199820</t>
  </si>
  <si>
    <t>EFO_0021046</t>
  </si>
  <si>
    <t>GCST90199821</t>
  </si>
  <si>
    <t>EFO_0800266</t>
  </si>
  <si>
    <t>GCST90199822</t>
  </si>
  <si>
    <t>EFO_0800265</t>
  </si>
  <si>
    <t>GCST90199823</t>
  </si>
  <si>
    <t>EFO_0800955</t>
  </si>
  <si>
    <t>GCST90199824</t>
  </si>
  <si>
    <t>EFO_0021149</t>
  </si>
  <si>
    <t>GCST90199825</t>
  </si>
  <si>
    <t>EFO_0800954</t>
  </si>
  <si>
    <t>GCST90199826</t>
  </si>
  <si>
    <t>EFO_0800036</t>
  </si>
  <si>
    <t>GCST90199827</t>
  </si>
  <si>
    <t>EFO_0021170</t>
  </si>
  <si>
    <t>GCST90199828</t>
  </si>
  <si>
    <t>EFO_0800038</t>
  </si>
  <si>
    <t>GCST90199829</t>
  </si>
  <si>
    <t>EFO_0800263</t>
  </si>
  <si>
    <t>GCST90199830</t>
  </si>
  <si>
    <t>EFO_0021148</t>
  </si>
  <si>
    <t>GCST90199831</t>
  </si>
  <si>
    <t>EFO_0800269</t>
  </si>
  <si>
    <t>GCST90199832</t>
  </si>
  <si>
    <t>EFO_0800037</t>
  </si>
  <si>
    <t>GCST90199833</t>
  </si>
  <si>
    <t>EFO_0800262</t>
  </si>
  <si>
    <t>GCST90199834</t>
  </si>
  <si>
    <t>EFO_0800675</t>
  </si>
  <si>
    <t>GCST90199835</t>
  </si>
  <si>
    <t>EFO_0021115</t>
  </si>
  <si>
    <t>GCST90199836</t>
  </si>
  <si>
    <t>EFO_0800039</t>
  </si>
  <si>
    <t>GCST90199837</t>
  </si>
  <si>
    <t>EFO_0007897</t>
  </si>
  <si>
    <t>GCST90199838</t>
  </si>
  <si>
    <t>EFO_0800286</t>
  </si>
  <si>
    <t>GCST90199839</t>
  </si>
  <si>
    <t>EFO_0800277</t>
  </si>
  <si>
    <t>GCST90199840</t>
  </si>
  <si>
    <t>EFO_0800279</t>
  </si>
  <si>
    <t>GCST90199841</t>
  </si>
  <si>
    <t>EFO_0800276</t>
  </si>
  <si>
    <t>GCST90199842</t>
  </si>
  <si>
    <t>EFO_0800278</t>
  </si>
  <si>
    <t>GCST90199843</t>
  </si>
  <si>
    <t>EFO_0800270</t>
  </si>
  <si>
    <t>GCST90199844</t>
  </si>
  <si>
    <t>EFO_0800272</t>
  </si>
  <si>
    <t>GCST90199845</t>
  </si>
  <si>
    <t>EFO_0800274</t>
  </si>
  <si>
    <t>GCST90199846</t>
  </si>
  <si>
    <t>EFO_0800275</t>
  </si>
  <si>
    <t>GCST90199847</t>
  </si>
  <si>
    <t>EFO_0800958</t>
  </si>
  <si>
    <t>GCST90199848</t>
  </si>
  <si>
    <t>EFO_0020020</t>
  </si>
  <si>
    <t>GCST90199849</t>
  </si>
  <si>
    <t>EFO_0800281</t>
  </si>
  <si>
    <t>GCST90199850</t>
  </si>
  <si>
    <t>EFO_0800283</t>
  </si>
  <si>
    <t>GCST90199851</t>
  </si>
  <si>
    <t>EFO_0800280</t>
  </si>
  <si>
    <t>GCST90199852</t>
  </si>
  <si>
    <t>EFO_0800289</t>
  </si>
  <si>
    <t>GCST90199853</t>
  </si>
  <si>
    <t>EFO_0800284</t>
  </si>
  <si>
    <t>GCST90199854</t>
  </si>
  <si>
    <t>EFO_0800285</t>
  </si>
  <si>
    <t>GCST90199855</t>
  </si>
  <si>
    <t>EFO_0800291</t>
  </si>
  <si>
    <t>GCST90199856</t>
  </si>
  <si>
    <t>EFO_0800293</t>
  </si>
  <si>
    <t>GCST90199857</t>
  </si>
  <si>
    <t>GCST90199858</t>
  </si>
  <si>
    <t>EFO_0800288</t>
  </si>
  <si>
    <t>GCST90199859</t>
  </si>
  <si>
    <t>EFO_0800287</t>
  </si>
  <si>
    <t>GCST90199860</t>
  </si>
  <si>
    <t>EFO_0800305</t>
  </si>
  <si>
    <t>GCST90199861</t>
  </si>
  <si>
    <t>EFO_0800299</t>
  </si>
  <si>
    <t>GCST90199862</t>
  </si>
  <si>
    <t>EFO_0800959</t>
  </si>
  <si>
    <t>GCST90199863</t>
  </si>
  <si>
    <t>EFO_0800301</t>
  </si>
  <si>
    <t>GCST90199864</t>
  </si>
  <si>
    <t>EFO_0800160</t>
  </si>
  <si>
    <t>GCST90199865</t>
  </si>
  <si>
    <t>EFO_0021506</t>
  </si>
  <si>
    <t>GCST90199866</t>
  </si>
  <si>
    <t>EFO_0021430</t>
  </si>
  <si>
    <t>GCST90199867</t>
  </si>
  <si>
    <t>EFO_0800309</t>
  </si>
  <si>
    <t>GCST90199868</t>
  </si>
  <si>
    <t>EFO_0800044</t>
  </si>
  <si>
    <t>GCST90199869</t>
  </si>
  <si>
    <t>EFO_0800960</t>
  </si>
  <si>
    <t>GCST90199870</t>
  </si>
  <si>
    <t>EFO_0800310</t>
  </si>
  <si>
    <t>GCST90199871</t>
  </si>
  <si>
    <t>EFO_0800295</t>
  </si>
  <si>
    <t>GCST90199872</t>
  </si>
  <si>
    <t>EFO_0800294</t>
  </si>
  <si>
    <t>GCST90199873</t>
  </si>
  <si>
    <t>EFO_0800303</t>
  </si>
  <si>
    <t>GCST90199874</t>
  </si>
  <si>
    <t>EFO_0800042</t>
  </si>
  <si>
    <t>GCST90199875</t>
  </si>
  <si>
    <t>EFO_0800308</t>
  </si>
  <si>
    <t>GCST90199876</t>
  </si>
  <si>
    <t>EFO_0800300</t>
  </si>
  <si>
    <t>GCST90199877</t>
  </si>
  <si>
    <t>EFO_0800043</t>
  </si>
  <si>
    <t>GCST90199878</t>
  </si>
  <si>
    <t>EFO_0022108</t>
  </si>
  <si>
    <t>GCST90199879</t>
  </si>
  <si>
    <t>EFO_0021163</t>
  </si>
  <si>
    <t>GCST90199880</t>
  </si>
  <si>
    <t>EFO_0800311</t>
  </si>
  <si>
    <t>GCST90199881</t>
  </si>
  <si>
    <t>EFO_0800048</t>
  </si>
  <si>
    <t>GCST90199882</t>
  </si>
  <si>
    <t>EFO_0800312</t>
  </si>
  <si>
    <t>GCST90199883</t>
  </si>
  <si>
    <t>EFO_0800049</t>
  </si>
  <si>
    <t>GCST90199884</t>
  </si>
  <si>
    <t>EFO_0800963</t>
  </si>
  <si>
    <t>GCST90199885</t>
  </si>
  <si>
    <t>EFO_0800046</t>
  </si>
  <si>
    <t>GCST90199886</t>
  </si>
  <si>
    <t>EFO_0800047</t>
  </si>
  <si>
    <t>GCST90199887</t>
  </si>
  <si>
    <t>EFO_0800313</t>
  </si>
  <si>
    <t>GCST90199888</t>
  </si>
  <si>
    <t>EFO_0800962</t>
  </si>
  <si>
    <t>GCST90199889</t>
  </si>
  <si>
    <t>EFO_0800314</t>
  </si>
  <si>
    <t>GCST90199890</t>
  </si>
  <si>
    <t>EFO_0800052</t>
  </si>
  <si>
    <t>GCST90199891</t>
  </si>
  <si>
    <t>EFO_0800054</t>
  </si>
  <si>
    <t>GCST90199892</t>
  </si>
  <si>
    <t>EFO_0800315</t>
  </si>
  <si>
    <t>GCST90199893</t>
  </si>
  <si>
    <t>EFO_0800318</t>
  </si>
  <si>
    <t>GCST90199894</t>
  </si>
  <si>
    <t>EFO_0022216</t>
  </si>
  <si>
    <t>GCST90199895</t>
  </si>
  <si>
    <t>EFO_0800322</t>
  </si>
  <si>
    <t>GCST90199896</t>
  </si>
  <si>
    <t>EFO_0007864</t>
  </si>
  <si>
    <t>GCST90199897</t>
  </si>
  <si>
    <t>EFO_0800316</t>
  </si>
  <si>
    <t>GCST90199898</t>
  </si>
  <si>
    <t>EFO_0800326</t>
  </si>
  <si>
    <t>GCST90199899</t>
  </si>
  <si>
    <t>EFO_0800323</t>
  </si>
  <si>
    <t>GCST90199900</t>
  </si>
  <si>
    <t>EFO_0800055</t>
  </si>
  <si>
    <t>GCST90199901</t>
  </si>
  <si>
    <t>EFO_0800057</t>
  </si>
  <si>
    <t>GCST90199902</t>
  </si>
  <si>
    <t>EFO_0800051</t>
  </si>
  <si>
    <t>GCST90199903</t>
  </si>
  <si>
    <t>EFO_0800056</t>
  </si>
  <si>
    <t>GCST90199904</t>
  </si>
  <si>
    <t>EFO_0022210</t>
  </si>
  <si>
    <t>GCST90199905</t>
  </si>
  <si>
    <t>EFO_0800050</t>
  </si>
  <si>
    <t>GCST90199906</t>
  </si>
  <si>
    <t>EFO_0800334</t>
  </si>
  <si>
    <t>GCST90199907</t>
  </si>
  <si>
    <t>EFO_0800058</t>
  </si>
  <si>
    <t>GCST90199908</t>
  </si>
  <si>
    <t>EFO_0800164</t>
  </si>
  <si>
    <t>GCST90199909</t>
  </si>
  <si>
    <t>EFO_0800330</t>
  </si>
  <si>
    <t>GCST90199910</t>
  </si>
  <si>
    <t>EFO_0800335</t>
  </si>
  <si>
    <t>GCST90199911</t>
  </si>
  <si>
    <t>EFO_0800060</t>
  </si>
  <si>
    <t>GCST90199912</t>
  </si>
  <si>
    <t>EFO_0800337</t>
  </si>
  <si>
    <t>GCST90199913</t>
  </si>
  <si>
    <t>EFO_0800331</t>
  </si>
  <si>
    <t>GCST90199914</t>
  </si>
  <si>
    <t>EFO_0800333</t>
  </si>
  <si>
    <t>GCST90199915</t>
  </si>
  <si>
    <t>EFO_0800062</t>
  </si>
  <si>
    <t>GCST90199916</t>
  </si>
  <si>
    <t>EFO_0800338</t>
  </si>
  <si>
    <t>GCST90199917</t>
  </si>
  <si>
    <t>EFO_0800341</t>
  </si>
  <si>
    <t>GCST90199918</t>
  </si>
  <si>
    <t>EFO_0800059</t>
  </si>
  <si>
    <t>GCST90199919</t>
  </si>
  <si>
    <t>EFO_0800970</t>
  </si>
  <si>
    <t>GCST90199920</t>
  </si>
  <si>
    <t>EFO_0010541</t>
  </si>
  <si>
    <t>GCST90199921</t>
  </si>
  <si>
    <t>EFO_0800969</t>
  </si>
  <si>
    <t>GCST90199922</t>
  </si>
  <si>
    <t>EFO_0800683</t>
  </si>
  <si>
    <t>GCST90199923</t>
  </si>
  <si>
    <t>EFO_0800342</t>
  </si>
  <si>
    <t>GCST90199924</t>
  </si>
  <si>
    <t>EFO_0800064</t>
  </si>
  <si>
    <t>GCST90199925</t>
  </si>
  <si>
    <t>EFO_0022211</t>
  </si>
  <si>
    <t>GCST90199926</t>
  </si>
  <si>
    <t>EFO_0022217</t>
  </si>
  <si>
    <t>GCST90199927</t>
  </si>
  <si>
    <t>EFO_0800972</t>
  </si>
  <si>
    <t>GCST90199928</t>
  </si>
  <si>
    <t>EFO_0800343</t>
  </si>
  <si>
    <t>GCST90199929</t>
  </si>
  <si>
    <t>EFO_0800345</t>
  </si>
  <si>
    <t>GCST90199930</t>
  </si>
  <si>
    <t>EFO_0800344</t>
  </si>
  <si>
    <t>GCST90199931</t>
  </si>
  <si>
    <t>EFO_0800063</t>
  </si>
  <si>
    <t>GCST90199932</t>
  </si>
  <si>
    <t>EFO_0800971</t>
  </si>
  <si>
    <t>GCST90199933</t>
  </si>
  <si>
    <t>EFO_0800348</t>
  </si>
  <si>
    <t>GCST90199934</t>
  </si>
  <si>
    <t>EFO_0800347</t>
  </si>
  <si>
    <t>GCST90199935</t>
  </si>
  <si>
    <t>EFO_0800346</t>
  </si>
  <si>
    <t>GCST90199936</t>
  </si>
  <si>
    <t>EFO_0800973</t>
  </si>
  <si>
    <t>GCST90199937</t>
  </si>
  <si>
    <t>EFO_0800349</t>
  </si>
  <si>
    <t>GCST90199938</t>
  </si>
  <si>
    <t>EFO_0800975</t>
  </si>
  <si>
    <t>GCST90199939</t>
  </si>
  <si>
    <t>EFO_0800974</t>
  </si>
  <si>
    <t>GCST90199940</t>
  </si>
  <si>
    <t>EFO_0800978</t>
  </si>
  <si>
    <t>GCST90199941</t>
  </si>
  <si>
    <t>EFO_0800165</t>
  </si>
  <si>
    <t>GCST90199942</t>
  </si>
  <si>
    <t>EFO_0800979</t>
  </si>
  <si>
    <t>GCST90199943</t>
  </si>
  <si>
    <t>EFO_0800980</t>
  </si>
  <si>
    <t>GCST90199944</t>
  </si>
  <si>
    <t>EFO_0800981</t>
  </si>
  <si>
    <t>GCST90199945</t>
  </si>
  <si>
    <t>EFO_0022105</t>
  </si>
  <si>
    <t>GCST90199946</t>
  </si>
  <si>
    <t>EFO_0800983</t>
  </si>
  <si>
    <t>GCST90199947</t>
  </si>
  <si>
    <t>EFO_0022115</t>
  </si>
  <si>
    <t>GCST90199948</t>
  </si>
  <si>
    <t>EFO_0800985</t>
  </si>
  <si>
    <t>GCST90199949</t>
  </si>
  <si>
    <t>EFO_0800066</t>
  </si>
  <si>
    <t>GCST90199950</t>
  </si>
  <si>
    <t>EFO_0800982</t>
  </si>
  <si>
    <t>GCST90199951</t>
  </si>
  <si>
    <t>EFO_0800987</t>
  </si>
  <si>
    <t>GCST90199952</t>
  </si>
  <si>
    <t>EFO_0800352</t>
  </si>
  <si>
    <t>GCST90199953</t>
  </si>
  <si>
    <t>EFO_0800071</t>
  </si>
  <si>
    <t>GCST90199954</t>
  </si>
  <si>
    <t>EFO_0800070</t>
  </si>
  <si>
    <t>GCST90199955</t>
  </si>
  <si>
    <t>EFO_0800989</t>
  </si>
  <si>
    <t>GCST90199956</t>
  </si>
  <si>
    <t>EFO_0022218</t>
  </si>
  <si>
    <t>GCST90199957</t>
  </si>
  <si>
    <t>EFO_0800990</t>
  </si>
  <si>
    <t>GCST90199958</t>
  </si>
  <si>
    <t>EFO_0800354</t>
  </si>
  <si>
    <t>GCST90199959</t>
  </si>
  <si>
    <t>EFO_0004725</t>
  </si>
  <si>
    <t>GCST90199960</t>
  </si>
  <si>
    <t>EFO_0800069</t>
  </si>
  <si>
    <t>GCST90199961</t>
  </si>
  <si>
    <t>EFO_0800072</t>
  </si>
  <si>
    <t>GCST90199962</t>
  </si>
  <si>
    <t>EFO_0800068</t>
  </si>
  <si>
    <t>GCST90199963</t>
  </si>
  <si>
    <t>EFO_0800363</t>
  </si>
  <si>
    <t>GCST90199964</t>
  </si>
  <si>
    <t>EFO_0800362</t>
  </si>
  <si>
    <t>GCST90199965</t>
  </si>
  <si>
    <t>EFO_0800073</t>
  </si>
  <si>
    <t>GCST90199966</t>
  </si>
  <si>
    <t>EFO_0800359</t>
  </si>
  <si>
    <t>GCST90199967</t>
  </si>
  <si>
    <t>EFO_0020023</t>
  </si>
  <si>
    <t>GCST90199968</t>
  </si>
  <si>
    <t>EFO_0800367</t>
  </si>
  <si>
    <t>GCST90199969</t>
  </si>
  <si>
    <t>EFO_0800366</t>
  </si>
  <si>
    <t>GCST90199970</t>
  </si>
  <si>
    <t>EFO_0800370</t>
  </si>
  <si>
    <t>GCST90199971</t>
  </si>
  <si>
    <t>EFO_0800074</t>
  </si>
  <si>
    <t>GCST90199972</t>
  </si>
  <si>
    <t>EFO_0022113</t>
  </si>
  <si>
    <t>GCST90199973</t>
  </si>
  <si>
    <t>EFO_0800991</t>
  </si>
  <si>
    <t>GCST90199974</t>
  </si>
  <si>
    <t>EFO_0800369</t>
  </si>
  <si>
    <t>GCST90199975</t>
  </si>
  <si>
    <t>EFO_0022114</t>
  </si>
  <si>
    <t>GCST90199976</t>
  </si>
  <si>
    <t>EFO_0800374</t>
  </si>
  <si>
    <t>GCST90199977</t>
  </si>
  <si>
    <t>EFO_0800992</t>
  </si>
  <si>
    <t>GCST90199978</t>
  </si>
  <si>
    <t>EFO_0800078</t>
  </si>
  <si>
    <t>GCST90199979</t>
  </si>
  <si>
    <t>EFO_0800373</t>
  </si>
  <si>
    <t>GCST90199980</t>
  </si>
  <si>
    <t>EFO_0800075</t>
  </si>
  <si>
    <t>GCST90199981</t>
  </si>
  <si>
    <t>EFO_0801001</t>
  </si>
  <si>
    <t>GCST90199982</t>
  </si>
  <si>
    <t>EFO_0800998</t>
  </si>
  <si>
    <t>GCST90199983</t>
  </si>
  <si>
    <t>EFO_0800372</t>
  </si>
  <si>
    <t>GCST90199984</t>
  </si>
  <si>
    <t>EFO_0022214</t>
  </si>
  <si>
    <t>GCST90199985</t>
  </si>
  <si>
    <t>EFO_0800997</t>
  </si>
  <si>
    <t>GCST90199986</t>
  </si>
  <si>
    <t>EFO_0800999</t>
  </si>
  <si>
    <t>GCST90199987</t>
  </si>
  <si>
    <t>EFO_0801000</t>
  </si>
  <si>
    <t>GCST90199988</t>
  </si>
  <si>
    <t>EFO_0800076</t>
  </si>
  <si>
    <t>GCST90199989</t>
  </si>
  <si>
    <t>EFO_0800996</t>
  </si>
  <si>
    <t>GCST90199990</t>
  </si>
  <si>
    <t>EFO_0800995</t>
  </si>
  <si>
    <t>GCST90199991</t>
  </si>
  <si>
    <t>EFO_0801066</t>
  </si>
  <si>
    <t>GCST90199992</t>
  </si>
  <si>
    <t>EFO_0800371</t>
  </si>
  <si>
    <t>GCST90199993</t>
  </si>
  <si>
    <t>EFO_0800686</t>
  </si>
  <si>
    <t>GCST90199994</t>
  </si>
  <si>
    <t>EFO_0022209</t>
  </si>
  <si>
    <t>GCST90199995</t>
  </si>
  <si>
    <t>EFO_0010118</t>
  </si>
  <si>
    <t>GCST90199996</t>
  </si>
  <si>
    <t>EFO_0022110</t>
  </si>
  <si>
    <t>GCST90199997</t>
  </si>
  <si>
    <t>EFO_0800376</t>
  </si>
  <si>
    <t>GCST90199998</t>
  </si>
  <si>
    <t>EFO_0801005</t>
  </si>
  <si>
    <t>GCST90199999</t>
  </si>
  <si>
    <t>EFO_0800080</t>
  </si>
  <si>
    <t>GCST90200000</t>
  </si>
  <si>
    <t>EFO_0801006</t>
  </si>
  <si>
    <t>GCST90200001</t>
  </si>
  <si>
    <t>EFO_0022109</t>
  </si>
  <si>
    <t>GCST90200002</t>
  </si>
  <si>
    <t>EFO_0801004</t>
  </si>
  <si>
    <t>GCST90200003</t>
  </si>
  <si>
    <t>EFO_0800079</t>
  </si>
  <si>
    <t>GCST90200004</t>
  </si>
  <si>
    <t>EFO_0022203</t>
  </si>
  <si>
    <t>GCST90200005</t>
  </si>
  <si>
    <t>EFO_0022201</t>
  </si>
  <si>
    <t>EFO_0022200</t>
  </si>
  <si>
    <t>GCST90200006</t>
  </si>
  <si>
    <t>EFO_0801008</t>
  </si>
  <si>
    <t>GCST90200007</t>
  </si>
  <si>
    <t>EFO_0801010</t>
  </si>
  <si>
    <t>GCST90200008</t>
  </si>
  <si>
    <t>EFO_0021014</t>
  </si>
  <si>
    <t>GCST90200009</t>
  </si>
  <si>
    <t>EFO_0801009</t>
  </si>
  <si>
    <t>GCST90200010</t>
  </si>
  <si>
    <t>EFO_0022112</t>
  </si>
  <si>
    <t>GCST90200011</t>
  </si>
  <si>
    <t>EFO_0800148</t>
  </si>
  <si>
    <t>GCST90200012</t>
  </si>
  <si>
    <t>EFO_0800378</t>
  </si>
  <si>
    <t>GCST90200013</t>
  </si>
  <si>
    <t>GCST90200014</t>
  </si>
  <si>
    <t>EFO_0800379</t>
  </si>
  <si>
    <t>GCST90200015</t>
  </si>
  <si>
    <t>EFO_0800083</t>
  </si>
  <si>
    <t>GCST90200016</t>
  </si>
  <si>
    <t>EFO_0800081</t>
  </si>
  <si>
    <t>GCST90200017</t>
  </si>
  <si>
    <t>GCST90200018</t>
  </si>
  <si>
    <t>EFO_0800380</t>
  </si>
  <si>
    <t>GCST90200019</t>
  </si>
  <si>
    <t>EFO_0800082</t>
  </si>
  <si>
    <t>GCST90200020</t>
  </si>
  <si>
    <t>EFO_0800377</t>
  </si>
  <si>
    <t>GCST90200021</t>
  </si>
  <si>
    <t>EFO_0800149</t>
  </si>
  <si>
    <t>GCST90200022</t>
  </si>
  <si>
    <t>EFO_0800384</t>
  </si>
  <si>
    <t>GCST90200023</t>
  </si>
  <si>
    <t>EFO_0801011</t>
  </si>
  <si>
    <t>GCST90200024</t>
  </si>
  <si>
    <t>EFO_0800386</t>
  </si>
  <si>
    <t>GCST90200025</t>
  </si>
  <si>
    <t>EFO_0800084</t>
  </si>
  <si>
    <t>GCST90200026</t>
  </si>
  <si>
    <t>EFO_0800385</t>
  </si>
  <si>
    <t>GCST90200027</t>
  </si>
  <si>
    <t>GCST90200028</t>
  </si>
  <si>
    <t>EFO_0800389</t>
  </si>
  <si>
    <t>GCST90200029</t>
  </si>
  <si>
    <t>EFO_0800387</t>
  </si>
  <si>
    <t>GCST90200030</t>
  </si>
  <si>
    <t>EFO_0800388</t>
  </si>
  <si>
    <t>GCST90200031</t>
  </si>
  <si>
    <t>EFO_0800381</t>
  </si>
  <si>
    <t>GCST90200032</t>
  </si>
  <si>
    <t>EFO_0010979</t>
  </si>
  <si>
    <t>GCST90200033</t>
  </si>
  <si>
    <t>EFO_0022116</t>
  </si>
  <si>
    <t>GCST90200034</t>
  </si>
  <si>
    <t>EFO_0800401</t>
  </si>
  <si>
    <t>GCST90200035</t>
  </si>
  <si>
    <t>EFO_0800400</t>
  </si>
  <si>
    <t>GCST90200036</t>
  </si>
  <si>
    <t>EFO_0800398</t>
  </si>
  <si>
    <t>GCST90200037</t>
  </si>
  <si>
    <t>EFO_0800404</t>
  </si>
  <si>
    <t>GCST90200038</t>
  </si>
  <si>
    <t>EFO_0800406</t>
  </si>
  <si>
    <t>GCST90200039</t>
  </si>
  <si>
    <t>EFO_0800402</t>
  </si>
  <si>
    <t>GCST90200040</t>
  </si>
  <si>
    <t>EFO_0022117</t>
  </si>
  <si>
    <t>GCST90200041</t>
  </si>
  <si>
    <t>EFO_0800396</t>
  </si>
  <si>
    <t>GCST90200042</t>
  </si>
  <si>
    <t>EFO_0800397</t>
  </si>
  <si>
    <t>GCST90200043</t>
  </si>
  <si>
    <t>EFO_0800391</t>
  </si>
  <si>
    <t>GCST90200044</t>
  </si>
  <si>
    <t>EFO_0800395</t>
  </si>
  <si>
    <t>GCST90200045</t>
  </si>
  <si>
    <t>EFO_0800403</t>
  </si>
  <si>
    <t>GCST90200046</t>
  </si>
  <si>
    <t>EFO_0800392</t>
  </si>
  <si>
    <t>GCST90200047</t>
  </si>
  <si>
    <t>EFO_0022107</t>
  </si>
  <si>
    <t>GCST90200048</t>
  </si>
  <si>
    <t>EFO_0800417</t>
  </si>
  <si>
    <t>GCST90200049</t>
  </si>
  <si>
    <t>EFO_0800433</t>
  </si>
  <si>
    <t>GCST90200050</t>
  </si>
  <si>
    <t>EFO_0800085</t>
  </si>
  <si>
    <t>GCST90200051</t>
  </si>
  <si>
    <t>EFO_0800407</t>
  </si>
  <si>
    <t>GCST90200052</t>
  </si>
  <si>
    <t>EFO_0800423</t>
  </si>
  <si>
    <t>GCST90200053</t>
  </si>
  <si>
    <t>EFO_0022111</t>
  </si>
  <si>
    <t>GCST90200054</t>
  </si>
  <si>
    <t>EFO_0800409</t>
  </si>
  <si>
    <t>GCST90200055</t>
  </si>
  <si>
    <t>EFO_0800429</t>
  </si>
  <si>
    <t>GCST90200056</t>
  </si>
  <si>
    <t>GCST90200057</t>
  </si>
  <si>
    <t>EFO_0800420</t>
  </si>
  <si>
    <t>GCST90200058</t>
  </si>
  <si>
    <t>EFO_0800415</t>
  </si>
  <si>
    <t>GCST90200059</t>
  </si>
  <si>
    <t>EFO_0800427</t>
  </si>
  <si>
    <t>GCST90200060</t>
  </si>
  <si>
    <t>EFO_0800422</t>
  </si>
  <si>
    <t>GCST90200061</t>
  </si>
  <si>
    <t>EFO_0800419</t>
  </si>
  <si>
    <t>GCST90200062</t>
  </si>
  <si>
    <t>EFO_0800412</t>
  </si>
  <si>
    <t>GCST90200063</t>
  </si>
  <si>
    <t>EFO_0800410</t>
  </si>
  <si>
    <t>GCST90200064</t>
  </si>
  <si>
    <t>EFO_0800428</t>
  </si>
  <si>
    <t>GCST90200065</t>
  </si>
  <si>
    <t>EFO_0800411</t>
  </si>
  <si>
    <t>GCST90200066</t>
  </si>
  <si>
    <t>EFO_0800168</t>
  </si>
  <si>
    <t>GCST90200067</t>
  </si>
  <si>
    <t>EFO_0800413</t>
  </si>
  <si>
    <t>GCST90200068</t>
  </si>
  <si>
    <t>GCST90200069</t>
  </si>
  <si>
    <t>EFO_0800687</t>
  </si>
  <si>
    <t>GCST90200070</t>
  </si>
  <si>
    <t>EFO_0800464</t>
  </si>
  <si>
    <t>GCST90200071</t>
  </si>
  <si>
    <t>EFO_0800473</t>
  </si>
  <si>
    <t>GCST90200072</t>
  </si>
  <si>
    <t>EFO_0801012</t>
  </si>
  <si>
    <t>GCST90200073</t>
  </si>
  <si>
    <t>EFO_0800450</t>
  </si>
  <si>
    <t>GCST90200074</t>
  </si>
  <si>
    <t>EFO_0800472</t>
  </si>
  <si>
    <t>GCST90200075</t>
  </si>
  <si>
    <t>EFO_0800440</t>
  </si>
  <si>
    <t>GCST90200076</t>
  </si>
  <si>
    <t>EFO_0020014</t>
  </si>
  <si>
    <t>GCST90200077</t>
  </si>
  <si>
    <t>EFO_0800469</t>
  </si>
  <si>
    <t>GCST90200078</t>
  </si>
  <si>
    <t>EFO_0800453</t>
  </si>
  <si>
    <t>GCST90200079</t>
  </si>
  <si>
    <t>EFO_0800470</t>
  </si>
  <si>
    <t>GCST90200080</t>
  </si>
  <si>
    <t>EFO_0800439</t>
  </si>
  <si>
    <t>GCST90200081</t>
  </si>
  <si>
    <t>EFO_0800449</t>
  </si>
  <si>
    <t>GCST90200082</t>
  </si>
  <si>
    <t>EFO_0800443</t>
  </si>
  <si>
    <t>GCST90200083</t>
  </si>
  <si>
    <t>EFO_0800466</t>
  </si>
  <si>
    <t>GCST90200084</t>
  </si>
  <si>
    <t>EFO_0800477</t>
  </si>
  <si>
    <t>GCST90200085</t>
  </si>
  <si>
    <t>EFO_0800476</t>
  </si>
  <si>
    <t>GCST90200086</t>
  </si>
  <si>
    <t>EFO_0800478</t>
  </si>
  <si>
    <t>GCST90200087</t>
  </si>
  <si>
    <t>EFO_0800087</t>
  </si>
  <si>
    <t>GCST90200088</t>
  </si>
  <si>
    <t>EFO_0800475</t>
  </si>
  <si>
    <t>GCST90200089</t>
  </si>
  <si>
    <t>GCST90200090</t>
  </si>
  <si>
    <t>EFO_0800481</t>
  </si>
  <si>
    <t>GCST90200091</t>
  </si>
  <si>
    <t>EFO_0800479</t>
  </si>
  <si>
    <t>GCST90200092</t>
  </si>
  <si>
    <t>EFO_0010492</t>
  </si>
  <si>
    <t>GCST90200093</t>
  </si>
  <si>
    <t>EFO_0801013</t>
  </si>
  <si>
    <t>GCST90200094</t>
  </si>
  <si>
    <t>EFO_0800169</t>
  </si>
  <si>
    <t>GCST90200095</t>
  </si>
  <si>
    <t>EFO_0800483</t>
  </si>
  <si>
    <t>GCST90200096</t>
  </si>
  <si>
    <t>EFO_0800088</t>
  </si>
  <si>
    <t>GCST90200097</t>
  </si>
  <si>
    <t>GCST90200098</t>
  </si>
  <si>
    <t>EFO_0800517</t>
  </si>
  <si>
    <t>GCST90200099</t>
  </si>
  <si>
    <t>EFO_0800525</t>
  </si>
  <si>
    <t>GCST90200100</t>
  </si>
  <si>
    <t>EFO_0801018</t>
  </si>
  <si>
    <t>GCST90200101</t>
  </si>
  <si>
    <t>EFO_0800494</t>
  </si>
  <si>
    <t>GCST90200102</t>
  </si>
  <si>
    <t>EFO_0800484</t>
  </si>
  <si>
    <t>GCST90200103</t>
  </si>
  <si>
    <t>EFO_0800499</t>
  </si>
  <si>
    <t>GCST90200104</t>
  </si>
  <si>
    <t>EFO_0800491</t>
  </si>
  <si>
    <t>GCST90200105</t>
  </si>
  <si>
    <t>EFO_0800520</t>
  </si>
  <si>
    <t>GCST90200106</t>
  </si>
  <si>
    <t>EFO_0800688</t>
  </si>
  <si>
    <t>GCST90200107</t>
  </si>
  <si>
    <t>EFO_0800689</t>
  </si>
  <si>
    <t>GCST90200108</t>
  </si>
  <si>
    <t>EFO_0800516</t>
  </si>
  <si>
    <t>GCST90200109</t>
  </si>
  <si>
    <t>EFO_0800500</t>
  </si>
  <si>
    <t>GCST90200110</t>
  </si>
  <si>
    <t>EFO_0800493</t>
  </si>
  <si>
    <t>GCST90200111</t>
  </si>
  <si>
    <t>EFO_0800521</t>
  </si>
  <si>
    <t>GCST90200112</t>
  </si>
  <si>
    <t>EFO_0022219</t>
  </si>
  <si>
    <t>GCST90200113</t>
  </si>
  <si>
    <t>EFO_0800534</t>
  </si>
  <si>
    <t>GCST90200114</t>
  </si>
  <si>
    <t>EFO_0010222</t>
  </si>
  <si>
    <t>GCST90200115</t>
  </si>
  <si>
    <t>EFO_0800531</t>
  </si>
  <si>
    <t>GCST90200116</t>
  </si>
  <si>
    <t>GCST90200117</t>
  </si>
  <si>
    <t>EFO_0800533</t>
  </si>
  <si>
    <t>GCST90200118</t>
  </si>
  <si>
    <t>EFO_0800532</t>
  </si>
  <si>
    <t>GCST90200119</t>
  </si>
  <si>
    <t>GCST90200120</t>
  </si>
  <si>
    <t>EFO_0800526</t>
  </si>
  <si>
    <t>GCST90200121</t>
  </si>
  <si>
    <t>GCST90200122</t>
  </si>
  <si>
    <t>EFO_0800536</t>
  </si>
  <si>
    <t>GCST90200123</t>
  </si>
  <si>
    <t>GCST90200124</t>
  </si>
  <si>
    <t>GCST90200125</t>
  </si>
  <si>
    <t>GCST90200126</t>
  </si>
  <si>
    <t>GCST90200127</t>
  </si>
  <si>
    <t>EFO_0800539</t>
  </si>
  <si>
    <t>GCST90200128</t>
  </si>
  <si>
    <t>GCST90200129</t>
  </si>
  <si>
    <t>GCST90200130</t>
  </si>
  <si>
    <t>EFO_0800535</t>
  </si>
  <si>
    <t>GCST90200131</t>
  </si>
  <si>
    <t>GCST90200132</t>
  </si>
  <si>
    <t>EFO_0800538</t>
  </si>
  <si>
    <t>GCST90200133</t>
  </si>
  <si>
    <t>EFO_0800537</t>
  </si>
  <si>
    <t>GCST90200134</t>
  </si>
  <si>
    <t>GCST90200135</t>
  </si>
  <si>
    <t>EFO_0800540</t>
  </si>
  <si>
    <t>GCST90200136</t>
  </si>
  <si>
    <t>EFO_0800542</t>
  </si>
  <si>
    <t>GCST90200137</t>
  </si>
  <si>
    <t>EFO_0800541</t>
  </si>
  <si>
    <t>GCST90200138</t>
  </si>
  <si>
    <t>GCST90200139</t>
  </si>
  <si>
    <t>EFO_0800547</t>
  </si>
  <si>
    <t>GCST90200140</t>
  </si>
  <si>
    <t>EFO_0800171</t>
  </si>
  <si>
    <t>GCST90200141</t>
  </si>
  <si>
    <t>EFO_0801019</t>
  </si>
  <si>
    <t>GCST90200142</t>
  </si>
  <si>
    <t>EFO_0800170</t>
  </si>
  <si>
    <t>GCST90200143</t>
  </si>
  <si>
    <t>EFO_0800549</t>
  </si>
  <si>
    <t>GCST90200144</t>
  </si>
  <si>
    <t>EFO_0800546</t>
  </si>
  <si>
    <t>GCST90200145</t>
  </si>
  <si>
    <t>EFO_0800551</t>
  </si>
  <si>
    <t>GCST90200146</t>
  </si>
  <si>
    <t>EFO_0800548</t>
  </si>
  <si>
    <t>GCST90200147</t>
  </si>
  <si>
    <t>EFO_0800090</t>
  </si>
  <si>
    <t>GCST90200148</t>
  </si>
  <si>
    <t>EFO_0800545</t>
  </si>
  <si>
    <t>GCST90200149</t>
  </si>
  <si>
    <t>EFO_0800543</t>
  </si>
  <si>
    <t>GCST90200150</t>
  </si>
  <si>
    <t>EFO_0800544</t>
  </si>
  <si>
    <t>GCST90200151</t>
  </si>
  <si>
    <t>EFO_0800555</t>
  </si>
  <si>
    <t>GCST90200152</t>
  </si>
  <si>
    <t>EFO_0800556</t>
  </si>
  <si>
    <t>GCST90200153</t>
  </si>
  <si>
    <t>EFO_0022205</t>
  </si>
  <si>
    <t>EFO_0022204</t>
  </si>
  <si>
    <t>GCST90200154</t>
  </si>
  <si>
    <t>EFO_0800557</t>
  </si>
  <si>
    <t>GCST90200155</t>
  </si>
  <si>
    <t>GCST90200156</t>
  </si>
  <si>
    <t>EFO_0800552</t>
  </si>
  <si>
    <t>GCST90200157</t>
  </si>
  <si>
    <t>EFO_0800172</t>
  </si>
  <si>
    <t>GCST90200158</t>
  </si>
  <si>
    <t>GCST90200159</t>
  </si>
  <si>
    <t>EFO_0800561</t>
  </si>
  <si>
    <t>GCST90200160</t>
  </si>
  <si>
    <t>GCST90200161</t>
  </si>
  <si>
    <t>EFO_0800558</t>
  </si>
  <si>
    <t>GCST90200162</t>
  </si>
  <si>
    <t>GCST90200163</t>
  </si>
  <si>
    <t>EFO_0800564</t>
  </si>
  <si>
    <t>GCST90200164</t>
  </si>
  <si>
    <t>EFO_0800562</t>
  </si>
  <si>
    <t>GCST90200165</t>
  </si>
  <si>
    <t>EFO_0800563</t>
  </si>
  <si>
    <t>GCST90200166</t>
  </si>
  <si>
    <t>EFO_0801026</t>
  </si>
  <si>
    <t>GCST90200167</t>
  </si>
  <si>
    <t>EFO_0800656</t>
  </si>
  <si>
    <t>GCST90200168</t>
  </si>
  <si>
    <t>EFO_0800092</t>
  </si>
  <si>
    <t>GCST90200169</t>
  </si>
  <si>
    <t>GCST90200170</t>
  </si>
  <si>
    <t>EFO_0800565</t>
  </si>
  <si>
    <t>GCST90200171</t>
  </si>
  <si>
    <t>EFO_0801024</t>
  </si>
  <si>
    <t>GCST90200172</t>
  </si>
  <si>
    <t>EFO_0800566</t>
  </si>
  <si>
    <t>GCST90200173</t>
  </si>
  <si>
    <t>EFO_0800658</t>
  </si>
  <si>
    <t>GCST90200174</t>
  </si>
  <si>
    <t>EFO_0800568</t>
  </si>
  <si>
    <t>GCST90200175</t>
  </si>
  <si>
    <t>EFO_0800655</t>
  </si>
  <si>
    <t>GCST90200176</t>
  </si>
  <si>
    <t>EFO_0800657</t>
  </si>
  <si>
    <t>GCST90200177</t>
  </si>
  <si>
    <t>EFO_0800093</t>
  </si>
  <si>
    <t>GCST90200178</t>
  </si>
  <si>
    <t>EFO_0800652</t>
  </si>
  <si>
    <t>GCST90200179</t>
  </si>
  <si>
    <t>EFO_0800569</t>
  </si>
  <si>
    <t>GCST90200180</t>
  </si>
  <si>
    <t>GCST90200181</t>
  </si>
  <si>
    <t>EFO_0800094</t>
  </si>
  <si>
    <t>GCST90200182</t>
  </si>
  <si>
    <t>EFO_0800654</t>
  </si>
  <si>
    <t>GCST90200183</t>
  </si>
  <si>
    <t>EFO_0800567</t>
  </si>
  <si>
    <t>GCST90200184</t>
  </si>
  <si>
    <t>EFO_0801025</t>
  </si>
  <si>
    <t>GCST90200185</t>
  </si>
  <si>
    <t>EFO_0800690</t>
  </si>
  <si>
    <t>GCST90200186</t>
  </si>
  <si>
    <t>EFO_0800096</t>
  </si>
  <si>
    <t>GCST90200187</t>
  </si>
  <si>
    <t>EFO_0800570</t>
  </si>
  <si>
    <t>GCST90200188</t>
  </si>
  <si>
    <t>EFO_0800097</t>
  </si>
  <si>
    <t>GCST90200189</t>
  </si>
  <si>
    <t>EFO_0801031</t>
  </si>
  <si>
    <t>GCST90200190</t>
  </si>
  <si>
    <t>EFO_0800572</t>
  </si>
  <si>
    <t>GCST90200191</t>
  </si>
  <si>
    <t>GCST90200192</t>
  </si>
  <si>
    <t>EFO_0800098</t>
  </si>
  <si>
    <t>GCST90200193</t>
  </si>
  <si>
    <t>EFO_0801028</t>
  </si>
  <si>
    <t>GCST90200194</t>
  </si>
  <si>
    <t>EFO_0800101</t>
  </si>
  <si>
    <t>GCST90200195</t>
  </si>
  <si>
    <t>EFO_0800107</t>
  </si>
  <si>
    <t>GCST90200196</t>
  </si>
  <si>
    <t>EFO_0022208</t>
  </si>
  <si>
    <t>GCST90200197</t>
  </si>
  <si>
    <t>EFO_0800105</t>
  </si>
  <si>
    <t>GCST90200198</t>
  </si>
  <si>
    <t>EFO_0800571</t>
  </si>
  <si>
    <t>GCST90200199</t>
  </si>
  <si>
    <t>EFO_0800173</t>
  </si>
  <si>
    <t>GCST90200200</t>
  </si>
  <si>
    <t>EFO_0800103</t>
  </si>
  <si>
    <t>GCST90200201</t>
  </si>
  <si>
    <t>EFO_0800099</t>
  </si>
  <si>
    <t>GCST90200202</t>
  </si>
  <si>
    <t>EFO_0800174</t>
  </si>
  <si>
    <t>GCST90200203</t>
  </si>
  <si>
    <t>EFO_0800106</t>
  </si>
  <si>
    <t>GCST90200204</t>
  </si>
  <si>
    <t>GCST90200205</t>
  </si>
  <si>
    <t>EFO_0801027</t>
  </si>
  <si>
    <t>GCST90200206</t>
  </si>
  <si>
    <t>EFO_0801036</t>
  </si>
  <si>
    <t>GCST90200207</t>
  </si>
  <si>
    <t>GCST90200208</t>
  </si>
  <si>
    <t>EFO_0801032</t>
  </si>
  <si>
    <t>GCST90200209</t>
  </si>
  <si>
    <t>EFO_0801035</t>
  </si>
  <si>
    <t>GCST90200210</t>
  </si>
  <si>
    <t>EFO_0801034</t>
  </si>
  <si>
    <t>GCST90200211</t>
  </si>
  <si>
    <t>EFO_0801043</t>
  </si>
  <si>
    <t>GCST90200212</t>
  </si>
  <si>
    <t>EFO_0801033</t>
  </si>
  <si>
    <t>GCST90200213</t>
  </si>
  <si>
    <t>EFO_0801038</t>
  </si>
  <si>
    <t>GCST90200214</t>
  </si>
  <si>
    <t>EFO_0800573</t>
  </si>
  <si>
    <t>GCST90200215</t>
  </si>
  <si>
    <t>EFO_0801040</t>
  </si>
  <si>
    <t>GCST90200216</t>
  </si>
  <si>
    <t>EFO_0801037</t>
  </si>
  <si>
    <t>GCST90200217</t>
  </si>
  <si>
    <t>EFO_0801039</t>
  </si>
  <si>
    <t>GCST90200218</t>
  </si>
  <si>
    <t>GCST90200219</t>
  </si>
  <si>
    <t>EFO_0800574</t>
  </si>
  <si>
    <t>GCST90200220</t>
  </si>
  <si>
    <t>EFO_0801041</t>
  </si>
  <si>
    <t>GCST90200221</t>
  </si>
  <si>
    <t>EFO_0800578</t>
  </si>
  <si>
    <t>GCST90200222</t>
  </si>
  <si>
    <t>EFO_0801044</t>
  </si>
  <si>
    <t>GCST90200223</t>
  </si>
  <si>
    <t>EFO_0800576</t>
  </si>
  <si>
    <t>GCST90200224</t>
  </si>
  <si>
    <t>EFO_0800110</t>
  </si>
  <si>
    <t>GCST90200225</t>
  </si>
  <si>
    <t>EFO_0801052</t>
  </si>
  <si>
    <t>GCST90200226</t>
  </si>
  <si>
    <t>EFO_0801051</t>
  </si>
  <si>
    <t>GCST90200227</t>
  </si>
  <si>
    <t>EFO_0801048</t>
  </si>
  <si>
    <t>GCST90200228</t>
  </si>
  <si>
    <t>EFO_0800580</t>
  </si>
  <si>
    <t>GCST90200229</t>
  </si>
  <si>
    <t>EFO_0801046</t>
  </si>
  <si>
    <t>GCST90200230</t>
  </si>
  <si>
    <t>EFO_0801047</t>
  </si>
  <si>
    <t>GCST90200231</t>
  </si>
  <si>
    <t>EFO_0800579</t>
  </si>
  <si>
    <t>GCST90200232</t>
  </si>
  <si>
    <t>EFO_0801049</t>
  </si>
  <si>
    <t>GCST90200233</t>
  </si>
  <si>
    <t>EFO_0800111</t>
  </si>
  <si>
    <t>GCST90200234</t>
  </si>
  <si>
    <t>EFO_0800592</t>
  </si>
  <si>
    <t>GCST90200235</t>
  </si>
  <si>
    <t>GCST90200236</t>
  </si>
  <si>
    <t>EFO_0800588</t>
  </si>
  <si>
    <t>GCST90200237</t>
  </si>
  <si>
    <t>EFO_0800591</t>
  </si>
  <si>
    <t>GCST90200238</t>
  </si>
  <si>
    <t>EFO_0800587</t>
  </si>
  <si>
    <t>GCST90200239</t>
  </si>
  <si>
    <t>EFO_0800585</t>
  </si>
  <si>
    <t>GCST90200240</t>
  </si>
  <si>
    <t>EFO_0800112</t>
  </si>
  <si>
    <t>GCST90200241</t>
  </si>
  <si>
    <t>EFO_0800586</t>
  </si>
  <si>
    <t>GCST90200242</t>
  </si>
  <si>
    <t>EFO_0800584</t>
  </si>
  <si>
    <t>GCST90200243</t>
  </si>
  <si>
    <t>EFO_0800583</t>
  </si>
  <si>
    <t>GCST90200244</t>
  </si>
  <si>
    <t>EFO_0801053</t>
  </si>
  <si>
    <t>GCST90200245</t>
  </si>
  <si>
    <t>GCST90200246</t>
  </si>
  <si>
    <t>EFO_0800590</t>
  </si>
  <si>
    <t>GCST90200247</t>
  </si>
  <si>
    <t>GCST90200248</t>
  </si>
  <si>
    <t>GCST90200249</t>
  </si>
  <si>
    <t>EFO_0800662</t>
  </si>
  <si>
    <t>GCST90200250</t>
  </si>
  <si>
    <t>EFO_0800599</t>
  </si>
  <si>
    <t>GCST90200251</t>
  </si>
  <si>
    <t>EFO_0800661</t>
  </si>
  <si>
    <t>GCST90200252</t>
  </si>
  <si>
    <t>EFO_0801054</t>
  </si>
  <si>
    <t>GCST90200253</t>
  </si>
  <si>
    <t>EFO_0801056</t>
  </si>
  <si>
    <t>GCST90200254</t>
  </si>
  <si>
    <t>EFO_0801055</t>
  </si>
  <si>
    <t>GCST90200255</t>
  </si>
  <si>
    <t>EFO_0801058</t>
  </si>
  <si>
    <t>GCST90200256</t>
  </si>
  <si>
    <t>EFO_0022212</t>
  </si>
  <si>
    <t>GCST90200257</t>
  </si>
  <si>
    <t>EFO_0800659</t>
  </si>
  <si>
    <t>GCST90200258</t>
  </si>
  <si>
    <t>EFO_0800113</t>
  </si>
  <si>
    <t>GCST90200259</t>
  </si>
  <si>
    <t>EFO_0800660</t>
  </si>
  <si>
    <t>GCST90200260</t>
  </si>
  <si>
    <t>EFO_0800593</t>
  </si>
  <si>
    <t>GCST90200261</t>
  </si>
  <si>
    <t>EFO_0021614</t>
  </si>
  <si>
    <t>GCST90200262</t>
  </si>
  <si>
    <t>GCST90200263</t>
  </si>
  <si>
    <t>EFO_0800594</t>
  </si>
  <si>
    <t>GCST90200264</t>
  </si>
  <si>
    <t>EFO_0004570</t>
  </si>
  <si>
    <t>GCST90200265</t>
  </si>
  <si>
    <t>GCST90200266</t>
  </si>
  <si>
    <t>GCST90200267</t>
  </si>
  <si>
    <t>GCST90200268</t>
  </si>
  <si>
    <t>EFO_0022202</t>
  </si>
  <si>
    <t>GCST90200269</t>
  </si>
  <si>
    <t>GCST90200270</t>
  </si>
  <si>
    <t>EFO_0801061</t>
  </si>
  <si>
    <t>GCST90200271</t>
  </si>
  <si>
    <t>GCST90200272</t>
  </si>
  <si>
    <t>GCST90200273</t>
  </si>
  <si>
    <t>EFO_0801062</t>
  </si>
  <si>
    <t>GCST90200274</t>
  </si>
  <si>
    <t>GCST90200275</t>
  </si>
  <si>
    <t>GCST90200276</t>
  </si>
  <si>
    <t>EFO_0022221</t>
  </si>
  <si>
    <t>GCST90200277</t>
  </si>
  <si>
    <t>GCST90200278</t>
  </si>
  <si>
    <t>GCST90200279</t>
  </si>
  <si>
    <t>EFO_0021034</t>
  </si>
  <si>
    <t>GCST90200280</t>
  </si>
  <si>
    <t>EFO_0010988</t>
  </si>
  <si>
    <t>GCST90200281</t>
  </si>
  <si>
    <t>EFO_0800600</t>
  </si>
  <si>
    <t>GCST90200282</t>
  </si>
  <si>
    <t>EFO_0800115</t>
  </si>
  <si>
    <t>GCST90200283</t>
  </si>
  <si>
    <t>EFO_0010641</t>
  </si>
  <si>
    <t>GCST90200284</t>
  </si>
  <si>
    <t>EFO_0800601</t>
  </si>
  <si>
    <t>GCST90200285</t>
  </si>
  <si>
    <t>EFO_0010548</t>
  </si>
  <si>
    <t>GCST90200286</t>
  </si>
  <si>
    <t>EFO_0010456</t>
  </si>
  <si>
    <t>GCST90200287</t>
  </si>
  <si>
    <t>EFO_0800117</t>
  </si>
  <si>
    <t>GCST90200288</t>
  </si>
  <si>
    <t>EFO_0800116</t>
  </si>
  <si>
    <t>GCST90200289</t>
  </si>
  <si>
    <t>EFO_0021427</t>
  </si>
  <si>
    <t>GCST90200290</t>
  </si>
  <si>
    <t>EFO_0021029</t>
  </si>
  <si>
    <t>GCST90200291</t>
  </si>
  <si>
    <t>EFO_0021668</t>
  </si>
  <si>
    <t>GCST90200292</t>
  </si>
  <si>
    <t>EFO_0800114</t>
  </si>
  <si>
    <t>GCST90200293</t>
  </si>
  <si>
    <t>EFO_0005130</t>
  </si>
  <si>
    <t>GCST90200294</t>
  </si>
  <si>
    <t>EFO_0021006</t>
  </si>
  <si>
    <t>GCST90200295</t>
  </si>
  <si>
    <t>EFO_0021144</t>
  </si>
  <si>
    <t>GCST90200296</t>
  </si>
  <si>
    <t>EFO_0801063</t>
  </si>
  <si>
    <t>GCST90200297</t>
  </si>
  <si>
    <t>EFO_0010547</t>
  </si>
  <si>
    <t>GCST90200298</t>
  </si>
  <si>
    <t>EFO_0800602</t>
  </si>
  <si>
    <t>GCST90200299</t>
  </si>
  <si>
    <t>EFO_0800604</t>
  </si>
  <si>
    <t>GCST90200300</t>
  </si>
  <si>
    <t>EFO_0800120</t>
  </si>
  <si>
    <t>GCST90200301</t>
  </si>
  <si>
    <t>EFO_0021138</t>
  </si>
  <si>
    <t>GCST90200302</t>
  </si>
  <si>
    <t>EFO_0007898</t>
  </si>
  <si>
    <t>GCST90200303</t>
  </si>
  <si>
    <t>EFO_0800118</t>
  </si>
  <si>
    <t>GCST90200304</t>
  </si>
  <si>
    <t>EFO_0010114</t>
  </si>
  <si>
    <t>GCST90200305</t>
  </si>
  <si>
    <t>EFO_0020017</t>
  </si>
  <si>
    <t>GCST90200306</t>
  </si>
  <si>
    <t>EFO_0800605</t>
  </si>
  <si>
    <t>GCST90200307</t>
  </si>
  <si>
    <t>EFO_0004531</t>
  </si>
  <si>
    <t>GCST90200308</t>
  </si>
  <si>
    <t>EFO_0010983</t>
  </si>
  <si>
    <t>GCST90200309</t>
  </si>
  <si>
    <t>EFO_0800119</t>
  </si>
  <si>
    <t>GCST90200310</t>
  </si>
  <si>
    <t>EFO_0010980</t>
  </si>
  <si>
    <t>GCST90200311</t>
  </si>
  <si>
    <t>EFO_0021003</t>
  </si>
  <si>
    <t>GCST90200312</t>
  </si>
  <si>
    <t>EFO_0021059</t>
  </si>
  <si>
    <t>GCST90200313</t>
  </si>
  <si>
    <t>EFO_0021122</t>
  </si>
  <si>
    <t>GCST90200314</t>
  </si>
  <si>
    <t>EFO_0020022</t>
  </si>
  <si>
    <t>GCST90200315</t>
  </si>
  <si>
    <t>EFO_0800691</t>
  </si>
  <si>
    <t>GCST90200316</t>
  </si>
  <si>
    <t>EFO_0800151</t>
  </si>
  <si>
    <t>GCST90200317</t>
  </si>
  <si>
    <t>EFO_0005131</t>
  </si>
  <si>
    <t>GCST90200318</t>
  </si>
  <si>
    <t>EFO_0010111</t>
  </si>
  <si>
    <t>GCST90200319</t>
  </si>
  <si>
    <t>EFO_0800122</t>
  </si>
  <si>
    <t>GCST90200320</t>
  </si>
  <si>
    <t>EFO_0021064</t>
  </si>
  <si>
    <t>GCST90200321</t>
  </si>
  <si>
    <t>EFO_0021509</t>
  </si>
  <si>
    <t>GCST90200322</t>
  </si>
  <si>
    <t>EFO_0800125</t>
  </si>
  <si>
    <t>GCST90200323</t>
  </si>
  <si>
    <t>EFO_0010472</t>
  </si>
  <si>
    <t>GCST90200324</t>
  </si>
  <si>
    <t>EFO_0800123</t>
  </si>
  <si>
    <t>GCST90200325</t>
  </si>
  <si>
    <t>EFO_0010115</t>
  </si>
  <si>
    <t>GCST90200326</t>
  </si>
  <si>
    <t>EFO_0021140</t>
  </si>
  <si>
    <t>GCST90200327</t>
  </si>
  <si>
    <t>EFO_0010116</t>
  </si>
  <si>
    <t>GCST90200328</t>
  </si>
  <si>
    <t>EFO_0021009</t>
  </si>
  <si>
    <t>GCST90200329</t>
  </si>
  <si>
    <t>EFO_0800152</t>
  </si>
  <si>
    <t>GCST90200330</t>
  </si>
  <si>
    <t>EFO_0800610</t>
  </si>
  <si>
    <t>GCST90200331</t>
  </si>
  <si>
    <t>EFO_0800608</t>
  </si>
  <si>
    <t>GCST90200332</t>
  </si>
  <si>
    <t>EFO_0800609</t>
  </si>
  <si>
    <t>GCST90200333</t>
  </si>
  <si>
    <t>EFO_0010538</t>
  </si>
  <si>
    <t>GCST90200334</t>
  </si>
  <si>
    <t>EFO_0010539</t>
  </si>
  <si>
    <t>GCST90200335</t>
  </si>
  <si>
    <t>EFO_0800611</t>
  </si>
  <si>
    <t>GCST90200336</t>
  </si>
  <si>
    <t>EFO_0800607</t>
  </si>
  <si>
    <t>GCST90200337</t>
  </si>
  <si>
    <t>EFO_0010537</t>
  </si>
  <si>
    <t>GCST90200338</t>
  </si>
  <si>
    <t>EFO_0800124</t>
  </si>
  <si>
    <t>GCST90200339</t>
  </si>
  <si>
    <t>EFO_0800638</t>
  </si>
  <si>
    <t>GCST90200340</t>
  </si>
  <si>
    <t>EFO_0800612</t>
  </si>
  <si>
    <t>GCST90200341</t>
  </si>
  <si>
    <t>EFO_0800613</t>
  </si>
  <si>
    <t>GCST90200342</t>
  </si>
  <si>
    <t>EFO_0010490</t>
  </si>
  <si>
    <t>GCST90200343</t>
  </si>
  <si>
    <t>EFO_0800128</t>
  </si>
  <si>
    <t>GCST90200344</t>
  </si>
  <si>
    <t>EFO_0800126</t>
  </si>
  <si>
    <t>GCST90200345</t>
  </si>
  <si>
    <t>EFO_0010531</t>
  </si>
  <si>
    <t>GCST90200346</t>
  </si>
  <si>
    <t>EFO_0021156</t>
  </si>
  <si>
    <t>GCST90200347</t>
  </si>
  <si>
    <t>EFO_0010532</t>
  </si>
  <si>
    <t>GCST90200348</t>
  </si>
  <si>
    <t>EFO_0800175</t>
  </si>
  <si>
    <t>GCST90200349</t>
  </si>
  <si>
    <t>EFO_0800616</t>
  </si>
  <si>
    <t>GCST90200350</t>
  </si>
  <si>
    <t>EFO_0021105</t>
  </si>
  <si>
    <t>GCST90200351</t>
  </si>
  <si>
    <t>EFO_0800127</t>
  </si>
  <si>
    <t>GCST90200352</t>
  </si>
  <si>
    <t>EFO_0800129</t>
  </si>
  <si>
    <t>GCST90200353</t>
  </si>
  <si>
    <t>OBA_2050345</t>
  </si>
  <si>
    <t>GCST90200354</t>
  </si>
  <si>
    <t>EFO_0800614</t>
  </si>
  <si>
    <t>GCST90200355</t>
  </si>
  <si>
    <t>EFO_0010452</t>
  </si>
  <si>
    <t>GCST90200356</t>
  </si>
  <si>
    <t>EFO_0021574</t>
  </si>
  <si>
    <t>GCST90200357</t>
  </si>
  <si>
    <t>EFO_0010473</t>
  </si>
  <si>
    <t>GCST90200358</t>
  </si>
  <si>
    <t>EFO_0021063</t>
  </si>
  <si>
    <t>GCST90200359</t>
  </si>
  <si>
    <t>EFO_0800130</t>
  </si>
  <si>
    <t>GCST90200360</t>
  </si>
  <si>
    <t>EFO_0021118</t>
  </si>
  <si>
    <t>GCST90200361</t>
  </si>
  <si>
    <t>EFO_0800640</t>
  </si>
  <si>
    <t>GCST90200362</t>
  </si>
  <si>
    <t>EFO_0011002</t>
  </si>
  <si>
    <t>GCST90200363</t>
  </si>
  <si>
    <t>EFO_0800617</t>
  </si>
  <si>
    <t>GCST90200364</t>
  </si>
  <si>
    <t>EFO_0800133</t>
  </si>
  <si>
    <t>GCST90200365</t>
  </si>
  <si>
    <t>EFO_0800132</t>
  </si>
  <si>
    <t>GCST90200366</t>
  </si>
  <si>
    <t>EFO_0004518</t>
  </si>
  <si>
    <t>GCST90200367</t>
  </si>
  <si>
    <t>EFO_0010982</t>
  </si>
  <si>
    <t>GCST90200368</t>
  </si>
  <si>
    <t>EFO_0004574</t>
  </si>
  <si>
    <t>GCST90200369</t>
  </si>
  <si>
    <t>EFO_0800131</t>
  </si>
  <si>
    <t>GCST90200370</t>
  </si>
  <si>
    <t>EFO_0010462</t>
  </si>
  <si>
    <t>GCST90200371</t>
  </si>
  <si>
    <t>EFO_0021008</t>
  </si>
  <si>
    <t>GCST90200372</t>
  </si>
  <si>
    <t>EFO_0020990</t>
  </si>
  <si>
    <t>GCST90200373</t>
  </si>
  <si>
    <t>EFO_0801064</t>
  </si>
  <si>
    <t>GCST90200374</t>
  </si>
  <si>
    <t>EFO_0800619</t>
  </si>
  <si>
    <t>GCST90200375</t>
  </si>
  <si>
    <t>EFO_0021137</t>
  </si>
  <si>
    <t>GCST90200376</t>
  </si>
  <si>
    <t>EFO_0800177</t>
  </si>
  <si>
    <t>GCST90200377</t>
  </si>
  <si>
    <t>EFO_0009769</t>
  </si>
  <si>
    <t>GCST90200378</t>
  </si>
  <si>
    <t>EFO_0005843</t>
  </si>
  <si>
    <t>GCST90200379</t>
  </si>
  <si>
    <t>EFO_0021833</t>
  </si>
  <si>
    <t>GCST90200380</t>
  </si>
  <si>
    <t>EFO_0800620</t>
  </si>
  <si>
    <t>GCST90200381</t>
  </si>
  <si>
    <t>EFO_0800136</t>
  </si>
  <si>
    <t>GCST90200382</t>
  </si>
  <si>
    <t>EFO_0800134</t>
  </si>
  <si>
    <t>GCST90200383</t>
  </si>
  <si>
    <t>EFO_0010474</t>
  </si>
  <si>
    <t>GCST90200384</t>
  </si>
  <si>
    <t>EFO_0800135</t>
  </si>
  <si>
    <t>GCST90200385</t>
  </si>
  <si>
    <t>EFO_0800618</t>
  </si>
  <si>
    <t>GCST90200386</t>
  </si>
  <si>
    <t>EFO_0010475</t>
  </si>
  <si>
    <t>GCST90200387</t>
  </si>
  <si>
    <t>EFO_0010491</t>
  </si>
  <si>
    <t>GCST90200388</t>
  </si>
  <si>
    <t>EFO_0021072</t>
  </si>
  <si>
    <t>GCST90200389</t>
  </si>
  <si>
    <t>EFO_0009770</t>
  </si>
  <si>
    <t>GCST90200390</t>
  </si>
  <si>
    <t>EFO_0021074</t>
  </si>
  <si>
    <t>GCST90200391</t>
  </si>
  <si>
    <t>EFO_0009771</t>
  </si>
  <si>
    <t>GCST90200392</t>
  </si>
  <si>
    <t>EFO_0800642</t>
  </si>
  <si>
    <t>GCST90200393</t>
  </si>
  <si>
    <t>EFO_0010968</t>
  </si>
  <si>
    <t>GCST90200394</t>
  </si>
  <si>
    <t>EFO_0010503</t>
  </si>
  <si>
    <t>GCST90200395</t>
  </si>
  <si>
    <t>EFO_0800641</t>
  </si>
  <si>
    <t>GCST90200396</t>
  </si>
  <si>
    <t>EFO_0005001</t>
  </si>
  <si>
    <t>GCST90200397</t>
  </si>
  <si>
    <t>EFO_0021071</t>
  </si>
  <si>
    <t>GCST90200398</t>
  </si>
  <si>
    <t>EFO_0010508</t>
  </si>
  <si>
    <t>GCST90200399</t>
  </si>
  <si>
    <t>EFO_0009793</t>
  </si>
  <si>
    <t>GCST90200400</t>
  </si>
  <si>
    <t>EFO_0800178</t>
  </si>
  <si>
    <t>GCST90200401</t>
  </si>
  <si>
    <t>EFO_0800621</t>
  </si>
  <si>
    <t>GCST90200402</t>
  </si>
  <si>
    <t>EFO_0005002</t>
  </si>
  <si>
    <t>GCST90200403</t>
  </si>
  <si>
    <t>EFO_0009777</t>
  </si>
  <si>
    <t>GCST90200404</t>
  </si>
  <si>
    <t>EFO_0009776</t>
  </si>
  <si>
    <t>GCST90200405</t>
  </si>
  <si>
    <t>EFO_0007900</t>
  </si>
  <si>
    <t>GCST90200406</t>
  </si>
  <si>
    <t>EFO_0021829</t>
  </si>
  <si>
    <t>GCST90200407</t>
  </si>
  <si>
    <t>EFO_0010546</t>
  </si>
  <si>
    <t>GCST90200408</t>
  </si>
  <si>
    <t>EFO_0007745</t>
  </si>
  <si>
    <t>GCST90200409</t>
  </si>
  <si>
    <t>EFO_0800623</t>
  </si>
  <si>
    <t>GCST90200410</t>
  </si>
  <si>
    <t>EFO_0801065</t>
  </si>
  <si>
    <t>GCST90200411</t>
  </si>
  <si>
    <t>EFO_0009773</t>
  </si>
  <si>
    <t>GCST90200412</t>
  </si>
  <si>
    <t>EFO_0010487</t>
  </si>
  <si>
    <t>GCST90200413</t>
  </si>
  <si>
    <t>EFO_0800643</t>
  </si>
  <si>
    <t>GCST90200414</t>
  </si>
  <si>
    <t>EFO_0021067</t>
  </si>
  <si>
    <t>GCST90200415</t>
  </si>
  <si>
    <t>EFO_0009774</t>
  </si>
  <si>
    <t>GCST90200416</t>
  </si>
  <si>
    <t>EFO_0800138</t>
  </si>
  <si>
    <t>GCST90200417</t>
  </si>
  <si>
    <t>EFO_0011005</t>
  </si>
  <si>
    <t>GCST90200418</t>
  </si>
  <si>
    <t>EFO_0022222</t>
  </si>
  <si>
    <t>GCST90200419</t>
  </si>
  <si>
    <t>GCST90200420</t>
  </si>
  <si>
    <t>EFO_0010536</t>
  </si>
  <si>
    <t>GCST90200421</t>
  </si>
  <si>
    <t>EFO_0021161</t>
  </si>
  <si>
    <t>GCST90200422</t>
  </si>
  <si>
    <t>EFO_0004846</t>
  </si>
  <si>
    <t>GCST90200423</t>
  </si>
  <si>
    <t>EFO_0021802</t>
  </si>
  <si>
    <t>GCST90200424</t>
  </si>
  <si>
    <t>EFO_0010476</t>
  </si>
  <si>
    <t>GCST90200425</t>
  </si>
  <si>
    <t>EFO_0007787</t>
  </si>
  <si>
    <t>GCST90200426</t>
  </si>
  <si>
    <t>EFO_0800153</t>
  </si>
  <si>
    <t>GCST90200427</t>
  </si>
  <si>
    <t>EFO_0005058</t>
  </si>
  <si>
    <t>GCST90200428</t>
  </si>
  <si>
    <t>EFO_0021101</t>
  </si>
  <si>
    <t>GCST90200429</t>
  </si>
  <si>
    <t>EFO_0800645</t>
  </si>
  <si>
    <t>GCST90200430</t>
  </si>
  <si>
    <t>EFO_0010117</t>
  </si>
  <si>
    <t>GCST90200431</t>
  </si>
  <si>
    <t>EFO_0009765</t>
  </si>
  <si>
    <t>GCST90200432</t>
  </si>
  <si>
    <t>EFO_0009775</t>
  </si>
  <si>
    <t>GCST90200433</t>
  </si>
  <si>
    <t>EFO_0022213</t>
  </si>
  <si>
    <t>GCST90200434</t>
  </si>
  <si>
    <t>GCST90200435</t>
  </si>
  <si>
    <t>EFO_0006958</t>
  </si>
  <si>
    <t>GCST90200436</t>
  </si>
  <si>
    <t>EFO_0021177</t>
  </si>
  <si>
    <t>GCST90200437</t>
  </si>
  <si>
    <t>EFO_0010477</t>
  </si>
  <si>
    <t>GCST90200438</t>
  </si>
  <si>
    <t>EFO_0800140</t>
  </si>
  <si>
    <t>GCST90200439</t>
  </si>
  <si>
    <t>EFO_0021000</t>
  </si>
  <si>
    <t>GCST90200440</t>
  </si>
  <si>
    <t>EFO_0004468</t>
  </si>
  <si>
    <t>GCST90200441</t>
  </si>
  <si>
    <t>EFO_0008534</t>
  </si>
  <si>
    <t>GCST90200442</t>
  </si>
  <si>
    <t>EFO_0009792</t>
  </si>
  <si>
    <t>GCST90200443</t>
  </si>
  <si>
    <t>EFO_0021126</t>
  </si>
  <si>
    <t>GCST90200444</t>
  </si>
  <si>
    <t>EFO_0800647</t>
  </si>
  <si>
    <t>GCST90200445</t>
  </si>
  <si>
    <t>EFO_0021103</t>
  </si>
  <si>
    <t>GCST90200446</t>
  </si>
  <si>
    <t>EFO_0800625</t>
  </si>
  <si>
    <t>GCST90200447</t>
  </si>
  <si>
    <t>EFO_0021649</t>
  </si>
  <si>
    <t>GCST90200448</t>
  </si>
  <si>
    <t>EFO_0800626</t>
  </si>
  <si>
    <t>GCST90200449</t>
  </si>
  <si>
    <t>EFO_0010535</t>
  </si>
  <si>
    <t>GCST90200450</t>
  </si>
  <si>
    <t>EFO_0021102</t>
  </si>
  <si>
    <t>GCST90200451</t>
  </si>
  <si>
    <t>EFO_0021069</t>
  </si>
  <si>
    <t>GCST90200452</t>
  </si>
  <si>
    <t>EFO_0009766</t>
  </si>
  <si>
    <t>GCST90200453</t>
  </si>
  <si>
    <t>EFO_0021204</t>
  </si>
  <si>
    <t>GCST90200454</t>
  </si>
  <si>
    <t>EFO_0800141</t>
  </si>
  <si>
    <t>GCST90200455</t>
  </si>
  <si>
    <t>EFO_0010457</t>
  </si>
  <si>
    <t>GCST90200456</t>
  </si>
  <si>
    <t>EFO_0800693</t>
  </si>
  <si>
    <t>GCST90200457</t>
  </si>
  <si>
    <t>EFO_0021073</t>
  </si>
  <si>
    <t>GCST90200458</t>
  </si>
  <si>
    <t>EFO_0021223</t>
  </si>
  <si>
    <t>GCST90200459</t>
  </si>
  <si>
    <t>EFO_0021066</t>
  </si>
  <si>
    <t>GCST90200460</t>
  </si>
  <si>
    <t>EFO_0800694</t>
  </si>
  <si>
    <t>GCST90200461</t>
  </si>
  <si>
    <t>EFO_0800692</t>
  </si>
  <si>
    <t>GCST90200462</t>
  </si>
  <si>
    <t>EFO_0021222</t>
  </si>
  <si>
    <t>GCST90200463</t>
  </si>
  <si>
    <t>EFO_0021242</t>
  </si>
  <si>
    <t>GCST90200464</t>
  </si>
  <si>
    <t>EFO_0021269</t>
  </si>
  <si>
    <t>GCST90200465</t>
  </si>
  <si>
    <t>EFO_0021258</t>
  </si>
  <si>
    <t>GCST90200466</t>
  </si>
  <si>
    <t>EFO_0800697</t>
  </si>
  <si>
    <t>GCST90200467</t>
  </si>
  <si>
    <t>EFO_0021271</t>
  </si>
  <si>
    <t>GCST90200468</t>
  </si>
  <si>
    <t>EFO_0021268</t>
  </si>
  <si>
    <t>GCST90200469</t>
  </si>
  <si>
    <t>EFO_0021243</t>
  </si>
  <si>
    <t>GCST90200470</t>
  </si>
  <si>
    <t>EFO_0021241</t>
  </si>
  <si>
    <t>GCST90200471</t>
  </si>
  <si>
    <t>EFO_0021228</t>
  </si>
  <si>
    <t>GCST90200472</t>
  </si>
  <si>
    <t>EFO_0021270</t>
  </si>
  <si>
    <t>GCST90200473</t>
  </si>
  <si>
    <t>EFO_0021261</t>
  </si>
  <si>
    <t>GCST90200474</t>
  </si>
  <si>
    <t>EFO_0021237</t>
  </si>
  <si>
    <t>GCST90200475</t>
  </si>
  <si>
    <t>EFO_0021272</t>
  </si>
  <si>
    <t>GCST90200476</t>
  </si>
  <si>
    <t>EFO_0021266</t>
  </si>
  <si>
    <t>GCST90200477</t>
  </si>
  <si>
    <t>EFO_0800709</t>
  </si>
  <si>
    <t>GCST90200478</t>
  </si>
  <si>
    <t>EFO_0800711</t>
  </si>
  <si>
    <t>GCST90200479</t>
  </si>
  <si>
    <t>EFO_0800713</t>
  </si>
  <si>
    <t>GCST90200480</t>
  </si>
  <si>
    <t>EFO_0800715</t>
  </si>
  <si>
    <t>GCST90200481</t>
  </si>
  <si>
    <t>EFO_0800703</t>
  </si>
  <si>
    <t>GCST90200482</t>
  </si>
  <si>
    <t>EFO_0800710</t>
  </si>
  <si>
    <t>GCST90200483</t>
  </si>
  <si>
    <t>EFO_0021294</t>
  </si>
  <si>
    <t>GCST90200484</t>
  </si>
  <si>
    <t>EFO_0800714</t>
  </si>
  <si>
    <t>GCST90200485</t>
  </si>
  <si>
    <t>EFO_0800701</t>
  </si>
  <si>
    <t>GCST90200486</t>
  </si>
  <si>
    <t>EFO_0021301</t>
  </si>
  <si>
    <t>GCST90200487</t>
  </si>
  <si>
    <t>EFO_0800698</t>
  </si>
  <si>
    <t>GCST90200488</t>
  </si>
  <si>
    <t>EFO_0800706</t>
  </si>
  <si>
    <t>GCST90200489</t>
  </si>
  <si>
    <t>EFO_0021304</t>
  </si>
  <si>
    <t>GCST90200490</t>
  </si>
  <si>
    <t>EFO_0800702</t>
  </si>
  <si>
    <t>GCST90200491</t>
  </si>
  <si>
    <t>EFO_0800700</t>
  </si>
  <si>
    <t>GCST90200492</t>
  </si>
  <si>
    <t>EFO_0800716</t>
  </si>
  <si>
    <t>GCST90200493</t>
  </si>
  <si>
    <t>EFO_0021277</t>
  </si>
  <si>
    <t>GCST90200494</t>
  </si>
  <si>
    <t>EFO_0021276</t>
  </si>
  <si>
    <t>GCST90200495</t>
  </si>
  <si>
    <t>EFO_0800717</t>
  </si>
  <si>
    <t>GCST90200496</t>
  </si>
  <si>
    <t>EFO_0800722</t>
  </si>
  <si>
    <t>GCST90200497</t>
  </si>
  <si>
    <t>EFO_0021330</t>
  </si>
  <si>
    <t>GCST90200498</t>
  </si>
  <si>
    <t>EFO_0800724</t>
  </si>
  <si>
    <t>GCST90200499</t>
  </si>
  <si>
    <t>GCST90200500</t>
  </si>
  <si>
    <t>EFO_0021336</t>
  </si>
  <si>
    <t>GCST90200501</t>
  </si>
  <si>
    <t>EFO_0800725</t>
  </si>
  <si>
    <t>GCST90200502</t>
  </si>
  <si>
    <t>EFO_0800720</t>
  </si>
  <si>
    <t>GCST90200503</t>
  </si>
  <si>
    <t>EFO_0021328</t>
  </si>
  <si>
    <t>GCST90200504</t>
  </si>
  <si>
    <t>EFO_0021337</t>
  </si>
  <si>
    <t>GCST90200505</t>
  </si>
  <si>
    <t>EFO_0800729</t>
  </si>
  <si>
    <t>GCST90200506</t>
  </si>
  <si>
    <t>EFO_0800728</t>
  </si>
  <si>
    <t>GCST90200507</t>
  </si>
  <si>
    <t>EFO_0800730</t>
  </si>
  <si>
    <t>GCST90200508</t>
  </si>
  <si>
    <t>EFO_0800726</t>
  </si>
  <si>
    <t>GCST90200509</t>
  </si>
  <si>
    <t>EFO_0021315</t>
  </si>
  <si>
    <t>GCST90200510</t>
  </si>
  <si>
    <t>EFO_0021320</t>
  </si>
  <si>
    <t>GCST90200511</t>
  </si>
  <si>
    <t>EFO_0800733</t>
  </si>
  <si>
    <t>GCST90200512</t>
  </si>
  <si>
    <t>EFO_0800737</t>
  </si>
  <si>
    <t>GCST90200513</t>
  </si>
  <si>
    <t>EFO_0800736</t>
  </si>
  <si>
    <t>GCST90200514</t>
  </si>
  <si>
    <t>EFO_0021342</t>
  </si>
  <si>
    <t>GCST90200515</t>
  </si>
  <si>
    <t>EFO_0800732</t>
  </si>
  <si>
    <t>GCST90200516</t>
  </si>
  <si>
    <t>EFO_0021340</t>
  </si>
  <si>
    <t>GCST90200517</t>
  </si>
  <si>
    <t>EFO_0021355</t>
  </si>
  <si>
    <t>GCST90200518</t>
  </si>
  <si>
    <t>EFO_0800731</t>
  </si>
  <si>
    <t>GCST90200519</t>
  </si>
  <si>
    <t>EFO_0800742</t>
  </si>
  <si>
    <t>GCST90200520</t>
  </si>
  <si>
    <t>EFO_0800734</t>
  </si>
  <si>
    <t>GCST90200521</t>
  </si>
  <si>
    <t>EFO_0800744</t>
  </si>
  <si>
    <t>GCST90200522</t>
  </si>
  <si>
    <t>EFO_0800741</t>
  </si>
  <si>
    <t>GCST90200523</t>
  </si>
  <si>
    <t>EFO_0021339</t>
  </si>
  <si>
    <t>GCST90200524</t>
  </si>
  <si>
    <t>EFO_0800738</t>
  </si>
  <si>
    <t>GCST90200525</t>
  </si>
  <si>
    <t>EFO_0800739</t>
  </si>
  <si>
    <t>GCST90200526</t>
  </si>
  <si>
    <t>EFO_0021361</t>
  </si>
  <si>
    <t>GCST90200527</t>
  </si>
  <si>
    <t>EFO_0800745</t>
  </si>
  <si>
    <t>GCST90200528</t>
  </si>
  <si>
    <t>GCST90200529</t>
  </si>
  <si>
    <t>EFO_0800758</t>
  </si>
  <si>
    <t>GCST90200530</t>
  </si>
  <si>
    <t>EFO_0800772</t>
  </si>
  <si>
    <t>GCST90200531</t>
  </si>
  <si>
    <t>EFO_0020011</t>
  </si>
  <si>
    <t>GCST90200532</t>
  </si>
  <si>
    <t>EFO_0800763</t>
  </si>
  <si>
    <t>GCST90200533</t>
  </si>
  <si>
    <t>EFO_0800751</t>
  </si>
  <si>
    <t>GCST90200534</t>
  </si>
  <si>
    <t>EFO_0800761</t>
  </si>
  <si>
    <t>GCST90200535</t>
  </si>
  <si>
    <t>EFO_0800771</t>
  </si>
  <si>
    <t>GCST90200536</t>
  </si>
  <si>
    <t>GCST90200537</t>
  </si>
  <si>
    <t>EFO_0800756</t>
  </si>
  <si>
    <t>GCST90200538</t>
  </si>
  <si>
    <t>EFO_0800767</t>
  </si>
  <si>
    <t>GCST90200539</t>
  </si>
  <si>
    <t>EFO_0800747</t>
  </si>
  <si>
    <t>GCST90200540</t>
  </si>
  <si>
    <t>EFO_0800749</t>
  </si>
  <si>
    <t>GCST90200541</t>
  </si>
  <si>
    <t>GCST90200542</t>
  </si>
  <si>
    <t>EFO_0020024</t>
  </si>
  <si>
    <t>GCST90200543</t>
  </si>
  <si>
    <t>EFO_0800753</t>
  </si>
  <si>
    <t>GCST90200544</t>
  </si>
  <si>
    <t>EFO_0800757</t>
  </si>
  <si>
    <t>GCST90200545</t>
  </si>
  <si>
    <t>EFO_0800781</t>
  </si>
  <si>
    <t>GCST90200546</t>
  </si>
  <si>
    <t>EFO_0800776</t>
  </si>
  <si>
    <t>GCST90200547</t>
  </si>
  <si>
    <t>EFO_0800784</t>
  </si>
  <si>
    <t>GCST90200548</t>
  </si>
  <si>
    <t>EFO_0800785</t>
  </si>
  <si>
    <t>GCST90200549</t>
  </si>
  <si>
    <t>EFO_0800779</t>
  </si>
  <si>
    <t>GCST90200550</t>
  </si>
  <si>
    <t>EFO_0800777</t>
  </si>
  <si>
    <t>GCST90200551</t>
  </si>
  <si>
    <t>EFO_0800790</t>
  </si>
  <si>
    <t>GCST90200552</t>
  </si>
  <si>
    <t>EFO_0800791</t>
  </si>
  <si>
    <t>GCST90200553</t>
  </si>
  <si>
    <t>EFO_0800783</t>
  </si>
  <si>
    <t>GCST90200554</t>
  </si>
  <si>
    <t>GCST90200555</t>
  </si>
  <si>
    <t>EFO_0800788</t>
  </si>
  <si>
    <t>GCST90200556</t>
  </si>
  <si>
    <t>EFO_0800789</t>
  </si>
  <si>
    <t>GCST90200557</t>
  </si>
  <si>
    <t>EFO_0800786</t>
  </si>
  <si>
    <t>GCST90200558</t>
  </si>
  <si>
    <t>EFO_0800792</t>
  </si>
  <si>
    <t>GCST90200559</t>
  </si>
  <si>
    <t>EFO_0800794</t>
  </si>
  <si>
    <t>GCST90200560</t>
  </si>
  <si>
    <t>EFO_0800774</t>
  </si>
  <si>
    <t>GCST90200561</t>
  </si>
  <si>
    <t>GCST90200562</t>
  </si>
  <si>
    <t>EFO_0800804</t>
  </si>
  <si>
    <t>GCST90200563</t>
  </si>
  <si>
    <t>EFO_0800810</t>
  </si>
  <si>
    <t>GCST90200564</t>
  </si>
  <si>
    <t>EFO_0800807</t>
  </si>
  <si>
    <t>GCST90200565</t>
  </si>
  <si>
    <t>EFO_0800802</t>
  </si>
  <si>
    <t>GCST90200566</t>
  </si>
  <si>
    <t>EFO_0800811</t>
  </si>
  <si>
    <t>GCST90200567</t>
  </si>
  <si>
    <t>EFO_0800809</t>
  </si>
  <si>
    <t>GCST90200568</t>
  </si>
  <si>
    <t>EFO_0800801</t>
  </si>
  <si>
    <t>GCST90200569</t>
  </si>
  <si>
    <t>EFO_0800795</t>
  </si>
  <si>
    <t>GCST90200570</t>
  </si>
  <si>
    <t>EFO_0800796</t>
  </si>
  <si>
    <t>GCST90200571</t>
  </si>
  <si>
    <t>EFO_0800808</t>
  </si>
  <si>
    <t>GCST90200572</t>
  </si>
  <si>
    <t>GCST90200573</t>
  </si>
  <si>
    <t>EFO_0800798</t>
  </si>
  <si>
    <t>GCST90200574</t>
  </si>
  <si>
    <t>EFO_0800805</t>
  </si>
  <si>
    <t>GCST90200575</t>
  </si>
  <si>
    <t>GCST90200576</t>
  </si>
  <si>
    <t>EFO_0800803</t>
  </si>
  <si>
    <t>GCST90200577</t>
  </si>
  <si>
    <t>EFO_0800806</t>
  </si>
  <si>
    <t>GCST90200578</t>
  </si>
  <si>
    <t>EFO_0800797</t>
  </si>
  <si>
    <t>GCST90200579</t>
  </si>
  <si>
    <t>EFO_0800815</t>
  </si>
  <si>
    <t>GCST90200580</t>
  </si>
  <si>
    <t>EFO_0800825</t>
  </si>
  <si>
    <t>GCST90200581</t>
  </si>
  <si>
    <t>EFO_0800814</t>
  </si>
  <si>
    <t>GCST90200582</t>
  </si>
  <si>
    <t>EFO_0800824</t>
  </si>
  <si>
    <t>GCST90200583</t>
  </si>
  <si>
    <t>EFO_0800827</t>
  </si>
  <si>
    <t>GCST90200584</t>
  </si>
  <si>
    <t>EFO_0800821</t>
  </si>
  <si>
    <t>GCST90200585</t>
  </si>
  <si>
    <t>EFO_0800830</t>
  </si>
  <si>
    <t>GCST90200586</t>
  </si>
  <si>
    <t>EFO_0800818</t>
  </si>
  <si>
    <t>GCST90200587</t>
  </si>
  <si>
    <t>EFO_0800820</t>
  </si>
  <si>
    <t>GCST90200588</t>
  </si>
  <si>
    <t>EFO_0800823</t>
  </si>
  <si>
    <t>GCST90200589</t>
  </si>
  <si>
    <t>EFO_0800829</t>
  </si>
  <si>
    <t>GCST90200590</t>
  </si>
  <si>
    <t>EFO_0800817</t>
  </si>
  <si>
    <t>GCST90200591</t>
  </si>
  <si>
    <t>EFO_0800812</t>
  </si>
  <si>
    <t>GCST90200592</t>
  </si>
  <si>
    <t>EFO_0800819</t>
  </si>
  <si>
    <t>GCST90200593</t>
  </si>
  <si>
    <t>EFO_0800833</t>
  </si>
  <si>
    <t>GCST90200594</t>
  </si>
  <si>
    <t>EFO_0020007</t>
  </si>
  <si>
    <t>GCST90200595</t>
  </si>
  <si>
    <t>EFO_0800845</t>
  </si>
  <si>
    <t>GCST90200596</t>
  </si>
  <si>
    <t>EFO_0800856</t>
  </si>
  <si>
    <t>GCST90200597</t>
  </si>
  <si>
    <t>GCST90200598</t>
  </si>
  <si>
    <t>EFO_0800844</t>
  </si>
  <si>
    <t>GCST90200599</t>
  </si>
  <si>
    <t>EFO_0800853</t>
  </si>
  <si>
    <t>GCST90200600</t>
  </si>
  <si>
    <t>GCST90200601</t>
  </si>
  <si>
    <t>GCST90200602</t>
  </si>
  <si>
    <t>EFO_0800843</t>
  </si>
  <si>
    <t>GCST90200603</t>
  </si>
  <si>
    <t>EFO_0800854</t>
  </si>
  <si>
    <t>GCST90200604</t>
  </si>
  <si>
    <t>EFO_0800847</t>
  </si>
  <si>
    <t>GCST90200605</t>
  </si>
  <si>
    <t>EFO_0800836</t>
  </si>
  <si>
    <t>GCST90200606</t>
  </si>
  <si>
    <t>EFO_0800841</t>
  </si>
  <si>
    <t>GCST90200607</t>
  </si>
  <si>
    <t>EFO_0800855</t>
  </si>
  <si>
    <t>GCST90200608</t>
  </si>
  <si>
    <t>EFO_0800839</t>
  </si>
  <si>
    <t>GCST90200609</t>
  </si>
  <si>
    <t>EFO_0800849</t>
  </si>
  <si>
    <t>GCST90200610</t>
  </si>
  <si>
    <t>EFO_0800851</t>
  </si>
  <si>
    <t>GCST90200611</t>
  </si>
  <si>
    <t>EFO_0800852</t>
  </si>
  <si>
    <t>GCST90200612</t>
  </si>
  <si>
    <t>EFO_0800861</t>
  </si>
  <si>
    <t>GCST90200613</t>
  </si>
  <si>
    <t>EFO_0800862</t>
  </si>
  <si>
    <t>GCST90200614</t>
  </si>
  <si>
    <t>EFO_0800864</t>
  </si>
  <si>
    <t>GCST90200615</t>
  </si>
  <si>
    <t>EFO_0800867</t>
  </si>
  <si>
    <t>GCST90200616</t>
  </si>
  <si>
    <t>GCST90200617</t>
  </si>
  <si>
    <t>EFO_0800859</t>
  </si>
  <si>
    <t>GCST90200618</t>
  </si>
  <si>
    <t>EFO_0800865</t>
  </si>
  <si>
    <t>GCST90200619</t>
  </si>
  <si>
    <t>EFO_0800869</t>
  </si>
  <si>
    <t>GCST90200620</t>
  </si>
  <si>
    <t>GCST90200621</t>
  </si>
  <si>
    <t>EFO_0800863</t>
  </si>
  <si>
    <t>GCST90200622</t>
  </si>
  <si>
    <t>EFO_0800868</t>
  </si>
  <si>
    <t>GCST90200623</t>
  </si>
  <si>
    <t>GCST90200624</t>
  </si>
  <si>
    <t>EFO_0800873</t>
  </si>
  <si>
    <t>GCST90200625</t>
  </si>
  <si>
    <t>EFO_0800885</t>
  </si>
  <si>
    <t>GCST90200626</t>
  </si>
  <si>
    <t>EFO_0800879</t>
  </si>
  <si>
    <t>GCST90200627</t>
  </si>
  <si>
    <t>EFO_0800876</t>
  </si>
  <si>
    <t>GCST90200628</t>
  </si>
  <si>
    <t>EFO_0800895</t>
  </si>
  <si>
    <t>GCST90200629</t>
  </si>
  <si>
    <t>EFO_0800875</t>
  </si>
  <si>
    <t>GCST90200630</t>
  </si>
  <si>
    <t>EFO_0800893</t>
  </si>
  <si>
    <t>GCST90200631</t>
  </si>
  <si>
    <t>EFO_0800870</t>
  </si>
  <si>
    <t>GCST90200632</t>
  </si>
  <si>
    <t>EFO_0800871</t>
  </si>
  <si>
    <t>GCST90200633</t>
  </si>
  <si>
    <t>EFO_0800874</t>
  </si>
  <si>
    <t>GCST90200634</t>
  </si>
  <si>
    <t>EFO_0800890</t>
  </si>
  <si>
    <t>GCST90200635</t>
  </si>
  <si>
    <t>EFO_0800889</t>
  </si>
  <si>
    <t>GCST90200636</t>
  </si>
  <si>
    <t>EFO_0800892</t>
  </si>
  <si>
    <t>GCST90200637</t>
  </si>
  <si>
    <t>GCST90200638</t>
  </si>
  <si>
    <t>EFO_0800907</t>
  </si>
  <si>
    <t>GCST90200639</t>
  </si>
  <si>
    <t>EFO_0800905</t>
  </si>
  <si>
    <t>GCST90200640</t>
  </si>
  <si>
    <t>GCST90200641</t>
  </si>
  <si>
    <t>EFO_0800913</t>
  </si>
  <si>
    <t>GCST90200642</t>
  </si>
  <si>
    <t>GCST90200643</t>
  </si>
  <si>
    <t>EFO_0800912</t>
  </si>
  <si>
    <t>GCST90200644</t>
  </si>
  <si>
    <t>EFO_0800903</t>
  </si>
  <si>
    <t>GCST90200645</t>
  </si>
  <si>
    <t>GCST90200646</t>
  </si>
  <si>
    <t>GCST90200647</t>
  </si>
  <si>
    <t>EFO_0800904</t>
  </si>
  <si>
    <t>GCST90200648</t>
  </si>
  <si>
    <t>GCST90200649</t>
  </si>
  <si>
    <t>EFO_0800898</t>
  </si>
  <si>
    <t>GCST90200650</t>
  </si>
  <si>
    <t>GCST90200651</t>
  </si>
  <si>
    <t>EFO_0800910</t>
  </si>
  <si>
    <t>GCST90200652</t>
  </si>
  <si>
    <t>EFO_0800911</t>
  </si>
  <si>
    <t>GCST90200653</t>
  </si>
  <si>
    <t>EFO_0800908</t>
  </si>
  <si>
    <t>GCST90200654</t>
  </si>
  <si>
    <t>GCST90200655</t>
  </si>
  <si>
    <t>EFO_0800936</t>
  </si>
  <si>
    <t>GCST90200656</t>
  </si>
  <si>
    <t>EFO_0800923</t>
  </si>
  <si>
    <t>GCST90200657</t>
  </si>
  <si>
    <t>EFO_0800925</t>
  </si>
  <si>
    <t>GCST90200658</t>
  </si>
  <si>
    <t>EFO_0800917</t>
  </si>
  <si>
    <t>GCST90200659</t>
  </si>
  <si>
    <t>EFO_0800916</t>
  </si>
  <si>
    <t>GCST90200660</t>
  </si>
  <si>
    <t>EFO_0800938</t>
  </si>
  <si>
    <t>GCST90200661</t>
  </si>
  <si>
    <t>EFO_0800927</t>
  </si>
  <si>
    <t>GCST90200662</t>
  </si>
  <si>
    <t>EFO_0800933</t>
  </si>
  <si>
    <t>GCST90200663</t>
  </si>
  <si>
    <t>EFO_0800926</t>
  </si>
  <si>
    <t>GCST90200664</t>
  </si>
  <si>
    <t>GCST90200665</t>
  </si>
  <si>
    <t>EFO_0800928</t>
  </si>
  <si>
    <t>GCST90200666</t>
  </si>
  <si>
    <t>EFO_0800922</t>
  </si>
  <si>
    <t>GCST90200667</t>
  </si>
  <si>
    <t>EFO_0800920</t>
  </si>
  <si>
    <t>GCST90200668</t>
  </si>
  <si>
    <t>EFO_0800931</t>
  </si>
  <si>
    <t>GCST90200669</t>
  </si>
  <si>
    <t>EFO_0800930</t>
  </si>
  <si>
    <t>GCST90200670</t>
  </si>
  <si>
    <t>GCST90200671</t>
  </si>
  <si>
    <t>GCST90200672</t>
  </si>
  <si>
    <t>EFO_0800939</t>
  </si>
  <si>
    <t>GCST90200673</t>
  </si>
  <si>
    <t>EFO_0800201</t>
  </si>
  <si>
    <t>GCST90200674</t>
  </si>
  <si>
    <t>EFO_0021117</t>
  </si>
  <si>
    <t>GCST90200675</t>
  </si>
  <si>
    <t>EFO_0020021</t>
  </si>
  <si>
    <t>GCST90200676</t>
  </si>
  <si>
    <t>EFO_0800017</t>
  </si>
  <si>
    <t>GCST90200677</t>
  </si>
  <si>
    <t>EFO_0800019</t>
  </si>
  <si>
    <t>GCST90200678</t>
  </si>
  <si>
    <t>EFO_0022206</t>
  </si>
  <si>
    <t>GCST90200679</t>
  </si>
  <si>
    <t>EFO_0021429</t>
  </si>
  <si>
    <t>GCST90200680</t>
  </si>
  <si>
    <t>EFO_0800950</t>
  </si>
  <si>
    <t>GCST90200681</t>
  </si>
  <si>
    <t>EFO_0800630</t>
  </si>
  <si>
    <t>GCST90200682</t>
  </si>
  <si>
    <t>EFO_0800633</t>
  </si>
  <si>
    <t>GCST90200683</t>
  </si>
  <si>
    <t>EFO_0800028</t>
  </si>
  <si>
    <t>GCST90200684</t>
  </si>
  <si>
    <t>EFO_0800033</t>
  </si>
  <si>
    <t>GCST90200685</t>
  </si>
  <si>
    <t>EFO_0800271</t>
  </si>
  <si>
    <t>GCST90200686</t>
  </si>
  <si>
    <t>GCST90200687</t>
  </si>
  <si>
    <t>GCST90200688</t>
  </si>
  <si>
    <t>EFO_0800317</t>
  </si>
  <si>
    <t>GCST90200689</t>
  </si>
  <si>
    <t>EFO_0800061</t>
  </si>
  <si>
    <t>GCST90200690</t>
  </si>
  <si>
    <t>EFO_0800065</t>
  </si>
  <si>
    <t>GCST90200691</t>
  </si>
  <si>
    <t>EFO_0800067</t>
  </si>
  <si>
    <t>GCST90200692</t>
  </si>
  <si>
    <t>EFO_0800390</t>
  </si>
  <si>
    <t>GCST90200693</t>
  </si>
  <si>
    <t>EFO_0800474</t>
  </si>
  <si>
    <t>GCST90200694</t>
  </si>
  <si>
    <t>EFO_0800635</t>
  </si>
  <si>
    <t>GCST90200695</t>
  </si>
  <si>
    <t>EFO_0800636</t>
  </si>
  <si>
    <t>GCST90200696</t>
  </si>
  <si>
    <t>EFO_0800100</t>
  </si>
  <si>
    <t>GCST90200697</t>
  </si>
  <si>
    <t>GCST90200698</t>
  </si>
  <si>
    <t>EFO_0800109</t>
  </si>
  <si>
    <t>GCST90200699</t>
  </si>
  <si>
    <t>EFO_0800575</t>
  </si>
  <si>
    <t>GCST90200700</t>
  </si>
  <si>
    <t>EFO_0800598</t>
  </si>
  <si>
    <t>GCST90200701</t>
  </si>
  <si>
    <t>GCST90200702</t>
  </si>
  <si>
    <t>GCST90200703</t>
  </si>
  <si>
    <t>GCST90200704</t>
  </si>
  <si>
    <t>GCST90200705</t>
  </si>
  <si>
    <t>EFO_0020009</t>
  </si>
  <si>
    <t>GCST90200706</t>
  </si>
  <si>
    <t>EFO_0021033</t>
  </si>
  <si>
    <t>GCST90200707</t>
  </si>
  <si>
    <t>EFO_0009767</t>
  </si>
  <si>
    <t>GCST90200708</t>
  </si>
  <si>
    <t>EFO_0800705</t>
  </si>
  <si>
    <t>GCST90200709</t>
  </si>
  <si>
    <t>EFO_0021335</t>
  </si>
  <si>
    <t>GCST90200710</t>
  </si>
  <si>
    <t>EFO_0800735</t>
  </si>
  <si>
    <t>GCST90200711</t>
  </si>
  <si>
    <t>EFO_0800799</t>
  </si>
  <si>
    <t>GCST90200712</t>
  </si>
  <si>
    <t>EFO_0022223</t>
  </si>
  <si>
    <t>GCST90200713</t>
  </si>
  <si>
    <t>GCST90200714</t>
  </si>
  <si>
    <t>GCST90200715</t>
  </si>
  <si>
    <t>GCST90200716</t>
  </si>
  <si>
    <t>GCST90200717</t>
  </si>
  <si>
    <t>GCST90200718</t>
  </si>
  <si>
    <t>GCST90200719</t>
  </si>
  <si>
    <t>GCST90200720</t>
  </si>
  <si>
    <t>GCST90200721</t>
  </si>
  <si>
    <t>GCST90200722</t>
  </si>
  <si>
    <t>GCST90200723</t>
  </si>
  <si>
    <t>GCST90200724</t>
  </si>
  <si>
    <t>GCST90200725</t>
  </si>
  <si>
    <t>GCST90200726</t>
  </si>
  <si>
    <t>GCST90200727</t>
  </si>
  <si>
    <t>GCST90200728</t>
  </si>
  <si>
    <t>GCST90200729</t>
  </si>
  <si>
    <t>GCST90200730</t>
  </si>
  <si>
    <t>GCST90200731</t>
  </si>
  <si>
    <t>GCST90200732</t>
  </si>
  <si>
    <t>GCST90200733</t>
  </si>
  <si>
    <t>GCST90200734</t>
  </si>
  <si>
    <t>GCST90200735</t>
  </si>
  <si>
    <t>GCST90200736</t>
  </si>
  <si>
    <t>GCST90200737</t>
  </si>
  <si>
    <t>GCST90200738</t>
  </si>
  <si>
    <t>GCST90200739</t>
  </si>
  <si>
    <t>GCST90200740</t>
  </si>
  <si>
    <t>GCST90200741</t>
  </si>
  <si>
    <t>GCST90200742</t>
  </si>
  <si>
    <t>GCST90200743</t>
  </si>
  <si>
    <t>GCST90200744</t>
  </si>
  <si>
    <t>GCST90200745</t>
  </si>
  <si>
    <t>GCST90200746</t>
  </si>
  <si>
    <t>GCST90200747</t>
  </si>
  <si>
    <t>GCST90200748</t>
  </si>
  <si>
    <t>GCST90200749</t>
  </si>
  <si>
    <t>GCST90200750</t>
  </si>
  <si>
    <t>GCST90200751</t>
  </si>
  <si>
    <t>GCST90200752</t>
  </si>
  <si>
    <t>GCST90200753</t>
  </si>
  <si>
    <t>GCST90200754</t>
  </si>
  <si>
    <t>GCST90200755</t>
  </si>
  <si>
    <t>GCST90200756</t>
  </si>
  <si>
    <t>GCST90200757</t>
  </si>
  <si>
    <t>GCST90200758</t>
  </si>
  <si>
    <t>GCST90200759</t>
  </si>
  <si>
    <t>GCST90200760</t>
  </si>
  <si>
    <t>GCST90200761</t>
  </si>
  <si>
    <t>GCST90200762</t>
  </si>
  <si>
    <t>GCST90200763</t>
  </si>
  <si>
    <t>GCST90200764</t>
  </si>
  <si>
    <t>GCST90200765</t>
  </si>
  <si>
    <t>GCST90200766</t>
  </si>
  <si>
    <t>GCST90200767</t>
  </si>
  <si>
    <t>GCST90200768</t>
  </si>
  <si>
    <t>GCST90200769</t>
  </si>
  <si>
    <t>GCST90200770</t>
  </si>
  <si>
    <t>GCST90200771</t>
  </si>
  <si>
    <t>GCST90200772</t>
  </si>
  <si>
    <t>GCST90200773</t>
  </si>
  <si>
    <t>GCST90200774</t>
  </si>
  <si>
    <t>GCST90200775</t>
  </si>
  <si>
    <t>GCST90200776</t>
  </si>
  <si>
    <t>GCST90200777</t>
  </si>
  <si>
    <t>GCST90200778</t>
  </si>
  <si>
    <t>GCST90200779</t>
  </si>
  <si>
    <t>GCST90200780</t>
  </si>
  <si>
    <t>GCST90200781</t>
  </si>
  <si>
    <t>GCST90200782</t>
  </si>
  <si>
    <t>GCST90200783</t>
  </si>
  <si>
    <t>GCST90200784</t>
  </si>
  <si>
    <t>GCST90200785</t>
  </si>
  <si>
    <t>GCST90200786</t>
  </si>
  <si>
    <t>GCST90200787</t>
  </si>
  <si>
    <t>GCST90200788</t>
  </si>
  <si>
    <t>GCST90200789</t>
  </si>
  <si>
    <t>GCST90200790</t>
  </si>
  <si>
    <t>GCST90200791</t>
  </si>
  <si>
    <t>GCST90200792</t>
  </si>
  <si>
    <t>GCST90200793</t>
  </si>
  <si>
    <t>GCST90200794</t>
  </si>
  <si>
    <t>GCST90200795</t>
  </si>
  <si>
    <t>GCST90200796</t>
  </si>
  <si>
    <t>GCST90200797</t>
  </si>
  <si>
    <t>GCST90200798</t>
  </si>
  <si>
    <t>GCST90200799</t>
  </si>
  <si>
    <t>GCST90200800</t>
  </si>
  <si>
    <t>GCST90200801</t>
  </si>
  <si>
    <t>GCST90200802</t>
  </si>
  <si>
    <t>GCST90200803</t>
  </si>
  <si>
    <t>GCST90200804</t>
  </si>
  <si>
    <t>GCST90200805</t>
  </si>
  <si>
    <t>GCST90200806</t>
  </si>
  <si>
    <t>GCST90200807</t>
  </si>
  <si>
    <t>GCST90200808</t>
  </si>
  <si>
    <t>GCST90200809</t>
  </si>
  <si>
    <t>GCST90200810</t>
  </si>
  <si>
    <t>GCST90200811</t>
  </si>
  <si>
    <t>GCST90200812</t>
  </si>
  <si>
    <t>GCST90200813</t>
  </si>
  <si>
    <t>GCST90200814</t>
  </si>
  <si>
    <t>GCST90200815</t>
  </si>
  <si>
    <t>GCST90200816</t>
  </si>
  <si>
    <t>GCST90200817</t>
  </si>
  <si>
    <t>GCST90200818</t>
  </si>
  <si>
    <t>GCST90200819</t>
  </si>
  <si>
    <t>GCST90200820</t>
  </si>
  <si>
    <t>GCST90200821</t>
  </si>
  <si>
    <t>GCST90200822</t>
  </si>
  <si>
    <t>GCST90200823</t>
  </si>
  <si>
    <t>GCST90200824</t>
  </si>
  <si>
    <t>GCST90200825</t>
  </si>
  <si>
    <t>GCST90200826</t>
  </si>
  <si>
    <t>GCST90200827</t>
  </si>
  <si>
    <t>GCST90200828</t>
  </si>
  <si>
    <t>GCST90200829</t>
  </si>
  <si>
    <t>GCST90200830</t>
  </si>
  <si>
    <t>GCST90200831</t>
  </si>
  <si>
    <t>GCST90200832</t>
  </si>
  <si>
    <t>GCST90200833</t>
  </si>
  <si>
    <t>GCST90200834</t>
  </si>
  <si>
    <t>GCST90200835</t>
  </si>
  <si>
    <t>GCST90200836</t>
  </si>
  <si>
    <t>GCST90200837</t>
  </si>
  <si>
    <t>GCST90200838</t>
  </si>
  <si>
    <t>GCST90200839</t>
  </si>
  <si>
    <t>GCST90200840</t>
  </si>
  <si>
    <t>GCST90200841</t>
  </si>
  <si>
    <t>GCST90200842</t>
  </si>
  <si>
    <t>GCST90200843</t>
  </si>
  <si>
    <t>GCST90200844</t>
  </si>
  <si>
    <t>GCST90200845</t>
  </si>
  <si>
    <t>GCST90200846</t>
  </si>
  <si>
    <t>GCST90200847</t>
  </si>
  <si>
    <t>GCST90200848</t>
  </si>
  <si>
    <t>GCST90200849</t>
  </si>
  <si>
    <t>GCST90200850</t>
  </si>
  <si>
    <t>GCST90200851</t>
  </si>
  <si>
    <t>GCST90200852</t>
  </si>
  <si>
    <t>GCST90200853</t>
  </si>
  <si>
    <t>GCST90200854</t>
  </si>
  <si>
    <t>GCST90200855</t>
  </si>
  <si>
    <t>GCST90200856</t>
  </si>
  <si>
    <t>GCST90200857</t>
  </si>
  <si>
    <t>GCST90200858</t>
  </si>
  <si>
    <t>GCST90200859</t>
  </si>
  <si>
    <t>GCST90200860</t>
  </si>
  <si>
    <t>GCST90200861</t>
  </si>
  <si>
    <t>GCST90200862</t>
  </si>
  <si>
    <t>GCST90200863</t>
  </si>
  <si>
    <t>GCST90200864</t>
  </si>
  <si>
    <t>GCST90200865</t>
  </si>
  <si>
    <t>GCST90200866</t>
  </si>
  <si>
    <t>GCST90200867</t>
  </si>
  <si>
    <t>GCST90200868</t>
  </si>
  <si>
    <t>GCST90200869</t>
  </si>
  <si>
    <t>GCST90200870</t>
  </si>
  <si>
    <t>GCST90200871</t>
  </si>
  <si>
    <t>GCST90200872</t>
  </si>
  <si>
    <t>GCST90200873</t>
  </si>
  <si>
    <t>GCST90200874</t>
  </si>
  <si>
    <t>GCST90200875</t>
  </si>
  <si>
    <t>GCST90200876</t>
  </si>
  <si>
    <t>GCST90200877</t>
  </si>
  <si>
    <t>GCST90200878</t>
  </si>
  <si>
    <t>GCST90200879</t>
  </si>
  <si>
    <t>GCST90200880</t>
  </si>
  <si>
    <t>GCST90200881</t>
  </si>
  <si>
    <t>GCST90200882</t>
  </si>
  <si>
    <t>GCST90200883</t>
  </si>
  <si>
    <t>GCST90200884</t>
  </si>
  <si>
    <t>GCST90200885</t>
  </si>
  <si>
    <t>GCST90200886</t>
  </si>
  <si>
    <t>GCST90200887</t>
  </si>
  <si>
    <t>GCST90200888</t>
  </si>
  <si>
    <t>GCST90200889</t>
  </si>
  <si>
    <t>GCST90200890</t>
  </si>
  <si>
    <t>GCST90200891</t>
  </si>
  <si>
    <t>GCST90200892</t>
  </si>
  <si>
    <t>GCST90200893</t>
  </si>
  <si>
    <t>GCST90200894</t>
  </si>
  <si>
    <t>GCST90200895</t>
  </si>
  <si>
    <t>GCST90200896</t>
  </si>
  <si>
    <t>GCST90200897</t>
  </si>
  <si>
    <t>GCST90200898</t>
  </si>
  <si>
    <t>GCST90200899</t>
  </si>
  <si>
    <t>GCST90200900</t>
  </si>
  <si>
    <t>GCST90200901</t>
  </si>
  <si>
    <t>GCST90200902</t>
  </si>
  <si>
    <t>GCST90200903</t>
  </si>
  <si>
    <t>GCST90200904</t>
  </si>
  <si>
    <t>GCST90200905</t>
  </si>
  <si>
    <t>GCST90200906</t>
  </si>
  <si>
    <t>GCST90200907</t>
  </si>
  <si>
    <t>GCST90200908</t>
  </si>
  <si>
    <t>GCST90200909</t>
  </si>
  <si>
    <t>GCST90200910</t>
  </si>
  <si>
    <t>GCST90200911</t>
  </si>
  <si>
    <t>GCST90200912</t>
  </si>
  <si>
    <t>GCST90200913</t>
  </si>
  <si>
    <t>GCST90200914</t>
  </si>
  <si>
    <t>GCST90200915</t>
  </si>
  <si>
    <t>GCST90200916</t>
  </si>
  <si>
    <t>GCST90200917</t>
  </si>
  <si>
    <t>GCST90200918</t>
  </si>
  <si>
    <t>GCST90200919</t>
  </si>
  <si>
    <t>GCST90200920</t>
  </si>
  <si>
    <t>GCST90200921</t>
  </si>
  <si>
    <t>GCST90200922</t>
  </si>
  <si>
    <t>GCST90200923</t>
  </si>
  <si>
    <t>GCST90200924</t>
  </si>
  <si>
    <t>GCST90200925</t>
  </si>
  <si>
    <t>GCST90200926</t>
  </si>
  <si>
    <t>GCST90200927</t>
  </si>
  <si>
    <t>GCST90200928</t>
  </si>
  <si>
    <t>GCST90200929</t>
  </si>
  <si>
    <t>GCST90200930</t>
  </si>
  <si>
    <t>GCST90200931</t>
  </si>
  <si>
    <t>GCST90200932</t>
  </si>
  <si>
    <t>GCST90200933</t>
  </si>
  <si>
    <t>GCST90200934</t>
  </si>
  <si>
    <t>GCST90200935</t>
  </si>
  <si>
    <t>GCST90200936</t>
  </si>
  <si>
    <t>GCST90200937</t>
  </si>
  <si>
    <t>GCST90200938</t>
  </si>
  <si>
    <t>GCST90200939</t>
  </si>
  <si>
    <t>GCST90200940</t>
  </si>
  <si>
    <t>GCST90200941</t>
  </si>
  <si>
    <t>GCST90200942</t>
  </si>
  <si>
    <t>GCST90200943</t>
  </si>
  <si>
    <t>GCST90200944</t>
  </si>
  <si>
    <t>GCST90200945</t>
  </si>
  <si>
    <t>GCST90200946</t>
  </si>
  <si>
    <t>GCST90200947</t>
  </si>
  <si>
    <t>GCST90200948</t>
  </si>
  <si>
    <t>GCST90200949</t>
  </si>
  <si>
    <t>GCST90200950</t>
  </si>
  <si>
    <t>GCST90200951</t>
  </si>
  <si>
    <t>GCST90200952</t>
  </si>
  <si>
    <t>GCST90200953</t>
  </si>
  <si>
    <t>EFO_0021404</t>
  </si>
  <si>
    <t>GCST90200954</t>
  </si>
  <si>
    <t>GCST90200955</t>
  </si>
  <si>
    <t>GCST90200956</t>
  </si>
  <si>
    <t>GCST90200957</t>
  </si>
  <si>
    <t>GCST90200958</t>
  </si>
  <si>
    <t>GCST90200959</t>
  </si>
  <si>
    <t>GCST90200960</t>
  </si>
  <si>
    <t>GCST90200961</t>
  </si>
  <si>
    <t>GCST90200962</t>
  </si>
  <si>
    <t>GCST90200963</t>
  </si>
  <si>
    <t>GCST90200964</t>
  </si>
  <si>
    <t>GCST90200965</t>
  </si>
  <si>
    <t>GCST90200966</t>
  </si>
  <si>
    <t>GCST90200967</t>
  </si>
  <si>
    <t>GCST90200968</t>
  </si>
  <si>
    <t>GCST90200969</t>
  </si>
  <si>
    <t>GCST90200970</t>
  </si>
  <si>
    <t>GCST90200971</t>
  </si>
  <si>
    <t>GCST90200972</t>
  </si>
  <si>
    <t>GCST90200973</t>
  </si>
  <si>
    <t>GCST90200974</t>
  </si>
  <si>
    <t>GCST90200975</t>
  </si>
  <si>
    <t>GCST90200976</t>
  </si>
  <si>
    <t>GCST90200977</t>
  </si>
  <si>
    <t>GCST90200978</t>
  </si>
  <si>
    <t>GCST90200979</t>
  </si>
  <si>
    <t>GCST90200980</t>
  </si>
  <si>
    <t>GCST90200981</t>
  </si>
  <si>
    <t>GCST90200982</t>
  </si>
  <si>
    <t>GCST90200983</t>
  </si>
  <si>
    <t>GCST90200984</t>
  </si>
  <si>
    <t>GCST90200985</t>
  </si>
  <si>
    <t>GCST90200986</t>
  </si>
  <si>
    <t>GCST90200987</t>
  </si>
  <si>
    <t>GCST90200988</t>
  </si>
  <si>
    <t>GCST90200989</t>
  </si>
  <si>
    <t>GCST90200990</t>
  </si>
  <si>
    <t>GCST90200991</t>
  </si>
  <si>
    <t>GCST90200992</t>
  </si>
  <si>
    <t>GCST90200993</t>
  </si>
  <si>
    <t>GCST90200994</t>
  </si>
  <si>
    <t>GCST90200995</t>
  </si>
  <si>
    <t>GCST90200996</t>
  </si>
  <si>
    <t>GCST90200997</t>
  </si>
  <si>
    <t>GCST90200998</t>
  </si>
  <si>
    <t>GCST90200999</t>
  </si>
  <si>
    <t>GCST90201000</t>
  </si>
  <si>
    <t>GCST90201001</t>
  </si>
  <si>
    <t>GCST90201002</t>
  </si>
  <si>
    <t>GCST90201003</t>
  </si>
  <si>
    <t>GCST90201004</t>
  </si>
  <si>
    <t>GCST90201005</t>
  </si>
  <si>
    <t>GCST90201006</t>
  </si>
  <si>
    <t>GCST90201007</t>
  </si>
  <si>
    <t>GCST90201008</t>
  </si>
  <si>
    <t>GCST90201009</t>
  </si>
  <si>
    <t>GCST90201010</t>
  </si>
  <si>
    <t>GCST90201011</t>
  </si>
  <si>
    <t>GCST90201012</t>
  </si>
  <si>
    <t>GCST90201013</t>
  </si>
  <si>
    <t>GCST90201014</t>
  </si>
  <si>
    <t>GCST90201015</t>
  </si>
  <si>
    <t>GCST90201016</t>
  </si>
  <si>
    <t>GCST90201017</t>
  </si>
  <si>
    <t>GCST90201018</t>
  </si>
  <si>
    <t>GCST90201019</t>
  </si>
  <si>
    <t>GCST90201020</t>
  </si>
  <si>
    <t>GCST90301941</t>
  </si>
  <si>
    <t>EFO_0010112</t>
  </si>
  <si>
    <t>GCST90301942</t>
  </si>
  <si>
    <t>EFO_0010989</t>
  </si>
  <si>
    <t>GCST90301943</t>
  </si>
  <si>
    <t>GCST90301944</t>
  </si>
  <si>
    <t>EFO_0004535</t>
  </si>
  <si>
    <t>GCST90301945</t>
  </si>
  <si>
    <t>EFO_0004614</t>
  </si>
  <si>
    <t>GCST90301946</t>
  </si>
  <si>
    <t>EFO_0004615</t>
  </si>
  <si>
    <t>GCST90301947</t>
  </si>
  <si>
    <t>GCST90301948</t>
  </si>
  <si>
    <t>GCST90301949</t>
  </si>
  <si>
    <t>GCST90301950</t>
  </si>
  <si>
    <t>EFO_0006807</t>
  </si>
  <si>
    <t>GCST90301951</t>
  </si>
  <si>
    <t>EFO_0005110</t>
  </si>
  <si>
    <t>GCST90301952</t>
  </si>
  <si>
    <t>GCST90301953</t>
  </si>
  <si>
    <t>EFO_0010223</t>
  </si>
  <si>
    <t>GCST90301954</t>
  </si>
  <si>
    <t>EFO_0004530</t>
  </si>
  <si>
    <t>GCST90301955</t>
  </si>
  <si>
    <t>EFO_0007761</t>
  </si>
  <si>
    <t>GCST90301956</t>
  </si>
  <si>
    <t>GCST90301957</t>
  </si>
  <si>
    <t>EFO_0008589</t>
  </si>
  <si>
    <t>GCST90301958</t>
  </si>
  <si>
    <t>EFO_0020875</t>
  </si>
  <si>
    <t>GCST90301959</t>
  </si>
  <si>
    <t>EFO_0010119</t>
  </si>
  <si>
    <t>GCST90301960</t>
  </si>
  <si>
    <t>GCST90301961</t>
  </si>
  <si>
    <t>EFO_0005680</t>
  </si>
  <si>
    <t>GCST90301962</t>
  </si>
  <si>
    <t>GCST90301963</t>
  </si>
  <si>
    <t>EFO_0008591</t>
  </si>
  <si>
    <t>GCST90301964</t>
  </si>
  <si>
    <t>GCST90301965</t>
  </si>
  <si>
    <t>GCST90301966</t>
  </si>
  <si>
    <t>GCST90301967</t>
  </si>
  <si>
    <t>GCST90301968</t>
  </si>
  <si>
    <t>EFO_0004555</t>
  </si>
  <si>
    <t>GCST90301969</t>
  </si>
  <si>
    <t>EFO_0004612</t>
  </si>
  <si>
    <t>GCST90301970</t>
  </si>
  <si>
    <t>GCST90301971</t>
  </si>
  <si>
    <t>GCST90301972</t>
  </si>
  <si>
    <t>EFO_0008592</t>
  </si>
  <si>
    <t>GCST90301973</t>
  </si>
  <si>
    <t>GCST90301974</t>
  </si>
  <si>
    <t>GCST90301975</t>
  </si>
  <si>
    <t>EFO_0022184</t>
  </si>
  <si>
    <t>GCST90301976</t>
  </si>
  <si>
    <t>EFO_0008595</t>
  </si>
  <si>
    <t>EFO_0020943</t>
  </si>
  <si>
    <t>GCST90301977</t>
  </si>
  <si>
    <t>GCST90301978</t>
  </si>
  <si>
    <t>EFO_0020944</t>
  </si>
  <si>
    <t>GCST90301979</t>
  </si>
  <si>
    <t>EFO_0022181</t>
  </si>
  <si>
    <t>GCST90301980</t>
  </si>
  <si>
    <t>EFO_0020945</t>
  </si>
  <si>
    <t>GCST90301981</t>
  </si>
  <si>
    <t>EFO_0022161</t>
  </si>
  <si>
    <t>GCST90301982</t>
  </si>
  <si>
    <t>GCST90301983</t>
  </si>
  <si>
    <t>EFO_0022164</t>
  </si>
  <si>
    <t>GCST90301984</t>
  </si>
  <si>
    <t>EFO_0020946</t>
  </si>
  <si>
    <t>GCST90301985</t>
  </si>
  <si>
    <t>EFO_0022149</t>
  </si>
  <si>
    <t>GCST90301986</t>
  </si>
  <si>
    <t>EFO_0020947</t>
  </si>
  <si>
    <t>GCST90301987</t>
  </si>
  <si>
    <t>GCST90301988</t>
  </si>
  <si>
    <t>GCST90301989</t>
  </si>
  <si>
    <t>GCST90301990</t>
  </si>
  <si>
    <t>GCST90301991</t>
  </si>
  <si>
    <t>EFO_0004611</t>
  </si>
  <si>
    <t>GCST90301992</t>
  </si>
  <si>
    <t>EFO_0008593</t>
  </si>
  <si>
    <t>GCST90301993</t>
  </si>
  <si>
    <t>GCST90301994</t>
  </si>
  <si>
    <t>GCST90301995</t>
  </si>
  <si>
    <t>EFO_0007806</t>
  </si>
  <si>
    <t>GCST90301996</t>
  </si>
  <si>
    <t>GCST90301997</t>
  </si>
  <si>
    <t>EFO_0022159</t>
  </si>
  <si>
    <t>GCST90301998</t>
  </si>
  <si>
    <t>GCST90301999</t>
  </si>
  <si>
    <t>EFO_0022157</t>
  </si>
  <si>
    <t>GCST90302000</t>
  </si>
  <si>
    <t>GCST90302001</t>
  </si>
  <si>
    <t>EFO_0022189</t>
  </si>
  <si>
    <t>GCST90302002</t>
  </si>
  <si>
    <t>GCST90302003</t>
  </si>
  <si>
    <t>EFO_0022190</t>
  </si>
  <si>
    <t>GCST90302004</t>
  </si>
  <si>
    <t>GCST90302005</t>
  </si>
  <si>
    <t>EFO_0022318</t>
  </si>
  <si>
    <t>GCST90302006</t>
  </si>
  <si>
    <t>GCST90302007</t>
  </si>
  <si>
    <t>EFO_0022167</t>
  </si>
  <si>
    <t>GCST90302008</t>
  </si>
  <si>
    <t>GCST90302009</t>
  </si>
  <si>
    <t>EFO_0022165</t>
  </si>
  <si>
    <t>GCST90302010</t>
  </si>
  <si>
    <t>GCST90302011</t>
  </si>
  <si>
    <t>EFO_0022176</t>
  </si>
  <si>
    <t>GCST90302012</t>
  </si>
  <si>
    <t>GCST90302013</t>
  </si>
  <si>
    <t>EFO_0022163</t>
  </si>
  <si>
    <t>GCST90302014</t>
  </si>
  <si>
    <t>GCST90302015</t>
  </si>
  <si>
    <t>EFO_0022174</t>
  </si>
  <si>
    <t>GCST90302016</t>
  </si>
  <si>
    <t>GCST90302017</t>
  </si>
  <si>
    <t>EFO_0022319</t>
  </si>
  <si>
    <t>GCST90302018</t>
  </si>
  <si>
    <t>GCST90302019</t>
  </si>
  <si>
    <t>EFO_0022177</t>
  </si>
  <si>
    <t>GCST90302020</t>
  </si>
  <si>
    <t>EFO_0008317</t>
  </si>
  <si>
    <t>GCST90302021</t>
  </si>
  <si>
    <t>EFO_0022170</t>
  </si>
  <si>
    <t>GCST90302022</t>
  </si>
  <si>
    <t>GCST90302023</t>
  </si>
  <si>
    <t>EFO_0022265</t>
  </si>
  <si>
    <t>GCST90302024</t>
  </si>
  <si>
    <t>GCST90302025</t>
  </si>
  <si>
    <t>EFO_0022175</t>
  </si>
  <si>
    <t>GCST90302026</t>
  </si>
  <si>
    <t>GCST90302027</t>
  </si>
  <si>
    <t>EFO_0022301</t>
  </si>
  <si>
    <t>GCST90302028</t>
  </si>
  <si>
    <t>GCST90302029</t>
  </si>
  <si>
    <t>EFO_0022178</t>
  </si>
  <si>
    <t>GCST90302030</t>
  </si>
  <si>
    <t>GCST90302031</t>
  </si>
  <si>
    <t>GCST90302032</t>
  </si>
  <si>
    <t>GCST90302033</t>
  </si>
  <si>
    <t>GCST90302034</t>
  </si>
  <si>
    <t>GCST90302035</t>
  </si>
  <si>
    <t>EFO_0022267</t>
  </si>
  <si>
    <t>GCST90302036</t>
  </si>
  <si>
    <t>GCST90302037</t>
  </si>
  <si>
    <t>EFO_0022310</t>
  </si>
  <si>
    <t>GCST90302038</t>
  </si>
  <si>
    <t>GCST90302039</t>
  </si>
  <si>
    <t>EFO_0022295</t>
  </si>
  <si>
    <t>GCST90302040</t>
  </si>
  <si>
    <t>GCST90302041</t>
  </si>
  <si>
    <t>EFO_0022321</t>
  </si>
  <si>
    <t>GCST90302042</t>
  </si>
  <si>
    <t>GCST90302043</t>
  </si>
  <si>
    <t>EFO_0022185</t>
  </si>
  <si>
    <t>GCST90302044</t>
  </si>
  <si>
    <t>GCST90302045</t>
  </si>
  <si>
    <t>EFO_0022186</t>
  </si>
  <si>
    <t>GCST90302046</t>
  </si>
  <si>
    <t>GCST90302047</t>
  </si>
  <si>
    <t>EFO_0022268</t>
  </si>
  <si>
    <t>GCST90302048</t>
  </si>
  <si>
    <t>GCST90302049</t>
  </si>
  <si>
    <t>EFO_0004529</t>
  </si>
  <si>
    <t>GCST90302050</t>
  </si>
  <si>
    <t>GCST90302051</t>
  </si>
  <si>
    <t>EFO_0022183</t>
  </si>
  <si>
    <t>GCST90302052</t>
  </si>
  <si>
    <t>GCST90302053</t>
  </si>
  <si>
    <t>EFO_0022322</t>
  </si>
  <si>
    <t>GCST90302054</t>
  </si>
  <si>
    <t>GCST90302055</t>
  </si>
  <si>
    <t>GCST90302056</t>
  </si>
  <si>
    <t>GCST90302057</t>
  </si>
  <si>
    <t>EFO_0022162</t>
  </si>
  <si>
    <t>GCST90302058</t>
  </si>
  <si>
    <t>GCST90302059</t>
  </si>
  <si>
    <t>EFO_0022182</t>
  </si>
  <si>
    <t>GCST90302060</t>
  </si>
  <si>
    <t>GCST90302061</t>
  </si>
  <si>
    <t>EFO_0022269</t>
  </si>
  <si>
    <t>GCST90302062</t>
  </si>
  <si>
    <t>GCST90302063</t>
  </si>
  <si>
    <t>EFO_0022153</t>
  </si>
  <si>
    <t>GCST90302064</t>
  </si>
  <si>
    <t>GCST90302065</t>
  </si>
  <si>
    <t>GCST90302066</t>
  </si>
  <si>
    <t>GCST90302067</t>
  </si>
  <si>
    <t>EFO_0022155</t>
  </si>
  <si>
    <t>GCST90302068</t>
  </si>
  <si>
    <t>GCST90302069</t>
  </si>
  <si>
    <t>GCST90302070</t>
  </si>
  <si>
    <t>GCST90302071</t>
  </si>
  <si>
    <t>EFO_0010733</t>
  </si>
  <si>
    <t>GCST90302072</t>
  </si>
  <si>
    <t>GCST90302073</t>
  </si>
  <si>
    <t>GCST90302074</t>
  </si>
  <si>
    <t>EFO_0010815</t>
  </si>
  <si>
    <t>GCST90302075</t>
  </si>
  <si>
    <t>GCST90302076</t>
  </si>
  <si>
    <t>GCST90302077</t>
  </si>
  <si>
    <t>EFO_0022304</t>
  </si>
  <si>
    <t>GCST90302078</t>
  </si>
  <si>
    <t>GCST90302079</t>
  </si>
  <si>
    <t>GCST90302080</t>
  </si>
  <si>
    <t>GCST90302081</t>
  </si>
  <si>
    <t>GCST90302082</t>
  </si>
  <si>
    <t>GCST90302083</t>
  </si>
  <si>
    <t>EFO_0022270</t>
  </si>
  <si>
    <t>GCST90302084</t>
  </si>
  <si>
    <t>GCST90302085</t>
  </si>
  <si>
    <t>EFO_0022311</t>
  </si>
  <si>
    <t>GCST90302086</t>
  </si>
  <si>
    <t>GCST90302087</t>
  </si>
  <si>
    <t>EFO_0022296</t>
  </si>
  <si>
    <t>GCST90302088</t>
  </si>
  <si>
    <t>GCST90302089</t>
  </si>
  <si>
    <t>EFO_0022158</t>
  </si>
  <si>
    <t>GCST90302090</t>
  </si>
  <si>
    <t>GCST90302091</t>
  </si>
  <si>
    <t>EFO_0022179</t>
  </si>
  <si>
    <t>GCST90302092</t>
  </si>
  <si>
    <t>GCST90302093</t>
  </si>
  <si>
    <t>GCST90302094</t>
  </si>
  <si>
    <t>GCST90302095</t>
  </si>
  <si>
    <t>EFO_0022271</t>
  </si>
  <si>
    <t>GCST90302096</t>
  </si>
  <si>
    <t>GCST90302097</t>
  </si>
  <si>
    <t>EFO_0022168</t>
  </si>
  <si>
    <t>GCST90302098</t>
  </si>
  <si>
    <t>GCST90302099</t>
  </si>
  <si>
    <t>EFO_0022297</t>
  </si>
  <si>
    <t>GCST90302100</t>
  </si>
  <si>
    <t>GCST90302101</t>
  </si>
  <si>
    <t>EFO_0022323</t>
  </si>
  <si>
    <t>GCST90302102</t>
  </si>
  <si>
    <t>GCST90302103</t>
  </si>
  <si>
    <t>GCST90302104</t>
  </si>
  <si>
    <t>EFO_0022171</t>
  </si>
  <si>
    <t>GCST90302105</t>
  </si>
  <si>
    <t>GCST90302106</t>
  </si>
  <si>
    <t>GCST90302107</t>
  </si>
  <si>
    <t>GCST90302108</t>
  </si>
  <si>
    <t>EFO_0022272</t>
  </si>
  <si>
    <t>GCST90302109</t>
  </si>
  <si>
    <t>GCST90302110</t>
  </si>
  <si>
    <t>EFO_0022148</t>
  </si>
  <si>
    <t>GCST90302111</t>
  </si>
  <si>
    <t>GCST90302112</t>
  </si>
  <si>
    <t>GCST90302113</t>
  </si>
  <si>
    <t>GCST90302114</t>
  </si>
  <si>
    <t>EFO_0022145</t>
  </si>
  <si>
    <t>GCST90302115</t>
  </si>
  <si>
    <t>GCST90302116</t>
  </si>
  <si>
    <t>EFO_0004639</t>
  </si>
  <si>
    <t>GCST90302117</t>
  </si>
  <si>
    <t>GCST90302118</t>
  </si>
  <si>
    <t>GCST90302119</t>
  </si>
  <si>
    <t>EFO_0022291</t>
  </si>
  <si>
    <t>GCST90302120</t>
  </si>
  <si>
    <t>GCST90302121</t>
  </si>
  <si>
    <t>GCST90302122</t>
  </si>
  <si>
    <t>GCST90302123</t>
  </si>
  <si>
    <t>GCST90302124</t>
  </si>
  <si>
    <t>EFO_0008594</t>
  </si>
  <si>
    <t>GCST90302125</t>
  </si>
  <si>
    <t>GCST90302126</t>
  </si>
  <si>
    <t>GCST90302127</t>
  </si>
  <si>
    <t>GCST90302128</t>
  </si>
  <si>
    <t>GCST90302129</t>
  </si>
  <si>
    <t>GCST90302130</t>
  </si>
  <si>
    <t>EFO_0022273</t>
  </si>
  <si>
    <t>GCST90302131</t>
  </si>
  <si>
    <t>GCST90302132</t>
  </si>
  <si>
    <t>EFO_0022312</t>
  </si>
  <si>
    <t>GCST90302133</t>
  </si>
  <si>
    <t>GCST90302134</t>
  </si>
  <si>
    <t>EFO_0022298</t>
  </si>
  <si>
    <t>GCST90302135</t>
  </si>
  <si>
    <t>GCST90302136</t>
  </si>
  <si>
    <t>EFO_0022324</t>
  </si>
  <si>
    <t>GCST90302137</t>
  </si>
  <si>
    <t>GCST90302138</t>
  </si>
  <si>
    <t>GCST90302139</t>
  </si>
  <si>
    <t>GCST90302140</t>
  </si>
  <si>
    <t>GCST90302141</t>
  </si>
  <si>
    <t>GCST90302142</t>
  </si>
  <si>
    <t>EFO_0022274</t>
  </si>
  <si>
    <t>GCST90302143</t>
  </si>
  <si>
    <t>GCST90302144</t>
  </si>
  <si>
    <t>EFO_0022313</t>
  </si>
  <si>
    <t>GCST90302145</t>
  </si>
  <si>
    <t>GCST90302146</t>
  </si>
  <si>
    <t>GCST90302147</t>
  </si>
  <si>
    <t>GCST90302148</t>
  </si>
  <si>
    <t>EFO_0022325</t>
  </si>
  <si>
    <t>GCST90302149</t>
  </si>
  <si>
    <t>GCST90302150</t>
  </si>
  <si>
    <t>EFO_0022231</t>
  </si>
  <si>
    <t>GCST90302151</t>
  </si>
  <si>
    <t>GCST90302152</t>
  </si>
  <si>
    <t>GCST90302153</t>
  </si>
  <si>
    <t>GCST90302154</t>
  </si>
  <si>
    <t>EFO_0022275</t>
  </si>
  <si>
    <t>GCST90302155</t>
  </si>
  <si>
    <t>GCST90302156</t>
  </si>
  <si>
    <t>EFO_0022156</t>
  </si>
  <si>
    <t>GCST90302157</t>
  </si>
  <si>
    <t>GCST90302158</t>
  </si>
  <si>
    <t>GCST90302159</t>
  </si>
  <si>
    <t>GCST90302160</t>
  </si>
  <si>
    <t>EFO_0022144</t>
  </si>
  <si>
    <t>GCST90302161</t>
  </si>
  <si>
    <t>GCST90302162</t>
  </si>
  <si>
    <t>EFO_0008596</t>
  </si>
  <si>
    <t>GCST90302163</t>
  </si>
  <si>
    <t>GCST90302164</t>
  </si>
  <si>
    <t>EFO_0010351</t>
  </si>
  <si>
    <t>GCST90302165</t>
  </si>
  <si>
    <t>GCST90302166</t>
  </si>
  <si>
    <t>GCST90302167</t>
  </si>
  <si>
    <t>GCST90302168</t>
  </si>
  <si>
    <t>GCST90302169</t>
  </si>
  <si>
    <t>GCST90302170</t>
  </si>
  <si>
    <t>GCST90302171</t>
  </si>
  <si>
    <t>GCST90302172</t>
  </si>
  <si>
    <t>GCST90302173</t>
  </si>
  <si>
    <t>no_levels</t>
  </si>
  <si>
    <t>X-12007</t>
  </si>
  <si>
    <t>X-12849</t>
  </si>
  <si>
    <t>X-21829</t>
  </si>
  <si>
    <t>X-12127</t>
  </si>
  <si>
    <t>X-13729</t>
  </si>
  <si>
    <t>X-23276</t>
  </si>
  <si>
    <t>X-24334</t>
  </si>
  <si>
    <t>Metabolites</t>
  </si>
  <si>
    <t>Compound ID (Metabolon)</t>
  </si>
  <si>
    <t>HMDB_curated</t>
  </si>
  <si>
    <t>PUBCHEM_curated</t>
  </si>
  <si>
    <t>X35</t>
  </si>
  <si>
    <t>DWAKNKKXGALPNW-REWHXWOFAV</t>
  </si>
  <si>
    <t>OC(C1CCC=N1)=O</t>
  </si>
  <si>
    <t>HMDB0001301</t>
  </si>
  <si>
    <t>X50</t>
  </si>
  <si>
    <t>ATHGHQPFGPMSJY-UHFFFAOYAK</t>
  </si>
  <si>
    <t>X55</t>
  </si>
  <si>
    <t>LDHMAVIPBRSVRG-UHFFFAOYAE</t>
  </si>
  <si>
    <t>X62</t>
  </si>
  <si>
    <t>CQSLTKIXAJTQGA-FLIBITNWBI</t>
  </si>
  <si>
    <t>X93</t>
  </si>
  <si>
    <t>KPGXRSRHYNQIFN-UHFFFAOYAN</t>
  </si>
  <si>
    <t>X98</t>
  </si>
  <si>
    <t>HCZHHEIFKROPDY-UHFFFAOYAN</t>
  </si>
  <si>
    <t>X111</t>
  </si>
  <si>
    <t>DBXBTMSZEOQQDU-REWHXWOFAW</t>
  </si>
  <si>
    <t>X112</t>
  </si>
  <si>
    <t>NPOAOTPXWNWTSH-NUQVWONBAH</t>
  </si>
  <si>
    <t>1662;5459993</t>
  </si>
  <si>
    <t>homovanillate (HVA)</t>
  </si>
  <si>
    <t>X117</t>
  </si>
  <si>
    <t>QRMZSPFSDQBLIX-REWHXWOFAT</t>
  </si>
  <si>
    <t>COC1=CC(CC(O)=O)=CC=C1O</t>
  </si>
  <si>
    <t>306-08-1</t>
  </si>
  <si>
    <t>HMDB0000118</t>
  </si>
  <si>
    <t>C05582</t>
  </si>
  <si>
    <t>3-phosphoglycerate</t>
  </si>
  <si>
    <t>X132</t>
  </si>
  <si>
    <t>IACAHGYCKIUESG-REWHXWOFAW</t>
  </si>
  <si>
    <t>OC(C(O)=O)COP(O)(O)=O</t>
  </si>
  <si>
    <t>80731-10-8</t>
  </si>
  <si>
    <t>HMDB0000807</t>
  </si>
  <si>
    <t>C00597</t>
  </si>
  <si>
    <t>X136</t>
  </si>
  <si>
    <t>BHQCQFFYRZLCQQ-OELDTZBJBZ</t>
  </si>
  <si>
    <t>X144</t>
  </si>
  <si>
    <t>XQXPVVBIMDBYFF-REWHXWOFAL</t>
  </si>
  <si>
    <t>X158</t>
  </si>
  <si>
    <t>NBAKTGXDIBVZOO-UHFFFAOYAR</t>
  </si>
  <si>
    <t>X179</t>
  </si>
  <si>
    <t>XEBKSQSGNGRGDW-YFHOEESVBC</t>
  </si>
  <si>
    <t>X180</t>
  </si>
  <si>
    <t>OYHQOLUKZRVURQ-HZJYTTRNBX</t>
  </si>
  <si>
    <t>X181</t>
  </si>
  <si>
    <t>POULHZVOKOAJMA-UHFFFAOYAP</t>
  </si>
  <si>
    <t>X182</t>
  </si>
  <si>
    <t>GJAWHXHKYYXBSV-UHFFFAOYAW</t>
  </si>
  <si>
    <t>X189</t>
  </si>
  <si>
    <t>MXNRLFUSFKVQSK-UHFFFAOYAO</t>
  </si>
  <si>
    <t>X192</t>
  </si>
  <si>
    <t>KLZGKIDSEJWEDW-UHFFFAOYAE</t>
  </si>
  <si>
    <t>X194</t>
  </si>
  <si>
    <t>PYUSHNKNPOHWEZ-YFKPBYRVBS</t>
  </si>
  <si>
    <t>X197</t>
  </si>
  <si>
    <t>adenosine 3',5'-cyclic monophosphate (cAMP)</t>
  </si>
  <si>
    <t>X207</t>
  </si>
  <si>
    <t>IVOMOUWHDPKRLL-UHFFFAOYAA</t>
  </si>
  <si>
    <t>NC1=NC=NC2=C1N=CN2C3OC(CO4)C(OP4(O)=O)C3O</t>
  </si>
  <si>
    <t>60-92-4</t>
  </si>
  <si>
    <t>HMDB0000058</t>
  </si>
  <si>
    <t>C00575</t>
  </si>
  <si>
    <t>adenosine 5'-diphosphate (ADP)</t>
  </si>
  <si>
    <t>X208</t>
  </si>
  <si>
    <t>XTWYTFMLZFPYCI-KQYNXXCUBP</t>
  </si>
  <si>
    <t>NC1=NC=NC2=C1N=CN2[C@@]3([H])[C@@](O)([H])[C@@](O)([H])[C@](COP(OP(O)(O)=O)(O)=O)([H])O3</t>
  </si>
  <si>
    <t>20398-34-9</t>
  </si>
  <si>
    <t>HMDB0001341</t>
  </si>
  <si>
    <t>C00008</t>
  </si>
  <si>
    <t>X209</t>
  </si>
  <si>
    <t>UDMBCSSLTHHNCD-RWLQFSFNBF</t>
  </si>
  <si>
    <t>X212</t>
  </si>
  <si>
    <t>WUUGFSXJNOTRMR-IOSLPCCCBD</t>
  </si>
  <si>
    <t>X229</t>
  </si>
  <si>
    <t>YZXBAPSDXZZRGB-DOFZRALJBE</t>
  </si>
  <si>
    <t>X231</t>
  </si>
  <si>
    <t>ODKSFYDXXFIFQN-UHFFFAOYAT</t>
  </si>
  <si>
    <t>X234</t>
  </si>
  <si>
    <t>CKLJMWTZIZZHCS-REOHCLBHBW</t>
  </si>
  <si>
    <t>X235</t>
  </si>
  <si>
    <t>CCVYRRGZDBSHFU-UHFFFAOYAL</t>
  </si>
  <si>
    <t>X240</t>
  </si>
  <si>
    <t>JVGVDSSUAVXRDY-UHFFFAOYAV</t>
  </si>
  <si>
    <t>X241</t>
  </si>
  <si>
    <t>BTNMPGBKDVTSJY-UHFFFAOYAU</t>
  </si>
  <si>
    <t>X244</t>
  </si>
  <si>
    <t>UCMIRNVEIXFBKS-UHFFFAOYAL</t>
  </si>
  <si>
    <t>X250</t>
  </si>
  <si>
    <t>QBUVFDKTZJNUPP-BBROENKCBK</t>
  </si>
  <si>
    <t>X252</t>
  </si>
  <si>
    <t>KDYFGRWQOYBRFD-UHFFFAOYAC</t>
  </si>
  <si>
    <t>X254</t>
  </si>
  <si>
    <t>WHBMMWSBFZVSSR-UHFFFAOYAO</t>
  </si>
  <si>
    <t>HMDB0000011</t>
  </si>
  <si>
    <t>94318;441;92135</t>
  </si>
  <si>
    <t>X266</t>
  </si>
  <si>
    <t>HVYWMOMLDIMFJA-LBHVWCRMBB</t>
  </si>
  <si>
    <t>X267</t>
  </si>
  <si>
    <t>YHHSONZFOIEMCP-UHFFFAOYAD</t>
  </si>
  <si>
    <t>X273</t>
  </si>
  <si>
    <t>IWIJFUQFXLWZIA-UHFFFAOYAP</t>
  </si>
  <si>
    <t>X275</t>
  </si>
  <si>
    <t>DDRJAANPRJIHGJ-UHFFFAOYAV</t>
  </si>
  <si>
    <t>X278</t>
  </si>
  <si>
    <t>ZUKPVRWZDMRIEO-UHFFFAOYAS</t>
  </si>
  <si>
    <t>X279</t>
  </si>
  <si>
    <t>LEVWYRKDKASIDU-UHFFFAOYAA</t>
  </si>
  <si>
    <t>X297</t>
  </si>
  <si>
    <t>WWUZIQQURGPMPG-CCEZHUSRBL</t>
  </si>
  <si>
    <t>X302</t>
  </si>
  <si>
    <t>KXGVEGMKQFWNSR-LLQZFEROBK</t>
  </si>
  <si>
    <t>X310</t>
  </si>
  <si>
    <t>ILRYLPWNYFXEMH-UHFFFAOYAH</t>
  </si>
  <si>
    <t>X313</t>
  </si>
  <si>
    <t>OTKJDMGTUTTYMP-UHFFFAOYAS</t>
  </si>
  <si>
    <t>flavin adenine dinucleotide (FAD)</t>
  </si>
  <si>
    <t>X327</t>
  </si>
  <si>
    <t>VWWQXMAJTJZDQX-UYBVJOGSBL</t>
  </si>
  <si>
    <t>OC(C(O)C(O)COP(OP(OC[C@H]1O[C@@H](N(C=N2)C3=C2C(N)=NC=N3)[C@H](O)[C@@H]1O)(O)=O)(O)=O)CN(C(C=C(C)C(C)=C4)=C4N=C5C(N6)=O)C5=NC6=O</t>
  </si>
  <si>
    <t>146-14-5,84366-81-4</t>
  </si>
  <si>
    <t>HMDB0001248</t>
  </si>
  <si>
    <t>C00016</t>
  </si>
  <si>
    <t>X331</t>
  </si>
  <si>
    <t>OWQDWQKWSLFFFR-WDSKDSINBR</t>
  </si>
  <si>
    <t>X338</t>
  </si>
  <si>
    <t>RGHNJXZEOKUKBD-SQOUGZDYBY</t>
  </si>
  <si>
    <t>10690;3085666</t>
  </si>
  <si>
    <t>X339</t>
  </si>
  <si>
    <t>JFCQEDHGNNZCLN-NUQVWONBAE</t>
  </si>
  <si>
    <t>743;4418048</t>
  </si>
  <si>
    <t>X340</t>
  </si>
  <si>
    <t>DHMQDGOQFOQNFH-UHFFFAOYAW</t>
  </si>
  <si>
    <t>X342</t>
  </si>
  <si>
    <t>RFDAIACWWDREDC-FRVQLJSFBG</t>
  </si>
  <si>
    <t>X344</t>
  </si>
  <si>
    <t>BPMFZUMJYQTVII-UHFFFAOYAQ</t>
  </si>
  <si>
    <t>X355</t>
  </si>
  <si>
    <t>HNDVDQJCIGZPNO-UHFFFAOYAG</t>
  </si>
  <si>
    <t>X356</t>
  </si>
  <si>
    <t>JYGXADMDTFJGBT-VWUMJDOOBO</t>
  </si>
  <si>
    <t>X358</t>
  </si>
  <si>
    <t>VVIUBCNYACGLLV-UHFFFAOYAM</t>
  </si>
  <si>
    <t>X361</t>
  </si>
  <si>
    <t>UGQMRVRMYYASKQ-DGPXGRDGBU</t>
  </si>
  <si>
    <t>inosine 5'-monophosphate (IMP)</t>
  </si>
  <si>
    <t>X362</t>
  </si>
  <si>
    <t>GRSZFWQUAKGDAV-RWLQFSFNBK</t>
  </si>
  <si>
    <t>OC1C(C(N2C=NC3=C2N=CNC3=O)OC1COP(O)(O)=O)O</t>
  </si>
  <si>
    <t>4691-65-0</t>
  </si>
  <si>
    <t>HMDB0000175</t>
  </si>
  <si>
    <t>C00130</t>
  </si>
  <si>
    <t>X363</t>
  </si>
  <si>
    <t>CDAISMWEOUEBRE-GPIVLXJGBG</t>
  </si>
  <si>
    <t>X376</t>
  </si>
  <si>
    <t>AGPKZVBTJJNPAG-UHFFFAOYAW</t>
  </si>
  <si>
    <t>X391</t>
  </si>
  <si>
    <t>RHGKLRLOHDJJDR-UHFFFAOYAQ</t>
  </si>
  <si>
    <t>X397</t>
  </si>
  <si>
    <t>X407</t>
  </si>
  <si>
    <t>KDXKERNSBIXSRK-YFKPBYRVBE</t>
  </si>
  <si>
    <t>X409</t>
  </si>
  <si>
    <t>BJEPYKJPYRNKOW-UHFFFAOYAM</t>
  </si>
  <si>
    <t>X415</t>
  </si>
  <si>
    <t>FFEARJCKVFRZRR-BYPYZUCNBW</t>
  </si>
  <si>
    <t>X424</t>
  </si>
  <si>
    <t>IPCSVZSSVZVIGE-UHFFFAOYAJ</t>
  </si>
  <si>
    <t>X432</t>
  </si>
  <si>
    <t>DFPAKSUCGFBDDF-UHFFFAOYAZ</t>
  </si>
  <si>
    <t>X439</t>
  </si>
  <si>
    <t>QIQXTHQIDYTFRH-UHFFFAOYAB</t>
  </si>
  <si>
    <t>X444</t>
  </si>
  <si>
    <t>AHLPHDHHMVZTML-BYPYZUCNBZ</t>
  </si>
  <si>
    <t>X445</t>
  </si>
  <si>
    <t>PXQPEWDEAKTCGB-UHFFFAOYAD</t>
  </si>
  <si>
    <t>X452</t>
  </si>
  <si>
    <t>SECPZKHBENQXJG-FPLPWBNLBE</t>
  </si>
  <si>
    <t>X460</t>
  </si>
  <si>
    <t>COLNVLDHVKWLRT-QMMMGPOBBC</t>
  </si>
  <si>
    <t>X461</t>
  </si>
  <si>
    <t>NBIIXXVUZAFLBC-DFZHHIFOAA</t>
  </si>
  <si>
    <t>X466</t>
  </si>
  <si>
    <t>RLCKHJSFHOZMDR-REWHXWOFAK</t>
  </si>
  <si>
    <t>X477</t>
  </si>
  <si>
    <t>PAHGJZDQXIOYTH-UHFFFAOYAH</t>
  </si>
  <si>
    <t>X480</t>
  </si>
  <si>
    <t>ONIBWKKTOPOVIA-BYPYZUCNBZ</t>
  </si>
  <si>
    <t>8988;145742;614</t>
  </si>
  <si>
    <t>X482</t>
  </si>
  <si>
    <t>JVTAAEKCZFNVCJ-UHFFFAOYAX</t>
  </si>
  <si>
    <t>pyridoxal</t>
  </si>
  <si>
    <t>X491</t>
  </si>
  <si>
    <t>RADKZDMFGJYCBB-UHFFFAOYAP</t>
  </si>
  <si>
    <t>OC1=C(C)N=CC(CO)=C1C=O</t>
  </si>
  <si>
    <t>65-22-5</t>
  </si>
  <si>
    <t>HMDB0001545</t>
  </si>
  <si>
    <t>C00250</t>
  </si>
  <si>
    <t>X498</t>
  </si>
  <si>
    <t>FPIPGXGPPPQFEQ-OVSJKPMPBW</t>
  </si>
  <si>
    <t>X501</t>
  </si>
  <si>
    <t>X503</t>
  </si>
  <si>
    <t>MTCFGRXMJLQNBG-REOHCLBHBX</t>
  </si>
  <si>
    <t>X504</t>
  </si>
  <si>
    <t>QZAYGJVTTNCVMB-UHFFFAOYAX</t>
  </si>
  <si>
    <t>X512</t>
  </si>
  <si>
    <t>XOAAWQZATWQOTB-UHFFFAOYAA</t>
  </si>
  <si>
    <t>X519</t>
  </si>
  <si>
    <t>TUNFSRHWOTWDNC-UHFFFAOYAZ</t>
  </si>
  <si>
    <t>X533</t>
  </si>
  <si>
    <t>XSQUKJJJFZCRTK-UHFFFAOYAF</t>
  </si>
  <si>
    <t>X535</t>
  </si>
  <si>
    <t>DRTQHJPVMGBUCF-XVFCMESIBG</t>
  </si>
  <si>
    <t>X536</t>
  </si>
  <si>
    <t>MXHRCPNRJAMMIM-SHYZEUOFBK</t>
  </si>
  <si>
    <t>X537</t>
  </si>
  <si>
    <t>LOIYMIARKYCTBW-OWOJBTEDBA</t>
  </si>
  <si>
    <t>X561</t>
  </si>
  <si>
    <t>WHUUTDBJXJRKMK-UHFFFAOYAD</t>
  </si>
  <si>
    <t>X563</t>
  </si>
  <si>
    <t>ZDXPYRJPNDTMRX-VKHMYHEABV</t>
  </si>
  <si>
    <t>X564</t>
  </si>
  <si>
    <t>AYFVYJQAPQTCCC-GBXIJSLDBG</t>
  </si>
  <si>
    <t>X565</t>
  </si>
  <si>
    <t>QIVBCDIJIAJPQS-VIFPVBQEBP</t>
  </si>
  <si>
    <t>X566</t>
  </si>
  <si>
    <t>KZSNJWFQEVHDMF-BYPYZUCNBW</t>
  </si>
  <si>
    <t>X572</t>
  </si>
  <si>
    <t>WQZGKKKJIJFFOK-DVKNGEFBBQ</t>
  </si>
  <si>
    <t>X796</t>
  </si>
  <si>
    <t>TYEYBOSBBBHJIV-REWHXWOFAN</t>
  </si>
  <si>
    <t>X799</t>
  </si>
  <si>
    <t>KWIUHFFTVRNATP-UHFFFAOYAI</t>
  </si>
  <si>
    <t>X800</t>
  </si>
  <si>
    <t>XUJNEKJLAYXESH-REOHCLBHBU</t>
  </si>
  <si>
    <t>X803</t>
  </si>
  <si>
    <t>GZCGUPFRVQAUEE-KVTDHHQDBB</t>
  </si>
  <si>
    <t>18950;82308;439680</t>
  </si>
  <si>
    <t>X806</t>
  </si>
  <si>
    <t>FFDGPVCHZBVARC-UHFFFAOYAX</t>
  </si>
  <si>
    <t>X811</t>
  </si>
  <si>
    <t>QNAYBMKLOCPYGJ-REOHCLBHBS</t>
  </si>
  <si>
    <t>X815</t>
  </si>
  <si>
    <t>OUYCCCASQSFEME-QMMMGPOBBZ</t>
  </si>
  <si>
    <t>X821</t>
  </si>
  <si>
    <t>HZIOZCLEXIYJAD-JWMKEVCDBU</t>
  </si>
  <si>
    <t>X823</t>
  </si>
  <si>
    <t>LCTONWCANYUPML-REWHXWOFAD</t>
  </si>
  <si>
    <t>xylose</t>
  </si>
  <si>
    <t>X826</t>
  </si>
  <si>
    <t>PYMYPHUHKUWMLA-WISUUJSJBP</t>
  </si>
  <si>
    <t>O=C[C@@H]([C@H]([C@@H](CO)O)O)O</t>
  </si>
  <si>
    <t>609-06-3</t>
  </si>
  <si>
    <t>HMDB0000098</t>
  </si>
  <si>
    <t>C00181</t>
  </si>
  <si>
    <t>X827</t>
  </si>
  <si>
    <t>UHDGCWIWMRVCDJ-XVFCMESIBD</t>
  </si>
  <si>
    <t>X849</t>
  </si>
  <si>
    <t>RYYVLZVUVIJVGH-UHFFFAOYAW</t>
  </si>
  <si>
    <t>X878</t>
  </si>
  <si>
    <t>BJHIKXHVCXFQLS-UYFOZJQFBH</t>
  </si>
  <si>
    <t>X881</t>
  </si>
  <si>
    <t>OPTASPLRGRRNAP-UHFFFAOYAY</t>
  </si>
  <si>
    <t>X888</t>
  </si>
  <si>
    <t>GHVNFZFCNZKVNT-UHFFFAOYAC</t>
  </si>
  <si>
    <t>X891</t>
  </si>
  <si>
    <t>KEMQGTRYUADPNZ-UHFFFAOYAT</t>
  </si>
  <si>
    <t>X892</t>
  </si>
  <si>
    <t>ISYWECDDZWTKFF-UHFFFAOYAR</t>
  </si>
  <si>
    <t>X893</t>
  </si>
  <si>
    <t>VKOBVWXKNCXXDE-UHFFFAOYAB</t>
  </si>
  <si>
    <t>X913</t>
  </si>
  <si>
    <t>GUBGYTABKSRVRQ-ASMJPISFBF</t>
  </si>
  <si>
    <t>X917</t>
  </si>
  <si>
    <t>DCXYFEDJOCDNAF-REOHCLBHBD</t>
  </si>
  <si>
    <t>X922</t>
  </si>
  <si>
    <t>KZTJQXAANJHSCE-OIDHKYIRBS</t>
  </si>
  <si>
    <t>X923</t>
  </si>
  <si>
    <t>UFIVEPVSAGBUSI-UHFFFAOYAI</t>
  </si>
  <si>
    <t>X926</t>
  </si>
  <si>
    <t>FUZZWVXGSFPDMH-UHFFFAOYAY</t>
  </si>
  <si>
    <t>X932</t>
  </si>
  <si>
    <t>WWZKQHOCKIZLMA-UHFFFAOYAH</t>
  </si>
  <si>
    <t>X935</t>
  </si>
  <si>
    <t>CZMRCDWAGMRECN-UGDNZRGBBE</t>
  </si>
  <si>
    <t>X980</t>
  </si>
  <si>
    <t>WQEPLUUGTLDZJY-UHFFFAOYAK</t>
  </si>
  <si>
    <t>X1001</t>
  </si>
  <si>
    <t>PMMYEEVYMWASQN-DMTCNVIQBF</t>
  </si>
  <si>
    <t>X1002</t>
  </si>
  <si>
    <t>POJWUDADGALRAB-UHFFFAOYAE</t>
  </si>
  <si>
    <t>439714;204;439713</t>
  </si>
  <si>
    <t>X1004</t>
  </si>
  <si>
    <t>LRFVTYWOQMYALW-UHFFFAOYAT</t>
  </si>
  <si>
    <t>X1021</t>
  </si>
  <si>
    <t>ODHCTXKNWHHXJC-VKHMYHEABY</t>
  </si>
  <si>
    <t>439685;7405</t>
  </si>
  <si>
    <t>X1022</t>
  </si>
  <si>
    <t>SIOXPEMLGUPBBT-UHFFFAOYAC</t>
  </si>
  <si>
    <t>X1023</t>
  </si>
  <si>
    <t>FSYKKLYZXJSNPZ-UHFFFAOYAL</t>
  </si>
  <si>
    <t>X1024</t>
  </si>
  <si>
    <t>GHOKWGTUZJEAQD-ZETCQYMHBS</t>
  </si>
  <si>
    <t>X1025</t>
  </si>
  <si>
    <t>HMDB0005960,HMDB0000716</t>
  </si>
  <si>
    <t>X1026</t>
  </si>
  <si>
    <t>SUHOOTKUPISOBE-UHFFFAOYAT</t>
  </si>
  <si>
    <t>X1052</t>
  </si>
  <si>
    <t>RBNPOMFGQQGHHO-UHFFFAOYAE</t>
  </si>
  <si>
    <t>439194;752</t>
  </si>
  <si>
    <t>X1053</t>
  </si>
  <si>
    <t>JSJWCHRYRHKBBW-UHFFFAOYAH</t>
  </si>
  <si>
    <t>X1082</t>
  </si>
  <si>
    <t>WXNXCEHXYPACJF-ZETCQYMHBF</t>
  </si>
  <si>
    <t>X1083</t>
  </si>
  <si>
    <t>XUYPXLNMDZIRQH-LURJTMIEBN</t>
  </si>
  <si>
    <t>X1084</t>
  </si>
  <si>
    <t>IHYJTAOFMMMOPX-LURJTMIEBI</t>
  </si>
  <si>
    <t>X1087</t>
  </si>
  <si>
    <t>DPUOLQHDNGRHBS-UHFFFAOYAW</t>
  </si>
  <si>
    <t>X1090</t>
  </si>
  <si>
    <t>BPYKTIZUTYGOLE-IFADSCNNBS</t>
  </si>
  <si>
    <t>X1094</t>
  </si>
  <si>
    <t>XUIIKFGFIJCVMT-LBPRGKRZBS</t>
  </si>
  <si>
    <t>X1102</t>
  </si>
  <si>
    <t>VVLXCWVSSLFQDS-QWRGUYRKBA</t>
  </si>
  <si>
    <t>X1104</t>
  </si>
  <si>
    <t>KTHADMDGDNYQRX-UHFFFAOYAX</t>
  </si>
  <si>
    <t>X1105</t>
  </si>
  <si>
    <t>GVJHHUAWPYXKBD-IEOSBIPEBS</t>
  </si>
  <si>
    <t>X1110</t>
  </si>
  <si>
    <t>KTHDTJVBEPMMGL-VKHMYHEABO</t>
  </si>
  <si>
    <t>X1111</t>
  </si>
  <si>
    <t>CGQCWMIAEPEHNQ-UHFFFAOYAY</t>
  </si>
  <si>
    <t>X1113</t>
  </si>
  <si>
    <t>UZTFMUBKZQVKLK-UHFFFAOYAY</t>
  </si>
  <si>
    <t>X1114</t>
  </si>
  <si>
    <t>QCHPKSFMDHPSNR-UHFFFAOYAN</t>
  </si>
  <si>
    <t>X1124</t>
  </si>
  <si>
    <t>KRKNYBCHXYNGOX-UHFFFAOYAM</t>
  </si>
  <si>
    <t>X1128</t>
  </si>
  <si>
    <t>QWCKQJZIFLGMSD-GSVOUGTGBL</t>
  </si>
  <si>
    <t>X1134</t>
  </si>
  <si>
    <t>LEHOTFFKMJEONL-UHFFFAOYAN</t>
  </si>
  <si>
    <t>X1135</t>
  </si>
  <si>
    <t>RUDATBOHQWOJDD-UZVSRGJWBC</t>
  </si>
  <si>
    <t>X1137</t>
  </si>
  <si>
    <t>BOWVQLFMWHZBEF-KTKRTIGZBW</t>
  </si>
  <si>
    <t>X1140</t>
  </si>
  <si>
    <t>JBFYFLXEJFQWMU-WDSKDSINBP</t>
  </si>
  <si>
    <t>X1141</t>
  </si>
  <si>
    <t>KKADPXVIOXHVKN-UHFFFAOYAH</t>
  </si>
  <si>
    <t>X1143</t>
  </si>
  <si>
    <t>FERIUCNNQQJTOY-UHFFFAOYAP</t>
  </si>
  <si>
    <t>X1162</t>
  </si>
  <si>
    <t>KBGAYAKRZNYFFG-BOHATCBPBL</t>
  </si>
  <si>
    <t>X1215</t>
  </si>
  <si>
    <t>YTTRPBWEMMPYSW-VFFCQLMOBE</t>
  </si>
  <si>
    <t>X1218</t>
  </si>
  <si>
    <t>WDJHALXBUFZDSR-UHFFFAOYAH</t>
  </si>
  <si>
    <t>X1221</t>
  </si>
  <si>
    <t>CVSVTCORWBXHQV-UHFFFAOYAV</t>
  </si>
  <si>
    <t>X1224</t>
  </si>
  <si>
    <t>KDJVKDYFFTWHBO-UHFFFAOYAK</t>
  </si>
  <si>
    <t>X1231</t>
  </si>
  <si>
    <t>XSXIVVZCUAHUJO-HZJYTTRNBM</t>
  </si>
  <si>
    <t>X1235</t>
  </si>
  <si>
    <t>PXVCMZCJAUJLJP-YUMQZZPRBD</t>
  </si>
  <si>
    <t>X1239</t>
  </si>
  <si>
    <t>KIHBGTRZFAVZRV-UHFFFAOYAD</t>
  </si>
  <si>
    <t>439887;439885</t>
  </si>
  <si>
    <t>X1242</t>
  </si>
  <si>
    <t>QQBGTSSELNKRID-IOSLPCCCBM</t>
  </si>
  <si>
    <t>X1254</t>
  </si>
  <si>
    <t>PEDCQBHIVMGVHV-UHFFFAOYAF</t>
  </si>
  <si>
    <t>X1256</t>
  </si>
  <si>
    <t>CRBHXDCYXIISFC-UHFFFAOYAW</t>
  </si>
  <si>
    <t>X1258</t>
  </si>
  <si>
    <t>RWZYAGGXGHYGMB-UHFFFAOYAS</t>
  </si>
  <si>
    <t>X1268</t>
  </si>
  <si>
    <t>MYFMARDICOWMQP-YUMQZZPRBM</t>
  </si>
  <si>
    <t>X1342</t>
  </si>
  <si>
    <t>PFDUUKDQEHURQC-ZETCQYMHBZ</t>
  </si>
  <si>
    <t>X1442</t>
  </si>
  <si>
    <t>X1518</t>
  </si>
  <si>
    <t>YDNKGFDKKRUKPY-TURZORIXBD</t>
  </si>
  <si>
    <t>X1526</t>
  </si>
  <si>
    <t>FHQVHHIBKUMWTI-OTMQOFQLBI</t>
  </si>
  <si>
    <t>X1528</t>
  </si>
  <si>
    <t>BSNJSZUDOMPYIR-DMDPBSJXBZ</t>
  </si>
  <si>
    <t>71296233;46891796</t>
  </si>
  <si>
    <t>X1537</t>
  </si>
  <si>
    <t>JLPULHDHAOZNQI-ZTIMHPMXBU</t>
  </si>
  <si>
    <t>X1538</t>
  </si>
  <si>
    <t>LKQLRGMMMAHREN-YJFXYUILBI</t>
  </si>
  <si>
    <t>X1539</t>
  </si>
  <si>
    <t>WTJKGGKOPKCXLL-MRCUWXFGBH</t>
  </si>
  <si>
    <t>X1547</t>
  </si>
  <si>
    <t>VODZWWMEJITOND-NXCSZAMKBA</t>
  </si>
  <si>
    <t>X1628</t>
  </si>
  <si>
    <t>GHCZAUBVMUEKKP-UHFFFAOYAS</t>
  </si>
  <si>
    <t>X1629</t>
  </si>
  <si>
    <t>BHTRKEVKTKCXOH-BJLOMENOBE</t>
  </si>
  <si>
    <t>X1648</t>
  </si>
  <si>
    <t>WBWWGRHZICKQGZ-HZAMXZRMBW</t>
  </si>
  <si>
    <t>X1668</t>
  </si>
  <si>
    <t>AWDRATDZQPNJFN-VAYUFCLWBR</t>
  </si>
  <si>
    <t>X1869</t>
  </si>
  <si>
    <t>ONJSZLXSECQROL-UHFFFAOYAK</t>
  </si>
  <si>
    <t>X2049</t>
  </si>
  <si>
    <t>IGTYILLPRJOVFY-UHFFFAOYAN</t>
  </si>
  <si>
    <t>X2050</t>
  </si>
  <si>
    <t>JAZBEHYOTPTENJ-JLNKQSITBZ</t>
  </si>
  <si>
    <t>X2051</t>
  </si>
  <si>
    <t>WXUAQHNMJWJLTG-UHFFFAOYAC</t>
  </si>
  <si>
    <t>X2054</t>
  </si>
  <si>
    <t>UKFXDFUAPNAMPJ-UHFFFAOYAZ</t>
  </si>
  <si>
    <t>X100000007</t>
  </si>
  <si>
    <t>PHIQHXFUZVPYII-ZCFIWIBFBS</t>
  </si>
  <si>
    <t>X100000008</t>
  </si>
  <si>
    <t>WPYMKLBDIGXBTP-UHFFFAOYAD</t>
  </si>
  <si>
    <t>X100000010</t>
  </si>
  <si>
    <t>XMIIGOLPHOKFCH-UHFFFAOYAR</t>
  </si>
  <si>
    <t>X100000011</t>
  </si>
  <si>
    <t>WLJVXDMOQOGPHL-UHFFFAOYAR</t>
  </si>
  <si>
    <t>X100000014</t>
  </si>
  <si>
    <t>QIAFMBKCNZACKA-UHFFFAOYAD</t>
  </si>
  <si>
    <t>X100000015</t>
  </si>
  <si>
    <t>FBZONXHGGPHHIY-UHFFFAOYAE</t>
  </si>
  <si>
    <t>X100000016</t>
  </si>
  <si>
    <t>TYFQFVWCELRYAO-UHFFFAOYAN</t>
  </si>
  <si>
    <t>X100000036</t>
  </si>
  <si>
    <t>JVQYSWDUAOAHFM-UHFFFAOYAW</t>
  </si>
  <si>
    <t>4298878;47</t>
  </si>
  <si>
    <t>X100000039</t>
  </si>
  <si>
    <t>QEFRNWWLZKMPFJ-YGVKFDHGBW</t>
  </si>
  <si>
    <t>X100000042</t>
  </si>
  <si>
    <t>JDHILDINMRGULE-LURJTMIEBU</t>
  </si>
  <si>
    <t>X100000054</t>
  </si>
  <si>
    <t>YSMODUONRAFBET-UHFFFAOYAX</t>
  </si>
  <si>
    <t>X100000096</t>
  </si>
  <si>
    <t>TUHVEAJXIMEOSA-UHFFFAOYAM</t>
  </si>
  <si>
    <t>X100000257</t>
  </si>
  <si>
    <t>IAJILQKETJEXLJ-QTBDOELSBX</t>
  </si>
  <si>
    <t>X100000258</t>
  </si>
  <si>
    <t>AWUCVROLDVIAJX-UHFFFAOYAM</t>
  </si>
  <si>
    <t>X100000263</t>
  </si>
  <si>
    <t>ACZFBYCNAVEFLC-YFKPBYRVBI</t>
  </si>
  <si>
    <t>X100000265</t>
  </si>
  <si>
    <t>YGPSJZOEDVAXAB-QMMMGPOBBJ</t>
  </si>
  <si>
    <t>X100000269</t>
  </si>
  <si>
    <t>SUHOQUVVVLNYQR-MRVPVSSYBR</t>
  </si>
  <si>
    <t>X100000276</t>
  </si>
  <si>
    <t>FYGDTMLNYKFZSV-DZOUCCHMBX</t>
  </si>
  <si>
    <t>O[C@H]1[C@H](O)[C@@H](CO)O[C@H](O[C@@H]2[C@@H](CO)O[C@H](O[C@@H]3[C@@H](CO)OC(O)[C@H](O)[C@H]3O)[C@H](O)[C@H]2O)[C@@H]1O</t>
  </si>
  <si>
    <t>HMDB0001262</t>
  </si>
  <si>
    <t>X100000282</t>
  </si>
  <si>
    <t>RFMMMVDNIPUKGG-QUCRTXIXBK</t>
  </si>
  <si>
    <t>N-alpha-acetylornithine</t>
  </si>
  <si>
    <t>X100000285</t>
  </si>
  <si>
    <t>JRLGPAXAGHMNOL-LURJTMIEBY</t>
  </si>
  <si>
    <t>NCCC[C@@H](C(O)=O)NC(C)=O</t>
  </si>
  <si>
    <t>X100000295</t>
  </si>
  <si>
    <t>FEWJPZIEWOKRBE-UHFFFAOYAZ</t>
  </si>
  <si>
    <t>444305;875</t>
  </si>
  <si>
    <t>X100000406</t>
  </si>
  <si>
    <t>HEBKCHPVOIAQTA-ZXFHETKHBG</t>
  </si>
  <si>
    <t>HMDB0000508</t>
  </si>
  <si>
    <t>X100000436</t>
  </si>
  <si>
    <t>WVULKSPCQVQLCU-ZGFCPQMKBG</t>
  </si>
  <si>
    <t>X100000437</t>
  </si>
  <si>
    <t>ZFXYFBGIUFBOJW-UHFFFAOYAT</t>
  </si>
  <si>
    <t>X100000442</t>
  </si>
  <si>
    <t>AAWZDTNXLSGCEK-WYWMIBKRBU</t>
  </si>
  <si>
    <t>X100000445</t>
  </si>
  <si>
    <t>YAPQBXQYLJRXSA-UHFFFAOYAW</t>
  </si>
  <si>
    <t>X100000447</t>
  </si>
  <si>
    <t>WXTMDXOMEHJXQO-UHFFFAOYAO</t>
  </si>
  <si>
    <t>X100000453</t>
  </si>
  <si>
    <t>QUNWUDVFRNGTCO-UHFFFAOYAS</t>
  </si>
  <si>
    <t>X100000463</t>
  </si>
  <si>
    <t>XGILAAMKEQUXLS-UHFFFAOYAH</t>
  </si>
  <si>
    <t>X100000467</t>
  </si>
  <si>
    <t>BXFFHSIDQOFMLE-UHFFFAOYAB</t>
  </si>
  <si>
    <t>X100000551</t>
  </si>
  <si>
    <t>BKAJNAXTPSGJCU-UHFFFAOYAG</t>
  </si>
  <si>
    <t>X100000580</t>
  </si>
  <si>
    <t>MPCAJMNYNOGXPB-SLPGGIOYBT</t>
  </si>
  <si>
    <t>X100000616</t>
  </si>
  <si>
    <t>KRTOMQDUKGRFDJ-OALUUITLBO</t>
  </si>
  <si>
    <t>X100000626</t>
  </si>
  <si>
    <t>DUYSYHSSBDVJSM-KRWOKUGFBM</t>
  </si>
  <si>
    <t>X100000639</t>
  </si>
  <si>
    <t>AJFWREUFUPEYII-PAHWMLEVBX</t>
  </si>
  <si>
    <t>CCCCCCCCCCCCCCCCCC(OC[C@]([H])(COP(O)(OC[C@]([NH3+])(C([O-])=O)[H])=O)OC(CCCCCCC/C=C\CCCCCCCC)=O)=O</t>
  </si>
  <si>
    <t>HMDB0010163</t>
  </si>
  <si>
    <t>X100000656</t>
  </si>
  <si>
    <t>LXUGKKVCSTYZFK-DYLKWFMLBW</t>
  </si>
  <si>
    <t>71581134;42607495</t>
  </si>
  <si>
    <t>X100000657</t>
  </si>
  <si>
    <t>KILNVBDSWZSGLL-KXQOOQHDBV</t>
  </si>
  <si>
    <t>X100000665</t>
  </si>
  <si>
    <t>MBMBGCFOFBJSGT-KUBAVDMBBZ</t>
  </si>
  <si>
    <t>X100000672</t>
  </si>
  <si>
    <t>RFVFQQWKPSOBED-PSXMRANNBM</t>
  </si>
  <si>
    <t>X100000706</t>
  </si>
  <si>
    <t>LVRFTAZAXQPQHI-YFKPBYRVBW</t>
  </si>
  <si>
    <t>HMDB0000746,HMDB0000665,HMDB0000624</t>
  </si>
  <si>
    <t>83697;92779;439960</t>
  </si>
  <si>
    <t>X100000707</t>
  </si>
  <si>
    <t>VZCYOOQTPOCHFL-UPHRSURJBG</t>
  </si>
  <si>
    <t>X100000708</t>
  </si>
  <si>
    <t>GWYFCOCPABKNJV-UHFFFAOYAV</t>
  </si>
  <si>
    <t>X100000711</t>
  </si>
  <si>
    <t>HOFGLAYWQRGTKC-UHFFFAOYAS</t>
  </si>
  <si>
    <t>X100000743</t>
  </si>
  <si>
    <t>JKRDADVRIYVCCY-UHFFFAOYAG</t>
  </si>
  <si>
    <t>94180;5312860</t>
  </si>
  <si>
    <t>X100000773</t>
  </si>
  <si>
    <t>NDPLAKGOSZHTPH-UHFFFAOYAI</t>
  </si>
  <si>
    <t>X100000774</t>
  </si>
  <si>
    <t>VOXXWSYKYCBWHO-UHFFFAOYAI</t>
  </si>
  <si>
    <t>X100000776</t>
  </si>
  <si>
    <t>XOMRRQXKHMYMOC-UHFFFAOYAU</t>
  </si>
  <si>
    <t>X100000781</t>
  </si>
  <si>
    <t>VVPRQWTYSNDTEA-UHFFFAOYAN</t>
  </si>
  <si>
    <t>X100000787</t>
  </si>
  <si>
    <t>OTCCIMWXFLJLIA-BYPYZUCNBM</t>
  </si>
  <si>
    <t>X100000792</t>
  </si>
  <si>
    <t>CZWCKYRVOZZJNM-USOAJAOKBK</t>
  </si>
  <si>
    <t>X100000802</t>
  </si>
  <si>
    <t>RDHQFKQIGNGIED-MRVPVSSYBU</t>
  </si>
  <si>
    <t>X100000808</t>
  </si>
  <si>
    <t>NOKPBJYHPHHWAN-REOHCLBHBK</t>
  </si>
  <si>
    <t>X100000840</t>
  </si>
  <si>
    <t>ROBFUDYVXSDBQM-UHFFFAOYAD</t>
  </si>
  <si>
    <t>X100000841</t>
  </si>
  <si>
    <t>MUBZPKHOEPUJKR-UHFFFAOYAQ</t>
  </si>
  <si>
    <t>X100000846</t>
  </si>
  <si>
    <t>UNXHWFMMPAWVPI-UHFFFAOYAU</t>
  </si>
  <si>
    <t>2,3-dihydroxypyridine</t>
  </si>
  <si>
    <t>X100000861</t>
  </si>
  <si>
    <t>GGOZGYRTNQBSSA-UHFFFAOYAS</t>
  </si>
  <si>
    <t>OC1=NC=CC=C1O</t>
  </si>
  <si>
    <t>16867-04-2</t>
  </si>
  <si>
    <t>X100000882</t>
  </si>
  <si>
    <t>ATRNZOYKSNPPBF-UHFFFAOYAM</t>
  </si>
  <si>
    <t>HMDB0061656,HMDB0010731</t>
  </si>
  <si>
    <t>X100000900</t>
  </si>
  <si>
    <t>NBZBKCUXIYYUSX-UHFFFAOYAF</t>
  </si>
  <si>
    <t>X100000924</t>
  </si>
  <si>
    <t>RZRNAYUHWVFMIP-KTKRTIGZBM</t>
  </si>
  <si>
    <t>X100000936</t>
  </si>
  <si>
    <t>QHKABHOOEWYVLI-UHFFFAOYAY</t>
  </si>
  <si>
    <t>X100000961</t>
  </si>
  <si>
    <t>QUOGESRFPZDMMT-YFKPBYRVBD</t>
  </si>
  <si>
    <t>X100000963</t>
  </si>
  <si>
    <t>XIGSAGMEBXLVJJ-YFKPBYRVBI</t>
  </si>
  <si>
    <t>X100000987</t>
  </si>
  <si>
    <t>IEPGNWMPIFDNSD-HZJYTTRNBY</t>
  </si>
  <si>
    <t>X100000997</t>
  </si>
  <si>
    <t>FYSSBMZUBSBFJL-UHFFFAOYAJ</t>
  </si>
  <si>
    <t>citramalate</t>
  </si>
  <si>
    <t>X100000998</t>
  </si>
  <si>
    <t>XFTRTWQBIOMVPK-UHFFFAOYAT</t>
  </si>
  <si>
    <t>OC(CC(O)(C)C(O)=O)=O</t>
  </si>
  <si>
    <t>HMDB0000426</t>
  </si>
  <si>
    <t>C00815</t>
  </si>
  <si>
    <t>X100001002</t>
  </si>
  <si>
    <t>KCXVZYZYPLLWCC-UHFFFAOYAG</t>
  </si>
  <si>
    <t>X100001006</t>
  </si>
  <si>
    <t>OKJIRPAQVSHGFK-UHFFFAOYAB</t>
  </si>
  <si>
    <t>X100001022</t>
  </si>
  <si>
    <t>JPIJQSOTBSSVTP-GBXIJSLDBD</t>
  </si>
  <si>
    <t>HMDB0000943</t>
  </si>
  <si>
    <t>151152;5460407</t>
  </si>
  <si>
    <t>X100001026</t>
  </si>
  <si>
    <t>12310779;128869</t>
  </si>
  <si>
    <t>X100001034</t>
  </si>
  <si>
    <t>SEOVTRFCIGRIMH-UHFFFAOYAT</t>
  </si>
  <si>
    <t>X100001040</t>
  </si>
  <si>
    <t>WECGLUPZRHILCT-HZJYTTRNBQ</t>
  </si>
  <si>
    <t>X100001051</t>
  </si>
  <si>
    <t>BRMWTNUJHUMWMS-LURJTMIEBU</t>
  </si>
  <si>
    <t>X100001054</t>
  </si>
  <si>
    <t>QWYFHHGCZUCMBN-SECBINFHBA</t>
  </si>
  <si>
    <t>X100001055</t>
  </si>
  <si>
    <t>X100001064</t>
  </si>
  <si>
    <t>XBSQTYHEGZTYJE-OETIFKLTBJ</t>
  </si>
  <si>
    <t>X100001073</t>
  </si>
  <si>
    <t>ZMITXKRGXGRMKS-CZTOYULQBN</t>
  </si>
  <si>
    <t>X100001083</t>
  </si>
  <si>
    <t>GOLXRNDWAUTYKT-UHFFFAOYAW</t>
  </si>
  <si>
    <t>X100001092</t>
  </si>
  <si>
    <t>WWNNZCOKKKDOPX-UHFFFAOYAV</t>
  </si>
  <si>
    <t>X100001102</t>
  </si>
  <si>
    <t>TVIDDXQYHWJXFK-UHFFFAOYAC</t>
  </si>
  <si>
    <t>X100001104</t>
  </si>
  <si>
    <t>CAHKINHBCWCHCF-JTQLQIEIBT</t>
  </si>
  <si>
    <t>X100001106</t>
  </si>
  <si>
    <t>OTSBKHHWSQYEHK-UHFFFAOYAM</t>
  </si>
  <si>
    <t>X100001108</t>
  </si>
  <si>
    <t>GMSNIKWWOQHZGF-UHFFFAOYAL</t>
  </si>
  <si>
    <t>X100001112</t>
  </si>
  <si>
    <t>MUCMKTPAZLSKTL-UHFFFAOYAV</t>
  </si>
  <si>
    <t>X100001121</t>
  </si>
  <si>
    <t>HXACOUQIXZGNBF-UHFFFAOYAG</t>
  </si>
  <si>
    <t>X100001126</t>
  </si>
  <si>
    <t>SITLTJHOQZFJGG-UUEFVBAFBQ</t>
  </si>
  <si>
    <t>X100001145</t>
  </si>
  <si>
    <t>OQYZCCKCJQWHIE-UHFFFAOYAK</t>
  </si>
  <si>
    <t>OC(CC(O)CCCCCCC(O)=O)=O</t>
  </si>
  <si>
    <t>HMDB0000350</t>
  </si>
  <si>
    <t>X100001148</t>
  </si>
  <si>
    <t>YDCRNMJQROAWFT-UHFFFAOYAI</t>
  </si>
  <si>
    <t>CC(O)CCCC(O)=O</t>
  </si>
  <si>
    <t>HMDB0000409,HMDB0000525</t>
  </si>
  <si>
    <t>X100001150</t>
  </si>
  <si>
    <t>WOMAZEJKVZLLFE-UHFFFAOYAY</t>
  </si>
  <si>
    <t>X100001151</t>
  </si>
  <si>
    <t>WPSSBBPLVMTKRN-UHFFFAOYAS</t>
  </si>
  <si>
    <t>X100001162</t>
  </si>
  <si>
    <t>UFAHZIUFPNSHSL-UHFFFAOYAT</t>
  </si>
  <si>
    <t>X100001167</t>
  </si>
  <si>
    <t>ONPXCLZMBSJLSP-ALKRTJFJBT</t>
  </si>
  <si>
    <t>X100001170</t>
  </si>
  <si>
    <t>ZMZQVAUJTDKQGE-UHFFFAOYAZ</t>
  </si>
  <si>
    <t>X100001178</t>
  </si>
  <si>
    <t>WMCQWXZMVIETAO-UHFFFAOYAJ</t>
  </si>
  <si>
    <t>X100001181</t>
  </si>
  <si>
    <t>YUFFSWGQGVEMMI-RCHUDCCIBW</t>
  </si>
  <si>
    <t>HMDB0006528</t>
  </si>
  <si>
    <t>X100001182</t>
  </si>
  <si>
    <t>HVGRZDASOHMCSK-AVQMFFATBO</t>
  </si>
  <si>
    <t>X100001193</t>
  </si>
  <si>
    <t>TWSWSIQAPQLDBP-CGRWFSSPBH</t>
  </si>
  <si>
    <t>5282844;5497181</t>
  </si>
  <si>
    <t>docosatrienoate (22:3n3)</t>
  </si>
  <si>
    <t>X100001195</t>
  </si>
  <si>
    <t>WBBQTNCISCKUMU-IUQGRGSQBT</t>
  </si>
  <si>
    <t>CC/C=C/C/C=C/C/C=C/CCCCCCCCCCCC(O)=O</t>
  </si>
  <si>
    <t>59708-86-0</t>
  </si>
  <si>
    <t>HMDB0002823</t>
  </si>
  <si>
    <t>C16534</t>
  </si>
  <si>
    <t>X100001197</t>
  </si>
  <si>
    <t>FRPZMMHWLSIFAZ-UHFFFAOYAJ</t>
  </si>
  <si>
    <t>X100001198</t>
  </si>
  <si>
    <t>YWWVWXASSLXJHU-WAYWQWQTBZ</t>
  </si>
  <si>
    <t>X100001208</t>
  </si>
  <si>
    <t>ZHCKPJGJQOPTLB-UHFFFAOYAW</t>
  </si>
  <si>
    <t>X100001211</t>
  </si>
  <si>
    <t>CXMXRPHRNRROMY-UHFFFAOYAE</t>
  </si>
  <si>
    <t>X100001229</t>
  </si>
  <si>
    <t>JIWBIWFOSCKQMA-LTKCOYKYBT</t>
  </si>
  <si>
    <t>X100001232</t>
  </si>
  <si>
    <t>IJBFSOLHRKELLR-FPLPWBNLBG</t>
  </si>
  <si>
    <t>X100001247</t>
  </si>
  <si>
    <t>CXTATJFJDMJMIY-UHFFFAOYAP</t>
  </si>
  <si>
    <t>123701;11953814</t>
  </si>
  <si>
    <t>X100001250</t>
  </si>
  <si>
    <t>XSOLDPYUICCHJX-OEYGYFRSBZ</t>
  </si>
  <si>
    <t>168408;121596216</t>
  </si>
  <si>
    <t>X100001251</t>
  </si>
  <si>
    <t>LZOSYCMHQXPBFU-UHFFFAOYAC</t>
  </si>
  <si>
    <t>X100001253</t>
  </si>
  <si>
    <t>KSMRODHGGIIXDV-YFKPBYRVBV</t>
  </si>
  <si>
    <t>X100001256</t>
  </si>
  <si>
    <t>CBQJSKKFNMDLON-JTQLQIEIBY</t>
  </si>
  <si>
    <t>X100001257</t>
  </si>
  <si>
    <t>HXFOXFJUNFFYMO-BYPYZUCNBZ</t>
  </si>
  <si>
    <t>X100001263</t>
  </si>
  <si>
    <t>ASWBNKHCZGQVJV-UHFFFAOYAM</t>
  </si>
  <si>
    <t>X100001266</t>
  </si>
  <si>
    <t>SNEIUMQYRCDYCH-LURJTMIEBE</t>
  </si>
  <si>
    <t>X100001267</t>
  </si>
  <si>
    <t>MXXWOMGUGJBKIW-YPCIICBEBY</t>
  </si>
  <si>
    <t>X100001269</t>
  </si>
  <si>
    <t>SGNBVLSWZMBQTH-PODYLUTMBW</t>
  </si>
  <si>
    <t>C[C@H](CC[C@@H](C)C(C)C)[C@@]1([H])CC[C@@]2([H])[C@]3([H])CC=C4C[C@@H](O)CC[C@]4(C)[C@@]3([H])CC[C@@]21C</t>
  </si>
  <si>
    <t>HMDB0002869</t>
  </si>
  <si>
    <t>X100001270</t>
  </si>
  <si>
    <t>PSHXNVGSVNEJBD-UHFFFAOYAV</t>
  </si>
  <si>
    <t>HMDB000506</t>
  </si>
  <si>
    <t>X100001271</t>
  </si>
  <si>
    <t>IHNKQIMGVNPMTC-RUZDIDTEBJ</t>
  </si>
  <si>
    <t>X100001272</t>
  </si>
  <si>
    <t>YAMUFBLWGFFICM-PTGWMXDIBX</t>
  </si>
  <si>
    <t>X100001274</t>
  </si>
  <si>
    <t>PEDXUVCGOLSNLQ-UHFFFAOYAC</t>
  </si>
  <si>
    <t>X100001276</t>
  </si>
  <si>
    <t>JDTWZSUNGHMMJM-MSZQBOFLBT</t>
  </si>
  <si>
    <t>X100001277</t>
  </si>
  <si>
    <t>BBOWBNGUEWHNQZ-KTKRTIGZBX</t>
  </si>
  <si>
    <t>X100001278</t>
  </si>
  <si>
    <t>GDTXICBNEOEPAZ-FPLPWBNLBM</t>
  </si>
  <si>
    <t>X100001279</t>
  </si>
  <si>
    <t>DKPMWHFRUGMUKF-OAEKOJLIBK</t>
  </si>
  <si>
    <t>X100001287</t>
  </si>
  <si>
    <t>ZMITXKRGXGRMKS-KZBQTZLVBC</t>
  </si>
  <si>
    <t>X100001293</t>
  </si>
  <si>
    <t>KBOJOGQFRVVWBH-ZETCQYMHBN</t>
  </si>
  <si>
    <t>X100001294</t>
  </si>
  <si>
    <t>ACIJGUBIMXQCMF-BYPYZUCNBW</t>
  </si>
  <si>
    <t>X100001295</t>
  </si>
  <si>
    <t>CATMPQFFVNKDEY-AAEUAGOBBU</t>
  </si>
  <si>
    <t>X100001296</t>
  </si>
  <si>
    <t>CMUNUTVVOOHQPW-LURJTMIEBI</t>
  </si>
  <si>
    <t>X100001300</t>
  </si>
  <si>
    <t>NGEWQZIDQIYUNV-UHFFFAOYAS</t>
  </si>
  <si>
    <t>X100001313</t>
  </si>
  <si>
    <t>RQNSKRXMANOPQY-BQBZGAKWBR</t>
  </si>
  <si>
    <t>X100001314</t>
  </si>
  <si>
    <t>GWNXFCYUJXASDX-JUZNGCLZBW</t>
  </si>
  <si>
    <t>X100001315</t>
  </si>
  <si>
    <t>WGNAKZGUSRVWRH-REWHXWOFAB</t>
  </si>
  <si>
    <t>X100001320</t>
  </si>
  <si>
    <t>JPIJQSOTBSSVTP-PWNYCUMCBA</t>
  </si>
  <si>
    <t>X100001332</t>
  </si>
  <si>
    <t>OEPADIDIUZTYOX-UHFFFAOYAT</t>
  </si>
  <si>
    <t>X100001334</t>
  </si>
  <si>
    <t>GNMSLDIYJOSUSW-UHFFFAOYAD</t>
  </si>
  <si>
    <t>X100001335</t>
  </si>
  <si>
    <t>BITHHVVYSMSWAG-KTKRTIGZBC</t>
  </si>
  <si>
    <t>5282768;5282769</t>
  </si>
  <si>
    <t>X100001337</t>
  </si>
  <si>
    <t>DTOSIQBPPRVQHS-PDBXOOCHBH</t>
  </si>
  <si>
    <t>5280933;5280934</t>
  </si>
  <si>
    <t>X100001359</t>
  </si>
  <si>
    <t>444212;643757</t>
  </si>
  <si>
    <t>X100001391</t>
  </si>
  <si>
    <t>FNPHNLNTJNMAEE-HSZRJFAPBW</t>
  </si>
  <si>
    <t>X100001392</t>
  </si>
  <si>
    <t>FUJLYHJROOYKRA-UHFFFAOYAK</t>
  </si>
  <si>
    <t>X100001393</t>
  </si>
  <si>
    <t>IGQBPDJNUXPEMT-UHFFFAOYAB</t>
  </si>
  <si>
    <t>X100001395</t>
  </si>
  <si>
    <t>SPJFYYJXNPEZDW-UTJQPWESBU</t>
  </si>
  <si>
    <t>X100001396</t>
  </si>
  <si>
    <t>PFWLFWPASULGAN-UHFFFAOYAY</t>
  </si>
  <si>
    <t>X100001397</t>
  </si>
  <si>
    <t>BYXCFUMGEBZDDI-UHFFFAOYAE</t>
  </si>
  <si>
    <t>X100001398</t>
  </si>
  <si>
    <t>HMLZLHKHNBLLJD-UHFFFAOYAN</t>
  </si>
  <si>
    <t>X100001399</t>
  </si>
  <si>
    <t>NOFNCLGCUJJPKU-UHFFFAOYAG</t>
  </si>
  <si>
    <t>X100001402</t>
  </si>
  <si>
    <t>RDZNZFGKEVDNPK-UHFFFAOYAL</t>
  </si>
  <si>
    <t>O=C(NC(NC=O)=C1NC(C)=O)N(C)C1=O</t>
  </si>
  <si>
    <t>HMDB0011105</t>
  </si>
  <si>
    <t>X100001403</t>
  </si>
  <si>
    <t>POQOTWQIYYNXAT-UHFFFAOYAS</t>
  </si>
  <si>
    <t>X100001404</t>
  </si>
  <si>
    <t>JTEDVYBZBROSJT-UHFFFAOYAT</t>
  </si>
  <si>
    <t>X100001405</t>
  </si>
  <si>
    <t>MVOYJPOZRLFTCP-UHFFFAOYAI</t>
  </si>
  <si>
    <t>X100001409</t>
  </si>
  <si>
    <t>WJNGQIYEQLPJMN-UHFFFAOYAL</t>
  </si>
  <si>
    <t>X100001412</t>
  </si>
  <si>
    <t>RSPURTUNRHNVGF-IOSLPCCCBE</t>
  </si>
  <si>
    <t>X100001413</t>
  </si>
  <si>
    <t>NIDVTARKFBZMOT-PEBGCTIMBU</t>
  </si>
  <si>
    <t>X100001415</t>
  </si>
  <si>
    <t>GYCVHQYQICRFAX-GQFURFNTBM</t>
  </si>
  <si>
    <t>X100001416</t>
  </si>
  <si>
    <t>FKCRAVPPBFWEJD-XVFCMESIBQ</t>
  </si>
  <si>
    <t>X100001417</t>
  </si>
  <si>
    <t>JFLIEFSWGNOPJJ-UHFFFAOYAD</t>
  </si>
  <si>
    <t>X100001423</t>
  </si>
  <si>
    <t>ZMHLUFWWWPBTIU-UHFFFAOYAI</t>
  </si>
  <si>
    <t>X100001425</t>
  </si>
  <si>
    <t>ZPTBLXKRQACLCR-XVFCMESIBI</t>
  </si>
  <si>
    <t>X100001426</t>
  </si>
  <si>
    <t>YXNIEZJFCGTDKV-JANFQQFMBG</t>
  </si>
  <si>
    <t>X100001433</t>
  </si>
  <si>
    <t>DCPCOKIYJYGMDN-DOFZRALJBT</t>
  </si>
  <si>
    <t>HMDB0011578</t>
  </si>
  <si>
    <t>16019980;5282281</t>
  </si>
  <si>
    <t>X100001437</t>
  </si>
  <si>
    <t>BNRXZEPOHPEEAS-UHFFFAOYAL</t>
  </si>
  <si>
    <t>X100001446</t>
  </si>
  <si>
    <t>DWRXFEITVBNRMK-JXOAFFINBW</t>
  </si>
  <si>
    <t>isovalerylglycine</t>
  </si>
  <si>
    <t>X100001452</t>
  </si>
  <si>
    <t>ZRQXMKMBBMNNQC-UHFFFAOYAA</t>
  </si>
  <si>
    <t>O=C(O)CNC(CC(C)C)=O</t>
  </si>
  <si>
    <t>16284-60-9</t>
  </si>
  <si>
    <t>HMDB00678</t>
  </si>
  <si>
    <t>X100001454</t>
  </si>
  <si>
    <t>FYVQCLGZFXHEGL-UHFFFAOYAV</t>
  </si>
  <si>
    <t>X100001456</t>
  </si>
  <si>
    <t>FZWGECJQACGGTI-UHFFFAOYAT</t>
  </si>
  <si>
    <t>X100001461</t>
  </si>
  <si>
    <t>BBYWOYAFBUOUFP-JOCHJYFZBR</t>
  </si>
  <si>
    <t>X100001462</t>
  </si>
  <si>
    <t>HFJVKBVEKQHVTO-OZAIVSQSBD</t>
  </si>
  <si>
    <t>3-methylcytidine</t>
  </si>
  <si>
    <t>X100001466</t>
  </si>
  <si>
    <t>BWXZYULEOLQCKN-NNRPTJCQBK</t>
  </si>
  <si>
    <t>O[C@]([C@@]1(O)[H])([C@](O[C@](CO)1[H])([H])N2C=CC(N(C)C2=O)=N)[H]</t>
  </si>
  <si>
    <t>21028-20-6</t>
  </si>
  <si>
    <t>HMDB0240577</t>
  </si>
  <si>
    <t>X100001468</t>
  </si>
  <si>
    <t>JLQSXXWTCJPCBC-UHFFFAOYAD</t>
  </si>
  <si>
    <t>X100001485</t>
  </si>
  <si>
    <t>SNCKGJWJABDZHI-SIPWABPFBP</t>
  </si>
  <si>
    <t>X100001501</t>
  </si>
  <si>
    <t>IPOLTUVFXFHAHI-WHIOSMTNBE</t>
  </si>
  <si>
    <t>gamma-glutamyl-2-aminobutyrate</t>
  </si>
  <si>
    <t>X100001502</t>
  </si>
  <si>
    <t>FUZOZPRKGAXGOB-UHFFFAOYAE</t>
  </si>
  <si>
    <t>O=C(O)C(CCC(NC(CC)C(O)=O)=O)N</t>
  </si>
  <si>
    <t>16869-42-4</t>
  </si>
  <si>
    <t>HMDB0240645</t>
  </si>
  <si>
    <t>X100001510</t>
  </si>
  <si>
    <t>CTYRPMDGLDAWRQ-UHFFFAOYAC</t>
  </si>
  <si>
    <t>X100001511</t>
  </si>
  <si>
    <t>LFUDDCMNKWEORN-KHPPLWFEBO</t>
  </si>
  <si>
    <t>malonylcarnitine</t>
  </si>
  <si>
    <t>X100001526</t>
  </si>
  <si>
    <t>ZGNBLKBZJBJFDG-UHFFFAOYAY</t>
  </si>
  <si>
    <t>O=C(CC(O)=O)OC(CC([O-])=O)C[N+](C)(C)C</t>
  </si>
  <si>
    <t>853728-01-5</t>
  </si>
  <si>
    <t>HMDB0002095</t>
  </si>
  <si>
    <t>X100001527</t>
  </si>
  <si>
    <t>UPCKIPHSXMXJOX-UHFFFAOYAU</t>
  </si>
  <si>
    <t>X100001540</t>
  </si>
  <si>
    <t>NPWMTBZSRRLQNJ-UHFFFAOYAH</t>
  </si>
  <si>
    <t>X100001541</t>
  </si>
  <si>
    <t>RILPIWOPNGRASR-UHFFFAOYAI</t>
  </si>
  <si>
    <t>X100001550</t>
  </si>
  <si>
    <t>XULZWQRXYTVUTE-ZETCQYMHBF</t>
  </si>
  <si>
    <t>X100001551</t>
  </si>
  <si>
    <t>LAXQYRRMGGEGOH-JXRLJXCWBN</t>
  </si>
  <si>
    <t>X100001561</t>
  </si>
  <si>
    <t>GKXPPJQBVCKAGD-DJYGDJEFBY</t>
  </si>
  <si>
    <t>X100001562</t>
  </si>
  <si>
    <t>NEGQHKSYEYVFTD-HSZRJFAPBY</t>
  </si>
  <si>
    <t>X100001567</t>
  </si>
  <si>
    <t>YVYMBNSKXOXSKW-HXUWFJFHBX</t>
  </si>
  <si>
    <t>X100001569</t>
  </si>
  <si>
    <t>PYVRVRFVLRNJLY-MZMPXXGTBD</t>
  </si>
  <si>
    <t>X100001570</t>
  </si>
  <si>
    <t>DBHKHNGBVGWQJE-HZJYTTRNBF</t>
  </si>
  <si>
    <t>X100001571</t>
  </si>
  <si>
    <t>ROPRRXYVXLDXQO-XSQXPFHXBE</t>
  </si>
  <si>
    <t>X100001577</t>
  </si>
  <si>
    <t>WMQMIOYQXNRROC-LURJTMIEBM</t>
  </si>
  <si>
    <t>X100001579</t>
  </si>
  <si>
    <t>JGHSBPIZNUXPLA-UHFFFAOYAI</t>
  </si>
  <si>
    <t>11065598;22485761</t>
  </si>
  <si>
    <t>X100001580</t>
  </si>
  <si>
    <t>AVKOENOBFIYBSA-WMPRHZDHBF</t>
  </si>
  <si>
    <t>X100001586</t>
  </si>
  <si>
    <t>RGHNJXZEOKUKBD-NRXMZTRTBF</t>
  </si>
  <si>
    <t>X100001590</t>
  </si>
  <si>
    <t>DCICDMMXFIELDF-UHFFFAOYAA</t>
  </si>
  <si>
    <t>X100001593</t>
  </si>
  <si>
    <t>NXJAXUYOQLTISD-UHFFFAOYAA</t>
  </si>
  <si>
    <t>X100001594</t>
  </si>
  <si>
    <t>IGLHHSKNBDXCEY-UHFFFAOYAG</t>
  </si>
  <si>
    <t>X100001597</t>
  </si>
  <si>
    <t>WURBQCVBQNMUQT-RMKNXTFCBN</t>
  </si>
  <si>
    <t>X100001604</t>
  </si>
  <si>
    <t>FPXPQMOQWJZYBL-UHFFFAOYAZ</t>
  </si>
  <si>
    <t>X100001605</t>
  </si>
  <si>
    <t>MZPWKJZDOCIALD-UHFFFAOYAC</t>
  </si>
  <si>
    <t>X100001609</t>
  </si>
  <si>
    <t>SATGKQGFUDXGAX-MYWFJNCABU</t>
  </si>
  <si>
    <t>X100001612</t>
  </si>
  <si>
    <t>OPVPGKGADVGKTG-UHFFFAOYAF</t>
  </si>
  <si>
    <t>X100001613</t>
  </si>
  <si>
    <t>HQHCYKULIHKCEB-UHFFFAOYAK</t>
  </si>
  <si>
    <t>X100001614</t>
  </si>
  <si>
    <t>QQHJDPROMQRDLA-UHFFFAOYAF</t>
  </si>
  <si>
    <t>X100001615</t>
  </si>
  <si>
    <t>BNJOQKFENDDGSC-UHFFFAOYAE</t>
  </si>
  <si>
    <t>X100001620</t>
  </si>
  <si>
    <t>JZNWSCPGTDBMEW-UHFFFAOYAI</t>
  </si>
  <si>
    <t>X100001624</t>
  </si>
  <si>
    <t>QVWAEZJXDYOKEH-UHFFFAOYAP</t>
  </si>
  <si>
    <t>X100001655</t>
  </si>
  <si>
    <t>X100001657</t>
  </si>
  <si>
    <t>FHXBAFXQVZOILS-OETIFKLTBP</t>
  </si>
  <si>
    <t>X100001658</t>
  </si>
  <si>
    <t>HSNPMXROZIQAQD-GBURMNQMBI</t>
  </si>
  <si>
    <t>X100001662</t>
  </si>
  <si>
    <t>JHPNVNIEXXLNTR-UHFFFAOYAL</t>
  </si>
  <si>
    <t>X100001668</t>
  </si>
  <si>
    <t>AHPWEWASPTZMEK-UHFFFAOYAY</t>
  </si>
  <si>
    <t>X100001723</t>
  </si>
  <si>
    <t>NYHNVHGFPZAZGA-UHFFFAOYAC</t>
  </si>
  <si>
    <t>O=C(C(CCCC)O)O</t>
  </si>
  <si>
    <t>HMDB0001624</t>
  </si>
  <si>
    <t>X100001730</t>
  </si>
  <si>
    <t>X100001731</t>
  </si>
  <si>
    <t>X100001733</t>
  </si>
  <si>
    <t>X100001734</t>
  </si>
  <si>
    <t>DTERQYGMUDWYAZ-ZETCQYMHBE</t>
  </si>
  <si>
    <t>X100001739</t>
  </si>
  <si>
    <t>AHANXAKGNAKFSK-PDBXOOCHBM</t>
  </si>
  <si>
    <t>X100001740</t>
  </si>
  <si>
    <t>FBPFZTCFMRRESA-UHFFFAOYAI</t>
  </si>
  <si>
    <t>X100001743</t>
  </si>
  <si>
    <t>AOHCBEAZXHZMOR-ZDUSSCGKBF</t>
  </si>
  <si>
    <t>X100001755</t>
  </si>
  <si>
    <t>IETVQHUKTKKBFF-UHFFFAOYAU</t>
  </si>
  <si>
    <t>X100001756</t>
  </si>
  <si>
    <t>X100001757</t>
  </si>
  <si>
    <t>NODSEPOUFZPJEQ-UHFFFAOYAU</t>
  </si>
  <si>
    <t>X100001765</t>
  </si>
  <si>
    <t>SYEOWUNSTUDKGM-UHFFFAOYAW</t>
  </si>
  <si>
    <t>X100001767</t>
  </si>
  <si>
    <t>VTYFITADLSVOAS-UHFFFAOYAA</t>
  </si>
  <si>
    <t>X100001777</t>
  </si>
  <si>
    <t>X100001778</t>
  </si>
  <si>
    <t>X100001806</t>
  </si>
  <si>
    <t>CYGSXDXRHXMAOV-UHFFFAOYAI</t>
  </si>
  <si>
    <t>X100001810</t>
  </si>
  <si>
    <t>YDGMGEXADBMOMJ-LURJTMIEBT</t>
  </si>
  <si>
    <t>123831;169148</t>
  </si>
  <si>
    <t>X100001843</t>
  </si>
  <si>
    <t>WQXXXVRAFAKQJM-WHFBIAKZBJ</t>
  </si>
  <si>
    <t>X100001851</t>
  </si>
  <si>
    <t>JJIHLJJYMXLCOY-BYPYZUCNBM</t>
  </si>
  <si>
    <t>X100001856</t>
  </si>
  <si>
    <t>X100001859</t>
  </si>
  <si>
    <t>CDAISMWEOUEBRE-LKPKBOIGBG</t>
  </si>
  <si>
    <t>X100001868</t>
  </si>
  <si>
    <t>HMDB0170765</t>
  </si>
  <si>
    <t>X100001869</t>
  </si>
  <si>
    <t>PSVRFUPOQYJOOZ-QNPWAGBNBV</t>
  </si>
  <si>
    <t>X100001870</t>
  </si>
  <si>
    <t>HBZNVZIRJWODIB-NHCUFCNUBC</t>
  </si>
  <si>
    <t>X100001876</t>
  </si>
  <si>
    <t>YHEDRJPUIRMZMP-UHFFFAOYAT</t>
  </si>
  <si>
    <t>X100001882</t>
  </si>
  <si>
    <t>X100001948</t>
  </si>
  <si>
    <t>X100001950</t>
  </si>
  <si>
    <t>BPYKTIZUTYGOLE-BMNRKXREBL</t>
  </si>
  <si>
    <t>X100001951</t>
  </si>
  <si>
    <t>BPYKTIZUTYGOLE-VVCLLGATBN</t>
  </si>
  <si>
    <t>X100001956</t>
  </si>
  <si>
    <t>CWLQUGTUXBXTLF-UHFFFAOYAJ</t>
  </si>
  <si>
    <t>X100001977</t>
  </si>
  <si>
    <t>DMASLKHVQRHNES-QQGJMDNJBV</t>
  </si>
  <si>
    <t>X100001987</t>
  </si>
  <si>
    <t>X100001988</t>
  </si>
  <si>
    <t>X100001989</t>
  </si>
  <si>
    <t>X100001990</t>
  </si>
  <si>
    <t>X100001992</t>
  </si>
  <si>
    <t>X100001993</t>
  </si>
  <si>
    <t>X100001994</t>
  </si>
  <si>
    <t>X100001999</t>
  </si>
  <si>
    <t>CBOVWLYQUCVTFA-WPWXJNKXBZ</t>
  </si>
  <si>
    <t>X100002008</t>
  </si>
  <si>
    <t>X100002009</t>
  </si>
  <si>
    <t>X100002014</t>
  </si>
  <si>
    <t>X100002015</t>
  </si>
  <si>
    <t>LSQGWMYMIHQKSA-UHFFFAOYAD</t>
  </si>
  <si>
    <t>3082277;5127902</t>
  </si>
  <si>
    <t>X100002017</t>
  </si>
  <si>
    <t>X100002018</t>
  </si>
  <si>
    <t>X100002021</t>
  </si>
  <si>
    <t>X100002024</t>
  </si>
  <si>
    <t>X100002027</t>
  </si>
  <si>
    <t>X100002028</t>
  </si>
  <si>
    <t>X100002029</t>
  </si>
  <si>
    <t>X100002049</t>
  </si>
  <si>
    <t>VXIXUWQIVKSKSA-UHFFFAOYAD</t>
  </si>
  <si>
    <t>HMDB0137904</t>
  </si>
  <si>
    <t>X100002067</t>
  </si>
  <si>
    <t>X100002070</t>
  </si>
  <si>
    <t>HWXBTNAVRSUOJR-UHFFFAOYAI</t>
  </si>
  <si>
    <t>X100002094</t>
  </si>
  <si>
    <t>VMJQLPNCUPGMNQ-UHFFFAOYAS</t>
  </si>
  <si>
    <t>X100002102</t>
  </si>
  <si>
    <t>LJLLAWRMBZNPMO-UHFFFAOYAA</t>
  </si>
  <si>
    <t>X100002106</t>
  </si>
  <si>
    <t>NBEADXWAAWCCDG-QDDWGVBQBP</t>
  </si>
  <si>
    <t>X100002107</t>
  </si>
  <si>
    <t>RWKUXQNLWDTSLO-GWQJGLRPBP</t>
  </si>
  <si>
    <t>X100002122</t>
  </si>
  <si>
    <t>XDOFWFNMYJRHEW-UHFFFAOYAF</t>
  </si>
  <si>
    <t>X100002126</t>
  </si>
  <si>
    <t>X100002129</t>
  </si>
  <si>
    <t>DIJBBUIOWGGQOP-QGVNFLHTBX</t>
  </si>
  <si>
    <t>X100002152</t>
  </si>
  <si>
    <t>X100002154</t>
  </si>
  <si>
    <t>SSISHJJTAXXQAX-UHFFFAOYAO</t>
  </si>
  <si>
    <t>X100002183</t>
  </si>
  <si>
    <t>YDBYJHTYSHBBAU-UHFFFAOYAF</t>
  </si>
  <si>
    <t>X100002185</t>
  </si>
  <si>
    <t>X100002196</t>
  </si>
  <si>
    <t>5312830;6443013</t>
  </si>
  <si>
    <t>X100002199</t>
  </si>
  <si>
    <t>X100002204</t>
  </si>
  <si>
    <t>FKTXRTPBUWLETL-UHFFFAOYAZ</t>
  </si>
  <si>
    <t>X100002227</t>
  </si>
  <si>
    <t>NYOXRYYXRWJDKP-UHFFFAOYAV</t>
  </si>
  <si>
    <t>X100002253</t>
  </si>
  <si>
    <t>YAADMLWHGMUGQL-VOTSOKGWBK</t>
  </si>
  <si>
    <t>X100002259</t>
  </si>
  <si>
    <t>X100002284</t>
  </si>
  <si>
    <t>LOUGYXZSURQALL-GBXIJSLDBN</t>
  </si>
  <si>
    <t>X100002356</t>
  </si>
  <si>
    <t>YETXGSGCWODRAA-UHFFFAOYAR</t>
  </si>
  <si>
    <t>X100002367</t>
  </si>
  <si>
    <t>LOUGYXZSURQALL-PWNYCUMCBK</t>
  </si>
  <si>
    <t>X100002397</t>
  </si>
  <si>
    <t>COJBGNAUUSNXHX-UHFFFAOYAQ</t>
  </si>
  <si>
    <t>X100002417</t>
  </si>
  <si>
    <t>JTEYKUFKXGDTEU-UHFFFAOYAT</t>
  </si>
  <si>
    <t>X100002458</t>
  </si>
  <si>
    <t>WKRBKYFIJPGYQC-DUXPYHPUBK</t>
  </si>
  <si>
    <t>X100002462</t>
  </si>
  <si>
    <t>X100002466</t>
  </si>
  <si>
    <t>ZHRLECIZINSPKL-AKGZTFGVBW</t>
  </si>
  <si>
    <t>X100002488</t>
  </si>
  <si>
    <t>RUDATBOHQWOJDD-DNMBCGTGBA</t>
  </si>
  <si>
    <t>X100002500</t>
  </si>
  <si>
    <t>NRXIKWMTVXPVEF-BYPYZUCNBD</t>
  </si>
  <si>
    <t>X100002514</t>
  </si>
  <si>
    <t>VWFWNXQAMGDPGG-UHFFFAOYAX</t>
  </si>
  <si>
    <t>X100002528</t>
  </si>
  <si>
    <t>QAOWNCQODCNURD-UHFFFAOYAC</t>
  </si>
  <si>
    <t>4-hydroxy-2-oxoglutaric acid</t>
  </si>
  <si>
    <t>X100002537</t>
  </si>
  <si>
    <t>WXSKVKPSMAHCSG-UHFFFAOYAL</t>
  </si>
  <si>
    <t>OC(C(O)=O)CC(C(O)=O)=O</t>
  </si>
  <si>
    <t>1187-99-1</t>
  </si>
  <si>
    <t>HMDB0002070</t>
  </si>
  <si>
    <t>C01127</t>
  </si>
  <si>
    <t>X100002544</t>
  </si>
  <si>
    <t>HBDWQSHEVMSFGY-SCQFTWEKBW</t>
  </si>
  <si>
    <t>X100002613</t>
  </si>
  <si>
    <t>OTOIIPJYVQJATP-BYPYZUCNBD</t>
  </si>
  <si>
    <t>X100002749</t>
  </si>
  <si>
    <t>IDIDJDIHTAOVLG-VKHMYHEABD</t>
  </si>
  <si>
    <t>X100002761</t>
  </si>
  <si>
    <t>VFUIRAVTUVCQTF-BSOWLZGZBS</t>
  </si>
  <si>
    <t>X100002769</t>
  </si>
  <si>
    <t>BMFMQGXDDJALKQ-BYPYZUCNBB</t>
  </si>
  <si>
    <t>X100002784</t>
  </si>
  <si>
    <t>ARBHXJXXVVHMET-UHFFFAOYAC</t>
  </si>
  <si>
    <t>X100002796</t>
  </si>
  <si>
    <t>XKZKQTCECFWKBN-SREVYHEPBE</t>
  </si>
  <si>
    <t>4-oxo-retinoic acid</t>
  </si>
  <si>
    <t>X100002825</t>
  </si>
  <si>
    <t>O=C1CCC(C)(C)C(/C=C/C(C)=C/C=C/C(C)=C/C(O)=O)=C1C</t>
  </si>
  <si>
    <t>38030-57-8</t>
  </si>
  <si>
    <t>HMDB0006285</t>
  </si>
  <si>
    <t>X100002873</t>
  </si>
  <si>
    <t>X100002875</t>
  </si>
  <si>
    <t>HTZINLFNXLXRBC-CQLBIITFBS</t>
  </si>
  <si>
    <t>X100002910</t>
  </si>
  <si>
    <t>UJCGYTCAMOHYCG-UHFFFAOYAA</t>
  </si>
  <si>
    <t>X100002911</t>
  </si>
  <si>
    <t>X100002927</t>
  </si>
  <si>
    <t>X100002951</t>
  </si>
  <si>
    <t>JJOJFIHJIRWASH-UHFFFAOYAR</t>
  </si>
  <si>
    <t>X100002952</t>
  </si>
  <si>
    <t>X100002990</t>
  </si>
  <si>
    <t>X100003000</t>
  </si>
  <si>
    <t>QYTPGOPLNFESQC-RLHAVTDZBD</t>
  </si>
  <si>
    <t>X100003001</t>
  </si>
  <si>
    <t>X100003119</t>
  </si>
  <si>
    <t>KOGRJTUIKPMZEJ-KTKRTIGZBU</t>
  </si>
  <si>
    <t>X100003151</t>
  </si>
  <si>
    <t>MJLXQSQYKZWZCB-DQFWFXSYBW</t>
  </si>
  <si>
    <t>X100003258</t>
  </si>
  <si>
    <t>RMHBODZVODTFAH-UHFFFAOYAP</t>
  </si>
  <si>
    <t>carboxyethyl-GABA</t>
  </si>
  <si>
    <t>X100003260</t>
  </si>
  <si>
    <t>SRGQUICKDUQCKO-UHFFFAOYAD</t>
  </si>
  <si>
    <t>O=C(CCCNCCC(O)=O)O</t>
  </si>
  <si>
    <t>HMDB0002201</t>
  </si>
  <si>
    <t>X100003271</t>
  </si>
  <si>
    <t>GAQNUGISBQJMKO-UHFFFAOYAK</t>
  </si>
  <si>
    <t>X100003397</t>
  </si>
  <si>
    <t>UYPYRKYUKCHHIB-UHFFFAOYAU</t>
  </si>
  <si>
    <t>X100003415</t>
  </si>
  <si>
    <t>PQNASZJZHFPQLE-LURJTMIEBL</t>
  </si>
  <si>
    <t>X100003432</t>
  </si>
  <si>
    <t>BOLQJTPHPSDZHR-UHFFFAOYAM</t>
  </si>
  <si>
    <t>X100003434</t>
  </si>
  <si>
    <t>ZCKYOWGFRHAZIQ-UHFFFAOYAI</t>
  </si>
  <si>
    <t>X100003470</t>
  </si>
  <si>
    <t>ZFFFJLDTCLJDHL-JQYCEVDMBA</t>
  </si>
  <si>
    <t>X100003473</t>
  </si>
  <si>
    <t>XUHLIQGRKRUKPH-ITZCMCNPBT</t>
  </si>
  <si>
    <t>X100003674</t>
  </si>
  <si>
    <t>RNKSNIBMTUYWSH-YFKPBYRVBZ</t>
  </si>
  <si>
    <t>X100003686</t>
  </si>
  <si>
    <t>KVTFEOAKFFQCCX-UHFFFAOYAT</t>
  </si>
  <si>
    <t>X100003695</t>
  </si>
  <si>
    <t>RGHNJXZEOKUKBD-MBMOQRBOBN</t>
  </si>
  <si>
    <t>X100003696</t>
  </si>
  <si>
    <t>KZNICNPSHKQLFF-UHFFFAOYAV</t>
  </si>
  <si>
    <t>O=C1NC(CC1)=O</t>
  </si>
  <si>
    <t>HMDB0240653</t>
  </si>
  <si>
    <t>X100003892</t>
  </si>
  <si>
    <t>DWPCPZJAHOETAG-IMJSIDKUBX</t>
  </si>
  <si>
    <t>HMDB0240656</t>
  </si>
  <si>
    <t>X100003901</t>
  </si>
  <si>
    <t>KIHAGWUUUHJRMS-JOCHJYFZBB</t>
  </si>
  <si>
    <t>53480667;90658453</t>
  </si>
  <si>
    <t>X100003926</t>
  </si>
  <si>
    <t>X100004046</t>
  </si>
  <si>
    <t>BKAYIFDRRZZKNF-VIFPVBQEBE</t>
  </si>
  <si>
    <t>X100004054</t>
  </si>
  <si>
    <t>X100004056</t>
  </si>
  <si>
    <t>SUZRRICLUFMAQD-UHFFFAOYAV</t>
  </si>
  <si>
    <t>X100004059</t>
  </si>
  <si>
    <t>GPPYTCRVKHULJH-UHFFFAOYAG</t>
  </si>
  <si>
    <t>X100004083</t>
  </si>
  <si>
    <t>X100004089</t>
  </si>
  <si>
    <t>GHPVDCPCKSNJDR-UHFFFAOYAC</t>
  </si>
  <si>
    <t>3-methyl catechol sulfate (2)</t>
  </si>
  <si>
    <t>X100004110</t>
  </si>
  <si>
    <t>OC1=C(OS(=O)(O)=O)C(C)=CC=C1</t>
  </si>
  <si>
    <t>X100004111</t>
  </si>
  <si>
    <t>X100004112</t>
  </si>
  <si>
    <t>3b-hydroxy-5-cholenoic acid</t>
  </si>
  <si>
    <t>X100004182</t>
  </si>
  <si>
    <t>HIAJCGFYHIANNA-QIZZZRFXBQ</t>
  </si>
  <si>
    <t>X100004208</t>
  </si>
  <si>
    <t>AQTYXAPIHMXAAV-UHFFFAOYAZ</t>
  </si>
  <si>
    <t>X100004227</t>
  </si>
  <si>
    <t>AKVBCGQVQXPRLD-UHFFFAOYAX</t>
  </si>
  <si>
    <t>X100004243</t>
  </si>
  <si>
    <t>X100004284</t>
  </si>
  <si>
    <t>HHVIBTZHLRERCL-UHFFFAOYAG</t>
  </si>
  <si>
    <t>X100004295</t>
  </si>
  <si>
    <t>XUWHAWMETYGRKB-UHFFFAOYAE</t>
  </si>
  <si>
    <t>X100004299</t>
  </si>
  <si>
    <t>indolin-2-one</t>
  </si>
  <si>
    <t>X100004318</t>
  </si>
  <si>
    <t>JYGFTBXVXVMTGB-UHFFFAOYAF</t>
  </si>
  <si>
    <t>O=C1CC2=C(N1)C=CC=C2</t>
  </si>
  <si>
    <t>59-48-3</t>
  </si>
  <si>
    <t>HMDB0061918</t>
  </si>
  <si>
    <t>C12312</t>
  </si>
  <si>
    <t>X100004322</t>
  </si>
  <si>
    <t>VSTZVCJQGSLNLL-UHFFFAOYAM</t>
  </si>
  <si>
    <t>X100004326</t>
  </si>
  <si>
    <t>CGFRVKXGZRODPA-UHFFFAOYAL</t>
  </si>
  <si>
    <t>CC(C1=CC=CC(OS(=O)(O)=O)=C1)=O</t>
  </si>
  <si>
    <t>X100004328</t>
  </si>
  <si>
    <t>KYICBZWZQPCUMO-PSALXKTOBW</t>
  </si>
  <si>
    <t>X100004329</t>
  </si>
  <si>
    <t>X100004499</t>
  </si>
  <si>
    <t>FZXCPFJMYOQZCA-UHFFFAOYAC</t>
  </si>
  <si>
    <t>X100004509</t>
  </si>
  <si>
    <t>ZFAHNWWNDFHPOH-UHFFFAOYAF</t>
  </si>
  <si>
    <t>X100004523</t>
  </si>
  <si>
    <t>SRXKAYJJGAAOBP-UHFFFAOYAF</t>
  </si>
  <si>
    <t>X100004541</t>
  </si>
  <si>
    <t>OAUYENAPBFTAQT-UHFFFAOYAN</t>
  </si>
  <si>
    <t>X100004542</t>
  </si>
  <si>
    <t>RDFMDVXONNIGBC-UHFFFAOYAG</t>
  </si>
  <si>
    <t>X100004561</t>
  </si>
  <si>
    <t>LLLPDUXGHXIXIW-UHFFFAOYAW</t>
  </si>
  <si>
    <t>X100004575</t>
  </si>
  <si>
    <t>XUYANFPPYJSBPU-UHFFFAOYAB</t>
  </si>
  <si>
    <t>X100004601</t>
  </si>
  <si>
    <t>KNSAWRXCIVESQC-UHFFFAOYAV</t>
  </si>
  <si>
    <t>X100004634</t>
  </si>
  <si>
    <t>ORZHQEJEAKXCJA-UHFFFAOYAN</t>
  </si>
  <si>
    <t>NCCC1=CC(OC)=C(OS(=O)(O)=O)C=C1</t>
  </si>
  <si>
    <t>X100004635</t>
  </si>
  <si>
    <t>UCUNFLYVYCGDHP-UHFFFAOYAG</t>
  </si>
  <si>
    <t>X100005350</t>
  </si>
  <si>
    <t>X100005367</t>
  </si>
  <si>
    <t>X100005372</t>
  </si>
  <si>
    <t>X100005373</t>
  </si>
  <si>
    <t>BFSYFTQDGRDJNV-QCNRFFRDBO</t>
  </si>
  <si>
    <t>X100005384</t>
  </si>
  <si>
    <t>CIQHWLTYGMYQQR-QMMMGPOBBK</t>
  </si>
  <si>
    <t>X100005389</t>
  </si>
  <si>
    <t>PZPATWACAAOHTJ-HWKANZROBD</t>
  </si>
  <si>
    <t>COC1=C(OS(O)(=O)=O)C=CC(/C=C/C(O)=O)=C1</t>
  </si>
  <si>
    <t>HMDB0029200</t>
  </si>
  <si>
    <t>X100005391</t>
  </si>
  <si>
    <t>IQWLPDPKVFZEOK-UHFFFAOYAQ</t>
  </si>
  <si>
    <t>OS(OC1=CC=CC(CCC(O)=O)=C1)(=O)=O</t>
  </si>
  <si>
    <t>HMDB0094710</t>
  </si>
  <si>
    <t>X100005403</t>
  </si>
  <si>
    <t>X100005418</t>
  </si>
  <si>
    <t>X100005466</t>
  </si>
  <si>
    <t>CXJAAWRLVGAKDV-UHFFFAOYAS</t>
  </si>
  <si>
    <t>X100005716</t>
  </si>
  <si>
    <t>X100005717</t>
  </si>
  <si>
    <t>BVJSKAUUFXBDOB-UHFFFAOYAJ</t>
  </si>
  <si>
    <t>X100005834</t>
  </si>
  <si>
    <t>RKHXDCVAPIMDMG-UHFFFAOYAA</t>
  </si>
  <si>
    <t>X100005850</t>
  </si>
  <si>
    <t>HFCPFJNSBPQJDP-UHFFFAOYAE</t>
  </si>
  <si>
    <t>X100005864</t>
  </si>
  <si>
    <t>445238;3036743</t>
  </si>
  <si>
    <t>X100005985</t>
  </si>
  <si>
    <t>X100005986</t>
  </si>
  <si>
    <t>WKZHECFHXLTOLJ-QYKFWSDSBN</t>
  </si>
  <si>
    <t>X100005996</t>
  </si>
  <si>
    <t>CYPBWZKNUDFJJE-PLNGDYQABU</t>
  </si>
  <si>
    <t>X100005998</t>
  </si>
  <si>
    <t>ULCCGBCYWCYNIC-UHFFFAOYAW</t>
  </si>
  <si>
    <t>X100006005</t>
  </si>
  <si>
    <t>X100006051</t>
  </si>
  <si>
    <t>X100006056</t>
  </si>
  <si>
    <t>NSTPXGARCQOSAU-VIFPVBQEBQ</t>
  </si>
  <si>
    <t>759256;7064571</t>
  </si>
  <si>
    <t>X100006082</t>
  </si>
  <si>
    <t>MDQKYGOECVSPIW-UHFFFAOYAI</t>
  </si>
  <si>
    <t>X100006092</t>
  </si>
  <si>
    <t>DYDUXGMDSXJQFT-UHFFFAOYAH</t>
  </si>
  <si>
    <t>X100006098</t>
  </si>
  <si>
    <t>HMDB0240652</t>
  </si>
  <si>
    <t>X100006105</t>
  </si>
  <si>
    <t>X100006108</t>
  </si>
  <si>
    <t>X100006115</t>
  </si>
  <si>
    <t>122045;6602431</t>
  </si>
  <si>
    <t>X100006116</t>
  </si>
  <si>
    <t>X100006121</t>
  </si>
  <si>
    <t>vanillic alcohol sulfate</t>
  </si>
  <si>
    <t>X100006125</t>
  </si>
  <si>
    <t>OCC1=CC(OC)=C(OS(O)(=O)=O)C=C1</t>
  </si>
  <si>
    <t>754920-02-0</t>
  </si>
  <si>
    <t>HMDB0041788</t>
  </si>
  <si>
    <t>X100006126</t>
  </si>
  <si>
    <t>X100006129</t>
  </si>
  <si>
    <t>SVYIZYRTOYHQRE-UHFFFAOYAV</t>
  </si>
  <si>
    <t>X100006171</t>
  </si>
  <si>
    <t>XWAZTQUZONPJEW-UHFFFAOYAI</t>
  </si>
  <si>
    <t>X100006184</t>
  </si>
  <si>
    <t>X100006190</t>
  </si>
  <si>
    <t>JCVGTUVGDOWZJE-UHFFFAOYAS</t>
  </si>
  <si>
    <t>X100006191</t>
  </si>
  <si>
    <t>JPAUCQAJHLSMQW-XPORZQOIBX</t>
  </si>
  <si>
    <t>X100006260</t>
  </si>
  <si>
    <t>X100006262</t>
  </si>
  <si>
    <t>X100006264</t>
  </si>
  <si>
    <t>ethylparaben sulfate</t>
  </si>
  <si>
    <t>X100006271</t>
  </si>
  <si>
    <t>CCOC(C1=CC=C(OS(O)(=O)=O)C=C1)=O</t>
  </si>
  <si>
    <t>162338-11-6</t>
  </si>
  <si>
    <t>X100006282</t>
  </si>
  <si>
    <t>LJOOSFYJELZGMR-UHFFFAOYAS</t>
  </si>
  <si>
    <t>X100006290</t>
  </si>
  <si>
    <t>AADLTHQNYQJHQV-SVLGDMRNBJ</t>
  </si>
  <si>
    <t>X100006292</t>
  </si>
  <si>
    <t>X100006293</t>
  </si>
  <si>
    <t>X100006294</t>
  </si>
  <si>
    <t>X100006295</t>
  </si>
  <si>
    <t>VBFKEZGCUWHGSK-ADSSWVSQBB</t>
  </si>
  <si>
    <t>X100006296</t>
  </si>
  <si>
    <t>X100006298</t>
  </si>
  <si>
    <t>QEDPUVGSSDPBMD-XTAIVQBEBF</t>
  </si>
  <si>
    <t>X100006314</t>
  </si>
  <si>
    <t>LQINJRUGTUOHGS-YPDYIYJKBT</t>
  </si>
  <si>
    <t>X100006360</t>
  </si>
  <si>
    <t>DEKNNWJXAQTLFA-UHFFFAOYAD</t>
  </si>
  <si>
    <t>X100006361</t>
  </si>
  <si>
    <t>NZKRYJGNYPYXJZ-UHFFFAOYAU</t>
  </si>
  <si>
    <t>X100006367</t>
  </si>
  <si>
    <t>HPMGFDVTYHWBAG-UHFFFAOYAJ</t>
  </si>
  <si>
    <t>X100006369</t>
  </si>
  <si>
    <t>LUSWEUMSEVLFEQ-UHFFFAOYAR</t>
  </si>
  <si>
    <t>X100006370</t>
  </si>
  <si>
    <t>X100006374</t>
  </si>
  <si>
    <t>92013662;54110629</t>
  </si>
  <si>
    <t>X100006375</t>
  </si>
  <si>
    <t>X100006376</t>
  </si>
  <si>
    <t>X100006378</t>
  </si>
  <si>
    <t>X100006379</t>
  </si>
  <si>
    <t>CPXSBHKDEPPWIX-RAYCSJGIBM</t>
  </si>
  <si>
    <t>X100006430</t>
  </si>
  <si>
    <t>439255;94154;6912</t>
  </si>
  <si>
    <t>X100006435</t>
  </si>
  <si>
    <t>439174;84265</t>
  </si>
  <si>
    <t>X100006438</t>
  </si>
  <si>
    <t>5280498;643798</t>
  </si>
  <si>
    <t>X100006614</t>
  </si>
  <si>
    <t>BSVHAXJKBCWVDA-UHFFFAOYAF</t>
  </si>
  <si>
    <t>4-hydroxyphenylacetoylcarnitine</t>
  </si>
  <si>
    <t>X100006619</t>
  </si>
  <si>
    <t>[O-]C(CC(OC(CC1=CC=C(C=C1)O)=O)C[N+](C)(C)C)=O</t>
  </si>
  <si>
    <t>X100006620</t>
  </si>
  <si>
    <t>MPSPNFAQQQMFLK-UHFFFAOYAZ</t>
  </si>
  <si>
    <t>X100006641</t>
  </si>
  <si>
    <t>HMDB0002409,HMDB0002497</t>
  </si>
  <si>
    <t>21116917;21125002;</t>
  </si>
  <si>
    <t>X100006642</t>
  </si>
  <si>
    <t>X100006644</t>
  </si>
  <si>
    <t>X100006651</t>
  </si>
  <si>
    <t>X100006679</t>
  </si>
  <si>
    <t>WVHAUDNUGBNUDZ-GOVZDWNOBK</t>
  </si>
  <si>
    <t>X100006726</t>
  </si>
  <si>
    <t>KQXDGUVSAAQARU-HZJYTTRNBB</t>
  </si>
  <si>
    <t>X100008903</t>
  </si>
  <si>
    <t>FVXDQWZBHIXIEJ-LNDKUQBDBA</t>
  </si>
  <si>
    <t>X100008904</t>
  </si>
  <si>
    <t>ATHVAWFAEPLPPQ-VRDBWYNSBX</t>
  </si>
  <si>
    <t>X100008914</t>
  </si>
  <si>
    <t>IIZPXYDJLKNOIY-JXPKJXOSBS</t>
  </si>
  <si>
    <t>X100008915</t>
  </si>
  <si>
    <t>IESVDEZGAHUQJU-ZLBXKVHBBA</t>
  </si>
  <si>
    <t>X100008916</t>
  </si>
  <si>
    <t>X100008919</t>
  </si>
  <si>
    <t>XVYPOHCSLJZFED-QZEVRULJBC</t>
  </si>
  <si>
    <t>X100008920</t>
  </si>
  <si>
    <t>X100008921</t>
  </si>
  <si>
    <t>PZNPLUBHRSSFHT-RRHRGVEJBV</t>
  </si>
  <si>
    <t>X100008928</t>
  </si>
  <si>
    <t>11671;440864;4277439</t>
  </si>
  <si>
    <t>X100008930</t>
  </si>
  <si>
    <t>5281127;445639;5281127;445639</t>
  </si>
  <si>
    <t>X100008952</t>
  </si>
  <si>
    <t>X100008954</t>
  </si>
  <si>
    <t>QHZIGNLCLJPLCU-QPPIDDCLBH</t>
  </si>
  <si>
    <t>X100008955</t>
  </si>
  <si>
    <t>X100008956</t>
  </si>
  <si>
    <t>X100008957</t>
  </si>
  <si>
    <t>X100008976</t>
  </si>
  <si>
    <t>YDTWOEYVDRKKCR-KNERPIHHBL</t>
  </si>
  <si>
    <t>X100008977</t>
  </si>
  <si>
    <t>ANRKEHNWXKCXDB-BHFWLYLHBY</t>
  </si>
  <si>
    <t>X100008980</t>
  </si>
  <si>
    <t>X100008984</t>
  </si>
  <si>
    <t>X100008985</t>
  </si>
  <si>
    <t>X100008990</t>
  </si>
  <si>
    <t>DRIVXEVMDWCWLI-CAQMIEAIBF</t>
  </si>
  <si>
    <t>X100008991</t>
  </si>
  <si>
    <t>MPWUZHVZZKSTPV-MADBQMNMBW</t>
  </si>
  <si>
    <t>X100008992</t>
  </si>
  <si>
    <t>XYYHNDVKALDFHQ-OXHZBIAZBI</t>
  </si>
  <si>
    <t>X100008993</t>
  </si>
  <si>
    <t>KIQYUSYSJTUGFZ-GWAZTMTOBN</t>
  </si>
  <si>
    <t>X100008994</t>
  </si>
  <si>
    <t>KZVRAFHIKMDULK-PDPKURFXBD</t>
  </si>
  <si>
    <t>X100008998</t>
  </si>
  <si>
    <t>X100008999</t>
  </si>
  <si>
    <t>URPXXNCTXCOATD-FXMFQVEGBH</t>
  </si>
  <si>
    <t>X100009002</t>
  </si>
  <si>
    <t>UUYSKERSKRMYME-MAIXUNBTBG</t>
  </si>
  <si>
    <t>X100009005</t>
  </si>
  <si>
    <t>ZVVYJAAMWXATNY-PRWZWGSOBE</t>
  </si>
  <si>
    <t>X100009007</t>
  </si>
  <si>
    <t>X100009009</t>
  </si>
  <si>
    <t>QLEHHUPUHJPURI-PWYDUFMYBJ</t>
  </si>
  <si>
    <t>X100009014</t>
  </si>
  <si>
    <t>IOYKZPNDXIIXLN-LOQSCQKMBD</t>
  </si>
  <si>
    <t>X100009025</t>
  </si>
  <si>
    <t>X100009026</t>
  </si>
  <si>
    <t>FONAXCRWZQFJHY-JCGOJSMZBF</t>
  </si>
  <si>
    <t>X100009027</t>
  </si>
  <si>
    <t>X100009028</t>
  </si>
  <si>
    <t>GCGTXOVNNFGTPQ-JHOUSYSJBP</t>
  </si>
  <si>
    <t>X100009030</t>
  </si>
  <si>
    <t>X100009038</t>
  </si>
  <si>
    <t>X100009042</t>
  </si>
  <si>
    <t>X100009045</t>
  </si>
  <si>
    <t>PTSRBZOZSRJCKX-JTQLQIEIBG</t>
  </si>
  <si>
    <t>X100009066</t>
  </si>
  <si>
    <t>X100009069</t>
  </si>
  <si>
    <t>X100009078</t>
  </si>
  <si>
    <t>O=C(CCCCCCC/C=C\CCCCCCCC)OC[C@]([H])(COP(OCCN)(O)=O)OC(CCCCCCC/C=C\C/C=C\CCCCC)=O</t>
  </si>
  <si>
    <t>HMDB0005349</t>
  </si>
  <si>
    <t>X100009130</t>
  </si>
  <si>
    <t>X100009131</t>
  </si>
  <si>
    <t>X100009139</t>
  </si>
  <si>
    <t>X100009160</t>
  </si>
  <si>
    <t>X100009162</t>
  </si>
  <si>
    <t>X100009181</t>
  </si>
  <si>
    <t>O=C(CCCCCCCCCCCCCCCCC)OC[C@@]([H])(OC(CCCCCCC/C=C\CCCCCCCC)=O)COP(O[C@H]1[C@H](O)[C@@H](O)[C@H](O)[C@@H](O)[C@H]1O)(O)=O</t>
  </si>
  <si>
    <t>1,2-dilinoleoyl-GPE (18:2/18:2)*</t>
  </si>
  <si>
    <t>X100009217</t>
  </si>
  <si>
    <t>O=C(CCCCCCC/C=C\C/C=C\CCCCC)OC[C@]([H])(COP(OCCN)(O)=O)OC(CCCCCCC/C=C\C/C=C\CCCCC)=O</t>
  </si>
  <si>
    <t>HMDB0009093</t>
  </si>
  <si>
    <t>X100009219</t>
  </si>
  <si>
    <t>X100009225</t>
  </si>
  <si>
    <t>X100009227</t>
  </si>
  <si>
    <t>X100009232</t>
  </si>
  <si>
    <t>DZLNHFMRPBPULJ-VKHMYHEABX</t>
  </si>
  <si>
    <t>X100009233</t>
  </si>
  <si>
    <t>2-methylserine</t>
  </si>
  <si>
    <t>X100009246</t>
  </si>
  <si>
    <t>CDUUKBXTEOFITR-UHFFFAOYAW</t>
  </si>
  <si>
    <t>OCC(N)(C)C(O)=O</t>
  </si>
  <si>
    <t>C02115</t>
  </si>
  <si>
    <t>X100009259</t>
  </si>
  <si>
    <t>X100009264</t>
  </si>
  <si>
    <t>X100009271</t>
  </si>
  <si>
    <t>X100009272</t>
  </si>
  <si>
    <t>methylsuccinoylcarnitine</t>
  </si>
  <si>
    <t>X100009275</t>
  </si>
  <si>
    <t>[O-]C(CC(C[N+](C)(C)C)OC(CC(C(O)=O)C)=O)=O</t>
  </si>
  <si>
    <t>catechol glucuronide</t>
  </si>
  <si>
    <t>X100009326</t>
  </si>
  <si>
    <t>O[C@H]([C@@H](O)[C@@H]1O)[C@@H](O[C@@H]1C(O)=O)OC(C=CC=C2)=C2O</t>
  </si>
  <si>
    <t>furaneol sulfate</t>
  </si>
  <si>
    <t>X100009328</t>
  </si>
  <si>
    <t>OS(OC1=C(C)OC(C)C1=O)(=O)=O</t>
  </si>
  <si>
    <t>X100009329</t>
  </si>
  <si>
    <t>SKKZOYBAANIUOV-ZAFYKAAXBH</t>
  </si>
  <si>
    <t>X100009331</t>
  </si>
  <si>
    <t>X100009332</t>
  </si>
  <si>
    <t>X100009333</t>
  </si>
  <si>
    <t>X100009335</t>
  </si>
  <si>
    <t>X100009337</t>
  </si>
  <si>
    <t>SNVAIAITQIIEMQ-DUXPYHPUBQ</t>
  </si>
  <si>
    <t>X100009343</t>
  </si>
  <si>
    <t>X100009345</t>
  </si>
  <si>
    <t>X100009394</t>
  </si>
  <si>
    <t>WPJGPAAPSBVXNU-HZJYTTRNBL</t>
  </si>
  <si>
    <t>X100009406</t>
  </si>
  <si>
    <t>JFAGPSOZZSTLRF-KHPPLWFEBO</t>
  </si>
  <si>
    <t>HMDB0240782</t>
  </si>
  <si>
    <t>pimeloylcarnitine/3-methyladipoylcarnitine (C7-DC)</t>
  </si>
  <si>
    <t>X100009407</t>
  </si>
  <si>
    <t>[O-]C(CC(C[N+](C)(C)C)OC(CCCCCC(O)=O)=O)=O</t>
  </si>
  <si>
    <t>HMDB0013328</t>
  </si>
  <si>
    <t>X100010850</t>
  </si>
  <si>
    <t>HMDB0006061</t>
  </si>
  <si>
    <t>X100010869</t>
  </si>
  <si>
    <t>AOWPAWLEXIYETE-UHFFFAOYAH</t>
  </si>
  <si>
    <t>X100010895</t>
  </si>
  <si>
    <t>RFCQJGFZUQFYRF-ZOQUXTDFBZ</t>
  </si>
  <si>
    <t>X100010896</t>
  </si>
  <si>
    <t>SXUXMRMBWZCMEN-ZOQUXTDFBL</t>
  </si>
  <si>
    <t>X100010901</t>
  </si>
  <si>
    <t>LNLLNTMHVMIMOG-YUMQZZPRBS</t>
  </si>
  <si>
    <t>X100010922</t>
  </si>
  <si>
    <t>OC[C@](OC(CCC/C=C\C/C=C\C/C=C\C/C=C\CCCCC)=O)(COC(CCCCCCC/C=C\C/C=C\CCCCC)=O)[H]</t>
  </si>
  <si>
    <t>HMDB0007257</t>
  </si>
  <si>
    <t>X100010923</t>
  </si>
  <si>
    <t>OC[C@](COC(CCCCCCC/C=C\C/C=C\CCCCC)=O)([H])OC(CCC/C=C\C/C=C\C/C=C\C/C=C\CCCCC)=O</t>
  </si>
  <si>
    <t>X100010955</t>
  </si>
  <si>
    <t>YFSUTJLHUFNCNZ-UHFFFAOYAS</t>
  </si>
  <si>
    <t>X100015609</t>
  </si>
  <si>
    <t>X100015620</t>
  </si>
  <si>
    <t>MKOKWBRPIBQYJJ-VMHDMWLQBO</t>
  </si>
  <si>
    <t>X100015625</t>
  </si>
  <si>
    <t>X100015632</t>
  </si>
  <si>
    <t>X100015641</t>
  </si>
  <si>
    <t>MBDKGXAMSZIDKF-KTKRTIGZBQ</t>
  </si>
  <si>
    <t>X100015643</t>
  </si>
  <si>
    <t>KWDXKYNWAKMLKK-YQMRQDNGBF</t>
  </si>
  <si>
    <t>X100015731</t>
  </si>
  <si>
    <t>OC(/C=C/CCCCCCCCCCCC)C(CO)NC(CCCCCCCCCCCCCCC)=O</t>
  </si>
  <si>
    <t>X100015735</t>
  </si>
  <si>
    <t>X100015737</t>
  </si>
  <si>
    <t>OC(/C=C/CCCCCCCCCCCCC)C(CO)NC(CCCCCCCCCCCCCCCC)=O</t>
  </si>
  <si>
    <t>X100015745</t>
  </si>
  <si>
    <t>X100015748</t>
  </si>
  <si>
    <t>[H][C@](NC(CCCCCCCCCCCCCCCCCCCCCC)=O)(CO[C@H]1[C@H](O)[C@@H](O)[C@@H](O)[C@@H](CO)O1)[C@@](O)([H])/C=C/CCCCCCCC/C=C\CCC</t>
  </si>
  <si>
    <t>X100015751</t>
  </si>
  <si>
    <t>X100015752</t>
  </si>
  <si>
    <t>X100015759</t>
  </si>
  <si>
    <t>X100015760</t>
  </si>
  <si>
    <t>docosatrienoate (22:3n6)*</t>
  </si>
  <si>
    <t>X100015762</t>
  </si>
  <si>
    <t>CCCCC/C=C/C/C=C/C/C=C/CCCCCCCCC(O)=O</t>
  </si>
  <si>
    <t>X100015785</t>
  </si>
  <si>
    <t>YHGJECVSSKXFCJ-KUBAVDMBBQ</t>
  </si>
  <si>
    <t>X100015786</t>
  </si>
  <si>
    <t>X100015787</t>
  </si>
  <si>
    <t>X100015788</t>
  </si>
  <si>
    <t>X100015789</t>
  </si>
  <si>
    <t>X100015790</t>
  </si>
  <si>
    <t>X100015791</t>
  </si>
  <si>
    <t>X100015792</t>
  </si>
  <si>
    <t>JONXXLXMISNQNG-BXMSAMRLBO</t>
  </si>
  <si>
    <t>X100015793</t>
  </si>
  <si>
    <t>X100015797</t>
  </si>
  <si>
    <t>OQOCQFSPEWCSDO-JLNKQSITBZ</t>
  </si>
  <si>
    <t>X100015831</t>
  </si>
  <si>
    <t>X100015832</t>
  </si>
  <si>
    <t>IUMXSSOVGPXXJL-UHFFFAOYAY</t>
  </si>
  <si>
    <t>X100015833</t>
  </si>
  <si>
    <t>SVJLJQBGUITFLI-UHFFFAOYAV</t>
  </si>
  <si>
    <t>X100015834</t>
  </si>
  <si>
    <t>X100015835</t>
  </si>
  <si>
    <t>KOCKWDDTAHPJSX-UHFFFAOYAQ</t>
  </si>
  <si>
    <t>X100015836</t>
  </si>
  <si>
    <t>X100015837</t>
  </si>
  <si>
    <t>X100015838</t>
  </si>
  <si>
    <t>O=C(OC(CC([O-])=O)C[N+](C)(C)C)CCCCCCCCC/C=C/CCCCCCCC</t>
  </si>
  <si>
    <t>HMDB0240746</t>
  </si>
  <si>
    <t>X100015839</t>
  </si>
  <si>
    <t>X100015840</t>
  </si>
  <si>
    <t>X100015845</t>
  </si>
  <si>
    <t>X100015846</t>
  </si>
  <si>
    <t>X100015882</t>
  </si>
  <si>
    <t>X100015962</t>
  </si>
  <si>
    <t>CDLVFVFTRQPQFU-UHFFFAOYAF</t>
  </si>
  <si>
    <t>X100015965</t>
  </si>
  <si>
    <t>WYUFTYLVLQZQNH-UHFFFAOYAZ</t>
  </si>
  <si>
    <t>X100015966</t>
  </si>
  <si>
    <t>X100015967</t>
  </si>
  <si>
    <t>X100015968</t>
  </si>
  <si>
    <t>X100015971</t>
  </si>
  <si>
    <t>X100016038</t>
  </si>
  <si>
    <t>496;123689</t>
  </si>
  <si>
    <t>X100016069</t>
  </si>
  <si>
    <t>2-furoylcarnitine</t>
  </si>
  <si>
    <t>X100016070</t>
  </si>
  <si>
    <t>O=C(O[C@@H](C[N+](C)(C)C)CC([O-])=O)C1=CC=CO1</t>
  </si>
  <si>
    <t>X100016110</t>
  </si>
  <si>
    <t>WWJXRJJBIVSSNF-NSCUHMNNBT</t>
  </si>
  <si>
    <t>X100019794</t>
  </si>
  <si>
    <t>X100019801</t>
  </si>
  <si>
    <t>YBCVTTMMURGSEY-LMLDZDDJBA</t>
  </si>
  <si>
    <t>3-hydroxyphenylacetoylglutamine</t>
  </si>
  <si>
    <t>X100019831</t>
  </si>
  <si>
    <t>LZJXOHRONRTVRW-JTQLQIEIBS</t>
  </si>
  <si>
    <t>OC1=CC(CC(N[C@H](C(O)=O)CCC(N)=O)=O)=CC=C1</t>
  </si>
  <si>
    <t>X100019884</t>
  </si>
  <si>
    <t>AAPHATPOQGNLOZ-SNAWJCMRBI</t>
  </si>
  <si>
    <t>X100019892</t>
  </si>
  <si>
    <t>CPLYLXYEVLGWFJ-UHFFFAOYAX</t>
  </si>
  <si>
    <t>HMDB0061659</t>
  </si>
  <si>
    <t>X100019972</t>
  </si>
  <si>
    <t>X100019975</t>
  </si>
  <si>
    <t>X100019978</t>
  </si>
  <si>
    <t>X100019981</t>
  </si>
  <si>
    <t>X100019982</t>
  </si>
  <si>
    <t>glucuronide of C12H22O4 (1)*</t>
  </si>
  <si>
    <t>X100019984</t>
  </si>
  <si>
    <t>X100020004</t>
  </si>
  <si>
    <t>X100020014</t>
  </si>
  <si>
    <t>X100020204</t>
  </si>
  <si>
    <t>X100020205</t>
  </si>
  <si>
    <t>ZBYVTTSIVDYQSO-REOHCLBHBO</t>
  </si>
  <si>
    <t>X100020208</t>
  </si>
  <si>
    <t>SNGREZUHAYWORS-UHFFFAOYAQ</t>
  </si>
  <si>
    <t>X100020211</t>
  </si>
  <si>
    <t>X100020214</t>
  </si>
  <si>
    <t>X100020215</t>
  </si>
  <si>
    <t>X100020217</t>
  </si>
  <si>
    <t>X100020219</t>
  </si>
  <si>
    <t>OLNJUISKUQQNIM-UHFFFAOYAL</t>
  </si>
  <si>
    <t>X100020241</t>
  </si>
  <si>
    <t>X100020253</t>
  </si>
  <si>
    <t>X100020254</t>
  </si>
  <si>
    <t>X100020259</t>
  </si>
  <si>
    <t>X100020261</t>
  </si>
  <si>
    <t>X100020262</t>
  </si>
  <si>
    <t>X100020272</t>
  </si>
  <si>
    <t>UMCDODPBPQMWQP-UHFFFAOYAJ</t>
  </si>
  <si>
    <t>X100020276</t>
  </si>
  <si>
    <t>X100020343</t>
  </si>
  <si>
    <t>HXHZGHRLVRFQDR-HZJYTTRNBB</t>
  </si>
  <si>
    <t>8-methoxykynurenate</t>
  </si>
  <si>
    <t>X100020360</t>
  </si>
  <si>
    <t>BXZSKDOPGDPDEG-UHFFFAOYAJ</t>
  </si>
  <si>
    <t>OC1=CC(C(O)=O)=NC(C1=CC=C2)=C2OC</t>
  </si>
  <si>
    <t>2929-14-8</t>
  </si>
  <si>
    <t>HMDB0060426</t>
  </si>
  <si>
    <t>C05830</t>
  </si>
  <si>
    <t>X100020361</t>
  </si>
  <si>
    <t>YCCMTCQQDULIFE-UHFFFAOYAX</t>
  </si>
  <si>
    <t>X100020371</t>
  </si>
  <si>
    <t>QCYOIFVBYZNUNW-BYPYZUCNBG</t>
  </si>
  <si>
    <t>X100020372</t>
  </si>
  <si>
    <t>DWLVFWDCSFTDOD-UHFFFAOYAW</t>
  </si>
  <si>
    <t>2,2'-Methylenebis(6-tert-butyl-p-cresol)</t>
  </si>
  <si>
    <t>X100020373</t>
  </si>
  <si>
    <t>KGRVJHAUYBGFFP-UHFFFAOYAD</t>
  </si>
  <si>
    <t>X100020377</t>
  </si>
  <si>
    <t>WYUFTYLVLQZQNH-JAJWTYFOBO</t>
  </si>
  <si>
    <t>2-hydroxysebacate</t>
  </si>
  <si>
    <t>X100020378</t>
  </si>
  <si>
    <t>LPIOYESQKJFWPQ-UHFFFAOYAM</t>
  </si>
  <si>
    <t>OC(C(O)=O)CCCCCCCC(O)=O</t>
  </si>
  <si>
    <t>103963-71-9</t>
  </si>
  <si>
    <t>HMDB0000424</t>
  </si>
  <si>
    <t>X100020409</t>
  </si>
  <si>
    <t>FBFZPSQPKNIVMT-ZAFYKAAXBA</t>
  </si>
  <si>
    <t>HMDB0240641</t>
  </si>
  <si>
    <t>X100020414</t>
  </si>
  <si>
    <t>delta-CEHC</t>
  </si>
  <si>
    <t>X100020416</t>
  </si>
  <si>
    <t>BNVXCCQXUZCRSR-UHFFFAOYAT</t>
  </si>
  <si>
    <t>OC1=CC2=C(C(C)=C1)OC(CCC(O)=O)(C)CC2</t>
  </si>
  <si>
    <t>84599-16-6</t>
  </si>
  <si>
    <t>X100020417</t>
  </si>
  <si>
    <t>XXEWFEBMSGLYBY-ZETCQYMHBT</t>
  </si>
  <si>
    <t>X100020419</t>
  </si>
  <si>
    <t>O=C(O)C(NC(C)C(O)=O)CC1=CC=CC=C1</t>
  </si>
  <si>
    <t>X100020421</t>
  </si>
  <si>
    <t>O=C(O)C(NC(C)C(O)=O)CC1=CC=C(O)C=C1</t>
  </si>
  <si>
    <t>X100020423</t>
  </si>
  <si>
    <t>CC(C)C(NC(C)C(O)=O)C(O)=O</t>
  </si>
  <si>
    <t>X100020425</t>
  </si>
  <si>
    <t>O=C(O)C(NC(C)C(O)=O)CC(C)C</t>
  </si>
  <si>
    <t>X100020427</t>
  </si>
  <si>
    <t>O=C(O)C(C(C)CC)NC(C)C(O)=O</t>
  </si>
  <si>
    <t>X100020478</t>
  </si>
  <si>
    <t>X100020479</t>
  </si>
  <si>
    <t>X100020487</t>
  </si>
  <si>
    <t>HMDB0094713</t>
  </si>
  <si>
    <t>X100020491</t>
  </si>
  <si>
    <t>X100020492</t>
  </si>
  <si>
    <t>X100020493</t>
  </si>
  <si>
    <t>X100020496</t>
  </si>
  <si>
    <t>X100020497</t>
  </si>
  <si>
    <t>X100020502</t>
  </si>
  <si>
    <t>X100020504</t>
  </si>
  <si>
    <t>X100020515</t>
  </si>
  <si>
    <t>HXEZIDSFDHEIIQ-UHFFFAOYAY</t>
  </si>
  <si>
    <t>X100020519</t>
  </si>
  <si>
    <t>X100020536</t>
  </si>
  <si>
    <t>X100020541</t>
  </si>
  <si>
    <t>X100020542</t>
  </si>
  <si>
    <t>X100020545</t>
  </si>
  <si>
    <t>X100020546</t>
  </si>
  <si>
    <t>X100020549</t>
  </si>
  <si>
    <t>X100020550</t>
  </si>
  <si>
    <t>HMDB0002596</t>
  </si>
  <si>
    <t>X100020578</t>
  </si>
  <si>
    <t>X100020591</t>
  </si>
  <si>
    <t>methyl vanillate sulfate</t>
  </si>
  <si>
    <t>X100020622</t>
  </si>
  <si>
    <t>OS(OC1=CC=C(C(OC)=O)C=C1OC)(=O)=O</t>
  </si>
  <si>
    <t>X100020631</t>
  </si>
  <si>
    <t>X100020819</t>
  </si>
  <si>
    <t>HMDB0002409</t>
  </si>
  <si>
    <t>X100020822</t>
  </si>
  <si>
    <t>X100020823</t>
  </si>
  <si>
    <t>X100020825</t>
  </si>
  <si>
    <t>X100020833</t>
  </si>
  <si>
    <t>GPPUPQFYDYLTIY-UHFFFAOYAA</t>
  </si>
  <si>
    <t>HMDB13211</t>
  </si>
  <si>
    <t>X100020837</t>
  </si>
  <si>
    <t>AKEUNCKRJATALU-UHFFFAOYAG</t>
  </si>
  <si>
    <t>X100020851</t>
  </si>
  <si>
    <t>3-ethylcatechol sulfate (2)</t>
  </si>
  <si>
    <t>X100020852</t>
  </si>
  <si>
    <t>X100020853</t>
  </si>
  <si>
    <t>X100020893</t>
  </si>
  <si>
    <t>X100020973</t>
  </si>
  <si>
    <t>X100020975</t>
  </si>
  <si>
    <t>X100021000</t>
  </si>
  <si>
    <t>5-hydroxymethyl-2-furoylcarnitine*</t>
  </si>
  <si>
    <t>X100021012</t>
  </si>
  <si>
    <t>OCC1=CC=C(C(OC(CC([O-])=O)C[N+](C)(C)C)=O)O1</t>
  </si>
  <si>
    <t>X100021093</t>
  </si>
  <si>
    <t>IJHJZQKOSUFQCX-WZJRQFJBBW</t>
  </si>
  <si>
    <t>X100021100</t>
  </si>
  <si>
    <t>X100021103</t>
  </si>
  <si>
    <t>X100021104</t>
  </si>
  <si>
    <t>X100021105</t>
  </si>
  <si>
    <t>X100021123</t>
  </si>
  <si>
    <t>X100021131</t>
  </si>
  <si>
    <t>levulinoylcarnitine</t>
  </si>
  <si>
    <t>X100021140</t>
  </si>
  <si>
    <t>CC(CCC(OC(CC([O-])=O)C[N+](C)(C)C)=O)=O</t>
  </si>
  <si>
    <t>X100021141</t>
  </si>
  <si>
    <t>VCRSQDIROUELAR-UHFFFAOYAT</t>
  </si>
  <si>
    <t>HMDB0033897</t>
  </si>
  <si>
    <t>X100021162</t>
  </si>
  <si>
    <t>X100021198</t>
  </si>
  <si>
    <t>MNYZGNSHBPLAFN-UHFFFAOYAS</t>
  </si>
  <si>
    <t>X100021220</t>
  </si>
  <si>
    <t>X100021324</t>
  </si>
  <si>
    <t>(S)-a-amino-omega-caprolactam</t>
  </si>
  <si>
    <t>X100021329</t>
  </si>
  <si>
    <t>BOWUOGIPSRVRSJ-RXMQYKEDBD</t>
  </si>
  <si>
    <t>O=C1NCCCC[C@H]1N</t>
  </si>
  <si>
    <t>21568-87-6</t>
  </si>
  <si>
    <t>C02837</t>
  </si>
  <si>
    <t>X100021331</t>
  </si>
  <si>
    <t>vanillic acid glycine</t>
  </si>
  <si>
    <t>X100021363</t>
  </si>
  <si>
    <t>LOODYTDRRBLQNH-UHFFFAOYAZ</t>
  </si>
  <si>
    <t>X100021372</t>
  </si>
  <si>
    <t>X100021374</t>
  </si>
  <si>
    <t>X100021467</t>
  </si>
  <si>
    <t>N-succinyl-phenylalanine</t>
  </si>
  <si>
    <t>X100021472</t>
  </si>
  <si>
    <t>CWAGPBPLOYGROC-UHFFFAOYAI</t>
  </si>
  <si>
    <t>OC(CCC(NC(CC1=CC=CC=C1)C(O)=O)=O)=O</t>
  </si>
  <si>
    <t>X100021502</t>
  </si>
  <si>
    <t>X100021530</t>
  </si>
  <si>
    <t>CAMXXPUSAROUCX-BYPYZUCNBD</t>
  </si>
  <si>
    <t>dibutyl sulfosuccinate</t>
  </si>
  <si>
    <t>X100021538</t>
  </si>
  <si>
    <t>YPDHMBTYUUZFOA-UHFFFAOYAE</t>
  </si>
  <si>
    <t>CCCCOC(CC(S(=O)(O)=O)C(OCCCC)=O)=O</t>
  </si>
  <si>
    <t>5144-51-4</t>
  </si>
  <si>
    <t>X100021666</t>
  </si>
  <si>
    <t>X100021707</t>
  </si>
  <si>
    <t>X100021709</t>
  </si>
  <si>
    <t>X100021711</t>
  </si>
  <si>
    <t>X100021712</t>
  </si>
  <si>
    <t>X100021727</t>
  </si>
  <si>
    <t>X100021728</t>
  </si>
  <si>
    <t>X100021760</t>
  </si>
  <si>
    <t>FTTGAAZKBNZDCZ-LURJTMIEBH</t>
  </si>
  <si>
    <t>HMDB0062715</t>
  </si>
  <si>
    <t>X100021839</t>
  </si>
  <si>
    <t>2-methoxyhydroquinone sulfate (2)</t>
  </si>
  <si>
    <t>X100021840</t>
  </si>
  <si>
    <t>OC1=CC=C(OS(=O)(O)=O)C(OC)=C1</t>
  </si>
  <si>
    <t>X100021918</t>
  </si>
  <si>
    <t>HMDB0013816</t>
  </si>
  <si>
    <t>X100021990</t>
  </si>
  <si>
    <t>HMDB0061634</t>
  </si>
  <si>
    <t>X100021991</t>
  </si>
  <si>
    <t>X100021992</t>
  </si>
  <si>
    <t>X100022003</t>
  </si>
  <si>
    <t>X100022004</t>
  </si>
  <si>
    <t>X100022005</t>
  </si>
  <si>
    <t>X100022006</t>
  </si>
  <si>
    <t>X100022007</t>
  </si>
  <si>
    <t>X100022008</t>
  </si>
  <si>
    <t>X100022009</t>
  </si>
  <si>
    <t>X100022013</t>
  </si>
  <si>
    <t>X100022014</t>
  </si>
  <si>
    <t>X100022015</t>
  </si>
  <si>
    <t>X999907765</t>
  </si>
  <si>
    <t>Unknown</t>
  </si>
  <si>
    <t>X999910458</t>
  </si>
  <si>
    <t>X999911299</t>
  </si>
  <si>
    <t>X999911308</t>
  </si>
  <si>
    <t>X999911315</t>
  </si>
  <si>
    <t>X999911372</t>
  </si>
  <si>
    <t>X999911381</t>
  </si>
  <si>
    <t>X999911444</t>
  </si>
  <si>
    <t>X999911470</t>
  </si>
  <si>
    <t>X999911478</t>
  </si>
  <si>
    <t>X999911483</t>
  </si>
  <si>
    <t>X999911632</t>
  </si>
  <si>
    <t>X999911787</t>
  </si>
  <si>
    <t>X999911795</t>
  </si>
  <si>
    <t>X999911843</t>
  </si>
  <si>
    <t>X999911847</t>
  </si>
  <si>
    <t>X999911849</t>
  </si>
  <si>
    <t>X999911850</t>
  </si>
  <si>
    <t>X999911852</t>
  </si>
  <si>
    <t>X999911858</t>
  </si>
  <si>
    <t>X999911880</t>
  </si>
  <si>
    <t>X999912007</t>
  </si>
  <si>
    <t>X999912013</t>
  </si>
  <si>
    <t>X999912026</t>
  </si>
  <si>
    <t>X999912100</t>
  </si>
  <si>
    <t>X999912101</t>
  </si>
  <si>
    <t>X999912104</t>
  </si>
  <si>
    <t>X-12112</t>
  </si>
  <si>
    <t>X999912112</t>
  </si>
  <si>
    <t>X-12117</t>
  </si>
  <si>
    <t>X999912117</t>
  </si>
  <si>
    <t>X999912127</t>
  </si>
  <si>
    <t>X999912193</t>
  </si>
  <si>
    <t>X999912216</t>
  </si>
  <si>
    <t>X999912221</t>
  </si>
  <si>
    <t>X999912261</t>
  </si>
  <si>
    <t>X999912283</t>
  </si>
  <si>
    <t>X999912306</t>
  </si>
  <si>
    <t>X999912407</t>
  </si>
  <si>
    <t>X999912410</t>
  </si>
  <si>
    <t>X999912411</t>
  </si>
  <si>
    <t>X999912462</t>
  </si>
  <si>
    <t>X999912544</t>
  </si>
  <si>
    <t>X999912680</t>
  </si>
  <si>
    <t>X999912701</t>
  </si>
  <si>
    <t>X999912707</t>
  </si>
  <si>
    <t>X-12714</t>
  </si>
  <si>
    <t>X999912714</t>
  </si>
  <si>
    <t>X999912729</t>
  </si>
  <si>
    <t>X999912730</t>
  </si>
  <si>
    <t>X-12731</t>
  </si>
  <si>
    <t>X999912731</t>
  </si>
  <si>
    <t>X-12738</t>
  </si>
  <si>
    <t>X999912738</t>
  </si>
  <si>
    <t>X999912740</t>
  </si>
  <si>
    <t>X999912798</t>
  </si>
  <si>
    <t>X999912812</t>
  </si>
  <si>
    <t>X999912816</t>
  </si>
  <si>
    <t>X-12818</t>
  </si>
  <si>
    <t>X999912818</t>
  </si>
  <si>
    <t>X999912822</t>
  </si>
  <si>
    <t>X999912830</t>
  </si>
  <si>
    <t>X999912839</t>
  </si>
  <si>
    <t>X999912844</t>
  </si>
  <si>
    <t>X999912847</t>
  </si>
  <si>
    <t>X999912849</t>
  </si>
  <si>
    <t>X999912851</t>
  </si>
  <si>
    <t>X999912906</t>
  </si>
  <si>
    <t>X-13007</t>
  </si>
  <si>
    <t>X999913007</t>
  </si>
  <si>
    <t>X999913431</t>
  </si>
  <si>
    <t>X999913507</t>
  </si>
  <si>
    <t>X999913553</t>
  </si>
  <si>
    <t>X999913684</t>
  </si>
  <si>
    <t>X-13695</t>
  </si>
  <si>
    <t>X999913695</t>
  </si>
  <si>
    <t>X-13723</t>
  </si>
  <si>
    <t>X999913723</t>
  </si>
  <si>
    <t>X999913728</t>
  </si>
  <si>
    <t>X999913729</t>
  </si>
  <si>
    <t>X999913844</t>
  </si>
  <si>
    <t>X999913866</t>
  </si>
  <si>
    <t>X999914056</t>
  </si>
  <si>
    <t>X999914939</t>
  </si>
  <si>
    <t>X999915461</t>
  </si>
  <si>
    <t>X999915486</t>
  </si>
  <si>
    <t>X999915503</t>
  </si>
  <si>
    <t>X-15523</t>
  </si>
  <si>
    <t>X999915523</t>
  </si>
  <si>
    <t>X999915728</t>
  </si>
  <si>
    <t>X999916087</t>
  </si>
  <si>
    <t>X999916124</t>
  </si>
  <si>
    <t>X999916397</t>
  </si>
  <si>
    <t>X999916580</t>
  </si>
  <si>
    <t>X999916935</t>
  </si>
  <si>
    <t>X999916964</t>
  </si>
  <si>
    <t>X999917010</t>
  </si>
  <si>
    <t>X999917146</t>
  </si>
  <si>
    <t>X999917325</t>
  </si>
  <si>
    <t>X999917328</t>
  </si>
  <si>
    <t>X999917335</t>
  </si>
  <si>
    <t>X-17346</t>
  </si>
  <si>
    <t>X999917346</t>
  </si>
  <si>
    <t>X999917351</t>
  </si>
  <si>
    <t>X-17354</t>
  </si>
  <si>
    <t>X999917354</t>
  </si>
  <si>
    <t>X999917357</t>
  </si>
  <si>
    <t>X999917367</t>
  </si>
  <si>
    <t>X999917438</t>
  </si>
  <si>
    <t>X999917653</t>
  </si>
  <si>
    <t>X999917654</t>
  </si>
  <si>
    <t>X999917676</t>
  </si>
  <si>
    <t>X999917685</t>
  </si>
  <si>
    <t>X999917690</t>
  </si>
  <si>
    <t>X999918345</t>
  </si>
  <si>
    <t>X999918779</t>
  </si>
  <si>
    <t>X999918886</t>
  </si>
  <si>
    <t>X999918887</t>
  </si>
  <si>
    <t>X999918888</t>
  </si>
  <si>
    <t>X999918901</t>
  </si>
  <si>
    <t>X999918913</t>
  </si>
  <si>
    <t>X999918921</t>
  </si>
  <si>
    <t>X999918922</t>
  </si>
  <si>
    <t>X-18935</t>
  </si>
  <si>
    <t>X999918935</t>
  </si>
  <si>
    <t>X999919141</t>
  </si>
  <si>
    <t>X999919299</t>
  </si>
  <si>
    <t>X999919438</t>
  </si>
  <si>
    <t>X999921258</t>
  </si>
  <si>
    <t>X999921283</t>
  </si>
  <si>
    <t>X999921285</t>
  </si>
  <si>
    <t>X999921286</t>
  </si>
  <si>
    <t>X999921310</t>
  </si>
  <si>
    <t>X999921312</t>
  </si>
  <si>
    <t>X999921319</t>
  </si>
  <si>
    <t>X999921339</t>
  </si>
  <si>
    <t>X999921353</t>
  </si>
  <si>
    <t>X-21355</t>
  </si>
  <si>
    <t>X999921355</t>
  </si>
  <si>
    <t>X999921364</t>
  </si>
  <si>
    <t>X999921383</t>
  </si>
  <si>
    <t>X999921441</t>
  </si>
  <si>
    <t>X999921442</t>
  </si>
  <si>
    <t>X999921467</t>
  </si>
  <si>
    <t>X999921470</t>
  </si>
  <si>
    <t>X999921471</t>
  </si>
  <si>
    <t>X999921607</t>
  </si>
  <si>
    <t>X999921733</t>
  </si>
  <si>
    <t>X999921736</t>
  </si>
  <si>
    <t>X999921742</t>
  </si>
  <si>
    <t>X999921752</t>
  </si>
  <si>
    <t>X999921796</t>
  </si>
  <si>
    <t>X-21807</t>
  </si>
  <si>
    <t>X999921807</t>
  </si>
  <si>
    <t>X999921821</t>
  </si>
  <si>
    <t>X999921829</t>
  </si>
  <si>
    <t>X999921834</t>
  </si>
  <si>
    <t>X999921845</t>
  </si>
  <si>
    <t>X999922162</t>
  </si>
  <si>
    <t>X-22509</t>
  </si>
  <si>
    <t>X999922509</t>
  </si>
  <si>
    <t>X999922520</t>
  </si>
  <si>
    <t>X999922771</t>
  </si>
  <si>
    <t>X999922776</t>
  </si>
  <si>
    <t>X999922834</t>
  </si>
  <si>
    <t>X999923276</t>
  </si>
  <si>
    <t>X999923587</t>
  </si>
  <si>
    <t>X999923593</t>
  </si>
  <si>
    <t>X999923636</t>
  </si>
  <si>
    <t>X999923639</t>
  </si>
  <si>
    <t>X999923641</t>
  </si>
  <si>
    <t>X999923644</t>
  </si>
  <si>
    <t>X999923648</t>
  </si>
  <si>
    <t>X999923654</t>
  </si>
  <si>
    <t>X999923655</t>
  </si>
  <si>
    <t>X999923659</t>
  </si>
  <si>
    <t>X999923665</t>
  </si>
  <si>
    <t>X-23678</t>
  </si>
  <si>
    <t>X999923678</t>
  </si>
  <si>
    <t>X999923680</t>
  </si>
  <si>
    <t>X999923739</t>
  </si>
  <si>
    <t>X999923780</t>
  </si>
  <si>
    <t>X999923782</t>
  </si>
  <si>
    <t>X999923974</t>
  </si>
  <si>
    <t>X999923997</t>
  </si>
  <si>
    <t>X999924241</t>
  </si>
  <si>
    <t>X999924243</t>
  </si>
  <si>
    <t>X999924295</t>
  </si>
  <si>
    <t>X-24306</t>
  </si>
  <si>
    <t>X999924306</t>
  </si>
  <si>
    <t>X-24307</t>
  </si>
  <si>
    <t>X999924307</t>
  </si>
  <si>
    <t>X999924328</t>
  </si>
  <si>
    <t>X999924334</t>
  </si>
  <si>
    <t>X999924337</t>
  </si>
  <si>
    <t>X-24344</t>
  </si>
  <si>
    <t>X999924344</t>
  </si>
  <si>
    <t>X999924418</t>
  </si>
  <si>
    <t>X-24456</t>
  </si>
  <si>
    <t>X999924456</t>
  </si>
  <si>
    <t>X999924494</t>
  </si>
  <si>
    <t>X-24518</t>
  </si>
  <si>
    <t>X999924518</t>
  </si>
  <si>
    <t>X-24531</t>
  </si>
  <si>
    <t>X999924531</t>
  </si>
  <si>
    <t>X999924544</t>
  </si>
  <si>
    <t>X999924546</t>
  </si>
  <si>
    <t>X999924556</t>
  </si>
  <si>
    <t>X-24565</t>
  </si>
  <si>
    <t>X999924565</t>
  </si>
  <si>
    <t>X-24585</t>
  </si>
  <si>
    <t>X999924585</t>
  </si>
  <si>
    <t>X999924588</t>
  </si>
  <si>
    <t>X999924728</t>
  </si>
  <si>
    <t>X999924736</t>
  </si>
  <si>
    <t>X999924757</t>
  </si>
  <si>
    <t>X999924795</t>
  </si>
  <si>
    <t>X-24801</t>
  </si>
  <si>
    <t>X999924801</t>
  </si>
  <si>
    <t>X999924811</t>
  </si>
  <si>
    <t>X999924812</t>
  </si>
  <si>
    <t>X999924947</t>
  </si>
  <si>
    <t>X999924949</t>
  </si>
  <si>
    <t>X999924951</t>
  </si>
  <si>
    <t>X999924970</t>
  </si>
  <si>
    <t>X-24978</t>
  </si>
  <si>
    <t>X999924978</t>
  </si>
  <si>
    <t>X999925109</t>
  </si>
  <si>
    <t>X-25172</t>
  </si>
  <si>
    <t>X999925172</t>
  </si>
  <si>
    <t>X999925217</t>
  </si>
  <si>
    <t>X999925265</t>
  </si>
  <si>
    <t>X999925271</t>
  </si>
  <si>
    <t>X999925343</t>
  </si>
  <si>
    <t>X999925371</t>
  </si>
  <si>
    <t>X999925419</t>
  </si>
  <si>
    <t>X999925420</t>
  </si>
  <si>
    <t>X999925422</t>
  </si>
  <si>
    <t>X999925433</t>
  </si>
  <si>
    <t>X999925519</t>
  </si>
  <si>
    <t>X999925520</t>
  </si>
  <si>
    <t>X999925790</t>
  </si>
  <si>
    <t>X999925810</t>
  </si>
  <si>
    <t>X-25828</t>
  </si>
  <si>
    <t>X999925828</t>
  </si>
  <si>
    <t>X999925957</t>
  </si>
  <si>
    <t>X-26054</t>
  </si>
  <si>
    <t>X999926054</t>
  </si>
  <si>
    <t>X999926109</t>
  </si>
  <si>
    <t>X999926111</t>
  </si>
  <si>
    <t>metab_compid_1101</t>
  </si>
  <si>
    <t>metab_compid_1414</t>
  </si>
  <si>
    <t>metab_compid_2831</t>
  </si>
  <si>
    <t>metab_compid_3108</t>
  </si>
  <si>
    <t>metab_compid_2134</t>
  </si>
  <si>
    <t>metab_compid_2133</t>
  </si>
  <si>
    <t>metab_compid_1651</t>
  </si>
  <si>
    <t>metab_compid_15581</t>
  </si>
  <si>
    <t>metab_compid_32984</t>
  </si>
  <si>
    <t>metab_compid_21132</t>
  </si>
  <si>
    <t>metab_compid_22158</t>
  </si>
  <si>
    <t>metab_compid_32417</t>
  </si>
  <si>
    <t>metab_compid_35107</t>
  </si>
  <si>
    <t>metab_compid_35132</t>
  </si>
  <si>
    <t>metab_compid_37092</t>
  </si>
  <si>
    <t>metab_compid_37059</t>
  </si>
  <si>
    <t>metab_compid_40062</t>
  </si>
  <si>
    <t>metab_compid_39760</t>
  </si>
  <si>
    <t>metab_compid_40007</t>
  </si>
  <si>
    <t>metab_compid_46164</t>
  </si>
  <si>
    <t>metab_compid_43374</t>
  </si>
  <si>
    <t>metab_compid_48733</t>
  </si>
  <si>
    <t>metab_compid_48463</t>
  </si>
  <si>
    <t>metab_compid_52932</t>
  </si>
  <si>
    <t>metab_compid_53174</t>
  </si>
  <si>
    <t>metab_compid_53229</t>
  </si>
  <si>
    <t>metab_compid_53031</t>
  </si>
  <si>
    <t>metab_compid_53243</t>
  </si>
  <si>
    <t>metab_compid_54795</t>
  </si>
  <si>
    <t>metab_compid_53224</t>
  </si>
  <si>
    <t>metab_compid_57467</t>
  </si>
  <si>
    <t>metab_compid_61771</t>
  </si>
  <si>
    <t>metab_compid_62733</t>
  </si>
  <si>
    <t>metab_compid_61874</t>
  </si>
  <si>
    <t>metab_compid_62955</t>
  </si>
  <si>
    <t>metab_compid_63357</t>
  </si>
  <si>
    <t>metab_compid_62287</t>
  </si>
  <si>
    <t>metab_compid_62566</t>
  </si>
  <si>
    <t>metab_compid_62564</t>
  </si>
  <si>
    <t>metab_compid_62562</t>
  </si>
  <si>
    <t>metab_compid_62559</t>
  </si>
  <si>
    <t>metab_compid_62558</t>
  </si>
  <si>
    <t>metab_compid_63857</t>
  </si>
  <si>
    <t>metab_compid_62797</t>
  </si>
  <si>
    <t>metab_compid_62871</t>
  </si>
  <si>
    <t>metab_compid_63359</t>
  </si>
  <si>
    <t>metab_compid_63339</t>
  </si>
  <si>
    <t>metab_compid_63855</t>
  </si>
  <si>
    <t>metab_compid_63841</t>
  </si>
  <si>
    <t>metab_compid_64050</t>
  </si>
  <si>
    <t>metab_compid_46347</t>
  </si>
  <si>
    <t>metab_compid_46932</t>
  </si>
  <si>
    <t>metab_compid_47690</t>
  </si>
  <si>
    <t>metab_compid_47695</t>
  </si>
  <si>
    <t>metab_compid_46318</t>
  </si>
  <si>
    <t>metab_compid_47938</t>
  </si>
  <si>
    <t>metab_compid_47940</t>
  </si>
  <si>
    <t>metab_compid_47943</t>
  </si>
  <si>
    <t>metab_compid_47203</t>
  </si>
  <si>
    <t>metab_compid_47962</t>
  </si>
  <si>
    <t>metab_compid_47965</t>
  </si>
  <si>
    <t>metab_compid_47985</t>
  </si>
  <si>
    <t>metab_compid_47997</t>
  </si>
  <si>
    <t>metab_compid_47009</t>
  </si>
  <si>
    <t>metab_compid_48049</t>
  </si>
  <si>
    <t>metab_compid_46400</t>
  </si>
  <si>
    <t>metab_compid_46984</t>
  </si>
  <si>
    <t>metab_compid_47773</t>
  </si>
  <si>
    <t>metab_compid_49555</t>
  </si>
  <si>
    <t>metab_compid_52501</t>
  </si>
  <si>
    <t>metab_compid_52502</t>
  </si>
  <si>
    <t>metab_compid_52540</t>
  </si>
  <si>
    <t>metab_compid_52773</t>
  </si>
  <si>
    <t>metab_compid_52839</t>
  </si>
  <si>
    <t>metab_compid_52852</t>
  </si>
  <si>
    <t>metab_compid_52886</t>
  </si>
  <si>
    <t>metab_compid_52906</t>
  </si>
  <si>
    <t>metab_compid_54829</t>
  </si>
  <si>
    <t>metab_compid_57819</t>
  </si>
  <si>
    <t>metab_compid_62151</t>
  </si>
  <si>
    <t>metab_compid_63634</t>
  </si>
  <si>
    <t>metab_compid_64267</t>
  </si>
  <si>
    <t>Carnitine</t>
  </si>
  <si>
    <t>Benzoate</t>
  </si>
  <si>
    <t>Maltotriose</t>
  </si>
  <si>
    <t>Hippurate</t>
  </si>
  <si>
    <t>Methionine sulfoxide</t>
  </si>
  <si>
    <t>Xanthurenate</t>
  </si>
  <si>
    <t>Glycerophosphorylcholine (GPC)</t>
  </si>
  <si>
    <t>Phenylacetate</t>
  </si>
  <si>
    <t>Tartarate</t>
  </si>
  <si>
    <t>Suberate (C8-DC)</t>
  </si>
  <si>
    <t>3-phenylpropionate hydrocinnamate</t>
  </si>
  <si>
    <t>Kynurenine</t>
  </si>
  <si>
    <t>Glycerol 3-phosphate</t>
  </si>
  <si>
    <t>Imidazole lactate</t>
  </si>
  <si>
    <t>Glucuronate</t>
  </si>
  <si>
    <t>Ribitol</t>
  </si>
  <si>
    <t>Glycodeoxycholate</t>
  </si>
  <si>
    <t>Theobromine</t>
  </si>
  <si>
    <t>Quinate</t>
  </si>
  <si>
    <t>Gentisate</t>
  </si>
  <si>
    <t>Theophylline</t>
  </si>
  <si>
    <t>1,5-anhydroglucitol (1,5-ag)</t>
  </si>
  <si>
    <t>Indolelactate</t>
  </si>
  <si>
    <t>Docosahexaenoate DHA; 22:6n3</t>
  </si>
  <si>
    <t>1-myristoyl-2-palmitoyl-gpc (14:0/16:0)</t>
  </si>
  <si>
    <t>Paraxanthine</t>
  </si>
  <si>
    <t>Sphingosine 1-phosphate</t>
  </si>
  <si>
    <t>Alpha-hydroxyisocaproate</t>
  </si>
  <si>
    <t>1,2-dipalmitoyl-gpc (16:0/16:0)</t>
  </si>
  <si>
    <t>Maleate</t>
  </si>
  <si>
    <t>Isovalerate (i5:0)</t>
  </si>
  <si>
    <t>Phenyllactate (pla)</t>
  </si>
  <si>
    <t>N-acetylaspartate (naa)</t>
  </si>
  <si>
    <t>Palmitoylcarnitine (C16)</t>
  </si>
  <si>
    <t>Erythritol</t>
  </si>
  <si>
    <t>Hexanoylcarnitine</t>
  </si>
  <si>
    <t>Acetylcarnitine (c2)</t>
  </si>
  <si>
    <t>Iminodiacetate (IDA)</t>
  </si>
  <si>
    <t>Cysteine s-sulfate</t>
  </si>
  <si>
    <t>Oxalate (ethanedioate)</t>
  </si>
  <si>
    <t>DHEAS</t>
  </si>
  <si>
    <t>Homoarginine</t>
  </si>
  <si>
    <t>Tartronate (hydroxymalonate)</t>
  </si>
  <si>
    <t>Homocitrulline</t>
  </si>
  <si>
    <t>Indoleacetate</t>
  </si>
  <si>
    <t>Indolepropionate</t>
  </si>
  <si>
    <t>Threonate</t>
  </si>
  <si>
    <t>Glycolithocholate</t>
  </si>
  <si>
    <t>Citramalate</t>
  </si>
  <si>
    <t>Galactonate</t>
  </si>
  <si>
    <t>Trigonelline (n'-methylnicotinate)</t>
  </si>
  <si>
    <t>Dodecanedioate (C12-DC)</t>
  </si>
  <si>
    <t>Isobutyrylcarnitine (c4)</t>
  </si>
  <si>
    <t>Pyridoxate</t>
  </si>
  <si>
    <t>Gamma-glutamylvaline</t>
  </si>
  <si>
    <t>Propionylglycine</t>
  </si>
  <si>
    <t>Butyrylglycine</t>
  </si>
  <si>
    <t>Pro-hydroxy-pro</t>
  </si>
  <si>
    <t>Propionylcarnitine (c3)</t>
  </si>
  <si>
    <t>Adrenate (22:4n6)</t>
  </si>
  <si>
    <t>Docosatrienoate (22:3n3)</t>
  </si>
  <si>
    <t>Docosadienoate (22:2n6)</t>
  </si>
  <si>
    <t>3-carboxy-4-methyl-5-propyl-2-furanpropanoate (cmpf)</t>
  </si>
  <si>
    <t>Docosapentaenoate n3 DPA; 22:5n3</t>
  </si>
  <si>
    <t>Myristoleate (14:1n5)</t>
  </si>
  <si>
    <t>Sebacate (C10-DC)</t>
  </si>
  <si>
    <t>Tauro-beta-muricholate</t>
  </si>
  <si>
    <t>Octanoylcarnitine (c8)</t>
  </si>
  <si>
    <t>Stearidonate (18:4n3)</t>
  </si>
  <si>
    <t>Decanoylcarnitine (C10)</t>
  </si>
  <si>
    <t>Campesterol</t>
  </si>
  <si>
    <t>Piperine</t>
  </si>
  <si>
    <t>Myristoylcarnitine (C14)</t>
  </si>
  <si>
    <t>1-stearoyl-gpc (18:0)</t>
  </si>
  <si>
    <t>Hyocholate</t>
  </si>
  <si>
    <t>Alpha-hydroxyisovalerate</t>
  </si>
  <si>
    <t>Stachydrine</t>
  </si>
  <si>
    <t>Salicyluric glucuronide</t>
  </si>
  <si>
    <t>P-cresol sulfate</t>
  </si>
  <si>
    <t>Gamma-glutamylglycine</t>
  </si>
  <si>
    <t>Stearoylcarnitine (C18)</t>
  </si>
  <si>
    <t>Eicosenoate (20:1)</t>
  </si>
  <si>
    <t>Aconitate [cis or trans]</t>
  </si>
  <si>
    <t>Erythronate</t>
  </si>
  <si>
    <t>Isovalerylcarnitine (C5)</t>
  </si>
  <si>
    <t>Linolenate [alpha or gamma; (18:3n3 or 6)]</t>
  </si>
  <si>
    <t>Gamma-glutamylthreonine</t>
  </si>
  <si>
    <t>Laurylcarnitine</t>
  </si>
  <si>
    <t>Gamma-glutamylmethionine</t>
  </si>
  <si>
    <t>Epiandrosterone sulfate</t>
  </si>
  <si>
    <t>Gamma-glutamyltryptophan</t>
  </si>
  <si>
    <t>1,7-dimethyluric acid</t>
  </si>
  <si>
    <t>Indolebutyrate</t>
  </si>
  <si>
    <t>N2,n2-dimethylguanosine</t>
  </si>
  <si>
    <t>3-(3-amino-3-carboxypropyl)uridine</t>
  </si>
  <si>
    <t>Phenylacetylglutamine</t>
  </si>
  <si>
    <t>3-hydroxydodecanedioate</t>
  </si>
  <si>
    <t>Phenol sulfate</t>
  </si>
  <si>
    <t>Oleoylcarnitine (C18:1)</t>
  </si>
  <si>
    <t>Gamma-glutamylisoleucine</t>
  </si>
  <si>
    <t>Malonylcarnitine</t>
  </si>
  <si>
    <t>1-palmitoleoyl-GPC (16:1)</t>
  </si>
  <si>
    <t>Gamma-glutamyl-2-aminobutyrate</t>
  </si>
  <si>
    <t>Hexanoylglycine</t>
  </si>
  <si>
    <t>Glutamine degradant</t>
  </si>
  <si>
    <t>Cysteine-glutathione disulfide</t>
  </si>
  <si>
    <t>Isovalerylglycine</t>
  </si>
  <si>
    <t>Homostachydrine</t>
  </si>
  <si>
    <t>1-arachidonoyl-GPC (20:4n6)</t>
  </si>
  <si>
    <t>2-palmitoyl-GPC (16:0)</t>
  </si>
  <si>
    <t>2-palmitoleoyl-GPC (16:1)</t>
  </si>
  <si>
    <t>1-arachidonoyl-GPE (20:4n6)</t>
  </si>
  <si>
    <t>1-linoleoyl-GPE (18:2)</t>
  </si>
  <si>
    <t>Docosapentaenoate (n6 DPA; 22:5n6)</t>
  </si>
  <si>
    <t>Gulonate</t>
  </si>
  <si>
    <t>Isobutyrylglycine</t>
  </si>
  <si>
    <t>Glutarylcarnitine (c5-dc)</t>
  </si>
  <si>
    <t>Tiglylcarnitine (C5:1-DC)</t>
  </si>
  <si>
    <t>Hydroquinone sulfate</t>
  </si>
  <si>
    <t>Beta-hydroxyisovaleroylcarnitine</t>
  </si>
  <si>
    <t>Catechol sulfate</t>
  </si>
  <si>
    <t>7-alpha-hydroxy-3-oxo-4-cholestenoate (7-hoca)</t>
  </si>
  <si>
    <t>Octadecanedioate (C18-DC)</t>
  </si>
  <si>
    <t>Tetradecanedioate (C14-DC)</t>
  </si>
  <si>
    <t>Hexadecanedioate (C16-DC)</t>
  </si>
  <si>
    <t>Glycerophosphoethanolamine</t>
  </si>
  <si>
    <t>Taurolithocholate 3-sulfate</t>
  </si>
  <si>
    <t>Glycolithocholate sulfate</t>
  </si>
  <si>
    <t>Deoxycarnitine</t>
  </si>
  <si>
    <t>Alpha-hydroxycaproate</t>
  </si>
  <si>
    <t>1-ribosyl-imidazoleacetate</t>
  </si>
  <si>
    <t>Indoleacetylglutamine</t>
  </si>
  <si>
    <t>Mannitol/sorbitol</t>
  </si>
  <si>
    <t>Tryptophan betaine</t>
  </si>
  <si>
    <t>Dihomo-linolenate (20:3n3 or n6)</t>
  </si>
  <si>
    <t>1-linoleoyl-GPI (18:2)</t>
  </si>
  <si>
    <t>O-cresol sulfate</t>
  </si>
  <si>
    <t>Pyrraline</t>
  </si>
  <si>
    <t>Thymol sulfate</t>
  </si>
  <si>
    <t>Dimethylarginine (sdma + adma)</t>
  </si>
  <si>
    <t>Hexanoylglutamine</t>
  </si>
  <si>
    <t>Gamma-glutamylalanine</t>
  </si>
  <si>
    <t>Beta-cryptoxanthin</t>
  </si>
  <si>
    <t>Taurocholenate sulfate</t>
  </si>
  <si>
    <t>Pregnenediol disulfate (C21H34O8S2)</t>
  </si>
  <si>
    <t>Glycocholenate sulfate</t>
  </si>
  <si>
    <t>Androstenediol (3beta,17beta) disulfate (1)</t>
  </si>
  <si>
    <t>Chiro-inositol</t>
  </si>
  <si>
    <t>Sphinganine-1-phosphate</t>
  </si>
  <si>
    <t>Glycosyl-N-stearoyl-sphingosine (d18:1/18:0)</t>
  </si>
  <si>
    <t>Succinylcarnitine (C4DC)</t>
  </si>
  <si>
    <t>Androstenediol (3beta,17beta) disulfate (2)</t>
  </si>
  <si>
    <t>Androstenediol (3alpha, 17alpha) monosulfate (3)</t>
  </si>
  <si>
    <t>Andro steroid monosulfate C19H28O6S (1)</t>
  </si>
  <si>
    <t>Pregnenediol sulfate (C21H34O5S)</t>
  </si>
  <si>
    <t>Gamma-CEHC</t>
  </si>
  <si>
    <t>Tridecenedioate (C13:1-DC)</t>
  </si>
  <si>
    <t>N-acetyl-3-methylhistidine</t>
  </si>
  <si>
    <t>Androstenediol (3beta,17beta) monosulfate (2)</t>
  </si>
  <si>
    <t>Androstenediol (3beta,17beta) monosulfate (1)</t>
  </si>
  <si>
    <t>Pregnenolone sulfate</t>
  </si>
  <si>
    <t>Palmitoyl sphingomyelin (d18:1/16:0)</t>
  </si>
  <si>
    <t>Indole-3-carboxylate</t>
  </si>
  <si>
    <t>Sphingomyelin (d18:1/18:1, d18:2/18:0)</t>
  </si>
  <si>
    <t>Ergothioneine</t>
  </si>
  <si>
    <t>Cis-4-decenoylcarnitine (C10:1)</t>
  </si>
  <si>
    <t>2s,3R-dihydroxybutyrate</t>
  </si>
  <si>
    <t>Cysteinylglycine disulfide</t>
  </si>
  <si>
    <t>Alpha-ketoglutaramate</t>
  </si>
  <si>
    <t>Cinnamoylglycine</t>
  </si>
  <si>
    <t>Isoursodeoxycholate</t>
  </si>
  <si>
    <t>Cis-4-decenoate (10:1n6)</t>
  </si>
  <si>
    <t>Sulfate</t>
  </si>
  <si>
    <t>Glycoursodeoxycholate</t>
  </si>
  <si>
    <t>1-(1-enyl-palmitoyl)-GPC (p-16:0)</t>
  </si>
  <si>
    <t>Argininate</t>
  </si>
  <si>
    <t>Hydantoin-5-propionate</t>
  </si>
  <si>
    <t>2-oxoarginine</t>
  </si>
  <si>
    <t>Pantoate</t>
  </si>
  <si>
    <t>Formiminoglutamate</t>
  </si>
  <si>
    <t>1-(1-enyl-palmitoyl)-GPE (p-16:0)</t>
  </si>
  <si>
    <t>2-o-methylascorbic acid</t>
  </si>
  <si>
    <t>Eicosanedioate (C20-DC)</t>
  </si>
  <si>
    <t>1-(1-enyl-stearoyl)-GPE (p-18:0)</t>
  </si>
  <si>
    <t>Beta-citrylglutamate</t>
  </si>
  <si>
    <t>Docosadioate (C22-DC)</t>
  </si>
  <si>
    <t>Oleoyl-linoleoyl-glycerol (18:1/18:2) [2]</t>
  </si>
  <si>
    <t>Imidazole propionate</t>
  </si>
  <si>
    <t>Carnitine C18:2</t>
  </si>
  <si>
    <t>Pregnanediol-3-glucuronide</t>
  </si>
  <si>
    <t>Carboxyethyl-gaba</t>
  </si>
  <si>
    <t>Alliin</t>
  </si>
  <si>
    <t>Trimethylamine n-oxide</t>
  </si>
  <si>
    <t>Dihydroferulate</t>
  </si>
  <si>
    <t>Prolylglycine</t>
  </si>
  <si>
    <t>Succinimide</t>
  </si>
  <si>
    <t>Histidine betaine (hercynine)</t>
  </si>
  <si>
    <t>2-stearoyl-GPE (18:0)</t>
  </si>
  <si>
    <t>Margaroylcarnitine (C17)</t>
  </si>
  <si>
    <t>Lanthionine</t>
  </si>
  <si>
    <t>Mannonate</t>
  </si>
  <si>
    <t>Glycohyocholate</t>
  </si>
  <si>
    <t>Guaiacol sulfate</t>
  </si>
  <si>
    <t>Gamma-CEHC glucuronide</t>
  </si>
  <si>
    <t>Dimethyl sulfone</t>
  </si>
  <si>
    <t>Indolin-2-one</t>
  </si>
  <si>
    <t>Sphingomyelin (d18:1/14:0, d16:1/16:0)</t>
  </si>
  <si>
    <t>Sphingomyelin (d18:2/16:0, d18:1/16:1)</t>
  </si>
  <si>
    <t>Ferulic acid 4-sulfate</t>
  </si>
  <si>
    <t>1-linolenoyl-GPC (18:3)</t>
  </si>
  <si>
    <t>O-sulfo-l-tyrosine</t>
  </si>
  <si>
    <t>Methionine sulfone</t>
  </si>
  <si>
    <t>Acisoga</t>
  </si>
  <si>
    <t>Etiocholanolone glucuronide</t>
  </si>
  <si>
    <t>Fructosyllysine</t>
  </si>
  <si>
    <t>1-(1-enyl-oleoyl)-GPE (p-18:1)</t>
  </si>
  <si>
    <t>1-palmitoyl-GPG (16:0)</t>
  </si>
  <si>
    <t>1-oleoyl-GPG (18:1)</t>
  </si>
  <si>
    <t>Octadecenedioylcarnitine (C18:1-DC)</t>
  </si>
  <si>
    <t>Sphingomyelin (d18:1/24:1, d18:2/24:0)</t>
  </si>
  <si>
    <t>Methyl glucopyranoside (alpha + beta)</t>
  </si>
  <si>
    <t>Sphingomyelin (d18:2/14:0, d18:1/14:1)</t>
  </si>
  <si>
    <t>Vanillactate</t>
  </si>
  <si>
    <t>Myristoleoylcarnitine (C14:1)</t>
  </si>
  <si>
    <t>Vanillic alcohol sulfate</t>
  </si>
  <si>
    <t>Methyl-4-hydroxybenzoate sulfate</t>
  </si>
  <si>
    <t>Eugenol sulfate</t>
  </si>
  <si>
    <t>Tyramine O-sulfate</t>
  </si>
  <si>
    <t>Arabonate/xylonate</t>
  </si>
  <si>
    <t>Octadecanedioylcarnitine (C18-DC)</t>
  </si>
  <si>
    <t>Phenylacetylcarnitine</t>
  </si>
  <si>
    <t>Ethylparaben sulfate</t>
  </si>
  <si>
    <t>Sphingomyelin (d18:1/20:2, d18:2/20:1, d16:1/22:2)</t>
  </si>
  <si>
    <t>Sphingomyelin (d18:1/20:1, d18:2/20:0)</t>
  </si>
  <si>
    <t>Behenoyl sphingomyelin (d18:1/22:0)</t>
  </si>
  <si>
    <t>Propyl 4-hydroxybenzoate sulfate</t>
  </si>
  <si>
    <t>Umbelliferone sulfate</t>
  </si>
  <si>
    <t>Sphingomyelin (d18:1/20:0, d16:1/22:0)</t>
  </si>
  <si>
    <t>P-cresol glucuronide</t>
  </si>
  <si>
    <t>Citraconate/glutaconate</t>
  </si>
  <si>
    <t>Sphingomyelin (d18:1/22:1, d18:2/22:0, d16:1/24:1)</t>
  </si>
  <si>
    <t>Arabitol/xylitol</t>
  </si>
  <si>
    <t>Sphingomyelin (d18:1/22:2, d18:2/22:1, d16:1/24:2)</t>
  </si>
  <si>
    <t>Dopamine 4-sulfate</t>
  </si>
  <si>
    <t>Sphingomyelin (d17:1/16:0, d18:1/15:0, d16:1/17:0)</t>
  </si>
  <si>
    <t>Adipoylcarnitine (C6-DC)</t>
  </si>
  <si>
    <t>Dopamine 3-o-sulfate</t>
  </si>
  <si>
    <t>Lignoceroyl sphingomyelin (d18:1/24:0)</t>
  </si>
  <si>
    <t>N-acetylglucosamine/n-acetylgalactosamine</t>
  </si>
  <si>
    <t>Glycochenodeoxycholate 3-sulfate</t>
  </si>
  <si>
    <t>Trans 3,4-methyleneheptanoate</t>
  </si>
  <si>
    <t>Taurodeoxycholic acid 3-sulfate</t>
  </si>
  <si>
    <t>Phenol glucuronide</t>
  </si>
  <si>
    <t>Glycodeoxycholate 3-sulfate</t>
  </si>
  <si>
    <t>1-stearoyl-2-oleoyl-gpc (18:0/18:1)</t>
  </si>
  <si>
    <t>Linoleoyl ethanolamide</t>
  </si>
  <si>
    <t>Nonanoylcarnitine (C9)</t>
  </si>
  <si>
    <t>Sphingomyelin (d18:2/23:0, d18:1/23:1, d17:1/24:1)</t>
  </si>
  <si>
    <t>Tricosanoyl sphingomyelin (d18:1/23:0)</t>
  </si>
  <si>
    <t>Palmitoyl dihydrosphingomyelin (d18:0/16:0)</t>
  </si>
  <si>
    <t>1-palmitoleoylglycerol (16:1)</t>
  </si>
  <si>
    <t>1-stearoyl-2-linoleoyl-gpc (18:0/18:2)</t>
  </si>
  <si>
    <t>1-palmitoyl-2-palmitoleoyl-gpc (16:0/16:1)</t>
  </si>
  <si>
    <t>1-stearoyl-2-linoleoyl-GPE (18:0/18:2)</t>
  </si>
  <si>
    <t>Sphingomyelin (d18:2/24:1, d18:1/24:2)</t>
  </si>
  <si>
    <t>1-palmitoyl-2-stearoyl-gpc (16:0/18:0)</t>
  </si>
  <si>
    <t>Oleate/vaccenate (18:1)</t>
  </si>
  <si>
    <t>1-(1-enyl-stearoyl)-2-oleoyl-GPE (p-18:0/18:1)</t>
  </si>
  <si>
    <t>1-stearoyl-2-docosahexaenoyl-gpc (18:0/22:6)</t>
  </si>
  <si>
    <t>Sphingomyelin (d18:1/17:0, d17:1/18:0, d19:1/16:0)</t>
  </si>
  <si>
    <t>1-(1-enyl-palmitoyl)-2-arachidonoyl-GPE (p-16:0/20:4)</t>
  </si>
  <si>
    <t>Myristoyl dihydrosphingomyelin (d18:0/14:0)</t>
  </si>
  <si>
    <t>1-palmitoyl-2-dihomo-linolenoyl-GPC (16:0/20:3n3 or 6)</t>
  </si>
  <si>
    <t>1-(1-enyl-palmitoyl)-2-arachidonoyl-GPC (P-16:0/20:4)</t>
  </si>
  <si>
    <t>Sphingomyelin (d18:1/21:0, d17:1/22:0, d16:1/23:0)</t>
  </si>
  <si>
    <t>1-palmitoyl-2-arachidonoyl-GPE (16:0/20:4)</t>
  </si>
  <si>
    <t>Lactosyl-N-palmitoyl-sphingosine (d18:1/16:0)</t>
  </si>
  <si>
    <t>Sphingomyelin (d18:0/18:0, d19:0/17:0)</t>
  </si>
  <si>
    <t>1-(1-enyl-palmitoyl)-2-oleoyl-GPC (P-16:0/18:1)</t>
  </si>
  <si>
    <t>1-(1-enyl-stearoyl)-2-arachidonoyl-GPE (p-18:0/20:4)</t>
  </si>
  <si>
    <t>Behenoyl dihydrosphingomyelin (d18:0/22:0)</t>
  </si>
  <si>
    <t>1-(1-enyl-palmitoyl)-2-linoleoyl-GPC (p-16:0/18:2)</t>
  </si>
  <si>
    <t>1-(1-enyl-palmitoyl)-2-oleoyl-GPE (p-16:0/18:1)</t>
  </si>
  <si>
    <t>1-palmitoyl-2-arachidonoyl-GPI (16:0/20:4)</t>
  </si>
  <si>
    <t>1-palmitoyl-2-docosahexaenoyl-GPE (16:0/22:6)</t>
  </si>
  <si>
    <t>1-stearoyl-2-docosahexaenoyl-GPE (18:0/22:6)</t>
  </si>
  <si>
    <t>Gamma-tocopherol/beta-tocopherol</t>
  </si>
  <si>
    <t>1,2-dilinoleoyl-GPE (18:2/18:2)</t>
  </si>
  <si>
    <t>Phenylacetylglutamate</t>
  </si>
  <si>
    <t>1-(1-enyl-palmitoyl)-2-palmitoleoyl-GPC (P-16:0/16:1)</t>
  </si>
  <si>
    <t>Palmitoylcholine</t>
  </si>
  <si>
    <t>Thioproline</t>
  </si>
  <si>
    <t>1-linoleoyl-2-arachidonoyl-GPC (18:2/20:4n6)</t>
  </si>
  <si>
    <t>1-linoleoyl-GPG (18:2)</t>
  </si>
  <si>
    <t>1-(1-enyl-palmitoyl)-2-linoleoyl-GPE (p-16:0/18:2)</t>
  </si>
  <si>
    <t>1-(1-enyl-stearoyl)-2-linoleoyl-GPE (p-18:0/18:2)</t>
  </si>
  <si>
    <t>1-stearoyl-2-oleoyl-GPI (18:0/18:1)</t>
  </si>
  <si>
    <t>1-myristoyl-2-arachidonoyl-GPC (14:0/20:4)</t>
  </si>
  <si>
    <t>1-oleoyl-2-arachidonoyl-GPE (18:1/20:4)</t>
  </si>
  <si>
    <t>1-palmitoyl-2-oleoyl-GPI (16:0/18:1)</t>
  </si>
  <si>
    <t>1-oleoyl-2-docosahexaenoyl-GPC (18:1/22:6)</t>
  </si>
  <si>
    <t>1-oleoyl-2-linoleoyl-GPE (18:1/18:2)</t>
  </si>
  <si>
    <t>1-(1-enyl-palmitoyl)-2-palmitoyl-GPC (P-16:0/16:0)</t>
  </si>
  <si>
    <t>Oleoylcholine</t>
  </si>
  <si>
    <t>Glycosyl-N-palmitoyl-sphingosine (d18:1/16:0)</t>
  </si>
  <si>
    <t>Arachidonoylcholine</t>
  </si>
  <si>
    <t>Methylsuccinoylcarnitine</t>
  </si>
  <si>
    <t>Dihomo-linolenoyl-choline</t>
  </si>
  <si>
    <t>Docosahexaenoylcholine</t>
  </si>
  <si>
    <t>Glycocholate glucuronide (1)</t>
  </si>
  <si>
    <t>Caffeic acid sulfate</t>
  </si>
  <si>
    <t>Ascorbic acid 2-sulfate</t>
  </si>
  <si>
    <t>1-linoleoyl-2-linolenoyl-GPC (18:2/18:3)</t>
  </si>
  <si>
    <t>Catechol glucuronide</t>
  </si>
  <si>
    <t>Furaneol sulfate</t>
  </si>
  <si>
    <t>Lactosyl-N-nervonoyl-sphingosine (d18:1/24:1)</t>
  </si>
  <si>
    <t>Perfluorooctanesulfonate (PFOS)</t>
  </si>
  <si>
    <t>Pimeloylcarnitine/3-methyladipoylcarnitine (C7-DC)</t>
  </si>
  <si>
    <t>1-palmitoleoyl-2-linolenoyl-GPC (16:1/18:3)</t>
  </si>
  <si>
    <t>Linoleoyl-arachidonoyl-glycerol (18:2/20:4) [1]</t>
  </si>
  <si>
    <t>Hexadecadienoate (16:2n6)</t>
  </si>
  <si>
    <t>Glycosyl-N-behenoyl-sphingadienine (d18:2/22:0)</t>
  </si>
  <si>
    <t>Gamma-glutamyl-alpha-lysine</t>
  </si>
  <si>
    <t>N-palmitoyl-sphingadienine (d18:2/16:0)</t>
  </si>
  <si>
    <t>Linoleoyl-arachidonoyl-glycerol (18:2/20:4) [2]</t>
  </si>
  <si>
    <t>Palmitoleoylcarnitine (C16:1)</t>
  </si>
  <si>
    <t>N-stearoyl-sphingadienine (d18:2/18:0)</t>
  </si>
  <si>
    <t>Stearoylcholine</t>
  </si>
  <si>
    <t>Glycosyl-N-tricosanoyl-sphingadienine (d18:2/23:0)</t>
  </si>
  <si>
    <t>N-palmitoyl-heptadecasphingosine (d17:1/16:0)</t>
  </si>
  <si>
    <t>Ceramide (d18:1/14:0, d16:1/16:0)</t>
  </si>
  <si>
    <t>Glycosyl-N-(2-hydroxynervonoyl)-sphingosine (d18:1/24:1(2OH))</t>
  </si>
  <si>
    <t>Glycosyl ceramide (d18:2/24:1, d18:1/24:2)</t>
  </si>
  <si>
    <t>Glycosyl ceramide (d18:1/23:1, d17:1/24:1)</t>
  </si>
  <si>
    <t>Sphingadienine</t>
  </si>
  <si>
    <t>Ceramide (d18:1/17:0, d17:1/18:0)</t>
  </si>
  <si>
    <t>Nisinate (24:6n3)</t>
  </si>
  <si>
    <t>Sphingomyelin (d18:0/20:0, d16:0/22:0)</t>
  </si>
  <si>
    <t>Sphingomyelin (d18:2/24:2)</t>
  </si>
  <si>
    <t>Sphingomyelin (d17:2/16:0, d18:2/15:0)</t>
  </si>
  <si>
    <t>Sphingomyelin (d18:2/23:1)</t>
  </si>
  <si>
    <t>Behenoylcarnitine (C22)</t>
  </si>
  <si>
    <t>Sphingomyelin (d18:2/18:1)</t>
  </si>
  <si>
    <t>Sphingomyelin (d18:2/21:0, d16:2/23:0)</t>
  </si>
  <si>
    <t>Linoleoylcholine</t>
  </si>
  <si>
    <t>Sphingomyelin (d18:1/19:0, d19:1/18:0)</t>
  </si>
  <si>
    <t>Linolenoylcarnitine (C18:3)</t>
  </si>
  <si>
    <t>Heneicosapentaenoate (21:5n3)</t>
  </si>
  <si>
    <t>Sphingomyelin (d18:1/25:0, d19:0/24:1, d20:1/23:0, d19:1/24:0)</t>
  </si>
  <si>
    <t>Arachidoylcarnitine (C20)</t>
  </si>
  <si>
    <t>Cerotoylcarnitine (C26)</t>
  </si>
  <si>
    <t>Lignoceroylcarnitine (C24)</t>
  </si>
  <si>
    <t>Docosatrienoate (22:3n6)</t>
  </si>
  <si>
    <t>Dihomo-linolenoylcarnitine (C20:3n3 or 6)</t>
  </si>
  <si>
    <t>Carotene diol (2)</t>
  </si>
  <si>
    <t>Ethyl alpha-glucopyranoside</t>
  </si>
  <si>
    <t>Carotene diol (1)</t>
  </si>
  <si>
    <t>Nervonoylcarnitine (C24:1)</t>
  </si>
  <si>
    <t>Dihomo-linoleoylcarnitine (C20:2)</t>
  </si>
  <si>
    <t>Glycosyl ceramide (d18:1/20:0, d16:1/22:0)</t>
  </si>
  <si>
    <t>Docosahexaenoylcarnitine (C22:6)</t>
  </si>
  <si>
    <t>Eicosenoylcarnitine (C20:1)</t>
  </si>
  <si>
    <t>Ximenoylcarnitine (C26:1)</t>
  </si>
  <si>
    <t>Arachidonoylcarnitine (C20:4)</t>
  </si>
  <si>
    <t>Hydroxy-cmpf</t>
  </si>
  <si>
    <t>Cortolone glucuronide (1)</t>
  </si>
  <si>
    <t>Carotene diol (3)</t>
  </si>
  <si>
    <t>Dodecenedioate (C12:1-DC)</t>
  </si>
  <si>
    <t>Trans-2-hexenoylglycine</t>
  </si>
  <si>
    <t>2-hydroxyarachidate</t>
  </si>
  <si>
    <t>Heptenedioate (C7:1-DC)</t>
  </si>
  <si>
    <t>Hexadecenedioate (C16:1-DC)</t>
  </si>
  <si>
    <t>Octadecenedioate (C18:1-DC)</t>
  </si>
  <si>
    <t>Dihydroferulic acid sulfate</t>
  </si>
  <si>
    <t>Glutamine conjugate of C7H12O2</t>
  </si>
  <si>
    <t>Hydroxyasparagine</t>
  </si>
  <si>
    <t>Sphingomyelin (d17:1/14:0, d16:1/15:0)</t>
  </si>
  <si>
    <t>Octadecadienedioate (C18:2-DC)</t>
  </si>
  <si>
    <t>Perfluorooctanoate (PFOA)</t>
  </si>
  <si>
    <t>3-carboxy-4-methyl-5-pentyl-2-furanpropionate (3-CMPFP)</t>
  </si>
  <si>
    <t>Glutamine conjugate of C6H10O2 (2)</t>
  </si>
  <si>
    <t>3-hydroxybutyroylglycine</t>
  </si>
  <si>
    <t>Glycine conjugate of C10H14O2 (1)</t>
  </si>
  <si>
    <t>Glutamine conjugate of C6H10O2 (1)</t>
  </si>
  <si>
    <t>N-methylhydroxyproline</t>
  </si>
  <si>
    <t>Glucuronide of C10H18O2 (7)</t>
  </si>
  <si>
    <t>Glyco-beta-muricholate</t>
  </si>
  <si>
    <t>Glucuronide of C12H22O4 (1)</t>
  </si>
  <si>
    <t>N,n,n-trimethyl-alanylproline betaine (tmap)</t>
  </si>
  <si>
    <t>Glycine conjugate of C10H12O2</t>
  </si>
  <si>
    <t>N-acetyl-2-aminooctanoate</t>
  </si>
  <si>
    <t>Gamma-glutamylcitrulline</t>
  </si>
  <si>
    <t>Tetradecadienoate (14:2)</t>
  </si>
  <si>
    <t>Glucuronide of piperine metabolite C17H21NO3 (3)</t>
  </si>
  <si>
    <t>Dodecadienoate (12:2)</t>
  </si>
  <si>
    <t>Ethyl beta-glucopyranoside</t>
  </si>
  <si>
    <t>Ascorbic acid 3-sulfate</t>
  </si>
  <si>
    <t>Delta-CEHC</t>
  </si>
  <si>
    <t>Indoleacetoylcarnitine</t>
  </si>
  <si>
    <t>Sulfate of piperine metabolite C18H21NO3 (1)</t>
  </si>
  <si>
    <t>Methyl vanillate sulfate</t>
  </si>
  <si>
    <t>Glucuronide of piperine metabolite C17H21NO3 (4)</t>
  </si>
  <si>
    <t>Sulfate of piperine metabolite C16H19NO3 (3)</t>
  </si>
  <si>
    <t>Sulfate of piperine metabolite C16H19NO3 (2)</t>
  </si>
  <si>
    <t>Glucuronide of piperine metabolite C17H21NO3 (5)</t>
  </si>
  <si>
    <t>Sulfate of piperine metabolite C18H21NO3 (3)</t>
  </si>
  <si>
    <t>11beta-hydroxyetiocholanolone glucuronide</t>
  </si>
  <si>
    <t>Cholic acid glucuronide</t>
  </si>
  <si>
    <t>Glycoursodeoxycholic acid sulfate (1)</t>
  </si>
  <si>
    <t>Dihydrocaffeate sulfate (2)</t>
  </si>
  <si>
    <t>Lithocholate sulfate (1)</t>
  </si>
  <si>
    <t>2,3-dihydroxy-5-methylthio-4-pentenoate (dmtpa)</t>
  </si>
  <si>
    <t>Picolinoylglycine</t>
  </si>
  <si>
    <t>Succinoyltaurine</t>
  </si>
  <si>
    <t>Undecenoylcarnitine (C11:1)</t>
  </si>
  <si>
    <t>Palmitoyl-sphingosine-phosphoethanolamine (d18:1/16:0)</t>
  </si>
  <si>
    <t>Pregnenetriol disulfate</t>
  </si>
  <si>
    <t>Tetradecadienedioate (C14:2-DC)</t>
  </si>
  <si>
    <t>Hydroxy-N6,N6,N6-trimethyllysine</t>
  </si>
  <si>
    <t>Pregnenetriol sulfate</t>
  </si>
  <si>
    <t>Taurochenodeoxycholic acid 3-sulfate</t>
  </si>
  <si>
    <t>Hydroxypalmitoyl sphingomyelin (d18:1/16:0(OH))</t>
  </si>
  <si>
    <t>5-hydroxymethyl-2-furoylcarnitine</t>
  </si>
  <si>
    <t>Eicosenedioate (C20:1-DC)</t>
  </si>
  <si>
    <t>Levulinoylcarnitine</t>
  </si>
  <si>
    <t>Cis 3,4-methyleneheptanoate</t>
  </si>
  <si>
    <t>Branched-chain, straight-chain, or cyclopropyl 12:1 fatty acid</t>
  </si>
  <si>
    <t>Deoxycholic acid 12-sulfate</t>
  </si>
  <si>
    <t>Branched-chain, straight-chain, or cyclopropyl 10:1 fatty acid (1)</t>
  </si>
  <si>
    <t>Vanillic acid glycine</t>
  </si>
  <si>
    <t>3-bromo-5-chloro-2,6-dihydroxybenzoic acid</t>
  </si>
  <si>
    <t>Dibutyl sulfosuccinate</t>
  </si>
  <si>
    <t>Metabolonic lactone sulfate</t>
  </si>
  <si>
    <t>Pentose acid</t>
  </si>
  <si>
    <t>Branched chain 14:0 dicarboxylic acid</t>
  </si>
  <si>
    <t>Bilirubin degradation product, C17H20N2O5 (2)</t>
  </si>
  <si>
    <t>Bilirubin degradation product, C16H18N2O5 (4)</t>
  </si>
  <si>
    <t>Cis-3,4-methyleneheptanoylcarnitine</t>
  </si>
  <si>
    <t>Tetrahydrocortisol glucuronide</t>
  </si>
  <si>
    <t>Bilirubin degradation product, C17H20N2O5 (1)</t>
  </si>
  <si>
    <t>Bilirubin degradation product, C16H18N2O5 (3)</t>
  </si>
  <si>
    <t>Cis-3,4-methyleneheptanoylglycine</t>
  </si>
  <si>
    <t>Bilirubin degradation product, C16H18N2O5 (2)</t>
  </si>
  <si>
    <t>Bilirubin degradation product, C16H18N2O5 (1)</t>
  </si>
  <si>
    <t>Pantothenate</t>
  </si>
  <si>
    <t>Phosphoethanolamine</t>
  </si>
  <si>
    <t>Picolinate</t>
  </si>
  <si>
    <t>Erucate (22:1n9)</t>
  </si>
  <si>
    <t>Xanthine</t>
  </si>
  <si>
    <t>Allantoin</t>
  </si>
  <si>
    <t>Glycerate</t>
  </si>
  <si>
    <t>Sarcosine</t>
  </si>
  <si>
    <t>Trans-4-hydroxyproline</t>
  </si>
  <si>
    <t>Thyroxine</t>
  </si>
  <si>
    <t>Pipecolate</t>
  </si>
  <si>
    <t>Gamma-glutamyltyrosine</t>
  </si>
  <si>
    <t>Methyl indole-3-acetate</t>
  </si>
  <si>
    <t>Ursodeoxycholate</t>
  </si>
  <si>
    <t>Oleoyl ethanolamide</t>
  </si>
  <si>
    <t>Gamma-glutamylglutamine</t>
  </si>
  <si>
    <t>Alpha-tocopherol</t>
  </si>
  <si>
    <t>Butyrate/isobutyrate (4:0)</t>
  </si>
  <si>
    <t>Urate</t>
  </si>
  <si>
    <t>Vanillylmandelate (VMA)</t>
  </si>
  <si>
    <t>Gamma-glutamylhistidine</t>
  </si>
  <si>
    <t>Homovanillate (hva)</t>
  </si>
  <si>
    <t>Cys-gly, oxidized</t>
  </si>
  <si>
    <t>Dihomo-linoleate (20:2n6)</t>
  </si>
  <si>
    <t>Cholate</t>
  </si>
  <si>
    <t>Beta-hydroxyisovalerate</t>
  </si>
  <si>
    <t>Creatine</t>
  </si>
  <si>
    <t>Anthranilate</t>
  </si>
  <si>
    <t>Gamma-glutamylleucine</t>
  </si>
  <si>
    <t>Choline</t>
  </si>
  <si>
    <t>Taurocholate</t>
  </si>
  <si>
    <t>Taurodeoxycholate</t>
  </si>
  <si>
    <t>Stearoyl sphingomyelin (d18:1/18:0)</t>
  </si>
  <si>
    <t>Taurochenodeoxycholate</t>
  </si>
  <si>
    <t>N-stearoyl-sphingosine (d18:1/18:0)</t>
  </si>
  <si>
    <t>Glycochenodeoxycholate</t>
  </si>
  <si>
    <t>N6,n6,n6-trimethyllysine</t>
  </si>
  <si>
    <t>Quinolinate</t>
  </si>
  <si>
    <t>Eicosapentaenoate (EPA; 20:5n3)</t>
  </si>
  <si>
    <t>Laurate (12:0)</t>
  </si>
  <si>
    <t>Methylsuccinate</t>
  </si>
  <si>
    <t>Linoleate (18:2n6)</t>
  </si>
  <si>
    <t>Adenosine 5'-diphosphate (ADP)</t>
  </si>
  <si>
    <t>Adenosine 5'-monophosphate (AMP)</t>
  </si>
  <si>
    <t>Adenosine 3',5'-cyclic monophosphate (camp)</t>
  </si>
  <si>
    <t>Arachidonate (20:4n6)</t>
  </si>
  <si>
    <t>5-methylthioadenosine (mta)</t>
  </si>
  <si>
    <t>Cortisone</t>
  </si>
  <si>
    <t>Beta-alanine</t>
  </si>
  <si>
    <t>Succinate</t>
  </si>
  <si>
    <t>Choline phosphate</t>
  </si>
  <si>
    <t>Cysteinylglycine</t>
  </si>
  <si>
    <t>Phenylpyruvate</t>
  </si>
  <si>
    <t>Aspartate</t>
  </si>
  <si>
    <t>Arginine</t>
  </si>
  <si>
    <t>Gluconate</t>
  </si>
  <si>
    <t>Sphinganine</t>
  </si>
  <si>
    <t>Gamma-glutamylglutamate</t>
  </si>
  <si>
    <t>Flavin adenine dinucleotide (FAD)</t>
  </si>
  <si>
    <t>Cortisol</t>
  </si>
  <si>
    <t>Hypotaurine</t>
  </si>
  <si>
    <t>Glutarate (C5-DC)</t>
  </si>
  <si>
    <t>Cystine</t>
  </si>
  <si>
    <t>Cystathionine</t>
  </si>
  <si>
    <t>Guanidinoacetate</t>
  </si>
  <si>
    <t>Sphingosine</t>
  </si>
  <si>
    <t>Deoxycholate</t>
  </si>
  <si>
    <t>Glycocholate</t>
  </si>
  <si>
    <t>Palmitoleate (16:1n7)</t>
  </si>
  <si>
    <t>Stearate (18:0)</t>
  </si>
  <si>
    <t>Methionine</t>
  </si>
  <si>
    <t>Orotate</t>
  </si>
  <si>
    <t>Phosphate</t>
  </si>
  <si>
    <t>Inosine</t>
  </si>
  <si>
    <t>Inosine 5'-monophosphate (IMP)</t>
  </si>
  <si>
    <t>Palmitate (16:0)</t>
  </si>
  <si>
    <t>Malate</t>
  </si>
  <si>
    <t>Nicotinamide</t>
  </si>
  <si>
    <t>Myo-inositol</t>
  </si>
  <si>
    <t>Lysine</t>
  </si>
  <si>
    <t>Citrulline</t>
  </si>
  <si>
    <t>Ornithine</t>
  </si>
  <si>
    <t>Retinol (Vitamin A)</t>
  </si>
  <si>
    <t>Uridine</t>
  </si>
  <si>
    <t>Pristanate</t>
  </si>
  <si>
    <t>Phytanate</t>
  </si>
  <si>
    <t>Proline</t>
  </si>
  <si>
    <t>Glutamate</t>
  </si>
  <si>
    <t>Myristate (14:0)</t>
  </si>
  <si>
    <t>Serine</t>
  </si>
  <si>
    <t>Trans-urocanate</t>
  </si>
  <si>
    <t>Urea</t>
  </si>
  <si>
    <t>Pyridoxal</t>
  </si>
  <si>
    <t>Taurine</t>
  </si>
  <si>
    <t>Salicylate</t>
  </si>
  <si>
    <t>Serotonin</t>
  </si>
  <si>
    <t>Spermidine</t>
  </si>
  <si>
    <t>Dimethylglycine</t>
  </si>
  <si>
    <t>Betaine</t>
  </si>
  <si>
    <t>Xylose</t>
  </si>
  <si>
    <t>Caprate (10:0)</t>
  </si>
  <si>
    <t>Cytidine</t>
  </si>
  <si>
    <t>Threonine</t>
  </si>
  <si>
    <t>Cytosine</t>
  </si>
  <si>
    <t>Mannose</t>
  </si>
  <si>
    <t>Caffeine</t>
  </si>
  <si>
    <t>Fructose</t>
  </si>
  <si>
    <t>Alpha-ketobutyrate</t>
  </si>
  <si>
    <t>Cysteine</t>
  </si>
  <si>
    <t>Tryptophan</t>
  </si>
  <si>
    <t>Pseudouridine</t>
  </si>
  <si>
    <t>Dihydroorotate</t>
  </si>
  <si>
    <t>Caprylate (8:0)</t>
  </si>
  <si>
    <t>Arachidate (20:0)</t>
  </si>
  <si>
    <t>Maltose</t>
  </si>
  <si>
    <t>N-stearoyl-sphinganine (d18:0/18:0)</t>
  </si>
  <si>
    <t>Sucrose</t>
  </si>
  <si>
    <t>Caproate (6:0)</t>
  </si>
  <si>
    <t>Nonadecanoate (19:0)</t>
  </si>
  <si>
    <t>Asparagine</t>
  </si>
  <si>
    <t>Kynurenate</t>
  </si>
  <si>
    <t>Alpha-ketoglutarate</t>
  </si>
  <si>
    <t>Pentadecanoate (15:0)</t>
  </si>
  <si>
    <t>Margarate (17:0)</t>
  </si>
  <si>
    <t>Butyrylcarnitine (C4)</t>
  </si>
  <si>
    <t>Androsterone sulfate</t>
  </si>
  <si>
    <t>Orotidine</t>
  </si>
  <si>
    <t>N-acetyl-aspartyl-glutamate (naag)</t>
  </si>
  <si>
    <t>1-stearoyl-2-arachidonoyl-gpc (18:0/20:4)</t>
  </si>
  <si>
    <t>Bilirubin (E,E)</t>
  </si>
  <si>
    <t>Bilirubin (E,Z or Z,E)</t>
  </si>
  <si>
    <t>Androsterone glucuronide</t>
  </si>
  <si>
    <t>N-acetyl-1-methylhistidine</t>
  </si>
  <si>
    <t>Glycochenodeoxycholate glucuronide (1)</t>
  </si>
  <si>
    <t>2'-o-methylcytidine</t>
  </si>
  <si>
    <t>2'-o-methyluridine</t>
  </si>
  <si>
    <t>Deoxycholic acid glucuronide</t>
  </si>
  <si>
    <t>Decadienedioic acid (C10:2-DC)</t>
  </si>
  <si>
    <t>Bilirubin degradation product, C17H18N2O4 (1)</t>
  </si>
  <si>
    <t>Bilirubin degradation product, C17H18N2O4 (2)</t>
  </si>
  <si>
    <t>Bilirubin degradation product, C17H18N2O4 (3)</t>
  </si>
  <si>
    <t>Bilirubin (z,z)</t>
  </si>
  <si>
    <t>Ethylmalonate</t>
  </si>
  <si>
    <t>Biliverdin</t>
  </si>
  <si>
    <t>Docosahexaenoic acid (22:6)</t>
  </si>
  <si>
    <t>Triglyceride in HDL</t>
  </si>
  <si>
    <t>Linoleic acid (18:2)</t>
  </si>
  <si>
    <t>Triglyceride in LDL</t>
  </si>
  <si>
    <t>Total lipid in medium LDL</t>
  </si>
  <si>
    <t>Monounsaturated fatty acids (16:1, 18:1)</t>
  </si>
  <si>
    <t>Phosphatidylcholine and other choline</t>
  </si>
  <si>
    <t>Serum total triglyceride</t>
  </si>
  <si>
    <t>Triglyceride in VLDL</t>
  </si>
  <si>
    <t>Cholesteryl ester in chylomicrons and extremely large VLDL</t>
  </si>
  <si>
    <t>Total lipid in chylomicrons and extremely large VLDL</t>
  </si>
  <si>
    <t>Phospholipid in chylomicrons and extremely large VLDL</t>
  </si>
  <si>
    <t>Triglyceride in chylomicrons and extremely large VLDL</t>
  </si>
  <si>
    <t>pathway</t>
  </si>
  <si>
    <t>gwas_pathway</t>
  </si>
  <si>
    <t>gwas_subpathway</t>
  </si>
  <si>
    <t>Classification</t>
  </si>
  <si>
    <t>Trait description</t>
  </si>
  <si>
    <t>Trait abbreviation</t>
  </si>
  <si>
    <t>XXL-VLDL-PL_percent</t>
  </si>
  <si>
    <t>XXL-VLDL-C_percent</t>
  </si>
  <si>
    <t>XXL-VLDL-CE_percent</t>
  </si>
  <si>
    <t>XXL-VLDL-FC_percent</t>
  </si>
  <si>
    <t>XXL-VLDL-TG_percent</t>
  </si>
  <si>
    <t>XL-VLDL-PL_percent</t>
  </si>
  <si>
    <t>XL-VLDL-C_percent</t>
  </si>
  <si>
    <t>XL-VLDL-CE_percent</t>
  </si>
  <si>
    <t>XL-VLDL-FC_percent</t>
  </si>
  <si>
    <t>XL-VLDL-TG_percent</t>
  </si>
  <si>
    <t>L-VLDL-PL_percent</t>
  </si>
  <si>
    <t>L-VLDL-C_percent</t>
  </si>
  <si>
    <t>L-VLDL-CE_percent</t>
  </si>
  <si>
    <t>L-VLDL-FC_percent</t>
  </si>
  <si>
    <t>L-VLDL-TG_percent</t>
  </si>
  <si>
    <t>M-VLDL-PL_percent</t>
  </si>
  <si>
    <t>M-VLDL-C_percent</t>
  </si>
  <si>
    <t>M-VLDL-CE_percent</t>
  </si>
  <si>
    <t>M-VLDL-FC_percent</t>
  </si>
  <si>
    <t>M-VLDL-TG_percent</t>
  </si>
  <si>
    <t>S-VLDL-PL_percent</t>
  </si>
  <si>
    <t>S-VLDL-C_percent</t>
  </si>
  <si>
    <t>S-VLDL-CE_percent</t>
  </si>
  <si>
    <t>S-VLDL-FC_percent</t>
  </si>
  <si>
    <t>S-VLDL-TG_percent</t>
  </si>
  <si>
    <t>XS-VLDL-PL_percent</t>
  </si>
  <si>
    <t>XS-VLDL-C_percent</t>
  </si>
  <si>
    <t>XS-VLDL-CE_percent</t>
  </si>
  <si>
    <t>XS-VLDL-FC_percent</t>
  </si>
  <si>
    <t>XS-VLDL-TG_percent</t>
  </si>
  <si>
    <t>IDL-PL_percent</t>
  </si>
  <si>
    <t>IDL-C_percent</t>
  </si>
  <si>
    <t>IDL-CE_percent</t>
  </si>
  <si>
    <t>IDL-FC_percent</t>
  </si>
  <si>
    <t>IDL-TG_percent</t>
  </si>
  <si>
    <t>L-LDL-PL_percent</t>
  </si>
  <si>
    <t>L-LDL-C_percent</t>
  </si>
  <si>
    <t>L-LDL-CE_percent</t>
  </si>
  <si>
    <t>L-LDL-FC_percent</t>
  </si>
  <si>
    <t>L-LDL-TG_percent</t>
  </si>
  <si>
    <t>M-LDL-PL_percent</t>
  </si>
  <si>
    <t>M-LDL-C_percent</t>
  </si>
  <si>
    <t>M-LDL-CE_percent</t>
  </si>
  <si>
    <t>M-LDL-FC_percent</t>
  </si>
  <si>
    <t>M-LDL-TG_percent</t>
  </si>
  <si>
    <t>S-LDL-PL_percent</t>
  </si>
  <si>
    <t>S-LDL-C_percent</t>
  </si>
  <si>
    <t>S-LDL-CE_percent</t>
  </si>
  <si>
    <t>S-LDL-FC_percent</t>
  </si>
  <si>
    <t>S-LDL-TG_percent</t>
  </si>
  <si>
    <t>XL-HDL-PL_percent</t>
  </si>
  <si>
    <t>XL-HDL-C_percent</t>
  </si>
  <si>
    <t>XL-HDL-CE_percent</t>
  </si>
  <si>
    <t>XL-HDL-FC_percent</t>
  </si>
  <si>
    <t>XL-HDL-TG_percent</t>
  </si>
  <si>
    <t>L-HDL-PL_percent</t>
  </si>
  <si>
    <t>L-HDL-C_percent</t>
  </si>
  <si>
    <t>L-HDL-CE_percent</t>
  </si>
  <si>
    <t>L-HDL-FC_percent</t>
  </si>
  <si>
    <t>L-HDL-TG_percent</t>
  </si>
  <si>
    <t>M-HDL-PL_percent</t>
  </si>
  <si>
    <t>M-HDL-C_percent</t>
  </si>
  <si>
    <t>M-HDL-CE_percent</t>
  </si>
  <si>
    <t>M-HDL-FC_percent</t>
  </si>
  <si>
    <t>M-HDL-TG_percent</t>
  </si>
  <si>
    <t>S-HDL-PL_percent</t>
  </si>
  <si>
    <t>S-HDL-C_percent</t>
  </si>
  <si>
    <t>S-HDL-CE_percent</t>
  </si>
  <si>
    <t>S-HDL-FC_percent</t>
  </si>
  <si>
    <t>S-HDL-TG_percent</t>
  </si>
  <si>
    <t>Lipoprotein particle size</t>
  </si>
  <si>
    <t>Lipids</t>
  </si>
  <si>
    <t>Remnant cholesterol (non-HDL non-LDL -cholesterol)</t>
  </si>
  <si>
    <t>DAG</t>
  </si>
  <si>
    <t>DAGbyTG</t>
  </si>
  <si>
    <t>TGbyPG</t>
  </si>
  <si>
    <t>ApoBbyApoA1</t>
  </si>
  <si>
    <t>FALen</t>
  </si>
  <si>
    <t>UnsatDeg</t>
  </si>
  <si>
    <t>22:6 docosahexaenoic acid</t>
  </si>
  <si>
    <t>DHA</t>
  </si>
  <si>
    <t>DHAbyFA</t>
  </si>
  <si>
    <t>18:2 linoleic acid</t>
  </si>
  <si>
    <t>LAbyFA</t>
  </si>
  <si>
    <t>CLA</t>
  </si>
  <si>
    <t>CLAbyFA</t>
  </si>
  <si>
    <t>FAw3byFA</t>
  </si>
  <si>
    <t>FAw6byFA</t>
  </si>
  <si>
    <t>PUFAbyFA</t>
  </si>
  <si>
    <t>Monounsaturated fatty acids; 16:1 18:1</t>
  </si>
  <si>
    <t>MUFAbyFA</t>
  </si>
  <si>
    <t>SFAbyFA</t>
  </si>
  <si>
    <t>Glycolysis-related metabolites</t>
  </si>
  <si>
    <t>subpathway</t>
  </si>
  <si>
    <t>metab_tgbypg</t>
  </si>
  <si>
    <t>metab_apobbyapoa1</t>
  </si>
  <si>
    <t>metab_pufabymufa</t>
  </si>
  <si>
    <t>metab_omega6byomega3</t>
  </si>
  <si>
    <t>Cholesteryl esters in HDL</t>
  </si>
  <si>
    <t>Cholesteryl esters in LDL</t>
  </si>
  <si>
    <t>Cholesteryl esters in VLDL</t>
  </si>
  <si>
    <t>Phospholipids in VLDL</t>
  </si>
  <si>
    <t>Xanthosine</t>
  </si>
  <si>
    <t>Zolpidem</t>
  </si>
  <si>
    <t>Venlafaxine</t>
  </si>
  <si>
    <t>Verapamil</t>
  </si>
  <si>
    <t>Warfarin</t>
  </si>
  <si>
    <t>Valsartan</t>
  </si>
  <si>
    <t>Valylglutamine</t>
  </si>
  <si>
    <t>Valylglycine</t>
  </si>
  <si>
    <t>Valerate (5:0)</t>
  </si>
  <si>
    <t>Uracil</t>
  </si>
  <si>
    <t>Undecanedioate (C11-DC)</t>
  </si>
  <si>
    <t>Trimethoprim</t>
  </si>
  <si>
    <t>Triclosan sulfate</t>
  </si>
  <si>
    <t>Trazadone</t>
  </si>
  <si>
    <t>Tramadol</t>
  </si>
  <si>
    <t>Topiramate</t>
  </si>
  <si>
    <t>Theanine</t>
  </si>
  <si>
    <t>Tamoxifen</t>
  </si>
  <si>
    <t>Tadalafil</t>
  </si>
  <si>
    <t>Sucralose</t>
  </si>
  <si>
    <t>Suberoylcarnitine (C8-DC)</t>
  </si>
  <si>
    <t>Stearoyl ethanolamide</t>
  </si>
  <si>
    <t>Solanidine</t>
  </si>
  <si>
    <t>Sitagliptin</t>
  </si>
  <si>
    <t>Sildenafil</t>
  </si>
  <si>
    <t>Sertraline</t>
  </si>
  <si>
    <t>Acesulfame</t>
  </si>
  <si>
    <t>Adenine</t>
  </si>
  <si>
    <t>Adenosine</t>
  </si>
  <si>
    <t>Allopurinol</t>
  </si>
  <si>
    <t>Allopurinol riboside</t>
  </si>
  <si>
    <t>Amoxicillin</t>
  </si>
  <si>
    <t>Androstenediol (3alpha, 17alpha) monosulfate (2)</t>
  </si>
  <si>
    <t>Arachidonoyl ethanolamide</t>
  </si>
  <si>
    <t>Atazanavir</t>
  </si>
  <si>
    <t>Atenolol</t>
  </si>
  <si>
    <t>Atorvastatin (lipitor)</t>
  </si>
  <si>
    <t>Azeloyltaurine</t>
  </si>
  <si>
    <t>Baclofen</t>
  </si>
  <si>
    <t>Bendroflumethiazide</t>
  </si>
  <si>
    <t>Beta-guanidinopropanoate</t>
  </si>
  <si>
    <t>Biotin</t>
  </si>
  <si>
    <t>Bradykinin, des-arg(9)</t>
  </si>
  <si>
    <t>Candesartan</t>
  </si>
  <si>
    <t>Carbamazepine</t>
  </si>
  <si>
    <t>Carbamazepine 10,11-epoxide*</t>
  </si>
  <si>
    <t>Carbamazepine glucuronide*</t>
  </si>
  <si>
    <t>Carboxyibuprofen</t>
  </si>
  <si>
    <t>Carboxyibuprofen glucuronide*</t>
  </si>
  <si>
    <t>Celecoxib</t>
  </si>
  <si>
    <t>Ceramide (d16:1/24:1, d18:1/22:1)*</t>
  </si>
  <si>
    <t>Ceramide (d18:1/20:0, d16:1/22:0, d20:1/18:0)*</t>
  </si>
  <si>
    <t>Ceramide (d18:2/24:1, d18:1/24:2)*</t>
  </si>
  <si>
    <t>Cetirizine</t>
  </si>
  <si>
    <t>Chenodeoxycholate</t>
  </si>
  <si>
    <t>Chenodeoxycholic acid sulfate (1)</t>
  </si>
  <si>
    <t>Cholesterol sulfate</t>
  </si>
  <si>
    <t>Citalopram propionate*</t>
  </si>
  <si>
    <t>Clarithromycin</t>
  </si>
  <si>
    <t>Cobicistat</t>
  </si>
  <si>
    <t>Corticosterone</t>
  </si>
  <si>
    <t>Cotinine</t>
  </si>
  <si>
    <t>Cyclo(leu-pro)</t>
  </si>
  <si>
    <t>Cysteine sulfinic acid</t>
  </si>
  <si>
    <t>Daidzein glucuronide*</t>
  </si>
  <si>
    <t>Daidzein sulfate (2)</t>
  </si>
  <si>
    <t>Desmethylcitalopram*</t>
  </si>
  <si>
    <t>Desmethylnaproxen</t>
  </si>
  <si>
    <t>Desmethylnaproxen sulfate</t>
  </si>
  <si>
    <t>Dexlansoprazole</t>
  </si>
  <si>
    <t>Diacylglycerol (12:0/18:1, 14:0/16:1, 16:0/14:1) [2]*</t>
  </si>
  <si>
    <t>Diacylglycerol (14:0/18:1, 16:0/16:1) [1]*</t>
  </si>
  <si>
    <t>Diacylglycerol (14:0/18:1, 16:0/16:1) [2]*</t>
  </si>
  <si>
    <t>Diacylglycerol (16:1/18:2 [2], 16:0/18:3 [1])*</t>
  </si>
  <si>
    <t>Diazepam</t>
  </si>
  <si>
    <t>Diclofenac</t>
  </si>
  <si>
    <t>Diltiazem</t>
  </si>
  <si>
    <t>Doxycycline</t>
  </si>
  <si>
    <t>Ectoine</t>
  </si>
  <si>
    <t>Efavirenz</t>
  </si>
  <si>
    <t>Eicosapentaenoylcholine</t>
  </si>
  <si>
    <t>Emtricitabine</t>
  </si>
  <si>
    <t>Enalaprilat*</t>
  </si>
  <si>
    <t>Escitalopram</t>
  </si>
  <si>
    <t>Estrone 3-sulfate</t>
  </si>
  <si>
    <t>Ethyl glucuronide</t>
  </si>
  <si>
    <t>Ezetimibe glucuronide*</t>
  </si>
  <si>
    <t>Famotidine</t>
  </si>
  <si>
    <t>Fluconazole</t>
  </si>
  <si>
    <t>Fluoxetine</t>
  </si>
  <si>
    <t>Fumarate</t>
  </si>
  <si>
    <t>Furosemide</t>
  </si>
  <si>
    <t>Gabapentin</t>
  </si>
  <si>
    <t>Gamma-glutamyl-epsilon-lysine</t>
  </si>
  <si>
    <t>Gamma-glutamylphenylalanine</t>
  </si>
  <si>
    <t>Genistein sulfate*</t>
  </si>
  <si>
    <t>Gliclazide</t>
  </si>
  <si>
    <t>Glu-gly-asn-val**</t>
  </si>
  <si>
    <t>Glutamate, gamma-methyl ester</t>
  </si>
  <si>
    <t>Glycerophosphoinositol*</t>
  </si>
  <si>
    <t>Glycerophosphoserine*</t>
  </si>
  <si>
    <t>Glycolate (hydroxyacetate)</t>
  </si>
  <si>
    <t>Glycoursodeoxycholic acid sulfate (2)</t>
  </si>
  <si>
    <t>Glycylvaline</t>
  </si>
  <si>
    <t>Guanidinosuccinate</t>
  </si>
  <si>
    <t>Guanosine</t>
  </si>
  <si>
    <t>Heme</t>
  </si>
  <si>
    <t>Heptanoate (7:0)</t>
  </si>
  <si>
    <t>Homoveratric acid</t>
  </si>
  <si>
    <t>Hydrochlorothiazide</t>
  </si>
  <si>
    <t>Hydroxybupropion</t>
  </si>
  <si>
    <t>Hydroxycotinine</t>
  </si>
  <si>
    <t>Hypoxanthine</t>
  </si>
  <si>
    <t>Ibuprofen</t>
  </si>
  <si>
    <t>Ibuprofen acyl glucuronide</t>
  </si>
  <si>
    <t>Indapamide</t>
  </si>
  <si>
    <t>Isoeugenol sulfate</t>
  </si>
  <si>
    <t>Isoleucylglycine</t>
  </si>
  <si>
    <t>Isoursodeoxycholate sulfate (2)</t>
  </si>
  <si>
    <t>Ketopioglitazone</t>
  </si>
  <si>
    <t>Lactose</t>
  </si>
  <si>
    <t>Lamotrigine</t>
  </si>
  <si>
    <t>Leucylalanine</t>
  </si>
  <si>
    <t>Leucylglycine</t>
  </si>
  <si>
    <t>Linoleoyl-docosahexaenoyl-glycerol (18:2/22:6) [2]*</t>
  </si>
  <si>
    <t>Linoleoyl-linolenoyl-glycerol (18:2/18:3) [2]*</t>
  </si>
  <si>
    <t>Linoleoyl-linoleoyl-glycerol (18:2/18:2) [1]*</t>
  </si>
  <si>
    <t>Linoleoyl-linoleoyl-glycerol (18:2/18:2) [2]*</t>
  </si>
  <si>
    <t>Lisinopril</t>
  </si>
  <si>
    <t>Lithocholic acid sulfate (2)</t>
  </si>
  <si>
    <t>Losartan</t>
  </si>
  <si>
    <t>Malonate</t>
  </si>
  <si>
    <t>Meloxicam</t>
  </si>
  <si>
    <t>Menthol glucuronide</t>
  </si>
  <si>
    <t>Metformin</t>
  </si>
  <si>
    <t>Methylnaphthyl sulfate (2)*</t>
  </si>
  <si>
    <t>Methylphosphate</t>
  </si>
  <si>
    <t>Metoprolol</t>
  </si>
  <si>
    <t>Metoprolol acid metabolite*</t>
  </si>
  <si>
    <t>Metronidazole</t>
  </si>
  <si>
    <t>Mirtazapine</t>
  </si>
  <si>
    <t>Montelukast</t>
  </si>
  <si>
    <t>Morphine-3-glucuronide</t>
  </si>
  <si>
    <t>Mycophenolic acid</t>
  </si>
  <si>
    <t>Mycophenolic acid glucuronide</t>
  </si>
  <si>
    <t>Myristoyl-linoleoyl-glycerol (14:0/18:2) [1]*</t>
  </si>
  <si>
    <t>Myristoyl-linoleoyl-glycerol (14:0/18:2) [2]*</t>
  </si>
  <si>
    <t>Naproxen</t>
  </si>
  <si>
    <t>Neopentyl glycol sebacate**</t>
  </si>
  <si>
    <t>Neopentyl glycol suberate**</t>
  </si>
  <si>
    <t>Neopentyl glycol undecanedioate**</t>
  </si>
  <si>
    <t>Nervonate (24:1n9)*</t>
  </si>
  <si>
    <t>Nifedipine</t>
  </si>
  <si>
    <t>Norfluoxetine</t>
  </si>
  <si>
    <t>O-hydroxyatorvastatin</t>
  </si>
  <si>
    <t>Oleoyl-arachidonoyl-glycerol (18:1/20:4) [1]*</t>
  </si>
  <si>
    <t>Oleoyl-arachidonoyl-glycerol (18:1/20:4) [2]*</t>
  </si>
  <si>
    <t>Oleoyl-linolenoyl-glycerol (18:1/18:3) [2]*</t>
  </si>
  <si>
    <t>Oleoyl-linoleoyl-glycerol (18:1/18:2) [1]</t>
  </si>
  <si>
    <t>Oleoyl-oleoyl-glycerol (18:1/18:1)  [1]*</t>
  </si>
  <si>
    <t>Oleoyl-oleoyl-glycerol (18:1/18:1) [2]*</t>
  </si>
  <si>
    <t>Olmesartan</t>
  </si>
  <si>
    <t>Omeprazole</t>
  </si>
  <si>
    <t>Ondansetron</t>
  </si>
  <si>
    <t>Oxindolylalanine</t>
  </si>
  <si>
    <t>Oxypurinol</t>
  </si>
  <si>
    <t>P-hydroxyatorvastatin</t>
  </si>
  <si>
    <t>Palmitoleoyl-arachidonoyl-glycerol (16:1/20:4) [2]*</t>
  </si>
  <si>
    <t>Palmitoleoyl-linoleoyl-glycerol (16:1/18:2) [1]*</t>
  </si>
  <si>
    <t>Palmitoleoyl-oleoyl-glycerol (16:1/18:1) [2]*</t>
  </si>
  <si>
    <t>Palmitoloelycholine</t>
  </si>
  <si>
    <t>Palmitoyl ethanolamide</t>
  </si>
  <si>
    <t>Palmitoyl-arachidonoyl-glycerol (16:0/20:4) [1]*</t>
  </si>
  <si>
    <t>Palmitoyl-arachidonoyl-glycerol (16:0/20:4) [2]*</t>
  </si>
  <si>
    <t>Palmitoyl-docosahexaenoyl-glycerol (16:0/22:6) [1]*</t>
  </si>
  <si>
    <t>Palmitoyl-linolenoyl-glycerol (16:0/18:3) [2]*</t>
  </si>
  <si>
    <t>Palmitoyl-linoleoyl-glycerol (16:0/18:2) [1]*</t>
  </si>
  <si>
    <t>Palmitoyl-linoleoyl-glycerol (16:0/18:2) [2]*</t>
  </si>
  <si>
    <t>Palmitoyl-myristoyl-glycerol (16:0/14:0) [1]*</t>
  </si>
  <si>
    <t>Palmitoyl-myristoyl-glycerol (16:0/14:0) [2]</t>
  </si>
  <si>
    <t>Palmitoyl-oleoyl-glycerol (16:0/18:1) [1]*</t>
  </si>
  <si>
    <t>Palmitoyl-oleoyl-glycerol (16:0/18:1) [2]*</t>
  </si>
  <si>
    <t>Palmitoyl-palmitoyl-glycerol (16:0/16:0) [1]*</t>
  </si>
  <si>
    <t>Palmitoyl-palmitoyl-glycerol (16:0/16:0) [2]*</t>
  </si>
  <si>
    <t>Pantoprazole</t>
  </si>
  <si>
    <t>Paroxetine</t>
  </si>
  <si>
    <t>Perindopril</t>
  </si>
  <si>
    <t>Phenylalanylglycine</t>
  </si>
  <si>
    <t>Pioglitazone</t>
  </si>
  <si>
    <t>Pregabalin</t>
  </si>
  <si>
    <t>Pregnanolone/allopregnanolone sulfate</t>
  </si>
  <si>
    <t>Probenecid</t>
  </si>
  <si>
    <t>Propyl 4-hydroxybenzoate</t>
  </si>
  <si>
    <t>Quetiapine</t>
  </si>
  <si>
    <t>Quinine</t>
  </si>
  <si>
    <t>Ranitidine</t>
  </si>
  <si>
    <t>Retinal</t>
  </si>
  <si>
    <t>Ribonate</t>
  </si>
  <si>
    <t>Ribose</t>
  </si>
  <si>
    <t>Ribulonate/xylulonate*</t>
  </si>
  <si>
    <t>Ritalinic acid</t>
  </si>
  <si>
    <t>Ritonavir</t>
  </si>
  <si>
    <t>Rivaroxaban</t>
  </si>
  <si>
    <t>Rocuronium</t>
  </si>
  <si>
    <t>Saccharin</t>
  </si>
  <si>
    <t>Stearoyl-arachidonoyl-glycerol (18:0/20:4) [1]*</t>
  </si>
  <si>
    <t>Stearoyl-arachidonoyl-glycerol (18:0/20:4) [2]*</t>
  </si>
  <si>
    <t>Tauroursodeoxycholate</t>
  </si>
  <si>
    <t>Tetrahydrocortisol sulfate (1)</t>
  </si>
  <si>
    <t>Tetrahydrocortisone glucuronide (5)</t>
  </si>
  <si>
    <t>Threonylphenylalanine</t>
  </si>
  <si>
    <t>Triethanolamine</t>
  </si>
  <si>
    <t>Adenosine 5'-diphosphoribose (ADP-ribose)</t>
  </si>
  <si>
    <t>Adrenoylcarnitine (C22:4)*</t>
  </si>
  <si>
    <t>Alpha-CEHC</t>
  </si>
  <si>
    <t>Alpha-CEHC sulfate</t>
  </si>
  <si>
    <t>Alpha-CMBHC glucuronide</t>
  </si>
  <si>
    <t>Azelate (C9-DC)</t>
  </si>
  <si>
    <t>Bisphenol A</t>
  </si>
  <si>
    <t>Carnitine of C10H14O2 (5)*</t>
  </si>
  <si>
    <t>Docosapentaenoylcarnitine (C22:5n3)*</t>
  </si>
  <si>
    <t>Fibrinopeptide A (2-15)**</t>
  </si>
  <si>
    <t>Fibrinopeptide A (3-15)**</t>
  </si>
  <si>
    <t>Fibrinopeptide A (3-16)**</t>
  </si>
  <si>
    <t>Fibrinopeptide A (4-15)**</t>
  </si>
  <si>
    <t>Fibrinopeptide A (8-16)**</t>
  </si>
  <si>
    <t>Fibrinopeptide A, phosphono-ser(3)*</t>
  </si>
  <si>
    <t>Fibrinopeptide A*</t>
  </si>
  <si>
    <t>Fibrinopeptide B (1-11)**</t>
  </si>
  <si>
    <t>Fibrinopeptide B (1-12)**</t>
  </si>
  <si>
    <t>Fibrinopeptide B (1-13)**</t>
  </si>
  <si>
    <t>Fibrinopeptide B (1-9)**</t>
  </si>
  <si>
    <t>Glucuronide of C10H18O2 (1)*</t>
  </si>
  <si>
    <t>Glucuronide of C10H18O2 (8)*</t>
  </si>
  <si>
    <t>Hydroxypioglitazone (M-IV)</t>
  </si>
  <si>
    <t>Lactosyl-N-behenoyl-sphingosine (d18:1/22:0)*</t>
  </si>
  <si>
    <t>Methylmalonate (MMA)</t>
  </si>
  <si>
    <t>Perfluorohexanesulfonate (PFHxS)</t>
  </si>
  <si>
    <t>Phosphoenolpyruvate (PEP)</t>
  </si>
  <si>
    <t>Pimelate (C7-DC)</t>
  </si>
  <si>
    <t>Ranitidine N-oxide*</t>
  </si>
  <si>
    <t>Riboflavin (Vitamin B2)</t>
  </si>
  <si>
    <t>grouping</t>
  </si>
  <si>
    <t>Lipid metabolism</t>
  </si>
  <si>
    <t>Lipoproteins</t>
  </si>
  <si>
    <t>Carbohydrate/energy metabolism</t>
  </si>
  <si>
    <t>Nucleotide metabolism</t>
  </si>
  <si>
    <t>Cofactors and vitamins</t>
  </si>
  <si>
    <t>Amino acid metabolism</t>
  </si>
  <si>
    <t>Xenobiotics/other</t>
  </si>
  <si>
    <t>pathway_group</t>
  </si>
  <si>
    <t>metab_compid_57341</t>
  </si>
  <si>
    <t>metab_compid_57375</t>
  </si>
  <si>
    <t>metab_compid_35103</t>
  </si>
  <si>
    <t>metab_compid_36812</t>
  </si>
  <si>
    <t>metab_compid_52683</t>
  </si>
  <si>
    <t>metab_compid_52684</t>
  </si>
  <si>
    <t>metab_compid_54812</t>
  </si>
  <si>
    <t>metab_compid_31928</t>
  </si>
  <si>
    <t>metab_compid_52432</t>
  </si>
  <si>
    <t>metab_compid_52929</t>
  </si>
  <si>
    <t>metab_compid_52938</t>
  </si>
  <si>
    <t>metab_compid_32349</t>
  </si>
  <si>
    <t>metab_compid_43830</t>
  </si>
  <si>
    <t>metab_compid_27414</t>
  </si>
  <si>
    <t>metab_compid_55002</t>
  </si>
  <si>
    <t>metab_compid_61884</t>
  </si>
  <si>
    <t>metab_compid_48857</t>
  </si>
  <si>
    <t>metab_compid_62065</t>
  </si>
  <si>
    <t>metab_compid_57457</t>
  </si>
  <si>
    <t>metab_compid_57711</t>
  </si>
  <si>
    <t>metab_compid_32426</t>
  </si>
  <si>
    <t>metab_compid_52749</t>
  </si>
  <si>
    <t>metab_compid_54949</t>
  </si>
  <si>
    <t>metab_compid_54963</t>
  </si>
  <si>
    <t>metab_compid_35133</t>
  </si>
  <si>
    <t>metab_compid_52632</t>
  </si>
  <si>
    <t>metab_compid_47659</t>
  </si>
  <si>
    <t>metab_compid_47922</t>
  </si>
  <si>
    <t>metab_compid_47984</t>
  </si>
  <si>
    <t>metab_compid_46656</t>
  </si>
  <si>
    <t>metab_compid_47275</t>
  </si>
  <si>
    <t>metab_compid_46490</t>
  </si>
  <si>
    <t>metab_compid_48019</t>
  </si>
  <si>
    <t>metab_compid_48022</t>
  </si>
  <si>
    <t>metab_compid_48024</t>
  </si>
  <si>
    <t>metab_compid_48055</t>
  </si>
  <si>
    <t>metab_compid_48050</t>
  </si>
  <si>
    <t>metab_compid_46316</t>
  </si>
  <si>
    <t>metab_compid_46359</t>
  </si>
  <si>
    <t>metab_compid_47772</t>
  </si>
  <si>
    <t>metab_compid_47776</t>
  </si>
  <si>
    <t>metab_compid_52659</t>
  </si>
  <si>
    <t>metab_compid_48570</t>
  </si>
  <si>
    <t>metab_compid_48771</t>
  </si>
  <si>
    <t>metab_compid_48773</t>
  </si>
  <si>
    <t>metab_compid_48774</t>
  </si>
  <si>
    <t>metab_compid_48892</t>
  </si>
  <si>
    <t>metab_compid_48993</t>
  </si>
  <si>
    <t>metab_compid_48995</t>
  </si>
  <si>
    <t>metab_compid_49461</t>
  </si>
  <si>
    <t>metab_compid_52297</t>
  </si>
  <si>
    <t>metab_compid_52544</t>
  </si>
  <si>
    <t>metab_compid_52848</t>
  </si>
  <si>
    <t>metab_compid_52863</t>
  </si>
  <si>
    <t>metab_compid_53065</t>
  </si>
  <si>
    <t>metab_compid_53097</t>
  </si>
  <si>
    <t>metab_compid_53266</t>
  </si>
  <si>
    <t>metab_compid_57756</t>
  </si>
  <si>
    <t>metab_compid_62488</t>
  </si>
  <si>
    <t>metab_compid_62609</t>
  </si>
  <si>
    <t>metab_compid_62689</t>
  </si>
  <si>
    <t>metab_compid_62697</t>
  </si>
  <si>
    <t>2-Methylbutyrylglycine</t>
  </si>
  <si>
    <t>Amino acids, peptides, and analogues</t>
  </si>
  <si>
    <t>beta-Sitosterol</t>
  </si>
  <si>
    <t>Stigmastanes and derivatives</t>
  </si>
  <si>
    <t>FAD</t>
  </si>
  <si>
    <t>Flavin nucleotides</t>
  </si>
  <si>
    <t>Imidazoleacetic acid</t>
  </si>
  <si>
    <t>Imidazoles</t>
  </si>
  <si>
    <t>Fatty acid esters</t>
  </si>
  <si>
    <t>N-Carboxyethyl-g-aminobutyric acid</t>
  </si>
  <si>
    <t>Docosatrienoic acid</t>
  </si>
  <si>
    <t>Fatty acids and conjugates</t>
  </si>
  <si>
    <t>Stercobilinogen</t>
  </si>
  <si>
    <t>Bilirubins</t>
  </si>
  <si>
    <t>2-Methylguanosine</t>
  </si>
  <si>
    <t>DG(16:1(9Z)/18:1(9Z)/0:0)</t>
  </si>
  <si>
    <t>Diradylglycerols</t>
  </si>
  <si>
    <t>DG(18:2(9Z,12Z)/18:3(6Z,9Z,12Z)/0:0)</t>
  </si>
  <si>
    <t>Lineolic acids and derivatives</t>
  </si>
  <si>
    <t>LysoPA(18:1(9Z)/0:0)</t>
  </si>
  <si>
    <t>Glycerophosphates</t>
  </si>
  <si>
    <t>PC(16:0/18:3(6Z,9Z,12Z))</t>
  </si>
  <si>
    <t>Glycerophosphocholines</t>
  </si>
  <si>
    <t>PC(16:0/18:3(9Z,12Z,15Z))</t>
  </si>
  <si>
    <t>PC(16:1(9Z)/18:2(9Z,12Z))</t>
  </si>
  <si>
    <t>PE(16:0/16:0)</t>
  </si>
  <si>
    <t>Glycerophosphoethanolamines</t>
  </si>
  <si>
    <t>PE(18:2(9Z,12Z)/18:2(9Z,12Z))</t>
  </si>
  <si>
    <t>PI(16:0/16:0)</t>
  </si>
  <si>
    <t>Glycerophosphoinositols</t>
  </si>
  <si>
    <t>Indoxyl glucuronide</t>
  </si>
  <si>
    <t>Carbohydrates and carbohydrate conjugates</t>
  </si>
  <si>
    <t>LysoPC(20:2(11Z,14Z)/0:0)</t>
  </si>
  <si>
    <t>MG(16:1(9Z)/0:0/0:0)</t>
  </si>
  <si>
    <t>Monoradylglycerols</t>
  </si>
  <si>
    <t>Glycerophosphoglycerol</t>
  </si>
  <si>
    <t>Phosphate esters</t>
  </si>
  <si>
    <t>gamma-Glutamyl-2-aminobutyrate</t>
  </si>
  <si>
    <t>7-oxolithocholic acid</t>
  </si>
  <si>
    <t>C24 bile acids</t>
  </si>
  <si>
    <t>3-Hydroxy stearic acid</t>
  </si>
  <si>
    <t>Other Octadecanoids</t>
  </si>
  <si>
    <t>3,4-methylene-heptanoylcarnitine</t>
  </si>
  <si>
    <t>diacylclycerol (12:0/18:1, 14:0/16:1, 16:0/14:1) [1]*</t>
  </si>
  <si>
    <t>glucuronide of C10H18O2 (4)*</t>
  </si>
  <si>
    <t>glyco-alpha-muricholate</t>
  </si>
  <si>
    <t>glycosyl ceramide (d16:1/24:1, d18:1/22:1)*</t>
  </si>
  <si>
    <t>HWESASXX*</t>
  </si>
  <si>
    <t>linoleoyl-docosahexaenoyl-glyerol (18:2/22:6) [1]*</t>
  </si>
  <si>
    <t>X - 12117</t>
  </si>
  <si>
    <t>X - 12329</t>
  </si>
  <si>
    <t>X - 12543</t>
  </si>
  <si>
    <t>X - 12714</t>
  </si>
  <si>
    <t>X - 12731</t>
  </si>
  <si>
    <t>X - 14082</t>
  </si>
  <si>
    <t>X - 14662</t>
  </si>
  <si>
    <t>X - 16343</t>
  </si>
  <si>
    <t>X - 46490</t>
  </si>
  <si>
    <t>X - 17346</t>
  </si>
  <si>
    <t>X - 17354</t>
  </si>
  <si>
    <t>X - 17655</t>
  </si>
  <si>
    <t>X - 17677</t>
  </si>
  <si>
    <t>X - 48024</t>
  </si>
  <si>
    <t>X - 17765</t>
  </si>
  <si>
    <t>X - 18935</t>
  </si>
  <si>
    <t>X - 18938</t>
  </si>
  <si>
    <t>X - 21295</t>
  </si>
  <si>
    <t>X - 21315</t>
  </si>
  <si>
    <t>X - 22508</t>
  </si>
  <si>
    <t>X - 22509</t>
  </si>
  <si>
    <t>X - 22512</t>
  </si>
  <si>
    <t>X - 22918</t>
  </si>
  <si>
    <t>X - 23046</t>
  </si>
  <si>
    <t>X - 23157</t>
  </si>
  <si>
    <t>X - 23159</t>
  </si>
  <si>
    <t>X - 23160</t>
  </si>
  <si>
    <t>X - 23196</t>
  </si>
  <si>
    <t>X - 23294</t>
  </si>
  <si>
    <t>X - 23585</t>
  </si>
  <si>
    <t>X - 24293</t>
  </si>
  <si>
    <t>X - 24348</t>
  </si>
  <si>
    <t>X - 24527</t>
  </si>
  <si>
    <t>X - 24542</t>
  </si>
  <si>
    <t>X - 24637</t>
  </si>
  <si>
    <t>X - 24669</t>
  </si>
  <si>
    <t>X - 24747</t>
  </si>
  <si>
    <t>X - 24972</t>
  </si>
  <si>
    <t>X - 25259</t>
  </si>
  <si>
    <t>X - 25316</t>
  </si>
  <si>
    <t>X - 25396</t>
  </si>
  <si>
    <t>X - 25404</t>
  </si>
  <si>
    <t>X-12329</t>
  </si>
  <si>
    <t>X-12543</t>
  </si>
  <si>
    <t>X-14082</t>
  </si>
  <si>
    <t>X-14662</t>
  </si>
  <si>
    <t>X-16343</t>
  </si>
  <si>
    <t>X-46490</t>
  </si>
  <si>
    <t>X-17655</t>
  </si>
  <si>
    <t>X-17677</t>
  </si>
  <si>
    <t>X-48024</t>
  </si>
  <si>
    <t>X-17765</t>
  </si>
  <si>
    <t>X-18938</t>
  </si>
  <si>
    <t>X-21295</t>
  </si>
  <si>
    <t>X-21315</t>
  </si>
  <si>
    <t>X-22508</t>
  </si>
  <si>
    <t>X-22512</t>
  </si>
  <si>
    <t>X-22918</t>
  </si>
  <si>
    <t>X-23046</t>
  </si>
  <si>
    <t>X-23157</t>
  </si>
  <si>
    <t>X-23159</t>
  </si>
  <si>
    <t>X-23160</t>
  </si>
  <si>
    <t>X-23196</t>
  </si>
  <si>
    <t>X-23294</t>
  </si>
  <si>
    <t>X-23296</t>
  </si>
  <si>
    <t>X-23585</t>
  </si>
  <si>
    <t>X-24293</t>
  </si>
  <si>
    <t>X-24348</t>
  </si>
  <si>
    <t>X-24527</t>
  </si>
  <si>
    <t>X-24542</t>
  </si>
  <si>
    <t>X-24637</t>
  </si>
  <si>
    <t>X-24669</t>
  </si>
  <si>
    <t>X-24747</t>
  </si>
  <si>
    <t>X-24972</t>
  </si>
  <si>
    <t>X-25259</t>
  </si>
  <si>
    <t>X-25316</t>
  </si>
  <si>
    <t>X-25396</t>
  </si>
  <si>
    <t>X-25404</t>
  </si>
  <si>
    <t>X-09789</t>
  </si>
  <si>
    <t>X-11261</t>
  </si>
  <si>
    <t>X-11438</t>
  </si>
  <si>
    <t>X-11440</t>
  </si>
  <si>
    <t>X-11441</t>
  </si>
  <si>
    <t>X-11442</t>
  </si>
  <si>
    <t>X-11491</t>
  </si>
  <si>
    <t>X-11522</t>
  </si>
  <si>
    <t>X-11530</t>
  </si>
  <si>
    <t>X-11549</t>
  </si>
  <si>
    <t>X-11564</t>
  </si>
  <si>
    <t>X-11805</t>
  </si>
  <si>
    <t>X-12015</t>
  </si>
  <si>
    <t>X-12063</t>
  </si>
  <si>
    <t>X-12126</t>
  </si>
  <si>
    <t>X-12170</t>
  </si>
  <si>
    <t>X-12206</t>
  </si>
  <si>
    <t>X-12212</t>
  </si>
  <si>
    <t>X-12230</t>
  </si>
  <si>
    <t>X-12442</t>
  </si>
  <si>
    <t>X-12459</t>
  </si>
  <si>
    <t>X-12472</t>
  </si>
  <si>
    <t>X-12524</t>
  </si>
  <si>
    <t>X-12718</t>
  </si>
  <si>
    <t>X-12739</t>
  </si>
  <si>
    <t>X-12846</t>
  </si>
  <si>
    <t>X-13689</t>
  </si>
  <si>
    <t>X-13737</t>
  </si>
  <si>
    <t>X-13835</t>
  </si>
  <si>
    <t>X-14626</t>
  </si>
  <si>
    <t>X-14658</t>
  </si>
  <si>
    <t>X-14838</t>
  </si>
  <si>
    <t>X-15469</t>
  </si>
  <si>
    <t>X-15492</t>
  </si>
  <si>
    <t>X-15674</t>
  </si>
  <si>
    <t>X-16071</t>
  </si>
  <si>
    <t>X-16123</t>
  </si>
  <si>
    <t>X-16570</t>
  </si>
  <si>
    <t>X-16654</t>
  </si>
  <si>
    <t>X-16938</t>
  </si>
  <si>
    <t>X-16944</t>
  </si>
  <si>
    <t>X-16946</t>
  </si>
  <si>
    <t>X-17145</t>
  </si>
  <si>
    <t>X-17166</t>
  </si>
  <si>
    <t>X-17167</t>
  </si>
  <si>
    <t>X-17178</t>
  </si>
  <si>
    <t>X-17179</t>
  </si>
  <si>
    <t>X-17189</t>
  </si>
  <si>
    <t>X-17299</t>
  </si>
  <si>
    <t>X-17327</t>
  </si>
  <si>
    <t>X-17337</t>
  </si>
  <si>
    <t>X-17340</t>
  </si>
  <si>
    <t>X-17359</t>
  </si>
  <si>
    <t>X-18249</t>
  </si>
  <si>
    <t>X-18899</t>
  </si>
  <si>
    <t>X-18914</t>
  </si>
  <si>
    <t>X-21411</t>
  </si>
  <si>
    <t>X-21448</t>
  </si>
  <si>
    <t>X-21458</t>
  </si>
  <si>
    <t>X-21626</t>
  </si>
  <si>
    <t>X-21729</t>
  </si>
  <si>
    <t>X-21735</t>
  </si>
  <si>
    <t>X-21785</t>
  </si>
  <si>
    <t>X-21792</t>
  </si>
  <si>
    <t>X-22764</t>
  </si>
  <si>
    <t>X-22775</t>
  </si>
  <si>
    <t>X-23293</t>
  </si>
  <si>
    <t>X-23295</t>
  </si>
  <si>
    <t>X-23297</t>
  </si>
  <si>
    <t>X-23314</t>
  </si>
  <si>
    <t>X-23369</t>
  </si>
  <si>
    <t>X-23590</t>
  </si>
  <si>
    <t>X-24106</t>
  </si>
  <si>
    <t>X-24309</t>
  </si>
  <si>
    <t>X-24329</t>
  </si>
  <si>
    <t>X-24432</t>
  </si>
  <si>
    <t>X-24435</t>
  </si>
  <si>
    <t>X-24452</t>
  </si>
  <si>
    <t>X-24514</t>
  </si>
  <si>
    <t>X-24549</t>
  </si>
  <si>
    <t>X-24686</t>
  </si>
  <si>
    <t>X-24699</t>
  </si>
  <si>
    <t>X-24748</t>
  </si>
  <si>
    <t>X-24766</t>
  </si>
  <si>
    <t>X-24803</t>
  </si>
  <si>
    <t>X-24804</t>
  </si>
  <si>
    <t>X-24813</t>
  </si>
  <si>
    <t>X-24831</t>
  </si>
  <si>
    <t>X-24849</t>
  </si>
  <si>
    <t>X-24870</t>
  </si>
  <si>
    <t>X-24948</t>
  </si>
  <si>
    <t>X-24974</t>
  </si>
  <si>
    <t>X-24983</t>
  </si>
  <si>
    <t>X-25182</t>
  </si>
  <si>
    <t>X-25416</t>
  </si>
  <si>
    <t>hydroxyasparagine</t>
  </si>
  <si>
    <t>alpha-ketoglutaramate</t>
  </si>
  <si>
    <t>pyroglutamine</t>
  </si>
  <si>
    <t>N-carbamoylvaline</t>
  </si>
  <si>
    <t>hydroxy-N6,N6,N6-trimethyllysine</t>
  </si>
  <si>
    <t>2,3-dihydroxy-5-methylthio-4-pentenoate (DMTPA)</t>
  </si>
  <si>
    <t>5-methylthioribose</t>
  </si>
  <si>
    <t>erythronate</t>
  </si>
  <si>
    <t>gulonate</t>
  </si>
  <si>
    <t>ascorbic acid 3-sulfate</t>
  </si>
  <si>
    <t>nicotinamide N-oxide</t>
  </si>
  <si>
    <t>gamma-CEHC glucuronide</t>
  </si>
  <si>
    <t>andro steroid monosulfate C19H28O6S (1)</t>
  </si>
  <si>
    <t>1-palmitoyl-2-palmitoleoyl-GPC (16:0/16:1)</t>
  </si>
  <si>
    <t>behenoyl dihydrosphingomyelin (d18:0/22:0)</t>
  </si>
  <si>
    <t>sphingomyelin (d18:0/20:0, d16:0/22:0)</t>
  </si>
  <si>
    <t>dodecadienoate (12:2)</t>
  </si>
  <si>
    <t>heptenedioate (C7:1-DC)</t>
  </si>
  <si>
    <t>decadienedioic acid (C10:2-DC)</t>
  </si>
  <si>
    <t>8-hydroxyoctanoate</t>
  </si>
  <si>
    <t>3-hydroxydecanoyl carnitine</t>
  </si>
  <si>
    <t>undecanoate (11:0)</t>
  </si>
  <si>
    <t>pelargonate (9:0)</t>
  </si>
  <si>
    <t>1-(1-enyl-stearoyl)-2-arachidonoyl-GPE (P-18:0/20:4)</t>
  </si>
  <si>
    <t>1-(1-enyl-palmitoyl)-2-arachidonoyl-GPE (P-16:0/20:4)</t>
  </si>
  <si>
    <t>hydroxy-undecanedioate (OH-C11:0-DC)</t>
  </si>
  <si>
    <t>pregnenediol sulfate (C21H34O5S)</t>
  </si>
  <si>
    <t>pregnenetriol sulfate</t>
  </si>
  <si>
    <t>sphingomyelin (d18:1/20:1, d18:2/20:0)</t>
  </si>
  <si>
    <t>sphingomyelin (d18:2/18:1)</t>
  </si>
  <si>
    <t>sphingomyelin (d18:2/21:0, d16:2/23:0)</t>
  </si>
  <si>
    <t>sphingomyelin (d17:2/16:0, d18:2/15:0)</t>
  </si>
  <si>
    <t>sphingomyelin (d18:2/23:0, d18:1/23:1, d17:1/24:1)</t>
  </si>
  <si>
    <t>sphingomyelin (d18:1/25:0, d19:0/24:1, d20:1/23:0, d19:1/24:0)</t>
  </si>
  <si>
    <t>sphingomyelin (d18:1/22:1, d18:2/22:0, d16:1/24:1)</t>
  </si>
  <si>
    <t>sphingomyelin (d18:1/21:0, d17:1/22:0, d16:1/23:0)</t>
  </si>
  <si>
    <t>tricosanoyl sphingomyelin (d18:1/23:0)</t>
  </si>
  <si>
    <t>branched-chain, straight-chain, or cyclopropyl 12:1 fatty acid</t>
  </si>
  <si>
    <t>pentose acid</t>
  </si>
  <si>
    <t>glutamine conjugate of C6H10O2 (1)</t>
  </si>
  <si>
    <t>glutamine conjugate of C6H10O2 (2)</t>
  </si>
  <si>
    <t>3-hydroxystachydrine</t>
  </si>
  <si>
    <t>sulfate</t>
  </si>
  <si>
    <t>mannonate</t>
  </si>
  <si>
    <t>X23593</t>
  </si>
  <si>
    <t>X11880</t>
  </si>
  <si>
    <t>X21364</t>
  </si>
  <si>
    <t>X24531</t>
  </si>
  <si>
    <t>X12111</t>
  </si>
  <si>
    <t>X24951</t>
  </si>
  <si>
    <t>X11372</t>
  </si>
  <si>
    <t>X24408</t>
  </si>
  <si>
    <t>X22519</t>
  </si>
  <si>
    <t>X13507</t>
  </si>
  <si>
    <t>X23314</t>
  </si>
  <si>
    <t>X21342</t>
  </si>
  <si>
    <t>X25422</t>
  </si>
  <si>
    <t>X12117</t>
  </si>
  <si>
    <t>X18886</t>
  </si>
  <si>
    <t>X12100</t>
  </si>
  <si>
    <t>X17357</t>
  </si>
  <si>
    <t>X21339</t>
  </si>
  <si>
    <t>X12906</t>
  </si>
  <si>
    <t>X25948</t>
  </si>
  <si>
    <t>X23581</t>
  </si>
  <si>
    <t>X15469</t>
  </si>
  <si>
    <t>X16935</t>
  </si>
  <si>
    <t>X25411</t>
  </si>
  <si>
    <t>X12007</t>
  </si>
  <si>
    <t>X15461</t>
  </si>
  <si>
    <t>X25343</t>
  </si>
  <si>
    <t>X15523</t>
  </si>
  <si>
    <t>X12812</t>
  </si>
  <si>
    <t>X12096</t>
  </si>
  <si>
    <t>X22162</t>
  </si>
  <si>
    <t>X25433</t>
  </si>
  <si>
    <t>X16397</t>
  </si>
  <si>
    <t>X25398</t>
  </si>
  <si>
    <t>X17676</t>
  </si>
  <si>
    <t>X11315</t>
  </si>
  <si>
    <t>X12462</t>
  </si>
  <si>
    <t>X11444</t>
  </si>
  <si>
    <t>X21360</t>
  </si>
  <si>
    <t>X24556</t>
  </si>
  <si>
    <t>X12411</t>
  </si>
  <si>
    <t>X24494</t>
  </si>
  <si>
    <t>X21362</t>
  </si>
  <si>
    <t>X25452</t>
  </si>
  <si>
    <t>X13844</t>
  </si>
  <si>
    <t>X24422</t>
  </si>
  <si>
    <t>X12847</t>
  </si>
  <si>
    <t>X15503</t>
  </si>
  <si>
    <t>X25790</t>
  </si>
  <si>
    <t>X23780</t>
  </si>
  <si>
    <t>X25983</t>
  </si>
  <si>
    <t>X14056</t>
  </si>
  <si>
    <t>X24518</t>
  </si>
  <si>
    <t>X17653</t>
  </si>
  <si>
    <t>X12707</t>
  </si>
  <si>
    <t>X25957</t>
  </si>
  <si>
    <t>X23590</t>
  </si>
  <si>
    <t>X21353</t>
  </si>
  <si>
    <t>X16087</t>
  </si>
  <si>
    <t>X25401</t>
  </si>
  <si>
    <t>X15220</t>
  </si>
  <si>
    <t>X11308</t>
  </si>
  <si>
    <t>X24736</t>
  </si>
  <si>
    <t>X18921</t>
  </si>
  <si>
    <t>X18922</t>
  </si>
  <si>
    <t>X25405</t>
  </si>
  <si>
    <t>X21736</t>
  </si>
  <si>
    <t>X16245</t>
  </si>
  <si>
    <t>X25407</t>
  </si>
  <si>
    <t>X25402</t>
  </si>
  <si>
    <t>X12193</t>
  </si>
  <si>
    <t>X12101</t>
  </si>
  <si>
    <t>X11407</t>
  </si>
  <si>
    <t>X17335</t>
  </si>
  <si>
    <t>X12112</t>
  </si>
  <si>
    <t>X13835</t>
  </si>
  <si>
    <t>X12680</t>
  </si>
  <si>
    <t>X24928</t>
  </si>
  <si>
    <t>X25519</t>
  </si>
  <si>
    <t>X23047</t>
  </si>
  <si>
    <t>X11578</t>
  </si>
  <si>
    <t>X25451</t>
  </si>
  <si>
    <t>X18901</t>
  </si>
  <si>
    <t>X24757</t>
  </si>
  <si>
    <t>X18913</t>
  </si>
  <si>
    <t>X23997</t>
  </si>
  <si>
    <t>X25395</t>
  </si>
  <si>
    <t>X24949</t>
  </si>
  <si>
    <t>X21448</t>
  </si>
  <si>
    <t>X17612</t>
  </si>
  <si>
    <t>X25474</t>
  </si>
  <si>
    <t>X25400</t>
  </si>
  <si>
    <t>X21355</t>
  </si>
  <si>
    <t>X12729</t>
  </si>
  <si>
    <t>X25397</t>
  </si>
  <si>
    <t>X11470</t>
  </si>
  <si>
    <t>X25419</t>
  </si>
  <si>
    <t>X21258</t>
  </si>
  <si>
    <t>X25473</t>
  </si>
  <si>
    <t>X12026</t>
  </si>
  <si>
    <t>X23786</t>
  </si>
  <si>
    <t>X25378</t>
  </si>
  <si>
    <t>X25382</t>
  </si>
  <si>
    <t>X21740</t>
  </si>
  <si>
    <t>X11852</t>
  </si>
  <si>
    <t>X11478</t>
  </si>
  <si>
    <t>X21310</t>
  </si>
  <si>
    <t>X21319</t>
  </si>
  <si>
    <t>X18345</t>
  </si>
  <si>
    <t>X17146</t>
  </si>
  <si>
    <t>X24243</t>
  </si>
  <si>
    <t>X13684</t>
  </si>
  <si>
    <t>X12283</t>
  </si>
  <si>
    <t>X24295</t>
  </si>
  <si>
    <t>X24947</t>
  </si>
  <si>
    <t>X25429</t>
  </si>
  <si>
    <t>X15492</t>
  </si>
  <si>
    <t>X25399</t>
  </si>
  <si>
    <t>X24762</t>
  </si>
  <si>
    <t>X25384</t>
  </si>
  <si>
    <t>X17340</t>
  </si>
  <si>
    <t>X15486</t>
  </si>
  <si>
    <t>X17185</t>
  </si>
  <si>
    <t>X25520</t>
  </si>
  <si>
    <t>X23739</t>
  </si>
  <si>
    <t>X23680</t>
  </si>
  <si>
    <t>X11843</t>
  </si>
  <si>
    <t>X17351</t>
  </si>
  <si>
    <t>X24455</t>
  </si>
  <si>
    <t>X24801</t>
  </si>
  <si>
    <t>X12798</t>
  </si>
  <si>
    <t>X24475</t>
  </si>
  <si>
    <t>X19141</t>
  </si>
  <si>
    <t>X12544</t>
  </si>
  <si>
    <t>X24411</t>
  </si>
  <si>
    <t>X12104</t>
  </si>
  <si>
    <t>X17690</t>
  </si>
  <si>
    <t>X25381</t>
  </si>
  <si>
    <t>X25389</t>
  </si>
  <si>
    <t>X13866</t>
  </si>
  <si>
    <t>X17438</t>
  </si>
  <si>
    <t>X21383</t>
  </si>
  <si>
    <t>X18779</t>
  </si>
  <si>
    <t>X24328</t>
  </si>
  <si>
    <t>X23639</t>
  </si>
  <si>
    <t>X16944</t>
  </si>
  <si>
    <t>X21796</t>
  </si>
  <si>
    <t>X16570</t>
  </si>
  <si>
    <t>X21628</t>
  </si>
  <si>
    <t>X24764</t>
  </si>
  <si>
    <t>X23782</t>
  </si>
  <si>
    <t>X21607</t>
  </si>
  <si>
    <t>X25453</t>
  </si>
  <si>
    <t>X23659</t>
  </si>
  <si>
    <t>X13553</t>
  </si>
  <si>
    <t>X12844</t>
  </si>
  <si>
    <t>X24544</t>
  </si>
  <si>
    <t>X24812</t>
  </si>
  <si>
    <t>X15728</t>
  </si>
  <si>
    <t>X15674</t>
  </si>
  <si>
    <t>X25386</t>
  </si>
  <si>
    <t>X25374</t>
  </si>
  <si>
    <t>X16580</t>
  </si>
  <si>
    <t>X12216</t>
  </si>
  <si>
    <t>X12524</t>
  </si>
  <si>
    <t>X13729</t>
  </si>
  <si>
    <t>X25385</t>
  </si>
  <si>
    <t>X21286</t>
  </si>
  <si>
    <t>X21442</t>
  </si>
  <si>
    <t>X23587</t>
  </si>
  <si>
    <t>X24410</t>
  </si>
  <si>
    <t>X24699</t>
  </si>
  <si>
    <t>X24588</t>
  </si>
  <si>
    <t>X11483</t>
  </si>
  <si>
    <t>X21441</t>
  </si>
  <si>
    <t>X11850</t>
  </si>
  <si>
    <t>X22771</t>
  </si>
  <si>
    <t>X25427</t>
  </si>
  <si>
    <t>X21283</t>
  </si>
  <si>
    <t>X25431</t>
  </si>
  <si>
    <t>X11787</t>
  </si>
  <si>
    <t>X21834</t>
  </si>
  <si>
    <t>X23644</t>
  </si>
  <si>
    <t>X18887</t>
  </si>
  <si>
    <t>X25406</t>
  </si>
  <si>
    <t>X24431</t>
  </si>
  <si>
    <t>X17654</t>
  </si>
  <si>
    <t>X25810</t>
  </si>
  <si>
    <t>X11442</t>
  </si>
  <si>
    <t>X25396</t>
  </si>
  <si>
    <t>X14939</t>
  </si>
  <si>
    <t>X24473</t>
  </si>
  <si>
    <t>X12822</t>
  </si>
  <si>
    <t>X25271</t>
  </si>
  <si>
    <t>X24849</t>
  </si>
  <si>
    <t>X11795</t>
  </si>
  <si>
    <t>X16964</t>
  </si>
  <si>
    <t>X23922</t>
  </si>
  <si>
    <t>X24975</t>
  </si>
  <si>
    <t>X12718</t>
  </si>
  <si>
    <t>X24474</t>
  </si>
  <si>
    <t>X17010</t>
  </si>
  <si>
    <t>X13431</t>
  </si>
  <si>
    <t>X25420</t>
  </si>
  <si>
    <t>X17323</t>
  </si>
  <si>
    <t>X21669</t>
  </si>
  <si>
    <t>X25545</t>
  </si>
  <si>
    <t>X11299</t>
  </si>
  <si>
    <t>X15245</t>
  </si>
  <si>
    <t>X23583</t>
  </si>
  <si>
    <t>X12851</t>
  </si>
  <si>
    <t>X23665</t>
  </si>
  <si>
    <t>X21821</t>
  </si>
  <si>
    <t>X21470</t>
  </si>
  <si>
    <t>X21471</t>
  </si>
  <si>
    <t>X11441</t>
  </si>
  <si>
    <t>X11530</t>
  </si>
  <si>
    <t>X07765</t>
  </si>
  <si>
    <t>X12849</t>
  </si>
  <si>
    <t>X25371</t>
  </si>
  <si>
    <t>X16946</t>
  </si>
  <si>
    <t>X23641</t>
  </si>
  <si>
    <t>X23188</t>
  </si>
  <si>
    <t>X24798</t>
  </si>
  <si>
    <t>X15666</t>
  </si>
  <si>
    <t>X21467</t>
  </si>
  <si>
    <t>X25404</t>
  </si>
  <si>
    <t>X12410</t>
  </si>
  <si>
    <t>X18888</t>
  </si>
  <si>
    <t>X11522</t>
  </si>
  <si>
    <t>X11261</t>
  </si>
  <si>
    <t>X24549</t>
  </si>
  <si>
    <t>X24813</t>
  </si>
  <si>
    <t>X24337</t>
  </si>
  <si>
    <t>liu_name</t>
  </si>
  <si>
    <t>none</t>
  </si>
  <si>
    <t>biomarker_id</t>
  </si>
  <si>
    <t>biomarker_name</t>
  </si>
  <si>
    <t>acace</t>
  </si>
  <si>
    <t>ace</t>
  </si>
  <si>
    <t>alb</t>
  </si>
  <si>
    <t>apobbyapoa1</t>
  </si>
  <si>
    <t>bohbut</t>
  </si>
  <si>
    <t>cit</t>
  </si>
  <si>
    <t>clinldlc</t>
  </si>
  <si>
    <t>crea</t>
  </si>
  <si>
    <t>dhabyfa</t>
  </si>
  <si>
    <t>faw3</t>
  </si>
  <si>
    <t>faw3byfa</t>
  </si>
  <si>
    <t>faw6</t>
  </si>
  <si>
    <t>faw6byfa</t>
  </si>
  <si>
    <t>faw6byfaw3</t>
  </si>
  <si>
    <t>glc</t>
  </si>
  <si>
    <t>gp</t>
  </si>
  <si>
    <t>hdld</t>
  </si>
  <si>
    <t>HDL particle size</t>
  </si>
  <si>
    <t>labyfa</t>
  </si>
  <si>
    <t>lac</t>
  </si>
  <si>
    <t>mufabyfa</t>
  </si>
  <si>
    <t>pc</t>
  </si>
  <si>
    <t>pg</t>
  </si>
  <si>
    <t>pufabyfa</t>
  </si>
  <si>
    <t>pufabymufa</t>
  </si>
  <si>
    <t>pureldlc</t>
  </si>
  <si>
    <t>pureldlce</t>
  </si>
  <si>
    <t>pureldld</t>
  </si>
  <si>
    <t>LDL particle size</t>
  </si>
  <si>
    <t>pureldlfc</t>
  </si>
  <si>
    <t>pureldll</t>
  </si>
  <si>
    <t>pureldlp</t>
  </si>
  <si>
    <t>pureldlpl</t>
  </si>
  <si>
    <t>pureldltg</t>
  </si>
  <si>
    <t>pyr</t>
  </si>
  <si>
    <t>sfabyfa</t>
  </si>
  <si>
    <t>sm</t>
  </si>
  <si>
    <t>tgbypg</t>
  </si>
  <si>
    <t>totfa</t>
  </si>
  <si>
    <t>unsat</t>
  </si>
  <si>
    <t>vldld</t>
  </si>
  <si>
    <t>VLDL particle size</t>
  </si>
  <si>
    <t>julkunen_name</t>
  </si>
  <si>
    <t>group_name</t>
  </si>
  <si>
    <t>IDL (average diameter 28.6 nm)</t>
  </si>
  <si>
    <t>Large HDL (average diameter 12.1 nm)</t>
  </si>
  <si>
    <t>Large LDL (average diameter 25.5 nm)</t>
  </si>
  <si>
    <t>Large VLDL (average diameter 53.6 nm)</t>
  </si>
  <si>
    <t>Medium HDL (average diameter 10.9 nm)</t>
  </si>
  <si>
    <t>Medium LDL (average diameter 23 nm)</t>
  </si>
  <si>
    <t>Medium VLDL (average diameter 44.5 nm)</t>
  </si>
  <si>
    <t>Small HDL (average diameter 8.7 nm)</t>
  </si>
  <si>
    <t>Small LDL (average diameter 18.7 nm)</t>
  </si>
  <si>
    <t>Small VLDL (average diameter 36.8 nm)</t>
  </si>
  <si>
    <t>Very large HDL (average diameter 14.3 nm)</t>
  </si>
  <si>
    <t>Very large VLDL (average diameter 64 nm)</t>
  </si>
  <si>
    <t>Very small VLDL (average diameter 31.3 nm)</t>
  </si>
  <si>
    <t>Chylomicrons and extremely large VLDL (particle diameters from 75 nm upwards)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</si>
</sst>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color rgb="FF000000"/>
      <name val="Aptos Narrow"/>
      <family val="2"/>
      <scheme val="minor"/>
    </font>
    <font>
      <sz val="12"/>
      <color theme="1"/>
      <name val="Aptos Narrow"/>
      <scheme val="minor"/>
    </font>
    <font>
      <sz val="11"/>
      <color rgb="FF000000"/>
      <name val="Lucida Grande"/>
      <family val="2"/>
    </font>
    <font>
      <sz val="8"/>
      <name val="Aptos Narrow"/>
      <family val="2"/>
      <scheme val="minor"/>
    </font>
    <font>
      <sz val="10"/>
      <color theme="1"/>
      <name val="Arial"/>
      <family val="2"/>
    </font>
    <font>
      <sz val="12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3">
    <xf numFmtId="0" fontId="0" fillId="0" borderId="0" xfId="0"/>
    <xf numFmtId="11" fontId="0" fillId="0" borderId="0" xfId="0" applyNumberFormat="1"/>
    <xf numFmtId="0" fontId="18" fillId="0" borderId="0" xfId="0" applyFont="1"/>
    <xf numFmtId="0" fontId="19" fillId="0" borderId="0" xfId="0" applyFont="1"/>
    <xf numFmtId="0" fontId="20" fillId="0" borderId="0" xfId="0" applyFont="1"/>
    <xf numFmtId="3" fontId="0" fillId="0" borderId="0" xfId="0" applyNumberFormat="1"/>
    <xf numFmtId="14" fontId="0" fillId="0" borderId="0" xfId="0" applyNumberFormat="1"/>
    <xf numFmtId="0" fontId="16" fillId="0" borderId="0" xfId="0" applyFont="1" applyAlignment="1">
      <alignment vertical="top"/>
    </xf>
    <xf numFmtId="0" fontId="21" fillId="0" borderId="0" xfId="0" applyFont="1"/>
    <xf numFmtId="0" fontId="23" fillId="0" borderId="0" xfId="0" applyFont="1" applyAlignment="1">
      <alignment horizontal="center" vertical="center"/>
    </xf>
    <xf numFmtId="0" fontId="23" fillId="0" borderId="0" xfId="0" applyFont="1" applyAlignment="1">
      <alignment horizontal="right" vertical="center"/>
    </xf>
    <xf numFmtId="0" fontId="23" fillId="0" borderId="0" xfId="0" applyFont="1"/>
    <xf numFmtId="0" fontId="24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3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266275-FBF7-CD4E-A1C1-75BF59EB72DA}">
  <dimension ref="A1:S1873"/>
  <sheetViews>
    <sheetView tabSelected="1" workbookViewId="0">
      <pane ySplit="1" topLeftCell="A326" activePane="bottomLeft" state="frozen"/>
      <selection pane="bottomLeft" activeCell="E352" sqref="E352:F352"/>
    </sheetView>
  </sheetViews>
  <sheetFormatPr baseColWidth="10" defaultRowHeight="16" x14ac:dyDescent="0.2"/>
  <cols>
    <col min="1" max="1" width="20" bestFit="1" customWidth="1"/>
    <col min="2" max="2" width="15" customWidth="1"/>
    <col min="3" max="3" width="35" bestFit="1" customWidth="1"/>
    <col min="4" max="4" width="25.5" customWidth="1"/>
    <col min="5" max="5" width="12.6640625" customWidth="1"/>
    <col min="6" max="6" width="13.5" bestFit="1" customWidth="1"/>
    <col min="7" max="7" width="22.6640625" customWidth="1"/>
    <col min="8" max="8" width="23.5" customWidth="1"/>
    <col min="9" max="9" width="38" customWidth="1"/>
    <col min="10" max="10" width="42.5" style="4" customWidth="1"/>
    <col min="11" max="11" width="24.33203125" customWidth="1"/>
    <col min="12" max="12" width="45" customWidth="1"/>
    <col min="13" max="13" width="20.33203125" customWidth="1"/>
    <col min="14" max="14" width="19.1640625" customWidth="1"/>
    <col min="15" max="15" width="18.6640625" customWidth="1"/>
    <col min="16" max="16" width="27.5" customWidth="1"/>
    <col min="17" max="17" width="18" customWidth="1"/>
  </cols>
  <sheetData>
    <row r="1" spans="1:19" s="2" customFormat="1" x14ac:dyDescent="0.2">
      <c r="A1" s="2" t="s">
        <v>13424</v>
      </c>
      <c r="B1" s="2" t="s">
        <v>11311</v>
      </c>
      <c r="C1" s="2" t="s">
        <v>10555</v>
      </c>
      <c r="D1" s="2" t="s">
        <v>20131</v>
      </c>
      <c r="E1" s="2" t="s">
        <v>19773</v>
      </c>
      <c r="F1" s="2" t="s">
        <v>19872</v>
      </c>
      <c r="G1" s="2" t="s">
        <v>20694</v>
      </c>
      <c r="H1" s="2" t="s">
        <v>20740</v>
      </c>
      <c r="I1" s="2" t="s">
        <v>14351</v>
      </c>
      <c r="J1" s="2" t="s">
        <v>14352</v>
      </c>
      <c r="K1" s="2" t="s">
        <v>14357</v>
      </c>
      <c r="L1" s="2" t="s">
        <v>14356</v>
      </c>
      <c r="M1" s="2" t="s">
        <v>14361</v>
      </c>
      <c r="N1" s="2" t="s">
        <v>5</v>
      </c>
      <c r="O1" s="2" t="s">
        <v>14353</v>
      </c>
      <c r="P1" s="2" t="s">
        <v>14354</v>
      </c>
      <c r="Q1" s="2" t="s">
        <v>14355</v>
      </c>
      <c r="R1" s="2" t="s">
        <v>19774</v>
      </c>
      <c r="S1" s="2" t="s">
        <v>19775</v>
      </c>
    </row>
    <row r="2" spans="1:19" x14ac:dyDescent="0.2">
      <c r="A2" t="s">
        <v>2115</v>
      </c>
      <c r="B2" t="s">
        <v>14359</v>
      </c>
      <c r="C2" t="s">
        <v>9559</v>
      </c>
      <c r="D2" t="str">
        <f>_xlfn.XLOOKUP(E2,pathways!$A$2:$A$31,pathways!$B$2:$B$31)</f>
        <v>Amino acid metabolism</v>
      </c>
      <c r="E2" t="s">
        <v>3436</v>
      </c>
      <c r="F2" t="s">
        <v>3437</v>
      </c>
      <c r="G2" t="s">
        <v>9559</v>
      </c>
      <c r="H2" t="s">
        <v>14360</v>
      </c>
      <c r="I2" t="s">
        <v>9559</v>
      </c>
      <c r="J2" s="4" t="s">
        <v>9559</v>
      </c>
      <c r="L2" t="s">
        <v>2114</v>
      </c>
      <c r="M2" t="s">
        <v>15409</v>
      </c>
      <c r="N2" t="s">
        <v>3436</v>
      </c>
      <c r="O2" t="s">
        <v>3436</v>
      </c>
      <c r="P2" t="s">
        <v>3437</v>
      </c>
      <c r="Q2" t="s">
        <v>3437</v>
      </c>
      <c r="R2" t="s">
        <v>3436</v>
      </c>
      <c r="S2" t="s">
        <v>14360</v>
      </c>
    </row>
    <row r="3" spans="1:19" x14ac:dyDescent="0.2">
      <c r="A3" t="s">
        <v>1278</v>
      </c>
      <c r="B3" t="s">
        <v>14359</v>
      </c>
      <c r="C3" t="s">
        <v>5968</v>
      </c>
      <c r="D3" t="str">
        <f>_xlfn.XLOOKUP(E3,pathways!$A$2:$A$31,pathways!$B$2:$B$31)</f>
        <v>Amino acid metabolism</v>
      </c>
      <c r="E3" t="s">
        <v>3436</v>
      </c>
      <c r="F3" t="s">
        <v>3906</v>
      </c>
      <c r="G3" t="s">
        <v>5968</v>
      </c>
      <c r="H3" t="s">
        <v>14360</v>
      </c>
      <c r="I3" t="s">
        <v>5968</v>
      </c>
      <c r="J3" s="4" t="s">
        <v>5968</v>
      </c>
      <c r="L3" t="s">
        <v>1277</v>
      </c>
      <c r="M3" t="s">
        <v>14556</v>
      </c>
      <c r="N3" t="s">
        <v>3436</v>
      </c>
      <c r="O3" t="s">
        <v>3436</v>
      </c>
      <c r="P3" t="s">
        <v>3906</v>
      </c>
      <c r="Q3" t="s">
        <v>3906</v>
      </c>
      <c r="R3" t="s">
        <v>3436</v>
      </c>
      <c r="S3" t="s">
        <v>14360</v>
      </c>
    </row>
    <row r="4" spans="1:19" x14ac:dyDescent="0.2">
      <c r="A4" t="s">
        <v>13902</v>
      </c>
      <c r="B4" t="s">
        <v>14359</v>
      </c>
      <c r="C4" t="s">
        <v>7731</v>
      </c>
      <c r="D4" t="str">
        <f>_xlfn.XLOOKUP(E4,pathways!$A$2:$A$31,pathways!$B$2:$B$31)</f>
        <v>Amino acid metabolism</v>
      </c>
      <c r="E4" t="s">
        <v>3436</v>
      </c>
      <c r="F4" t="s">
        <v>3906</v>
      </c>
      <c r="G4" t="s">
        <v>7731</v>
      </c>
      <c r="H4" t="s">
        <v>14360</v>
      </c>
      <c r="I4" t="s">
        <v>7731</v>
      </c>
      <c r="J4" s="4" t="s">
        <v>14360</v>
      </c>
      <c r="L4" t="s">
        <v>1633</v>
      </c>
      <c r="M4" t="s">
        <v>14923</v>
      </c>
      <c r="N4" t="s">
        <v>3436</v>
      </c>
      <c r="O4" t="s">
        <v>14360</v>
      </c>
      <c r="P4" t="s">
        <v>3906</v>
      </c>
      <c r="Q4" t="s">
        <v>14360</v>
      </c>
      <c r="R4" t="s">
        <v>3436</v>
      </c>
      <c r="S4" t="s">
        <v>14360</v>
      </c>
    </row>
    <row r="5" spans="1:19" x14ac:dyDescent="0.2">
      <c r="A5" t="s">
        <v>14085</v>
      </c>
      <c r="B5" t="s">
        <v>14359</v>
      </c>
      <c r="C5" t="s">
        <v>10148</v>
      </c>
      <c r="D5" t="str">
        <f>_xlfn.XLOOKUP(E5,pathways!$A$2:$A$31,pathways!$B$2:$B$31)</f>
        <v>Amino acid metabolism</v>
      </c>
      <c r="E5" t="s">
        <v>3436</v>
      </c>
      <c r="F5" t="s">
        <v>3906</v>
      </c>
      <c r="G5" t="s">
        <v>14360</v>
      </c>
      <c r="H5" t="s">
        <v>14360</v>
      </c>
      <c r="I5" t="s">
        <v>10148</v>
      </c>
      <c r="J5" s="4" t="s">
        <v>14360</v>
      </c>
      <c r="L5" t="s">
        <v>14360</v>
      </c>
      <c r="M5" t="s">
        <v>14360</v>
      </c>
      <c r="N5" t="s">
        <v>3436</v>
      </c>
      <c r="O5" t="s">
        <v>14360</v>
      </c>
      <c r="P5" t="s">
        <v>3906</v>
      </c>
      <c r="Q5" t="s">
        <v>14360</v>
      </c>
      <c r="R5" t="s">
        <v>14360</v>
      </c>
      <c r="S5" t="s">
        <v>14360</v>
      </c>
    </row>
    <row r="6" spans="1:19" x14ac:dyDescent="0.2">
      <c r="A6" t="s">
        <v>1229</v>
      </c>
      <c r="B6" t="s">
        <v>14359</v>
      </c>
      <c r="C6" t="s">
        <v>5749</v>
      </c>
      <c r="D6" t="str">
        <f>_xlfn.XLOOKUP(E6,pathways!$A$2:$A$31,pathways!$B$2:$B$31)</f>
        <v>Amino acid metabolism</v>
      </c>
      <c r="E6" t="s">
        <v>3436</v>
      </c>
      <c r="F6" t="s">
        <v>3906</v>
      </c>
      <c r="G6" t="s">
        <v>5749</v>
      </c>
      <c r="H6" t="s">
        <v>14360</v>
      </c>
      <c r="I6" t="s">
        <v>5749</v>
      </c>
      <c r="J6" s="4" t="s">
        <v>5749</v>
      </c>
      <c r="L6" t="s">
        <v>1228</v>
      </c>
      <c r="M6" t="s">
        <v>14504</v>
      </c>
      <c r="N6" t="s">
        <v>3436</v>
      </c>
      <c r="O6" t="s">
        <v>3436</v>
      </c>
      <c r="P6" t="s">
        <v>3906</v>
      </c>
      <c r="Q6" t="s">
        <v>3906</v>
      </c>
      <c r="R6" t="s">
        <v>3436</v>
      </c>
      <c r="S6" t="s">
        <v>11492</v>
      </c>
    </row>
    <row r="7" spans="1:19" x14ac:dyDescent="0.2">
      <c r="A7" t="s">
        <v>1467</v>
      </c>
      <c r="B7" t="s">
        <v>14359</v>
      </c>
      <c r="C7" t="s">
        <v>19302</v>
      </c>
      <c r="D7" t="str">
        <f>_xlfn.XLOOKUP(E7,pathways!$A$2:$A$31,pathways!$B$2:$B$31)</f>
        <v>Amino acid metabolism</v>
      </c>
      <c r="E7" t="s">
        <v>3436</v>
      </c>
      <c r="F7" t="s">
        <v>3906</v>
      </c>
      <c r="G7" t="s">
        <v>19302</v>
      </c>
      <c r="H7" t="s">
        <v>14360</v>
      </c>
      <c r="I7" t="s">
        <v>6861</v>
      </c>
      <c r="J7" s="4" t="s">
        <v>6861</v>
      </c>
      <c r="L7" t="s">
        <v>1466</v>
      </c>
      <c r="M7" t="s">
        <v>14752</v>
      </c>
      <c r="N7" t="s">
        <v>3436</v>
      </c>
      <c r="O7" t="s">
        <v>3436</v>
      </c>
      <c r="P7" t="s">
        <v>3906</v>
      </c>
      <c r="Q7" t="s">
        <v>3906</v>
      </c>
      <c r="R7" t="s">
        <v>3436</v>
      </c>
      <c r="S7" t="s">
        <v>14360</v>
      </c>
    </row>
    <row r="8" spans="1:19" x14ac:dyDescent="0.2">
      <c r="A8" t="s">
        <v>13763</v>
      </c>
      <c r="B8" t="s">
        <v>14359</v>
      </c>
      <c r="C8" t="s">
        <v>3955</v>
      </c>
      <c r="D8" t="str">
        <f>_xlfn.XLOOKUP(E8,pathways!$A$2:$A$31,pathways!$B$2:$B$31)</f>
        <v>Amino acid metabolism</v>
      </c>
      <c r="E8" t="s">
        <v>3436</v>
      </c>
      <c r="F8" t="s">
        <v>3586</v>
      </c>
      <c r="G8" t="s">
        <v>14360</v>
      </c>
      <c r="H8" t="s">
        <v>14360</v>
      </c>
      <c r="I8" t="s">
        <v>3955</v>
      </c>
      <c r="J8" s="4" t="s">
        <v>3955</v>
      </c>
      <c r="L8" t="s">
        <v>14360</v>
      </c>
      <c r="M8" t="s">
        <v>14360</v>
      </c>
      <c r="N8" t="s">
        <v>3436</v>
      </c>
      <c r="O8" t="s">
        <v>3436</v>
      </c>
      <c r="P8" t="s">
        <v>3586</v>
      </c>
      <c r="Q8" t="s">
        <v>3586</v>
      </c>
      <c r="R8" t="s">
        <v>14360</v>
      </c>
      <c r="S8" t="s">
        <v>14360</v>
      </c>
    </row>
    <row r="9" spans="1:19" x14ac:dyDescent="0.2">
      <c r="A9" t="s">
        <v>2389</v>
      </c>
      <c r="B9" t="s">
        <v>14359</v>
      </c>
      <c r="C9" t="s">
        <v>4744</v>
      </c>
      <c r="D9" t="str">
        <f>_xlfn.XLOOKUP(E9,pathways!$A$2:$A$31,pathways!$B$2:$B$31)</f>
        <v>Amino acid metabolism</v>
      </c>
      <c r="E9" t="s">
        <v>3436</v>
      </c>
      <c r="F9" t="s">
        <v>3793</v>
      </c>
      <c r="G9" t="s">
        <v>4744</v>
      </c>
      <c r="H9" t="s">
        <v>14360</v>
      </c>
      <c r="I9" t="s">
        <v>4744</v>
      </c>
      <c r="J9" s="4" t="s">
        <v>4744</v>
      </c>
      <c r="L9" t="s">
        <v>2388</v>
      </c>
      <c r="M9" t="s">
        <v>15689</v>
      </c>
      <c r="N9" t="s">
        <v>3436</v>
      </c>
      <c r="O9" t="s">
        <v>3436</v>
      </c>
      <c r="P9" t="s">
        <v>3793</v>
      </c>
      <c r="Q9" t="s">
        <v>3793</v>
      </c>
      <c r="R9" t="s">
        <v>3436</v>
      </c>
      <c r="S9" t="s">
        <v>14360</v>
      </c>
    </row>
    <row r="10" spans="1:19" x14ac:dyDescent="0.2">
      <c r="A10" t="s">
        <v>1409</v>
      </c>
      <c r="B10" t="s">
        <v>14359</v>
      </c>
      <c r="C10" t="s">
        <v>6587</v>
      </c>
      <c r="D10" t="str">
        <f>_xlfn.XLOOKUP(E10,pathways!$A$2:$A$31,pathways!$B$2:$B$31)</f>
        <v>Amino acid metabolism</v>
      </c>
      <c r="E10" t="s">
        <v>3436</v>
      </c>
      <c r="F10" t="s">
        <v>3498</v>
      </c>
      <c r="G10" t="s">
        <v>14360</v>
      </c>
      <c r="H10" t="s">
        <v>14360</v>
      </c>
      <c r="I10" t="s">
        <v>6587</v>
      </c>
      <c r="J10" s="4" t="s">
        <v>6587</v>
      </c>
      <c r="L10" t="s">
        <v>1408</v>
      </c>
      <c r="M10" t="s">
        <v>14694</v>
      </c>
      <c r="N10" t="s">
        <v>3436</v>
      </c>
      <c r="O10" t="s">
        <v>3436</v>
      </c>
      <c r="P10" t="s">
        <v>3498</v>
      </c>
      <c r="Q10" t="s">
        <v>3498</v>
      </c>
      <c r="R10" t="s">
        <v>3436</v>
      </c>
      <c r="S10" t="s">
        <v>14360</v>
      </c>
    </row>
    <row r="11" spans="1:19" x14ac:dyDescent="0.2">
      <c r="A11" t="s">
        <v>2306</v>
      </c>
      <c r="B11" t="s">
        <v>14359</v>
      </c>
      <c r="C11" t="s">
        <v>10138</v>
      </c>
      <c r="D11" t="str">
        <f>_xlfn.XLOOKUP(E11,pathways!$A$2:$A$31,pathways!$B$2:$B$31)</f>
        <v>Amino acid metabolism</v>
      </c>
      <c r="E11" t="s">
        <v>3436</v>
      </c>
      <c r="F11" t="s">
        <v>3603</v>
      </c>
      <c r="G11" t="s">
        <v>14360</v>
      </c>
      <c r="H11" t="s">
        <v>14360</v>
      </c>
      <c r="I11" t="s">
        <v>10138</v>
      </c>
      <c r="J11" s="4" t="s">
        <v>14360</v>
      </c>
      <c r="L11" t="s">
        <v>2305</v>
      </c>
      <c r="M11" t="s">
        <v>15606</v>
      </c>
      <c r="N11" t="s">
        <v>3436</v>
      </c>
      <c r="O11" t="s">
        <v>14360</v>
      </c>
      <c r="P11" t="s">
        <v>3603</v>
      </c>
      <c r="Q11" t="s">
        <v>14360</v>
      </c>
      <c r="R11" t="s">
        <v>3436</v>
      </c>
      <c r="S11" t="s">
        <v>4869</v>
      </c>
    </row>
    <row r="12" spans="1:19" x14ac:dyDescent="0.2">
      <c r="A12" t="s">
        <v>1882</v>
      </c>
      <c r="B12" t="s">
        <v>14359</v>
      </c>
      <c r="C12" t="s">
        <v>8827</v>
      </c>
      <c r="D12" t="str">
        <f>_xlfn.XLOOKUP(E12,pathways!$A$2:$A$31,pathways!$B$2:$B$31)</f>
        <v>Amino acid metabolism</v>
      </c>
      <c r="E12" t="s">
        <v>3436</v>
      </c>
      <c r="F12" t="s">
        <v>3793</v>
      </c>
      <c r="G12" t="s">
        <v>14360</v>
      </c>
      <c r="H12" t="s">
        <v>14360</v>
      </c>
      <c r="I12" t="s">
        <v>8827</v>
      </c>
      <c r="J12" s="4" t="s">
        <v>8827</v>
      </c>
      <c r="L12" t="s">
        <v>1881</v>
      </c>
      <c r="M12" t="s">
        <v>15183</v>
      </c>
      <c r="N12" t="s">
        <v>3436</v>
      </c>
      <c r="O12" t="s">
        <v>3436</v>
      </c>
      <c r="P12" t="s">
        <v>3793</v>
      </c>
      <c r="Q12" t="s">
        <v>3793</v>
      </c>
      <c r="R12" t="s">
        <v>3436</v>
      </c>
      <c r="S12" t="s">
        <v>4869</v>
      </c>
    </row>
    <row r="13" spans="1:19" x14ac:dyDescent="0.2">
      <c r="A13" t="s">
        <v>2505</v>
      </c>
      <c r="B13" t="s">
        <v>14359</v>
      </c>
      <c r="C13" t="s">
        <v>3681</v>
      </c>
      <c r="D13" t="str">
        <f>_xlfn.XLOOKUP(E13,pathways!$A$2:$A$31,pathways!$B$2:$B$31)</f>
        <v>Amino acid metabolism</v>
      </c>
      <c r="E13" t="s">
        <v>3436</v>
      </c>
      <c r="F13" t="s">
        <v>3524</v>
      </c>
      <c r="G13" t="s">
        <v>3681</v>
      </c>
      <c r="H13" t="s">
        <v>14360</v>
      </c>
      <c r="I13" t="s">
        <v>3681</v>
      </c>
      <c r="J13" s="4" t="s">
        <v>3681</v>
      </c>
      <c r="L13" t="s">
        <v>2504</v>
      </c>
      <c r="M13" t="s">
        <v>15817</v>
      </c>
      <c r="N13" t="s">
        <v>3436</v>
      </c>
      <c r="O13" t="s">
        <v>3436</v>
      </c>
      <c r="P13" t="s">
        <v>3524</v>
      </c>
      <c r="Q13" t="s">
        <v>3687</v>
      </c>
      <c r="R13" t="s">
        <v>3436</v>
      </c>
      <c r="S13" t="s">
        <v>14360</v>
      </c>
    </row>
    <row r="14" spans="1:19" x14ac:dyDescent="0.2">
      <c r="A14" t="s">
        <v>14043</v>
      </c>
      <c r="B14" t="s">
        <v>14359</v>
      </c>
      <c r="C14" t="s">
        <v>9908</v>
      </c>
      <c r="D14" t="str">
        <f>_xlfn.XLOOKUP(E14,pathways!$A$2:$A$31,pathways!$B$2:$B$31)</f>
        <v>Amino acid metabolism</v>
      </c>
      <c r="E14" t="s">
        <v>3436</v>
      </c>
      <c r="F14" t="s">
        <v>3498</v>
      </c>
      <c r="G14" t="s">
        <v>14360</v>
      </c>
      <c r="H14" t="s">
        <v>14360</v>
      </c>
      <c r="I14" t="s">
        <v>9908</v>
      </c>
      <c r="J14" s="4" t="s">
        <v>14360</v>
      </c>
      <c r="L14" t="s">
        <v>2245</v>
      </c>
      <c r="M14" t="s">
        <v>15542</v>
      </c>
      <c r="N14" t="s">
        <v>3436</v>
      </c>
      <c r="O14" t="s">
        <v>14360</v>
      </c>
      <c r="P14" t="s">
        <v>3498</v>
      </c>
      <c r="Q14" t="s">
        <v>14360</v>
      </c>
      <c r="R14" t="s">
        <v>3436</v>
      </c>
      <c r="S14" t="s">
        <v>14360</v>
      </c>
    </row>
    <row r="15" spans="1:19" x14ac:dyDescent="0.2">
      <c r="A15" t="s">
        <v>13844</v>
      </c>
      <c r="B15" t="s">
        <v>14359</v>
      </c>
      <c r="C15" t="s">
        <v>6545</v>
      </c>
      <c r="D15" t="str">
        <f>_xlfn.XLOOKUP(E15,pathways!$A$2:$A$31,pathways!$B$2:$B$31)</f>
        <v>Amino acid metabolism</v>
      </c>
      <c r="E15" t="s">
        <v>3436</v>
      </c>
      <c r="F15" t="s">
        <v>3498</v>
      </c>
      <c r="G15" t="s">
        <v>14360</v>
      </c>
      <c r="H15" t="s">
        <v>14360</v>
      </c>
      <c r="I15" t="s">
        <v>6545</v>
      </c>
      <c r="J15" s="4" t="s">
        <v>6545</v>
      </c>
      <c r="L15" t="s">
        <v>14360</v>
      </c>
      <c r="M15" t="s">
        <v>14360</v>
      </c>
      <c r="N15" t="s">
        <v>3436</v>
      </c>
      <c r="O15" t="s">
        <v>3436</v>
      </c>
      <c r="P15" t="s">
        <v>3498</v>
      </c>
      <c r="Q15" t="s">
        <v>3498</v>
      </c>
      <c r="R15" t="s">
        <v>14360</v>
      </c>
      <c r="S15" t="s">
        <v>14360</v>
      </c>
    </row>
    <row r="16" spans="1:19" x14ac:dyDescent="0.2">
      <c r="A16" t="s">
        <v>1638</v>
      </c>
      <c r="B16" t="s">
        <v>14359</v>
      </c>
      <c r="C16" t="s">
        <v>19349</v>
      </c>
      <c r="D16" t="str">
        <f>_xlfn.XLOOKUP(E16,pathways!$A$2:$A$31,pathways!$B$2:$B$31)</f>
        <v>Amino acid metabolism</v>
      </c>
      <c r="E16" t="s">
        <v>3436</v>
      </c>
      <c r="F16" t="s">
        <v>3661</v>
      </c>
      <c r="G16" t="s">
        <v>14360</v>
      </c>
      <c r="H16" t="s">
        <v>14360</v>
      </c>
      <c r="I16" t="s">
        <v>7655</v>
      </c>
      <c r="J16" s="4" t="s">
        <v>7655</v>
      </c>
      <c r="L16" t="s">
        <v>1637</v>
      </c>
      <c r="M16" t="s">
        <v>14927</v>
      </c>
      <c r="N16" t="s">
        <v>3436</v>
      </c>
      <c r="O16" t="s">
        <v>3436</v>
      </c>
      <c r="P16" t="s">
        <v>3661</v>
      </c>
      <c r="Q16" t="s">
        <v>3661</v>
      </c>
      <c r="R16" t="s">
        <v>3436</v>
      </c>
      <c r="S16" t="s">
        <v>14360</v>
      </c>
    </row>
    <row r="17" spans="1:19" x14ac:dyDescent="0.2">
      <c r="A17" t="s">
        <v>13823</v>
      </c>
      <c r="B17" t="s">
        <v>14359</v>
      </c>
      <c r="C17" t="s">
        <v>5793</v>
      </c>
      <c r="D17" t="str">
        <f>_xlfn.XLOOKUP(E17,pathways!$A$2:$A$31,pathways!$B$2:$B$31)</f>
        <v>Amino acid metabolism</v>
      </c>
      <c r="E17" t="s">
        <v>3436</v>
      </c>
      <c r="F17" t="s">
        <v>4215</v>
      </c>
      <c r="G17" t="s">
        <v>14360</v>
      </c>
      <c r="H17" t="s">
        <v>14360</v>
      </c>
      <c r="I17" t="s">
        <v>5793</v>
      </c>
      <c r="J17" s="4" t="s">
        <v>5793</v>
      </c>
      <c r="L17" t="s">
        <v>14360</v>
      </c>
      <c r="M17" t="s">
        <v>14360</v>
      </c>
      <c r="N17" t="s">
        <v>3436</v>
      </c>
      <c r="O17" t="s">
        <v>3436</v>
      </c>
      <c r="P17" t="s">
        <v>4215</v>
      </c>
      <c r="Q17" t="s">
        <v>4215</v>
      </c>
      <c r="R17" t="s">
        <v>14360</v>
      </c>
      <c r="S17" t="s">
        <v>14360</v>
      </c>
    </row>
    <row r="18" spans="1:19" x14ac:dyDescent="0.2">
      <c r="A18" t="s">
        <v>2036</v>
      </c>
      <c r="B18" t="s">
        <v>14359</v>
      </c>
      <c r="C18" t="s">
        <v>9246</v>
      </c>
      <c r="D18" t="str">
        <f>_xlfn.XLOOKUP(E18,pathways!$A$2:$A$31,pathways!$B$2:$B$31)</f>
        <v>Amino acid metabolism</v>
      </c>
      <c r="E18" t="s">
        <v>3436</v>
      </c>
      <c r="F18" t="s">
        <v>3498</v>
      </c>
      <c r="G18" t="s">
        <v>9246</v>
      </c>
      <c r="H18" t="s">
        <v>14360</v>
      </c>
      <c r="I18" t="s">
        <v>9246</v>
      </c>
      <c r="J18" s="4" t="s">
        <v>9246</v>
      </c>
      <c r="L18" t="s">
        <v>2035</v>
      </c>
      <c r="M18" t="s">
        <v>15339</v>
      </c>
      <c r="N18" t="s">
        <v>3436</v>
      </c>
      <c r="O18" t="s">
        <v>3436</v>
      </c>
      <c r="P18" t="s">
        <v>3498</v>
      </c>
      <c r="Q18" t="s">
        <v>3498</v>
      </c>
      <c r="R18" t="s">
        <v>3436</v>
      </c>
      <c r="S18" t="s">
        <v>3749</v>
      </c>
    </row>
    <row r="19" spans="1:19" x14ac:dyDescent="0.2">
      <c r="A19" t="s">
        <v>14050</v>
      </c>
      <c r="B19" t="s">
        <v>14359</v>
      </c>
      <c r="C19" t="s">
        <v>19583</v>
      </c>
      <c r="D19" t="str">
        <f>_xlfn.XLOOKUP(E19,pathways!$A$2:$A$31,pathways!$B$2:$B$31)</f>
        <v>Amino acid metabolism</v>
      </c>
      <c r="E19" t="s">
        <v>3436</v>
      </c>
      <c r="F19" t="s">
        <v>3603</v>
      </c>
      <c r="G19" t="s">
        <v>20421</v>
      </c>
      <c r="H19" t="s">
        <v>14360</v>
      </c>
      <c r="I19" t="s">
        <v>9958</v>
      </c>
      <c r="J19" s="4" t="s">
        <v>14360</v>
      </c>
      <c r="L19" t="s">
        <v>2262</v>
      </c>
      <c r="M19" t="s">
        <v>15560</v>
      </c>
      <c r="N19" t="s">
        <v>3436</v>
      </c>
      <c r="O19" t="s">
        <v>14360</v>
      </c>
      <c r="P19" t="s">
        <v>3603</v>
      </c>
      <c r="Q19" t="s">
        <v>14360</v>
      </c>
      <c r="R19" t="s">
        <v>3436</v>
      </c>
      <c r="S19" t="s">
        <v>14360</v>
      </c>
    </row>
    <row r="20" spans="1:19" x14ac:dyDescent="0.2">
      <c r="A20" t="s">
        <v>2509</v>
      </c>
      <c r="B20" t="s">
        <v>14359</v>
      </c>
      <c r="C20" t="s">
        <v>3690</v>
      </c>
      <c r="D20" t="str">
        <f>_xlfn.XLOOKUP(E20,pathways!$A$2:$A$31,pathways!$B$2:$B$31)</f>
        <v>Amino acid metabolism</v>
      </c>
      <c r="E20" t="s">
        <v>3436</v>
      </c>
      <c r="F20" t="s">
        <v>3687</v>
      </c>
      <c r="G20" t="s">
        <v>14360</v>
      </c>
      <c r="H20" t="s">
        <v>14360</v>
      </c>
      <c r="I20" t="s">
        <v>3690</v>
      </c>
      <c r="J20" s="4" t="s">
        <v>3690</v>
      </c>
      <c r="L20" t="s">
        <v>2508</v>
      </c>
      <c r="M20" t="s">
        <v>15821</v>
      </c>
      <c r="N20" t="s">
        <v>3436</v>
      </c>
      <c r="O20" t="s">
        <v>3436</v>
      </c>
      <c r="P20" t="s">
        <v>3687</v>
      </c>
      <c r="Q20" t="s">
        <v>3687</v>
      </c>
      <c r="R20" t="s">
        <v>3436</v>
      </c>
      <c r="S20" t="s">
        <v>4373</v>
      </c>
    </row>
    <row r="21" spans="1:19" x14ac:dyDescent="0.2">
      <c r="A21" t="s">
        <v>14020</v>
      </c>
      <c r="B21" t="s">
        <v>14359</v>
      </c>
      <c r="C21" t="s">
        <v>9717</v>
      </c>
      <c r="D21" t="str">
        <f>_xlfn.XLOOKUP(E21,pathways!$A$2:$A$31,pathways!$B$2:$B$31)</f>
        <v>Amino acid metabolism</v>
      </c>
      <c r="E21" t="s">
        <v>3436</v>
      </c>
      <c r="F21" t="s">
        <v>3661</v>
      </c>
      <c r="G21" t="s">
        <v>9717</v>
      </c>
      <c r="H21" t="s">
        <v>14360</v>
      </c>
      <c r="I21" t="s">
        <v>9717</v>
      </c>
      <c r="J21" s="4" t="s">
        <v>14360</v>
      </c>
      <c r="L21" t="s">
        <v>2176</v>
      </c>
      <c r="M21" t="s">
        <v>15474</v>
      </c>
      <c r="N21" t="s">
        <v>3436</v>
      </c>
      <c r="O21" t="s">
        <v>14360</v>
      </c>
      <c r="P21" t="s">
        <v>3661</v>
      </c>
      <c r="Q21" t="s">
        <v>14360</v>
      </c>
      <c r="R21" t="s">
        <v>3436</v>
      </c>
      <c r="S21" t="s">
        <v>14360</v>
      </c>
    </row>
    <row r="22" spans="1:19" x14ac:dyDescent="0.2">
      <c r="A22" t="s">
        <v>1272</v>
      </c>
      <c r="B22" t="s">
        <v>14359</v>
      </c>
      <c r="C22" t="s">
        <v>5914</v>
      </c>
      <c r="D22" t="str">
        <f>_xlfn.XLOOKUP(E22,pathways!$A$2:$A$31,pathways!$B$2:$B$31)</f>
        <v>Amino acid metabolism</v>
      </c>
      <c r="E22" t="s">
        <v>3436</v>
      </c>
      <c r="F22" t="s">
        <v>3498</v>
      </c>
      <c r="G22" t="s">
        <v>14360</v>
      </c>
      <c r="H22" t="s">
        <v>14360</v>
      </c>
      <c r="I22" t="s">
        <v>5914</v>
      </c>
      <c r="J22" s="4" t="s">
        <v>5914</v>
      </c>
      <c r="L22" t="s">
        <v>1271</v>
      </c>
      <c r="M22" t="s">
        <v>14550</v>
      </c>
      <c r="N22" t="s">
        <v>3436</v>
      </c>
      <c r="O22" t="s">
        <v>3436</v>
      </c>
      <c r="P22" t="s">
        <v>3498</v>
      </c>
      <c r="Q22" t="s">
        <v>3498</v>
      </c>
      <c r="R22" t="s">
        <v>3436</v>
      </c>
      <c r="S22" t="s">
        <v>14360</v>
      </c>
    </row>
    <row r="23" spans="1:19" x14ac:dyDescent="0.2">
      <c r="A23" t="s">
        <v>2395</v>
      </c>
      <c r="B23" t="s">
        <v>14359</v>
      </c>
      <c r="C23" t="s">
        <v>3501</v>
      </c>
      <c r="D23" t="str">
        <f>_xlfn.XLOOKUP(E23,pathways!$A$2:$A$31,pathways!$B$2:$B$31)</f>
        <v>Amino acid metabolism</v>
      </c>
      <c r="E23" t="s">
        <v>3436</v>
      </c>
      <c r="F23" t="s">
        <v>3498</v>
      </c>
      <c r="G23" t="s">
        <v>14360</v>
      </c>
      <c r="H23" t="s">
        <v>14360</v>
      </c>
      <c r="I23" t="s">
        <v>3501</v>
      </c>
      <c r="J23" s="4" t="s">
        <v>3501</v>
      </c>
      <c r="L23" t="s">
        <v>2394</v>
      </c>
      <c r="M23" t="s">
        <v>15695</v>
      </c>
      <c r="N23" t="s">
        <v>3436</v>
      </c>
      <c r="O23" t="s">
        <v>3436</v>
      </c>
      <c r="P23" t="s">
        <v>3498</v>
      </c>
      <c r="Q23" t="s">
        <v>3498</v>
      </c>
      <c r="R23" t="s">
        <v>3436</v>
      </c>
      <c r="S23" t="s">
        <v>14360</v>
      </c>
    </row>
    <row r="24" spans="1:19" x14ac:dyDescent="0.2">
      <c r="A24" t="s">
        <v>1163</v>
      </c>
      <c r="B24" t="s">
        <v>14359</v>
      </c>
      <c r="C24" t="s">
        <v>5376</v>
      </c>
      <c r="D24" t="str">
        <f>_xlfn.XLOOKUP(E24,pathways!$A$2:$A$31,pathways!$B$2:$B$31)</f>
        <v>Amino acid metabolism</v>
      </c>
      <c r="E24" t="s">
        <v>3436</v>
      </c>
      <c r="F24" t="s">
        <v>3470</v>
      </c>
      <c r="G24" t="s">
        <v>14360</v>
      </c>
      <c r="H24" t="s">
        <v>14360</v>
      </c>
      <c r="I24" t="s">
        <v>5376</v>
      </c>
      <c r="J24" s="4" t="s">
        <v>5376</v>
      </c>
      <c r="L24" t="s">
        <v>1162</v>
      </c>
      <c r="M24" t="s">
        <v>14434</v>
      </c>
      <c r="N24" t="s">
        <v>3436</v>
      </c>
      <c r="O24" t="s">
        <v>3436</v>
      </c>
      <c r="P24" t="s">
        <v>3470</v>
      </c>
      <c r="Q24" t="s">
        <v>3470</v>
      </c>
      <c r="R24" t="s">
        <v>3436</v>
      </c>
      <c r="S24" t="s">
        <v>14360</v>
      </c>
    </row>
    <row r="25" spans="1:19" x14ac:dyDescent="0.2">
      <c r="A25" t="s">
        <v>1732</v>
      </c>
      <c r="B25" t="s">
        <v>14359</v>
      </c>
      <c r="C25" t="s">
        <v>11619</v>
      </c>
      <c r="D25" t="str">
        <f>_xlfn.XLOOKUP(E25,pathways!$A$2:$A$31,pathways!$B$2:$B$31)</f>
        <v>Amino acid metabolism</v>
      </c>
      <c r="E25" t="s">
        <v>3436</v>
      </c>
      <c r="F25" t="s">
        <v>3687</v>
      </c>
      <c r="G25" t="s">
        <v>14360</v>
      </c>
      <c r="H25" t="s">
        <v>14360</v>
      </c>
      <c r="I25" t="s">
        <v>14360</v>
      </c>
      <c r="J25" s="4" t="s">
        <v>11619</v>
      </c>
      <c r="L25" t="s">
        <v>1731</v>
      </c>
      <c r="M25" t="s">
        <v>15027</v>
      </c>
      <c r="N25" t="s">
        <v>14360</v>
      </c>
      <c r="O25" t="s">
        <v>3436</v>
      </c>
      <c r="P25" t="s">
        <v>14360</v>
      </c>
      <c r="Q25" t="s">
        <v>3687</v>
      </c>
      <c r="R25" t="s">
        <v>3436</v>
      </c>
      <c r="S25" t="s">
        <v>4869</v>
      </c>
    </row>
    <row r="26" spans="1:19" x14ac:dyDescent="0.2">
      <c r="A26" t="s">
        <v>2430</v>
      </c>
      <c r="B26" t="s">
        <v>14359</v>
      </c>
      <c r="C26" t="s">
        <v>4928</v>
      </c>
      <c r="D26" t="str">
        <f>_xlfn.XLOOKUP(E26,pathways!$A$2:$A$31,pathways!$B$2:$B$31)</f>
        <v>Amino acid metabolism</v>
      </c>
      <c r="E26" t="s">
        <v>3436</v>
      </c>
      <c r="F26" t="s">
        <v>3687</v>
      </c>
      <c r="G26" t="s">
        <v>4928</v>
      </c>
      <c r="H26" t="s">
        <v>14360</v>
      </c>
      <c r="I26" t="s">
        <v>4928</v>
      </c>
      <c r="J26" s="4" t="s">
        <v>4928</v>
      </c>
      <c r="L26" t="s">
        <v>2429</v>
      </c>
      <c r="M26" t="s">
        <v>15735</v>
      </c>
      <c r="N26" t="s">
        <v>3436</v>
      </c>
      <c r="O26" t="s">
        <v>3436</v>
      </c>
      <c r="P26" t="s">
        <v>3687</v>
      </c>
      <c r="Q26" t="s">
        <v>3687</v>
      </c>
      <c r="R26" t="s">
        <v>3436</v>
      </c>
      <c r="S26" t="s">
        <v>14360</v>
      </c>
    </row>
    <row r="27" spans="1:19" x14ac:dyDescent="0.2">
      <c r="A27" t="s">
        <v>1202</v>
      </c>
      <c r="B27" t="s">
        <v>14359</v>
      </c>
      <c r="C27" t="s">
        <v>5650</v>
      </c>
      <c r="D27" t="str">
        <f>_xlfn.XLOOKUP(E27,pathways!$A$2:$A$31,pathways!$B$2:$B$31)</f>
        <v>Amino acid metabolism</v>
      </c>
      <c r="E27" t="s">
        <v>3436</v>
      </c>
      <c r="F27" t="s">
        <v>3498</v>
      </c>
      <c r="G27" t="s">
        <v>14360</v>
      </c>
      <c r="H27" t="s">
        <v>14360</v>
      </c>
      <c r="I27" t="s">
        <v>5650</v>
      </c>
      <c r="J27" s="4" t="s">
        <v>5650</v>
      </c>
      <c r="L27" t="s">
        <v>1201</v>
      </c>
      <c r="M27" t="s">
        <v>14476</v>
      </c>
      <c r="N27" t="s">
        <v>3436</v>
      </c>
      <c r="O27" t="s">
        <v>3436</v>
      </c>
      <c r="P27" t="s">
        <v>3498</v>
      </c>
      <c r="Q27" t="s">
        <v>3498</v>
      </c>
      <c r="R27" t="s">
        <v>3436</v>
      </c>
      <c r="S27" t="s">
        <v>14360</v>
      </c>
    </row>
    <row r="28" spans="1:19" x14ac:dyDescent="0.2">
      <c r="A28" t="s">
        <v>1115</v>
      </c>
      <c r="B28" t="s">
        <v>14359</v>
      </c>
      <c r="C28" t="s">
        <v>5193</v>
      </c>
      <c r="D28" t="str">
        <f>_xlfn.XLOOKUP(E28,pathways!$A$2:$A$31,pathways!$B$2:$B$31)</f>
        <v>Amino acid metabolism</v>
      </c>
      <c r="E28" t="s">
        <v>3436</v>
      </c>
      <c r="F28" t="s">
        <v>3498</v>
      </c>
      <c r="G28" t="s">
        <v>14360</v>
      </c>
      <c r="H28" t="s">
        <v>14360</v>
      </c>
      <c r="I28" t="s">
        <v>5193</v>
      </c>
      <c r="J28" s="4" t="s">
        <v>5193</v>
      </c>
      <c r="L28" t="s">
        <v>1114</v>
      </c>
      <c r="M28" t="s">
        <v>14384</v>
      </c>
      <c r="N28" t="s">
        <v>3436</v>
      </c>
      <c r="O28" t="s">
        <v>3436</v>
      </c>
      <c r="P28" t="s">
        <v>3498</v>
      </c>
      <c r="Q28" t="s">
        <v>3498</v>
      </c>
      <c r="R28" t="s">
        <v>3436</v>
      </c>
      <c r="S28" t="s">
        <v>14360</v>
      </c>
    </row>
    <row r="29" spans="1:19" x14ac:dyDescent="0.2">
      <c r="A29" t="s">
        <v>1606</v>
      </c>
      <c r="B29" t="s">
        <v>14359</v>
      </c>
      <c r="C29" t="s">
        <v>7502</v>
      </c>
      <c r="D29" t="str">
        <f>_xlfn.XLOOKUP(E29,pathways!$A$2:$A$31,pathways!$B$2:$B$31)</f>
        <v>Amino acid metabolism</v>
      </c>
      <c r="E29" t="s">
        <v>3436</v>
      </c>
      <c r="F29" t="s">
        <v>3498</v>
      </c>
      <c r="G29" t="s">
        <v>14360</v>
      </c>
      <c r="H29" t="s">
        <v>14360</v>
      </c>
      <c r="I29" t="s">
        <v>7502</v>
      </c>
      <c r="J29" s="4" t="s">
        <v>7502</v>
      </c>
      <c r="L29" t="s">
        <v>1605</v>
      </c>
      <c r="M29" t="s">
        <v>14893</v>
      </c>
      <c r="N29" t="s">
        <v>3436</v>
      </c>
      <c r="O29" t="s">
        <v>3436</v>
      </c>
      <c r="P29" t="s">
        <v>3498</v>
      </c>
      <c r="Q29" t="s">
        <v>3498</v>
      </c>
      <c r="R29" t="s">
        <v>3436</v>
      </c>
      <c r="S29" t="s">
        <v>14360</v>
      </c>
    </row>
    <row r="30" spans="1:19" x14ac:dyDescent="0.2">
      <c r="A30" t="s">
        <v>1766</v>
      </c>
      <c r="B30" t="s">
        <v>14359</v>
      </c>
      <c r="C30" t="s">
        <v>8363</v>
      </c>
      <c r="D30" t="str">
        <f>_xlfn.XLOOKUP(E30,pathways!$A$2:$A$31,pathways!$B$2:$B$31)</f>
        <v>Amino acid metabolism</v>
      </c>
      <c r="E30" t="s">
        <v>3436</v>
      </c>
      <c r="F30" t="s">
        <v>3498</v>
      </c>
      <c r="G30" t="s">
        <v>14360</v>
      </c>
      <c r="H30" t="s">
        <v>14360</v>
      </c>
      <c r="I30" t="s">
        <v>8363</v>
      </c>
      <c r="J30" s="4" t="s">
        <v>14360</v>
      </c>
      <c r="L30" t="s">
        <v>1765</v>
      </c>
      <c r="M30" t="s">
        <v>15063</v>
      </c>
      <c r="N30" t="s">
        <v>3436</v>
      </c>
      <c r="O30" t="s">
        <v>14360</v>
      </c>
      <c r="P30" t="s">
        <v>3498</v>
      </c>
      <c r="Q30" t="s">
        <v>14360</v>
      </c>
      <c r="R30" t="s">
        <v>3436</v>
      </c>
      <c r="S30" t="s">
        <v>14360</v>
      </c>
    </row>
    <row r="31" spans="1:19" x14ac:dyDescent="0.2">
      <c r="A31" t="s">
        <v>1109</v>
      </c>
      <c r="B31" t="s">
        <v>14359</v>
      </c>
      <c r="C31" t="s">
        <v>5209</v>
      </c>
      <c r="D31" t="str">
        <f>_xlfn.XLOOKUP(E31,pathways!$A$2:$A$31,pathways!$B$2:$B$31)</f>
        <v>Amino acid metabolism</v>
      </c>
      <c r="E31" t="s">
        <v>3436</v>
      </c>
      <c r="F31" t="s">
        <v>3906</v>
      </c>
      <c r="G31" t="s">
        <v>14360</v>
      </c>
      <c r="H31" t="s">
        <v>14360</v>
      </c>
      <c r="I31" t="s">
        <v>5209</v>
      </c>
      <c r="J31" s="4" t="s">
        <v>5209</v>
      </c>
      <c r="L31" t="s">
        <v>1108</v>
      </c>
      <c r="M31" t="s">
        <v>14378</v>
      </c>
      <c r="N31" t="s">
        <v>3436</v>
      </c>
      <c r="O31" t="s">
        <v>3436</v>
      </c>
      <c r="P31" t="s">
        <v>3906</v>
      </c>
      <c r="Q31" t="s">
        <v>3906</v>
      </c>
      <c r="R31" t="s">
        <v>3436</v>
      </c>
      <c r="S31" t="s">
        <v>14360</v>
      </c>
    </row>
    <row r="32" spans="1:19" x14ac:dyDescent="0.2">
      <c r="A32" t="s">
        <v>13764</v>
      </c>
      <c r="B32" t="s">
        <v>14359</v>
      </c>
      <c r="C32" t="s">
        <v>11633</v>
      </c>
      <c r="D32" t="str">
        <f>_xlfn.XLOOKUP(E32,pathways!$A$2:$A$31,pathways!$B$2:$B$31)</f>
        <v>Amino acid metabolism</v>
      </c>
      <c r="E32" t="s">
        <v>3436</v>
      </c>
      <c r="F32" t="s">
        <v>3603</v>
      </c>
      <c r="G32" t="s">
        <v>14360</v>
      </c>
      <c r="H32" t="s">
        <v>14360</v>
      </c>
      <c r="I32" t="s">
        <v>3963</v>
      </c>
      <c r="J32" s="4" t="s">
        <v>11633</v>
      </c>
      <c r="L32" t="s">
        <v>14360</v>
      </c>
      <c r="M32" t="s">
        <v>14360</v>
      </c>
      <c r="N32" t="s">
        <v>3436</v>
      </c>
      <c r="O32" t="s">
        <v>3436</v>
      </c>
      <c r="P32" t="s">
        <v>3603</v>
      </c>
      <c r="Q32" t="s">
        <v>3603</v>
      </c>
      <c r="R32" t="s">
        <v>14360</v>
      </c>
      <c r="S32" t="s">
        <v>5632</v>
      </c>
    </row>
    <row r="33" spans="1:19" x14ac:dyDescent="0.2">
      <c r="A33" t="s">
        <v>2401</v>
      </c>
      <c r="B33" t="s">
        <v>14359</v>
      </c>
      <c r="C33" t="s">
        <v>4706</v>
      </c>
      <c r="D33" t="str">
        <f>_xlfn.XLOOKUP(E33,pathways!$A$2:$A$31,pathways!$B$2:$B$31)</f>
        <v>Amino acid metabolism</v>
      </c>
      <c r="E33" t="s">
        <v>3436</v>
      </c>
      <c r="F33" t="s">
        <v>3437</v>
      </c>
      <c r="G33" t="s">
        <v>4706</v>
      </c>
      <c r="H33" t="s">
        <v>14360</v>
      </c>
      <c r="I33" t="s">
        <v>4706</v>
      </c>
      <c r="J33" s="4" t="s">
        <v>14360</v>
      </c>
      <c r="L33" t="s">
        <v>2400</v>
      </c>
      <c r="M33" t="s">
        <v>15701</v>
      </c>
      <c r="N33" t="s">
        <v>3436</v>
      </c>
      <c r="O33" t="s">
        <v>14360</v>
      </c>
      <c r="P33" t="s">
        <v>3437</v>
      </c>
      <c r="Q33" t="s">
        <v>14360</v>
      </c>
      <c r="R33" t="s">
        <v>3436</v>
      </c>
      <c r="S33" t="s">
        <v>4215</v>
      </c>
    </row>
    <row r="34" spans="1:19" x14ac:dyDescent="0.2">
      <c r="A34" t="s">
        <v>1132</v>
      </c>
      <c r="B34" t="s">
        <v>14359</v>
      </c>
      <c r="C34" t="s">
        <v>5233</v>
      </c>
      <c r="D34" t="str">
        <f>_xlfn.XLOOKUP(E34,pathways!$A$2:$A$31,pathways!$B$2:$B$31)</f>
        <v>Amino acid metabolism</v>
      </c>
      <c r="E34" t="s">
        <v>3436</v>
      </c>
      <c r="F34" t="s">
        <v>5230</v>
      </c>
      <c r="G34" t="s">
        <v>5233</v>
      </c>
      <c r="H34" t="s">
        <v>14360</v>
      </c>
      <c r="I34" t="s">
        <v>5233</v>
      </c>
      <c r="J34" s="4" t="s">
        <v>5233</v>
      </c>
      <c r="L34" t="s">
        <v>1131</v>
      </c>
      <c r="M34" t="s">
        <v>14402</v>
      </c>
      <c r="N34" t="s">
        <v>3436</v>
      </c>
      <c r="O34" t="s">
        <v>3436</v>
      </c>
      <c r="P34" t="s">
        <v>5230</v>
      </c>
      <c r="Q34" t="s">
        <v>5230</v>
      </c>
      <c r="R34" t="s">
        <v>3436</v>
      </c>
      <c r="S34" t="s">
        <v>14360</v>
      </c>
    </row>
    <row r="35" spans="1:19" x14ac:dyDescent="0.2">
      <c r="A35" t="s">
        <v>1614</v>
      </c>
      <c r="B35" t="s">
        <v>14359</v>
      </c>
      <c r="C35" t="s">
        <v>7561</v>
      </c>
      <c r="D35" t="str">
        <f>_xlfn.XLOOKUP(E35,pathways!$A$2:$A$31,pathways!$B$2:$B$31)</f>
        <v>Amino acid metabolism</v>
      </c>
      <c r="E35" t="s">
        <v>3436</v>
      </c>
      <c r="F35" t="s">
        <v>4215</v>
      </c>
      <c r="G35" t="s">
        <v>14360</v>
      </c>
      <c r="H35" t="s">
        <v>14360</v>
      </c>
      <c r="I35" t="s">
        <v>7561</v>
      </c>
      <c r="J35" s="4" t="s">
        <v>14360</v>
      </c>
      <c r="L35" t="s">
        <v>1613</v>
      </c>
      <c r="M35" t="s">
        <v>14901</v>
      </c>
      <c r="N35" t="s">
        <v>3436</v>
      </c>
      <c r="O35" t="s">
        <v>14360</v>
      </c>
      <c r="P35" t="s">
        <v>4215</v>
      </c>
      <c r="Q35" t="s">
        <v>14360</v>
      </c>
      <c r="R35" t="s">
        <v>3436</v>
      </c>
      <c r="S35" t="s">
        <v>14360</v>
      </c>
    </row>
    <row r="36" spans="1:19" x14ac:dyDescent="0.2">
      <c r="A36" t="s">
        <v>2449</v>
      </c>
      <c r="B36" t="s">
        <v>14359</v>
      </c>
      <c r="C36" t="s">
        <v>3527</v>
      </c>
      <c r="D36" t="str">
        <f>_xlfn.XLOOKUP(E36,pathways!$A$2:$A$31,pathways!$B$2:$B$31)</f>
        <v>Amino acid metabolism</v>
      </c>
      <c r="E36" t="s">
        <v>3436</v>
      </c>
      <c r="F36" t="s">
        <v>3524</v>
      </c>
      <c r="G36" t="s">
        <v>3527</v>
      </c>
      <c r="H36" t="s">
        <v>14360</v>
      </c>
      <c r="I36" t="s">
        <v>3527</v>
      </c>
      <c r="J36" s="4" t="s">
        <v>14360</v>
      </c>
      <c r="L36" t="s">
        <v>2448</v>
      </c>
      <c r="M36" t="s">
        <v>15755</v>
      </c>
      <c r="N36" t="s">
        <v>3436</v>
      </c>
      <c r="O36" t="s">
        <v>14360</v>
      </c>
      <c r="P36" t="s">
        <v>3524</v>
      </c>
      <c r="Q36" t="s">
        <v>14360</v>
      </c>
      <c r="R36" t="s">
        <v>3436</v>
      </c>
      <c r="S36" t="s">
        <v>14360</v>
      </c>
    </row>
    <row r="37" spans="1:19" x14ac:dyDescent="0.2">
      <c r="A37" t="s">
        <v>2381</v>
      </c>
      <c r="B37" t="s">
        <v>14359</v>
      </c>
      <c r="C37" t="s">
        <v>4792</v>
      </c>
      <c r="D37" t="str">
        <f>_xlfn.XLOOKUP(E37,pathways!$A$2:$A$31,pathways!$B$2:$B$31)</f>
        <v>Amino acid metabolism</v>
      </c>
      <c r="E37" t="s">
        <v>3436</v>
      </c>
      <c r="F37" t="s">
        <v>3687</v>
      </c>
      <c r="G37" t="s">
        <v>4792</v>
      </c>
      <c r="H37" t="s">
        <v>14360</v>
      </c>
      <c r="I37" t="s">
        <v>4792</v>
      </c>
      <c r="J37" s="4" t="s">
        <v>4792</v>
      </c>
      <c r="L37" t="s">
        <v>2380</v>
      </c>
      <c r="M37" t="s">
        <v>15679</v>
      </c>
      <c r="N37" t="s">
        <v>3436</v>
      </c>
      <c r="O37" t="s">
        <v>3436</v>
      </c>
      <c r="P37" t="s">
        <v>3687</v>
      </c>
      <c r="Q37" t="s">
        <v>3687</v>
      </c>
      <c r="R37" t="s">
        <v>3436</v>
      </c>
      <c r="S37" t="s">
        <v>14360</v>
      </c>
    </row>
    <row r="38" spans="1:19" x14ac:dyDescent="0.2">
      <c r="A38" t="s">
        <v>1819</v>
      </c>
      <c r="B38" t="s">
        <v>14359</v>
      </c>
      <c r="C38" t="s">
        <v>8563</v>
      </c>
      <c r="D38" t="str">
        <f>_xlfn.XLOOKUP(E38,pathways!$A$2:$A$31,pathways!$B$2:$B$31)</f>
        <v>Amino acid metabolism</v>
      </c>
      <c r="E38" t="s">
        <v>3436</v>
      </c>
      <c r="F38" t="s">
        <v>3687</v>
      </c>
      <c r="G38" t="s">
        <v>14360</v>
      </c>
      <c r="H38" t="s">
        <v>14360</v>
      </c>
      <c r="I38" t="s">
        <v>8563</v>
      </c>
      <c r="J38" s="4" t="s">
        <v>8563</v>
      </c>
      <c r="L38" t="s">
        <v>1818</v>
      </c>
      <c r="M38" t="s">
        <v>15119</v>
      </c>
      <c r="N38" t="s">
        <v>3436</v>
      </c>
      <c r="O38" t="s">
        <v>3436</v>
      </c>
      <c r="P38" t="s">
        <v>3687</v>
      </c>
      <c r="Q38" t="s">
        <v>3687</v>
      </c>
      <c r="R38" t="s">
        <v>3436</v>
      </c>
      <c r="S38" t="s">
        <v>3687</v>
      </c>
    </row>
    <row r="39" spans="1:19" x14ac:dyDescent="0.2">
      <c r="A39" t="s">
        <v>1161</v>
      </c>
      <c r="B39" t="s">
        <v>14359</v>
      </c>
      <c r="C39" t="s">
        <v>5398</v>
      </c>
      <c r="D39" t="str">
        <f>_xlfn.XLOOKUP(E39,pathways!$A$2:$A$31,pathways!$B$2:$B$31)</f>
        <v>Amino acid metabolism</v>
      </c>
      <c r="E39" t="s">
        <v>3436</v>
      </c>
      <c r="F39" t="s">
        <v>3498</v>
      </c>
      <c r="G39" t="s">
        <v>14360</v>
      </c>
      <c r="H39" t="s">
        <v>14360</v>
      </c>
      <c r="I39" t="s">
        <v>5398</v>
      </c>
      <c r="J39" s="4" t="s">
        <v>5398</v>
      </c>
      <c r="L39" t="s">
        <v>1160</v>
      </c>
      <c r="M39" t="s">
        <v>14432</v>
      </c>
      <c r="N39" t="s">
        <v>3436</v>
      </c>
      <c r="O39" t="s">
        <v>3436</v>
      </c>
      <c r="P39" t="s">
        <v>3498</v>
      </c>
      <c r="Q39" t="s">
        <v>3498</v>
      </c>
      <c r="R39" t="s">
        <v>3436</v>
      </c>
      <c r="S39" t="s">
        <v>4437</v>
      </c>
    </row>
    <row r="40" spans="1:19" x14ac:dyDescent="0.2">
      <c r="A40" t="s">
        <v>1596</v>
      </c>
      <c r="B40" t="s">
        <v>14359</v>
      </c>
      <c r="C40" t="s">
        <v>11655</v>
      </c>
      <c r="D40" t="str">
        <f>_xlfn.XLOOKUP(E40,pathways!$A$2:$A$31,pathways!$B$2:$B$31)</f>
        <v>Amino acid metabolism</v>
      </c>
      <c r="E40" t="s">
        <v>3436</v>
      </c>
      <c r="F40" t="s">
        <v>3586</v>
      </c>
      <c r="G40" t="s">
        <v>11655</v>
      </c>
      <c r="H40" t="s">
        <v>14360</v>
      </c>
      <c r="I40" t="s">
        <v>7509</v>
      </c>
      <c r="J40" s="4" t="s">
        <v>11655</v>
      </c>
      <c r="L40" t="s">
        <v>1595</v>
      </c>
      <c r="M40" t="s">
        <v>14883</v>
      </c>
      <c r="N40" t="s">
        <v>3436</v>
      </c>
      <c r="O40" t="s">
        <v>3436</v>
      </c>
      <c r="P40" t="s">
        <v>3586</v>
      </c>
      <c r="Q40" t="s">
        <v>3586</v>
      </c>
      <c r="R40" t="s">
        <v>3436</v>
      </c>
      <c r="S40" t="s">
        <v>5082</v>
      </c>
    </row>
    <row r="41" spans="1:19" x14ac:dyDescent="0.2">
      <c r="A41" t="s">
        <v>1918</v>
      </c>
      <c r="B41" t="s">
        <v>14359</v>
      </c>
      <c r="C41" t="s">
        <v>9051</v>
      </c>
      <c r="D41" t="str">
        <f>_xlfn.XLOOKUP(E41,pathways!$A$2:$A$31,pathways!$B$2:$B$31)</f>
        <v>Amino acid metabolism</v>
      </c>
      <c r="E41" t="s">
        <v>3436</v>
      </c>
      <c r="F41" t="s">
        <v>3470</v>
      </c>
      <c r="G41" t="s">
        <v>14360</v>
      </c>
      <c r="H41" t="s">
        <v>14360</v>
      </c>
      <c r="I41" t="s">
        <v>9051</v>
      </c>
      <c r="J41" s="4" t="s">
        <v>14360</v>
      </c>
      <c r="L41" t="s">
        <v>1917</v>
      </c>
      <c r="M41" t="s">
        <v>15219</v>
      </c>
      <c r="N41" t="s">
        <v>3436</v>
      </c>
      <c r="O41" t="s">
        <v>14360</v>
      </c>
      <c r="P41" t="s">
        <v>3470</v>
      </c>
      <c r="Q41" t="s">
        <v>14360</v>
      </c>
      <c r="R41" t="s">
        <v>3436</v>
      </c>
      <c r="S41" t="s">
        <v>14360</v>
      </c>
    </row>
    <row r="42" spans="1:19" x14ac:dyDescent="0.2">
      <c r="A42" t="s">
        <v>13751</v>
      </c>
      <c r="B42" t="s">
        <v>14359</v>
      </c>
      <c r="C42" t="s">
        <v>3473</v>
      </c>
      <c r="D42" t="str">
        <f>_xlfn.XLOOKUP(E42,pathways!$A$2:$A$31,pathways!$B$2:$B$31)</f>
        <v>Amino acid metabolism</v>
      </c>
      <c r="E42" t="s">
        <v>3436</v>
      </c>
      <c r="F42" t="s">
        <v>3470</v>
      </c>
      <c r="G42" t="s">
        <v>14360</v>
      </c>
      <c r="H42" t="s">
        <v>14360</v>
      </c>
      <c r="I42" t="s">
        <v>3473</v>
      </c>
      <c r="J42" s="4" t="s">
        <v>3473</v>
      </c>
      <c r="L42" t="s">
        <v>14360</v>
      </c>
      <c r="M42" t="s">
        <v>14360</v>
      </c>
      <c r="N42" t="s">
        <v>3436</v>
      </c>
      <c r="O42" t="s">
        <v>3436</v>
      </c>
      <c r="P42" t="s">
        <v>3470</v>
      </c>
      <c r="Q42" t="s">
        <v>3470</v>
      </c>
      <c r="R42" t="s">
        <v>14360</v>
      </c>
      <c r="S42" t="s">
        <v>14360</v>
      </c>
    </row>
    <row r="43" spans="1:19" x14ac:dyDescent="0.2">
      <c r="A43" t="s">
        <v>1121</v>
      </c>
      <c r="B43" t="s">
        <v>14359</v>
      </c>
      <c r="C43" t="s">
        <v>5224</v>
      </c>
      <c r="D43" t="str">
        <f>_xlfn.XLOOKUP(E43,pathways!$A$2:$A$31,pathways!$B$2:$B$31)</f>
        <v>Amino acid metabolism</v>
      </c>
      <c r="E43" t="s">
        <v>3436</v>
      </c>
      <c r="F43" t="s">
        <v>3586</v>
      </c>
      <c r="G43" t="s">
        <v>5224</v>
      </c>
      <c r="H43" t="s">
        <v>14360</v>
      </c>
      <c r="I43" t="s">
        <v>5224</v>
      </c>
      <c r="J43" s="4" t="s">
        <v>14360</v>
      </c>
      <c r="L43" t="s">
        <v>1120</v>
      </c>
      <c r="M43" t="s">
        <v>14390</v>
      </c>
      <c r="N43" t="s">
        <v>3436</v>
      </c>
      <c r="O43" t="s">
        <v>14360</v>
      </c>
      <c r="P43" t="s">
        <v>3586</v>
      </c>
      <c r="Q43" t="s">
        <v>14360</v>
      </c>
      <c r="R43" t="s">
        <v>3436</v>
      </c>
      <c r="S43" t="s">
        <v>14360</v>
      </c>
    </row>
    <row r="44" spans="1:19" x14ac:dyDescent="0.2">
      <c r="A44" t="s">
        <v>2489</v>
      </c>
      <c r="B44" t="s">
        <v>14359</v>
      </c>
      <c r="C44" t="s">
        <v>19662</v>
      </c>
      <c r="D44" t="str">
        <f>_xlfn.XLOOKUP(E44,pathways!$A$2:$A$31,pathways!$B$2:$B$31)</f>
        <v>Amino acid metabolism</v>
      </c>
      <c r="E44" t="s">
        <v>3436</v>
      </c>
      <c r="F44" t="s">
        <v>3437</v>
      </c>
      <c r="G44" t="s">
        <v>3632</v>
      </c>
      <c r="H44" t="s">
        <v>14360</v>
      </c>
      <c r="I44" t="s">
        <v>3632</v>
      </c>
      <c r="J44" s="4" t="s">
        <v>3632</v>
      </c>
      <c r="L44" t="s">
        <v>2488</v>
      </c>
      <c r="M44" t="s">
        <v>15797</v>
      </c>
      <c r="N44" t="s">
        <v>3436</v>
      </c>
      <c r="O44" t="s">
        <v>3436</v>
      </c>
      <c r="P44" t="s">
        <v>3437</v>
      </c>
      <c r="Q44" t="s">
        <v>3437</v>
      </c>
      <c r="R44" t="s">
        <v>3436</v>
      </c>
      <c r="S44" t="s">
        <v>14360</v>
      </c>
    </row>
    <row r="45" spans="1:19" x14ac:dyDescent="0.2">
      <c r="A45" t="s">
        <v>13869</v>
      </c>
      <c r="B45" t="s">
        <v>14359</v>
      </c>
      <c r="C45" t="s">
        <v>7257</v>
      </c>
      <c r="D45" t="str">
        <f>_xlfn.XLOOKUP(E45,pathways!$A$2:$A$31,pathways!$B$2:$B$31)</f>
        <v>Amino acid metabolism</v>
      </c>
      <c r="E45" t="s">
        <v>3436</v>
      </c>
      <c r="F45" t="s">
        <v>3603</v>
      </c>
      <c r="G45" t="s">
        <v>20422</v>
      </c>
      <c r="H45" t="s">
        <v>14360</v>
      </c>
      <c r="I45" t="s">
        <v>7257</v>
      </c>
      <c r="J45" s="4" t="s">
        <v>7257</v>
      </c>
      <c r="L45" t="s">
        <v>14360</v>
      </c>
      <c r="M45" t="s">
        <v>14360</v>
      </c>
      <c r="N45" t="s">
        <v>3436</v>
      </c>
      <c r="O45" t="s">
        <v>3436</v>
      </c>
      <c r="P45" t="s">
        <v>3603</v>
      </c>
      <c r="Q45" t="s">
        <v>3603</v>
      </c>
      <c r="R45" t="s">
        <v>14360</v>
      </c>
      <c r="S45" t="s">
        <v>14360</v>
      </c>
    </row>
    <row r="46" spans="1:19" x14ac:dyDescent="0.2">
      <c r="A46" t="s">
        <v>2341</v>
      </c>
      <c r="B46" t="s">
        <v>14359</v>
      </c>
      <c r="C46" t="s">
        <v>4546</v>
      </c>
      <c r="D46" t="str">
        <f>_xlfn.XLOOKUP(E46,pathways!$A$2:$A$31,pathways!$B$2:$B$31)</f>
        <v>Amino acid metabolism</v>
      </c>
      <c r="E46" t="s">
        <v>3436</v>
      </c>
      <c r="F46" t="s">
        <v>3793</v>
      </c>
      <c r="G46" t="s">
        <v>20418</v>
      </c>
      <c r="H46" t="s">
        <v>14360</v>
      </c>
      <c r="I46" t="s">
        <v>4546</v>
      </c>
      <c r="J46" s="4" t="s">
        <v>4546</v>
      </c>
      <c r="L46" t="s">
        <v>2340</v>
      </c>
      <c r="M46" t="s">
        <v>15639</v>
      </c>
      <c r="N46" t="s">
        <v>3436</v>
      </c>
      <c r="O46" t="s">
        <v>3436</v>
      </c>
      <c r="P46" t="s">
        <v>3793</v>
      </c>
      <c r="Q46" t="s">
        <v>3793</v>
      </c>
      <c r="R46" t="s">
        <v>3436</v>
      </c>
      <c r="S46" t="s">
        <v>14360</v>
      </c>
    </row>
    <row r="47" spans="1:19" x14ac:dyDescent="0.2">
      <c r="A47" t="s">
        <v>2202</v>
      </c>
      <c r="B47" t="s">
        <v>14359</v>
      </c>
      <c r="C47" t="s">
        <v>9757</v>
      </c>
      <c r="D47" t="str">
        <f>_xlfn.XLOOKUP(E47,pathways!$A$2:$A$31,pathways!$B$2:$B$31)</f>
        <v>Amino acid metabolism</v>
      </c>
      <c r="E47" t="s">
        <v>3436</v>
      </c>
      <c r="F47" t="s">
        <v>3470</v>
      </c>
      <c r="G47" t="s">
        <v>14360</v>
      </c>
      <c r="H47" t="s">
        <v>14360</v>
      </c>
      <c r="I47" t="s">
        <v>9757</v>
      </c>
      <c r="J47" s="4" t="s">
        <v>9757</v>
      </c>
      <c r="L47" t="s">
        <v>2201</v>
      </c>
      <c r="M47" t="s">
        <v>15499</v>
      </c>
      <c r="N47" t="s">
        <v>3436</v>
      </c>
      <c r="O47" t="s">
        <v>3436</v>
      </c>
      <c r="P47" t="s">
        <v>3470</v>
      </c>
      <c r="Q47" t="s">
        <v>3470</v>
      </c>
      <c r="R47" t="s">
        <v>3436</v>
      </c>
      <c r="S47" t="s">
        <v>14360</v>
      </c>
    </row>
    <row r="48" spans="1:19" x14ac:dyDescent="0.2">
      <c r="A48" t="s">
        <v>1724</v>
      </c>
      <c r="B48" t="s">
        <v>14359</v>
      </c>
      <c r="C48" t="s">
        <v>8209</v>
      </c>
      <c r="D48" t="str">
        <f>_xlfn.XLOOKUP(E48,pathways!$A$2:$A$31,pathways!$B$2:$B$31)</f>
        <v>Amino acid metabolism</v>
      </c>
      <c r="E48" t="s">
        <v>3436</v>
      </c>
      <c r="F48" t="s">
        <v>3586</v>
      </c>
      <c r="G48" t="s">
        <v>8209</v>
      </c>
      <c r="H48" t="s">
        <v>14360</v>
      </c>
      <c r="I48" t="s">
        <v>8209</v>
      </c>
      <c r="J48" s="4" t="s">
        <v>8209</v>
      </c>
      <c r="L48" t="s">
        <v>1723</v>
      </c>
      <c r="M48" t="s">
        <v>15019</v>
      </c>
      <c r="N48" t="s">
        <v>3436</v>
      </c>
      <c r="O48" t="s">
        <v>3436</v>
      </c>
      <c r="P48" t="s">
        <v>3586</v>
      </c>
      <c r="Q48" t="s">
        <v>3586</v>
      </c>
      <c r="R48" t="s">
        <v>3436</v>
      </c>
      <c r="S48" t="s">
        <v>14360</v>
      </c>
    </row>
    <row r="49" spans="1:19" x14ac:dyDescent="0.2">
      <c r="A49" t="s">
        <v>1748</v>
      </c>
      <c r="B49" t="s">
        <v>14359</v>
      </c>
      <c r="C49" t="s">
        <v>19384</v>
      </c>
      <c r="D49" t="str">
        <f>_xlfn.XLOOKUP(E49,pathways!$A$2:$A$31,pathways!$B$2:$B$31)</f>
        <v>Amino acid metabolism</v>
      </c>
      <c r="E49" t="s">
        <v>3436</v>
      </c>
      <c r="F49" t="s">
        <v>3437</v>
      </c>
      <c r="G49" t="s">
        <v>8238</v>
      </c>
      <c r="H49" t="s">
        <v>14360</v>
      </c>
      <c r="I49" t="s">
        <v>8238</v>
      </c>
      <c r="J49" s="4" t="s">
        <v>8238</v>
      </c>
      <c r="L49" t="s">
        <v>1747</v>
      </c>
      <c r="M49" t="s">
        <v>15045</v>
      </c>
      <c r="N49" t="s">
        <v>3436</v>
      </c>
      <c r="O49" t="s">
        <v>3436</v>
      </c>
      <c r="P49" t="s">
        <v>3437</v>
      </c>
      <c r="Q49" t="s">
        <v>3437</v>
      </c>
      <c r="R49" t="s">
        <v>3436</v>
      </c>
      <c r="S49" t="s">
        <v>14360</v>
      </c>
    </row>
    <row r="50" spans="1:19" x14ac:dyDescent="0.2">
      <c r="A50" t="s">
        <v>13776</v>
      </c>
      <c r="B50" t="s">
        <v>14359</v>
      </c>
      <c r="C50" t="s">
        <v>27</v>
      </c>
      <c r="D50" t="str">
        <f>_xlfn.XLOOKUP(E50,pathways!$A$2:$A$31,pathways!$B$2:$B$31)</f>
        <v>Amino acid metabolism</v>
      </c>
      <c r="E50" t="s">
        <v>3436</v>
      </c>
      <c r="F50" t="s">
        <v>3670</v>
      </c>
      <c r="G50" t="s">
        <v>26</v>
      </c>
      <c r="H50" t="s">
        <v>14360</v>
      </c>
      <c r="I50" t="s">
        <v>26</v>
      </c>
      <c r="J50" s="4" t="s">
        <v>26</v>
      </c>
      <c r="L50" t="s">
        <v>28</v>
      </c>
      <c r="M50" s="3" t="s">
        <v>15940</v>
      </c>
      <c r="N50" t="s">
        <v>3436</v>
      </c>
      <c r="O50" t="s">
        <v>3436</v>
      </c>
      <c r="P50" t="s">
        <v>3670</v>
      </c>
      <c r="Q50" t="s">
        <v>3670</v>
      </c>
      <c r="R50" t="s">
        <v>3436</v>
      </c>
      <c r="S50" t="s">
        <v>14360</v>
      </c>
    </row>
    <row r="51" spans="1:19" x14ac:dyDescent="0.2">
      <c r="A51" t="s">
        <v>1167</v>
      </c>
      <c r="B51" t="s">
        <v>14359</v>
      </c>
      <c r="C51" t="s">
        <v>19199</v>
      </c>
      <c r="D51" t="str">
        <f>_xlfn.XLOOKUP(E51,pathways!$A$2:$A$31,pathways!$B$2:$B$31)</f>
        <v>Amino acid metabolism</v>
      </c>
      <c r="E51" t="s">
        <v>3436</v>
      </c>
      <c r="F51" t="s">
        <v>3498</v>
      </c>
      <c r="G51" t="s">
        <v>14360</v>
      </c>
      <c r="H51" t="s">
        <v>14360</v>
      </c>
      <c r="I51" t="s">
        <v>5474</v>
      </c>
      <c r="J51" s="4" t="s">
        <v>5474</v>
      </c>
      <c r="L51" t="s">
        <v>1166</v>
      </c>
      <c r="M51" t="s">
        <v>14438</v>
      </c>
      <c r="N51" t="s">
        <v>3436</v>
      </c>
      <c r="O51" t="s">
        <v>3436</v>
      </c>
      <c r="P51" t="s">
        <v>3498</v>
      </c>
      <c r="Q51" t="s">
        <v>3498</v>
      </c>
      <c r="R51" t="s">
        <v>3436</v>
      </c>
      <c r="S51" t="s">
        <v>14360</v>
      </c>
    </row>
    <row r="52" spans="1:19" x14ac:dyDescent="0.2">
      <c r="A52" t="s">
        <v>1316</v>
      </c>
      <c r="B52" t="s">
        <v>14359</v>
      </c>
      <c r="C52" t="s">
        <v>19247</v>
      </c>
      <c r="D52" t="str">
        <f>_xlfn.XLOOKUP(E52,pathways!$A$2:$A$31,pathways!$B$2:$B$31)</f>
        <v>Amino acid metabolism</v>
      </c>
      <c r="E52" t="s">
        <v>3436</v>
      </c>
      <c r="F52" t="s">
        <v>3498</v>
      </c>
      <c r="G52" t="s">
        <v>14360</v>
      </c>
      <c r="H52" t="s">
        <v>14360</v>
      </c>
      <c r="I52" t="s">
        <v>14360</v>
      </c>
      <c r="J52" s="4" t="s">
        <v>6188</v>
      </c>
      <c r="L52" t="s">
        <v>14360</v>
      </c>
      <c r="M52" t="s">
        <v>14360</v>
      </c>
      <c r="N52" t="s">
        <v>14360</v>
      </c>
      <c r="O52" t="s">
        <v>3436</v>
      </c>
      <c r="P52" t="s">
        <v>14360</v>
      </c>
      <c r="Q52" t="s">
        <v>3498</v>
      </c>
      <c r="R52" t="s">
        <v>14360</v>
      </c>
      <c r="S52" t="s">
        <v>14360</v>
      </c>
    </row>
    <row r="53" spans="1:19" x14ac:dyDescent="0.2">
      <c r="A53" t="s">
        <v>13830</v>
      </c>
      <c r="B53" t="s">
        <v>14359</v>
      </c>
      <c r="C53" t="s">
        <v>19247</v>
      </c>
      <c r="D53" t="str">
        <f>_xlfn.XLOOKUP(E53,pathways!$A$2:$A$31,pathways!$B$2:$B$31)</f>
        <v>Amino acid metabolism</v>
      </c>
      <c r="E53" t="s">
        <v>3436</v>
      </c>
      <c r="F53" t="s">
        <v>3498</v>
      </c>
      <c r="G53" t="s">
        <v>14360</v>
      </c>
      <c r="H53" t="s">
        <v>14360</v>
      </c>
      <c r="I53" t="s">
        <v>6188</v>
      </c>
      <c r="J53" s="4" t="s">
        <v>14360</v>
      </c>
      <c r="L53" t="s">
        <v>1315</v>
      </c>
      <c r="M53" t="s">
        <v>14594</v>
      </c>
      <c r="N53" t="s">
        <v>3436</v>
      </c>
      <c r="O53" t="s">
        <v>14360</v>
      </c>
      <c r="P53" t="s">
        <v>3498</v>
      </c>
      <c r="Q53" t="s">
        <v>14360</v>
      </c>
      <c r="R53" t="s">
        <v>3436</v>
      </c>
      <c r="S53" t="s">
        <v>14360</v>
      </c>
    </row>
    <row r="54" spans="1:19" x14ac:dyDescent="0.2">
      <c r="A54" t="s">
        <v>13774</v>
      </c>
      <c r="B54" t="s">
        <v>14359</v>
      </c>
      <c r="C54" t="s">
        <v>19723</v>
      </c>
      <c r="D54" t="str">
        <f>_xlfn.XLOOKUP(E54,pathways!$A$2:$A$31,pathways!$B$2:$B$31)</f>
        <v>Amino acid metabolism</v>
      </c>
      <c r="E54" t="s">
        <v>3436</v>
      </c>
      <c r="F54" t="s">
        <v>3603</v>
      </c>
      <c r="G54" t="s">
        <v>4263</v>
      </c>
      <c r="H54" t="s">
        <v>14360</v>
      </c>
      <c r="I54" t="s">
        <v>4263</v>
      </c>
      <c r="J54" s="4" t="s">
        <v>14360</v>
      </c>
      <c r="L54" t="s">
        <v>2619</v>
      </c>
      <c r="M54" t="s">
        <v>15953</v>
      </c>
      <c r="N54" t="s">
        <v>3436</v>
      </c>
      <c r="O54" t="s">
        <v>14360</v>
      </c>
      <c r="P54" t="s">
        <v>3603</v>
      </c>
      <c r="Q54" t="s">
        <v>14360</v>
      </c>
      <c r="R54" t="s">
        <v>3436</v>
      </c>
      <c r="S54" t="s">
        <v>14360</v>
      </c>
    </row>
    <row r="55" spans="1:19" x14ac:dyDescent="0.2">
      <c r="A55" t="s">
        <v>1604</v>
      </c>
      <c r="B55" t="s">
        <v>14359</v>
      </c>
      <c r="C55" t="s">
        <v>19340</v>
      </c>
      <c r="D55" t="str">
        <f>_xlfn.XLOOKUP(E55,pathways!$A$2:$A$31,pathways!$B$2:$B$31)</f>
        <v>Amino acid metabolism</v>
      </c>
      <c r="E55" t="s">
        <v>3436</v>
      </c>
      <c r="F55" t="s">
        <v>4215</v>
      </c>
      <c r="G55" t="s">
        <v>20417</v>
      </c>
      <c r="H55" t="s">
        <v>14360</v>
      </c>
      <c r="I55" t="s">
        <v>7458</v>
      </c>
      <c r="J55" s="4" t="s">
        <v>7458</v>
      </c>
      <c r="L55" t="s">
        <v>1603</v>
      </c>
      <c r="M55" t="s">
        <v>14891</v>
      </c>
      <c r="N55" t="s">
        <v>3436</v>
      </c>
      <c r="O55" t="s">
        <v>3436</v>
      </c>
      <c r="P55" t="s">
        <v>4215</v>
      </c>
      <c r="Q55" t="s">
        <v>4215</v>
      </c>
      <c r="R55" t="s">
        <v>3436</v>
      </c>
      <c r="S55" t="s">
        <v>14360</v>
      </c>
    </row>
    <row r="56" spans="1:19" x14ac:dyDescent="0.2">
      <c r="A56" t="s">
        <v>2424</v>
      </c>
      <c r="B56" t="s">
        <v>14359</v>
      </c>
      <c r="C56" t="s">
        <v>19643</v>
      </c>
      <c r="D56" t="str">
        <f>_xlfn.XLOOKUP(E56,pathways!$A$2:$A$31,pathways!$B$2:$B$31)</f>
        <v>Amino acid metabolism</v>
      </c>
      <c r="E56" t="s">
        <v>3436</v>
      </c>
      <c r="F56" t="s">
        <v>3470</v>
      </c>
      <c r="G56" t="s">
        <v>14360</v>
      </c>
      <c r="H56" t="s">
        <v>14360</v>
      </c>
      <c r="I56" t="s">
        <v>4905</v>
      </c>
      <c r="J56" s="4" t="s">
        <v>14360</v>
      </c>
      <c r="L56" t="s">
        <v>2423</v>
      </c>
      <c r="M56" t="s">
        <v>15727</v>
      </c>
      <c r="N56" t="s">
        <v>3436</v>
      </c>
      <c r="O56" t="s">
        <v>14360</v>
      </c>
      <c r="P56" t="s">
        <v>3470</v>
      </c>
      <c r="Q56" t="s">
        <v>14360</v>
      </c>
      <c r="R56" t="s">
        <v>3436</v>
      </c>
      <c r="S56" t="s">
        <v>14360</v>
      </c>
    </row>
    <row r="57" spans="1:19" x14ac:dyDescent="0.2">
      <c r="A57" t="s">
        <v>1632</v>
      </c>
      <c r="B57" t="s">
        <v>14359</v>
      </c>
      <c r="C57" t="s">
        <v>19347</v>
      </c>
      <c r="D57" t="str">
        <f>_xlfn.XLOOKUP(E57,pathways!$A$2:$A$31,pathways!$B$2:$B$31)</f>
        <v>Amino acid metabolism</v>
      </c>
      <c r="E57" t="s">
        <v>3436</v>
      </c>
      <c r="F57" t="s">
        <v>3661</v>
      </c>
      <c r="G57" t="s">
        <v>14360</v>
      </c>
      <c r="H57" t="s">
        <v>14360</v>
      </c>
      <c r="I57" t="s">
        <v>7640</v>
      </c>
      <c r="J57" s="4" t="s">
        <v>7640</v>
      </c>
      <c r="L57" t="s">
        <v>1631</v>
      </c>
      <c r="M57" t="s">
        <v>14921</v>
      </c>
      <c r="N57" t="s">
        <v>3436</v>
      </c>
      <c r="O57" t="s">
        <v>3436</v>
      </c>
      <c r="P57" t="s">
        <v>3661</v>
      </c>
      <c r="Q57" t="s">
        <v>3661</v>
      </c>
      <c r="R57" t="s">
        <v>3436</v>
      </c>
      <c r="S57" t="s">
        <v>14360</v>
      </c>
    </row>
    <row r="58" spans="1:19" x14ac:dyDescent="0.2">
      <c r="A58" t="s">
        <v>2511</v>
      </c>
      <c r="B58" t="s">
        <v>14359</v>
      </c>
      <c r="C58" t="s">
        <v>19670</v>
      </c>
      <c r="D58" t="str">
        <f>_xlfn.XLOOKUP(E58,pathways!$A$2:$A$31,pathways!$B$2:$B$31)</f>
        <v>Amino acid metabolism</v>
      </c>
      <c r="E58" t="s">
        <v>3436</v>
      </c>
      <c r="F58" t="s">
        <v>3661</v>
      </c>
      <c r="G58" t="s">
        <v>14360</v>
      </c>
      <c r="H58" t="s">
        <v>14360</v>
      </c>
      <c r="I58" t="s">
        <v>3664</v>
      </c>
      <c r="J58" s="4" t="s">
        <v>3664</v>
      </c>
      <c r="L58" t="s">
        <v>2510</v>
      </c>
      <c r="M58" t="s">
        <v>15823</v>
      </c>
      <c r="N58" t="s">
        <v>3436</v>
      </c>
      <c r="O58" t="s">
        <v>3436</v>
      </c>
      <c r="P58" t="s">
        <v>3661</v>
      </c>
      <c r="Q58" t="s">
        <v>3661</v>
      </c>
      <c r="R58" t="s">
        <v>3436</v>
      </c>
      <c r="S58" t="s">
        <v>14360</v>
      </c>
    </row>
    <row r="59" spans="1:19" x14ac:dyDescent="0.2">
      <c r="A59" t="s">
        <v>2643</v>
      </c>
      <c r="B59" t="s">
        <v>14359</v>
      </c>
      <c r="C59" t="s">
        <v>19735</v>
      </c>
      <c r="D59" t="str">
        <f>_xlfn.XLOOKUP(E59,pathways!$A$2:$A$31,pathways!$B$2:$B$31)</f>
        <v>Amino acid metabolism</v>
      </c>
      <c r="E59" t="s">
        <v>3436</v>
      </c>
      <c r="F59" t="s">
        <v>3670</v>
      </c>
      <c r="G59" t="s">
        <v>4457</v>
      </c>
      <c r="H59" t="s">
        <v>14360</v>
      </c>
      <c r="I59" t="s">
        <v>4457</v>
      </c>
      <c r="J59" s="4" t="s">
        <v>4457</v>
      </c>
      <c r="L59" t="s">
        <v>2642</v>
      </c>
      <c r="M59" t="s">
        <v>15981</v>
      </c>
      <c r="N59" t="s">
        <v>3436</v>
      </c>
      <c r="O59" t="s">
        <v>3436</v>
      </c>
      <c r="P59" t="s">
        <v>3670</v>
      </c>
      <c r="Q59" t="s">
        <v>3670</v>
      </c>
      <c r="R59" t="s">
        <v>3436</v>
      </c>
      <c r="S59" t="s">
        <v>14360</v>
      </c>
    </row>
    <row r="60" spans="1:19" x14ac:dyDescent="0.2">
      <c r="A60" t="s">
        <v>2507</v>
      </c>
      <c r="B60" t="s">
        <v>14359</v>
      </c>
      <c r="C60" t="s">
        <v>19669</v>
      </c>
      <c r="D60" t="str">
        <f>_xlfn.XLOOKUP(E60,pathways!$A$2:$A$31,pathways!$B$2:$B$31)</f>
        <v>Amino acid metabolism</v>
      </c>
      <c r="E60" t="s">
        <v>3436</v>
      </c>
      <c r="F60" t="s">
        <v>3670</v>
      </c>
      <c r="G60" t="s">
        <v>14360</v>
      </c>
      <c r="H60" t="s">
        <v>14360</v>
      </c>
      <c r="I60" t="s">
        <v>3673</v>
      </c>
      <c r="J60" s="4" t="s">
        <v>3673</v>
      </c>
      <c r="L60" t="s">
        <v>2506</v>
      </c>
      <c r="M60" t="s">
        <v>15819</v>
      </c>
      <c r="N60" t="s">
        <v>3436</v>
      </c>
      <c r="O60" t="s">
        <v>3436</v>
      </c>
      <c r="P60" t="s">
        <v>3670</v>
      </c>
      <c r="Q60" t="s">
        <v>3670</v>
      </c>
      <c r="R60" t="s">
        <v>3436</v>
      </c>
      <c r="S60" t="s">
        <v>14360</v>
      </c>
    </row>
    <row r="61" spans="1:19" x14ac:dyDescent="0.2">
      <c r="A61" t="s">
        <v>2493</v>
      </c>
      <c r="B61" t="s">
        <v>14359</v>
      </c>
      <c r="C61" t="s">
        <v>19664</v>
      </c>
      <c r="D61" t="str">
        <f>_xlfn.XLOOKUP(E61,pathways!$A$2:$A$31,pathways!$B$2:$B$31)</f>
        <v>Amino acid metabolism</v>
      </c>
      <c r="E61" t="s">
        <v>3436</v>
      </c>
      <c r="F61" t="s">
        <v>3705</v>
      </c>
      <c r="G61" t="s">
        <v>14360</v>
      </c>
      <c r="H61" t="s">
        <v>14360</v>
      </c>
      <c r="I61" t="s">
        <v>3708</v>
      </c>
      <c r="J61" s="4" t="s">
        <v>3708</v>
      </c>
      <c r="L61" t="s">
        <v>2492</v>
      </c>
      <c r="M61" t="s">
        <v>15801</v>
      </c>
      <c r="N61" t="s">
        <v>3533</v>
      </c>
      <c r="O61" t="s">
        <v>3533</v>
      </c>
      <c r="P61" t="s">
        <v>3705</v>
      </c>
      <c r="Q61" t="s">
        <v>3705</v>
      </c>
      <c r="R61" t="s">
        <v>3533</v>
      </c>
      <c r="S61" t="s">
        <v>14360</v>
      </c>
    </row>
    <row r="62" spans="1:19" x14ac:dyDescent="0.2">
      <c r="A62" t="s">
        <v>1654</v>
      </c>
      <c r="B62" t="s">
        <v>14359</v>
      </c>
      <c r="C62" t="s">
        <v>19356</v>
      </c>
      <c r="D62" t="str">
        <f>_xlfn.XLOOKUP(E62,pathways!$A$2:$A$31,pathways!$B$2:$B$31)</f>
        <v>Amino acid metabolism</v>
      </c>
      <c r="E62" t="s">
        <v>3436</v>
      </c>
      <c r="F62" t="s">
        <v>4215</v>
      </c>
      <c r="G62" t="s">
        <v>7864</v>
      </c>
      <c r="H62" t="s">
        <v>14360</v>
      </c>
      <c r="I62" t="s">
        <v>7864</v>
      </c>
      <c r="J62" s="4" t="s">
        <v>7864</v>
      </c>
      <c r="L62" t="s">
        <v>1653</v>
      </c>
      <c r="M62" t="s">
        <v>14943</v>
      </c>
      <c r="N62" t="s">
        <v>3436</v>
      </c>
      <c r="O62" t="s">
        <v>3436</v>
      </c>
      <c r="P62" t="s">
        <v>4215</v>
      </c>
      <c r="Q62" t="s">
        <v>4215</v>
      </c>
      <c r="R62" t="s">
        <v>3436</v>
      </c>
      <c r="S62" t="s">
        <v>18840</v>
      </c>
    </row>
    <row r="63" spans="1:19" x14ac:dyDescent="0.2">
      <c r="A63" t="s">
        <v>2420</v>
      </c>
      <c r="B63" t="s">
        <v>14359</v>
      </c>
      <c r="C63" t="s">
        <v>19641</v>
      </c>
      <c r="D63" t="str">
        <f>_xlfn.XLOOKUP(E63,pathways!$A$2:$A$31,pathways!$B$2:$B$31)</f>
        <v>Amino acid metabolism</v>
      </c>
      <c r="E63" t="s">
        <v>3436</v>
      </c>
      <c r="F63" t="s">
        <v>3498</v>
      </c>
      <c r="G63" t="s">
        <v>14360</v>
      </c>
      <c r="H63" t="s">
        <v>14360</v>
      </c>
      <c r="I63" t="s">
        <v>4970</v>
      </c>
      <c r="J63" s="4" t="s">
        <v>4970</v>
      </c>
      <c r="L63" t="s">
        <v>2419</v>
      </c>
      <c r="M63" t="s">
        <v>15723</v>
      </c>
      <c r="N63" t="s">
        <v>3436</v>
      </c>
      <c r="O63" t="s">
        <v>3436</v>
      </c>
      <c r="P63" t="s">
        <v>3498</v>
      </c>
      <c r="Q63" t="s">
        <v>3498</v>
      </c>
      <c r="R63" t="s">
        <v>3436</v>
      </c>
      <c r="S63" t="s">
        <v>14360</v>
      </c>
    </row>
    <row r="64" spans="1:19" x14ac:dyDescent="0.2">
      <c r="A64" t="s">
        <v>1441</v>
      </c>
      <c r="B64" t="s">
        <v>14359</v>
      </c>
      <c r="C64" t="s">
        <v>19291</v>
      </c>
      <c r="D64" t="str">
        <f>_xlfn.XLOOKUP(E64,pathways!$A$2:$A$31,pathways!$B$2:$B$31)</f>
        <v>Amino acid metabolism</v>
      </c>
      <c r="E64" t="s">
        <v>3436</v>
      </c>
      <c r="F64" t="s">
        <v>3498</v>
      </c>
      <c r="G64" t="s">
        <v>14360</v>
      </c>
      <c r="H64" t="s">
        <v>14360</v>
      </c>
      <c r="I64" t="s">
        <v>6691</v>
      </c>
      <c r="J64" s="4" t="s">
        <v>14360</v>
      </c>
      <c r="L64" t="s">
        <v>1440</v>
      </c>
      <c r="M64" t="s">
        <v>14726</v>
      </c>
      <c r="N64" t="s">
        <v>3436</v>
      </c>
      <c r="O64" t="s">
        <v>14360</v>
      </c>
      <c r="P64" t="s">
        <v>3498</v>
      </c>
      <c r="Q64" t="s">
        <v>14360</v>
      </c>
      <c r="R64" t="s">
        <v>3436</v>
      </c>
      <c r="S64" t="s">
        <v>14360</v>
      </c>
    </row>
    <row r="65" spans="1:19" x14ac:dyDescent="0.2">
      <c r="A65" t="s">
        <v>2602</v>
      </c>
      <c r="B65" t="s">
        <v>14359</v>
      </c>
      <c r="C65" t="s">
        <v>19714</v>
      </c>
      <c r="D65" t="str">
        <f>_xlfn.XLOOKUP(E65,pathways!$A$2:$A$31,pathways!$B$2:$B$31)</f>
        <v>Amino acid metabolism</v>
      </c>
      <c r="E65" t="s">
        <v>3436</v>
      </c>
      <c r="F65" t="s">
        <v>3882</v>
      </c>
      <c r="G65" t="s">
        <v>14360</v>
      </c>
      <c r="H65" t="s">
        <v>14360</v>
      </c>
      <c r="I65" t="s">
        <v>4279</v>
      </c>
      <c r="J65" s="4" t="s">
        <v>4279</v>
      </c>
      <c r="L65" t="s">
        <v>2601</v>
      </c>
      <c r="M65" t="s">
        <v>15928</v>
      </c>
      <c r="N65" t="s">
        <v>3436</v>
      </c>
      <c r="O65" t="s">
        <v>3436</v>
      </c>
      <c r="P65" t="s">
        <v>3882</v>
      </c>
      <c r="Q65" t="s">
        <v>3882</v>
      </c>
      <c r="R65" t="s">
        <v>3436</v>
      </c>
      <c r="S65" t="s">
        <v>14360</v>
      </c>
    </row>
    <row r="66" spans="1:19" x14ac:dyDescent="0.2">
      <c r="A66" t="s">
        <v>1837</v>
      </c>
      <c r="B66" t="s">
        <v>14359</v>
      </c>
      <c r="C66" t="s">
        <v>8672</v>
      </c>
      <c r="D66" t="str">
        <f>_xlfn.XLOOKUP(E66,pathways!$A$2:$A$31,pathways!$B$2:$B$31)</f>
        <v>Amino acid metabolism</v>
      </c>
      <c r="E66" t="s">
        <v>3436</v>
      </c>
      <c r="F66" t="s">
        <v>3470</v>
      </c>
      <c r="G66" t="s">
        <v>8672</v>
      </c>
      <c r="H66" t="s">
        <v>14360</v>
      </c>
      <c r="I66" t="s">
        <v>8672</v>
      </c>
      <c r="J66" s="4" t="s">
        <v>8672</v>
      </c>
      <c r="L66" t="s">
        <v>1836</v>
      </c>
      <c r="M66" t="s">
        <v>15138</v>
      </c>
      <c r="N66" t="s">
        <v>3436</v>
      </c>
      <c r="O66" t="s">
        <v>3436</v>
      </c>
      <c r="P66" t="s">
        <v>3470</v>
      </c>
      <c r="Q66" t="s">
        <v>3470</v>
      </c>
      <c r="R66" t="s">
        <v>3436</v>
      </c>
      <c r="S66" t="s">
        <v>14360</v>
      </c>
    </row>
    <row r="67" spans="1:19" x14ac:dyDescent="0.2">
      <c r="A67" t="s">
        <v>2563</v>
      </c>
      <c r="B67" t="s">
        <v>14359</v>
      </c>
      <c r="C67" t="s">
        <v>19696</v>
      </c>
      <c r="D67" t="str">
        <f>_xlfn.XLOOKUP(E67,pathways!$A$2:$A$31,pathways!$B$2:$B$31)</f>
        <v>Amino acid metabolism</v>
      </c>
      <c r="E67" t="s">
        <v>3436</v>
      </c>
      <c r="F67" t="s">
        <v>3661</v>
      </c>
      <c r="G67" t="s">
        <v>14360</v>
      </c>
      <c r="H67" t="s">
        <v>14360</v>
      </c>
      <c r="I67" t="s">
        <v>3971</v>
      </c>
      <c r="J67" s="4" t="s">
        <v>3971</v>
      </c>
      <c r="L67" t="s">
        <v>2562</v>
      </c>
      <c r="M67" t="s">
        <v>15885</v>
      </c>
      <c r="N67" t="s">
        <v>3436</v>
      </c>
      <c r="O67" t="s">
        <v>3436</v>
      </c>
      <c r="P67" t="s">
        <v>3661</v>
      </c>
      <c r="Q67" t="s">
        <v>3661</v>
      </c>
      <c r="R67" t="s">
        <v>3436</v>
      </c>
      <c r="S67" t="s">
        <v>14360</v>
      </c>
    </row>
    <row r="68" spans="1:19" x14ac:dyDescent="0.2">
      <c r="A68" t="s">
        <v>2422</v>
      </c>
      <c r="B68" t="s">
        <v>14359</v>
      </c>
      <c r="C68" t="s">
        <v>19642</v>
      </c>
      <c r="D68" t="str">
        <f>_xlfn.XLOOKUP(E68,pathways!$A$2:$A$31,pathways!$B$2:$B$31)</f>
        <v>Amino acid metabolism</v>
      </c>
      <c r="E68" t="s">
        <v>3436</v>
      </c>
      <c r="F68" t="s">
        <v>3785</v>
      </c>
      <c r="G68" t="s">
        <v>14360</v>
      </c>
      <c r="H68" t="s">
        <v>14360</v>
      </c>
      <c r="I68" t="s">
        <v>4832</v>
      </c>
      <c r="J68" s="4" t="s">
        <v>4832</v>
      </c>
      <c r="L68" t="s">
        <v>2421</v>
      </c>
      <c r="M68" t="s">
        <v>15725</v>
      </c>
      <c r="N68" t="s">
        <v>3436</v>
      </c>
      <c r="O68" t="s">
        <v>3436</v>
      </c>
      <c r="P68" t="s">
        <v>3785</v>
      </c>
      <c r="Q68" t="s">
        <v>3785</v>
      </c>
      <c r="R68" t="s">
        <v>3436</v>
      </c>
      <c r="S68" t="s">
        <v>14360</v>
      </c>
    </row>
    <row r="69" spans="1:19" x14ac:dyDescent="0.2">
      <c r="A69" t="s">
        <v>13758</v>
      </c>
      <c r="B69" t="s">
        <v>14359</v>
      </c>
      <c r="C69" t="s">
        <v>418</v>
      </c>
      <c r="D69" t="str">
        <f>_xlfn.XLOOKUP(E69,pathways!$A$2:$A$31,pathways!$B$2:$B$31)</f>
        <v>Amino acid metabolism</v>
      </c>
      <c r="E69" t="s">
        <v>3436</v>
      </c>
      <c r="F69" t="s">
        <v>3785</v>
      </c>
      <c r="G69" t="s">
        <v>417</v>
      </c>
      <c r="H69" t="s">
        <v>14360</v>
      </c>
      <c r="I69" t="s">
        <v>417</v>
      </c>
      <c r="J69" s="4" t="s">
        <v>417</v>
      </c>
      <c r="L69" t="s">
        <v>419</v>
      </c>
      <c r="M69" t="s">
        <v>15811</v>
      </c>
      <c r="N69" t="s">
        <v>3436</v>
      </c>
      <c r="O69" t="s">
        <v>3436</v>
      </c>
      <c r="P69" t="s">
        <v>3785</v>
      </c>
      <c r="Q69" t="s">
        <v>3785</v>
      </c>
      <c r="R69" t="s">
        <v>3436</v>
      </c>
      <c r="S69" t="s">
        <v>14360</v>
      </c>
    </row>
    <row r="70" spans="1:19" x14ac:dyDescent="0.2">
      <c r="A70" t="s">
        <v>2414</v>
      </c>
      <c r="B70" t="s">
        <v>14359</v>
      </c>
      <c r="C70" t="s">
        <v>19638</v>
      </c>
      <c r="D70" t="str">
        <f>_xlfn.XLOOKUP(E70,pathways!$A$2:$A$31,pathways!$B$2:$B$31)</f>
        <v>Amino acid metabolism</v>
      </c>
      <c r="E70" t="s">
        <v>3436</v>
      </c>
      <c r="F70" t="s">
        <v>3793</v>
      </c>
      <c r="G70" t="s">
        <v>4840</v>
      </c>
      <c r="H70" t="s">
        <v>14360</v>
      </c>
      <c r="I70" t="s">
        <v>4840</v>
      </c>
      <c r="J70" s="4" t="s">
        <v>4840</v>
      </c>
      <c r="L70" t="s">
        <v>2413</v>
      </c>
      <c r="M70" t="s">
        <v>15717</v>
      </c>
      <c r="N70" t="s">
        <v>3436</v>
      </c>
      <c r="O70" t="s">
        <v>3436</v>
      </c>
      <c r="P70" t="s">
        <v>3793</v>
      </c>
      <c r="Q70" t="s">
        <v>3793</v>
      </c>
      <c r="R70" t="s">
        <v>3436</v>
      </c>
      <c r="S70" t="s">
        <v>18840</v>
      </c>
    </row>
    <row r="71" spans="1:19" x14ac:dyDescent="0.2">
      <c r="A71" t="s">
        <v>2530</v>
      </c>
      <c r="B71" t="s">
        <v>14359</v>
      </c>
      <c r="C71" t="s">
        <v>19679</v>
      </c>
      <c r="D71" t="str">
        <f>_xlfn.XLOOKUP(E71,pathways!$A$2:$A$31,pathways!$B$2:$B$31)</f>
        <v>Amino acid metabolism</v>
      </c>
      <c r="E71" t="s">
        <v>3436</v>
      </c>
      <c r="F71" t="s">
        <v>3603</v>
      </c>
      <c r="G71" t="s">
        <v>14360</v>
      </c>
      <c r="H71" t="s">
        <v>14360</v>
      </c>
      <c r="I71" t="s">
        <v>3830</v>
      </c>
      <c r="J71" s="4" t="s">
        <v>3830</v>
      </c>
      <c r="L71" t="s">
        <v>2529</v>
      </c>
      <c r="M71" t="s">
        <v>15845</v>
      </c>
      <c r="N71" t="s">
        <v>3436</v>
      </c>
      <c r="O71" t="s">
        <v>3436</v>
      </c>
      <c r="P71" t="s">
        <v>3603</v>
      </c>
      <c r="Q71" t="s">
        <v>3603</v>
      </c>
      <c r="R71" t="s">
        <v>3436</v>
      </c>
      <c r="S71" t="s">
        <v>14360</v>
      </c>
    </row>
    <row r="72" spans="1:19" x14ac:dyDescent="0.2">
      <c r="A72" t="s">
        <v>2621</v>
      </c>
      <c r="B72" t="s">
        <v>14359</v>
      </c>
      <c r="C72" t="s">
        <v>19724</v>
      </c>
      <c r="D72" t="str">
        <f>_xlfn.XLOOKUP(E72,pathways!$A$2:$A$31,pathways!$B$2:$B$31)</f>
        <v>Amino acid metabolism</v>
      </c>
      <c r="E72" t="s">
        <v>3436</v>
      </c>
      <c r="F72" t="s">
        <v>3603</v>
      </c>
      <c r="G72" t="s">
        <v>14360</v>
      </c>
      <c r="H72" t="s">
        <v>14360</v>
      </c>
      <c r="I72" t="s">
        <v>4287</v>
      </c>
      <c r="J72" s="4" t="s">
        <v>4287</v>
      </c>
      <c r="L72" t="s">
        <v>2620</v>
      </c>
      <c r="M72" t="s">
        <v>15955</v>
      </c>
      <c r="N72" t="s">
        <v>3436</v>
      </c>
      <c r="O72" t="s">
        <v>3436</v>
      </c>
      <c r="P72" t="s">
        <v>3603</v>
      </c>
      <c r="Q72" t="s">
        <v>3603</v>
      </c>
      <c r="R72" t="s">
        <v>3436</v>
      </c>
      <c r="S72" t="s">
        <v>14360</v>
      </c>
    </row>
    <row r="73" spans="1:19" x14ac:dyDescent="0.2">
      <c r="A73" t="s">
        <v>1191</v>
      </c>
      <c r="B73" t="s">
        <v>14359</v>
      </c>
      <c r="C73" t="s">
        <v>19210</v>
      </c>
      <c r="D73" t="str">
        <f>_xlfn.XLOOKUP(E73,pathways!$A$2:$A$31,pathways!$B$2:$B$31)</f>
        <v>Amino acid metabolism</v>
      </c>
      <c r="E73" t="s">
        <v>3436</v>
      </c>
      <c r="F73" t="s">
        <v>3603</v>
      </c>
      <c r="G73" t="s">
        <v>14360</v>
      </c>
      <c r="H73" t="s">
        <v>14360</v>
      </c>
      <c r="I73" t="s">
        <v>5579</v>
      </c>
      <c r="J73" s="4" t="s">
        <v>5579</v>
      </c>
      <c r="L73" t="s">
        <v>1190</v>
      </c>
      <c r="M73" t="s">
        <v>14464</v>
      </c>
      <c r="N73" t="s">
        <v>3436</v>
      </c>
      <c r="O73" t="s">
        <v>3436</v>
      </c>
      <c r="P73" t="s">
        <v>3603</v>
      </c>
      <c r="Q73" t="s">
        <v>3603</v>
      </c>
      <c r="R73" t="s">
        <v>3436</v>
      </c>
      <c r="S73" t="s">
        <v>14360</v>
      </c>
    </row>
    <row r="74" spans="1:19" x14ac:dyDescent="0.2">
      <c r="A74" t="s">
        <v>13870</v>
      </c>
      <c r="B74" t="s">
        <v>14359</v>
      </c>
      <c r="C74" t="s">
        <v>19944</v>
      </c>
      <c r="D74" t="str">
        <f>_xlfn.XLOOKUP(E74,pathways!$A$2:$A$31,pathways!$B$2:$B$31)</f>
        <v>Amino acid metabolism</v>
      </c>
      <c r="E74" t="s">
        <v>3436</v>
      </c>
      <c r="F74" t="s">
        <v>3603</v>
      </c>
      <c r="G74" t="s">
        <v>14360</v>
      </c>
      <c r="H74" t="s">
        <v>14360</v>
      </c>
      <c r="I74" t="s">
        <v>7278</v>
      </c>
      <c r="J74" s="4" t="s">
        <v>14360</v>
      </c>
      <c r="L74" t="s">
        <v>14360</v>
      </c>
      <c r="M74" t="s">
        <v>14360</v>
      </c>
      <c r="N74" t="s">
        <v>3436</v>
      </c>
      <c r="O74" t="s">
        <v>14360</v>
      </c>
      <c r="P74" t="s">
        <v>3603</v>
      </c>
      <c r="Q74" t="s">
        <v>14360</v>
      </c>
      <c r="R74" t="s">
        <v>14360</v>
      </c>
      <c r="S74" t="s">
        <v>14360</v>
      </c>
    </row>
    <row r="75" spans="1:19" x14ac:dyDescent="0.2">
      <c r="A75" t="s">
        <v>1406</v>
      </c>
      <c r="B75" t="s">
        <v>14359</v>
      </c>
      <c r="C75" t="s">
        <v>19277</v>
      </c>
      <c r="D75" t="str">
        <f>_xlfn.XLOOKUP(E75,pathways!$A$2:$A$31,pathways!$B$2:$B$31)</f>
        <v>Amino acid metabolism</v>
      </c>
      <c r="E75" t="s">
        <v>3436</v>
      </c>
      <c r="F75" t="s">
        <v>3793</v>
      </c>
      <c r="G75" t="s">
        <v>14360</v>
      </c>
      <c r="H75" t="s">
        <v>14360</v>
      </c>
      <c r="I75" t="s">
        <v>6468</v>
      </c>
      <c r="J75" s="4" t="s">
        <v>14360</v>
      </c>
      <c r="L75" t="s">
        <v>1405</v>
      </c>
      <c r="M75" t="s">
        <v>14690</v>
      </c>
      <c r="N75" t="s">
        <v>3436</v>
      </c>
      <c r="O75" t="s">
        <v>14360</v>
      </c>
      <c r="P75" t="s">
        <v>3793</v>
      </c>
      <c r="Q75" t="s">
        <v>14360</v>
      </c>
      <c r="R75" t="s">
        <v>3436</v>
      </c>
      <c r="S75" t="s">
        <v>14360</v>
      </c>
    </row>
    <row r="76" spans="1:19" x14ac:dyDescent="0.2">
      <c r="A76" t="s">
        <v>2499</v>
      </c>
      <c r="B76" t="s">
        <v>14359</v>
      </c>
      <c r="C76" t="s">
        <v>19667</v>
      </c>
      <c r="D76" t="str">
        <f>_xlfn.XLOOKUP(E76,pathways!$A$2:$A$31,pathways!$B$2:$B$31)</f>
        <v>Amino acid metabolism</v>
      </c>
      <c r="E76" t="s">
        <v>3436</v>
      </c>
      <c r="F76" t="s">
        <v>3793</v>
      </c>
      <c r="G76" t="s">
        <v>14360</v>
      </c>
      <c r="H76" t="s">
        <v>14360</v>
      </c>
      <c r="I76" t="s">
        <v>3796</v>
      </c>
      <c r="J76" s="4" t="s">
        <v>3796</v>
      </c>
      <c r="L76" t="s">
        <v>2498</v>
      </c>
      <c r="M76" t="s">
        <v>15807</v>
      </c>
      <c r="N76" t="s">
        <v>3436</v>
      </c>
      <c r="O76" t="s">
        <v>3436</v>
      </c>
      <c r="P76" t="s">
        <v>3793</v>
      </c>
      <c r="Q76" t="s">
        <v>3793</v>
      </c>
      <c r="R76" t="s">
        <v>3436</v>
      </c>
      <c r="S76" t="s">
        <v>14360</v>
      </c>
    </row>
    <row r="77" spans="1:19" x14ac:dyDescent="0.2">
      <c r="A77" t="s">
        <v>1600</v>
      </c>
      <c r="B77" t="s">
        <v>14359</v>
      </c>
      <c r="C77" t="s">
        <v>19339</v>
      </c>
      <c r="D77" t="str">
        <f>_xlfn.XLOOKUP(E77,pathways!$A$2:$A$31,pathways!$B$2:$B$31)</f>
        <v>Amino acid metabolism</v>
      </c>
      <c r="E77" t="s">
        <v>3436</v>
      </c>
      <c r="F77" t="s">
        <v>3793</v>
      </c>
      <c r="G77" t="s">
        <v>14360</v>
      </c>
      <c r="H77" t="s">
        <v>14360</v>
      </c>
      <c r="I77" t="s">
        <v>7514</v>
      </c>
      <c r="J77" s="4" t="s">
        <v>7514</v>
      </c>
      <c r="L77" t="s">
        <v>1599</v>
      </c>
      <c r="M77" t="s">
        <v>14887</v>
      </c>
      <c r="N77" t="s">
        <v>3436</v>
      </c>
      <c r="O77" t="s">
        <v>3436</v>
      </c>
      <c r="P77" t="s">
        <v>3793</v>
      </c>
      <c r="Q77" t="s">
        <v>3793</v>
      </c>
      <c r="R77" t="s">
        <v>3436</v>
      </c>
      <c r="S77" t="s">
        <v>14360</v>
      </c>
    </row>
    <row r="78" spans="1:19" x14ac:dyDescent="0.2">
      <c r="A78" t="s">
        <v>2528</v>
      </c>
      <c r="B78" t="s">
        <v>14359</v>
      </c>
      <c r="C78" t="s">
        <v>19678</v>
      </c>
      <c r="D78" t="str">
        <f>_xlfn.XLOOKUP(E78,pathways!$A$2:$A$31,pathways!$B$2:$B$31)</f>
        <v>Amino acid metabolism</v>
      </c>
      <c r="E78" t="s">
        <v>3436</v>
      </c>
      <c r="F78" t="s">
        <v>3603</v>
      </c>
      <c r="G78" t="s">
        <v>14360</v>
      </c>
      <c r="H78" t="s">
        <v>14360</v>
      </c>
      <c r="I78" t="s">
        <v>3804</v>
      </c>
      <c r="J78" s="4" t="s">
        <v>3804</v>
      </c>
      <c r="L78" t="s">
        <v>2527</v>
      </c>
      <c r="M78" t="s">
        <v>15843</v>
      </c>
      <c r="N78" t="s">
        <v>3436</v>
      </c>
      <c r="O78" t="s">
        <v>3436</v>
      </c>
      <c r="P78" t="s">
        <v>3603</v>
      </c>
      <c r="Q78" t="s">
        <v>3603</v>
      </c>
      <c r="R78" t="s">
        <v>3436</v>
      </c>
      <c r="S78" t="s">
        <v>14360</v>
      </c>
    </row>
    <row r="79" spans="1:19" x14ac:dyDescent="0.2">
      <c r="A79" t="s">
        <v>1501</v>
      </c>
      <c r="B79" t="s">
        <v>14359</v>
      </c>
      <c r="C79" t="s">
        <v>19311</v>
      </c>
      <c r="D79" t="str">
        <f>_xlfn.XLOOKUP(E79,pathways!$A$2:$A$31,pathways!$B$2:$B$31)</f>
        <v>Amino acid metabolism</v>
      </c>
      <c r="E79" t="s">
        <v>3436</v>
      </c>
      <c r="F79" t="s">
        <v>3661</v>
      </c>
      <c r="G79" t="s">
        <v>7023</v>
      </c>
      <c r="H79" t="s">
        <v>14360</v>
      </c>
      <c r="I79" t="s">
        <v>7023</v>
      </c>
      <c r="J79" s="4" t="s">
        <v>7023</v>
      </c>
      <c r="L79" t="s">
        <v>1500</v>
      </c>
      <c r="M79" t="s">
        <v>14786</v>
      </c>
      <c r="N79" t="s">
        <v>3436</v>
      </c>
      <c r="O79" t="s">
        <v>3436</v>
      </c>
      <c r="P79" t="s">
        <v>3661</v>
      </c>
      <c r="Q79" t="s">
        <v>3661</v>
      </c>
      <c r="R79" t="s">
        <v>3436</v>
      </c>
      <c r="S79" t="s">
        <v>14360</v>
      </c>
    </row>
    <row r="80" spans="1:19" x14ac:dyDescent="0.2">
      <c r="A80" t="s">
        <v>2600</v>
      </c>
      <c r="B80" t="s">
        <v>14359</v>
      </c>
      <c r="C80" t="s">
        <v>19713</v>
      </c>
      <c r="D80" t="str">
        <f>_xlfn.XLOOKUP(E80,pathways!$A$2:$A$31,pathways!$B$2:$B$31)</f>
        <v>Amino acid metabolism</v>
      </c>
      <c r="E80" t="s">
        <v>3436</v>
      </c>
      <c r="F80" t="s">
        <v>3882</v>
      </c>
      <c r="G80" t="s">
        <v>14360</v>
      </c>
      <c r="H80" t="s">
        <v>14360</v>
      </c>
      <c r="I80" t="s">
        <v>4304</v>
      </c>
      <c r="J80" s="4" t="s">
        <v>4304</v>
      </c>
      <c r="L80" t="s">
        <v>2599</v>
      </c>
      <c r="M80" t="s">
        <v>15926</v>
      </c>
      <c r="N80" t="s">
        <v>3436</v>
      </c>
      <c r="O80" t="s">
        <v>3436</v>
      </c>
      <c r="P80" t="s">
        <v>3882</v>
      </c>
      <c r="Q80" t="s">
        <v>3882</v>
      </c>
      <c r="R80" t="s">
        <v>3436</v>
      </c>
      <c r="S80" t="s">
        <v>14360</v>
      </c>
    </row>
    <row r="81" spans="1:19" x14ac:dyDescent="0.2">
      <c r="A81" t="s">
        <v>1859</v>
      </c>
      <c r="B81" t="s">
        <v>14359</v>
      </c>
      <c r="C81" t="s">
        <v>19418</v>
      </c>
      <c r="D81" t="str">
        <f>_xlfn.XLOOKUP(E81,pathways!$A$2:$A$31,pathways!$B$2:$B$31)</f>
        <v>Amino acid metabolism</v>
      </c>
      <c r="E81" t="s">
        <v>3436</v>
      </c>
      <c r="F81" t="s">
        <v>3687</v>
      </c>
      <c r="G81" t="s">
        <v>8629</v>
      </c>
      <c r="H81" t="s">
        <v>14360</v>
      </c>
      <c r="I81" t="s">
        <v>8629</v>
      </c>
      <c r="J81" s="4" t="s">
        <v>8629</v>
      </c>
      <c r="L81" t="s">
        <v>1858</v>
      </c>
      <c r="M81" t="s">
        <v>15158</v>
      </c>
      <c r="N81" t="s">
        <v>3436</v>
      </c>
      <c r="O81" t="s">
        <v>3436</v>
      </c>
      <c r="P81" t="s">
        <v>3687</v>
      </c>
      <c r="Q81" t="s">
        <v>3687</v>
      </c>
      <c r="R81" t="s">
        <v>3436</v>
      </c>
      <c r="S81" t="s">
        <v>14360</v>
      </c>
    </row>
    <row r="82" spans="1:19" x14ac:dyDescent="0.2">
      <c r="A82" t="s">
        <v>1853</v>
      </c>
      <c r="B82" t="s">
        <v>14359</v>
      </c>
      <c r="C82" t="s">
        <v>19415</v>
      </c>
      <c r="D82" t="str">
        <f>_xlfn.XLOOKUP(E82,pathways!$A$2:$A$31,pathways!$B$2:$B$31)</f>
        <v>Amino acid metabolism</v>
      </c>
      <c r="E82" t="s">
        <v>3436</v>
      </c>
      <c r="F82" t="s">
        <v>3687</v>
      </c>
      <c r="G82" t="s">
        <v>14360</v>
      </c>
      <c r="H82" t="s">
        <v>14360</v>
      </c>
      <c r="I82" t="s">
        <v>8622</v>
      </c>
      <c r="J82" s="4" t="s">
        <v>14360</v>
      </c>
      <c r="L82" t="s">
        <v>1852</v>
      </c>
      <c r="M82" t="s">
        <v>15153</v>
      </c>
      <c r="N82" t="s">
        <v>3436</v>
      </c>
      <c r="O82" t="s">
        <v>14360</v>
      </c>
      <c r="P82" t="s">
        <v>3687</v>
      </c>
      <c r="Q82" t="s">
        <v>14360</v>
      </c>
      <c r="R82" t="s">
        <v>3436</v>
      </c>
      <c r="S82" t="s">
        <v>14360</v>
      </c>
    </row>
    <row r="83" spans="1:19" x14ac:dyDescent="0.2">
      <c r="A83" t="s">
        <v>3099</v>
      </c>
      <c r="B83" t="s">
        <v>14359</v>
      </c>
      <c r="C83" t="s">
        <v>19758</v>
      </c>
      <c r="D83" t="str">
        <f>_xlfn.XLOOKUP(E83,pathways!$A$2:$A$31,pathways!$B$2:$B$31)</f>
        <v>Amino acid metabolism</v>
      </c>
      <c r="E83" t="s">
        <v>3436</v>
      </c>
      <c r="F83" t="s">
        <v>3498</v>
      </c>
      <c r="G83" t="s">
        <v>5129</v>
      </c>
      <c r="H83" t="s">
        <v>14360</v>
      </c>
      <c r="I83" t="s">
        <v>5129</v>
      </c>
      <c r="J83" s="4" t="s">
        <v>5129</v>
      </c>
      <c r="L83" t="s">
        <v>3098</v>
      </c>
      <c r="M83" t="s">
        <v>16455</v>
      </c>
      <c r="N83" t="s">
        <v>3436</v>
      </c>
      <c r="O83" t="s">
        <v>3436</v>
      </c>
      <c r="P83" t="s">
        <v>3498</v>
      </c>
      <c r="Q83" t="s">
        <v>3498</v>
      </c>
      <c r="R83" t="s">
        <v>3436</v>
      </c>
      <c r="S83" t="s">
        <v>14360</v>
      </c>
    </row>
    <row r="84" spans="1:19" x14ac:dyDescent="0.2">
      <c r="A84" t="s">
        <v>1642</v>
      </c>
      <c r="B84" t="s">
        <v>14359</v>
      </c>
      <c r="C84" t="s">
        <v>19351</v>
      </c>
      <c r="D84" t="str">
        <f>_xlfn.XLOOKUP(E84,pathways!$A$2:$A$31,pathways!$B$2:$B$31)</f>
        <v>Amino acid metabolism</v>
      </c>
      <c r="E84" t="s">
        <v>3436</v>
      </c>
      <c r="F84" t="s">
        <v>3906</v>
      </c>
      <c r="G84" t="s">
        <v>7537</v>
      </c>
      <c r="H84" t="s">
        <v>14360</v>
      </c>
      <c r="I84" t="s">
        <v>7537</v>
      </c>
      <c r="J84" s="4" t="s">
        <v>14360</v>
      </c>
      <c r="L84" t="s">
        <v>1641</v>
      </c>
      <c r="M84" t="s">
        <v>14931</v>
      </c>
      <c r="N84" t="s">
        <v>3436</v>
      </c>
      <c r="O84" t="s">
        <v>14360</v>
      </c>
      <c r="P84" t="s">
        <v>3906</v>
      </c>
      <c r="Q84" t="s">
        <v>14360</v>
      </c>
      <c r="R84" t="s">
        <v>3436</v>
      </c>
      <c r="S84" t="s">
        <v>14360</v>
      </c>
    </row>
    <row r="85" spans="1:19" x14ac:dyDescent="0.2">
      <c r="A85" t="s">
        <v>1754</v>
      </c>
      <c r="B85" t="s">
        <v>14359</v>
      </c>
      <c r="C85" t="s">
        <v>19386</v>
      </c>
      <c r="D85" t="str">
        <f>_xlfn.XLOOKUP(E85,pathways!$A$2:$A$31,pathways!$B$2:$B$31)</f>
        <v>Amino acid metabolism</v>
      </c>
      <c r="E85" t="s">
        <v>3436</v>
      </c>
      <c r="F85" t="s">
        <v>3586</v>
      </c>
      <c r="G85" t="s">
        <v>14360</v>
      </c>
      <c r="H85" t="s">
        <v>14360</v>
      </c>
      <c r="I85" t="s">
        <v>8291</v>
      </c>
      <c r="J85" s="4" t="s">
        <v>14360</v>
      </c>
      <c r="L85" t="s">
        <v>1753</v>
      </c>
      <c r="M85" t="s">
        <v>15051</v>
      </c>
      <c r="N85" t="s">
        <v>3436</v>
      </c>
      <c r="O85" t="s">
        <v>14360</v>
      </c>
      <c r="P85" t="s">
        <v>3586</v>
      </c>
      <c r="Q85" t="s">
        <v>14360</v>
      </c>
      <c r="R85" t="s">
        <v>3436</v>
      </c>
      <c r="S85" t="s">
        <v>14360</v>
      </c>
    </row>
    <row r="86" spans="1:19" x14ac:dyDescent="0.2">
      <c r="A86" t="s">
        <v>1144</v>
      </c>
      <c r="B86" t="s">
        <v>14359</v>
      </c>
      <c r="C86" t="s">
        <v>19191</v>
      </c>
      <c r="D86" t="str">
        <f>_xlfn.XLOOKUP(E86,pathways!$A$2:$A$31,pathways!$B$2:$B$31)</f>
        <v>Amino acid metabolism</v>
      </c>
      <c r="E86" t="s">
        <v>3436</v>
      </c>
      <c r="F86" t="s">
        <v>3687</v>
      </c>
      <c r="G86" t="s">
        <v>14360</v>
      </c>
      <c r="H86" t="s">
        <v>14360</v>
      </c>
      <c r="I86" t="s">
        <v>5352</v>
      </c>
      <c r="J86" s="4" t="s">
        <v>5352</v>
      </c>
      <c r="L86" t="s">
        <v>1143</v>
      </c>
      <c r="M86" t="s">
        <v>14414</v>
      </c>
      <c r="N86" t="s">
        <v>3436</v>
      </c>
      <c r="O86" t="s">
        <v>3436</v>
      </c>
      <c r="P86" t="s">
        <v>3687</v>
      </c>
      <c r="Q86" t="s">
        <v>3687</v>
      </c>
      <c r="R86" t="s">
        <v>3436</v>
      </c>
      <c r="S86" t="s">
        <v>14360</v>
      </c>
    </row>
    <row r="87" spans="1:19" x14ac:dyDescent="0.2">
      <c r="A87" t="s">
        <v>2579</v>
      </c>
      <c r="B87" t="s">
        <v>14359</v>
      </c>
      <c r="C87" t="s">
        <v>19703</v>
      </c>
      <c r="D87" t="str">
        <f>_xlfn.XLOOKUP(E87,pathways!$A$2:$A$31,pathways!$B$2:$B$31)</f>
        <v>Amino acid metabolism</v>
      </c>
      <c r="E87" t="s">
        <v>3436</v>
      </c>
      <c r="F87" t="s">
        <v>4215</v>
      </c>
      <c r="G87" t="s">
        <v>14360</v>
      </c>
      <c r="H87" t="s">
        <v>14360</v>
      </c>
      <c r="I87" t="s">
        <v>4218</v>
      </c>
      <c r="J87" s="4" t="s">
        <v>4218</v>
      </c>
      <c r="L87" t="s">
        <v>2578</v>
      </c>
      <c r="M87" t="s">
        <v>15903</v>
      </c>
      <c r="N87" t="s">
        <v>3436</v>
      </c>
      <c r="O87" t="s">
        <v>3436</v>
      </c>
      <c r="P87" t="s">
        <v>4215</v>
      </c>
      <c r="Q87" t="s">
        <v>4215</v>
      </c>
      <c r="R87" t="s">
        <v>3436</v>
      </c>
      <c r="S87" t="s">
        <v>14360</v>
      </c>
    </row>
    <row r="88" spans="1:19" x14ac:dyDescent="0.2">
      <c r="A88" t="s">
        <v>14226</v>
      </c>
      <c r="B88" t="s">
        <v>14359</v>
      </c>
      <c r="C88" t="s">
        <v>19979</v>
      </c>
      <c r="D88" t="str">
        <f>_xlfn.XLOOKUP(E88,pathways!$A$2:$A$31,pathways!$B$2:$B$31)</f>
        <v>Amino acid metabolism</v>
      </c>
      <c r="E88" t="s">
        <v>3436</v>
      </c>
      <c r="F88" t="s">
        <v>4215</v>
      </c>
      <c r="G88" t="s">
        <v>14360</v>
      </c>
      <c r="H88" t="s">
        <v>14360</v>
      </c>
      <c r="I88" t="s">
        <v>14360</v>
      </c>
      <c r="J88" s="4" t="s">
        <v>11963</v>
      </c>
      <c r="L88" t="s">
        <v>14360</v>
      </c>
      <c r="N88" t="s">
        <v>14360</v>
      </c>
      <c r="O88" t="s">
        <v>3436</v>
      </c>
      <c r="P88" t="s">
        <v>14360</v>
      </c>
      <c r="Q88" t="s">
        <v>4215</v>
      </c>
      <c r="R88" t="s">
        <v>14360</v>
      </c>
      <c r="S88" t="s">
        <v>14360</v>
      </c>
    </row>
    <row r="89" spans="1:19" x14ac:dyDescent="0.2">
      <c r="A89" t="s">
        <v>13771</v>
      </c>
      <c r="B89" t="s">
        <v>14359</v>
      </c>
      <c r="C89" t="s">
        <v>568</v>
      </c>
      <c r="D89" t="str">
        <f>_xlfn.XLOOKUP(E89,pathways!$A$2:$A$31,pathways!$B$2:$B$31)</f>
        <v>Amino acid metabolism</v>
      </c>
      <c r="E89" t="s">
        <v>3436</v>
      </c>
      <c r="F89" t="s">
        <v>4215</v>
      </c>
      <c r="G89" t="s">
        <v>14360</v>
      </c>
      <c r="H89" t="s">
        <v>14360</v>
      </c>
      <c r="I89" t="s">
        <v>567</v>
      </c>
      <c r="J89" s="4" t="s">
        <v>567</v>
      </c>
      <c r="L89" t="s">
        <v>569</v>
      </c>
      <c r="M89" t="s">
        <v>15917</v>
      </c>
      <c r="N89" t="s">
        <v>3436</v>
      </c>
      <c r="O89" t="s">
        <v>3436</v>
      </c>
      <c r="P89" t="s">
        <v>4215</v>
      </c>
      <c r="Q89" t="s">
        <v>4215</v>
      </c>
      <c r="R89" t="s">
        <v>3436</v>
      </c>
      <c r="S89" t="s">
        <v>14360</v>
      </c>
    </row>
    <row r="90" spans="1:19" x14ac:dyDescent="0.2">
      <c r="A90" t="s">
        <v>1435</v>
      </c>
      <c r="B90" t="s">
        <v>14359</v>
      </c>
      <c r="C90" t="s">
        <v>19288</v>
      </c>
      <c r="D90" t="str">
        <f>_xlfn.XLOOKUP(E90,pathways!$A$2:$A$31,pathways!$B$2:$B$31)</f>
        <v>Amino acid metabolism</v>
      </c>
      <c r="E90" t="s">
        <v>3436</v>
      </c>
      <c r="F90" t="s">
        <v>3586</v>
      </c>
      <c r="G90" t="s">
        <v>14360</v>
      </c>
      <c r="H90" t="s">
        <v>14360</v>
      </c>
      <c r="I90" t="s">
        <v>6684</v>
      </c>
      <c r="J90" s="4" t="s">
        <v>6684</v>
      </c>
      <c r="L90" t="s">
        <v>1434</v>
      </c>
      <c r="M90" t="s">
        <v>14720</v>
      </c>
      <c r="N90" t="s">
        <v>3436</v>
      </c>
      <c r="O90" t="s">
        <v>3436</v>
      </c>
      <c r="P90" t="s">
        <v>3586</v>
      </c>
      <c r="Q90" t="s">
        <v>3586</v>
      </c>
      <c r="R90" t="s">
        <v>3436</v>
      </c>
      <c r="S90" t="s">
        <v>14360</v>
      </c>
    </row>
    <row r="91" spans="1:19" x14ac:dyDescent="0.2">
      <c r="A91" t="s">
        <v>13760</v>
      </c>
      <c r="B91" t="s">
        <v>14359</v>
      </c>
      <c r="C91" t="s">
        <v>572</v>
      </c>
      <c r="D91" t="str">
        <f>_xlfn.XLOOKUP(E91,pathways!$A$2:$A$31,pathways!$B$2:$B$31)</f>
        <v>Amino acid metabolism</v>
      </c>
      <c r="E91" t="s">
        <v>3436</v>
      </c>
      <c r="F91" t="s">
        <v>3882</v>
      </c>
      <c r="G91" t="s">
        <v>14360</v>
      </c>
      <c r="H91" t="s">
        <v>14360</v>
      </c>
      <c r="I91" t="s">
        <v>571</v>
      </c>
      <c r="J91" s="4" t="s">
        <v>571</v>
      </c>
      <c r="L91" t="s">
        <v>573</v>
      </c>
      <c r="M91" t="s">
        <v>16459</v>
      </c>
      <c r="N91" t="s">
        <v>3436</v>
      </c>
      <c r="O91" t="s">
        <v>3436</v>
      </c>
      <c r="P91" t="s">
        <v>3882</v>
      </c>
      <c r="Q91" t="s">
        <v>3882</v>
      </c>
      <c r="R91" t="s">
        <v>3436</v>
      </c>
      <c r="S91" t="s">
        <v>14360</v>
      </c>
    </row>
    <row r="92" spans="1:19" x14ac:dyDescent="0.2">
      <c r="A92" t="s">
        <v>2532</v>
      </c>
      <c r="B92" t="s">
        <v>14359</v>
      </c>
      <c r="C92" t="s">
        <v>19680</v>
      </c>
      <c r="D92" t="str">
        <f>_xlfn.XLOOKUP(E92,pathways!$A$2:$A$31,pathways!$B$2:$B$31)</f>
        <v>Amino acid metabolism</v>
      </c>
      <c r="E92" t="s">
        <v>3436</v>
      </c>
      <c r="F92" t="s">
        <v>3785</v>
      </c>
      <c r="G92" t="s">
        <v>14360</v>
      </c>
      <c r="H92" t="s">
        <v>14360</v>
      </c>
      <c r="I92" t="s">
        <v>3900</v>
      </c>
      <c r="J92" s="4" t="s">
        <v>3900</v>
      </c>
      <c r="L92" t="s">
        <v>2531</v>
      </c>
      <c r="M92" t="s">
        <v>15847</v>
      </c>
      <c r="N92" t="s">
        <v>3436</v>
      </c>
      <c r="O92" t="s">
        <v>3436</v>
      </c>
      <c r="P92" t="s">
        <v>3785</v>
      </c>
      <c r="Q92" t="s">
        <v>3785</v>
      </c>
      <c r="R92" t="s">
        <v>3436</v>
      </c>
      <c r="S92" t="s">
        <v>14360</v>
      </c>
    </row>
    <row r="93" spans="1:19" x14ac:dyDescent="0.2">
      <c r="A93" t="s">
        <v>13827</v>
      </c>
      <c r="B93" t="s">
        <v>14359</v>
      </c>
      <c r="C93" t="s">
        <v>19985</v>
      </c>
      <c r="D93" t="str">
        <f>_xlfn.XLOOKUP(E93,pathways!$A$2:$A$31,pathways!$B$2:$B$31)</f>
        <v>Amino acid metabolism</v>
      </c>
      <c r="E93" t="s">
        <v>3436</v>
      </c>
      <c r="F93" t="s">
        <v>5230</v>
      </c>
      <c r="G93" t="s">
        <v>5984</v>
      </c>
      <c r="H93" t="s">
        <v>14360</v>
      </c>
      <c r="I93" t="s">
        <v>5984</v>
      </c>
      <c r="J93" s="4" t="s">
        <v>5984</v>
      </c>
      <c r="L93" t="s">
        <v>14360</v>
      </c>
      <c r="M93" t="s">
        <v>14360</v>
      </c>
      <c r="N93" t="s">
        <v>3436</v>
      </c>
      <c r="O93" t="s">
        <v>3436</v>
      </c>
      <c r="P93" t="s">
        <v>5230</v>
      </c>
      <c r="Q93" t="s">
        <v>5230</v>
      </c>
      <c r="R93" t="s">
        <v>14360</v>
      </c>
      <c r="S93" t="s">
        <v>14360</v>
      </c>
    </row>
    <row r="94" spans="1:19" x14ac:dyDescent="0.2">
      <c r="A94" t="s">
        <v>13761</v>
      </c>
      <c r="B94" t="s">
        <v>14359</v>
      </c>
      <c r="C94" t="s">
        <v>586</v>
      </c>
      <c r="D94" t="str">
        <f>_xlfn.XLOOKUP(E94,pathways!$A$2:$A$31,pathways!$B$2:$B$31)</f>
        <v>Amino acid metabolism</v>
      </c>
      <c r="E94" t="s">
        <v>3436</v>
      </c>
      <c r="F94" t="s">
        <v>3906</v>
      </c>
      <c r="G94" t="s">
        <v>14360</v>
      </c>
      <c r="H94" t="s">
        <v>14360</v>
      </c>
      <c r="I94" t="s">
        <v>585</v>
      </c>
      <c r="J94" s="4" t="s">
        <v>585</v>
      </c>
      <c r="L94" t="s">
        <v>587</v>
      </c>
      <c r="M94" t="s">
        <v>15833</v>
      </c>
      <c r="N94" t="s">
        <v>3436</v>
      </c>
      <c r="O94" t="s">
        <v>3436</v>
      </c>
      <c r="P94" t="s">
        <v>3906</v>
      </c>
      <c r="Q94" t="s">
        <v>3906</v>
      </c>
      <c r="R94" t="s">
        <v>3436</v>
      </c>
      <c r="S94" t="s">
        <v>18840</v>
      </c>
    </row>
    <row r="95" spans="1:19" x14ac:dyDescent="0.2">
      <c r="A95" t="s">
        <v>1198</v>
      </c>
      <c r="B95" t="s">
        <v>14359</v>
      </c>
      <c r="C95" t="s">
        <v>19213</v>
      </c>
      <c r="D95" t="str">
        <f>_xlfn.XLOOKUP(E95,pathways!$A$2:$A$31,pathways!$B$2:$B$31)</f>
        <v>Amino acid metabolism</v>
      </c>
      <c r="E95" t="s">
        <v>3436</v>
      </c>
      <c r="F95" t="s">
        <v>3661</v>
      </c>
      <c r="G95" t="s">
        <v>5665</v>
      </c>
      <c r="H95" t="s">
        <v>14360</v>
      </c>
      <c r="I95" t="s">
        <v>5665</v>
      </c>
      <c r="J95" s="4" t="s">
        <v>5665</v>
      </c>
      <c r="L95" t="s">
        <v>1197</v>
      </c>
      <c r="M95" t="s">
        <v>14472</v>
      </c>
      <c r="N95" t="s">
        <v>3436</v>
      </c>
      <c r="O95" t="s">
        <v>3436</v>
      </c>
      <c r="P95" t="s">
        <v>3661</v>
      </c>
      <c r="Q95" t="s">
        <v>3661</v>
      </c>
      <c r="R95" t="s">
        <v>3436</v>
      </c>
      <c r="S95" t="s">
        <v>14360</v>
      </c>
    </row>
    <row r="96" spans="1:19" x14ac:dyDescent="0.2">
      <c r="A96" t="s">
        <v>1211</v>
      </c>
      <c r="B96" t="s">
        <v>14359</v>
      </c>
      <c r="C96" t="s">
        <v>19215</v>
      </c>
      <c r="D96" t="str">
        <f>_xlfn.XLOOKUP(E96,pathways!$A$2:$A$31,pathways!$B$2:$B$31)</f>
        <v>Amino acid metabolism</v>
      </c>
      <c r="E96" t="s">
        <v>3436</v>
      </c>
      <c r="F96" t="s">
        <v>3661</v>
      </c>
      <c r="G96" t="s">
        <v>5673</v>
      </c>
      <c r="H96" t="s">
        <v>14360</v>
      </c>
      <c r="I96" t="s">
        <v>5673</v>
      </c>
      <c r="J96" s="4" t="s">
        <v>5673</v>
      </c>
      <c r="L96" t="s">
        <v>1210</v>
      </c>
      <c r="M96" t="s">
        <v>14486</v>
      </c>
      <c r="N96" t="s">
        <v>3436</v>
      </c>
      <c r="O96" t="s">
        <v>3436</v>
      </c>
      <c r="P96" t="s">
        <v>3661</v>
      </c>
      <c r="Q96" t="s">
        <v>3661</v>
      </c>
      <c r="R96" t="s">
        <v>3436</v>
      </c>
      <c r="S96" t="s">
        <v>3864</v>
      </c>
    </row>
    <row r="97" spans="1:19" x14ac:dyDescent="0.2">
      <c r="A97" t="s">
        <v>1636</v>
      </c>
      <c r="B97" t="s">
        <v>14359</v>
      </c>
      <c r="C97" t="s">
        <v>19348</v>
      </c>
      <c r="D97" t="str">
        <f>_xlfn.XLOOKUP(E97,pathways!$A$2:$A$31,pathways!$B$2:$B$31)</f>
        <v>Amino acid metabolism</v>
      </c>
      <c r="E97" t="s">
        <v>3436</v>
      </c>
      <c r="F97" t="s">
        <v>3906</v>
      </c>
      <c r="G97" t="s">
        <v>7545</v>
      </c>
      <c r="H97" t="s">
        <v>14360</v>
      </c>
      <c r="I97" t="s">
        <v>7545</v>
      </c>
      <c r="J97" s="4" t="s">
        <v>12039</v>
      </c>
      <c r="L97" t="s">
        <v>1635</v>
      </c>
      <c r="M97" t="s">
        <v>14925</v>
      </c>
      <c r="N97" t="s">
        <v>3436</v>
      </c>
      <c r="O97" t="s">
        <v>3436</v>
      </c>
      <c r="P97" t="s">
        <v>3906</v>
      </c>
      <c r="Q97" t="s">
        <v>3906</v>
      </c>
      <c r="R97" t="s">
        <v>3436</v>
      </c>
      <c r="S97" t="s">
        <v>14360</v>
      </c>
    </row>
    <row r="98" spans="1:19" x14ac:dyDescent="0.2">
      <c r="A98" t="s">
        <v>14074</v>
      </c>
      <c r="B98" t="s">
        <v>14359</v>
      </c>
      <c r="C98" t="s">
        <v>19590</v>
      </c>
      <c r="D98" t="str">
        <f>_xlfn.XLOOKUP(E98,pathways!$A$2:$A$31,pathways!$B$2:$B$31)</f>
        <v>Amino acid metabolism</v>
      </c>
      <c r="E98" t="s">
        <v>3436</v>
      </c>
      <c r="F98" t="s">
        <v>3586</v>
      </c>
      <c r="G98" t="s">
        <v>20420</v>
      </c>
      <c r="H98" t="s">
        <v>14360</v>
      </c>
      <c r="I98" t="s">
        <v>10088</v>
      </c>
      <c r="J98" s="4" t="s">
        <v>14360</v>
      </c>
      <c r="L98" t="s">
        <v>2276</v>
      </c>
      <c r="M98" t="s">
        <v>15573</v>
      </c>
      <c r="N98" t="s">
        <v>3436</v>
      </c>
      <c r="O98" t="s">
        <v>14360</v>
      </c>
      <c r="P98" t="s">
        <v>3586</v>
      </c>
      <c r="Q98" t="s">
        <v>14360</v>
      </c>
      <c r="R98" t="s">
        <v>3436</v>
      </c>
      <c r="S98" t="s">
        <v>14360</v>
      </c>
    </row>
    <row r="99" spans="1:19" x14ac:dyDescent="0.2">
      <c r="A99" t="s">
        <v>14010</v>
      </c>
      <c r="B99" t="s">
        <v>14359</v>
      </c>
      <c r="C99" t="s">
        <v>19547</v>
      </c>
      <c r="D99" t="str">
        <f>_xlfn.XLOOKUP(E99,pathways!$A$2:$A$31,pathways!$B$2:$B$31)</f>
        <v>Amino acid metabolism</v>
      </c>
      <c r="E99" t="s">
        <v>3436</v>
      </c>
      <c r="F99" t="s">
        <v>3670</v>
      </c>
      <c r="G99" t="s">
        <v>20416</v>
      </c>
      <c r="H99" t="s">
        <v>14360</v>
      </c>
      <c r="I99" t="s">
        <v>9652</v>
      </c>
      <c r="J99" s="4" t="s">
        <v>9652</v>
      </c>
      <c r="L99" t="s">
        <v>2142</v>
      </c>
      <c r="M99" t="s">
        <v>15436</v>
      </c>
      <c r="N99" t="s">
        <v>3436</v>
      </c>
      <c r="O99" t="s">
        <v>3436</v>
      </c>
      <c r="P99" t="s">
        <v>3670</v>
      </c>
      <c r="Q99" t="s">
        <v>3670</v>
      </c>
      <c r="R99" t="s">
        <v>3436</v>
      </c>
      <c r="S99" t="s">
        <v>14360</v>
      </c>
    </row>
    <row r="100" spans="1:19" x14ac:dyDescent="0.2">
      <c r="A100" t="s">
        <v>2522</v>
      </c>
      <c r="B100" t="s">
        <v>14359</v>
      </c>
      <c r="C100" t="s">
        <v>19676</v>
      </c>
      <c r="D100" t="str">
        <f>_xlfn.XLOOKUP(E100,pathways!$A$2:$A$31,pathways!$B$2:$B$31)</f>
        <v>Amino acid metabolism</v>
      </c>
      <c r="E100" t="s">
        <v>3436</v>
      </c>
      <c r="F100" t="s">
        <v>3603</v>
      </c>
      <c r="G100" t="s">
        <v>14360</v>
      </c>
      <c r="H100" t="s">
        <v>14360</v>
      </c>
      <c r="I100" t="s">
        <v>3923</v>
      </c>
      <c r="J100" s="4" t="s">
        <v>3923</v>
      </c>
      <c r="L100" t="s">
        <v>2521</v>
      </c>
      <c r="M100" t="s">
        <v>15837</v>
      </c>
      <c r="N100" t="s">
        <v>3436</v>
      </c>
      <c r="O100" t="s">
        <v>3436</v>
      </c>
      <c r="P100" t="s">
        <v>3603</v>
      </c>
      <c r="Q100" t="s">
        <v>3603</v>
      </c>
      <c r="R100" t="s">
        <v>3436</v>
      </c>
      <c r="S100" t="s">
        <v>14360</v>
      </c>
    </row>
    <row r="101" spans="1:19" x14ac:dyDescent="0.2">
      <c r="A101" t="s">
        <v>1130</v>
      </c>
      <c r="B101" t="s">
        <v>14359</v>
      </c>
      <c r="C101" t="s">
        <v>19185</v>
      </c>
      <c r="D101" t="str">
        <f>_xlfn.XLOOKUP(E101,pathways!$A$2:$A$31,pathways!$B$2:$B$31)</f>
        <v>Amino acid metabolism</v>
      </c>
      <c r="E101" t="s">
        <v>3436</v>
      </c>
      <c r="F101" t="s">
        <v>3906</v>
      </c>
      <c r="G101" t="s">
        <v>5265</v>
      </c>
      <c r="H101" t="s">
        <v>14360</v>
      </c>
      <c r="I101" t="s">
        <v>5265</v>
      </c>
      <c r="J101" s="4" t="s">
        <v>5265</v>
      </c>
      <c r="L101" t="s">
        <v>1129</v>
      </c>
      <c r="M101" t="s">
        <v>14400</v>
      </c>
      <c r="N101" t="s">
        <v>3436</v>
      </c>
      <c r="O101" t="s">
        <v>3436</v>
      </c>
      <c r="P101" t="s">
        <v>3906</v>
      </c>
      <c r="Q101" t="s">
        <v>3906</v>
      </c>
      <c r="R101" t="s">
        <v>3436</v>
      </c>
      <c r="S101" t="s">
        <v>14360</v>
      </c>
    </row>
    <row r="102" spans="1:19" x14ac:dyDescent="0.2">
      <c r="A102" t="s">
        <v>1662</v>
      </c>
      <c r="B102" t="s">
        <v>14359</v>
      </c>
      <c r="C102" t="s">
        <v>19359</v>
      </c>
      <c r="D102" t="str">
        <f>_xlfn.XLOOKUP(E102,pathways!$A$2:$A$31,pathways!$B$2:$B$31)</f>
        <v>Amino acid metabolism</v>
      </c>
      <c r="E102" t="s">
        <v>3436</v>
      </c>
      <c r="F102" t="s">
        <v>3906</v>
      </c>
      <c r="G102" t="s">
        <v>7894</v>
      </c>
      <c r="H102" t="s">
        <v>14360</v>
      </c>
      <c r="I102" t="s">
        <v>7894</v>
      </c>
      <c r="J102" s="4" t="s">
        <v>14360</v>
      </c>
      <c r="L102" t="s">
        <v>1661</v>
      </c>
      <c r="M102" t="s">
        <v>14951</v>
      </c>
      <c r="N102" t="s">
        <v>3436</v>
      </c>
      <c r="O102" t="s">
        <v>14360</v>
      </c>
      <c r="P102" t="s">
        <v>3906</v>
      </c>
      <c r="Q102" t="s">
        <v>14360</v>
      </c>
      <c r="R102" t="s">
        <v>3436</v>
      </c>
      <c r="S102" t="s">
        <v>14360</v>
      </c>
    </row>
    <row r="103" spans="1:19" x14ac:dyDescent="0.2">
      <c r="A103" t="s">
        <v>1588</v>
      </c>
      <c r="B103" t="s">
        <v>14359</v>
      </c>
      <c r="C103" t="s">
        <v>19334</v>
      </c>
      <c r="D103" t="str">
        <f>_xlfn.XLOOKUP(E103,pathways!$A$2:$A$31,pathways!$B$2:$B$31)</f>
        <v>Amino acid metabolism</v>
      </c>
      <c r="E103" t="s">
        <v>3436</v>
      </c>
      <c r="F103" t="s">
        <v>3470</v>
      </c>
      <c r="G103" t="s">
        <v>14360</v>
      </c>
      <c r="H103" t="s">
        <v>14360</v>
      </c>
      <c r="I103" t="s">
        <v>7342</v>
      </c>
      <c r="J103" s="4" t="s">
        <v>7342</v>
      </c>
      <c r="L103" t="s">
        <v>1587</v>
      </c>
      <c r="M103" t="s">
        <v>14875</v>
      </c>
      <c r="N103" t="s">
        <v>3436</v>
      </c>
      <c r="O103" t="s">
        <v>3436</v>
      </c>
      <c r="P103" t="s">
        <v>3470</v>
      </c>
      <c r="Q103" t="s">
        <v>3470</v>
      </c>
      <c r="R103" t="s">
        <v>3436</v>
      </c>
      <c r="S103" t="s">
        <v>18840</v>
      </c>
    </row>
    <row r="104" spans="1:19" x14ac:dyDescent="0.2">
      <c r="A104" t="s">
        <v>1213</v>
      </c>
      <c r="B104" t="s">
        <v>14359</v>
      </c>
      <c r="C104" t="s">
        <v>19216</v>
      </c>
      <c r="D104" t="str">
        <f>_xlfn.XLOOKUP(E104,pathways!$A$2:$A$31,pathways!$B$2:$B$31)</f>
        <v>Amino acid metabolism</v>
      </c>
      <c r="E104" t="s">
        <v>3436</v>
      </c>
      <c r="F104" t="s">
        <v>3470</v>
      </c>
      <c r="G104" t="s">
        <v>14360</v>
      </c>
      <c r="H104" t="s">
        <v>14360</v>
      </c>
      <c r="I104" t="s">
        <v>5734</v>
      </c>
      <c r="J104" s="4" t="s">
        <v>5734</v>
      </c>
      <c r="L104" t="s">
        <v>1212</v>
      </c>
      <c r="M104" t="s">
        <v>14488</v>
      </c>
      <c r="N104" t="s">
        <v>3436</v>
      </c>
      <c r="O104" t="s">
        <v>3436</v>
      </c>
      <c r="P104" t="s">
        <v>3470</v>
      </c>
      <c r="Q104" t="s">
        <v>3470</v>
      </c>
      <c r="R104" t="s">
        <v>3436</v>
      </c>
      <c r="S104" t="s">
        <v>14360</v>
      </c>
    </row>
    <row r="105" spans="1:19" x14ac:dyDescent="0.2">
      <c r="A105" t="s">
        <v>2205</v>
      </c>
      <c r="B105" t="s">
        <v>14359</v>
      </c>
      <c r="C105" t="s">
        <v>19570</v>
      </c>
      <c r="D105" t="str">
        <f>_xlfn.XLOOKUP(E105,pathways!$A$2:$A$31,pathways!$B$2:$B$31)</f>
        <v>Amino acid metabolism</v>
      </c>
      <c r="E105" t="s">
        <v>3436</v>
      </c>
      <c r="F105" t="s">
        <v>3470</v>
      </c>
      <c r="G105" t="s">
        <v>14360</v>
      </c>
      <c r="H105" t="s">
        <v>14360</v>
      </c>
      <c r="I105" t="s">
        <v>9773</v>
      </c>
      <c r="J105" s="4" t="s">
        <v>13266</v>
      </c>
      <c r="L105" t="s">
        <v>2204</v>
      </c>
      <c r="M105" t="s">
        <v>15503</v>
      </c>
      <c r="N105" t="s">
        <v>3436</v>
      </c>
      <c r="O105" t="s">
        <v>3863</v>
      </c>
      <c r="P105" t="s">
        <v>3470</v>
      </c>
      <c r="Q105" t="s">
        <v>5632</v>
      </c>
      <c r="R105" t="s">
        <v>3436</v>
      </c>
      <c r="S105" t="s">
        <v>14360</v>
      </c>
    </row>
    <row r="106" spans="1:19" x14ac:dyDescent="0.2">
      <c r="A106" t="s">
        <v>1471</v>
      </c>
      <c r="B106" t="s">
        <v>14359</v>
      </c>
      <c r="C106" t="s">
        <v>19303</v>
      </c>
      <c r="D106" t="str">
        <f>_xlfn.XLOOKUP(E106,pathways!$A$2:$A$31,pathways!$B$2:$B$31)</f>
        <v>Amino acid metabolism</v>
      </c>
      <c r="E106" t="s">
        <v>3436</v>
      </c>
      <c r="F106" t="s">
        <v>3470</v>
      </c>
      <c r="G106" t="s">
        <v>6875</v>
      </c>
      <c r="H106" t="s">
        <v>14360</v>
      </c>
      <c r="I106" t="s">
        <v>6875</v>
      </c>
      <c r="J106" s="4" t="s">
        <v>6875</v>
      </c>
      <c r="L106" t="s">
        <v>1470</v>
      </c>
      <c r="M106" t="s">
        <v>14756</v>
      </c>
      <c r="N106" t="s">
        <v>3436</v>
      </c>
      <c r="O106" t="s">
        <v>3436</v>
      </c>
      <c r="P106" t="s">
        <v>3470</v>
      </c>
      <c r="Q106" t="s">
        <v>3470</v>
      </c>
      <c r="R106" t="s">
        <v>3436</v>
      </c>
      <c r="S106" t="s">
        <v>14360</v>
      </c>
    </row>
    <row r="107" spans="1:19" x14ac:dyDescent="0.2">
      <c r="A107" t="s">
        <v>1360</v>
      </c>
      <c r="B107" t="s">
        <v>14359</v>
      </c>
      <c r="C107" t="s">
        <v>19264</v>
      </c>
      <c r="D107" t="str">
        <f>_xlfn.XLOOKUP(E107,pathways!$A$2:$A$31,pathways!$B$2:$B$31)</f>
        <v>Amino acid metabolism</v>
      </c>
      <c r="E107" t="s">
        <v>3436</v>
      </c>
      <c r="F107" t="s">
        <v>3470</v>
      </c>
      <c r="G107" t="s">
        <v>14360</v>
      </c>
      <c r="H107" t="s">
        <v>14360</v>
      </c>
      <c r="I107" t="s">
        <v>6373</v>
      </c>
      <c r="J107" s="4" t="s">
        <v>14360</v>
      </c>
      <c r="L107" t="s">
        <v>1359</v>
      </c>
      <c r="M107" t="s">
        <v>14640</v>
      </c>
      <c r="N107" t="s">
        <v>3436</v>
      </c>
      <c r="O107" t="s">
        <v>14360</v>
      </c>
      <c r="P107" t="s">
        <v>3470</v>
      </c>
      <c r="Q107" t="s">
        <v>14360</v>
      </c>
      <c r="R107" t="s">
        <v>3436</v>
      </c>
      <c r="S107" t="s">
        <v>14360</v>
      </c>
    </row>
    <row r="108" spans="1:19" x14ac:dyDescent="0.2">
      <c r="A108" t="s">
        <v>1152</v>
      </c>
      <c r="B108" t="s">
        <v>14359</v>
      </c>
      <c r="C108" t="s">
        <v>19194</v>
      </c>
      <c r="D108" t="str">
        <f>_xlfn.XLOOKUP(E108,pathways!$A$2:$A$31,pathways!$B$2:$B$31)</f>
        <v>Amino acid metabolism</v>
      </c>
      <c r="E108" t="s">
        <v>3436</v>
      </c>
      <c r="F108" t="s">
        <v>3470</v>
      </c>
      <c r="G108" t="s">
        <v>5368</v>
      </c>
      <c r="H108" t="s">
        <v>14360</v>
      </c>
      <c r="I108" t="s">
        <v>5368</v>
      </c>
      <c r="J108" s="4" t="s">
        <v>5368</v>
      </c>
      <c r="L108" t="s">
        <v>1151</v>
      </c>
      <c r="M108" t="s">
        <v>14422</v>
      </c>
      <c r="N108" t="s">
        <v>3436</v>
      </c>
      <c r="O108" t="s">
        <v>3436</v>
      </c>
      <c r="P108" t="s">
        <v>3470</v>
      </c>
      <c r="Q108" t="s">
        <v>3470</v>
      </c>
      <c r="R108" t="s">
        <v>3436</v>
      </c>
      <c r="S108" t="s">
        <v>14360</v>
      </c>
    </row>
    <row r="109" spans="1:19" x14ac:dyDescent="0.2">
      <c r="A109" t="s">
        <v>1219</v>
      </c>
      <c r="B109" t="s">
        <v>14359</v>
      </c>
      <c r="C109" t="s">
        <v>19217</v>
      </c>
      <c r="D109" t="str">
        <f>_xlfn.XLOOKUP(E109,pathways!$A$2:$A$31,pathways!$B$2:$B$31)</f>
        <v>Amino acid metabolism</v>
      </c>
      <c r="E109" t="s">
        <v>3436</v>
      </c>
      <c r="F109" t="s">
        <v>3470</v>
      </c>
      <c r="G109" t="s">
        <v>14360</v>
      </c>
      <c r="H109" t="s">
        <v>14360</v>
      </c>
      <c r="I109" t="s">
        <v>5800</v>
      </c>
      <c r="J109" s="4" t="s">
        <v>5800</v>
      </c>
      <c r="L109" t="s">
        <v>1218</v>
      </c>
      <c r="M109" t="s">
        <v>14494</v>
      </c>
      <c r="N109" t="s">
        <v>3436</v>
      </c>
      <c r="O109" t="s">
        <v>3436</v>
      </c>
      <c r="P109" t="s">
        <v>3470</v>
      </c>
      <c r="Q109" t="s">
        <v>3470</v>
      </c>
      <c r="R109" t="s">
        <v>3436</v>
      </c>
      <c r="S109" t="s">
        <v>14360</v>
      </c>
    </row>
    <row r="110" spans="1:19" x14ac:dyDescent="0.2">
      <c r="A110" t="s">
        <v>1242</v>
      </c>
      <c r="B110" t="s">
        <v>14359</v>
      </c>
      <c r="C110" t="s">
        <v>19224</v>
      </c>
      <c r="D110" t="str">
        <f>_xlfn.XLOOKUP(E110,pathways!$A$2:$A$31,pathways!$B$2:$B$31)</f>
        <v>Amino acid metabolism</v>
      </c>
      <c r="E110" t="s">
        <v>3436</v>
      </c>
      <c r="F110" t="s">
        <v>3498</v>
      </c>
      <c r="G110" t="s">
        <v>14360</v>
      </c>
      <c r="H110" t="s">
        <v>14360</v>
      </c>
      <c r="I110" t="s">
        <v>5765</v>
      </c>
      <c r="J110" s="4" t="s">
        <v>5765</v>
      </c>
      <c r="L110" t="s">
        <v>1241</v>
      </c>
      <c r="M110" t="s">
        <v>14518</v>
      </c>
      <c r="N110" t="s">
        <v>3436</v>
      </c>
      <c r="O110" t="s">
        <v>3436</v>
      </c>
      <c r="P110" t="s">
        <v>3498</v>
      </c>
      <c r="Q110" t="s">
        <v>3498</v>
      </c>
      <c r="R110" t="s">
        <v>3436</v>
      </c>
      <c r="S110" t="s">
        <v>14360</v>
      </c>
    </row>
    <row r="111" spans="1:19" x14ac:dyDescent="0.2">
      <c r="A111" t="s">
        <v>1433</v>
      </c>
      <c r="B111" t="s">
        <v>14359</v>
      </c>
      <c r="C111" t="s">
        <v>19287</v>
      </c>
      <c r="D111" t="str">
        <f>_xlfn.XLOOKUP(E111,pathways!$A$2:$A$31,pathways!$B$2:$B$31)</f>
        <v>Amino acid metabolism</v>
      </c>
      <c r="E111" t="s">
        <v>3436</v>
      </c>
      <c r="F111" t="s">
        <v>3498</v>
      </c>
      <c r="G111" t="s">
        <v>14360</v>
      </c>
      <c r="H111" t="s">
        <v>14360</v>
      </c>
      <c r="I111" t="s">
        <v>6676</v>
      </c>
      <c r="J111" s="4" t="s">
        <v>6676</v>
      </c>
      <c r="L111" t="s">
        <v>1432</v>
      </c>
      <c r="M111" t="s">
        <v>14718</v>
      </c>
      <c r="N111" t="s">
        <v>3436</v>
      </c>
      <c r="O111" t="s">
        <v>3436</v>
      </c>
      <c r="P111" t="s">
        <v>3498</v>
      </c>
      <c r="Q111" t="s">
        <v>3498</v>
      </c>
      <c r="R111" t="s">
        <v>3436</v>
      </c>
      <c r="S111" t="s">
        <v>18840</v>
      </c>
    </row>
    <row r="112" spans="1:19" x14ac:dyDescent="0.2">
      <c r="A112" t="s">
        <v>13762</v>
      </c>
      <c r="B112" t="s">
        <v>14359</v>
      </c>
      <c r="C112" t="s">
        <v>590</v>
      </c>
      <c r="D112" t="str">
        <f>_xlfn.XLOOKUP(E112,pathways!$A$2:$A$31,pathways!$B$2:$B$31)</f>
        <v>Amino acid metabolism</v>
      </c>
      <c r="E112" t="s">
        <v>3436</v>
      </c>
      <c r="F112" t="s">
        <v>3498</v>
      </c>
      <c r="G112" t="s">
        <v>14360</v>
      </c>
      <c r="H112" t="s">
        <v>14360</v>
      </c>
      <c r="I112" t="s">
        <v>589</v>
      </c>
      <c r="J112" s="4" t="s">
        <v>589</v>
      </c>
      <c r="L112" t="s">
        <v>591</v>
      </c>
      <c r="M112" t="s">
        <v>15877</v>
      </c>
      <c r="N112" t="s">
        <v>3436</v>
      </c>
      <c r="O112" t="s">
        <v>3436</v>
      </c>
      <c r="P112" t="s">
        <v>3498</v>
      </c>
      <c r="Q112" t="s">
        <v>3498</v>
      </c>
      <c r="R112" t="s">
        <v>3436</v>
      </c>
      <c r="S112" t="s">
        <v>14360</v>
      </c>
    </row>
    <row r="113" spans="1:19" x14ac:dyDescent="0.2">
      <c r="A113" t="s">
        <v>1175</v>
      </c>
      <c r="B113" t="s">
        <v>14359</v>
      </c>
      <c r="C113" t="s">
        <v>19202</v>
      </c>
      <c r="D113" t="str">
        <f>_xlfn.XLOOKUP(E113,pathways!$A$2:$A$31,pathways!$B$2:$B$31)</f>
        <v>Amino acid metabolism</v>
      </c>
      <c r="E113" t="s">
        <v>3436</v>
      </c>
      <c r="F113" t="s">
        <v>3498</v>
      </c>
      <c r="G113" t="s">
        <v>14360</v>
      </c>
      <c r="H113" t="s">
        <v>14360</v>
      </c>
      <c r="I113" t="s">
        <v>5490</v>
      </c>
      <c r="J113" s="4" t="s">
        <v>5490</v>
      </c>
      <c r="L113" t="s">
        <v>1174</v>
      </c>
      <c r="M113" t="s">
        <v>14446</v>
      </c>
      <c r="N113" t="s">
        <v>3436</v>
      </c>
      <c r="O113" t="s">
        <v>3436</v>
      </c>
      <c r="P113" t="s">
        <v>3498</v>
      </c>
      <c r="Q113" t="s">
        <v>3498</v>
      </c>
      <c r="R113" t="s">
        <v>3436</v>
      </c>
      <c r="S113" t="s">
        <v>14360</v>
      </c>
    </row>
    <row r="114" spans="1:19" x14ac:dyDescent="0.2">
      <c r="A114" t="s">
        <v>1338</v>
      </c>
      <c r="B114" t="s">
        <v>14359</v>
      </c>
      <c r="C114" t="s">
        <v>19256</v>
      </c>
      <c r="D114" t="str">
        <f>_xlfn.XLOOKUP(E114,pathways!$A$2:$A$31,pathways!$B$2:$B$31)</f>
        <v>Amino acid metabolism</v>
      </c>
      <c r="E114" t="s">
        <v>3436</v>
      </c>
      <c r="F114" t="s">
        <v>3498</v>
      </c>
      <c r="G114" t="s">
        <v>14360</v>
      </c>
      <c r="H114" t="s">
        <v>14360</v>
      </c>
      <c r="I114" t="s">
        <v>6310</v>
      </c>
      <c r="J114" s="4" t="s">
        <v>6310</v>
      </c>
      <c r="L114" t="s">
        <v>1337</v>
      </c>
      <c r="M114" t="s">
        <v>14616</v>
      </c>
      <c r="N114" t="s">
        <v>3436</v>
      </c>
      <c r="O114" t="s">
        <v>3436</v>
      </c>
      <c r="P114" t="s">
        <v>3498</v>
      </c>
      <c r="Q114" t="s">
        <v>3498</v>
      </c>
      <c r="R114" t="s">
        <v>3436</v>
      </c>
      <c r="S114" t="s">
        <v>14360</v>
      </c>
    </row>
    <row r="115" spans="1:19" x14ac:dyDescent="0.2">
      <c r="A115" t="s">
        <v>2647</v>
      </c>
      <c r="B115" t="s">
        <v>14359</v>
      </c>
      <c r="C115" t="s">
        <v>19736</v>
      </c>
      <c r="D115" t="str">
        <f>_xlfn.XLOOKUP(E115,pathways!$A$2:$A$31,pathways!$B$2:$B$31)</f>
        <v>Amino acid metabolism</v>
      </c>
      <c r="E115" t="s">
        <v>3436</v>
      </c>
      <c r="F115" t="s">
        <v>3470</v>
      </c>
      <c r="G115" t="s">
        <v>14360</v>
      </c>
      <c r="H115" t="s">
        <v>14360</v>
      </c>
      <c r="I115" t="s">
        <v>3492</v>
      </c>
      <c r="J115" s="4" t="s">
        <v>3492</v>
      </c>
      <c r="L115" t="s">
        <v>2646</v>
      </c>
      <c r="M115" t="s">
        <v>15985</v>
      </c>
      <c r="N115" t="s">
        <v>3436</v>
      </c>
      <c r="O115" t="s">
        <v>3436</v>
      </c>
      <c r="P115" t="s">
        <v>3470</v>
      </c>
      <c r="Q115" t="s">
        <v>3470</v>
      </c>
      <c r="R115" t="s">
        <v>3436</v>
      </c>
      <c r="S115" t="s">
        <v>14360</v>
      </c>
    </row>
    <row r="116" spans="1:19" x14ac:dyDescent="0.2">
      <c r="A116" t="s">
        <v>1124</v>
      </c>
      <c r="B116" t="s">
        <v>14359</v>
      </c>
      <c r="C116" t="s">
        <v>19183</v>
      </c>
      <c r="D116" t="str">
        <f>_xlfn.XLOOKUP(E116,pathways!$A$2:$A$31,pathways!$B$2:$B$31)</f>
        <v>Amino acid metabolism</v>
      </c>
      <c r="E116" t="s">
        <v>3436</v>
      </c>
      <c r="F116" t="s">
        <v>3470</v>
      </c>
      <c r="G116" t="s">
        <v>5273</v>
      </c>
      <c r="H116" t="s">
        <v>14360</v>
      </c>
      <c r="I116" t="s">
        <v>5273</v>
      </c>
      <c r="J116" s="4" t="s">
        <v>5273</v>
      </c>
      <c r="L116" t="s">
        <v>1123</v>
      </c>
      <c r="M116" t="s">
        <v>14394</v>
      </c>
      <c r="N116" t="s">
        <v>3436</v>
      </c>
      <c r="O116" t="s">
        <v>3436</v>
      </c>
      <c r="P116" t="s">
        <v>3470</v>
      </c>
      <c r="Q116" t="s">
        <v>3470</v>
      </c>
      <c r="R116" t="s">
        <v>3436</v>
      </c>
      <c r="S116" t="s">
        <v>14360</v>
      </c>
    </row>
    <row r="117" spans="1:19" x14ac:dyDescent="0.2">
      <c r="A117" t="s">
        <v>1692</v>
      </c>
      <c r="B117" t="s">
        <v>14359</v>
      </c>
      <c r="C117" t="s">
        <v>19371</v>
      </c>
      <c r="D117" t="str">
        <f>_xlfn.XLOOKUP(E117,pathways!$A$2:$A$31,pathways!$B$2:$B$31)</f>
        <v>Amino acid metabolism</v>
      </c>
      <c r="E117" t="s">
        <v>3436</v>
      </c>
      <c r="F117" t="s">
        <v>3603</v>
      </c>
      <c r="G117" t="s">
        <v>7988</v>
      </c>
      <c r="H117" t="s">
        <v>14360</v>
      </c>
      <c r="I117" t="s">
        <v>7988</v>
      </c>
      <c r="J117" s="4" t="s">
        <v>7988</v>
      </c>
      <c r="L117" t="s">
        <v>1691</v>
      </c>
      <c r="M117" t="s">
        <v>14983</v>
      </c>
      <c r="N117" t="s">
        <v>3436</v>
      </c>
      <c r="O117" t="s">
        <v>3436</v>
      </c>
      <c r="P117" t="s">
        <v>3603</v>
      </c>
      <c r="Q117" t="s">
        <v>3603</v>
      </c>
      <c r="R117" t="s">
        <v>3436</v>
      </c>
      <c r="S117" t="s">
        <v>5632</v>
      </c>
    </row>
    <row r="118" spans="1:19" x14ac:dyDescent="0.2">
      <c r="A118" t="s">
        <v>13766</v>
      </c>
      <c r="B118" t="s">
        <v>14359</v>
      </c>
      <c r="C118" t="s">
        <v>603</v>
      </c>
      <c r="D118" t="str">
        <f>_xlfn.XLOOKUP(E118,pathways!$A$2:$A$31,pathways!$B$2:$B$31)</f>
        <v>Amino acid metabolism</v>
      </c>
      <c r="E118" t="s">
        <v>3436</v>
      </c>
      <c r="F118" t="s">
        <v>3498</v>
      </c>
      <c r="G118" t="s">
        <v>602</v>
      </c>
      <c r="H118" t="s">
        <v>14360</v>
      </c>
      <c r="I118" t="s">
        <v>602</v>
      </c>
      <c r="J118" s="4" t="s">
        <v>602</v>
      </c>
      <c r="L118" t="s">
        <v>604</v>
      </c>
      <c r="M118" t="s">
        <v>15857</v>
      </c>
      <c r="N118" t="s">
        <v>3436</v>
      </c>
      <c r="O118" t="s">
        <v>3436</v>
      </c>
      <c r="P118" t="s">
        <v>3498</v>
      </c>
      <c r="Q118" t="s">
        <v>3498</v>
      </c>
      <c r="R118" t="s">
        <v>3436</v>
      </c>
      <c r="S118" t="s">
        <v>14360</v>
      </c>
    </row>
    <row r="119" spans="1:19" x14ac:dyDescent="0.2">
      <c r="A119" t="s">
        <v>2561</v>
      </c>
      <c r="B119" t="s">
        <v>14359</v>
      </c>
      <c r="C119" t="s">
        <v>19695</v>
      </c>
      <c r="D119" t="str">
        <f>_xlfn.XLOOKUP(E119,pathways!$A$2:$A$31,pathways!$B$2:$B$31)</f>
        <v>Amino acid metabolism</v>
      </c>
      <c r="E119" t="s">
        <v>3436</v>
      </c>
      <c r="F119" t="s">
        <v>3586</v>
      </c>
      <c r="G119" t="s">
        <v>3995</v>
      </c>
      <c r="H119" t="s">
        <v>14360</v>
      </c>
      <c r="I119" t="s">
        <v>3995</v>
      </c>
      <c r="J119" s="4" t="s">
        <v>3995</v>
      </c>
      <c r="L119" t="s">
        <v>2560</v>
      </c>
      <c r="M119" t="s">
        <v>15883</v>
      </c>
      <c r="N119" t="s">
        <v>3436</v>
      </c>
      <c r="O119" t="s">
        <v>3436</v>
      </c>
      <c r="P119" t="s">
        <v>3586</v>
      </c>
      <c r="Q119" t="s">
        <v>3586</v>
      </c>
      <c r="R119" t="s">
        <v>3436</v>
      </c>
      <c r="S119" t="s">
        <v>18840</v>
      </c>
    </row>
    <row r="120" spans="1:19" x14ac:dyDescent="0.2">
      <c r="A120" t="s">
        <v>2544</v>
      </c>
      <c r="B120" t="s">
        <v>14359</v>
      </c>
      <c r="C120" t="s">
        <v>19686</v>
      </c>
      <c r="D120" t="str">
        <f>_xlfn.XLOOKUP(E120,pathways!$A$2:$A$31,pathways!$B$2:$B$31)</f>
        <v>Amino acid metabolism</v>
      </c>
      <c r="E120" t="s">
        <v>3436</v>
      </c>
      <c r="F120" t="s">
        <v>3603</v>
      </c>
      <c r="G120" t="s">
        <v>4011</v>
      </c>
      <c r="H120" t="s">
        <v>14360</v>
      </c>
      <c r="I120" t="s">
        <v>4011</v>
      </c>
      <c r="J120" s="4" t="s">
        <v>4011</v>
      </c>
      <c r="L120" t="s">
        <v>2543</v>
      </c>
      <c r="M120" t="s">
        <v>15861</v>
      </c>
      <c r="N120" t="s">
        <v>3436</v>
      </c>
      <c r="O120" t="s">
        <v>3436</v>
      </c>
      <c r="P120" t="s">
        <v>3603</v>
      </c>
      <c r="Q120" t="s">
        <v>3603</v>
      </c>
      <c r="R120" t="s">
        <v>3436</v>
      </c>
      <c r="S120" t="s">
        <v>14360</v>
      </c>
    </row>
    <row r="121" spans="1:19" x14ac:dyDescent="0.2">
      <c r="A121" t="s">
        <v>1746</v>
      </c>
      <c r="B121" t="s">
        <v>14359</v>
      </c>
      <c r="C121" t="s">
        <v>19383</v>
      </c>
      <c r="D121" t="str">
        <f>_xlfn.XLOOKUP(E121,pathways!$A$2:$A$31,pathways!$B$2:$B$31)</f>
        <v>Amino acid metabolism</v>
      </c>
      <c r="E121" t="s">
        <v>3436</v>
      </c>
      <c r="F121" t="s">
        <v>3603</v>
      </c>
      <c r="G121" t="s">
        <v>8274</v>
      </c>
      <c r="H121" t="s">
        <v>14360</v>
      </c>
      <c r="I121" t="s">
        <v>8274</v>
      </c>
      <c r="J121" s="4" t="s">
        <v>8274</v>
      </c>
      <c r="L121" t="s">
        <v>1745</v>
      </c>
      <c r="M121" t="s">
        <v>15043</v>
      </c>
      <c r="N121" t="s">
        <v>3436</v>
      </c>
      <c r="O121" t="s">
        <v>3436</v>
      </c>
      <c r="P121" t="s">
        <v>3603</v>
      </c>
      <c r="Q121" t="s">
        <v>3603</v>
      </c>
      <c r="R121" t="s">
        <v>3436</v>
      </c>
      <c r="S121" t="s">
        <v>14360</v>
      </c>
    </row>
    <row r="122" spans="1:19" x14ac:dyDescent="0.2">
      <c r="A122" t="s">
        <v>1104</v>
      </c>
      <c r="B122" t="s">
        <v>14359</v>
      </c>
      <c r="C122" t="s">
        <v>19176</v>
      </c>
      <c r="D122" t="str">
        <f>_xlfn.XLOOKUP(E122,pathways!$A$2:$A$31,pathways!$B$2:$B$31)</f>
        <v>Amino acid metabolism</v>
      </c>
      <c r="E122" t="s">
        <v>3436</v>
      </c>
      <c r="F122" t="s">
        <v>3603</v>
      </c>
      <c r="G122" t="s">
        <v>5201</v>
      </c>
      <c r="H122" t="s">
        <v>14360</v>
      </c>
      <c r="I122" t="s">
        <v>5201</v>
      </c>
      <c r="J122" s="4" t="s">
        <v>5201</v>
      </c>
      <c r="L122" t="s">
        <v>1103</v>
      </c>
      <c r="M122" t="s">
        <v>14372</v>
      </c>
      <c r="N122" t="s">
        <v>3436</v>
      </c>
      <c r="O122" t="s">
        <v>3436</v>
      </c>
      <c r="P122" t="s">
        <v>3603</v>
      </c>
      <c r="Q122" t="s">
        <v>3603</v>
      </c>
      <c r="R122" t="s">
        <v>3436</v>
      </c>
      <c r="S122" t="s">
        <v>14360</v>
      </c>
    </row>
    <row r="123" spans="1:19" x14ac:dyDescent="0.2">
      <c r="A123" t="s">
        <v>2477</v>
      </c>
      <c r="B123" t="s">
        <v>14359</v>
      </c>
      <c r="C123" t="s">
        <v>19656</v>
      </c>
      <c r="D123" t="str">
        <f>_xlfn.XLOOKUP(E123,pathways!$A$2:$A$31,pathways!$B$2:$B$31)</f>
        <v>Amino acid metabolism</v>
      </c>
      <c r="E123" t="s">
        <v>3436</v>
      </c>
      <c r="F123" t="s">
        <v>3498</v>
      </c>
      <c r="G123" t="s">
        <v>5122</v>
      </c>
      <c r="H123" t="s">
        <v>14360</v>
      </c>
      <c r="I123" t="s">
        <v>5122</v>
      </c>
      <c r="J123" s="4" t="s">
        <v>5122</v>
      </c>
      <c r="L123" t="s">
        <v>2476</v>
      </c>
      <c r="M123" t="s">
        <v>15783</v>
      </c>
      <c r="N123" t="s">
        <v>3436</v>
      </c>
      <c r="O123" t="s">
        <v>3436</v>
      </c>
      <c r="P123" t="s">
        <v>3498</v>
      </c>
      <c r="Q123" t="s">
        <v>3498</v>
      </c>
      <c r="R123" t="s">
        <v>3436</v>
      </c>
      <c r="S123" t="s">
        <v>14360</v>
      </c>
    </row>
    <row r="124" spans="1:19" x14ac:dyDescent="0.2">
      <c r="A124" t="s">
        <v>3073</v>
      </c>
      <c r="B124" t="s">
        <v>14359</v>
      </c>
      <c r="C124" t="s">
        <v>19748</v>
      </c>
      <c r="D124" t="str">
        <f>_xlfn.XLOOKUP(E124,pathways!$A$2:$A$31,pathways!$B$2:$B$31)</f>
        <v>Amino acid metabolism</v>
      </c>
      <c r="E124" t="s">
        <v>3436</v>
      </c>
      <c r="F124" t="s">
        <v>3906</v>
      </c>
      <c r="G124" t="s">
        <v>19748</v>
      </c>
      <c r="H124" t="s">
        <v>14360</v>
      </c>
      <c r="I124" t="s">
        <v>8176</v>
      </c>
      <c r="J124" s="4" t="s">
        <v>14360</v>
      </c>
      <c r="L124" t="s">
        <v>3072</v>
      </c>
      <c r="M124" t="s">
        <v>16430</v>
      </c>
      <c r="N124" t="s">
        <v>3436</v>
      </c>
      <c r="O124" t="s">
        <v>14360</v>
      </c>
      <c r="P124" t="s">
        <v>3906</v>
      </c>
      <c r="Q124" t="s">
        <v>14360</v>
      </c>
      <c r="R124" t="s">
        <v>3436</v>
      </c>
      <c r="S124" t="s">
        <v>14360</v>
      </c>
    </row>
    <row r="125" spans="1:19" x14ac:dyDescent="0.2">
      <c r="A125" t="s">
        <v>14096</v>
      </c>
      <c r="B125" t="s">
        <v>14359</v>
      </c>
      <c r="C125" t="s">
        <v>10194</v>
      </c>
      <c r="D125" t="str">
        <f>_xlfn.XLOOKUP(E125,pathways!$A$2:$A$31,pathways!$B$2:$B$31)</f>
        <v>Amino acid metabolism</v>
      </c>
      <c r="E125" t="s">
        <v>3436</v>
      </c>
      <c r="F125" t="s">
        <v>3586</v>
      </c>
      <c r="G125" t="s">
        <v>14360</v>
      </c>
      <c r="H125" t="s">
        <v>14360</v>
      </c>
      <c r="I125" t="s">
        <v>10194</v>
      </c>
      <c r="J125" s="4" t="s">
        <v>14360</v>
      </c>
      <c r="L125" t="s">
        <v>2321</v>
      </c>
      <c r="M125" t="s">
        <v>15622</v>
      </c>
      <c r="N125" t="s">
        <v>3436</v>
      </c>
      <c r="O125" t="s">
        <v>14360</v>
      </c>
      <c r="P125" t="s">
        <v>3586</v>
      </c>
      <c r="Q125" t="s">
        <v>14360</v>
      </c>
      <c r="R125" t="s">
        <v>3436</v>
      </c>
      <c r="S125" t="s">
        <v>14360</v>
      </c>
    </row>
    <row r="126" spans="1:19" x14ac:dyDescent="0.2">
      <c r="A126" t="s">
        <v>1571</v>
      </c>
      <c r="B126" t="s">
        <v>14359</v>
      </c>
      <c r="C126" t="s">
        <v>19329</v>
      </c>
      <c r="D126" t="str">
        <f>_xlfn.XLOOKUP(E126,pathways!$A$2:$A$31,pathways!$B$2:$B$31)</f>
        <v>Amino acid metabolism</v>
      </c>
      <c r="E126" t="s">
        <v>3436</v>
      </c>
      <c r="F126" t="s">
        <v>3906</v>
      </c>
      <c r="G126" t="s">
        <v>14360</v>
      </c>
      <c r="H126" t="s">
        <v>14360</v>
      </c>
      <c r="I126" t="s">
        <v>7358</v>
      </c>
      <c r="J126" s="4" t="s">
        <v>14360</v>
      </c>
      <c r="L126" t="s">
        <v>1570</v>
      </c>
      <c r="M126" t="s">
        <v>14857</v>
      </c>
      <c r="N126" t="s">
        <v>3436</v>
      </c>
      <c r="O126" t="s">
        <v>14360</v>
      </c>
      <c r="P126" t="s">
        <v>3906</v>
      </c>
      <c r="Q126" t="s">
        <v>14360</v>
      </c>
      <c r="R126" t="s">
        <v>3436</v>
      </c>
      <c r="S126" t="s">
        <v>14360</v>
      </c>
    </row>
    <row r="127" spans="1:19" x14ac:dyDescent="0.2">
      <c r="A127" t="s">
        <v>3061</v>
      </c>
      <c r="B127" t="s">
        <v>14359</v>
      </c>
      <c r="C127" t="s">
        <v>19743</v>
      </c>
      <c r="D127" t="str">
        <f>_xlfn.XLOOKUP(E127,pathways!$A$2:$A$31,pathways!$B$2:$B$31)</f>
        <v>Amino acid metabolism</v>
      </c>
      <c r="E127" t="s">
        <v>3436</v>
      </c>
      <c r="F127" t="s">
        <v>4215</v>
      </c>
      <c r="G127" t="s">
        <v>14360</v>
      </c>
      <c r="H127" t="s">
        <v>14360</v>
      </c>
      <c r="I127" t="s">
        <v>6744</v>
      </c>
      <c r="J127" s="4" t="s">
        <v>14360</v>
      </c>
      <c r="L127" t="s">
        <v>3060</v>
      </c>
      <c r="M127" t="s">
        <v>16420</v>
      </c>
      <c r="N127" t="s">
        <v>3436</v>
      </c>
      <c r="O127" t="s">
        <v>14360</v>
      </c>
      <c r="P127" t="s">
        <v>4215</v>
      </c>
      <c r="Q127" t="s">
        <v>14360</v>
      </c>
      <c r="R127" t="s">
        <v>3436</v>
      </c>
      <c r="S127" t="s">
        <v>14360</v>
      </c>
    </row>
    <row r="128" spans="1:19" x14ac:dyDescent="0.2">
      <c r="A128" t="s">
        <v>1567</v>
      </c>
      <c r="B128" t="s">
        <v>14359</v>
      </c>
      <c r="C128" t="s">
        <v>7249</v>
      </c>
      <c r="D128" t="str">
        <f>_xlfn.XLOOKUP(E128,pathways!$A$2:$A$31,pathways!$B$2:$B$31)</f>
        <v>Amino acid metabolism</v>
      </c>
      <c r="E128" t="s">
        <v>3436</v>
      </c>
      <c r="F128" t="s">
        <v>3705</v>
      </c>
      <c r="G128" t="s">
        <v>7249</v>
      </c>
      <c r="H128" t="s">
        <v>14360</v>
      </c>
      <c r="I128" t="s">
        <v>7249</v>
      </c>
      <c r="J128" s="4" t="s">
        <v>7249</v>
      </c>
      <c r="L128" t="s">
        <v>1566</v>
      </c>
      <c r="M128" t="s">
        <v>14853</v>
      </c>
      <c r="N128" t="s">
        <v>3533</v>
      </c>
      <c r="O128" t="s">
        <v>3533</v>
      </c>
      <c r="P128" t="s">
        <v>3705</v>
      </c>
      <c r="Q128" t="s">
        <v>3705</v>
      </c>
      <c r="R128" t="s">
        <v>3533</v>
      </c>
      <c r="S128" t="s">
        <v>14360</v>
      </c>
    </row>
    <row r="129" spans="1:19" x14ac:dyDescent="0.2">
      <c r="A129" t="s">
        <v>2191</v>
      </c>
      <c r="B129" t="s">
        <v>14359</v>
      </c>
      <c r="C129" t="s">
        <v>9776</v>
      </c>
      <c r="D129" t="str">
        <f>_xlfn.XLOOKUP(E129,pathways!$A$2:$A$31,pathways!$B$2:$B$31)</f>
        <v>Amino acid metabolism</v>
      </c>
      <c r="E129" t="s">
        <v>3436</v>
      </c>
      <c r="F129" t="s">
        <v>3437</v>
      </c>
      <c r="G129" t="s">
        <v>9776</v>
      </c>
      <c r="H129" t="s">
        <v>14360</v>
      </c>
      <c r="I129" t="s">
        <v>9776</v>
      </c>
      <c r="J129" s="4" t="s">
        <v>12183</v>
      </c>
      <c r="L129" t="s">
        <v>2190</v>
      </c>
      <c r="M129" t="s">
        <v>15487</v>
      </c>
      <c r="N129" t="s">
        <v>3436</v>
      </c>
      <c r="O129" t="s">
        <v>3436</v>
      </c>
      <c r="P129" t="s">
        <v>3437</v>
      </c>
      <c r="Q129" t="s">
        <v>3437</v>
      </c>
      <c r="R129" t="s">
        <v>3436</v>
      </c>
      <c r="S129" t="s">
        <v>14360</v>
      </c>
    </row>
    <row r="130" spans="1:19" x14ac:dyDescent="0.2">
      <c r="A130" t="s">
        <v>2387</v>
      </c>
      <c r="B130" t="s">
        <v>14359</v>
      </c>
      <c r="C130" t="s">
        <v>4690</v>
      </c>
      <c r="D130" t="str">
        <f>_xlfn.XLOOKUP(E130,pathways!$A$2:$A$31,pathways!$B$2:$B$31)</f>
        <v>Amino acid metabolism</v>
      </c>
      <c r="E130" t="s">
        <v>3436</v>
      </c>
      <c r="F130" t="s">
        <v>3670</v>
      </c>
      <c r="G130" t="s">
        <v>4690</v>
      </c>
      <c r="H130" t="s">
        <v>14360</v>
      </c>
      <c r="I130" t="s">
        <v>4690</v>
      </c>
      <c r="J130" s="4" t="s">
        <v>4690</v>
      </c>
      <c r="L130" t="s">
        <v>2386</v>
      </c>
      <c r="M130" t="s">
        <v>15685</v>
      </c>
      <c r="N130" t="s">
        <v>3436</v>
      </c>
      <c r="O130" t="s">
        <v>3436</v>
      </c>
      <c r="P130" t="s">
        <v>3670</v>
      </c>
      <c r="Q130" t="s">
        <v>3670</v>
      </c>
      <c r="R130" t="s">
        <v>3436</v>
      </c>
      <c r="S130" t="s">
        <v>14360</v>
      </c>
    </row>
    <row r="131" spans="1:19" x14ac:dyDescent="0.2">
      <c r="A131" t="s">
        <v>3052</v>
      </c>
      <c r="B131" t="s">
        <v>14359</v>
      </c>
      <c r="C131" t="s">
        <v>6068</v>
      </c>
      <c r="D131" t="str">
        <f>_xlfn.XLOOKUP(E131,pathways!$A$2:$A$31,pathways!$B$2:$B$31)</f>
        <v>Amino acid metabolism</v>
      </c>
      <c r="E131" t="s">
        <v>3436</v>
      </c>
      <c r="F131" t="s">
        <v>3661</v>
      </c>
      <c r="G131" t="s">
        <v>14360</v>
      </c>
      <c r="H131" t="s">
        <v>14360</v>
      </c>
      <c r="I131" t="s">
        <v>6068</v>
      </c>
      <c r="J131" s="4" t="s">
        <v>14360</v>
      </c>
      <c r="L131" t="s">
        <v>3051</v>
      </c>
      <c r="M131" t="s">
        <v>16410</v>
      </c>
      <c r="N131" t="s">
        <v>3436</v>
      </c>
      <c r="O131" t="s">
        <v>14360</v>
      </c>
      <c r="P131" t="s">
        <v>3661</v>
      </c>
      <c r="Q131" t="s">
        <v>14360</v>
      </c>
      <c r="R131" t="s">
        <v>3436</v>
      </c>
      <c r="S131" t="s">
        <v>14360</v>
      </c>
    </row>
    <row r="132" spans="1:19" x14ac:dyDescent="0.2">
      <c r="A132" t="s">
        <v>3050</v>
      </c>
      <c r="B132" t="s">
        <v>14359</v>
      </c>
      <c r="C132" t="s">
        <v>6053</v>
      </c>
      <c r="D132" t="str">
        <f>_xlfn.XLOOKUP(E132,pathways!$A$2:$A$31,pathways!$B$2:$B$31)</f>
        <v>Amino acid metabolism</v>
      </c>
      <c r="E132" t="s">
        <v>3436</v>
      </c>
      <c r="F132" t="s">
        <v>3670</v>
      </c>
      <c r="G132" t="s">
        <v>14360</v>
      </c>
      <c r="H132" t="s">
        <v>14360</v>
      </c>
      <c r="I132" t="s">
        <v>6053</v>
      </c>
      <c r="J132" s="4" t="s">
        <v>6053</v>
      </c>
      <c r="L132" t="s">
        <v>3049</v>
      </c>
      <c r="M132" t="s">
        <v>16408</v>
      </c>
      <c r="N132" t="s">
        <v>3436</v>
      </c>
      <c r="O132" t="s">
        <v>3436</v>
      </c>
      <c r="P132" t="s">
        <v>3670</v>
      </c>
      <c r="Q132" t="s">
        <v>3670</v>
      </c>
      <c r="R132" t="s">
        <v>3436</v>
      </c>
      <c r="S132" t="s">
        <v>18840</v>
      </c>
    </row>
    <row r="133" spans="1:19" x14ac:dyDescent="0.2">
      <c r="A133" t="s">
        <v>1181</v>
      </c>
      <c r="B133" t="s">
        <v>14359</v>
      </c>
      <c r="C133" t="s">
        <v>19204</v>
      </c>
      <c r="D133" t="str">
        <f>_xlfn.XLOOKUP(E133,pathways!$A$2:$A$31,pathways!$B$2:$B$31)</f>
        <v>Amino acid metabolism</v>
      </c>
      <c r="E133" t="s">
        <v>3436</v>
      </c>
      <c r="F133" t="s">
        <v>3670</v>
      </c>
      <c r="G133" t="s">
        <v>5553</v>
      </c>
      <c r="H133" t="s">
        <v>14360</v>
      </c>
      <c r="I133" t="s">
        <v>5553</v>
      </c>
      <c r="J133" s="4" t="s">
        <v>5553</v>
      </c>
      <c r="L133" t="s">
        <v>1180</v>
      </c>
      <c r="M133" t="s">
        <v>14452</v>
      </c>
      <c r="N133" t="s">
        <v>3436</v>
      </c>
      <c r="O133" t="s">
        <v>3436</v>
      </c>
      <c r="P133" t="s">
        <v>3670</v>
      </c>
      <c r="Q133" t="s">
        <v>3670</v>
      </c>
      <c r="R133" t="s">
        <v>3436</v>
      </c>
      <c r="S133" t="s">
        <v>14360</v>
      </c>
    </row>
    <row r="134" spans="1:19" x14ac:dyDescent="0.2">
      <c r="A134" t="s">
        <v>1682</v>
      </c>
      <c r="B134" t="s">
        <v>14359</v>
      </c>
      <c r="C134" t="s">
        <v>8022</v>
      </c>
      <c r="D134" t="str">
        <f>_xlfn.XLOOKUP(E134,pathways!$A$2:$A$31,pathways!$B$2:$B$31)</f>
        <v>Amino acid metabolism</v>
      </c>
      <c r="E134" t="s">
        <v>3436</v>
      </c>
      <c r="F134" t="s">
        <v>3906</v>
      </c>
      <c r="G134" t="s">
        <v>8022</v>
      </c>
      <c r="H134" t="s">
        <v>14360</v>
      </c>
      <c r="I134" t="s">
        <v>8022</v>
      </c>
      <c r="J134" s="4" t="s">
        <v>8022</v>
      </c>
      <c r="L134" t="s">
        <v>1681</v>
      </c>
      <c r="M134" t="s">
        <v>14973</v>
      </c>
      <c r="N134" t="s">
        <v>3436</v>
      </c>
      <c r="O134" t="s">
        <v>3436</v>
      </c>
      <c r="P134" t="s">
        <v>3906</v>
      </c>
      <c r="Q134" t="s">
        <v>3906</v>
      </c>
      <c r="R134" t="s">
        <v>3436</v>
      </c>
      <c r="S134" t="s">
        <v>14360</v>
      </c>
    </row>
    <row r="135" spans="1:19" x14ac:dyDescent="0.2">
      <c r="A135" t="s">
        <v>3059</v>
      </c>
      <c r="B135" t="s">
        <v>14359</v>
      </c>
      <c r="C135" t="s">
        <v>6647</v>
      </c>
      <c r="D135" t="str">
        <f>_xlfn.XLOOKUP(E135,pathways!$A$2:$A$31,pathways!$B$2:$B$31)</f>
        <v>Amino acid metabolism</v>
      </c>
      <c r="E135" t="s">
        <v>3436</v>
      </c>
      <c r="F135" t="s">
        <v>3661</v>
      </c>
      <c r="G135" t="s">
        <v>6647</v>
      </c>
      <c r="H135" t="s">
        <v>14360</v>
      </c>
      <c r="I135" t="s">
        <v>6647</v>
      </c>
      <c r="J135" s="4" t="s">
        <v>6647</v>
      </c>
      <c r="L135" t="s">
        <v>3058</v>
      </c>
      <c r="M135" t="s">
        <v>16418</v>
      </c>
      <c r="N135" t="s">
        <v>3436</v>
      </c>
      <c r="O135" t="s">
        <v>3436</v>
      </c>
      <c r="P135" t="s">
        <v>3661</v>
      </c>
      <c r="Q135" t="s">
        <v>3661</v>
      </c>
      <c r="R135" t="s">
        <v>3436</v>
      </c>
      <c r="S135" t="s">
        <v>14360</v>
      </c>
    </row>
    <row r="136" spans="1:19" x14ac:dyDescent="0.2">
      <c r="A136" t="s">
        <v>1126</v>
      </c>
      <c r="B136" t="s">
        <v>14359</v>
      </c>
      <c r="C136" t="s">
        <v>5289</v>
      </c>
      <c r="D136" t="str">
        <f>_xlfn.XLOOKUP(E136,pathways!$A$2:$A$31,pathways!$B$2:$B$31)</f>
        <v>Amino acid metabolism</v>
      </c>
      <c r="E136" t="s">
        <v>3436</v>
      </c>
      <c r="F136" t="s">
        <v>4215</v>
      </c>
      <c r="G136" t="s">
        <v>5289</v>
      </c>
      <c r="H136" t="s">
        <v>14360</v>
      </c>
      <c r="I136" t="s">
        <v>5289</v>
      </c>
      <c r="J136" s="4" t="s">
        <v>5289</v>
      </c>
      <c r="L136" t="s">
        <v>1125</v>
      </c>
      <c r="M136" t="s">
        <v>14396</v>
      </c>
      <c r="N136" t="s">
        <v>3436</v>
      </c>
      <c r="O136" t="s">
        <v>3436</v>
      </c>
      <c r="P136" t="s">
        <v>4215</v>
      </c>
      <c r="Q136" t="s">
        <v>4215</v>
      </c>
      <c r="R136" t="s">
        <v>3436</v>
      </c>
      <c r="S136" t="s">
        <v>14360</v>
      </c>
    </row>
    <row r="137" spans="1:19" x14ac:dyDescent="0.2">
      <c r="A137" t="s">
        <v>3046</v>
      </c>
      <c r="B137" t="s">
        <v>14359</v>
      </c>
      <c r="C137" t="s">
        <v>6029</v>
      </c>
      <c r="D137" t="str">
        <f>_xlfn.XLOOKUP(E137,pathways!$A$2:$A$31,pathways!$B$2:$B$31)</f>
        <v>Amino acid metabolism</v>
      </c>
      <c r="E137" t="s">
        <v>3436</v>
      </c>
      <c r="F137" t="s">
        <v>4215</v>
      </c>
      <c r="G137" t="s">
        <v>6029</v>
      </c>
      <c r="H137" t="s">
        <v>14360</v>
      </c>
      <c r="I137" t="s">
        <v>6029</v>
      </c>
      <c r="J137" s="4" t="s">
        <v>6029</v>
      </c>
      <c r="L137" t="s">
        <v>3045</v>
      </c>
      <c r="M137" t="s">
        <v>16404</v>
      </c>
      <c r="N137" t="s">
        <v>3436</v>
      </c>
      <c r="O137" t="s">
        <v>3436</v>
      </c>
      <c r="P137" t="s">
        <v>4215</v>
      </c>
      <c r="Q137" t="s">
        <v>4215</v>
      </c>
      <c r="R137" t="s">
        <v>3436</v>
      </c>
      <c r="S137" t="s">
        <v>14360</v>
      </c>
    </row>
    <row r="138" spans="1:19" x14ac:dyDescent="0.2">
      <c r="A138" t="s">
        <v>1223</v>
      </c>
      <c r="B138" t="s">
        <v>14359</v>
      </c>
      <c r="C138" t="s">
        <v>5703</v>
      </c>
      <c r="D138" t="str">
        <f>_xlfn.XLOOKUP(E138,pathways!$A$2:$A$31,pathways!$B$2:$B$31)</f>
        <v>Amino acid metabolism</v>
      </c>
      <c r="E138" t="s">
        <v>3436</v>
      </c>
      <c r="F138" t="s">
        <v>3882</v>
      </c>
      <c r="G138" t="s">
        <v>14360</v>
      </c>
      <c r="H138" t="s">
        <v>14360</v>
      </c>
      <c r="I138" t="s">
        <v>5703</v>
      </c>
      <c r="J138" s="4" t="s">
        <v>5703</v>
      </c>
      <c r="L138" t="s">
        <v>1222</v>
      </c>
      <c r="M138" t="s">
        <v>14498</v>
      </c>
      <c r="N138" t="s">
        <v>3436</v>
      </c>
      <c r="O138" t="s">
        <v>3436</v>
      </c>
      <c r="P138" t="s">
        <v>3882</v>
      </c>
      <c r="Q138" t="s">
        <v>3882</v>
      </c>
      <c r="R138" t="s">
        <v>3436</v>
      </c>
      <c r="S138" t="s">
        <v>14360</v>
      </c>
    </row>
    <row r="139" spans="1:19" x14ac:dyDescent="0.2">
      <c r="A139" t="s">
        <v>1314</v>
      </c>
      <c r="B139" t="s">
        <v>14359</v>
      </c>
      <c r="C139" t="s">
        <v>6158</v>
      </c>
      <c r="D139" t="str">
        <f>_xlfn.XLOOKUP(E139,pathways!$A$2:$A$31,pathways!$B$2:$B$31)</f>
        <v>Amino acid metabolism</v>
      </c>
      <c r="E139" t="s">
        <v>3436</v>
      </c>
      <c r="F139" t="s">
        <v>3906</v>
      </c>
      <c r="G139" t="s">
        <v>6158</v>
      </c>
      <c r="H139" t="s">
        <v>14360</v>
      </c>
      <c r="I139" t="s">
        <v>6158</v>
      </c>
      <c r="J139" s="4" t="s">
        <v>6158</v>
      </c>
      <c r="L139" t="s">
        <v>1313</v>
      </c>
      <c r="M139" t="s">
        <v>14592</v>
      </c>
      <c r="N139" t="s">
        <v>3436</v>
      </c>
      <c r="O139" t="s">
        <v>3436</v>
      </c>
      <c r="P139" t="s">
        <v>3906</v>
      </c>
      <c r="Q139" t="s">
        <v>3906</v>
      </c>
      <c r="R139" t="s">
        <v>3436</v>
      </c>
      <c r="S139" t="s">
        <v>5006</v>
      </c>
    </row>
    <row r="140" spans="1:19" x14ac:dyDescent="0.2">
      <c r="A140" t="s">
        <v>1292</v>
      </c>
      <c r="B140" t="s">
        <v>14359</v>
      </c>
      <c r="C140" t="s">
        <v>6113</v>
      </c>
      <c r="D140" t="str">
        <f>_xlfn.XLOOKUP(E140,pathways!$A$2:$A$31,pathways!$B$2:$B$31)</f>
        <v>Amino acid metabolism</v>
      </c>
      <c r="E140" t="s">
        <v>3436</v>
      </c>
      <c r="F140" t="s">
        <v>3498</v>
      </c>
      <c r="G140" t="s">
        <v>14360</v>
      </c>
      <c r="H140" t="s">
        <v>14360</v>
      </c>
      <c r="I140" t="s">
        <v>6113</v>
      </c>
      <c r="J140" s="4" t="s">
        <v>6113</v>
      </c>
      <c r="L140" t="s">
        <v>1291</v>
      </c>
      <c r="M140" t="s">
        <v>14570</v>
      </c>
      <c r="N140" t="s">
        <v>3436</v>
      </c>
      <c r="O140" t="s">
        <v>3436</v>
      </c>
      <c r="P140" t="s">
        <v>3498</v>
      </c>
      <c r="Q140" t="s">
        <v>3498</v>
      </c>
      <c r="R140" t="s">
        <v>3436</v>
      </c>
      <c r="S140" t="s">
        <v>14360</v>
      </c>
    </row>
    <row r="141" spans="1:19" x14ac:dyDescent="0.2">
      <c r="A141" t="s">
        <v>1851</v>
      </c>
      <c r="B141" t="s">
        <v>14359</v>
      </c>
      <c r="C141" t="s">
        <v>8667</v>
      </c>
      <c r="D141" t="str">
        <f>_xlfn.XLOOKUP(E141,pathways!$A$2:$A$31,pathways!$B$2:$B$31)</f>
        <v>Amino acid metabolism</v>
      </c>
      <c r="E141" t="s">
        <v>3436</v>
      </c>
      <c r="F141" t="s">
        <v>3470</v>
      </c>
      <c r="G141" t="s">
        <v>14360</v>
      </c>
      <c r="H141" t="s">
        <v>14360</v>
      </c>
      <c r="I141" t="s">
        <v>8667</v>
      </c>
      <c r="J141" s="4" t="s">
        <v>14360</v>
      </c>
      <c r="L141" t="s">
        <v>1850</v>
      </c>
      <c r="M141" t="s">
        <v>15151</v>
      </c>
      <c r="N141" t="s">
        <v>3436</v>
      </c>
      <c r="O141" t="s">
        <v>14360</v>
      </c>
      <c r="P141" t="s">
        <v>3470</v>
      </c>
      <c r="Q141" t="s">
        <v>14360</v>
      </c>
      <c r="R141" t="s">
        <v>3436</v>
      </c>
      <c r="S141" t="s">
        <v>5014</v>
      </c>
    </row>
    <row r="142" spans="1:19" x14ac:dyDescent="0.2">
      <c r="A142" t="s">
        <v>2357</v>
      </c>
      <c r="B142" t="s">
        <v>14359</v>
      </c>
      <c r="C142" t="s">
        <v>4610</v>
      </c>
      <c r="D142" t="str">
        <f>_xlfn.XLOOKUP(E142,pathways!$A$2:$A$31,pathways!$B$2:$B$31)</f>
        <v>Amino acid metabolism</v>
      </c>
      <c r="E142" t="s">
        <v>3436</v>
      </c>
      <c r="F142" t="s">
        <v>3498</v>
      </c>
      <c r="G142" t="s">
        <v>14360</v>
      </c>
      <c r="H142" t="s">
        <v>14360</v>
      </c>
      <c r="I142" t="s">
        <v>4610</v>
      </c>
      <c r="J142" s="4" t="s">
        <v>4610</v>
      </c>
      <c r="L142" t="s">
        <v>2356</v>
      </c>
      <c r="M142" t="s">
        <v>15655</v>
      </c>
      <c r="N142" t="s">
        <v>3436</v>
      </c>
      <c r="O142" t="s">
        <v>3436</v>
      </c>
      <c r="P142" t="s">
        <v>3498</v>
      </c>
      <c r="Q142" t="s">
        <v>3498</v>
      </c>
      <c r="R142" t="s">
        <v>3436</v>
      </c>
      <c r="S142" t="s">
        <v>14360</v>
      </c>
    </row>
    <row r="143" spans="1:19" x14ac:dyDescent="0.2">
      <c r="A143" t="s">
        <v>2359</v>
      </c>
      <c r="B143" t="s">
        <v>14359</v>
      </c>
      <c r="C143" t="s">
        <v>4618</v>
      </c>
      <c r="D143" t="str">
        <f>_xlfn.XLOOKUP(E143,pathways!$A$2:$A$31,pathways!$B$2:$B$31)</f>
        <v>Amino acid metabolism</v>
      </c>
      <c r="E143" t="s">
        <v>3436</v>
      </c>
      <c r="F143" t="s">
        <v>3603</v>
      </c>
      <c r="G143" t="s">
        <v>4618</v>
      </c>
      <c r="H143" t="s">
        <v>14360</v>
      </c>
      <c r="I143" t="s">
        <v>4618</v>
      </c>
      <c r="J143" s="4" t="s">
        <v>4618</v>
      </c>
      <c r="L143" t="s">
        <v>2358</v>
      </c>
      <c r="M143" t="s">
        <v>15657</v>
      </c>
      <c r="N143" t="s">
        <v>3436</v>
      </c>
      <c r="O143" t="s">
        <v>3436</v>
      </c>
      <c r="P143" t="s">
        <v>3603</v>
      </c>
      <c r="Q143" t="s">
        <v>3603</v>
      </c>
      <c r="R143" t="s">
        <v>3436</v>
      </c>
      <c r="S143" t="s">
        <v>14360</v>
      </c>
    </row>
    <row r="144" spans="1:19" x14ac:dyDescent="0.2">
      <c r="A144" t="s">
        <v>3048</v>
      </c>
      <c r="B144" t="s">
        <v>14359</v>
      </c>
      <c r="C144" t="s">
        <v>6045</v>
      </c>
      <c r="D144" t="str">
        <f>_xlfn.XLOOKUP(E144,pathways!$A$2:$A$31,pathways!$B$2:$B$31)</f>
        <v>Amino acid metabolism</v>
      </c>
      <c r="E144" t="s">
        <v>3436</v>
      </c>
      <c r="F144" t="s">
        <v>3524</v>
      </c>
      <c r="G144" t="s">
        <v>6045</v>
      </c>
      <c r="H144" t="s">
        <v>14360</v>
      </c>
      <c r="I144" t="s">
        <v>6045</v>
      </c>
      <c r="J144" s="4" t="s">
        <v>6045</v>
      </c>
      <c r="L144" t="s">
        <v>3047</v>
      </c>
      <c r="M144" t="s">
        <v>16406</v>
      </c>
      <c r="N144" t="s">
        <v>3436</v>
      </c>
      <c r="O144" t="s">
        <v>3436</v>
      </c>
      <c r="P144" t="s">
        <v>3524</v>
      </c>
      <c r="Q144" t="s">
        <v>3524</v>
      </c>
      <c r="R144" t="s">
        <v>3436</v>
      </c>
      <c r="S144" t="s">
        <v>14360</v>
      </c>
    </row>
    <row r="145" spans="1:19" x14ac:dyDescent="0.2">
      <c r="A145" t="s">
        <v>1318</v>
      </c>
      <c r="B145" t="s">
        <v>14359</v>
      </c>
      <c r="C145" t="s">
        <v>6262</v>
      </c>
      <c r="D145" t="str">
        <f>_xlfn.XLOOKUP(E145,pathways!$A$2:$A$31,pathways!$B$2:$B$31)</f>
        <v>Amino acid metabolism</v>
      </c>
      <c r="E145" t="s">
        <v>3436</v>
      </c>
      <c r="F145" t="s">
        <v>3661</v>
      </c>
      <c r="G145" t="s">
        <v>14360</v>
      </c>
      <c r="H145" t="s">
        <v>14360</v>
      </c>
      <c r="I145" t="s">
        <v>6262</v>
      </c>
      <c r="J145" s="4" t="s">
        <v>14360</v>
      </c>
      <c r="L145" t="s">
        <v>1317</v>
      </c>
      <c r="M145" t="s">
        <v>14596</v>
      </c>
      <c r="N145" t="s">
        <v>3436</v>
      </c>
      <c r="O145" t="s">
        <v>14360</v>
      </c>
      <c r="P145" t="s">
        <v>3661</v>
      </c>
      <c r="Q145" t="s">
        <v>14360</v>
      </c>
      <c r="R145" t="s">
        <v>3436</v>
      </c>
      <c r="S145" t="s">
        <v>14360</v>
      </c>
    </row>
    <row r="146" spans="1:19" x14ac:dyDescent="0.2">
      <c r="A146" t="s">
        <v>2475</v>
      </c>
      <c r="B146" t="s">
        <v>14359</v>
      </c>
      <c r="C146" t="s">
        <v>3597</v>
      </c>
      <c r="D146" t="str">
        <f>_xlfn.XLOOKUP(E146,pathways!$A$2:$A$31,pathways!$B$2:$B$31)</f>
        <v>Amino acid metabolism</v>
      </c>
      <c r="E146" t="s">
        <v>3436</v>
      </c>
      <c r="F146" t="s">
        <v>3437</v>
      </c>
      <c r="G146" t="s">
        <v>3597</v>
      </c>
      <c r="H146" t="s">
        <v>14360</v>
      </c>
      <c r="I146" t="s">
        <v>3597</v>
      </c>
      <c r="J146" s="4" t="s">
        <v>3597</v>
      </c>
      <c r="L146" t="s">
        <v>2474</v>
      </c>
      <c r="M146" t="s">
        <v>15781</v>
      </c>
      <c r="N146" t="s">
        <v>3436</v>
      </c>
      <c r="O146" t="s">
        <v>3436</v>
      </c>
      <c r="P146" t="s">
        <v>3437</v>
      </c>
      <c r="Q146" t="s">
        <v>3437</v>
      </c>
      <c r="R146" t="s">
        <v>3436</v>
      </c>
      <c r="S146" t="s">
        <v>14360</v>
      </c>
    </row>
    <row r="147" spans="1:19" x14ac:dyDescent="0.2">
      <c r="A147" t="s">
        <v>1493</v>
      </c>
      <c r="B147" t="s">
        <v>14359</v>
      </c>
      <c r="C147" t="s">
        <v>7040</v>
      </c>
      <c r="D147" t="str">
        <f>_xlfn.XLOOKUP(E147,pathways!$A$2:$A$31,pathways!$B$2:$B$31)</f>
        <v>Amino acid metabolism</v>
      </c>
      <c r="E147" t="s">
        <v>3436</v>
      </c>
      <c r="F147" t="s">
        <v>3882</v>
      </c>
      <c r="G147" t="s">
        <v>7040</v>
      </c>
      <c r="H147" t="s">
        <v>14360</v>
      </c>
      <c r="I147" t="s">
        <v>7040</v>
      </c>
      <c r="J147" s="4" t="s">
        <v>7040</v>
      </c>
      <c r="L147" t="s">
        <v>1492</v>
      </c>
      <c r="M147" t="s">
        <v>14778</v>
      </c>
      <c r="N147" t="s">
        <v>3436</v>
      </c>
      <c r="O147" t="s">
        <v>3436</v>
      </c>
      <c r="P147" t="s">
        <v>3882</v>
      </c>
      <c r="Q147" t="s">
        <v>3882</v>
      </c>
      <c r="R147" t="s">
        <v>3436</v>
      </c>
      <c r="S147" t="s">
        <v>14360</v>
      </c>
    </row>
    <row r="148" spans="1:19" x14ac:dyDescent="0.2">
      <c r="A148" t="s">
        <v>1758</v>
      </c>
      <c r="B148" t="s">
        <v>14359</v>
      </c>
      <c r="C148" t="s">
        <v>8331</v>
      </c>
      <c r="D148" t="str">
        <f>_xlfn.XLOOKUP(E148,pathways!$A$2:$A$31,pathways!$B$2:$B$31)</f>
        <v>Amino acid metabolism</v>
      </c>
      <c r="E148" t="s">
        <v>3436</v>
      </c>
      <c r="F148" t="s">
        <v>3603</v>
      </c>
      <c r="G148" t="s">
        <v>8331</v>
      </c>
      <c r="H148" t="s">
        <v>14360</v>
      </c>
      <c r="I148" t="s">
        <v>8331</v>
      </c>
      <c r="J148" s="4" t="s">
        <v>8331</v>
      </c>
      <c r="L148" t="s">
        <v>1757</v>
      </c>
      <c r="M148" t="s">
        <v>15055</v>
      </c>
      <c r="N148" t="s">
        <v>3436</v>
      </c>
      <c r="O148" t="s">
        <v>3436</v>
      </c>
      <c r="P148" t="s">
        <v>3603</v>
      </c>
      <c r="Q148" t="s">
        <v>3603</v>
      </c>
      <c r="R148" t="s">
        <v>3436</v>
      </c>
      <c r="S148" t="s">
        <v>14360</v>
      </c>
    </row>
    <row r="149" spans="1:19" x14ac:dyDescent="0.2">
      <c r="A149" t="s">
        <v>1296</v>
      </c>
      <c r="B149" t="s">
        <v>14359</v>
      </c>
      <c r="C149" t="s">
        <v>6106</v>
      </c>
      <c r="D149" t="str">
        <f>_xlfn.XLOOKUP(E149,pathways!$A$2:$A$31,pathways!$B$2:$B$31)</f>
        <v>Amino acid metabolism</v>
      </c>
      <c r="E149" t="s">
        <v>3436</v>
      </c>
      <c r="F149" t="s">
        <v>3882</v>
      </c>
      <c r="G149" t="s">
        <v>6106</v>
      </c>
      <c r="H149" t="s">
        <v>14360</v>
      </c>
      <c r="I149" t="s">
        <v>6106</v>
      </c>
      <c r="J149" s="4" t="s">
        <v>6106</v>
      </c>
      <c r="L149" t="s">
        <v>1295</v>
      </c>
      <c r="M149" t="s">
        <v>14574</v>
      </c>
      <c r="N149" t="s">
        <v>3436</v>
      </c>
      <c r="O149" t="s">
        <v>3436</v>
      </c>
      <c r="P149" t="s">
        <v>3882</v>
      </c>
      <c r="Q149" t="s">
        <v>3882</v>
      </c>
      <c r="R149" t="s">
        <v>3436</v>
      </c>
      <c r="S149" t="s">
        <v>14360</v>
      </c>
    </row>
    <row r="150" spans="1:19" x14ac:dyDescent="0.2">
      <c r="A150" t="s">
        <v>13828</v>
      </c>
      <c r="B150" t="s">
        <v>14359</v>
      </c>
      <c r="C150" t="s">
        <v>6037</v>
      </c>
      <c r="D150" t="str">
        <f>_xlfn.XLOOKUP(E150,pathways!$A$2:$A$31,pathways!$B$2:$B$31)</f>
        <v>Amino acid metabolism</v>
      </c>
      <c r="E150" t="s">
        <v>3436</v>
      </c>
      <c r="F150" t="s">
        <v>3470</v>
      </c>
      <c r="G150" t="s">
        <v>6037</v>
      </c>
      <c r="H150" t="s">
        <v>14360</v>
      </c>
      <c r="I150" t="s">
        <v>6037</v>
      </c>
      <c r="J150" s="4" t="s">
        <v>6037</v>
      </c>
      <c r="L150" t="s">
        <v>14360</v>
      </c>
      <c r="M150" t="s">
        <v>14360</v>
      </c>
      <c r="N150" t="s">
        <v>3436</v>
      </c>
      <c r="O150" t="s">
        <v>3436</v>
      </c>
      <c r="P150" t="s">
        <v>3470</v>
      </c>
      <c r="Q150" t="s">
        <v>3470</v>
      </c>
      <c r="R150" t="s">
        <v>14360</v>
      </c>
      <c r="S150" t="s">
        <v>14360</v>
      </c>
    </row>
    <row r="151" spans="1:19" x14ac:dyDescent="0.2">
      <c r="A151" t="s">
        <v>3044</v>
      </c>
      <c r="B151" t="s">
        <v>14359</v>
      </c>
      <c r="C151" t="s">
        <v>5831</v>
      </c>
      <c r="D151" t="str">
        <f>_xlfn.XLOOKUP(E151,pathways!$A$2:$A$31,pathways!$B$2:$B$31)</f>
        <v>Amino acid metabolism</v>
      </c>
      <c r="E151" t="s">
        <v>3436</v>
      </c>
      <c r="F151" t="s">
        <v>3687</v>
      </c>
      <c r="G151" t="s">
        <v>14360</v>
      </c>
      <c r="H151" t="s">
        <v>14360</v>
      </c>
      <c r="I151" t="s">
        <v>5831</v>
      </c>
      <c r="J151" s="4" t="s">
        <v>5831</v>
      </c>
      <c r="L151" t="s">
        <v>3043</v>
      </c>
      <c r="M151" t="s">
        <v>16402</v>
      </c>
      <c r="N151" t="s">
        <v>3436</v>
      </c>
      <c r="O151" t="s">
        <v>3436</v>
      </c>
      <c r="P151" t="s">
        <v>3687</v>
      </c>
      <c r="Q151" t="s">
        <v>3687</v>
      </c>
      <c r="R151" t="s">
        <v>3436</v>
      </c>
      <c r="S151" t="s">
        <v>14360</v>
      </c>
    </row>
    <row r="152" spans="1:19" x14ac:dyDescent="0.2">
      <c r="A152" t="s">
        <v>2355</v>
      </c>
      <c r="B152" t="s">
        <v>14359</v>
      </c>
      <c r="C152" t="s">
        <v>4626</v>
      </c>
      <c r="D152" t="str">
        <f>_xlfn.XLOOKUP(E152,pathways!$A$2:$A$31,pathways!$B$2:$B$31)</f>
        <v>Amino acid metabolism</v>
      </c>
      <c r="E152" t="s">
        <v>3436</v>
      </c>
      <c r="F152" t="s">
        <v>3498</v>
      </c>
      <c r="G152" t="s">
        <v>4626</v>
      </c>
      <c r="H152" t="s">
        <v>14360</v>
      </c>
      <c r="I152" t="s">
        <v>4626</v>
      </c>
      <c r="J152" s="4" t="s">
        <v>4626</v>
      </c>
      <c r="L152" t="s">
        <v>2354</v>
      </c>
      <c r="M152" t="s">
        <v>15653</v>
      </c>
      <c r="N152" t="s">
        <v>3436</v>
      </c>
      <c r="O152" t="s">
        <v>3436</v>
      </c>
      <c r="P152" t="s">
        <v>3498</v>
      </c>
      <c r="Q152" t="s">
        <v>3498</v>
      </c>
      <c r="R152" t="s">
        <v>3436</v>
      </c>
      <c r="S152" t="s">
        <v>14360</v>
      </c>
    </row>
    <row r="153" spans="1:19" x14ac:dyDescent="0.2">
      <c r="A153" t="s">
        <v>1829</v>
      </c>
      <c r="B153" t="s">
        <v>14359</v>
      </c>
      <c r="C153" t="s">
        <v>8643</v>
      </c>
      <c r="D153" t="str">
        <f>_xlfn.XLOOKUP(E153,pathways!$A$2:$A$31,pathways!$B$2:$B$31)</f>
        <v>Amino acid metabolism</v>
      </c>
      <c r="E153" t="s">
        <v>3436</v>
      </c>
      <c r="F153" t="s">
        <v>3670</v>
      </c>
      <c r="G153" t="s">
        <v>8643</v>
      </c>
      <c r="H153" t="s">
        <v>14360</v>
      </c>
      <c r="I153" t="s">
        <v>8643</v>
      </c>
      <c r="J153" s="4" t="s">
        <v>14360</v>
      </c>
      <c r="L153" t="s">
        <v>1828</v>
      </c>
      <c r="M153" t="s">
        <v>15129</v>
      </c>
      <c r="N153" t="s">
        <v>3436</v>
      </c>
      <c r="O153" t="s">
        <v>14360</v>
      </c>
      <c r="P153" t="s">
        <v>3670</v>
      </c>
      <c r="Q153" t="s">
        <v>14360</v>
      </c>
      <c r="R153" t="s">
        <v>3436</v>
      </c>
      <c r="S153" t="s">
        <v>14360</v>
      </c>
    </row>
    <row r="154" spans="1:19" x14ac:dyDescent="0.2">
      <c r="A154" t="s">
        <v>3075</v>
      </c>
      <c r="B154" t="s">
        <v>14359</v>
      </c>
      <c r="C154" t="s">
        <v>8231</v>
      </c>
      <c r="D154" t="str">
        <f>_xlfn.XLOOKUP(E154,pathways!$A$2:$A$31,pathways!$B$2:$B$31)</f>
        <v>Amino acid metabolism</v>
      </c>
      <c r="E154" t="s">
        <v>3436</v>
      </c>
      <c r="F154" t="s">
        <v>3661</v>
      </c>
      <c r="G154" t="s">
        <v>8231</v>
      </c>
      <c r="H154" t="s">
        <v>14360</v>
      </c>
      <c r="I154" t="s">
        <v>8231</v>
      </c>
      <c r="J154" s="4" t="s">
        <v>8231</v>
      </c>
      <c r="L154" t="s">
        <v>3074</v>
      </c>
      <c r="M154" t="s">
        <v>16432</v>
      </c>
      <c r="N154" t="s">
        <v>3436</v>
      </c>
      <c r="O154" t="s">
        <v>3436</v>
      </c>
      <c r="P154" t="s">
        <v>3661</v>
      </c>
      <c r="Q154" t="s">
        <v>3661</v>
      </c>
      <c r="R154" t="s">
        <v>3436</v>
      </c>
      <c r="S154" t="s">
        <v>14360</v>
      </c>
    </row>
    <row r="155" spans="1:19" x14ac:dyDescent="0.2">
      <c r="A155" t="s">
        <v>1744</v>
      </c>
      <c r="B155" t="s">
        <v>14359</v>
      </c>
      <c r="C155" t="s">
        <v>8252</v>
      </c>
      <c r="D155" t="str">
        <f>_xlfn.XLOOKUP(E155,pathways!$A$2:$A$31,pathways!$B$2:$B$31)</f>
        <v>Amino acid metabolism</v>
      </c>
      <c r="E155" t="s">
        <v>3436</v>
      </c>
      <c r="F155" t="s">
        <v>3470</v>
      </c>
      <c r="G155" t="s">
        <v>8252</v>
      </c>
      <c r="H155" t="s">
        <v>14360</v>
      </c>
      <c r="I155" t="s">
        <v>8252</v>
      </c>
      <c r="J155" s="4" t="s">
        <v>8252</v>
      </c>
      <c r="L155" t="s">
        <v>1743</v>
      </c>
      <c r="M155" t="s">
        <v>15041</v>
      </c>
      <c r="N155" t="s">
        <v>3436</v>
      </c>
      <c r="O155" t="s">
        <v>3436</v>
      </c>
      <c r="P155" t="s">
        <v>3470</v>
      </c>
      <c r="Q155" t="s">
        <v>3470</v>
      </c>
      <c r="R155" t="s">
        <v>3436</v>
      </c>
      <c r="S155" t="s">
        <v>14360</v>
      </c>
    </row>
    <row r="156" spans="1:19" x14ac:dyDescent="0.2">
      <c r="A156" t="s">
        <v>2459</v>
      </c>
      <c r="B156" t="s">
        <v>14359</v>
      </c>
      <c r="C156" t="s">
        <v>3606</v>
      </c>
      <c r="D156" t="str">
        <f>_xlfn.XLOOKUP(E156,pathways!$A$2:$A$31,pathways!$B$2:$B$31)</f>
        <v>Amino acid metabolism</v>
      </c>
      <c r="E156" t="s">
        <v>3436</v>
      </c>
      <c r="F156" t="s">
        <v>3603</v>
      </c>
      <c r="G156" t="s">
        <v>3606</v>
      </c>
      <c r="H156" t="s">
        <v>14360</v>
      </c>
      <c r="I156" t="s">
        <v>3606</v>
      </c>
      <c r="J156" s="4" t="s">
        <v>3606</v>
      </c>
      <c r="L156" t="s">
        <v>2458</v>
      </c>
      <c r="M156" t="s">
        <v>15765</v>
      </c>
      <c r="N156" t="s">
        <v>3436</v>
      </c>
      <c r="O156" t="s">
        <v>3436</v>
      </c>
      <c r="P156" t="s">
        <v>3603</v>
      </c>
      <c r="Q156" t="s">
        <v>3603</v>
      </c>
      <c r="R156" t="s">
        <v>3436</v>
      </c>
      <c r="S156" t="s">
        <v>14360</v>
      </c>
    </row>
    <row r="157" spans="1:19" x14ac:dyDescent="0.2">
      <c r="A157" t="s">
        <v>13946</v>
      </c>
      <c r="B157" t="s">
        <v>14359</v>
      </c>
      <c r="C157" t="s">
        <v>8419</v>
      </c>
      <c r="D157" t="str">
        <f>_xlfn.XLOOKUP(E157,pathways!$A$2:$A$31,pathways!$B$2:$B$31)</f>
        <v>Amino acid metabolism</v>
      </c>
      <c r="E157" t="s">
        <v>3436</v>
      </c>
      <c r="F157" t="s">
        <v>3687</v>
      </c>
      <c r="G157" t="s">
        <v>14360</v>
      </c>
      <c r="H157" t="s">
        <v>14360</v>
      </c>
      <c r="I157" t="s">
        <v>8419</v>
      </c>
      <c r="J157" s="4" t="s">
        <v>14360</v>
      </c>
      <c r="L157" t="s">
        <v>1783</v>
      </c>
      <c r="M157" t="s">
        <v>15081</v>
      </c>
      <c r="N157" t="s">
        <v>3436</v>
      </c>
      <c r="O157" t="s">
        <v>14360</v>
      </c>
      <c r="P157" t="s">
        <v>3687</v>
      </c>
      <c r="Q157" t="s">
        <v>14360</v>
      </c>
      <c r="R157" t="s">
        <v>3436</v>
      </c>
      <c r="S157" t="s">
        <v>14360</v>
      </c>
    </row>
    <row r="158" spans="1:19" x14ac:dyDescent="0.2">
      <c r="A158" t="s">
        <v>2195</v>
      </c>
      <c r="B158" t="s">
        <v>14359</v>
      </c>
      <c r="C158" t="s">
        <v>10279</v>
      </c>
      <c r="D158" t="str">
        <f>_xlfn.XLOOKUP(E158,pathways!$A$2:$A$31,pathways!$B$2:$B$31)</f>
        <v>Amino acid metabolism</v>
      </c>
      <c r="E158" t="s">
        <v>3436</v>
      </c>
      <c r="F158" t="s">
        <v>10277</v>
      </c>
      <c r="G158" t="s">
        <v>14360</v>
      </c>
      <c r="H158" t="s">
        <v>14360</v>
      </c>
      <c r="I158" t="s">
        <v>10279</v>
      </c>
      <c r="J158" s="4" t="s">
        <v>10279</v>
      </c>
      <c r="L158" t="s">
        <v>14360</v>
      </c>
      <c r="M158" t="s">
        <v>14360</v>
      </c>
      <c r="N158" t="s">
        <v>3436</v>
      </c>
      <c r="O158" t="s">
        <v>3436</v>
      </c>
      <c r="P158" t="s">
        <v>10277</v>
      </c>
      <c r="Q158" t="s">
        <v>3498</v>
      </c>
      <c r="R158" t="s">
        <v>14360</v>
      </c>
      <c r="S158" t="s">
        <v>14360</v>
      </c>
    </row>
    <row r="159" spans="1:19" x14ac:dyDescent="0.2">
      <c r="A159" t="s">
        <v>2207</v>
      </c>
      <c r="B159" t="s">
        <v>14359</v>
      </c>
      <c r="C159" t="s">
        <v>10282</v>
      </c>
      <c r="D159" t="str">
        <f>_xlfn.XLOOKUP(E159,pathways!$A$2:$A$31,pathways!$B$2:$B$31)</f>
        <v>Amino acid metabolism</v>
      </c>
      <c r="E159" t="s">
        <v>3436</v>
      </c>
      <c r="F159" t="s">
        <v>10277</v>
      </c>
      <c r="G159" t="s">
        <v>14360</v>
      </c>
      <c r="H159" t="s">
        <v>14360</v>
      </c>
      <c r="I159" t="s">
        <v>10282</v>
      </c>
      <c r="J159" s="4" t="s">
        <v>10282</v>
      </c>
      <c r="L159" t="s">
        <v>14360</v>
      </c>
      <c r="M159" t="s">
        <v>14360</v>
      </c>
      <c r="N159" t="s">
        <v>3436</v>
      </c>
      <c r="O159" t="s">
        <v>3436</v>
      </c>
      <c r="P159" t="s">
        <v>10277</v>
      </c>
      <c r="Q159" t="s">
        <v>3498</v>
      </c>
      <c r="R159" t="s">
        <v>14360</v>
      </c>
      <c r="S159" t="s">
        <v>14360</v>
      </c>
    </row>
    <row r="160" spans="1:19" x14ac:dyDescent="0.2">
      <c r="A160" t="s">
        <v>2189</v>
      </c>
      <c r="B160" t="s">
        <v>14359</v>
      </c>
      <c r="C160" t="s">
        <v>10285</v>
      </c>
      <c r="D160" t="str">
        <f>_xlfn.XLOOKUP(E160,pathways!$A$2:$A$31,pathways!$B$2:$B$31)</f>
        <v>Amino acid metabolism</v>
      </c>
      <c r="E160" t="s">
        <v>3436</v>
      </c>
      <c r="F160" t="s">
        <v>10277</v>
      </c>
      <c r="G160" t="s">
        <v>10285</v>
      </c>
      <c r="H160" t="s">
        <v>14360</v>
      </c>
      <c r="I160" t="s">
        <v>10285</v>
      </c>
      <c r="J160" s="4" t="s">
        <v>10285</v>
      </c>
      <c r="L160" t="s">
        <v>14360</v>
      </c>
      <c r="M160" t="s">
        <v>14360</v>
      </c>
      <c r="N160" t="s">
        <v>3436</v>
      </c>
      <c r="O160" t="s">
        <v>3436</v>
      </c>
      <c r="P160" t="s">
        <v>10277</v>
      </c>
      <c r="Q160" t="s">
        <v>3524</v>
      </c>
      <c r="R160" t="s">
        <v>14360</v>
      </c>
      <c r="S160" t="s">
        <v>14360</v>
      </c>
    </row>
    <row r="161" spans="1:19" x14ac:dyDescent="0.2">
      <c r="A161" t="s">
        <v>2183</v>
      </c>
      <c r="B161" t="s">
        <v>14359</v>
      </c>
      <c r="C161" t="s">
        <v>10288</v>
      </c>
      <c r="D161" t="str">
        <f>_xlfn.XLOOKUP(E161,pathways!$A$2:$A$31,pathways!$B$2:$B$31)</f>
        <v>Amino acid metabolism</v>
      </c>
      <c r="E161" t="s">
        <v>3436</v>
      </c>
      <c r="F161" t="s">
        <v>10277</v>
      </c>
      <c r="G161" t="s">
        <v>14360</v>
      </c>
      <c r="H161" t="s">
        <v>14360</v>
      </c>
      <c r="I161" t="s">
        <v>10288</v>
      </c>
      <c r="J161" s="4" t="s">
        <v>10288</v>
      </c>
      <c r="L161" t="s">
        <v>14360</v>
      </c>
      <c r="M161" t="s">
        <v>14360</v>
      </c>
      <c r="N161" t="s">
        <v>3436</v>
      </c>
      <c r="O161" t="s">
        <v>3436</v>
      </c>
      <c r="P161" t="s">
        <v>10277</v>
      </c>
      <c r="Q161" t="s">
        <v>3687</v>
      </c>
      <c r="R161" t="s">
        <v>14360</v>
      </c>
      <c r="S161" t="s">
        <v>14360</v>
      </c>
    </row>
    <row r="162" spans="1:19" x14ac:dyDescent="0.2">
      <c r="A162" t="s">
        <v>2200</v>
      </c>
      <c r="B162" t="s">
        <v>14359</v>
      </c>
      <c r="C162" t="s">
        <v>10291</v>
      </c>
      <c r="D162" t="str">
        <f>_xlfn.XLOOKUP(E162,pathways!$A$2:$A$31,pathways!$B$2:$B$31)</f>
        <v>Amino acid metabolism</v>
      </c>
      <c r="E162" t="s">
        <v>3436</v>
      </c>
      <c r="F162" t="s">
        <v>10277</v>
      </c>
      <c r="G162" t="s">
        <v>10291</v>
      </c>
      <c r="H162" t="s">
        <v>14360</v>
      </c>
      <c r="I162" t="s">
        <v>10291</v>
      </c>
      <c r="J162" s="4" t="s">
        <v>10291</v>
      </c>
      <c r="L162" t="s">
        <v>14360</v>
      </c>
      <c r="M162" t="s">
        <v>14360</v>
      </c>
      <c r="N162" t="s">
        <v>3436</v>
      </c>
      <c r="O162" t="s">
        <v>3436</v>
      </c>
      <c r="P162" t="s">
        <v>10277</v>
      </c>
      <c r="Q162" t="s">
        <v>3498</v>
      </c>
      <c r="R162" t="s">
        <v>14360</v>
      </c>
      <c r="S162" t="s">
        <v>14360</v>
      </c>
    </row>
    <row r="163" spans="1:19" x14ac:dyDescent="0.2">
      <c r="A163" t="s">
        <v>14013</v>
      </c>
      <c r="B163" t="s">
        <v>14359</v>
      </c>
      <c r="C163" t="s">
        <v>19556</v>
      </c>
      <c r="D163" t="str">
        <f>_xlfn.XLOOKUP(E163,pathways!$A$2:$A$31,pathways!$B$2:$B$31)</f>
        <v>Amino acid metabolism</v>
      </c>
      <c r="E163" t="s">
        <v>3436</v>
      </c>
      <c r="F163" t="s">
        <v>3661</v>
      </c>
      <c r="G163" t="s">
        <v>19556</v>
      </c>
      <c r="H163" t="s">
        <v>14360</v>
      </c>
      <c r="I163" t="s">
        <v>9671</v>
      </c>
      <c r="J163" s="4" t="s">
        <v>14360</v>
      </c>
      <c r="L163" t="s">
        <v>2157</v>
      </c>
      <c r="M163" t="s">
        <v>15453</v>
      </c>
      <c r="N163" t="s">
        <v>3436</v>
      </c>
      <c r="O163" t="s">
        <v>14360</v>
      </c>
      <c r="P163" t="s">
        <v>3661</v>
      </c>
      <c r="Q163" t="s">
        <v>14360</v>
      </c>
      <c r="R163" t="s">
        <v>3436</v>
      </c>
      <c r="S163" t="s">
        <v>14360</v>
      </c>
    </row>
    <row r="164" spans="1:19" x14ac:dyDescent="0.2">
      <c r="A164" t="s">
        <v>1509</v>
      </c>
      <c r="B164" t="s">
        <v>14359</v>
      </c>
      <c r="C164" t="s">
        <v>7113</v>
      </c>
      <c r="D164" t="str">
        <f>_xlfn.XLOOKUP(E164,pathways!$A$2:$A$31,pathways!$B$2:$B$31)</f>
        <v>Amino acid metabolism</v>
      </c>
      <c r="E164" t="s">
        <v>3436</v>
      </c>
      <c r="F164" t="s">
        <v>3661</v>
      </c>
      <c r="G164" t="s">
        <v>7113</v>
      </c>
      <c r="H164" t="s">
        <v>14360</v>
      </c>
      <c r="I164" t="s">
        <v>7113</v>
      </c>
      <c r="J164" s="4" t="s">
        <v>7113</v>
      </c>
      <c r="L164" t="s">
        <v>1508</v>
      </c>
      <c r="M164" t="s">
        <v>14794</v>
      </c>
      <c r="N164" t="s">
        <v>3436</v>
      </c>
      <c r="O164" t="s">
        <v>3436</v>
      </c>
      <c r="P164" t="s">
        <v>3661</v>
      </c>
      <c r="Q164" t="s">
        <v>3661</v>
      </c>
      <c r="R164" t="s">
        <v>3436</v>
      </c>
      <c r="S164" t="s">
        <v>14360</v>
      </c>
    </row>
    <row r="165" spans="1:19" x14ac:dyDescent="0.2">
      <c r="A165" t="s">
        <v>1678</v>
      </c>
      <c r="B165" t="s">
        <v>14359</v>
      </c>
      <c r="C165" t="s">
        <v>8036</v>
      </c>
      <c r="D165" t="str">
        <f>_xlfn.XLOOKUP(E165,pathways!$A$2:$A$31,pathways!$B$2:$B$31)</f>
        <v>Amino acid metabolism</v>
      </c>
      <c r="E165" t="s">
        <v>3436</v>
      </c>
      <c r="F165" t="s">
        <v>3603</v>
      </c>
      <c r="G165" t="s">
        <v>14360</v>
      </c>
      <c r="H165" t="s">
        <v>14360</v>
      </c>
      <c r="I165" t="s">
        <v>8036</v>
      </c>
      <c r="J165" s="4" t="s">
        <v>14360</v>
      </c>
      <c r="L165" t="s">
        <v>1677</v>
      </c>
      <c r="M165" t="s">
        <v>14969</v>
      </c>
      <c r="N165" t="s">
        <v>3436</v>
      </c>
      <c r="O165" t="s">
        <v>14360</v>
      </c>
      <c r="P165" t="s">
        <v>3603</v>
      </c>
      <c r="Q165" t="s">
        <v>14360</v>
      </c>
      <c r="R165" t="s">
        <v>3436</v>
      </c>
      <c r="S165" t="s">
        <v>14360</v>
      </c>
    </row>
    <row r="166" spans="1:19" x14ac:dyDescent="0.2">
      <c r="A166" t="s">
        <v>14045</v>
      </c>
      <c r="B166" t="s">
        <v>14359</v>
      </c>
      <c r="C166" t="s">
        <v>9922</v>
      </c>
      <c r="D166" t="str">
        <f>_xlfn.XLOOKUP(E166,pathways!$A$2:$A$31,pathways!$B$2:$B$31)</f>
        <v>Amino acid metabolism</v>
      </c>
      <c r="E166" t="s">
        <v>3436</v>
      </c>
      <c r="F166" t="s">
        <v>3586</v>
      </c>
      <c r="G166" t="s">
        <v>9922</v>
      </c>
      <c r="H166" t="s">
        <v>14360</v>
      </c>
      <c r="I166" t="s">
        <v>9922</v>
      </c>
      <c r="J166" s="4" t="s">
        <v>14360</v>
      </c>
      <c r="L166" t="s">
        <v>14360</v>
      </c>
      <c r="M166" t="s">
        <v>14360</v>
      </c>
      <c r="N166" t="s">
        <v>3436</v>
      </c>
      <c r="O166" t="s">
        <v>14360</v>
      </c>
      <c r="P166" t="s">
        <v>3586</v>
      </c>
      <c r="Q166" t="s">
        <v>14360</v>
      </c>
      <c r="R166" t="s">
        <v>14360</v>
      </c>
      <c r="S166" t="s">
        <v>7792</v>
      </c>
    </row>
    <row r="167" spans="1:19" x14ac:dyDescent="0.2">
      <c r="A167" t="s">
        <v>2185</v>
      </c>
      <c r="B167" t="s">
        <v>14359</v>
      </c>
      <c r="C167" t="s">
        <v>9724</v>
      </c>
      <c r="D167" t="str">
        <f>_xlfn.XLOOKUP(E167,pathways!$A$2:$A$31,pathways!$B$2:$B$31)</f>
        <v>Amino acid metabolism</v>
      </c>
      <c r="E167" t="s">
        <v>3436</v>
      </c>
      <c r="F167" t="s">
        <v>3670</v>
      </c>
      <c r="G167" t="s">
        <v>14360</v>
      </c>
      <c r="H167" t="s">
        <v>14360</v>
      </c>
      <c r="I167" t="s">
        <v>9724</v>
      </c>
      <c r="J167" s="4" t="s">
        <v>14360</v>
      </c>
      <c r="L167" t="s">
        <v>2184</v>
      </c>
      <c r="M167" t="s">
        <v>15481</v>
      </c>
      <c r="N167" t="s">
        <v>3436</v>
      </c>
      <c r="O167" t="s">
        <v>14360</v>
      </c>
      <c r="P167" t="s">
        <v>3670</v>
      </c>
      <c r="Q167" t="s">
        <v>14360</v>
      </c>
      <c r="R167" t="s">
        <v>3436</v>
      </c>
      <c r="S167" t="s">
        <v>7792</v>
      </c>
    </row>
    <row r="168" spans="1:19" x14ac:dyDescent="0.2">
      <c r="A168" t="s">
        <v>2104</v>
      </c>
      <c r="B168" t="s">
        <v>14359</v>
      </c>
      <c r="C168" t="s">
        <v>9523</v>
      </c>
      <c r="D168" t="str">
        <f>_xlfn.XLOOKUP(E168,pathways!$A$2:$A$31,pathways!$B$2:$B$31)</f>
        <v>Amino acid metabolism</v>
      </c>
      <c r="E168" t="s">
        <v>3436</v>
      </c>
      <c r="F168" t="s">
        <v>3586</v>
      </c>
      <c r="G168" t="s">
        <v>14360</v>
      </c>
      <c r="H168" t="s">
        <v>14360</v>
      </c>
      <c r="I168" t="s">
        <v>9523</v>
      </c>
      <c r="J168" s="4" t="s">
        <v>9523</v>
      </c>
      <c r="L168" t="s">
        <v>2103</v>
      </c>
      <c r="M168" t="s">
        <v>15397</v>
      </c>
      <c r="N168" t="s">
        <v>3436</v>
      </c>
      <c r="O168" t="s">
        <v>3436</v>
      </c>
      <c r="P168" t="s">
        <v>3586</v>
      </c>
      <c r="Q168" t="s">
        <v>3586</v>
      </c>
      <c r="R168" t="s">
        <v>3436</v>
      </c>
      <c r="S168" t="s">
        <v>14360</v>
      </c>
    </row>
    <row r="169" spans="1:19" x14ac:dyDescent="0.2">
      <c r="A169" t="s">
        <v>14014</v>
      </c>
      <c r="B169" t="s">
        <v>14359</v>
      </c>
      <c r="C169" t="s">
        <v>19560</v>
      </c>
      <c r="D169" t="str">
        <f>_xlfn.XLOOKUP(E169,pathways!$A$2:$A$31,pathways!$B$2:$B$31)</f>
        <v>Amino acid metabolism</v>
      </c>
      <c r="E169" t="s">
        <v>3436</v>
      </c>
      <c r="F169" t="s">
        <v>3661</v>
      </c>
      <c r="G169" t="s">
        <v>9675</v>
      </c>
      <c r="H169" t="s">
        <v>14360</v>
      </c>
      <c r="I169" t="s">
        <v>9675</v>
      </c>
      <c r="J169" s="4" t="s">
        <v>14360</v>
      </c>
      <c r="L169" t="s">
        <v>2162</v>
      </c>
      <c r="M169" t="s">
        <v>15460</v>
      </c>
      <c r="N169" t="s">
        <v>3436</v>
      </c>
      <c r="O169" t="s">
        <v>14360</v>
      </c>
      <c r="P169" t="s">
        <v>3661</v>
      </c>
      <c r="Q169" t="s">
        <v>14360</v>
      </c>
      <c r="R169" t="s">
        <v>3436</v>
      </c>
      <c r="S169" t="s">
        <v>14360</v>
      </c>
    </row>
    <row r="170" spans="1:19" x14ac:dyDescent="0.2">
      <c r="A170" t="s">
        <v>3089</v>
      </c>
      <c r="B170" t="s">
        <v>14359</v>
      </c>
      <c r="C170" t="s">
        <v>9812</v>
      </c>
      <c r="D170" t="str">
        <f>_xlfn.XLOOKUP(E170,pathways!$A$2:$A$31,pathways!$B$2:$B$31)</f>
        <v>Amino acid metabolism</v>
      </c>
      <c r="E170" t="s">
        <v>3436</v>
      </c>
      <c r="F170" t="s">
        <v>3586</v>
      </c>
      <c r="G170" t="s">
        <v>14360</v>
      </c>
      <c r="H170" t="s">
        <v>14360</v>
      </c>
      <c r="I170" t="s">
        <v>9812</v>
      </c>
      <c r="J170" s="4" t="s">
        <v>14360</v>
      </c>
      <c r="L170" t="s">
        <v>3088</v>
      </c>
      <c r="M170" t="s">
        <v>16445</v>
      </c>
      <c r="N170" t="s">
        <v>3436</v>
      </c>
      <c r="O170" t="s">
        <v>14360</v>
      </c>
      <c r="P170" t="s">
        <v>3586</v>
      </c>
      <c r="Q170" t="s">
        <v>14360</v>
      </c>
      <c r="R170" t="s">
        <v>3436</v>
      </c>
      <c r="S170" t="s">
        <v>14360</v>
      </c>
    </row>
    <row r="171" spans="1:19" x14ac:dyDescent="0.2">
      <c r="A171" t="s">
        <v>3087</v>
      </c>
      <c r="B171" t="s">
        <v>14359</v>
      </c>
      <c r="C171" t="s">
        <v>9809</v>
      </c>
      <c r="D171" t="str">
        <f>_xlfn.XLOOKUP(E171,pathways!$A$2:$A$31,pathways!$B$2:$B$31)</f>
        <v>Amino acid metabolism</v>
      </c>
      <c r="E171" t="s">
        <v>3436</v>
      </c>
      <c r="F171" t="s">
        <v>3586</v>
      </c>
      <c r="G171" t="s">
        <v>9809</v>
      </c>
      <c r="H171" t="s">
        <v>14360</v>
      </c>
      <c r="I171" t="s">
        <v>9809</v>
      </c>
      <c r="J171" s="4" t="s">
        <v>14360</v>
      </c>
      <c r="L171" t="s">
        <v>3086</v>
      </c>
      <c r="M171" t="s">
        <v>16444</v>
      </c>
      <c r="N171" t="s">
        <v>3436</v>
      </c>
      <c r="O171" t="s">
        <v>14360</v>
      </c>
      <c r="P171" t="s">
        <v>3586</v>
      </c>
      <c r="Q171" t="s">
        <v>14360</v>
      </c>
      <c r="R171" t="s">
        <v>3436</v>
      </c>
      <c r="S171" t="s">
        <v>14360</v>
      </c>
    </row>
    <row r="172" spans="1:19" x14ac:dyDescent="0.2">
      <c r="A172" t="s">
        <v>1734</v>
      </c>
      <c r="B172" t="s">
        <v>14359</v>
      </c>
      <c r="C172" t="s">
        <v>8260</v>
      </c>
      <c r="D172" t="str">
        <f>_xlfn.XLOOKUP(E172,pathways!$A$2:$A$31,pathways!$B$2:$B$31)</f>
        <v>Amino acid metabolism</v>
      </c>
      <c r="E172" t="s">
        <v>3436</v>
      </c>
      <c r="F172" t="s">
        <v>3661</v>
      </c>
      <c r="G172" t="s">
        <v>8260</v>
      </c>
      <c r="H172" t="s">
        <v>14360</v>
      </c>
      <c r="I172" t="s">
        <v>8260</v>
      </c>
      <c r="J172" s="4" t="s">
        <v>8260</v>
      </c>
      <c r="L172" t="s">
        <v>1733</v>
      </c>
      <c r="M172" t="s">
        <v>15029</v>
      </c>
      <c r="N172" t="s">
        <v>3436</v>
      </c>
      <c r="O172" t="s">
        <v>3436</v>
      </c>
      <c r="P172" t="s">
        <v>3661</v>
      </c>
      <c r="Q172" t="s">
        <v>3661</v>
      </c>
      <c r="R172" t="s">
        <v>3436</v>
      </c>
      <c r="S172" t="s">
        <v>14360</v>
      </c>
    </row>
    <row r="173" spans="1:19" x14ac:dyDescent="0.2">
      <c r="A173" t="s">
        <v>1489</v>
      </c>
      <c r="B173" t="s">
        <v>14359</v>
      </c>
      <c r="C173" t="s">
        <v>6884</v>
      </c>
      <c r="D173" t="str">
        <f>_xlfn.XLOOKUP(E173,pathways!$A$2:$A$31,pathways!$B$2:$B$31)</f>
        <v>Amino acid metabolism</v>
      </c>
      <c r="E173" t="s">
        <v>3436</v>
      </c>
      <c r="F173" t="s">
        <v>3586</v>
      </c>
      <c r="G173" t="s">
        <v>6884</v>
      </c>
      <c r="H173" t="s">
        <v>14360</v>
      </c>
      <c r="I173" t="s">
        <v>6884</v>
      </c>
      <c r="J173" s="4" t="s">
        <v>6884</v>
      </c>
      <c r="L173" t="s">
        <v>1488</v>
      </c>
      <c r="M173" t="s">
        <v>14774</v>
      </c>
      <c r="N173" t="s">
        <v>3436</v>
      </c>
      <c r="O173" t="s">
        <v>3436</v>
      </c>
      <c r="P173" t="s">
        <v>3586</v>
      </c>
      <c r="Q173" t="s">
        <v>3586</v>
      </c>
      <c r="R173" t="s">
        <v>3436</v>
      </c>
      <c r="S173" t="s">
        <v>14360</v>
      </c>
    </row>
    <row r="174" spans="1:19" x14ac:dyDescent="0.2">
      <c r="A174" t="s">
        <v>13914</v>
      </c>
      <c r="B174" t="s">
        <v>14359</v>
      </c>
      <c r="C174" t="s">
        <v>7879</v>
      </c>
      <c r="D174" t="str">
        <f>_xlfn.XLOOKUP(E174,pathways!$A$2:$A$31,pathways!$B$2:$B$31)</f>
        <v>Amino acid metabolism</v>
      </c>
      <c r="E174" t="s">
        <v>3436</v>
      </c>
      <c r="F174" t="s">
        <v>3586</v>
      </c>
      <c r="G174" t="s">
        <v>14360</v>
      </c>
      <c r="H174" t="s">
        <v>14360</v>
      </c>
      <c r="I174" t="s">
        <v>7879</v>
      </c>
      <c r="J174" s="4" t="s">
        <v>14360</v>
      </c>
      <c r="L174" t="s">
        <v>3070</v>
      </c>
      <c r="M174" t="s">
        <v>16428</v>
      </c>
      <c r="N174" t="s">
        <v>3436</v>
      </c>
      <c r="O174" t="s">
        <v>14360</v>
      </c>
      <c r="P174" t="s">
        <v>3586</v>
      </c>
      <c r="Q174" t="s">
        <v>14360</v>
      </c>
      <c r="R174" t="s">
        <v>3436</v>
      </c>
      <c r="S174" t="s">
        <v>14360</v>
      </c>
    </row>
    <row r="175" spans="1:19" x14ac:dyDescent="0.2">
      <c r="A175" t="s">
        <v>14024</v>
      </c>
      <c r="B175" t="s">
        <v>14359</v>
      </c>
      <c r="C175" t="s">
        <v>9761</v>
      </c>
      <c r="D175" t="str">
        <f>_xlfn.XLOOKUP(E175,pathways!$A$2:$A$31,pathways!$B$2:$B$31)</f>
        <v>Amino acid metabolism</v>
      </c>
      <c r="E175" t="s">
        <v>3436</v>
      </c>
      <c r="F175" t="s">
        <v>3586</v>
      </c>
      <c r="G175" t="s">
        <v>9761</v>
      </c>
      <c r="H175" t="s">
        <v>14360</v>
      </c>
      <c r="I175" t="s">
        <v>9761</v>
      </c>
      <c r="J175" s="4" t="s">
        <v>14360</v>
      </c>
      <c r="L175" t="s">
        <v>3084</v>
      </c>
      <c r="M175" t="s">
        <v>16442</v>
      </c>
      <c r="N175" t="s">
        <v>3436</v>
      </c>
      <c r="O175" t="s">
        <v>14360</v>
      </c>
      <c r="P175" t="s">
        <v>3586</v>
      </c>
      <c r="Q175" t="s">
        <v>14360</v>
      </c>
      <c r="R175" t="s">
        <v>3436</v>
      </c>
      <c r="S175" t="s">
        <v>14360</v>
      </c>
    </row>
    <row r="176" spans="1:19" x14ac:dyDescent="0.2">
      <c r="A176" t="s">
        <v>2461</v>
      </c>
      <c r="B176" t="s">
        <v>14359</v>
      </c>
      <c r="C176" t="s">
        <v>19652</v>
      </c>
      <c r="D176" t="str">
        <f>_xlfn.XLOOKUP(E176,pathways!$A$2:$A$31,pathways!$B$2:$B$31)</f>
        <v>Amino acid metabolism</v>
      </c>
      <c r="E176" t="s">
        <v>3436</v>
      </c>
      <c r="F176" t="s">
        <v>3586</v>
      </c>
      <c r="G176" t="s">
        <v>14360</v>
      </c>
      <c r="H176" t="s">
        <v>14360</v>
      </c>
      <c r="I176" t="s">
        <v>3589</v>
      </c>
      <c r="J176" s="4" t="s">
        <v>3589</v>
      </c>
      <c r="L176" t="s">
        <v>2460</v>
      </c>
      <c r="M176" t="s">
        <v>15767</v>
      </c>
      <c r="N176" t="s">
        <v>3436</v>
      </c>
      <c r="O176" t="s">
        <v>3436</v>
      </c>
      <c r="P176" t="s">
        <v>3586</v>
      </c>
      <c r="Q176" t="s">
        <v>3586</v>
      </c>
      <c r="R176" t="s">
        <v>3436</v>
      </c>
      <c r="S176" t="s">
        <v>14360</v>
      </c>
    </row>
    <row r="177" spans="1:19" x14ac:dyDescent="0.2">
      <c r="A177" t="s">
        <v>2565</v>
      </c>
      <c r="B177" t="s">
        <v>14359</v>
      </c>
      <c r="C177" t="s">
        <v>19697</v>
      </c>
      <c r="D177" t="str">
        <f>_xlfn.XLOOKUP(E177,pathways!$A$2:$A$31,pathways!$B$2:$B$31)</f>
        <v>Amino acid metabolism</v>
      </c>
      <c r="E177" t="s">
        <v>3436</v>
      </c>
      <c r="F177" t="s">
        <v>3661</v>
      </c>
      <c r="G177" t="s">
        <v>14360</v>
      </c>
      <c r="H177" t="s">
        <v>14360</v>
      </c>
      <c r="I177" t="s">
        <v>4044</v>
      </c>
      <c r="J177" s="4" t="s">
        <v>4044</v>
      </c>
      <c r="L177" t="s">
        <v>2564</v>
      </c>
      <c r="M177" t="s">
        <v>15887</v>
      </c>
      <c r="N177" t="s">
        <v>3436</v>
      </c>
      <c r="O177" t="s">
        <v>3436</v>
      </c>
      <c r="P177" t="s">
        <v>3661</v>
      </c>
      <c r="Q177" t="s">
        <v>3661</v>
      </c>
      <c r="R177" t="s">
        <v>3436</v>
      </c>
      <c r="S177" t="s">
        <v>14360</v>
      </c>
    </row>
    <row r="178" spans="1:19" x14ac:dyDescent="0.2">
      <c r="A178" t="s">
        <v>14119</v>
      </c>
      <c r="B178" t="s">
        <v>14359</v>
      </c>
      <c r="C178" t="s">
        <v>20045</v>
      </c>
      <c r="D178" t="str">
        <f>_xlfn.XLOOKUP(E178,pathways!$A$2:$A$31,pathways!$B$2:$B$31)</f>
        <v>Amino acid metabolism</v>
      </c>
      <c r="E178" t="s">
        <v>3436</v>
      </c>
      <c r="F178" t="s">
        <v>3470</v>
      </c>
      <c r="G178" t="s">
        <v>14360</v>
      </c>
      <c r="H178" t="s">
        <v>14360</v>
      </c>
      <c r="I178" t="s">
        <v>10263</v>
      </c>
      <c r="J178" s="4" t="s">
        <v>14360</v>
      </c>
      <c r="L178" t="s">
        <v>14360</v>
      </c>
      <c r="M178" t="s">
        <v>14360</v>
      </c>
      <c r="N178" t="s">
        <v>3436</v>
      </c>
      <c r="O178" t="s">
        <v>14360</v>
      </c>
      <c r="P178" t="s">
        <v>3470</v>
      </c>
      <c r="Q178" t="s">
        <v>14360</v>
      </c>
      <c r="R178" t="s">
        <v>14360</v>
      </c>
      <c r="S178" t="s">
        <v>14360</v>
      </c>
    </row>
    <row r="179" spans="1:19" x14ac:dyDescent="0.2">
      <c r="A179" t="s">
        <v>1827</v>
      </c>
      <c r="B179" t="s">
        <v>14359</v>
      </c>
      <c r="C179" t="s">
        <v>19410</v>
      </c>
      <c r="D179" t="str">
        <f>_xlfn.XLOOKUP(E179,pathways!$A$2:$A$31,pathways!$B$2:$B$31)</f>
        <v>Amino acid metabolism</v>
      </c>
      <c r="E179" t="s">
        <v>3436</v>
      </c>
      <c r="F179" t="s">
        <v>3687</v>
      </c>
      <c r="G179" t="s">
        <v>14360</v>
      </c>
      <c r="H179" t="s">
        <v>14360</v>
      </c>
      <c r="I179" t="s">
        <v>8516</v>
      </c>
      <c r="J179" s="4" t="s">
        <v>8516</v>
      </c>
      <c r="L179" t="s">
        <v>1826</v>
      </c>
      <c r="M179" t="s">
        <v>15127</v>
      </c>
      <c r="N179" t="s">
        <v>3436</v>
      </c>
      <c r="O179" t="s">
        <v>3436</v>
      </c>
      <c r="P179" t="s">
        <v>3687</v>
      </c>
      <c r="Q179" t="s">
        <v>3687</v>
      </c>
      <c r="R179" t="s">
        <v>3436</v>
      </c>
      <c r="S179" t="s">
        <v>14360</v>
      </c>
    </row>
    <row r="180" spans="1:19" x14ac:dyDescent="0.2">
      <c r="A180" t="s">
        <v>13961</v>
      </c>
      <c r="B180" t="s">
        <v>14359</v>
      </c>
      <c r="C180" t="s">
        <v>19424</v>
      </c>
      <c r="D180" t="str">
        <f>_xlfn.XLOOKUP(E180,pathways!$A$2:$A$31,pathways!$B$2:$B$31)</f>
        <v>Amino acid metabolism</v>
      </c>
      <c r="E180" t="s">
        <v>3436</v>
      </c>
      <c r="F180" t="s">
        <v>3687</v>
      </c>
      <c r="G180" t="s">
        <v>14360</v>
      </c>
      <c r="H180" t="s">
        <v>14360</v>
      </c>
      <c r="I180" t="s">
        <v>8749</v>
      </c>
      <c r="J180" s="4" t="s">
        <v>14360</v>
      </c>
      <c r="L180" t="s">
        <v>1869</v>
      </c>
      <c r="M180" t="s">
        <v>15170</v>
      </c>
      <c r="N180" t="s">
        <v>3436</v>
      </c>
      <c r="O180" t="s">
        <v>14360</v>
      </c>
      <c r="P180" t="s">
        <v>3687</v>
      </c>
      <c r="Q180" t="s">
        <v>14360</v>
      </c>
      <c r="R180" t="s">
        <v>3436</v>
      </c>
      <c r="S180" t="s">
        <v>14360</v>
      </c>
    </row>
    <row r="181" spans="1:19" x14ac:dyDescent="0.2">
      <c r="A181" t="s">
        <v>1388</v>
      </c>
      <c r="B181" t="s">
        <v>14359</v>
      </c>
      <c r="C181" t="s">
        <v>19269</v>
      </c>
      <c r="D181" t="str">
        <f>_xlfn.XLOOKUP(E181,pathways!$A$2:$A$31,pathways!$B$2:$B$31)</f>
        <v>Amino acid metabolism</v>
      </c>
      <c r="E181" t="s">
        <v>3436</v>
      </c>
      <c r="F181" t="s">
        <v>3687</v>
      </c>
      <c r="G181" t="s">
        <v>14360</v>
      </c>
      <c r="H181" t="s">
        <v>14360</v>
      </c>
      <c r="I181" t="s">
        <v>6552</v>
      </c>
      <c r="J181" s="4" t="s">
        <v>6552</v>
      </c>
      <c r="L181" t="s">
        <v>1387</v>
      </c>
      <c r="M181" t="s">
        <v>14668</v>
      </c>
      <c r="N181" t="s">
        <v>3436</v>
      </c>
      <c r="O181" t="s">
        <v>3436</v>
      </c>
      <c r="P181" t="s">
        <v>3687</v>
      </c>
      <c r="Q181" t="s">
        <v>3687</v>
      </c>
      <c r="R181" t="s">
        <v>3436</v>
      </c>
      <c r="S181" t="s">
        <v>14360</v>
      </c>
    </row>
    <row r="182" spans="1:19" x14ac:dyDescent="0.2">
      <c r="A182" t="s">
        <v>1113</v>
      </c>
      <c r="B182" t="s">
        <v>14359</v>
      </c>
      <c r="C182" t="s">
        <v>19179</v>
      </c>
      <c r="D182" t="str">
        <f>_xlfn.XLOOKUP(E182,pathways!$A$2:$A$31,pathways!$B$2:$B$31)</f>
        <v>Amino acid metabolism</v>
      </c>
      <c r="E182" t="s">
        <v>3436</v>
      </c>
      <c r="F182" t="s">
        <v>3524</v>
      </c>
      <c r="G182" t="s">
        <v>14360</v>
      </c>
      <c r="H182" t="s">
        <v>14360</v>
      </c>
      <c r="I182" t="s">
        <v>5161</v>
      </c>
      <c r="J182" s="4" t="s">
        <v>14360</v>
      </c>
      <c r="L182" t="s">
        <v>1112</v>
      </c>
      <c r="M182" t="s">
        <v>14382</v>
      </c>
      <c r="N182" t="s">
        <v>3436</v>
      </c>
      <c r="O182" t="s">
        <v>14360</v>
      </c>
      <c r="P182" t="s">
        <v>3524</v>
      </c>
      <c r="Q182" t="s">
        <v>14360</v>
      </c>
      <c r="R182" t="s">
        <v>3436</v>
      </c>
      <c r="S182" t="s">
        <v>14360</v>
      </c>
    </row>
    <row r="183" spans="1:19" x14ac:dyDescent="0.2">
      <c r="A183" t="s">
        <v>13767</v>
      </c>
      <c r="B183" t="s">
        <v>14359</v>
      </c>
      <c r="C183" t="s">
        <v>648</v>
      </c>
      <c r="D183" t="str">
        <f>_xlfn.XLOOKUP(E183,pathways!$A$2:$A$31,pathways!$B$2:$B$31)</f>
        <v>Amino acid metabolism</v>
      </c>
      <c r="E183" t="s">
        <v>3436</v>
      </c>
      <c r="F183" t="s">
        <v>3524</v>
      </c>
      <c r="G183" t="s">
        <v>14360</v>
      </c>
      <c r="H183" t="s">
        <v>14360</v>
      </c>
      <c r="I183" t="s">
        <v>647</v>
      </c>
      <c r="J183" s="4" t="s">
        <v>647</v>
      </c>
      <c r="L183" t="s">
        <v>649</v>
      </c>
      <c r="M183" t="s">
        <v>15871</v>
      </c>
      <c r="N183" t="s">
        <v>3436</v>
      </c>
      <c r="O183" t="s">
        <v>3436</v>
      </c>
      <c r="P183" t="s">
        <v>3524</v>
      </c>
      <c r="Q183" t="s">
        <v>3524</v>
      </c>
      <c r="R183" t="s">
        <v>3436</v>
      </c>
      <c r="S183" t="s">
        <v>14360</v>
      </c>
    </row>
    <row r="184" spans="1:19" x14ac:dyDescent="0.2">
      <c r="A184" t="s">
        <v>1179</v>
      </c>
      <c r="B184" t="s">
        <v>14359</v>
      </c>
      <c r="C184" t="s">
        <v>19203</v>
      </c>
      <c r="D184" t="str">
        <f>_xlfn.XLOOKUP(E184,pathways!$A$2:$A$31,pathways!$B$2:$B$31)</f>
        <v>Amino acid metabolism</v>
      </c>
      <c r="E184" t="s">
        <v>3436</v>
      </c>
      <c r="F184" t="s">
        <v>3524</v>
      </c>
      <c r="G184" t="s">
        <v>14360</v>
      </c>
      <c r="H184" t="s">
        <v>14360</v>
      </c>
      <c r="I184" t="s">
        <v>5520</v>
      </c>
      <c r="J184" s="4" t="s">
        <v>5520</v>
      </c>
      <c r="L184" t="s">
        <v>1178</v>
      </c>
      <c r="M184" t="s">
        <v>14450</v>
      </c>
      <c r="N184" t="s">
        <v>3436</v>
      </c>
      <c r="O184" t="s">
        <v>3436</v>
      </c>
      <c r="P184" t="s">
        <v>3524</v>
      </c>
      <c r="Q184" t="s">
        <v>3524</v>
      </c>
      <c r="R184" t="s">
        <v>3436</v>
      </c>
      <c r="S184" t="s">
        <v>14360</v>
      </c>
    </row>
    <row r="185" spans="1:19" x14ac:dyDescent="0.2">
      <c r="A185" t="s">
        <v>2501</v>
      </c>
      <c r="B185" t="s">
        <v>14359</v>
      </c>
      <c r="C185" t="s">
        <v>19668</v>
      </c>
      <c r="D185" t="str">
        <f>_xlfn.XLOOKUP(E185,pathways!$A$2:$A$31,pathways!$B$2:$B$31)</f>
        <v>Amino acid metabolism</v>
      </c>
      <c r="E185" t="s">
        <v>3436</v>
      </c>
      <c r="F185" t="s">
        <v>3524</v>
      </c>
      <c r="G185" t="s">
        <v>14360</v>
      </c>
      <c r="H185" t="s">
        <v>14360</v>
      </c>
      <c r="I185" t="s">
        <v>3699</v>
      </c>
      <c r="J185" s="4" t="s">
        <v>3699</v>
      </c>
      <c r="L185" t="s">
        <v>2500</v>
      </c>
      <c r="M185" t="s">
        <v>15809</v>
      </c>
      <c r="N185" t="s">
        <v>3436</v>
      </c>
      <c r="O185" t="s">
        <v>3436</v>
      </c>
      <c r="P185" t="s">
        <v>3524</v>
      </c>
      <c r="Q185" t="s">
        <v>3524</v>
      </c>
      <c r="R185" t="s">
        <v>3436</v>
      </c>
      <c r="S185" t="s">
        <v>14360</v>
      </c>
    </row>
    <row r="186" spans="1:19" x14ac:dyDescent="0.2">
      <c r="A186" t="s">
        <v>2345</v>
      </c>
      <c r="B186" t="s">
        <v>14359</v>
      </c>
      <c r="C186" t="s">
        <v>19618</v>
      </c>
      <c r="D186" t="str">
        <f>_xlfn.XLOOKUP(E186,pathways!$A$2:$A$31,pathways!$B$2:$B$31)</f>
        <v>Amino acid metabolism</v>
      </c>
      <c r="E186" t="s">
        <v>3436</v>
      </c>
      <c r="F186" t="s">
        <v>3470</v>
      </c>
      <c r="G186" t="s">
        <v>14360</v>
      </c>
      <c r="H186" t="s">
        <v>14360</v>
      </c>
      <c r="I186" t="s">
        <v>4554</v>
      </c>
      <c r="J186" s="4" t="s">
        <v>14360</v>
      </c>
      <c r="L186" t="s">
        <v>2344</v>
      </c>
      <c r="M186" t="s">
        <v>15643</v>
      </c>
      <c r="N186" t="s">
        <v>3436</v>
      </c>
      <c r="O186" t="s">
        <v>14360</v>
      </c>
      <c r="P186" t="s">
        <v>3470</v>
      </c>
      <c r="Q186" t="s">
        <v>14360</v>
      </c>
      <c r="R186" t="s">
        <v>3436</v>
      </c>
      <c r="S186" t="s">
        <v>14360</v>
      </c>
    </row>
    <row r="187" spans="1:19" x14ac:dyDescent="0.2">
      <c r="A187" t="s">
        <v>2369</v>
      </c>
      <c r="B187" t="s">
        <v>14359</v>
      </c>
      <c r="C187" t="s">
        <v>19626</v>
      </c>
      <c r="D187" t="str">
        <f>_xlfn.XLOOKUP(E187,pathways!$A$2:$A$31,pathways!$B$2:$B$31)</f>
        <v>Amino acid metabolism</v>
      </c>
      <c r="E187" t="s">
        <v>3436</v>
      </c>
      <c r="F187" t="s">
        <v>3586</v>
      </c>
      <c r="G187" t="s">
        <v>14360</v>
      </c>
      <c r="H187" t="s">
        <v>14360</v>
      </c>
      <c r="I187" t="s">
        <v>4580</v>
      </c>
      <c r="J187" s="4" t="s">
        <v>4580</v>
      </c>
      <c r="L187" t="s">
        <v>2368</v>
      </c>
      <c r="M187" t="s">
        <v>15667</v>
      </c>
      <c r="N187" t="s">
        <v>3436</v>
      </c>
      <c r="O187" t="s">
        <v>3436</v>
      </c>
      <c r="P187" t="s">
        <v>3586</v>
      </c>
      <c r="Q187" t="s">
        <v>3586</v>
      </c>
      <c r="R187" t="s">
        <v>3436</v>
      </c>
      <c r="S187" t="s">
        <v>4998</v>
      </c>
    </row>
    <row r="188" spans="1:19" x14ac:dyDescent="0.2">
      <c r="A188" t="s">
        <v>1260</v>
      </c>
      <c r="B188" t="s">
        <v>14359</v>
      </c>
      <c r="C188" t="s">
        <v>19229</v>
      </c>
      <c r="D188" t="str">
        <f>_xlfn.XLOOKUP(E188,pathways!$A$2:$A$31,pathways!$B$2:$B$31)</f>
        <v>Amino acid metabolism</v>
      </c>
      <c r="E188" t="s">
        <v>3436</v>
      </c>
      <c r="F188" t="s">
        <v>3661</v>
      </c>
      <c r="G188" t="s">
        <v>5906</v>
      </c>
      <c r="H188" t="s">
        <v>14360</v>
      </c>
      <c r="I188" t="s">
        <v>5906</v>
      </c>
      <c r="J188" s="4" t="s">
        <v>5906</v>
      </c>
      <c r="L188" t="s">
        <v>1259</v>
      </c>
      <c r="M188" t="s">
        <v>14536</v>
      </c>
      <c r="N188" t="s">
        <v>3436</v>
      </c>
      <c r="O188" t="s">
        <v>3436</v>
      </c>
      <c r="P188" t="s">
        <v>3661</v>
      </c>
      <c r="Q188" t="s">
        <v>3661</v>
      </c>
      <c r="R188" t="s">
        <v>3436</v>
      </c>
      <c r="S188" t="s">
        <v>4998</v>
      </c>
    </row>
    <row r="189" spans="1:19" x14ac:dyDescent="0.2">
      <c r="A189" t="s">
        <v>2577</v>
      </c>
      <c r="B189" t="s">
        <v>14359</v>
      </c>
      <c r="C189" t="s">
        <v>19702</v>
      </c>
      <c r="D189" t="str">
        <f>_xlfn.XLOOKUP(E189,pathways!$A$2:$A$31,pathways!$B$2:$B$31)</f>
        <v>Amino acid metabolism</v>
      </c>
      <c r="E189" t="s">
        <v>3436</v>
      </c>
      <c r="F189" t="s">
        <v>3661</v>
      </c>
      <c r="G189" t="s">
        <v>14360</v>
      </c>
      <c r="H189" t="s">
        <v>14360</v>
      </c>
      <c r="I189" t="s">
        <v>4111</v>
      </c>
      <c r="J189" s="4" t="s">
        <v>4111</v>
      </c>
      <c r="L189" t="s">
        <v>2576</v>
      </c>
      <c r="M189" t="s">
        <v>15901</v>
      </c>
      <c r="N189" t="s">
        <v>3436</v>
      </c>
      <c r="O189" t="s">
        <v>3436</v>
      </c>
      <c r="P189" t="s">
        <v>3661</v>
      </c>
      <c r="Q189" t="s">
        <v>3661</v>
      </c>
      <c r="R189" t="s">
        <v>3436</v>
      </c>
      <c r="S189" t="s">
        <v>14360</v>
      </c>
    </row>
    <row r="190" spans="1:19" x14ac:dyDescent="0.2">
      <c r="A190" t="s">
        <v>2526</v>
      </c>
      <c r="B190" t="s">
        <v>14359</v>
      </c>
      <c r="C190" t="s">
        <v>12433</v>
      </c>
      <c r="D190" t="str">
        <f>_xlfn.XLOOKUP(E190,pathways!$A$2:$A$31,pathways!$B$2:$B$31)</f>
        <v>Amino acid metabolism</v>
      </c>
      <c r="E190" t="s">
        <v>3436</v>
      </c>
      <c r="F190" t="s">
        <v>4215</v>
      </c>
      <c r="G190" t="s">
        <v>14360</v>
      </c>
      <c r="H190" t="s">
        <v>14360</v>
      </c>
      <c r="I190" t="s">
        <v>14360</v>
      </c>
      <c r="J190" s="4" t="s">
        <v>12433</v>
      </c>
      <c r="L190" t="s">
        <v>2525</v>
      </c>
      <c r="M190" t="s">
        <v>15841</v>
      </c>
      <c r="N190" t="s">
        <v>14360</v>
      </c>
      <c r="O190" t="s">
        <v>3436</v>
      </c>
      <c r="P190" t="s">
        <v>14360</v>
      </c>
      <c r="Q190" t="s">
        <v>4215</v>
      </c>
      <c r="R190" t="s">
        <v>3436</v>
      </c>
      <c r="S190" t="s">
        <v>14360</v>
      </c>
    </row>
    <row r="191" spans="1:19" x14ac:dyDescent="0.2">
      <c r="A191" t="s">
        <v>2463</v>
      </c>
      <c r="B191" t="s">
        <v>14359</v>
      </c>
      <c r="C191" t="s">
        <v>3614</v>
      </c>
      <c r="D191" t="str">
        <f>_xlfn.XLOOKUP(E191,pathways!$A$2:$A$31,pathways!$B$2:$B$31)</f>
        <v>Amino acid metabolism</v>
      </c>
      <c r="E191" t="s">
        <v>3436</v>
      </c>
      <c r="F191" t="s">
        <v>3603</v>
      </c>
      <c r="G191" t="s">
        <v>3614</v>
      </c>
      <c r="H191" t="s">
        <v>14360</v>
      </c>
      <c r="I191" t="s">
        <v>3614</v>
      </c>
      <c r="J191" s="4" t="s">
        <v>3614</v>
      </c>
      <c r="L191" t="s">
        <v>2462</v>
      </c>
      <c r="M191" t="s">
        <v>15769</v>
      </c>
      <c r="N191" t="s">
        <v>3436</v>
      </c>
      <c r="O191" t="s">
        <v>3436</v>
      </c>
      <c r="P191" t="s">
        <v>3603</v>
      </c>
      <c r="Q191" t="s">
        <v>3603</v>
      </c>
      <c r="R191" t="s">
        <v>3436</v>
      </c>
      <c r="S191" t="s">
        <v>7081</v>
      </c>
    </row>
    <row r="192" spans="1:19" x14ac:dyDescent="0.2">
      <c r="A192" t="s">
        <v>2311</v>
      </c>
      <c r="B192" t="s">
        <v>14359</v>
      </c>
      <c r="C192" t="s">
        <v>10156</v>
      </c>
      <c r="D192" t="str">
        <f>_xlfn.XLOOKUP(E192,pathways!$A$2:$A$31,pathways!$B$2:$B$31)</f>
        <v>Amino acid metabolism</v>
      </c>
      <c r="E192" t="s">
        <v>3436</v>
      </c>
      <c r="F192" t="s">
        <v>3603</v>
      </c>
      <c r="G192" t="s">
        <v>14360</v>
      </c>
      <c r="H192" t="s">
        <v>14360</v>
      </c>
      <c r="I192" t="s">
        <v>10156</v>
      </c>
      <c r="J192" s="4" t="s">
        <v>14360</v>
      </c>
      <c r="L192" t="s">
        <v>2310</v>
      </c>
      <c r="M192" t="s">
        <v>15612</v>
      </c>
      <c r="N192" t="s">
        <v>3436</v>
      </c>
      <c r="O192" t="s">
        <v>14360</v>
      </c>
      <c r="P192" t="s">
        <v>3603</v>
      </c>
      <c r="Q192" t="s">
        <v>14360</v>
      </c>
      <c r="R192" t="s">
        <v>3436</v>
      </c>
      <c r="S192" t="s">
        <v>14360</v>
      </c>
    </row>
    <row r="193" spans="1:19" x14ac:dyDescent="0.2">
      <c r="A193" t="s">
        <v>1616</v>
      </c>
      <c r="B193" t="s">
        <v>14359</v>
      </c>
      <c r="C193" t="s">
        <v>7625</v>
      </c>
      <c r="D193" t="str">
        <f>_xlfn.XLOOKUP(E193,pathways!$A$2:$A$31,pathways!$B$2:$B$31)</f>
        <v>Amino acid metabolism</v>
      </c>
      <c r="E193" t="s">
        <v>3436</v>
      </c>
      <c r="F193" t="s">
        <v>3603</v>
      </c>
      <c r="G193" t="s">
        <v>14360</v>
      </c>
      <c r="H193" t="s">
        <v>14360</v>
      </c>
      <c r="I193" t="s">
        <v>7625</v>
      </c>
      <c r="J193" s="4" t="s">
        <v>7625</v>
      </c>
      <c r="L193" t="s">
        <v>1615</v>
      </c>
      <c r="M193" t="s">
        <v>14903</v>
      </c>
      <c r="N193" t="s">
        <v>3436</v>
      </c>
      <c r="O193" t="s">
        <v>3436</v>
      </c>
      <c r="P193" t="s">
        <v>3603</v>
      </c>
      <c r="Q193" t="s">
        <v>3603</v>
      </c>
      <c r="R193" t="s">
        <v>3436</v>
      </c>
      <c r="S193" t="s">
        <v>14360</v>
      </c>
    </row>
    <row r="194" spans="1:19" x14ac:dyDescent="0.2">
      <c r="A194" t="s">
        <v>1646</v>
      </c>
      <c r="B194" t="s">
        <v>14359</v>
      </c>
      <c r="C194" t="s">
        <v>7752</v>
      </c>
      <c r="D194" t="str">
        <f>_xlfn.XLOOKUP(E194,pathways!$A$2:$A$31,pathways!$B$2:$B$31)</f>
        <v>Amino acid metabolism</v>
      </c>
      <c r="E194" t="s">
        <v>3436</v>
      </c>
      <c r="F194" t="s">
        <v>3603</v>
      </c>
      <c r="G194" t="s">
        <v>14360</v>
      </c>
      <c r="H194" t="s">
        <v>14360</v>
      </c>
      <c r="I194" t="s">
        <v>7752</v>
      </c>
      <c r="J194" s="4" t="s">
        <v>7752</v>
      </c>
      <c r="L194" t="s">
        <v>1645</v>
      </c>
      <c r="M194" t="s">
        <v>14935</v>
      </c>
      <c r="N194" t="s">
        <v>3436</v>
      </c>
      <c r="O194" t="s">
        <v>3436</v>
      </c>
      <c r="P194" t="s">
        <v>3603</v>
      </c>
      <c r="Q194" t="s">
        <v>3603</v>
      </c>
      <c r="R194" t="s">
        <v>3436</v>
      </c>
      <c r="S194" t="s">
        <v>6535</v>
      </c>
    </row>
    <row r="195" spans="1:19" x14ac:dyDescent="0.2">
      <c r="A195" t="s">
        <v>13874</v>
      </c>
      <c r="B195" t="s">
        <v>14359</v>
      </c>
      <c r="C195" t="s">
        <v>7334</v>
      </c>
      <c r="D195" t="str">
        <f>_xlfn.XLOOKUP(E195,pathways!$A$2:$A$31,pathways!$B$2:$B$31)</f>
        <v>Amino acid metabolism</v>
      </c>
      <c r="E195" t="s">
        <v>3436</v>
      </c>
      <c r="F195" t="s">
        <v>3603</v>
      </c>
      <c r="G195" t="s">
        <v>14360</v>
      </c>
      <c r="H195" t="s">
        <v>14360</v>
      </c>
      <c r="I195" t="s">
        <v>7334</v>
      </c>
      <c r="J195" s="4" t="s">
        <v>14360</v>
      </c>
      <c r="L195" t="s">
        <v>1582</v>
      </c>
      <c r="M195" t="s">
        <v>14869</v>
      </c>
      <c r="N195" t="s">
        <v>3436</v>
      </c>
      <c r="O195" t="s">
        <v>14360</v>
      </c>
      <c r="P195" t="s">
        <v>3603</v>
      </c>
      <c r="Q195" t="s">
        <v>14360</v>
      </c>
      <c r="R195" t="s">
        <v>3436</v>
      </c>
      <c r="S195" t="s">
        <v>14360</v>
      </c>
    </row>
    <row r="196" spans="1:19" x14ac:dyDescent="0.2">
      <c r="A196" t="s">
        <v>2363</v>
      </c>
      <c r="B196" t="s">
        <v>14359</v>
      </c>
      <c r="C196" t="s">
        <v>19623</v>
      </c>
      <c r="D196" t="str">
        <f>_xlfn.XLOOKUP(E196,pathways!$A$2:$A$31,pathways!$B$2:$B$31)</f>
        <v>Amino acid metabolism</v>
      </c>
      <c r="E196" t="s">
        <v>3436</v>
      </c>
      <c r="F196" t="s">
        <v>3882</v>
      </c>
      <c r="G196" t="s">
        <v>14360</v>
      </c>
      <c r="H196" t="s">
        <v>14360</v>
      </c>
      <c r="I196" t="s">
        <v>4562</v>
      </c>
      <c r="J196" s="4" t="s">
        <v>4562</v>
      </c>
      <c r="L196" t="s">
        <v>2362</v>
      </c>
      <c r="M196" t="s">
        <v>15661</v>
      </c>
      <c r="N196" t="s">
        <v>3436</v>
      </c>
      <c r="O196" t="s">
        <v>3436</v>
      </c>
      <c r="P196" t="s">
        <v>3882</v>
      </c>
      <c r="Q196" t="s">
        <v>3882</v>
      </c>
      <c r="R196" t="s">
        <v>3436</v>
      </c>
      <c r="S196" t="s">
        <v>14360</v>
      </c>
    </row>
    <row r="197" spans="1:19" x14ac:dyDescent="0.2">
      <c r="A197" t="s">
        <v>2585</v>
      </c>
      <c r="B197" t="s">
        <v>14359</v>
      </c>
      <c r="C197" t="s">
        <v>19705</v>
      </c>
      <c r="D197" t="str">
        <f>_xlfn.XLOOKUP(E197,pathways!$A$2:$A$31,pathways!$B$2:$B$31)</f>
        <v>Amino acid metabolism</v>
      </c>
      <c r="E197" t="s">
        <v>3436</v>
      </c>
      <c r="F197" t="s">
        <v>3882</v>
      </c>
      <c r="G197" t="s">
        <v>4153</v>
      </c>
      <c r="H197" t="s">
        <v>14360</v>
      </c>
      <c r="I197" t="s">
        <v>4153</v>
      </c>
      <c r="J197" s="4" t="s">
        <v>4153</v>
      </c>
      <c r="L197" t="s">
        <v>2584</v>
      </c>
      <c r="M197" t="s">
        <v>15909</v>
      </c>
      <c r="N197" t="s">
        <v>3436</v>
      </c>
      <c r="O197" t="s">
        <v>3436</v>
      </c>
      <c r="P197" t="s">
        <v>3882</v>
      </c>
      <c r="Q197" t="s">
        <v>3882</v>
      </c>
      <c r="R197" t="s">
        <v>3436</v>
      </c>
      <c r="S197" t="s">
        <v>14360</v>
      </c>
    </row>
    <row r="198" spans="1:19" x14ac:dyDescent="0.2">
      <c r="A198" t="s">
        <v>2596</v>
      </c>
      <c r="B198" t="s">
        <v>14359</v>
      </c>
      <c r="C198" t="s">
        <v>19711</v>
      </c>
      <c r="D198" t="str">
        <f>_xlfn.XLOOKUP(E198,pathways!$A$2:$A$31,pathways!$B$2:$B$31)</f>
        <v>Amino acid metabolism</v>
      </c>
      <c r="E198" t="s">
        <v>3436</v>
      </c>
      <c r="F198" t="s">
        <v>3470</v>
      </c>
      <c r="G198" t="s">
        <v>4161</v>
      </c>
      <c r="H198" t="s">
        <v>14360</v>
      </c>
      <c r="I198" t="s">
        <v>4161</v>
      </c>
      <c r="J198" s="4" t="s">
        <v>4161</v>
      </c>
      <c r="L198" t="s">
        <v>2595</v>
      </c>
      <c r="M198" t="s">
        <v>15922</v>
      </c>
      <c r="N198" t="s">
        <v>3436</v>
      </c>
      <c r="O198" t="s">
        <v>3436</v>
      </c>
      <c r="P198" t="s">
        <v>3470</v>
      </c>
      <c r="Q198" t="s">
        <v>3470</v>
      </c>
      <c r="R198" t="s">
        <v>3436</v>
      </c>
      <c r="S198" t="s">
        <v>14360</v>
      </c>
    </row>
    <row r="199" spans="1:19" x14ac:dyDescent="0.2">
      <c r="A199" t="s">
        <v>2598</v>
      </c>
      <c r="B199" t="s">
        <v>14359</v>
      </c>
      <c r="C199" t="s">
        <v>19712</v>
      </c>
      <c r="D199" t="str">
        <f>_xlfn.XLOOKUP(E199,pathways!$A$2:$A$31,pathways!$B$2:$B$31)</f>
        <v>Amino acid metabolism</v>
      </c>
      <c r="E199" t="s">
        <v>3436</v>
      </c>
      <c r="F199" t="s">
        <v>3437</v>
      </c>
      <c r="G199" t="s">
        <v>3441</v>
      </c>
      <c r="H199" t="s">
        <v>14360</v>
      </c>
      <c r="I199" t="s">
        <v>3441</v>
      </c>
      <c r="J199" s="4" t="s">
        <v>14360</v>
      </c>
      <c r="L199" t="s">
        <v>2597</v>
      </c>
      <c r="M199" t="s">
        <v>15924</v>
      </c>
      <c r="N199" t="s">
        <v>3436</v>
      </c>
      <c r="O199" t="s">
        <v>14360</v>
      </c>
      <c r="P199" t="s">
        <v>3437</v>
      </c>
      <c r="Q199" t="s">
        <v>14360</v>
      </c>
      <c r="R199" t="s">
        <v>3436</v>
      </c>
      <c r="S199" t="s">
        <v>14360</v>
      </c>
    </row>
    <row r="200" spans="1:19" x14ac:dyDescent="0.2">
      <c r="A200" t="s">
        <v>2267</v>
      </c>
      <c r="B200" t="s">
        <v>14359</v>
      </c>
      <c r="C200" t="s">
        <v>19585</v>
      </c>
      <c r="D200" t="str">
        <f>_xlfn.XLOOKUP(E200,pathways!$A$2:$A$31,pathways!$B$2:$B$31)</f>
        <v>Amino acid metabolism</v>
      </c>
      <c r="E200" t="s">
        <v>3436</v>
      </c>
      <c r="F200" t="s">
        <v>3603</v>
      </c>
      <c r="G200" t="s">
        <v>10117</v>
      </c>
      <c r="H200" t="s">
        <v>14360</v>
      </c>
      <c r="I200" t="s">
        <v>10117</v>
      </c>
      <c r="J200" s="4" t="s">
        <v>14360</v>
      </c>
      <c r="L200" t="s">
        <v>2266</v>
      </c>
      <c r="M200" t="s">
        <v>15564</v>
      </c>
      <c r="N200" t="s">
        <v>3436</v>
      </c>
      <c r="O200" t="s">
        <v>14360</v>
      </c>
      <c r="P200" t="s">
        <v>3603</v>
      </c>
      <c r="Q200" t="s">
        <v>14360</v>
      </c>
      <c r="R200" t="s">
        <v>3436</v>
      </c>
      <c r="S200" t="s">
        <v>14360</v>
      </c>
    </row>
    <row r="201" spans="1:19" x14ac:dyDescent="0.2">
      <c r="A201" t="s">
        <v>2592</v>
      </c>
      <c r="B201" t="s">
        <v>14359</v>
      </c>
      <c r="C201" t="s">
        <v>19709</v>
      </c>
      <c r="D201" t="str">
        <f>_xlfn.XLOOKUP(E201,pathways!$A$2:$A$31,pathways!$B$2:$B$31)</f>
        <v>Amino acid metabolism</v>
      </c>
      <c r="E201" t="s">
        <v>3436</v>
      </c>
      <c r="F201" t="s">
        <v>3603</v>
      </c>
      <c r="G201" t="s">
        <v>4169</v>
      </c>
      <c r="H201" t="s">
        <v>14360</v>
      </c>
      <c r="I201" t="s">
        <v>4169</v>
      </c>
      <c r="J201" s="4" t="s">
        <v>4169</v>
      </c>
      <c r="L201" t="s">
        <v>2591</v>
      </c>
      <c r="M201" t="s">
        <v>15918</v>
      </c>
      <c r="N201" t="s">
        <v>3436</v>
      </c>
      <c r="O201" t="s">
        <v>3436</v>
      </c>
      <c r="P201" t="s">
        <v>3603</v>
      </c>
      <c r="Q201" t="s">
        <v>3603</v>
      </c>
      <c r="R201" t="s">
        <v>3436</v>
      </c>
      <c r="S201" t="s">
        <v>14360</v>
      </c>
    </row>
    <row r="202" spans="1:19" x14ac:dyDescent="0.2">
      <c r="A202" t="s">
        <v>2609</v>
      </c>
      <c r="B202" t="s">
        <v>14359</v>
      </c>
      <c r="C202" t="s">
        <v>19718</v>
      </c>
      <c r="D202" t="str">
        <f>_xlfn.XLOOKUP(E202,pathways!$A$2:$A$31,pathways!$B$2:$B$31)</f>
        <v>Amino acid metabolism</v>
      </c>
      <c r="E202" t="s">
        <v>3436</v>
      </c>
      <c r="F202" t="s">
        <v>3882</v>
      </c>
      <c r="G202" t="s">
        <v>4233</v>
      </c>
      <c r="H202" t="s">
        <v>14360</v>
      </c>
      <c r="I202" t="s">
        <v>4233</v>
      </c>
      <c r="J202" s="4" t="s">
        <v>4233</v>
      </c>
      <c r="L202" t="s">
        <v>2608</v>
      </c>
      <c r="M202" t="s">
        <v>15942</v>
      </c>
      <c r="N202" t="s">
        <v>3436</v>
      </c>
      <c r="O202" t="s">
        <v>3436</v>
      </c>
      <c r="P202" t="s">
        <v>3882</v>
      </c>
      <c r="Q202" t="s">
        <v>3882</v>
      </c>
      <c r="R202" t="s">
        <v>3436</v>
      </c>
      <c r="S202" t="s">
        <v>14360</v>
      </c>
    </row>
    <row r="203" spans="1:19" x14ac:dyDescent="0.2">
      <c r="A203" t="s">
        <v>2367</v>
      </c>
      <c r="B203" t="s">
        <v>14359</v>
      </c>
      <c r="C203" t="s">
        <v>19625</v>
      </c>
      <c r="D203" t="str">
        <f>_xlfn.XLOOKUP(E203,pathways!$A$2:$A$31,pathways!$B$2:$B$31)</f>
        <v>Amino acid metabolism</v>
      </c>
      <c r="E203" t="s">
        <v>3436</v>
      </c>
      <c r="F203" t="s">
        <v>3687</v>
      </c>
      <c r="G203" t="s">
        <v>14360</v>
      </c>
      <c r="H203" t="s">
        <v>14360</v>
      </c>
      <c r="I203" t="s">
        <v>4650</v>
      </c>
      <c r="J203" s="4" t="s">
        <v>4650</v>
      </c>
      <c r="L203" t="s">
        <v>2366</v>
      </c>
      <c r="M203" t="s">
        <v>15665</v>
      </c>
      <c r="N203" t="s">
        <v>3436</v>
      </c>
      <c r="O203" t="s">
        <v>3436</v>
      </c>
      <c r="P203" t="s">
        <v>3687</v>
      </c>
      <c r="Q203" t="s">
        <v>3687</v>
      </c>
      <c r="R203" t="s">
        <v>3436</v>
      </c>
      <c r="S203" t="s">
        <v>14360</v>
      </c>
    </row>
    <row r="204" spans="1:19" x14ac:dyDescent="0.2">
      <c r="A204" t="s">
        <v>1437</v>
      </c>
      <c r="B204" t="s">
        <v>14359</v>
      </c>
      <c r="C204" t="s">
        <v>19289</v>
      </c>
      <c r="D204" t="str">
        <f>_xlfn.XLOOKUP(E204,pathways!$A$2:$A$31,pathways!$B$2:$B$31)</f>
        <v>Amino acid metabolism</v>
      </c>
      <c r="E204" t="s">
        <v>3436</v>
      </c>
      <c r="F204" t="s">
        <v>3498</v>
      </c>
      <c r="G204" t="s">
        <v>14360</v>
      </c>
      <c r="H204" t="s">
        <v>14360</v>
      </c>
      <c r="I204" t="s">
        <v>6696</v>
      </c>
      <c r="J204" s="4" t="s">
        <v>6696</v>
      </c>
      <c r="L204" t="s">
        <v>1436</v>
      </c>
      <c r="M204" t="s">
        <v>14722</v>
      </c>
      <c r="N204" t="s">
        <v>3436</v>
      </c>
      <c r="O204" t="s">
        <v>3436</v>
      </c>
      <c r="P204" t="s">
        <v>3498</v>
      </c>
      <c r="Q204" t="s">
        <v>3498</v>
      </c>
      <c r="R204" t="s">
        <v>3436</v>
      </c>
      <c r="S204" t="s">
        <v>14360</v>
      </c>
    </row>
    <row r="205" spans="1:19" x14ac:dyDescent="0.2">
      <c r="A205" t="s">
        <v>2365</v>
      </c>
      <c r="B205" t="s">
        <v>14359</v>
      </c>
      <c r="C205" t="s">
        <v>19624</v>
      </c>
      <c r="D205" t="str">
        <f>_xlfn.XLOOKUP(E205,pathways!$A$2:$A$31,pathways!$B$2:$B$31)</f>
        <v>Amino acid metabolism</v>
      </c>
      <c r="E205" t="s">
        <v>3436</v>
      </c>
      <c r="F205" t="s">
        <v>3661</v>
      </c>
      <c r="G205" t="s">
        <v>14360</v>
      </c>
      <c r="H205" t="s">
        <v>14360</v>
      </c>
      <c r="I205" t="s">
        <v>4521</v>
      </c>
      <c r="J205" s="4" t="s">
        <v>4521</v>
      </c>
      <c r="L205" t="s">
        <v>2364</v>
      </c>
      <c r="M205" t="s">
        <v>15663</v>
      </c>
      <c r="N205" t="s">
        <v>3436</v>
      </c>
      <c r="O205" t="s">
        <v>3436</v>
      </c>
      <c r="P205" t="s">
        <v>3661</v>
      </c>
      <c r="Q205" t="s">
        <v>3661</v>
      </c>
      <c r="R205" t="s">
        <v>3436</v>
      </c>
      <c r="S205" t="s">
        <v>14360</v>
      </c>
    </row>
    <row r="206" spans="1:19" x14ac:dyDescent="0.2">
      <c r="A206" t="s">
        <v>2587</v>
      </c>
      <c r="B206" t="s">
        <v>14359</v>
      </c>
      <c r="C206" t="s">
        <v>19706</v>
      </c>
      <c r="D206" t="str">
        <f>_xlfn.XLOOKUP(E206,pathways!$A$2:$A$31,pathways!$B$2:$B$31)</f>
        <v>Amino acid metabolism</v>
      </c>
      <c r="E206" t="s">
        <v>3436</v>
      </c>
      <c r="F206" t="s">
        <v>3906</v>
      </c>
      <c r="G206" t="s">
        <v>14360</v>
      </c>
      <c r="H206" t="s">
        <v>14360</v>
      </c>
      <c r="I206" t="s">
        <v>4209</v>
      </c>
      <c r="J206" s="4" t="s">
        <v>4209</v>
      </c>
      <c r="L206" t="s">
        <v>2586</v>
      </c>
      <c r="M206" t="s">
        <v>15911</v>
      </c>
      <c r="N206" t="s">
        <v>3436</v>
      </c>
      <c r="O206" t="s">
        <v>3436</v>
      </c>
      <c r="P206" t="s">
        <v>3906</v>
      </c>
      <c r="Q206" t="s">
        <v>3906</v>
      </c>
      <c r="R206" t="s">
        <v>3436</v>
      </c>
      <c r="S206" t="s">
        <v>14360</v>
      </c>
    </row>
    <row r="207" spans="1:19" x14ac:dyDescent="0.2">
      <c r="A207" t="s">
        <v>2623</v>
      </c>
      <c r="B207" t="s">
        <v>14359</v>
      </c>
      <c r="C207" t="s">
        <v>19725</v>
      </c>
      <c r="D207" t="str">
        <f>_xlfn.XLOOKUP(E207,pathways!$A$2:$A$31,pathways!$B$2:$B$31)</f>
        <v>Amino acid metabolism</v>
      </c>
      <c r="E207" t="s">
        <v>3436</v>
      </c>
      <c r="F207" t="s">
        <v>3470</v>
      </c>
      <c r="G207" t="s">
        <v>4241</v>
      </c>
      <c r="H207" t="s">
        <v>14360</v>
      </c>
      <c r="I207" t="s">
        <v>4241</v>
      </c>
      <c r="J207" s="4" t="s">
        <v>4241</v>
      </c>
      <c r="L207" t="s">
        <v>2622</v>
      </c>
      <c r="M207" t="s">
        <v>15959</v>
      </c>
      <c r="N207" t="s">
        <v>3436</v>
      </c>
      <c r="O207" t="s">
        <v>3436</v>
      </c>
      <c r="P207" t="s">
        <v>3470</v>
      </c>
      <c r="Q207" t="s">
        <v>3470</v>
      </c>
      <c r="R207" t="s">
        <v>3436</v>
      </c>
      <c r="S207" t="s">
        <v>14360</v>
      </c>
    </row>
    <row r="208" spans="1:19" x14ac:dyDescent="0.2">
      <c r="A208" t="s">
        <v>1475</v>
      </c>
      <c r="B208" t="s">
        <v>14359</v>
      </c>
      <c r="C208" t="s">
        <v>19305</v>
      </c>
      <c r="D208" t="str">
        <f>_xlfn.XLOOKUP(E208,pathways!$A$2:$A$31,pathways!$B$2:$B$31)</f>
        <v>Amino acid metabolism</v>
      </c>
      <c r="E208" t="s">
        <v>3436</v>
      </c>
      <c r="F208" t="s">
        <v>3470</v>
      </c>
      <c r="G208" t="s">
        <v>6908</v>
      </c>
      <c r="H208" t="s">
        <v>14360</v>
      </c>
      <c r="I208" t="s">
        <v>6908</v>
      </c>
      <c r="J208" s="4" t="s">
        <v>6908</v>
      </c>
      <c r="L208" t="s">
        <v>1474</v>
      </c>
      <c r="M208" t="s">
        <v>14760</v>
      </c>
      <c r="N208" t="s">
        <v>3436</v>
      </c>
      <c r="O208" t="s">
        <v>3436</v>
      </c>
      <c r="P208" t="s">
        <v>3470</v>
      </c>
      <c r="Q208" t="s">
        <v>3470</v>
      </c>
      <c r="R208" t="s">
        <v>3436</v>
      </c>
      <c r="S208" t="s">
        <v>14360</v>
      </c>
    </row>
    <row r="209" spans="1:19" x14ac:dyDescent="0.2">
      <c r="A209" t="s">
        <v>1798</v>
      </c>
      <c r="B209" t="s">
        <v>14359</v>
      </c>
      <c r="C209" t="s">
        <v>19399</v>
      </c>
      <c r="D209" t="str">
        <f>_xlfn.XLOOKUP(E209,pathways!$A$2:$A$31,pathways!$B$2:$B$31)</f>
        <v>Amino acid metabolism</v>
      </c>
      <c r="E209" t="s">
        <v>3436</v>
      </c>
      <c r="F209" t="s">
        <v>3687</v>
      </c>
      <c r="G209" t="s">
        <v>14360</v>
      </c>
      <c r="H209" t="s">
        <v>14360</v>
      </c>
      <c r="I209" t="s">
        <v>8438</v>
      </c>
      <c r="J209" s="4" t="s">
        <v>8438</v>
      </c>
      <c r="L209" t="s">
        <v>1797</v>
      </c>
      <c r="M209" t="s">
        <v>15097</v>
      </c>
      <c r="N209" t="s">
        <v>3436</v>
      </c>
      <c r="O209" t="s">
        <v>3436</v>
      </c>
      <c r="P209" t="s">
        <v>3687</v>
      </c>
      <c r="Q209" t="s">
        <v>3687</v>
      </c>
      <c r="R209" t="s">
        <v>3436</v>
      </c>
      <c r="S209" t="s">
        <v>14360</v>
      </c>
    </row>
    <row r="210" spans="1:19" x14ac:dyDescent="0.2">
      <c r="A210" t="s">
        <v>13777</v>
      </c>
      <c r="B210" t="s">
        <v>14359</v>
      </c>
      <c r="C210" t="s">
        <v>1069</v>
      </c>
      <c r="D210" t="str">
        <f>_xlfn.XLOOKUP(E210,pathways!$A$2:$A$31,pathways!$B$2:$B$31)</f>
        <v>Amino acid metabolism</v>
      </c>
      <c r="E210" t="s">
        <v>3436</v>
      </c>
      <c r="F210" t="s">
        <v>3687</v>
      </c>
      <c r="G210" t="s">
        <v>14360</v>
      </c>
      <c r="H210" t="s">
        <v>14360</v>
      </c>
      <c r="I210" t="s">
        <v>1068</v>
      </c>
      <c r="J210" s="4" t="s">
        <v>1068</v>
      </c>
      <c r="L210" t="s">
        <v>1070</v>
      </c>
      <c r="M210" t="s">
        <v>15932</v>
      </c>
      <c r="N210" t="s">
        <v>3436</v>
      </c>
      <c r="O210" t="s">
        <v>3436</v>
      </c>
      <c r="P210" t="s">
        <v>3687</v>
      </c>
      <c r="Q210" t="s">
        <v>3687</v>
      </c>
      <c r="R210" t="s">
        <v>3436</v>
      </c>
      <c r="S210" t="s">
        <v>14360</v>
      </c>
    </row>
    <row r="211" spans="1:19" x14ac:dyDescent="0.2">
      <c r="A211" t="s">
        <v>2589</v>
      </c>
      <c r="B211" t="s">
        <v>14359</v>
      </c>
      <c r="C211" t="s">
        <v>19707</v>
      </c>
      <c r="D211" t="str">
        <f>_xlfn.XLOOKUP(E211,pathways!$A$2:$A$31,pathways!$B$2:$B$31)</f>
        <v>Amino acid metabolism</v>
      </c>
      <c r="E211" t="s">
        <v>3436</v>
      </c>
      <c r="F211" t="s">
        <v>3661</v>
      </c>
      <c r="G211" t="s">
        <v>4185</v>
      </c>
      <c r="H211" t="s">
        <v>14360</v>
      </c>
      <c r="I211" t="s">
        <v>4185</v>
      </c>
      <c r="J211" s="4" t="s">
        <v>4185</v>
      </c>
      <c r="L211" t="s">
        <v>2588</v>
      </c>
      <c r="M211" t="s">
        <v>15913</v>
      </c>
      <c r="N211" t="s">
        <v>3436</v>
      </c>
      <c r="O211" t="s">
        <v>3436</v>
      </c>
      <c r="P211" t="s">
        <v>3661</v>
      </c>
      <c r="Q211" t="s">
        <v>3661</v>
      </c>
      <c r="R211" t="s">
        <v>3436</v>
      </c>
    </row>
    <row r="212" spans="1:19" x14ac:dyDescent="0.2">
      <c r="A212" t="s">
        <v>13772</v>
      </c>
      <c r="B212" t="s">
        <v>14359</v>
      </c>
      <c r="C212" t="s">
        <v>1073</v>
      </c>
      <c r="D212" t="str">
        <f>_xlfn.XLOOKUP(E212,pathways!$A$2:$A$31,pathways!$B$2:$B$31)</f>
        <v>Amino acid metabolism</v>
      </c>
      <c r="E212" t="s">
        <v>3436</v>
      </c>
      <c r="F212" t="s">
        <v>3498</v>
      </c>
      <c r="G212" t="s">
        <v>1072</v>
      </c>
      <c r="H212" t="s">
        <v>14360</v>
      </c>
      <c r="I212" t="s">
        <v>1072</v>
      </c>
      <c r="J212" s="4" t="s">
        <v>1072</v>
      </c>
      <c r="L212" t="s">
        <v>1074</v>
      </c>
      <c r="M212" t="s">
        <v>15961</v>
      </c>
      <c r="N212" t="s">
        <v>3436</v>
      </c>
      <c r="O212" t="s">
        <v>3436</v>
      </c>
      <c r="P212" t="s">
        <v>3498</v>
      </c>
      <c r="Q212" t="s">
        <v>3498</v>
      </c>
      <c r="R212" t="s">
        <v>3436</v>
      </c>
    </row>
    <row r="213" spans="1:19" x14ac:dyDescent="0.2">
      <c r="A213" t="s">
        <v>1780</v>
      </c>
      <c r="B213" t="s">
        <v>14359</v>
      </c>
      <c r="C213" t="s">
        <v>19394</v>
      </c>
      <c r="D213" t="str">
        <f>_xlfn.XLOOKUP(E213,pathways!$A$2:$A$31,pathways!$B$2:$B$31)</f>
        <v>Amino acid metabolism</v>
      </c>
      <c r="E213" t="s">
        <v>3436</v>
      </c>
      <c r="F213" t="s">
        <v>3687</v>
      </c>
      <c r="G213" t="s">
        <v>8479</v>
      </c>
      <c r="H213" t="s">
        <v>14360</v>
      </c>
      <c r="I213" t="s">
        <v>8479</v>
      </c>
      <c r="J213" s="4" t="s">
        <v>8479</v>
      </c>
      <c r="L213" t="s">
        <v>1779</v>
      </c>
      <c r="M213" t="s">
        <v>15077</v>
      </c>
      <c r="N213" t="s">
        <v>3436</v>
      </c>
      <c r="O213" t="s">
        <v>3436</v>
      </c>
      <c r="P213" t="s">
        <v>3687</v>
      </c>
      <c r="Q213" t="s">
        <v>3687</v>
      </c>
      <c r="R213" t="s">
        <v>3436</v>
      </c>
      <c r="S213" t="s">
        <v>14360</v>
      </c>
    </row>
    <row r="214" spans="1:19" x14ac:dyDescent="0.2">
      <c r="A214" t="s">
        <v>2397</v>
      </c>
      <c r="B214" t="s">
        <v>14359</v>
      </c>
      <c r="C214" t="s">
        <v>19635</v>
      </c>
      <c r="D214" t="str">
        <f>_xlfn.XLOOKUP(E214,pathways!$A$2:$A$31,pathways!$B$2:$B$31)</f>
        <v>Amino acid metabolism</v>
      </c>
      <c r="E214" t="s">
        <v>3436</v>
      </c>
      <c r="F214" t="s">
        <v>3687</v>
      </c>
      <c r="G214" t="s">
        <v>4698</v>
      </c>
      <c r="H214" t="s">
        <v>14360</v>
      </c>
      <c r="I214" t="s">
        <v>4698</v>
      </c>
      <c r="J214" s="4" t="s">
        <v>4698</v>
      </c>
      <c r="L214" t="s">
        <v>2396</v>
      </c>
      <c r="M214" t="s">
        <v>15697</v>
      </c>
      <c r="N214" t="s">
        <v>3436</v>
      </c>
      <c r="O214" t="s">
        <v>3436</v>
      </c>
      <c r="P214" t="s">
        <v>3687</v>
      </c>
      <c r="Q214" t="s">
        <v>3687</v>
      </c>
      <c r="R214" t="s">
        <v>3436</v>
      </c>
      <c r="S214" t="s">
        <v>4101</v>
      </c>
    </row>
    <row r="215" spans="1:19" x14ac:dyDescent="0.2">
      <c r="A215" t="s">
        <v>1106</v>
      </c>
      <c r="B215" t="s">
        <v>14359</v>
      </c>
      <c r="C215" t="s">
        <v>19177</v>
      </c>
      <c r="D215" t="str">
        <f>_xlfn.XLOOKUP(E215,pathways!$A$2:$A$31,pathways!$B$2:$B$31)</f>
        <v>Amino acid metabolism</v>
      </c>
      <c r="E215" t="s">
        <v>3436</v>
      </c>
      <c r="F215" t="s">
        <v>3470</v>
      </c>
      <c r="G215" t="s">
        <v>14360</v>
      </c>
      <c r="H215" t="s">
        <v>14360</v>
      </c>
      <c r="I215" t="s">
        <v>5177</v>
      </c>
      <c r="J215" s="4" t="s">
        <v>5177</v>
      </c>
      <c r="L215" t="s">
        <v>1105</v>
      </c>
      <c r="M215" t="s">
        <v>14374</v>
      </c>
      <c r="N215" t="s">
        <v>3436</v>
      </c>
      <c r="O215" t="s">
        <v>3436</v>
      </c>
      <c r="P215" t="s">
        <v>3470</v>
      </c>
      <c r="Q215" t="s">
        <v>3470</v>
      </c>
      <c r="R215" t="s">
        <v>3436</v>
      </c>
      <c r="S215" t="s">
        <v>3569</v>
      </c>
    </row>
    <row r="216" spans="1:19" x14ac:dyDescent="0.2">
      <c r="A216" t="s">
        <v>20139</v>
      </c>
      <c r="B216" t="s">
        <v>14359</v>
      </c>
      <c r="C216" t="s">
        <v>20194</v>
      </c>
      <c r="D216" t="str">
        <f>_xlfn.XLOOKUP(E216,pathways!$A$2:$A$31,pathways!$B$2:$B$31)</f>
        <v>Amino acid metabolism</v>
      </c>
      <c r="E216" t="s">
        <v>3436</v>
      </c>
      <c r="F216" t="s">
        <v>20195</v>
      </c>
      <c r="G216" t="s">
        <v>14360</v>
      </c>
      <c r="H216" t="s">
        <v>14360</v>
      </c>
      <c r="J216" t="s">
        <v>20194</v>
      </c>
      <c r="S216" t="s">
        <v>3864</v>
      </c>
    </row>
    <row r="217" spans="1:19" x14ac:dyDescent="0.2">
      <c r="A217" t="s">
        <v>19108</v>
      </c>
      <c r="B217" t="s">
        <v>14359</v>
      </c>
      <c r="C217" t="s">
        <v>20203</v>
      </c>
      <c r="D217" t="str">
        <f>_xlfn.XLOOKUP(E217,pathways!$A$2:$A$31,pathways!$B$2:$B$31)</f>
        <v>Amino acid metabolism</v>
      </c>
      <c r="E217" t="s">
        <v>3436</v>
      </c>
      <c r="F217" t="s">
        <v>20195</v>
      </c>
      <c r="G217" t="s">
        <v>18190</v>
      </c>
      <c r="H217" t="s">
        <v>14360</v>
      </c>
      <c r="J217" t="s">
        <v>20203</v>
      </c>
      <c r="S217" t="s">
        <v>3437</v>
      </c>
    </row>
    <row r="218" spans="1:19" x14ac:dyDescent="0.2">
      <c r="A218" t="s">
        <v>19104</v>
      </c>
      <c r="B218" t="s">
        <v>14359</v>
      </c>
      <c r="C218" t="s">
        <v>20231</v>
      </c>
      <c r="D218" t="str">
        <f>_xlfn.XLOOKUP(E218,pathways!$A$2:$A$31,pathways!$B$2:$B$31)</f>
        <v>Amino acid metabolism</v>
      </c>
      <c r="E218" t="s">
        <v>3436</v>
      </c>
      <c r="F218" t="s">
        <v>20195</v>
      </c>
      <c r="G218" t="s">
        <v>17926</v>
      </c>
      <c r="H218" t="s">
        <v>14360</v>
      </c>
      <c r="J218" t="s">
        <v>20231</v>
      </c>
      <c r="S218" t="s">
        <v>7998</v>
      </c>
    </row>
    <row r="219" spans="1:19" x14ac:dyDescent="0.2">
      <c r="A219" t="s">
        <v>29</v>
      </c>
      <c r="B219" t="s">
        <v>14358</v>
      </c>
      <c r="C219" t="s">
        <v>27</v>
      </c>
      <c r="D219" t="str">
        <f>_xlfn.XLOOKUP(E219,pathways!$A$2:$A$31,pathways!$B$2:$B$31)</f>
        <v>Amino acid metabolism</v>
      </c>
      <c r="E219" t="s">
        <v>30</v>
      </c>
      <c r="F219" t="s">
        <v>30</v>
      </c>
      <c r="G219" t="s">
        <v>26</v>
      </c>
      <c r="H219" t="s">
        <v>27</v>
      </c>
      <c r="I219" t="s">
        <v>10733</v>
      </c>
      <c r="J219" s="4" t="s">
        <v>27</v>
      </c>
      <c r="K219" t="s">
        <v>27</v>
      </c>
      <c r="L219" t="s">
        <v>28</v>
      </c>
      <c r="M219" s="3" t="s">
        <v>16784</v>
      </c>
      <c r="N219" t="s">
        <v>30</v>
      </c>
      <c r="O219" t="s">
        <v>30</v>
      </c>
      <c r="P219" t="s">
        <v>30</v>
      </c>
      <c r="S219" t="s">
        <v>7998</v>
      </c>
    </row>
    <row r="220" spans="1:19" x14ac:dyDescent="0.2">
      <c r="A220" t="s">
        <v>570</v>
      </c>
      <c r="B220" t="s">
        <v>14358</v>
      </c>
      <c r="C220" t="s">
        <v>568</v>
      </c>
      <c r="D220" t="str">
        <f>_xlfn.XLOOKUP(E220,pathways!$A$2:$A$31,pathways!$B$2:$B$31)</f>
        <v>Amino acid metabolism</v>
      </c>
      <c r="E220" t="s">
        <v>30</v>
      </c>
      <c r="F220" t="s">
        <v>30</v>
      </c>
      <c r="G220" t="s">
        <v>14360</v>
      </c>
      <c r="H220" t="s">
        <v>568</v>
      </c>
      <c r="I220" t="s">
        <v>10735</v>
      </c>
      <c r="J220" s="4" t="s">
        <v>568</v>
      </c>
      <c r="K220" t="s">
        <v>568</v>
      </c>
      <c r="L220" t="s">
        <v>569</v>
      </c>
      <c r="M220" t="s">
        <v>16819</v>
      </c>
      <c r="N220" t="s">
        <v>30</v>
      </c>
      <c r="O220" t="s">
        <v>30</v>
      </c>
      <c r="P220" t="s">
        <v>30</v>
      </c>
      <c r="S220" t="s">
        <v>7722</v>
      </c>
    </row>
    <row r="221" spans="1:19" x14ac:dyDescent="0.2">
      <c r="A221" t="s">
        <v>574</v>
      </c>
      <c r="B221" t="s">
        <v>14358</v>
      </c>
      <c r="C221" t="s">
        <v>572</v>
      </c>
      <c r="D221" t="str">
        <f>_xlfn.XLOOKUP(E221,pathways!$A$2:$A$31,pathways!$B$2:$B$31)</f>
        <v>Amino acid metabolism</v>
      </c>
      <c r="E221" t="s">
        <v>30</v>
      </c>
      <c r="F221" t="s">
        <v>30</v>
      </c>
      <c r="G221" t="s">
        <v>14360</v>
      </c>
      <c r="H221" t="s">
        <v>572</v>
      </c>
      <c r="I221" t="s">
        <v>10737</v>
      </c>
      <c r="J221" s="4" t="s">
        <v>572</v>
      </c>
      <c r="K221" t="s">
        <v>572</v>
      </c>
      <c r="L221" t="s">
        <v>573</v>
      </c>
      <c r="M221" s="3" t="s">
        <v>16821</v>
      </c>
      <c r="N221" t="s">
        <v>30</v>
      </c>
      <c r="O221" t="s">
        <v>30</v>
      </c>
      <c r="P221" t="s">
        <v>30</v>
      </c>
      <c r="S221" t="s">
        <v>8803</v>
      </c>
    </row>
    <row r="222" spans="1:19" x14ac:dyDescent="0.2">
      <c r="A222" t="s">
        <v>588</v>
      </c>
      <c r="B222" t="s">
        <v>14358</v>
      </c>
      <c r="C222" t="s">
        <v>586</v>
      </c>
      <c r="D222" t="str">
        <f>_xlfn.XLOOKUP(E222,pathways!$A$2:$A$31,pathways!$B$2:$B$31)</f>
        <v>Amino acid metabolism</v>
      </c>
      <c r="E222" t="s">
        <v>30</v>
      </c>
      <c r="F222" t="s">
        <v>30</v>
      </c>
      <c r="G222" t="s">
        <v>14360</v>
      </c>
      <c r="H222" t="s">
        <v>586</v>
      </c>
      <c r="I222" t="s">
        <v>10739</v>
      </c>
      <c r="J222" s="4" t="s">
        <v>586</v>
      </c>
      <c r="K222" t="s">
        <v>586</v>
      </c>
      <c r="L222" t="s">
        <v>587</v>
      </c>
      <c r="M222" s="3" t="s">
        <v>16831</v>
      </c>
      <c r="N222" t="s">
        <v>30</v>
      </c>
      <c r="O222" t="s">
        <v>30</v>
      </c>
      <c r="P222" t="s">
        <v>30</v>
      </c>
      <c r="S222" t="s">
        <v>8803</v>
      </c>
    </row>
    <row r="223" spans="1:19" x14ac:dyDescent="0.2">
      <c r="A223" t="s">
        <v>592</v>
      </c>
      <c r="B223" t="s">
        <v>14358</v>
      </c>
      <c r="C223" t="s">
        <v>590</v>
      </c>
      <c r="D223" t="str">
        <f>_xlfn.XLOOKUP(E223,pathways!$A$2:$A$31,pathways!$B$2:$B$31)</f>
        <v>Amino acid metabolism</v>
      </c>
      <c r="E223" t="s">
        <v>30</v>
      </c>
      <c r="F223" t="s">
        <v>593</v>
      </c>
      <c r="G223" t="s">
        <v>14360</v>
      </c>
      <c r="H223" t="s">
        <v>590</v>
      </c>
      <c r="I223" t="s">
        <v>10744</v>
      </c>
      <c r="J223" s="4" t="s">
        <v>590</v>
      </c>
      <c r="K223" t="s">
        <v>590</v>
      </c>
      <c r="L223" t="s">
        <v>591</v>
      </c>
      <c r="M223" s="3" t="s">
        <v>16855</v>
      </c>
      <c r="N223" t="s">
        <v>30</v>
      </c>
      <c r="O223" t="s">
        <v>30</v>
      </c>
      <c r="P223" t="s">
        <v>593</v>
      </c>
      <c r="Q223" t="s">
        <v>593</v>
      </c>
      <c r="S223" t="s">
        <v>8803</v>
      </c>
    </row>
    <row r="224" spans="1:19" x14ac:dyDescent="0.2">
      <c r="A224" t="s">
        <v>605</v>
      </c>
      <c r="B224" t="s">
        <v>14358</v>
      </c>
      <c r="C224" t="s">
        <v>603</v>
      </c>
      <c r="D224" t="str">
        <f>_xlfn.XLOOKUP(E224,pathways!$A$2:$A$31,pathways!$B$2:$B$31)</f>
        <v>Amino acid metabolism</v>
      </c>
      <c r="E224" t="s">
        <v>30</v>
      </c>
      <c r="F224" t="s">
        <v>593</v>
      </c>
      <c r="G224" t="s">
        <v>602</v>
      </c>
      <c r="H224" t="s">
        <v>603</v>
      </c>
      <c r="I224" t="s">
        <v>10746</v>
      </c>
      <c r="J224" s="4" t="s">
        <v>603</v>
      </c>
      <c r="K224" t="s">
        <v>603</v>
      </c>
      <c r="L224" t="s">
        <v>604</v>
      </c>
      <c r="M224" s="3" t="s">
        <v>16864</v>
      </c>
      <c r="N224" t="s">
        <v>30</v>
      </c>
      <c r="O224" t="s">
        <v>30</v>
      </c>
      <c r="P224" t="s">
        <v>593</v>
      </c>
      <c r="Q224" t="s">
        <v>593</v>
      </c>
      <c r="S224" t="s">
        <v>8803</v>
      </c>
    </row>
    <row r="225" spans="1:19" x14ac:dyDescent="0.2">
      <c r="A225" t="s">
        <v>650</v>
      </c>
      <c r="B225" t="s">
        <v>14358</v>
      </c>
      <c r="C225" t="s">
        <v>648</v>
      </c>
      <c r="D225" t="str">
        <f>_xlfn.XLOOKUP(E225,pathways!$A$2:$A$31,pathways!$B$2:$B$31)</f>
        <v>Amino acid metabolism</v>
      </c>
      <c r="E225" t="s">
        <v>30</v>
      </c>
      <c r="F225" t="s">
        <v>651</v>
      </c>
      <c r="G225" t="s">
        <v>14360</v>
      </c>
      <c r="H225" t="s">
        <v>648</v>
      </c>
      <c r="I225" t="s">
        <v>10750</v>
      </c>
      <c r="J225" s="4" t="s">
        <v>648</v>
      </c>
      <c r="K225" t="s">
        <v>648</v>
      </c>
      <c r="L225" t="s">
        <v>649</v>
      </c>
      <c r="M225" s="3" t="s">
        <v>16974</v>
      </c>
      <c r="N225" t="s">
        <v>30</v>
      </c>
      <c r="O225" t="s">
        <v>30</v>
      </c>
      <c r="P225" t="s">
        <v>651</v>
      </c>
      <c r="Q225" t="s">
        <v>651</v>
      </c>
      <c r="S225" t="s">
        <v>8803</v>
      </c>
    </row>
    <row r="226" spans="1:19" x14ac:dyDescent="0.2">
      <c r="A226" t="s">
        <v>833</v>
      </c>
      <c r="B226" t="s">
        <v>14358</v>
      </c>
      <c r="C226" t="s">
        <v>832</v>
      </c>
      <c r="D226" t="str">
        <f>_xlfn.XLOOKUP(E226,pathways!$A$2:$A$31,pathways!$B$2:$B$31)</f>
        <v>Amino acid metabolism</v>
      </c>
      <c r="E226" t="s">
        <v>30</v>
      </c>
      <c r="F226" t="s">
        <v>593</v>
      </c>
      <c r="G226" t="s">
        <v>14360</v>
      </c>
      <c r="H226" t="s">
        <v>10741</v>
      </c>
      <c r="I226" t="s">
        <v>10741</v>
      </c>
      <c r="J226" s="4" t="s">
        <v>14360</v>
      </c>
      <c r="K226" t="s">
        <v>832</v>
      </c>
      <c r="L226" t="s">
        <v>14360</v>
      </c>
      <c r="M226" t="s">
        <v>14360</v>
      </c>
      <c r="N226" t="s">
        <v>30</v>
      </c>
      <c r="O226" t="s">
        <v>14360</v>
      </c>
      <c r="P226" t="s">
        <v>593</v>
      </c>
      <c r="Q226" t="s">
        <v>14360</v>
      </c>
      <c r="R226" t="s">
        <v>14360</v>
      </c>
      <c r="S226" t="s">
        <v>8803</v>
      </c>
    </row>
    <row r="227" spans="1:19" x14ac:dyDescent="0.2">
      <c r="A227" t="s">
        <v>1071</v>
      </c>
      <c r="B227" t="s">
        <v>14358</v>
      </c>
      <c r="C227" t="s">
        <v>1069</v>
      </c>
      <c r="D227" t="str">
        <f>_xlfn.XLOOKUP(E227,pathways!$A$2:$A$31,pathways!$B$2:$B$31)</f>
        <v>Amino acid metabolism</v>
      </c>
      <c r="E227" t="s">
        <v>30</v>
      </c>
      <c r="F227" t="s">
        <v>651</v>
      </c>
      <c r="G227" t="s">
        <v>14360</v>
      </c>
      <c r="H227" t="s">
        <v>1069</v>
      </c>
      <c r="I227" t="s">
        <v>10752</v>
      </c>
      <c r="J227" s="4" t="s">
        <v>1069</v>
      </c>
      <c r="K227" t="s">
        <v>1069</v>
      </c>
      <c r="L227" t="s">
        <v>1070</v>
      </c>
      <c r="M227" s="3" t="s">
        <v>17042</v>
      </c>
      <c r="N227" t="s">
        <v>30</v>
      </c>
      <c r="O227" t="s">
        <v>30</v>
      </c>
      <c r="P227" t="s">
        <v>651</v>
      </c>
      <c r="Q227" t="s">
        <v>651</v>
      </c>
      <c r="S227" t="s">
        <v>8803</v>
      </c>
    </row>
    <row r="228" spans="1:19" x14ac:dyDescent="0.2">
      <c r="A228" t="s">
        <v>1075</v>
      </c>
      <c r="B228" t="s">
        <v>14358</v>
      </c>
      <c r="C228" t="s">
        <v>1073</v>
      </c>
      <c r="D228" t="str">
        <f>_xlfn.XLOOKUP(E228,pathways!$A$2:$A$31,pathways!$B$2:$B$31)</f>
        <v>Amino acid metabolism</v>
      </c>
      <c r="E228" t="s">
        <v>30</v>
      </c>
      <c r="F228" t="s">
        <v>593</v>
      </c>
      <c r="G228" t="s">
        <v>1072</v>
      </c>
      <c r="H228" t="s">
        <v>1073</v>
      </c>
      <c r="I228" t="s">
        <v>10748</v>
      </c>
      <c r="J228" s="4" t="s">
        <v>1073</v>
      </c>
      <c r="K228" t="s">
        <v>1073</v>
      </c>
      <c r="L228" t="s">
        <v>1074</v>
      </c>
      <c r="M228" s="3" t="s">
        <v>17044</v>
      </c>
      <c r="N228" t="s">
        <v>30</v>
      </c>
      <c r="O228" t="s">
        <v>30</v>
      </c>
      <c r="P228" t="s">
        <v>593</v>
      </c>
      <c r="Q228" t="s">
        <v>593</v>
      </c>
      <c r="S228" t="s">
        <v>8803</v>
      </c>
    </row>
    <row r="229" spans="1:19" x14ac:dyDescent="0.2">
      <c r="A229" t="s">
        <v>39</v>
      </c>
      <c r="B229" t="s">
        <v>14358</v>
      </c>
      <c r="C229" t="s">
        <v>40</v>
      </c>
      <c r="D229" t="str">
        <f>_xlfn.XLOOKUP(E229,pathways!$A$2:$A$31,pathways!$B$2:$B$31)</f>
        <v>Lipoproteins</v>
      </c>
      <c r="E229" t="s">
        <v>41</v>
      </c>
      <c r="F229" t="s">
        <v>41</v>
      </c>
      <c r="G229" t="s">
        <v>14360</v>
      </c>
      <c r="H229" t="s">
        <v>11201</v>
      </c>
      <c r="I229" t="s">
        <v>10675</v>
      </c>
      <c r="J229" s="4" t="s">
        <v>37</v>
      </c>
      <c r="K229" t="s">
        <v>37</v>
      </c>
      <c r="L229" t="s">
        <v>38</v>
      </c>
      <c r="M229" t="s">
        <v>16787</v>
      </c>
      <c r="N229" t="s">
        <v>41</v>
      </c>
      <c r="O229" t="s">
        <v>41</v>
      </c>
      <c r="P229" t="s">
        <v>41</v>
      </c>
      <c r="S229" t="s">
        <v>7722</v>
      </c>
    </row>
    <row r="230" spans="1:19" x14ac:dyDescent="0.2">
      <c r="A230" t="s">
        <v>45</v>
      </c>
      <c r="B230" t="s">
        <v>14358</v>
      </c>
      <c r="C230" t="s">
        <v>43</v>
      </c>
      <c r="D230" t="str">
        <f>_xlfn.XLOOKUP(E230,pathways!$A$2:$A$31,pathways!$B$2:$B$31)</f>
        <v>Lipoproteins</v>
      </c>
      <c r="E230" t="s">
        <v>41</v>
      </c>
      <c r="F230" t="s">
        <v>41</v>
      </c>
      <c r="G230" t="s">
        <v>14360</v>
      </c>
      <c r="H230" t="s">
        <v>11243</v>
      </c>
      <c r="I230" t="s">
        <v>10673</v>
      </c>
      <c r="J230" s="4" t="s">
        <v>43</v>
      </c>
      <c r="K230" t="s">
        <v>43</v>
      </c>
      <c r="L230" t="s">
        <v>44</v>
      </c>
      <c r="M230" t="s">
        <v>16789</v>
      </c>
      <c r="N230" t="s">
        <v>41</v>
      </c>
      <c r="O230" t="s">
        <v>41</v>
      </c>
      <c r="P230" t="s">
        <v>41</v>
      </c>
      <c r="S230" t="s">
        <v>7722</v>
      </c>
    </row>
    <row r="231" spans="1:19" x14ac:dyDescent="0.2">
      <c r="A231" t="s">
        <v>49</v>
      </c>
      <c r="B231" t="s">
        <v>14358</v>
      </c>
      <c r="C231" t="s">
        <v>13677</v>
      </c>
      <c r="D231" t="str">
        <f>_xlfn.XLOOKUP(E231,pathways!$A$2:$A$31,pathways!$B$2:$B$31)</f>
        <v>Lipoproteins</v>
      </c>
      <c r="E231" t="s">
        <v>41</v>
      </c>
      <c r="F231" t="s">
        <v>41</v>
      </c>
      <c r="G231" t="s">
        <v>14360</v>
      </c>
      <c r="H231" t="s">
        <v>11276</v>
      </c>
      <c r="I231" t="s">
        <v>10677</v>
      </c>
      <c r="J231" s="4" t="s">
        <v>13677</v>
      </c>
      <c r="K231" t="s">
        <v>47</v>
      </c>
      <c r="L231" t="s">
        <v>48</v>
      </c>
      <c r="M231" t="s">
        <v>16791</v>
      </c>
      <c r="N231" t="s">
        <v>41</v>
      </c>
      <c r="O231" t="s">
        <v>41</v>
      </c>
      <c r="P231" t="s">
        <v>41</v>
      </c>
      <c r="S231" t="s">
        <v>8803</v>
      </c>
    </row>
    <row r="232" spans="1:19" x14ac:dyDescent="0.2">
      <c r="A232" s="8" t="s">
        <v>19874</v>
      </c>
      <c r="B232" t="s">
        <v>14358</v>
      </c>
      <c r="C232" t="s">
        <v>13677</v>
      </c>
      <c r="D232" t="str">
        <f>_xlfn.XLOOKUP(E232,pathways!$A$2:$A$31,pathways!$B$2:$B$31)</f>
        <v>Lipoproteins</v>
      </c>
      <c r="E232" t="s">
        <v>41</v>
      </c>
      <c r="F232" t="s">
        <v>41</v>
      </c>
      <c r="G232" t="s">
        <v>14360</v>
      </c>
      <c r="H232" t="s">
        <v>14360</v>
      </c>
      <c r="I232" t="s">
        <v>10677</v>
      </c>
      <c r="J232" s="4" t="s">
        <v>13677</v>
      </c>
      <c r="K232" t="s">
        <v>47</v>
      </c>
      <c r="L232" t="s">
        <v>48</v>
      </c>
      <c r="M232" t="s">
        <v>16791</v>
      </c>
      <c r="N232" t="s">
        <v>41</v>
      </c>
      <c r="O232" t="s">
        <v>41</v>
      </c>
      <c r="P232" t="s">
        <v>41</v>
      </c>
      <c r="S232" t="s">
        <v>8803</v>
      </c>
    </row>
    <row r="233" spans="1:19" x14ac:dyDescent="0.2">
      <c r="A233" t="s">
        <v>1148</v>
      </c>
      <c r="B233" t="s">
        <v>14359</v>
      </c>
      <c r="C233" t="s">
        <v>19193</v>
      </c>
      <c r="D233" t="str">
        <f>_xlfn.XLOOKUP(E233,pathways!$A$2:$A$31,pathways!$B$2:$B$31)</f>
        <v>Carbohydrate/energy metabolism</v>
      </c>
      <c r="E233" t="s">
        <v>3977</v>
      </c>
      <c r="F233" t="s">
        <v>4084</v>
      </c>
      <c r="G233" t="s">
        <v>14360</v>
      </c>
      <c r="H233" t="s">
        <v>14360</v>
      </c>
      <c r="I233" t="s">
        <v>5413</v>
      </c>
      <c r="J233" s="4" t="s">
        <v>5413</v>
      </c>
      <c r="L233" t="s">
        <v>1147</v>
      </c>
      <c r="M233" t="s">
        <v>14418</v>
      </c>
      <c r="N233" t="s">
        <v>3977</v>
      </c>
      <c r="O233" t="s">
        <v>3977</v>
      </c>
      <c r="P233" t="s">
        <v>4084</v>
      </c>
      <c r="Q233" t="s">
        <v>4084</v>
      </c>
      <c r="R233" t="s">
        <v>3977</v>
      </c>
      <c r="S233" t="s">
        <v>8803</v>
      </c>
    </row>
    <row r="234" spans="1:19" x14ac:dyDescent="0.2">
      <c r="A234" t="s">
        <v>1843</v>
      </c>
      <c r="B234" t="s">
        <v>14359</v>
      </c>
      <c r="C234" t="s">
        <v>19413</v>
      </c>
      <c r="D234" t="str">
        <f>_xlfn.XLOOKUP(E234,pathways!$A$2:$A$31,pathways!$B$2:$B$31)</f>
        <v>Carbohydrate/energy metabolism</v>
      </c>
      <c r="E234" t="s">
        <v>3977</v>
      </c>
      <c r="F234" t="s">
        <v>4446</v>
      </c>
      <c r="G234" t="s">
        <v>8701</v>
      </c>
      <c r="H234" t="s">
        <v>14360</v>
      </c>
      <c r="I234" t="s">
        <v>8701</v>
      </c>
      <c r="J234" s="4" t="s">
        <v>8701</v>
      </c>
      <c r="L234" t="s">
        <v>1842</v>
      </c>
      <c r="M234" t="s">
        <v>15144</v>
      </c>
      <c r="N234" t="s">
        <v>3977</v>
      </c>
      <c r="O234" t="s">
        <v>3977</v>
      </c>
      <c r="P234" t="s">
        <v>4446</v>
      </c>
      <c r="Q234" t="s">
        <v>4446</v>
      </c>
      <c r="R234" t="s">
        <v>3977</v>
      </c>
      <c r="S234" t="s">
        <v>7722</v>
      </c>
    </row>
    <row r="235" spans="1:19" x14ac:dyDescent="0.2">
      <c r="A235" t="s">
        <v>1804</v>
      </c>
      <c r="B235" t="s">
        <v>14359</v>
      </c>
      <c r="C235" t="s">
        <v>19400</v>
      </c>
      <c r="D235" t="str">
        <f>_xlfn.XLOOKUP(E235,pathways!$A$2:$A$31,pathways!$B$2:$B$31)</f>
        <v>Carbohydrate/energy metabolism</v>
      </c>
      <c r="E235" t="s">
        <v>3977</v>
      </c>
      <c r="F235" t="s">
        <v>4446</v>
      </c>
      <c r="G235" t="s">
        <v>8459</v>
      </c>
      <c r="H235" t="s">
        <v>14360</v>
      </c>
      <c r="I235" t="s">
        <v>8459</v>
      </c>
      <c r="J235" s="4" t="s">
        <v>8459</v>
      </c>
      <c r="L235" t="s">
        <v>1803</v>
      </c>
      <c r="M235" t="s">
        <v>15103</v>
      </c>
      <c r="N235" t="s">
        <v>3977</v>
      </c>
      <c r="O235" t="s">
        <v>3977</v>
      </c>
      <c r="P235" t="s">
        <v>4446</v>
      </c>
      <c r="Q235" t="s">
        <v>4446</v>
      </c>
      <c r="R235" t="s">
        <v>3977</v>
      </c>
      <c r="S235" t="s">
        <v>5441</v>
      </c>
    </row>
    <row r="236" spans="1:19" x14ac:dyDescent="0.2">
      <c r="A236" t="s">
        <v>1336</v>
      </c>
      <c r="B236" t="s">
        <v>14359</v>
      </c>
      <c r="C236" t="s">
        <v>19255</v>
      </c>
      <c r="D236" t="str">
        <f>_xlfn.XLOOKUP(E236,pathways!$A$2:$A$31,pathways!$B$2:$B$31)</f>
        <v>Carbohydrate/energy metabolism</v>
      </c>
      <c r="E236" t="s">
        <v>3977</v>
      </c>
      <c r="F236" t="s">
        <v>4806</v>
      </c>
      <c r="G236" t="s">
        <v>20423</v>
      </c>
      <c r="H236" t="s">
        <v>14360</v>
      </c>
      <c r="I236" t="s">
        <v>6231</v>
      </c>
      <c r="J236" s="4" t="s">
        <v>6231</v>
      </c>
      <c r="L236" t="s">
        <v>1335</v>
      </c>
      <c r="M236" t="s">
        <v>14614</v>
      </c>
      <c r="N236" t="s">
        <v>3977</v>
      </c>
      <c r="O236" t="s">
        <v>3977</v>
      </c>
      <c r="P236" t="s">
        <v>4806</v>
      </c>
      <c r="Q236" t="s">
        <v>4806</v>
      </c>
      <c r="R236" t="s">
        <v>3977</v>
      </c>
      <c r="S236" t="s">
        <v>5441</v>
      </c>
    </row>
    <row r="237" spans="1:19" x14ac:dyDescent="0.2">
      <c r="A237" t="s">
        <v>2618</v>
      </c>
      <c r="B237" t="s">
        <v>14359</v>
      </c>
      <c r="C237" t="s">
        <v>19722</v>
      </c>
      <c r="D237" t="str">
        <f>_xlfn.XLOOKUP(E237,pathways!$A$2:$A$31,pathways!$B$2:$B$31)</f>
        <v>Carbohydrate/energy metabolism</v>
      </c>
      <c r="E237" t="s">
        <v>3977</v>
      </c>
      <c r="F237" t="s">
        <v>4293</v>
      </c>
      <c r="G237" t="s">
        <v>14360</v>
      </c>
      <c r="H237" t="s">
        <v>14360</v>
      </c>
      <c r="I237" t="s">
        <v>4384</v>
      </c>
      <c r="J237" s="4" t="s">
        <v>4384</v>
      </c>
      <c r="L237" t="s">
        <v>2617</v>
      </c>
      <c r="M237" t="s">
        <v>15951</v>
      </c>
      <c r="N237" t="s">
        <v>3977</v>
      </c>
      <c r="O237" t="s">
        <v>3977</v>
      </c>
      <c r="P237" t="s">
        <v>4293</v>
      </c>
      <c r="Q237" t="s">
        <v>4293</v>
      </c>
      <c r="R237" t="s">
        <v>3977</v>
      </c>
      <c r="S237" t="s">
        <v>14360</v>
      </c>
    </row>
    <row r="238" spans="1:19" x14ac:dyDescent="0.2">
      <c r="A238" t="s">
        <v>1236</v>
      </c>
      <c r="B238" t="s">
        <v>14359</v>
      </c>
      <c r="C238" t="s">
        <v>19221</v>
      </c>
      <c r="D238" t="str">
        <f>_xlfn.XLOOKUP(E238,pathways!$A$2:$A$31,pathways!$B$2:$B$31)</f>
        <v>Carbohydrate/energy metabolism</v>
      </c>
      <c r="E238" t="s">
        <v>3977</v>
      </c>
      <c r="F238" t="s">
        <v>4293</v>
      </c>
      <c r="G238" t="s">
        <v>14360</v>
      </c>
      <c r="H238" t="s">
        <v>14360</v>
      </c>
      <c r="I238" t="s">
        <v>5726</v>
      </c>
      <c r="J238" s="4" t="s">
        <v>14360</v>
      </c>
      <c r="L238" t="s">
        <v>1235</v>
      </c>
      <c r="M238" t="s">
        <v>14512</v>
      </c>
      <c r="N238" t="s">
        <v>3977</v>
      </c>
      <c r="O238" t="s">
        <v>14360</v>
      </c>
      <c r="P238" t="s">
        <v>4293</v>
      </c>
      <c r="Q238" t="s">
        <v>14360</v>
      </c>
      <c r="R238" t="s">
        <v>3977</v>
      </c>
      <c r="S238" t="s">
        <v>5418</v>
      </c>
    </row>
    <row r="239" spans="1:19" x14ac:dyDescent="0.2">
      <c r="A239" t="s">
        <v>14225</v>
      </c>
      <c r="B239" t="s">
        <v>14359</v>
      </c>
      <c r="C239" t="s">
        <v>564</v>
      </c>
      <c r="D239" t="str">
        <f>_xlfn.XLOOKUP(E239,pathways!$A$2:$A$31,pathways!$B$2:$B$31)</f>
        <v>Carbohydrate/energy metabolism</v>
      </c>
      <c r="E239" t="s">
        <v>3977</v>
      </c>
      <c r="F239" t="s">
        <v>4084</v>
      </c>
      <c r="G239" t="s">
        <v>14360</v>
      </c>
      <c r="H239" t="s">
        <v>14360</v>
      </c>
      <c r="I239" t="s">
        <v>14360</v>
      </c>
      <c r="J239" s="4" t="s">
        <v>563</v>
      </c>
      <c r="L239" t="s">
        <v>14360</v>
      </c>
      <c r="M239" t="s">
        <v>14360</v>
      </c>
      <c r="N239" t="s">
        <v>14360</v>
      </c>
      <c r="O239" t="s">
        <v>3977</v>
      </c>
      <c r="P239" t="s">
        <v>14360</v>
      </c>
      <c r="Q239" t="s">
        <v>4084</v>
      </c>
      <c r="R239" t="s">
        <v>14360</v>
      </c>
      <c r="S239" t="s">
        <v>14360</v>
      </c>
    </row>
    <row r="240" spans="1:19" x14ac:dyDescent="0.2">
      <c r="A240" t="s">
        <v>13773</v>
      </c>
      <c r="B240" t="s">
        <v>14359</v>
      </c>
      <c r="C240" t="s">
        <v>564</v>
      </c>
      <c r="D240" t="str">
        <f>_xlfn.XLOOKUP(E240,pathways!$A$2:$A$31,pathways!$B$2:$B$31)</f>
        <v>Carbohydrate/energy metabolism</v>
      </c>
      <c r="E240" t="s">
        <v>3977</v>
      </c>
      <c r="F240" t="s">
        <v>4084</v>
      </c>
      <c r="G240" t="s">
        <v>14360</v>
      </c>
      <c r="H240" t="s">
        <v>14360</v>
      </c>
      <c r="I240" t="s">
        <v>563</v>
      </c>
      <c r="J240" s="4" t="s">
        <v>14360</v>
      </c>
      <c r="L240" t="s">
        <v>565</v>
      </c>
      <c r="M240" t="s">
        <v>15957</v>
      </c>
      <c r="N240" t="s">
        <v>3977</v>
      </c>
      <c r="O240" t="s">
        <v>14360</v>
      </c>
      <c r="P240" t="s">
        <v>4084</v>
      </c>
      <c r="Q240" t="s">
        <v>14360</v>
      </c>
      <c r="R240" t="s">
        <v>3977</v>
      </c>
      <c r="S240" t="s">
        <v>5418</v>
      </c>
    </row>
    <row r="241" spans="1:19" x14ac:dyDescent="0.2">
      <c r="A241" t="s">
        <v>1134</v>
      </c>
      <c r="B241" t="s">
        <v>14359</v>
      </c>
      <c r="C241" t="s">
        <v>19186</v>
      </c>
      <c r="D241" t="str">
        <f>_xlfn.XLOOKUP(E241,pathways!$A$2:$A$31,pathways!$B$2:$B$31)</f>
        <v>Carbohydrate/energy metabolism</v>
      </c>
      <c r="E241" t="s">
        <v>3977</v>
      </c>
      <c r="F241" t="s">
        <v>4806</v>
      </c>
      <c r="G241" t="s">
        <v>5249</v>
      </c>
      <c r="H241" t="s">
        <v>14360</v>
      </c>
      <c r="I241" t="s">
        <v>5249</v>
      </c>
      <c r="J241" s="4" t="s">
        <v>5249</v>
      </c>
      <c r="L241" t="s">
        <v>1133</v>
      </c>
      <c r="M241" t="s">
        <v>14404</v>
      </c>
      <c r="N241" t="s">
        <v>3977</v>
      </c>
      <c r="O241" t="s">
        <v>3977</v>
      </c>
      <c r="P241" t="s">
        <v>4806</v>
      </c>
      <c r="Q241" t="s">
        <v>4806</v>
      </c>
      <c r="R241" t="s">
        <v>3977</v>
      </c>
      <c r="S241" t="s">
        <v>14360</v>
      </c>
    </row>
    <row r="242" spans="1:19" x14ac:dyDescent="0.2">
      <c r="A242" t="s">
        <v>2361</v>
      </c>
      <c r="B242" t="s">
        <v>14359</v>
      </c>
      <c r="C242" t="s">
        <v>19622</v>
      </c>
      <c r="D242" t="str">
        <f>_xlfn.XLOOKUP(E242,pathways!$A$2:$A$31,pathways!$B$2:$B$31)</f>
        <v>Carbohydrate/energy metabolism</v>
      </c>
      <c r="E242" t="s">
        <v>3977</v>
      </c>
      <c r="F242" t="s">
        <v>4084</v>
      </c>
      <c r="G242" t="s">
        <v>14360</v>
      </c>
      <c r="H242" t="s">
        <v>14360</v>
      </c>
      <c r="I242" t="s">
        <v>4594</v>
      </c>
      <c r="J242" s="4" t="s">
        <v>4594</v>
      </c>
      <c r="L242" t="s">
        <v>2360</v>
      </c>
      <c r="M242" t="s">
        <v>15659</v>
      </c>
      <c r="N242" t="s">
        <v>3977</v>
      </c>
      <c r="O242" t="s">
        <v>3977</v>
      </c>
      <c r="P242" t="s">
        <v>4084</v>
      </c>
      <c r="Q242" t="s">
        <v>4084</v>
      </c>
      <c r="R242" t="s">
        <v>3977</v>
      </c>
      <c r="S242" t="s">
        <v>14360</v>
      </c>
    </row>
    <row r="243" spans="1:19" x14ac:dyDescent="0.2">
      <c r="A243" t="s">
        <v>13769</v>
      </c>
      <c r="B243" t="s">
        <v>14359</v>
      </c>
      <c r="C243" t="s">
        <v>595</v>
      </c>
      <c r="D243" t="str">
        <f>_xlfn.XLOOKUP(E243,pathways!$A$2:$A$31,pathways!$B$2:$B$31)</f>
        <v>Carbohydrate/energy metabolism</v>
      </c>
      <c r="E243" t="s">
        <v>3977</v>
      </c>
      <c r="F243" t="s">
        <v>4084</v>
      </c>
      <c r="G243" t="s">
        <v>14360</v>
      </c>
      <c r="H243" t="s">
        <v>14360</v>
      </c>
      <c r="I243" t="s">
        <v>594</v>
      </c>
      <c r="J243" s="4" t="s">
        <v>594</v>
      </c>
      <c r="L243" t="s">
        <v>596</v>
      </c>
      <c r="M243" t="s">
        <v>15895</v>
      </c>
      <c r="N243" t="s">
        <v>3977</v>
      </c>
      <c r="O243" t="s">
        <v>3977</v>
      </c>
      <c r="P243" t="s">
        <v>4084</v>
      </c>
      <c r="Q243" t="s">
        <v>4084</v>
      </c>
      <c r="R243" t="s">
        <v>3977</v>
      </c>
      <c r="S243" t="s">
        <v>14360</v>
      </c>
    </row>
    <row r="244" spans="1:19" x14ac:dyDescent="0.2">
      <c r="A244" t="s">
        <v>13765</v>
      </c>
      <c r="B244" t="s">
        <v>14359</v>
      </c>
      <c r="C244" t="s">
        <v>20001</v>
      </c>
      <c r="D244" t="str">
        <f>_xlfn.XLOOKUP(E244,pathways!$A$2:$A$31,pathways!$B$2:$B$31)</f>
        <v>Carbohydrate/energy metabolism</v>
      </c>
      <c r="E244" t="s">
        <v>3977</v>
      </c>
      <c r="F244" t="s">
        <v>3978</v>
      </c>
      <c r="G244" t="s">
        <v>14360</v>
      </c>
      <c r="H244" t="s">
        <v>14360</v>
      </c>
      <c r="I244" t="s">
        <v>3981</v>
      </c>
      <c r="J244" s="4" t="s">
        <v>14360</v>
      </c>
      <c r="L244" t="s">
        <v>14360</v>
      </c>
      <c r="M244" t="s">
        <v>14360</v>
      </c>
      <c r="N244" t="s">
        <v>3977</v>
      </c>
      <c r="O244" t="s">
        <v>14360</v>
      </c>
      <c r="P244" t="s">
        <v>3978</v>
      </c>
      <c r="Q244" t="s">
        <v>14360</v>
      </c>
      <c r="R244" t="s">
        <v>14360</v>
      </c>
      <c r="S244" t="s">
        <v>5441</v>
      </c>
    </row>
    <row r="245" spans="1:19" x14ac:dyDescent="0.2">
      <c r="A245" t="s">
        <v>2633</v>
      </c>
      <c r="B245" t="s">
        <v>14359</v>
      </c>
      <c r="C245" t="s">
        <v>19730</v>
      </c>
      <c r="D245" t="str">
        <f>_xlfn.XLOOKUP(E245,pathways!$A$2:$A$31,pathways!$B$2:$B$31)</f>
        <v>Carbohydrate/energy metabolism</v>
      </c>
      <c r="E245" t="s">
        <v>3977</v>
      </c>
      <c r="F245" t="s">
        <v>4437</v>
      </c>
      <c r="G245" t="s">
        <v>14360</v>
      </c>
      <c r="H245" t="s">
        <v>14360</v>
      </c>
      <c r="I245" t="s">
        <v>4440</v>
      </c>
      <c r="J245" s="4" t="s">
        <v>14360</v>
      </c>
      <c r="L245" t="s">
        <v>2632</v>
      </c>
      <c r="M245" t="s">
        <v>15971</v>
      </c>
      <c r="N245" t="s">
        <v>3977</v>
      </c>
      <c r="O245" t="s">
        <v>14360</v>
      </c>
      <c r="P245" t="s">
        <v>4437</v>
      </c>
      <c r="Q245" t="s">
        <v>14360</v>
      </c>
      <c r="R245" t="s">
        <v>3977</v>
      </c>
      <c r="S245" t="s">
        <v>5441</v>
      </c>
    </row>
    <row r="246" spans="1:19" x14ac:dyDescent="0.2">
      <c r="A246" t="s">
        <v>1100</v>
      </c>
      <c r="B246" t="s">
        <v>14359</v>
      </c>
      <c r="C246" t="s">
        <v>19174</v>
      </c>
      <c r="D246" t="str">
        <f>_xlfn.XLOOKUP(E246,pathways!$A$2:$A$31,pathways!$B$2:$B$31)</f>
        <v>Carbohydrate/energy metabolism</v>
      </c>
      <c r="E246" t="s">
        <v>3977</v>
      </c>
      <c r="F246" t="s">
        <v>4437</v>
      </c>
      <c r="G246" t="s">
        <v>14360</v>
      </c>
      <c r="H246" t="s">
        <v>14360</v>
      </c>
      <c r="I246" t="s">
        <v>14360</v>
      </c>
      <c r="J246" s="4" t="s">
        <v>12137</v>
      </c>
      <c r="L246" t="s">
        <v>1099</v>
      </c>
      <c r="M246" t="s">
        <v>14368</v>
      </c>
      <c r="N246" t="s">
        <v>14360</v>
      </c>
      <c r="O246" t="s">
        <v>3977</v>
      </c>
      <c r="P246" t="s">
        <v>14360</v>
      </c>
      <c r="Q246" t="s">
        <v>4437</v>
      </c>
      <c r="R246" t="s">
        <v>3977</v>
      </c>
      <c r="S246" t="s">
        <v>14360</v>
      </c>
    </row>
    <row r="247" spans="1:19" x14ac:dyDescent="0.2">
      <c r="A247" t="s">
        <v>1473</v>
      </c>
      <c r="B247" t="s">
        <v>14359</v>
      </c>
      <c r="C247" t="s">
        <v>19304</v>
      </c>
      <c r="D247" t="str">
        <f>_xlfn.XLOOKUP(E247,pathways!$A$2:$A$31,pathways!$B$2:$B$31)</f>
        <v>Carbohydrate/energy metabolism</v>
      </c>
      <c r="E247" t="s">
        <v>3977</v>
      </c>
      <c r="F247" t="s">
        <v>4293</v>
      </c>
      <c r="G247" t="s">
        <v>14360</v>
      </c>
      <c r="H247" t="s">
        <v>14360</v>
      </c>
      <c r="I247" t="s">
        <v>6901</v>
      </c>
      <c r="J247" s="4" t="s">
        <v>6901</v>
      </c>
      <c r="L247" t="s">
        <v>1472</v>
      </c>
      <c r="M247" t="s">
        <v>14758</v>
      </c>
      <c r="N247" t="s">
        <v>3977</v>
      </c>
      <c r="O247" t="s">
        <v>3977</v>
      </c>
      <c r="P247" t="s">
        <v>4293</v>
      </c>
      <c r="Q247" t="s">
        <v>4293</v>
      </c>
      <c r="R247" t="s">
        <v>3977</v>
      </c>
      <c r="S247" t="s">
        <v>5021</v>
      </c>
    </row>
    <row r="248" spans="1:19" x14ac:dyDescent="0.2">
      <c r="A248" t="s">
        <v>2614</v>
      </c>
      <c r="B248" t="s">
        <v>14359</v>
      </c>
      <c r="C248" t="s">
        <v>19720</v>
      </c>
      <c r="D248" t="str">
        <f>_xlfn.XLOOKUP(E248,pathways!$A$2:$A$31,pathways!$B$2:$B$31)</f>
        <v>Carbohydrate/energy metabolism</v>
      </c>
      <c r="E248" t="s">
        <v>3977</v>
      </c>
      <c r="F248" t="s">
        <v>4293</v>
      </c>
      <c r="G248" t="s">
        <v>14360</v>
      </c>
      <c r="H248" t="s">
        <v>14360</v>
      </c>
      <c r="I248" t="s">
        <v>4296</v>
      </c>
      <c r="J248" s="4" t="s">
        <v>4296</v>
      </c>
      <c r="L248" t="s">
        <v>2613</v>
      </c>
      <c r="M248" t="s">
        <v>15947</v>
      </c>
      <c r="N248" t="s">
        <v>3977</v>
      </c>
      <c r="O248" t="s">
        <v>3977</v>
      </c>
      <c r="P248" t="s">
        <v>4293</v>
      </c>
      <c r="Q248" t="s">
        <v>4293</v>
      </c>
      <c r="R248" t="s">
        <v>3977</v>
      </c>
      <c r="S248" t="s">
        <v>14360</v>
      </c>
    </row>
    <row r="249" spans="1:19" x14ac:dyDescent="0.2">
      <c r="A249" t="s">
        <v>1863</v>
      </c>
      <c r="B249" t="s">
        <v>14359</v>
      </c>
      <c r="C249" t="s">
        <v>19420</v>
      </c>
      <c r="D249" t="str">
        <f>_xlfn.XLOOKUP(E249,pathways!$A$2:$A$31,pathways!$B$2:$B$31)</f>
        <v>Carbohydrate/energy metabolism</v>
      </c>
      <c r="E249" t="s">
        <v>3977</v>
      </c>
      <c r="F249" t="s">
        <v>4806</v>
      </c>
      <c r="G249" t="s">
        <v>8707</v>
      </c>
      <c r="H249" t="s">
        <v>14360</v>
      </c>
      <c r="I249" t="s">
        <v>8707</v>
      </c>
      <c r="J249" s="4" t="s">
        <v>8707</v>
      </c>
      <c r="L249" t="s">
        <v>1862</v>
      </c>
      <c r="M249" t="s">
        <v>15162</v>
      </c>
      <c r="N249" t="s">
        <v>3977</v>
      </c>
      <c r="O249" t="s">
        <v>3977</v>
      </c>
      <c r="P249" t="s">
        <v>4806</v>
      </c>
      <c r="Q249" t="s">
        <v>4806</v>
      </c>
      <c r="R249" t="s">
        <v>3977</v>
      </c>
      <c r="S249" t="s">
        <v>5021</v>
      </c>
    </row>
    <row r="250" spans="1:19" x14ac:dyDescent="0.2">
      <c r="A250" t="s">
        <v>2411</v>
      </c>
      <c r="B250" t="s">
        <v>14359</v>
      </c>
      <c r="C250" t="s">
        <v>4817</v>
      </c>
      <c r="D250" t="str">
        <f>_xlfn.XLOOKUP(E250,pathways!$A$2:$A$31,pathways!$B$2:$B$31)</f>
        <v>Carbohydrate/energy metabolism</v>
      </c>
      <c r="E250" t="s">
        <v>3977</v>
      </c>
      <c r="F250" t="s">
        <v>4806</v>
      </c>
      <c r="G250" t="s">
        <v>4817</v>
      </c>
      <c r="H250" t="s">
        <v>14360</v>
      </c>
      <c r="I250" t="s">
        <v>4817</v>
      </c>
      <c r="J250" s="4" t="s">
        <v>14360</v>
      </c>
      <c r="L250" t="s">
        <v>2410</v>
      </c>
      <c r="M250" t="s">
        <v>15711</v>
      </c>
      <c r="N250" t="s">
        <v>3977</v>
      </c>
      <c r="O250" t="s">
        <v>14360</v>
      </c>
      <c r="P250" t="s">
        <v>4806</v>
      </c>
      <c r="Q250" t="s">
        <v>14360</v>
      </c>
      <c r="R250" t="s">
        <v>3977</v>
      </c>
      <c r="S250" t="s">
        <v>5441</v>
      </c>
    </row>
    <row r="251" spans="1:19" x14ac:dyDescent="0.2">
      <c r="A251" t="s">
        <v>2407</v>
      </c>
      <c r="B251" t="s">
        <v>14359</v>
      </c>
      <c r="C251" t="s">
        <v>4809</v>
      </c>
      <c r="D251" t="str">
        <f>_xlfn.XLOOKUP(E251,pathways!$A$2:$A$31,pathways!$B$2:$B$31)</f>
        <v>Carbohydrate/energy metabolism</v>
      </c>
      <c r="E251" t="s">
        <v>3977</v>
      </c>
      <c r="F251" t="s">
        <v>4806</v>
      </c>
      <c r="G251" t="s">
        <v>4809</v>
      </c>
      <c r="H251" t="s">
        <v>14360</v>
      </c>
      <c r="I251" t="s">
        <v>4809</v>
      </c>
      <c r="J251" s="4" t="s">
        <v>14360</v>
      </c>
      <c r="L251" t="s">
        <v>2406</v>
      </c>
      <c r="M251" t="s">
        <v>15707</v>
      </c>
      <c r="N251" t="s">
        <v>3977</v>
      </c>
      <c r="O251" t="s">
        <v>14360</v>
      </c>
      <c r="P251" t="s">
        <v>4806</v>
      </c>
      <c r="Q251" t="s">
        <v>14360</v>
      </c>
      <c r="R251" t="s">
        <v>3977</v>
      </c>
      <c r="S251" t="s">
        <v>5441</v>
      </c>
    </row>
    <row r="252" spans="1:19" x14ac:dyDescent="0.2">
      <c r="A252" t="s">
        <v>13768</v>
      </c>
      <c r="B252" t="s">
        <v>14359</v>
      </c>
      <c r="C252" t="s">
        <v>20119</v>
      </c>
      <c r="D252" t="str">
        <f>_xlfn.XLOOKUP(E252,pathways!$A$2:$A$31,pathways!$B$2:$B$31)</f>
        <v>Carbohydrate/energy metabolism</v>
      </c>
      <c r="E252" t="s">
        <v>3977</v>
      </c>
      <c r="F252" t="s">
        <v>4084</v>
      </c>
      <c r="G252" t="s">
        <v>14360</v>
      </c>
      <c r="H252" t="s">
        <v>14360</v>
      </c>
      <c r="I252" t="s">
        <v>4087</v>
      </c>
      <c r="J252" s="4" t="s">
        <v>14360</v>
      </c>
      <c r="L252" t="s">
        <v>14360</v>
      </c>
      <c r="M252" t="s">
        <v>14360</v>
      </c>
      <c r="N252" t="s">
        <v>3977</v>
      </c>
      <c r="O252" t="s">
        <v>14360</v>
      </c>
      <c r="P252" t="s">
        <v>4084</v>
      </c>
      <c r="Q252" t="s">
        <v>14360</v>
      </c>
      <c r="R252" t="s">
        <v>14360</v>
      </c>
      <c r="S252" t="s">
        <v>5441</v>
      </c>
    </row>
    <row r="253" spans="1:19" x14ac:dyDescent="0.2">
      <c r="A253" t="s">
        <v>13779</v>
      </c>
      <c r="B253" t="s">
        <v>14359</v>
      </c>
      <c r="C253" t="s">
        <v>797</v>
      </c>
      <c r="D253" t="str">
        <f>_xlfn.XLOOKUP(E253,pathways!$A$2:$A$31,pathways!$B$2:$B$31)</f>
        <v>Carbohydrate/energy metabolism</v>
      </c>
      <c r="E253" t="s">
        <v>3977</v>
      </c>
      <c r="F253" t="s">
        <v>4084</v>
      </c>
      <c r="G253" t="s">
        <v>14360</v>
      </c>
      <c r="H253" t="s">
        <v>14360</v>
      </c>
      <c r="I253" t="s">
        <v>796</v>
      </c>
      <c r="J253" s="4" t="s">
        <v>796</v>
      </c>
      <c r="L253" t="s">
        <v>798</v>
      </c>
      <c r="M253" t="s">
        <v>15938</v>
      </c>
      <c r="N253" t="s">
        <v>3977</v>
      </c>
      <c r="O253" t="s">
        <v>3977</v>
      </c>
      <c r="P253" t="s">
        <v>4084</v>
      </c>
      <c r="Q253" t="s">
        <v>4084</v>
      </c>
      <c r="R253" t="s">
        <v>3977</v>
      </c>
      <c r="S253" t="s">
        <v>5441</v>
      </c>
    </row>
    <row r="254" spans="1:19" x14ac:dyDescent="0.2">
      <c r="A254" t="s">
        <v>1136</v>
      </c>
      <c r="B254" t="s">
        <v>14359</v>
      </c>
      <c r="C254" t="s">
        <v>19187</v>
      </c>
      <c r="D254" t="str">
        <f>_xlfn.XLOOKUP(E254,pathways!$A$2:$A$31,pathways!$B$2:$B$31)</f>
        <v>Carbohydrate/energy metabolism</v>
      </c>
      <c r="E254" t="s">
        <v>3977</v>
      </c>
      <c r="F254" t="s">
        <v>4446</v>
      </c>
      <c r="G254" t="s">
        <v>14360</v>
      </c>
      <c r="H254" t="s">
        <v>14360</v>
      </c>
      <c r="I254" t="s">
        <v>5305</v>
      </c>
      <c r="J254" s="4" t="s">
        <v>5305</v>
      </c>
      <c r="L254" t="s">
        <v>1135</v>
      </c>
      <c r="M254" t="s">
        <v>14406</v>
      </c>
      <c r="N254" t="s">
        <v>3977</v>
      </c>
      <c r="O254" t="s">
        <v>3977</v>
      </c>
      <c r="P254" t="s">
        <v>4446</v>
      </c>
      <c r="Q254" t="s">
        <v>4446</v>
      </c>
      <c r="R254" t="s">
        <v>3977</v>
      </c>
      <c r="S254" t="s">
        <v>5418</v>
      </c>
    </row>
    <row r="255" spans="1:19" x14ac:dyDescent="0.2">
      <c r="A255" t="s">
        <v>13821</v>
      </c>
      <c r="B255" t="s">
        <v>14359</v>
      </c>
      <c r="C255" t="s">
        <v>20078</v>
      </c>
      <c r="D255" t="str">
        <f>_xlfn.XLOOKUP(E255,pathways!$A$2:$A$31,pathways!$B$2:$B$31)</f>
        <v>Carbohydrate/energy metabolism</v>
      </c>
      <c r="E255" t="s">
        <v>3977</v>
      </c>
      <c r="F255" t="s">
        <v>4446</v>
      </c>
      <c r="G255" t="s">
        <v>5710</v>
      </c>
      <c r="H255" t="s">
        <v>14360</v>
      </c>
      <c r="I255" t="s">
        <v>5710</v>
      </c>
      <c r="J255" s="4" t="s">
        <v>5710</v>
      </c>
      <c r="L255" t="s">
        <v>14360</v>
      </c>
      <c r="M255" t="s">
        <v>14360</v>
      </c>
      <c r="N255" t="s">
        <v>3977</v>
      </c>
      <c r="O255" t="s">
        <v>3977</v>
      </c>
      <c r="P255" t="s">
        <v>4446</v>
      </c>
      <c r="Q255" t="s">
        <v>4446</v>
      </c>
      <c r="R255" t="s">
        <v>14360</v>
      </c>
      <c r="S255" t="s">
        <v>3906</v>
      </c>
    </row>
    <row r="256" spans="1:19" x14ac:dyDescent="0.2">
      <c r="A256" t="s">
        <v>13784</v>
      </c>
      <c r="B256" t="s">
        <v>14359</v>
      </c>
      <c r="C256" t="s">
        <v>20079</v>
      </c>
      <c r="D256" t="str">
        <f>_xlfn.XLOOKUP(E256,pathways!$A$2:$A$31,pathways!$B$2:$B$31)</f>
        <v>Carbohydrate/energy metabolism</v>
      </c>
      <c r="E256" t="s">
        <v>3977</v>
      </c>
      <c r="F256" t="s">
        <v>4446</v>
      </c>
      <c r="G256" t="s">
        <v>14360</v>
      </c>
      <c r="H256" t="s">
        <v>14360</v>
      </c>
      <c r="I256" t="s">
        <v>4449</v>
      </c>
      <c r="J256" s="4" t="s">
        <v>14360</v>
      </c>
      <c r="L256" t="s">
        <v>14360</v>
      </c>
      <c r="M256" t="s">
        <v>14360</v>
      </c>
      <c r="N256" t="s">
        <v>3977</v>
      </c>
      <c r="O256" t="s">
        <v>14360</v>
      </c>
      <c r="P256" t="s">
        <v>4446</v>
      </c>
      <c r="Q256" t="s">
        <v>14360</v>
      </c>
      <c r="R256" t="s">
        <v>14360</v>
      </c>
      <c r="S256" t="s">
        <v>3906</v>
      </c>
    </row>
    <row r="257" spans="1:19" x14ac:dyDescent="0.2">
      <c r="A257" t="s">
        <v>14004</v>
      </c>
      <c r="B257" t="s">
        <v>14359</v>
      </c>
      <c r="C257" t="s">
        <v>20080</v>
      </c>
      <c r="D257" t="str">
        <f>_xlfn.XLOOKUP(E257,pathways!$A$2:$A$31,pathways!$B$2:$B$31)</f>
        <v>Carbohydrate/energy metabolism</v>
      </c>
      <c r="E257" t="s">
        <v>3977</v>
      </c>
      <c r="F257" t="s">
        <v>4446</v>
      </c>
      <c r="G257" t="s">
        <v>14360</v>
      </c>
      <c r="H257" t="s">
        <v>14360</v>
      </c>
      <c r="I257" t="s">
        <v>9606</v>
      </c>
      <c r="J257" s="4" t="s">
        <v>12431</v>
      </c>
      <c r="L257" t="s">
        <v>14360</v>
      </c>
      <c r="M257" t="s">
        <v>14360</v>
      </c>
      <c r="N257" t="s">
        <v>3977</v>
      </c>
      <c r="O257" t="s">
        <v>3977</v>
      </c>
      <c r="P257" t="s">
        <v>4446</v>
      </c>
      <c r="Q257" t="s">
        <v>4446</v>
      </c>
      <c r="R257" t="s">
        <v>14360</v>
      </c>
      <c r="S257" t="s">
        <v>14360</v>
      </c>
    </row>
    <row r="258" spans="1:19" x14ac:dyDescent="0.2">
      <c r="A258" t="s">
        <v>2637</v>
      </c>
      <c r="B258" t="s">
        <v>14359</v>
      </c>
      <c r="C258" t="s">
        <v>19732</v>
      </c>
      <c r="D258" t="str">
        <f>_xlfn.XLOOKUP(E258,pathways!$A$2:$A$31,pathways!$B$2:$B$31)</f>
        <v>Carbohydrate/energy metabolism</v>
      </c>
      <c r="E258" t="s">
        <v>3977</v>
      </c>
      <c r="F258" t="s">
        <v>3978</v>
      </c>
      <c r="G258" t="s">
        <v>4505</v>
      </c>
      <c r="H258" t="s">
        <v>14360</v>
      </c>
      <c r="I258" t="s">
        <v>4505</v>
      </c>
      <c r="J258" s="4" t="s">
        <v>14360</v>
      </c>
      <c r="L258" t="s">
        <v>2636</v>
      </c>
      <c r="M258" t="s">
        <v>15975</v>
      </c>
      <c r="N258" t="s">
        <v>3977</v>
      </c>
      <c r="O258" t="s">
        <v>14360</v>
      </c>
      <c r="P258" t="s">
        <v>3978</v>
      </c>
      <c r="Q258" t="s">
        <v>14360</v>
      </c>
      <c r="R258" t="s">
        <v>3977</v>
      </c>
      <c r="S258" t="s">
        <v>3906</v>
      </c>
    </row>
    <row r="259" spans="1:19" x14ac:dyDescent="0.2">
      <c r="A259" t="s">
        <v>344</v>
      </c>
      <c r="B259" t="s">
        <v>14358</v>
      </c>
      <c r="C259" t="s">
        <v>343</v>
      </c>
      <c r="D259" t="s">
        <v>20125</v>
      </c>
      <c r="E259" t="s">
        <v>346</v>
      </c>
      <c r="F259" t="s">
        <v>346</v>
      </c>
      <c r="G259" t="s">
        <v>14360</v>
      </c>
      <c r="H259" t="s">
        <v>10570</v>
      </c>
      <c r="I259" t="s">
        <v>10570</v>
      </c>
      <c r="J259" s="4" t="s">
        <v>14360</v>
      </c>
      <c r="K259" t="s">
        <v>343</v>
      </c>
      <c r="L259" t="s">
        <v>14360</v>
      </c>
      <c r="M259" t="s">
        <v>14360</v>
      </c>
      <c r="N259" t="s">
        <v>346</v>
      </c>
      <c r="O259" t="s">
        <v>14360</v>
      </c>
      <c r="P259" t="s">
        <v>346</v>
      </c>
      <c r="Q259" t="s">
        <v>14360</v>
      </c>
      <c r="R259" t="s">
        <v>14360</v>
      </c>
      <c r="S259" t="s">
        <v>3449</v>
      </c>
    </row>
    <row r="260" spans="1:19" x14ac:dyDescent="0.2">
      <c r="A260" t="s">
        <v>803</v>
      </c>
      <c r="B260" t="s">
        <v>14358</v>
      </c>
      <c r="C260" t="s">
        <v>802</v>
      </c>
      <c r="D260" t="s">
        <v>20125</v>
      </c>
      <c r="E260" t="s">
        <v>346</v>
      </c>
      <c r="F260" t="s">
        <v>346</v>
      </c>
      <c r="G260" t="s">
        <v>14360</v>
      </c>
      <c r="H260" t="s">
        <v>11239</v>
      </c>
      <c r="I260" t="s">
        <v>10564</v>
      </c>
      <c r="J260" s="4" t="s">
        <v>802</v>
      </c>
      <c r="K260" t="s">
        <v>801</v>
      </c>
      <c r="L260" t="s">
        <v>802</v>
      </c>
      <c r="M260" t="s">
        <v>16979</v>
      </c>
      <c r="N260" t="s">
        <v>346</v>
      </c>
      <c r="O260" t="s">
        <v>346</v>
      </c>
      <c r="P260" t="s">
        <v>346</v>
      </c>
      <c r="S260" t="s">
        <v>14360</v>
      </c>
    </row>
    <row r="261" spans="1:19" x14ac:dyDescent="0.2">
      <c r="A261" t="s">
        <v>820</v>
      </c>
      <c r="B261" t="s">
        <v>14358</v>
      </c>
      <c r="C261" t="s">
        <v>11173</v>
      </c>
      <c r="D261" t="str">
        <f>_xlfn.XLOOKUP(E261,pathways!$A$2:$A$31,pathways!$B$2:$B$31)</f>
        <v>Lipid metabolism</v>
      </c>
      <c r="E261" t="s">
        <v>346</v>
      </c>
      <c r="F261" t="s">
        <v>346</v>
      </c>
      <c r="G261" t="s">
        <v>14360</v>
      </c>
      <c r="H261" t="s">
        <v>10558</v>
      </c>
      <c r="I261" t="s">
        <v>10558</v>
      </c>
      <c r="J261" s="4" t="s">
        <v>71</v>
      </c>
      <c r="K261" t="s">
        <v>818</v>
      </c>
      <c r="L261" t="s">
        <v>819</v>
      </c>
      <c r="M261" t="s">
        <v>16981</v>
      </c>
      <c r="N261" t="s">
        <v>346</v>
      </c>
      <c r="O261" t="s">
        <v>346</v>
      </c>
      <c r="P261" t="s">
        <v>346</v>
      </c>
      <c r="S261" t="s">
        <v>4373</v>
      </c>
    </row>
    <row r="262" spans="1:19" x14ac:dyDescent="0.2">
      <c r="A262" t="s">
        <v>583</v>
      </c>
      <c r="B262" t="s">
        <v>14358</v>
      </c>
      <c r="C262" t="s">
        <v>11193</v>
      </c>
      <c r="D262" t="s">
        <v>20125</v>
      </c>
      <c r="E262" t="s">
        <v>346</v>
      </c>
      <c r="F262" t="s">
        <v>346</v>
      </c>
      <c r="G262" t="s">
        <v>14360</v>
      </c>
      <c r="H262" t="s">
        <v>11194</v>
      </c>
      <c r="I262" t="s">
        <v>10576</v>
      </c>
      <c r="J262" s="4" t="s">
        <v>13477</v>
      </c>
      <c r="K262" t="s">
        <v>582</v>
      </c>
      <c r="L262" t="s">
        <v>1090</v>
      </c>
      <c r="M262" t="s">
        <v>16827</v>
      </c>
      <c r="N262" t="s">
        <v>346</v>
      </c>
      <c r="O262" t="s">
        <v>346</v>
      </c>
      <c r="P262" t="s">
        <v>346</v>
      </c>
      <c r="S262" t="s">
        <v>5021</v>
      </c>
    </row>
    <row r="263" spans="1:19" x14ac:dyDescent="0.2">
      <c r="A263" t="s">
        <v>1093</v>
      </c>
      <c r="B263" t="s">
        <v>14358</v>
      </c>
      <c r="C263" t="s">
        <v>1088</v>
      </c>
      <c r="D263" t="s">
        <v>20125</v>
      </c>
      <c r="E263" t="s">
        <v>346</v>
      </c>
      <c r="F263" t="s">
        <v>346</v>
      </c>
      <c r="G263" t="s">
        <v>14360</v>
      </c>
      <c r="H263" t="s">
        <v>14360</v>
      </c>
      <c r="I263" t="s">
        <v>14360</v>
      </c>
      <c r="J263" s="4" t="s">
        <v>1088</v>
      </c>
      <c r="L263" t="s">
        <v>1088</v>
      </c>
      <c r="M263" t="s">
        <v>16824</v>
      </c>
      <c r="N263" t="s">
        <v>14360</v>
      </c>
      <c r="P263" t="s">
        <v>14360</v>
      </c>
      <c r="S263" t="s">
        <v>5021</v>
      </c>
    </row>
    <row r="264" spans="1:19" x14ac:dyDescent="0.2">
      <c r="A264" t="s">
        <v>1094</v>
      </c>
      <c r="B264" t="s">
        <v>14358</v>
      </c>
      <c r="C264" t="s">
        <v>1089</v>
      </c>
      <c r="D264" t="s">
        <v>20125</v>
      </c>
      <c r="E264" t="s">
        <v>346</v>
      </c>
      <c r="F264" t="s">
        <v>346</v>
      </c>
      <c r="G264" t="s">
        <v>14360</v>
      </c>
      <c r="H264" t="s">
        <v>14360</v>
      </c>
      <c r="I264" t="s">
        <v>14360</v>
      </c>
      <c r="J264" s="4" t="s">
        <v>1089</v>
      </c>
      <c r="L264" t="s">
        <v>1089</v>
      </c>
      <c r="M264" t="s">
        <v>16826</v>
      </c>
      <c r="N264" t="s">
        <v>14360</v>
      </c>
      <c r="P264" t="s">
        <v>14360</v>
      </c>
      <c r="S264" t="s">
        <v>14360</v>
      </c>
    </row>
    <row r="265" spans="1:19" x14ac:dyDescent="0.2">
      <c r="A265" t="s">
        <v>600</v>
      </c>
      <c r="B265" t="s">
        <v>14358</v>
      </c>
      <c r="C265" t="s">
        <v>11158</v>
      </c>
      <c r="D265" t="s">
        <v>20125</v>
      </c>
      <c r="E265" t="s">
        <v>346</v>
      </c>
      <c r="F265" t="s">
        <v>346</v>
      </c>
      <c r="G265" t="s">
        <v>14360</v>
      </c>
      <c r="H265" t="s">
        <v>11159</v>
      </c>
      <c r="I265" t="s">
        <v>10573</v>
      </c>
      <c r="J265" s="4" t="s">
        <v>13495</v>
      </c>
      <c r="K265" t="s">
        <v>599</v>
      </c>
      <c r="L265" t="s">
        <v>1091</v>
      </c>
      <c r="M265" t="s">
        <v>16859</v>
      </c>
      <c r="N265" t="s">
        <v>346</v>
      </c>
      <c r="O265" t="s">
        <v>346</v>
      </c>
      <c r="P265" t="s">
        <v>346</v>
      </c>
      <c r="S265" t="s">
        <v>5006</v>
      </c>
    </row>
    <row r="266" spans="1:19" x14ac:dyDescent="0.2">
      <c r="A266" t="s">
        <v>1078</v>
      </c>
      <c r="B266" t="s">
        <v>14358</v>
      </c>
      <c r="C266" t="s">
        <v>11291</v>
      </c>
      <c r="D266" t="s">
        <v>20125</v>
      </c>
      <c r="E266" t="s">
        <v>346</v>
      </c>
      <c r="F266" t="s">
        <v>346</v>
      </c>
      <c r="G266" t="s">
        <v>14360</v>
      </c>
      <c r="H266" t="s">
        <v>11292</v>
      </c>
      <c r="I266" t="s">
        <v>10567</v>
      </c>
      <c r="J266" s="4" t="s">
        <v>13688</v>
      </c>
      <c r="K266" t="s">
        <v>1077</v>
      </c>
      <c r="L266" t="s">
        <v>1092</v>
      </c>
      <c r="M266" t="s">
        <v>17045</v>
      </c>
      <c r="N266" t="s">
        <v>346</v>
      </c>
      <c r="O266" t="s">
        <v>346</v>
      </c>
      <c r="P266" t="s">
        <v>346</v>
      </c>
      <c r="S266" t="s">
        <v>5021</v>
      </c>
    </row>
    <row r="267" spans="1:19" x14ac:dyDescent="0.2">
      <c r="A267" t="s">
        <v>824</v>
      </c>
      <c r="B267" t="s">
        <v>14358</v>
      </c>
      <c r="C267" t="s">
        <v>823</v>
      </c>
      <c r="D267" t="s">
        <v>20125</v>
      </c>
      <c r="E267" t="s">
        <v>346</v>
      </c>
      <c r="F267" t="s">
        <v>346</v>
      </c>
      <c r="G267" t="s">
        <v>14360</v>
      </c>
      <c r="H267" t="s">
        <v>10561</v>
      </c>
      <c r="I267" t="s">
        <v>10561</v>
      </c>
      <c r="J267" s="4" t="s">
        <v>14360</v>
      </c>
      <c r="K267" t="s">
        <v>823</v>
      </c>
      <c r="L267" t="s">
        <v>14360</v>
      </c>
      <c r="M267" t="s">
        <v>14360</v>
      </c>
      <c r="N267" t="s">
        <v>346</v>
      </c>
      <c r="O267" t="s">
        <v>14360</v>
      </c>
      <c r="P267" t="s">
        <v>346</v>
      </c>
      <c r="Q267" t="s">
        <v>14360</v>
      </c>
      <c r="R267" t="s">
        <v>14360</v>
      </c>
      <c r="S267" t="s">
        <v>14360</v>
      </c>
    </row>
    <row r="268" spans="1:19" x14ac:dyDescent="0.2">
      <c r="A268" t="s">
        <v>218</v>
      </c>
      <c r="B268" t="s">
        <v>14358</v>
      </c>
      <c r="C268" t="s">
        <v>19877</v>
      </c>
      <c r="D268" t="s">
        <v>20125</v>
      </c>
      <c r="E268" t="s">
        <v>220</v>
      </c>
      <c r="F268" t="s">
        <v>220</v>
      </c>
      <c r="G268" t="s">
        <v>14360</v>
      </c>
      <c r="H268" t="s">
        <v>10612</v>
      </c>
      <c r="I268" t="s">
        <v>10612</v>
      </c>
      <c r="J268" s="4" t="s">
        <v>14360</v>
      </c>
      <c r="K268" t="s">
        <v>217</v>
      </c>
      <c r="L268" t="s">
        <v>14360</v>
      </c>
      <c r="M268" t="s">
        <v>14360</v>
      </c>
      <c r="N268" t="s">
        <v>220</v>
      </c>
      <c r="O268" t="s">
        <v>14360</v>
      </c>
      <c r="P268" t="s">
        <v>220</v>
      </c>
      <c r="Q268" t="s">
        <v>14360</v>
      </c>
      <c r="R268" t="s">
        <v>14360</v>
      </c>
      <c r="S268" t="s">
        <v>5441</v>
      </c>
    </row>
    <row r="269" spans="1:19" x14ac:dyDescent="0.2">
      <c r="A269" t="s">
        <v>239</v>
      </c>
      <c r="B269" t="s">
        <v>14358</v>
      </c>
      <c r="C269" t="s">
        <v>19878</v>
      </c>
      <c r="D269" t="s">
        <v>20125</v>
      </c>
      <c r="E269" t="s">
        <v>220</v>
      </c>
      <c r="F269" t="s">
        <v>220</v>
      </c>
      <c r="G269" t="s">
        <v>14360</v>
      </c>
      <c r="H269" t="s">
        <v>10609</v>
      </c>
      <c r="I269" t="s">
        <v>10609</v>
      </c>
      <c r="J269" s="4" t="s">
        <v>14360</v>
      </c>
      <c r="K269" t="s">
        <v>238</v>
      </c>
      <c r="L269" t="s">
        <v>14360</v>
      </c>
      <c r="M269" t="s">
        <v>14360</v>
      </c>
      <c r="N269" t="s">
        <v>220</v>
      </c>
      <c r="O269" t="s">
        <v>14360</v>
      </c>
      <c r="P269" t="s">
        <v>220</v>
      </c>
      <c r="Q269" t="s">
        <v>14360</v>
      </c>
      <c r="R269" t="s">
        <v>14360</v>
      </c>
      <c r="S269" t="s">
        <v>5441</v>
      </c>
    </row>
    <row r="270" spans="1:19" x14ac:dyDescent="0.2">
      <c r="A270" t="s">
        <v>279</v>
      </c>
      <c r="B270" t="s">
        <v>14358</v>
      </c>
      <c r="C270" t="s">
        <v>19879</v>
      </c>
      <c r="D270" t="s">
        <v>20125</v>
      </c>
      <c r="E270" t="s">
        <v>220</v>
      </c>
      <c r="F270" t="s">
        <v>220</v>
      </c>
      <c r="G270" t="s">
        <v>14360</v>
      </c>
      <c r="H270" t="s">
        <v>10606</v>
      </c>
      <c r="I270" t="s">
        <v>10606</v>
      </c>
      <c r="J270" s="4" t="s">
        <v>14360</v>
      </c>
      <c r="K270" t="s">
        <v>278</v>
      </c>
      <c r="L270" t="s">
        <v>14360</v>
      </c>
      <c r="M270" t="s">
        <v>14360</v>
      </c>
      <c r="N270" t="s">
        <v>220</v>
      </c>
      <c r="O270" t="s">
        <v>14360</v>
      </c>
      <c r="P270" t="s">
        <v>220</v>
      </c>
      <c r="Q270" t="s">
        <v>14360</v>
      </c>
      <c r="R270" t="s">
        <v>14360</v>
      </c>
      <c r="S270" t="s">
        <v>5441</v>
      </c>
    </row>
    <row r="271" spans="1:19" x14ac:dyDescent="0.2">
      <c r="A271" t="s">
        <v>842</v>
      </c>
      <c r="B271" t="s">
        <v>14358</v>
      </c>
      <c r="C271" t="s">
        <v>11162</v>
      </c>
      <c r="D271" t="str">
        <f>_xlfn.XLOOKUP(E271,pathways!$A$2:$A$31,pathways!$B$2:$B$31)</f>
        <v>Lipid metabolism</v>
      </c>
      <c r="E271" t="s">
        <v>220</v>
      </c>
      <c r="F271" t="s">
        <v>220</v>
      </c>
      <c r="G271" t="s">
        <v>14360</v>
      </c>
      <c r="H271" t="s">
        <v>10603</v>
      </c>
      <c r="I271" t="s">
        <v>10603</v>
      </c>
      <c r="J271" s="4" t="s">
        <v>843</v>
      </c>
      <c r="K271" t="s">
        <v>840</v>
      </c>
      <c r="L271" t="s">
        <v>841</v>
      </c>
      <c r="M271" t="s">
        <v>16806</v>
      </c>
      <c r="N271" t="s">
        <v>220</v>
      </c>
      <c r="O271" t="s">
        <v>220</v>
      </c>
      <c r="P271" t="s">
        <v>220</v>
      </c>
      <c r="S271" t="s">
        <v>5441</v>
      </c>
    </row>
    <row r="272" spans="1:19" x14ac:dyDescent="0.2">
      <c r="A272" t="s">
        <v>2569</v>
      </c>
      <c r="B272" t="s">
        <v>14359</v>
      </c>
      <c r="C272" t="s">
        <v>3452</v>
      </c>
      <c r="D272" t="str">
        <f>_xlfn.XLOOKUP(E272,pathways!$A$2:$A$31,pathways!$B$2:$B$31)</f>
        <v>Cofactors and vitamins</v>
      </c>
      <c r="E272" t="s">
        <v>3448</v>
      </c>
      <c r="F272" t="s">
        <v>3449</v>
      </c>
      <c r="G272" t="s">
        <v>14360</v>
      </c>
      <c r="H272" t="s">
        <v>14360</v>
      </c>
      <c r="I272" t="s">
        <v>3452</v>
      </c>
      <c r="J272" s="4" t="s">
        <v>3452</v>
      </c>
      <c r="L272" t="s">
        <v>2568</v>
      </c>
      <c r="M272" t="s">
        <v>15891</v>
      </c>
      <c r="N272" t="s">
        <v>3448</v>
      </c>
      <c r="O272" t="s">
        <v>3448</v>
      </c>
      <c r="P272" t="s">
        <v>3449</v>
      </c>
      <c r="Q272" t="s">
        <v>3449</v>
      </c>
      <c r="R272" t="s">
        <v>3448</v>
      </c>
      <c r="S272" t="s">
        <v>5418</v>
      </c>
    </row>
    <row r="273" spans="1:19" x14ac:dyDescent="0.2">
      <c r="A273" t="s">
        <v>13913</v>
      </c>
      <c r="B273" t="s">
        <v>14359</v>
      </c>
      <c r="C273" t="s">
        <v>19353</v>
      </c>
      <c r="D273" t="str">
        <f>_xlfn.XLOOKUP(E273,pathways!$A$2:$A$31,pathways!$B$2:$B$31)</f>
        <v>Cofactors and vitamins</v>
      </c>
      <c r="E273" t="s">
        <v>3448</v>
      </c>
      <c r="F273" t="s">
        <v>5600</v>
      </c>
      <c r="G273" t="s">
        <v>7857</v>
      </c>
      <c r="H273" t="s">
        <v>14360</v>
      </c>
      <c r="I273" t="s">
        <v>7857</v>
      </c>
      <c r="J273" s="4" t="s">
        <v>14360</v>
      </c>
      <c r="L273" t="s">
        <v>1647</v>
      </c>
      <c r="M273" t="s">
        <v>14937</v>
      </c>
      <c r="N273" t="s">
        <v>3448</v>
      </c>
      <c r="O273" t="s">
        <v>14360</v>
      </c>
      <c r="P273" t="s">
        <v>5600</v>
      </c>
      <c r="Q273" t="s">
        <v>14360</v>
      </c>
      <c r="R273" t="s">
        <v>3448</v>
      </c>
      <c r="S273" t="s">
        <v>14360</v>
      </c>
    </row>
    <row r="274" spans="1:19" x14ac:dyDescent="0.2">
      <c r="A274" t="s">
        <v>13754</v>
      </c>
      <c r="B274" t="s">
        <v>14359</v>
      </c>
      <c r="C274" t="s">
        <v>20093</v>
      </c>
      <c r="D274" t="str">
        <f>_xlfn.XLOOKUP(E274,pathways!$A$2:$A$31,pathways!$B$2:$B$31)</f>
        <v>Cofactors and vitamins</v>
      </c>
      <c r="E274" t="s">
        <v>3448</v>
      </c>
      <c r="F274" t="s">
        <v>3449</v>
      </c>
      <c r="G274" t="s">
        <v>14360</v>
      </c>
      <c r="H274" t="s">
        <v>14360</v>
      </c>
      <c r="I274" t="s">
        <v>3647</v>
      </c>
      <c r="J274" s="4" t="s">
        <v>14360</v>
      </c>
      <c r="L274" t="s">
        <v>14360</v>
      </c>
      <c r="M274" t="s">
        <v>14360</v>
      </c>
      <c r="N274" t="s">
        <v>3448</v>
      </c>
      <c r="O274" t="s">
        <v>14360</v>
      </c>
      <c r="P274" t="s">
        <v>3449</v>
      </c>
      <c r="Q274" t="s">
        <v>14360</v>
      </c>
      <c r="R274" t="s">
        <v>14360</v>
      </c>
      <c r="S274" t="s">
        <v>5021</v>
      </c>
    </row>
    <row r="275" spans="1:19" x14ac:dyDescent="0.2">
      <c r="A275" t="s">
        <v>13876</v>
      </c>
      <c r="B275" t="s">
        <v>14359</v>
      </c>
      <c r="C275" t="s">
        <v>20095</v>
      </c>
      <c r="D275" t="str">
        <f>_xlfn.XLOOKUP(E275,pathways!$A$2:$A$31,pathways!$B$2:$B$31)</f>
        <v>Cofactors and vitamins</v>
      </c>
      <c r="E275" t="s">
        <v>3448</v>
      </c>
      <c r="F275" t="s">
        <v>4679</v>
      </c>
      <c r="G275" t="s">
        <v>14360</v>
      </c>
      <c r="H275" t="s">
        <v>14360</v>
      </c>
      <c r="I275" t="s">
        <v>7365</v>
      </c>
      <c r="J275" s="4" t="s">
        <v>14360</v>
      </c>
      <c r="L275" t="s">
        <v>14360</v>
      </c>
      <c r="M275" t="s">
        <v>14360</v>
      </c>
      <c r="N275" t="s">
        <v>3448</v>
      </c>
      <c r="O275" t="s">
        <v>14360</v>
      </c>
      <c r="P275" t="s">
        <v>4679</v>
      </c>
      <c r="Q275" t="s">
        <v>14360</v>
      </c>
      <c r="R275" t="s">
        <v>14360</v>
      </c>
      <c r="S275" t="s">
        <v>5441</v>
      </c>
    </row>
    <row r="276" spans="1:19" x14ac:dyDescent="0.2">
      <c r="A276" t="s">
        <v>13944</v>
      </c>
      <c r="B276" t="s">
        <v>14359</v>
      </c>
      <c r="C276" t="s">
        <v>20096</v>
      </c>
      <c r="D276" t="str">
        <f>_xlfn.XLOOKUP(E276,pathways!$A$2:$A$31,pathways!$B$2:$B$31)</f>
        <v>Cofactors and vitamins</v>
      </c>
      <c r="E276" t="s">
        <v>3448</v>
      </c>
      <c r="F276" t="s">
        <v>4679</v>
      </c>
      <c r="G276" t="s">
        <v>14360</v>
      </c>
      <c r="H276" t="s">
        <v>14360</v>
      </c>
      <c r="I276" t="s">
        <v>8382</v>
      </c>
      <c r="J276" s="4" t="s">
        <v>14360</v>
      </c>
      <c r="L276" t="s">
        <v>14360</v>
      </c>
      <c r="M276" t="s">
        <v>14360</v>
      </c>
      <c r="N276" t="s">
        <v>3448</v>
      </c>
      <c r="O276" t="s">
        <v>14360</v>
      </c>
      <c r="P276" t="s">
        <v>4679</v>
      </c>
      <c r="Q276" t="s">
        <v>14360</v>
      </c>
      <c r="R276" t="s">
        <v>14360</v>
      </c>
      <c r="S276" t="s">
        <v>5418</v>
      </c>
    </row>
    <row r="277" spans="1:19" x14ac:dyDescent="0.2">
      <c r="A277" t="s">
        <v>13945</v>
      </c>
      <c r="B277" t="s">
        <v>14359</v>
      </c>
      <c r="C277" t="s">
        <v>20097</v>
      </c>
      <c r="D277" t="str">
        <f>_xlfn.XLOOKUP(E277,pathways!$A$2:$A$31,pathways!$B$2:$B$31)</f>
        <v>Cofactors and vitamins</v>
      </c>
      <c r="E277" t="s">
        <v>3448</v>
      </c>
      <c r="F277" t="s">
        <v>4679</v>
      </c>
      <c r="G277" t="s">
        <v>14360</v>
      </c>
      <c r="H277" t="s">
        <v>14360</v>
      </c>
      <c r="I277" t="s">
        <v>8385</v>
      </c>
      <c r="J277" s="4" t="s">
        <v>14360</v>
      </c>
      <c r="L277" t="s">
        <v>14360</v>
      </c>
      <c r="M277" t="s">
        <v>14360</v>
      </c>
      <c r="N277" t="s">
        <v>3448</v>
      </c>
      <c r="O277" t="s">
        <v>14360</v>
      </c>
      <c r="P277" t="s">
        <v>4679</v>
      </c>
      <c r="Q277" t="s">
        <v>14360</v>
      </c>
      <c r="R277" t="s">
        <v>14360</v>
      </c>
      <c r="S277" t="s">
        <v>5021</v>
      </c>
    </row>
    <row r="278" spans="1:19" x14ac:dyDescent="0.2">
      <c r="A278" t="s">
        <v>2385</v>
      </c>
      <c r="B278" t="s">
        <v>14359</v>
      </c>
      <c r="C278" t="s">
        <v>19632</v>
      </c>
      <c r="D278" t="str">
        <f>_xlfn.XLOOKUP(E278,pathways!$A$2:$A$31,pathways!$B$2:$B$31)</f>
        <v>Cofactors and vitamins</v>
      </c>
      <c r="E278" t="s">
        <v>3448</v>
      </c>
      <c r="F278" t="s">
        <v>4679</v>
      </c>
      <c r="G278" t="s">
        <v>14360</v>
      </c>
      <c r="H278" t="s">
        <v>14360</v>
      </c>
      <c r="I278" t="s">
        <v>4682</v>
      </c>
      <c r="J278" s="4" t="s">
        <v>4682</v>
      </c>
      <c r="L278" t="s">
        <v>2384</v>
      </c>
      <c r="M278" t="s">
        <v>15683</v>
      </c>
      <c r="N278" t="s">
        <v>3448</v>
      </c>
      <c r="O278" t="s">
        <v>3448</v>
      </c>
      <c r="P278" t="s">
        <v>4679</v>
      </c>
      <c r="Q278" t="s">
        <v>4679</v>
      </c>
      <c r="R278" t="s">
        <v>3448</v>
      </c>
      <c r="S278" t="s">
        <v>5006</v>
      </c>
    </row>
    <row r="279" spans="1:19" x14ac:dyDescent="0.2">
      <c r="A279" t="s">
        <v>2003</v>
      </c>
      <c r="B279" t="s">
        <v>14359</v>
      </c>
      <c r="C279" t="s">
        <v>19483</v>
      </c>
      <c r="D279" t="str">
        <f>_xlfn.XLOOKUP(E279,pathways!$A$2:$A$31,pathways!$B$2:$B$31)</f>
        <v>Cofactors and vitamins</v>
      </c>
      <c r="E279" t="s">
        <v>3448</v>
      </c>
      <c r="F279" t="s">
        <v>5600</v>
      </c>
      <c r="G279" t="s">
        <v>9173</v>
      </c>
      <c r="H279" t="s">
        <v>14360</v>
      </c>
      <c r="I279" t="s">
        <v>9173</v>
      </c>
      <c r="J279" s="4" t="s">
        <v>14360</v>
      </c>
      <c r="L279" t="s">
        <v>2002</v>
      </c>
      <c r="M279" t="s">
        <v>15304</v>
      </c>
      <c r="N279" t="s">
        <v>3448</v>
      </c>
      <c r="O279" t="s">
        <v>14360</v>
      </c>
      <c r="P279" t="s">
        <v>5600</v>
      </c>
      <c r="Q279" t="s">
        <v>14360</v>
      </c>
      <c r="R279" t="s">
        <v>3448</v>
      </c>
      <c r="S279" t="s">
        <v>5014</v>
      </c>
    </row>
    <row r="280" spans="1:19" x14ac:dyDescent="0.2">
      <c r="A280" t="s">
        <v>2198</v>
      </c>
      <c r="B280" t="s">
        <v>14359</v>
      </c>
      <c r="C280" t="s">
        <v>19568</v>
      </c>
      <c r="D280" t="str">
        <f>_xlfn.XLOOKUP(E280,pathways!$A$2:$A$31,pathways!$B$2:$B$31)</f>
        <v>Cofactors and vitamins</v>
      </c>
      <c r="E280" t="s">
        <v>3448</v>
      </c>
      <c r="F280" t="s">
        <v>5600</v>
      </c>
      <c r="G280" t="s">
        <v>20425</v>
      </c>
      <c r="H280" t="s">
        <v>14360</v>
      </c>
      <c r="I280" t="s">
        <v>9747</v>
      </c>
      <c r="J280" s="4" t="s">
        <v>14360</v>
      </c>
      <c r="L280" t="s">
        <v>2197</v>
      </c>
      <c r="M280" t="s">
        <v>15495</v>
      </c>
      <c r="N280" t="s">
        <v>3448</v>
      </c>
      <c r="O280" t="s">
        <v>14360</v>
      </c>
      <c r="P280" t="s">
        <v>5600</v>
      </c>
      <c r="Q280" t="s">
        <v>14360</v>
      </c>
      <c r="R280" t="s">
        <v>3448</v>
      </c>
      <c r="S280" t="s">
        <v>5021</v>
      </c>
    </row>
    <row r="281" spans="1:19" x14ac:dyDescent="0.2">
      <c r="A281" t="s">
        <v>1511</v>
      </c>
      <c r="B281" t="s">
        <v>14359</v>
      </c>
      <c r="C281" t="s">
        <v>19314</v>
      </c>
      <c r="D281" t="str">
        <f>_xlfn.XLOOKUP(E281,pathways!$A$2:$A$31,pathways!$B$2:$B$31)</f>
        <v>Cofactors and vitamins</v>
      </c>
      <c r="E281" t="s">
        <v>3448</v>
      </c>
      <c r="F281" t="s">
        <v>4124</v>
      </c>
      <c r="G281" t="s">
        <v>14360</v>
      </c>
      <c r="H281" t="s">
        <v>14360</v>
      </c>
      <c r="I281" t="s">
        <v>7120</v>
      </c>
      <c r="J281" s="4" t="s">
        <v>7120</v>
      </c>
      <c r="L281" t="s">
        <v>1510</v>
      </c>
      <c r="M281" t="s">
        <v>14796</v>
      </c>
      <c r="N281" t="s">
        <v>3448</v>
      </c>
      <c r="O281" t="s">
        <v>3448</v>
      </c>
      <c r="P281" t="s">
        <v>4124</v>
      </c>
      <c r="Q281" t="s">
        <v>4124</v>
      </c>
      <c r="R281" t="s">
        <v>3448</v>
      </c>
      <c r="S281" t="s">
        <v>5021</v>
      </c>
    </row>
    <row r="282" spans="1:19" x14ac:dyDescent="0.2">
      <c r="A282" t="s">
        <v>3065</v>
      </c>
      <c r="B282" t="s">
        <v>14359</v>
      </c>
      <c r="C282" t="s">
        <v>19745</v>
      </c>
      <c r="D282" t="str">
        <f>_xlfn.XLOOKUP(E282,pathways!$A$2:$A$31,pathways!$B$2:$B$31)</f>
        <v>Cofactors and vitamins</v>
      </c>
      <c r="E282" t="s">
        <v>3448</v>
      </c>
      <c r="F282" t="s">
        <v>3714</v>
      </c>
      <c r="G282" t="s">
        <v>14360</v>
      </c>
      <c r="H282" t="s">
        <v>14360</v>
      </c>
      <c r="I282" t="s">
        <v>7101</v>
      </c>
      <c r="J282" s="4" t="s">
        <v>7101</v>
      </c>
      <c r="L282" t="s">
        <v>3064</v>
      </c>
      <c r="M282" t="s">
        <v>16424</v>
      </c>
      <c r="N282" t="s">
        <v>3448</v>
      </c>
      <c r="O282" t="s">
        <v>3448</v>
      </c>
      <c r="P282" t="s">
        <v>3714</v>
      </c>
      <c r="Q282" t="s">
        <v>3714</v>
      </c>
      <c r="R282" t="s">
        <v>3448</v>
      </c>
      <c r="S282" t="s">
        <v>5006</v>
      </c>
    </row>
    <row r="283" spans="1:19" x14ac:dyDescent="0.2">
      <c r="A283" t="s">
        <v>3067</v>
      </c>
      <c r="B283" t="s">
        <v>14359</v>
      </c>
      <c r="C283" t="s">
        <v>19746</v>
      </c>
      <c r="D283" t="str">
        <f>_xlfn.XLOOKUP(E283,pathways!$A$2:$A$31,pathways!$B$2:$B$31)</f>
        <v>Cofactors and vitamins</v>
      </c>
      <c r="E283" t="s">
        <v>3448</v>
      </c>
      <c r="F283" t="s">
        <v>3714</v>
      </c>
      <c r="G283" t="s">
        <v>14360</v>
      </c>
      <c r="H283" t="s">
        <v>14360</v>
      </c>
      <c r="I283" t="s">
        <v>7107</v>
      </c>
      <c r="J283" s="4" t="s">
        <v>7107</v>
      </c>
      <c r="L283" t="s">
        <v>3066</v>
      </c>
      <c r="M283" t="s">
        <v>16425</v>
      </c>
      <c r="N283" t="s">
        <v>3448</v>
      </c>
      <c r="O283" t="s">
        <v>3448</v>
      </c>
      <c r="P283" t="s">
        <v>3714</v>
      </c>
      <c r="Q283" t="s">
        <v>3714</v>
      </c>
      <c r="R283" t="s">
        <v>3448</v>
      </c>
      <c r="S283" t="s">
        <v>5021</v>
      </c>
    </row>
    <row r="284" spans="1:19" x14ac:dyDescent="0.2">
      <c r="A284" t="s">
        <v>3097</v>
      </c>
      <c r="B284" t="s">
        <v>14359</v>
      </c>
      <c r="C284" t="s">
        <v>19757</v>
      </c>
      <c r="D284" t="str">
        <f>_xlfn.XLOOKUP(E284,pathways!$A$2:$A$31,pathways!$B$2:$B$31)</f>
        <v>Cofactors and vitamins</v>
      </c>
      <c r="E284" t="s">
        <v>3448</v>
      </c>
      <c r="F284" t="s">
        <v>3714</v>
      </c>
      <c r="G284" t="s">
        <v>14360</v>
      </c>
      <c r="H284" t="s">
        <v>14360</v>
      </c>
      <c r="I284" t="s">
        <v>4641</v>
      </c>
      <c r="J284" s="4" t="s">
        <v>4641</v>
      </c>
      <c r="L284" t="s">
        <v>3096</v>
      </c>
      <c r="M284" t="s">
        <v>16454</v>
      </c>
      <c r="N284" t="s">
        <v>3448</v>
      </c>
      <c r="O284" t="s">
        <v>3448</v>
      </c>
      <c r="P284" t="s">
        <v>3714</v>
      </c>
      <c r="Q284" t="s">
        <v>3714</v>
      </c>
      <c r="R284" t="s">
        <v>3448</v>
      </c>
      <c r="S284" t="s">
        <v>5006</v>
      </c>
    </row>
    <row r="285" spans="1:19" x14ac:dyDescent="0.2">
      <c r="A285" t="s">
        <v>3101</v>
      </c>
      <c r="B285" t="s">
        <v>14359</v>
      </c>
      <c r="C285" t="s">
        <v>19759</v>
      </c>
      <c r="D285" t="str">
        <f>_xlfn.XLOOKUP(E285,pathways!$A$2:$A$31,pathways!$B$2:$B$31)</f>
        <v>Cofactors and vitamins</v>
      </c>
      <c r="E285" t="s">
        <v>3448</v>
      </c>
      <c r="F285" t="s">
        <v>3714</v>
      </c>
      <c r="G285" t="s">
        <v>14360</v>
      </c>
      <c r="H285" t="s">
        <v>14360</v>
      </c>
      <c r="I285" t="s">
        <v>3717</v>
      </c>
      <c r="J285" s="4" t="s">
        <v>3717</v>
      </c>
      <c r="L285" t="s">
        <v>3100</v>
      </c>
      <c r="M285" t="s">
        <v>16457</v>
      </c>
      <c r="N285" t="s">
        <v>3448</v>
      </c>
      <c r="O285" t="s">
        <v>3448</v>
      </c>
      <c r="P285" t="s">
        <v>3714</v>
      </c>
      <c r="Q285" t="s">
        <v>3714</v>
      </c>
      <c r="R285" t="s">
        <v>3448</v>
      </c>
      <c r="S285" t="s">
        <v>5014</v>
      </c>
    </row>
    <row r="286" spans="1:19" x14ac:dyDescent="0.2">
      <c r="A286" t="s">
        <v>13755</v>
      </c>
      <c r="B286" t="s">
        <v>14359</v>
      </c>
      <c r="C286" t="s">
        <v>19922</v>
      </c>
      <c r="D286" t="str">
        <f>_xlfn.XLOOKUP(E286,pathways!$A$2:$A$31,pathways!$B$2:$B$31)</f>
        <v>Cofactors and vitamins</v>
      </c>
      <c r="E286" t="s">
        <v>3448</v>
      </c>
      <c r="F286" t="s">
        <v>3723</v>
      </c>
      <c r="G286" t="s">
        <v>14360</v>
      </c>
      <c r="H286" t="s">
        <v>14360</v>
      </c>
      <c r="I286" t="s">
        <v>3726</v>
      </c>
      <c r="J286" s="4" t="s">
        <v>14360</v>
      </c>
      <c r="L286" t="s">
        <v>14360</v>
      </c>
      <c r="M286" t="s">
        <v>14360</v>
      </c>
      <c r="N286" t="s">
        <v>3448</v>
      </c>
      <c r="O286" t="s">
        <v>14360</v>
      </c>
      <c r="P286" t="s">
        <v>3723</v>
      </c>
      <c r="Q286" t="s">
        <v>14360</v>
      </c>
      <c r="R286" t="s">
        <v>14360</v>
      </c>
      <c r="S286" t="s">
        <v>5021</v>
      </c>
    </row>
    <row r="287" spans="1:19" x14ac:dyDescent="0.2">
      <c r="A287" t="s">
        <v>2094</v>
      </c>
      <c r="B287" t="s">
        <v>14359</v>
      </c>
      <c r="C287" t="s">
        <v>19528</v>
      </c>
      <c r="D287" t="str">
        <f>_xlfn.XLOOKUP(E287,pathways!$A$2:$A$31,pathways!$B$2:$B$31)</f>
        <v>Cofactors and vitamins</v>
      </c>
      <c r="E287" t="s">
        <v>3448</v>
      </c>
      <c r="F287" t="s">
        <v>4124</v>
      </c>
      <c r="G287" t="s">
        <v>14360</v>
      </c>
      <c r="H287" t="s">
        <v>14360</v>
      </c>
      <c r="I287" t="s">
        <v>9535</v>
      </c>
      <c r="J287" s="4" t="s">
        <v>9535</v>
      </c>
      <c r="L287" t="s">
        <v>2093</v>
      </c>
      <c r="M287" t="s">
        <v>15387</v>
      </c>
      <c r="N287" t="s">
        <v>3448</v>
      </c>
      <c r="O287" t="s">
        <v>3448</v>
      </c>
      <c r="P287" t="s">
        <v>4124</v>
      </c>
      <c r="Q287" t="s">
        <v>4124</v>
      </c>
      <c r="R287" t="s">
        <v>3448</v>
      </c>
      <c r="S287" t="s">
        <v>5006</v>
      </c>
    </row>
    <row r="288" spans="1:19" x14ac:dyDescent="0.2">
      <c r="A288" t="s">
        <v>2090</v>
      </c>
      <c r="B288" t="s">
        <v>14359</v>
      </c>
      <c r="C288" t="s">
        <v>19526</v>
      </c>
      <c r="D288" t="str">
        <f>_xlfn.XLOOKUP(E288,pathways!$A$2:$A$31,pathways!$B$2:$B$31)</f>
        <v>Cofactors and vitamins</v>
      </c>
      <c r="E288" t="s">
        <v>3448</v>
      </c>
      <c r="F288" t="s">
        <v>4124</v>
      </c>
      <c r="G288" t="s">
        <v>14360</v>
      </c>
      <c r="H288" t="s">
        <v>14360</v>
      </c>
      <c r="I288" t="s">
        <v>9536</v>
      </c>
      <c r="J288" s="4" t="s">
        <v>9536</v>
      </c>
      <c r="L288" t="s">
        <v>2089</v>
      </c>
      <c r="M288" t="s">
        <v>15383</v>
      </c>
      <c r="N288" t="s">
        <v>3448</v>
      </c>
      <c r="O288" t="s">
        <v>3448</v>
      </c>
      <c r="P288" t="s">
        <v>4124</v>
      </c>
      <c r="Q288" t="s">
        <v>4124</v>
      </c>
      <c r="R288" t="s">
        <v>3448</v>
      </c>
      <c r="S288" t="s">
        <v>5014</v>
      </c>
    </row>
    <row r="289" spans="1:19" x14ac:dyDescent="0.2">
      <c r="A289" t="s">
        <v>2122</v>
      </c>
      <c r="B289" t="s">
        <v>14359</v>
      </c>
      <c r="C289" t="s">
        <v>19538</v>
      </c>
      <c r="D289" t="str">
        <f>_xlfn.XLOOKUP(E289,pathways!$A$2:$A$31,pathways!$B$2:$B$31)</f>
        <v>Cofactors and vitamins</v>
      </c>
      <c r="E289" t="s">
        <v>3448</v>
      </c>
      <c r="F289" t="s">
        <v>4124</v>
      </c>
      <c r="G289" t="s">
        <v>14360</v>
      </c>
      <c r="H289" t="s">
        <v>14360</v>
      </c>
      <c r="I289" t="s">
        <v>9537</v>
      </c>
      <c r="J289" s="4" t="s">
        <v>14360</v>
      </c>
      <c r="L289" t="s">
        <v>2121</v>
      </c>
      <c r="M289" t="s">
        <v>15417</v>
      </c>
      <c r="N289" t="s">
        <v>3448</v>
      </c>
      <c r="O289" t="s">
        <v>14360</v>
      </c>
      <c r="P289" t="s">
        <v>4124</v>
      </c>
      <c r="Q289" t="s">
        <v>14360</v>
      </c>
      <c r="R289" t="s">
        <v>3448</v>
      </c>
      <c r="S289" t="s">
        <v>5021</v>
      </c>
    </row>
    <row r="290" spans="1:19" x14ac:dyDescent="0.2">
      <c r="A290" t="s">
        <v>1563</v>
      </c>
      <c r="B290" t="s">
        <v>14359</v>
      </c>
      <c r="C290" t="s">
        <v>19327</v>
      </c>
      <c r="D290" t="str">
        <f>_xlfn.XLOOKUP(E290,pathways!$A$2:$A$31,pathways!$B$2:$B$31)</f>
        <v>Cofactors and vitamins</v>
      </c>
      <c r="E290" t="s">
        <v>3448</v>
      </c>
      <c r="F290" t="s">
        <v>4679</v>
      </c>
      <c r="G290" t="s">
        <v>14360</v>
      </c>
      <c r="H290" t="s">
        <v>14360</v>
      </c>
      <c r="I290" t="s">
        <v>7242</v>
      </c>
      <c r="J290" s="4" t="s">
        <v>7242</v>
      </c>
      <c r="L290" t="s">
        <v>1562</v>
      </c>
      <c r="M290" t="s">
        <v>14849</v>
      </c>
      <c r="N290" t="s">
        <v>3448</v>
      </c>
      <c r="O290" t="s">
        <v>3448</v>
      </c>
      <c r="P290" t="s">
        <v>4679</v>
      </c>
      <c r="Q290" t="s">
        <v>4679</v>
      </c>
      <c r="R290" t="s">
        <v>3448</v>
      </c>
      <c r="S290" t="s">
        <v>5021</v>
      </c>
    </row>
    <row r="291" spans="1:19" x14ac:dyDescent="0.2">
      <c r="A291" t="s">
        <v>1710</v>
      </c>
      <c r="B291" t="s">
        <v>14359</v>
      </c>
      <c r="C291" t="s">
        <v>19375</v>
      </c>
      <c r="D291" t="str">
        <f>_xlfn.XLOOKUP(E291,pathways!$A$2:$A$31,pathways!$B$2:$B$31)</f>
        <v>Cofactors and vitamins</v>
      </c>
      <c r="E291" t="s">
        <v>3448</v>
      </c>
      <c r="F291" t="s">
        <v>4679</v>
      </c>
      <c r="G291" t="s">
        <v>20427</v>
      </c>
      <c r="H291" t="s">
        <v>14360</v>
      </c>
      <c r="I291" t="s">
        <v>8157</v>
      </c>
      <c r="J291" s="4" t="s">
        <v>14360</v>
      </c>
      <c r="L291" t="s">
        <v>1709</v>
      </c>
      <c r="M291" t="s">
        <v>15003</v>
      </c>
      <c r="N291" t="s">
        <v>3448</v>
      </c>
      <c r="O291" t="s">
        <v>14360</v>
      </c>
      <c r="P291" t="s">
        <v>4679</v>
      </c>
      <c r="Q291" t="s">
        <v>14360</v>
      </c>
      <c r="R291" t="s">
        <v>3448</v>
      </c>
      <c r="S291" t="s">
        <v>14360</v>
      </c>
    </row>
    <row r="292" spans="1:19" x14ac:dyDescent="0.2">
      <c r="A292" t="s">
        <v>1950</v>
      </c>
      <c r="B292" t="s">
        <v>14359</v>
      </c>
      <c r="C292" t="s">
        <v>19458</v>
      </c>
      <c r="D292" t="str">
        <f>_xlfn.XLOOKUP(E292,pathways!$A$2:$A$31,pathways!$B$2:$B$31)</f>
        <v>Cofactors and vitamins</v>
      </c>
      <c r="E292" t="s">
        <v>3448</v>
      </c>
      <c r="F292" t="s">
        <v>4679</v>
      </c>
      <c r="G292" t="s">
        <v>14360</v>
      </c>
      <c r="H292" t="s">
        <v>14360</v>
      </c>
      <c r="I292" t="s">
        <v>8967</v>
      </c>
      <c r="J292" s="4" t="s">
        <v>8967</v>
      </c>
      <c r="L292" t="s">
        <v>1949</v>
      </c>
      <c r="M292" t="s">
        <v>15250</v>
      </c>
      <c r="N292" t="s">
        <v>3448</v>
      </c>
      <c r="O292" t="s">
        <v>3448</v>
      </c>
      <c r="P292" t="s">
        <v>4679</v>
      </c>
      <c r="Q292" t="s">
        <v>4679</v>
      </c>
      <c r="R292" t="s">
        <v>3448</v>
      </c>
      <c r="S292" t="s">
        <v>5441</v>
      </c>
    </row>
    <row r="293" spans="1:19" x14ac:dyDescent="0.2">
      <c r="A293" t="s">
        <v>1431</v>
      </c>
      <c r="B293" t="s">
        <v>14359</v>
      </c>
      <c r="C293" t="s">
        <v>19286</v>
      </c>
      <c r="D293" t="str">
        <f>_xlfn.XLOOKUP(E293,pathways!$A$2:$A$31,pathways!$B$2:$B$31)</f>
        <v>Cofactors and vitamins</v>
      </c>
      <c r="E293" t="s">
        <v>3448</v>
      </c>
      <c r="F293" t="s">
        <v>5600</v>
      </c>
      <c r="G293" t="s">
        <v>20424</v>
      </c>
      <c r="H293" t="s">
        <v>14360</v>
      </c>
      <c r="I293" t="s">
        <v>6668</v>
      </c>
      <c r="J293" s="4" t="s">
        <v>6668</v>
      </c>
      <c r="L293" t="s">
        <v>1430</v>
      </c>
      <c r="M293" t="s">
        <v>14716</v>
      </c>
      <c r="N293" t="s">
        <v>3448</v>
      </c>
      <c r="O293" t="s">
        <v>3448</v>
      </c>
      <c r="P293" t="s">
        <v>5600</v>
      </c>
      <c r="Q293" t="s">
        <v>5600</v>
      </c>
      <c r="R293" t="s">
        <v>3448</v>
      </c>
      <c r="S293" t="s">
        <v>5441</v>
      </c>
    </row>
    <row r="294" spans="1:19" x14ac:dyDescent="0.2">
      <c r="A294" t="s">
        <v>13836</v>
      </c>
      <c r="B294" t="s">
        <v>14359</v>
      </c>
      <c r="C294" t="s">
        <v>19987</v>
      </c>
      <c r="D294" t="str">
        <f>_xlfn.XLOOKUP(E294,pathways!$A$2:$A$31,pathways!$B$2:$B$31)</f>
        <v>Cofactors and vitamins</v>
      </c>
      <c r="E294" t="s">
        <v>3448</v>
      </c>
      <c r="F294" t="s">
        <v>3714</v>
      </c>
      <c r="G294" t="s">
        <v>14360</v>
      </c>
      <c r="H294" t="s">
        <v>14360</v>
      </c>
      <c r="I294" t="s">
        <v>6289</v>
      </c>
      <c r="J294" s="4" t="s">
        <v>14360</v>
      </c>
      <c r="L294" t="s">
        <v>14360</v>
      </c>
      <c r="M294" t="s">
        <v>14360</v>
      </c>
      <c r="N294" t="s">
        <v>3448</v>
      </c>
      <c r="O294" t="s">
        <v>14360</v>
      </c>
      <c r="P294" t="s">
        <v>3714</v>
      </c>
      <c r="Q294" t="s">
        <v>14360</v>
      </c>
      <c r="R294" t="s">
        <v>14360</v>
      </c>
      <c r="S294" t="s">
        <v>5441</v>
      </c>
    </row>
    <row r="295" spans="1:19" x14ac:dyDescent="0.2">
      <c r="A295" t="s">
        <v>13888</v>
      </c>
      <c r="B295" t="s">
        <v>14359</v>
      </c>
      <c r="C295" t="s">
        <v>7569</v>
      </c>
      <c r="D295" t="str">
        <f>_xlfn.XLOOKUP(E295,pathways!$A$2:$A$31,pathways!$B$2:$B$31)</f>
        <v>Cofactors and vitamins</v>
      </c>
      <c r="E295" t="s">
        <v>3448</v>
      </c>
      <c r="F295" t="s">
        <v>3714</v>
      </c>
      <c r="G295" t="s">
        <v>14360</v>
      </c>
      <c r="H295" t="s">
        <v>14360</v>
      </c>
      <c r="I295" t="s">
        <v>7569</v>
      </c>
      <c r="J295" s="4" t="s">
        <v>14360</v>
      </c>
      <c r="L295" t="s">
        <v>14360</v>
      </c>
      <c r="M295" t="s">
        <v>14360</v>
      </c>
      <c r="N295" t="s">
        <v>3448</v>
      </c>
      <c r="O295" t="s">
        <v>14360</v>
      </c>
      <c r="P295" t="s">
        <v>3714</v>
      </c>
      <c r="Q295" t="s">
        <v>14360</v>
      </c>
      <c r="R295" t="s">
        <v>14360</v>
      </c>
      <c r="S295" t="s">
        <v>5441</v>
      </c>
    </row>
    <row r="296" spans="1:19" x14ac:dyDescent="0.2">
      <c r="A296" t="s">
        <v>1397</v>
      </c>
      <c r="B296" t="s">
        <v>14359</v>
      </c>
      <c r="C296" t="s">
        <v>6517</v>
      </c>
      <c r="D296" t="str">
        <f>_xlfn.XLOOKUP(E296,pathways!$A$2:$A$31,pathways!$B$2:$B$31)</f>
        <v>Cofactors and vitamins</v>
      </c>
      <c r="E296" t="s">
        <v>3448</v>
      </c>
      <c r="F296" t="s">
        <v>3449</v>
      </c>
      <c r="G296" t="s">
        <v>12250</v>
      </c>
      <c r="H296" t="s">
        <v>14360</v>
      </c>
      <c r="I296" t="s">
        <v>6517</v>
      </c>
      <c r="J296" s="4" t="s">
        <v>12250</v>
      </c>
      <c r="L296" t="s">
        <v>1396</v>
      </c>
      <c r="M296" t="s">
        <v>14678</v>
      </c>
      <c r="N296" t="s">
        <v>3448</v>
      </c>
      <c r="O296" t="s">
        <v>3448</v>
      </c>
      <c r="P296" t="s">
        <v>3449</v>
      </c>
      <c r="Q296" t="s">
        <v>3449</v>
      </c>
      <c r="R296" t="s">
        <v>3448</v>
      </c>
      <c r="S296" t="s">
        <v>14360</v>
      </c>
    </row>
    <row r="297" spans="1:19" x14ac:dyDescent="0.2">
      <c r="A297" t="s">
        <v>2557</v>
      </c>
      <c r="B297" t="s">
        <v>14359</v>
      </c>
      <c r="C297" t="s">
        <v>19693</v>
      </c>
      <c r="D297" t="str">
        <f>_xlfn.XLOOKUP(E297,pathways!$A$2:$A$31,pathways!$B$2:$B$31)</f>
        <v>Cofactors and vitamins</v>
      </c>
      <c r="E297" t="s">
        <v>3448</v>
      </c>
      <c r="F297" t="s">
        <v>3449</v>
      </c>
      <c r="G297" t="s">
        <v>4028</v>
      </c>
      <c r="H297" t="s">
        <v>14360</v>
      </c>
      <c r="I297" t="s">
        <v>4028</v>
      </c>
      <c r="J297" s="4" t="s">
        <v>4028</v>
      </c>
      <c r="L297" t="s">
        <v>2556</v>
      </c>
      <c r="M297" t="s">
        <v>15879</v>
      </c>
      <c r="N297" t="s">
        <v>3448</v>
      </c>
      <c r="O297" t="s">
        <v>3448</v>
      </c>
      <c r="P297" t="s">
        <v>3449</v>
      </c>
      <c r="Q297" t="s">
        <v>3449</v>
      </c>
      <c r="R297" t="s">
        <v>3448</v>
      </c>
      <c r="S297" t="s">
        <v>3906</v>
      </c>
    </row>
    <row r="298" spans="1:19" x14ac:dyDescent="0.2">
      <c r="A298" t="s">
        <v>1193</v>
      </c>
      <c r="B298" t="s">
        <v>14359</v>
      </c>
      <c r="C298" t="s">
        <v>19211</v>
      </c>
      <c r="D298" t="str">
        <f>_xlfn.XLOOKUP(E298,pathways!$A$2:$A$31,pathways!$B$2:$B$31)</f>
        <v>Cofactors and vitamins</v>
      </c>
      <c r="E298" t="s">
        <v>3448</v>
      </c>
      <c r="F298" t="s">
        <v>5600</v>
      </c>
      <c r="G298" t="s">
        <v>14360</v>
      </c>
      <c r="H298" t="s">
        <v>14360</v>
      </c>
      <c r="I298" t="s">
        <v>5603</v>
      </c>
      <c r="J298" s="4" t="s">
        <v>5603</v>
      </c>
      <c r="L298" t="s">
        <v>1192</v>
      </c>
      <c r="M298" t="s">
        <v>14466</v>
      </c>
      <c r="N298" t="s">
        <v>3448</v>
      </c>
      <c r="O298" t="s">
        <v>3448</v>
      </c>
      <c r="P298" t="s">
        <v>5600</v>
      </c>
      <c r="Q298" t="s">
        <v>5600</v>
      </c>
      <c r="R298" t="s">
        <v>3448</v>
      </c>
      <c r="S298" t="s">
        <v>5021</v>
      </c>
    </row>
    <row r="299" spans="1:19" x14ac:dyDescent="0.2">
      <c r="A299" t="s">
        <v>1640</v>
      </c>
      <c r="B299" t="s">
        <v>14359</v>
      </c>
      <c r="C299" t="s">
        <v>19350</v>
      </c>
      <c r="D299" t="str">
        <f>_xlfn.XLOOKUP(E299,pathways!$A$2:$A$31,pathways!$B$2:$B$31)</f>
        <v>Cofactors and vitamins</v>
      </c>
      <c r="E299" t="s">
        <v>3448</v>
      </c>
      <c r="F299" t="s">
        <v>4568</v>
      </c>
      <c r="G299" t="s">
        <v>14360</v>
      </c>
      <c r="H299" t="s">
        <v>14360</v>
      </c>
      <c r="I299" t="s">
        <v>7577</v>
      </c>
      <c r="J299" s="4" t="s">
        <v>14360</v>
      </c>
      <c r="L299" t="s">
        <v>1639</v>
      </c>
      <c r="M299" t="s">
        <v>14929</v>
      </c>
      <c r="N299" t="s">
        <v>3448</v>
      </c>
      <c r="O299" t="s">
        <v>14360</v>
      </c>
      <c r="P299" t="s">
        <v>4568</v>
      </c>
      <c r="Q299" t="s">
        <v>14360</v>
      </c>
      <c r="R299" t="s">
        <v>3448</v>
      </c>
      <c r="S299" t="s">
        <v>5006</v>
      </c>
    </row>
    <row r="300" spans="1:19" x14ac:dyDescent="0.2">
      <c r="A300" t="s">
        <v>2339</v>
      </c>
      <c r="B300" t="s">
        <v>14359</v>
      </c>
      <c r="C300" t="s">
        <v>19616</v>
      </c>
      <c r="D300" t="str">
        <f>_xlfn.XLOOKUP(E300,pathways!$A$2:$A$31,pathways!$B$2:$B$31)</f>
        <v>Cofactors and vitamins</v>
      </c>
      <c r="E300" t="s">
        <v>3448</v>
      </c>
      <c r="F300" t="s">
        <v>4568</v>
      </c>
      <c r="G300" t="s">
        <v>14360</v>
      </c>
      <c r="H300" t="s">
        <v>14360</v>
      </c>
      <c r="I300" t="s">
        <v>4571</v>
      </c>
      <c r="J300" s="4" t="s">
        <v>4571</v>
      </c>
      <c r="L300" t="s">
        <v>2338</v>
      </c>
      <c r="M300" t="s">
        <v>15637</v>
      </c>
      <c r="N300" t="s">
        <v>3448</v>
      </c>
      <c r="O300" t="s">
        <v>3448</v>
      </c>
      <c r="P300" t="s">
        <v>4568</v>
      </c>
      <c r="Q300" t="s">
        <v>4568</v>
      </c>
      <c r="R300" t="s">
        <v>3448</v>
      </c>
      <c r="S300" t="s">
        <v>5014</v>
      </c>
    </row>
    <row r="301" spans="1:19" x14ac:dyDescent="0.2">
      <c r="A301" t="s">
        <v>1248</v>
      </c>
      <c r="B301" t="s">
        <v>14359</v>
      </c>
      <c r="C301" t="s">
        <v>19225</v>
      </c>
      <c r="D301" t="str">
        <f>_xlfn.XLOOKUP(E301,pathways!$A$2:$A$31,pathways!$B$2:$B$31)</f>
        <v>Cofactors and vitamins</v>
      </c>
      <c r="E301" t="s">
        <v>3448</v>
      </c>
      <c r="F301" t="s">
        <v>5858</v>
      </c>
      <c r="G301" t="s">
        <v>5861</v>
      </c>
      <c r="H301" t="s">
        <v>14360</v>
      </c>
      <c r="I301" t="s">
        <v>5861</v>
      </c>
      <c r="J301" s="4" t="s">
        <v>5861</v>
      </c>
      <c r="L301" t="s">
        <v>1247</v>
      </c>
      <c r="M301" t="s">
        <v>14524</v>
      </c>
      <c r="N301" t="s">
        <v>3448</v>
      </c>
      <c r="O301" t="s">
        <v>3448</v>
      </c>
      <c r="P301" t="s">
        <v>5858</v>
      </c>
      <c r="Q301" t="s">
        <v>5858</v>
      </c>
      <c r="R301" t="s">
        <v>3448</v>
      </c>
      <c r="S301" t="s">
        <v>5021</v>
      </c>
    </row>
    <row r="302" spans="1:19" x14ac:dyDescent="0.2">
      <c r="A302" t="s">
        <v>2469</v>
      </c>
      <c r="B302" t="s">
        <v>14359</v>
      </c>
      <c r="C302" t="s">
        <v>19653</v>
      </c>
      <c r="D302" t="str">
        <f>_xlfn.XLOOKUP(E302,pathways!$A$2:$A$31,pathways!$B$2:$B$31)</f>
        <v>Cofactors and vitamins</v>
      </c>
      <c r="E302" t="s">
        <v>3448</v>
      </c>
      <c r="F302" t="s">
        <v>3449</v>
      </c>
      <c r="G302" t="s">
        <v>3580</v>
      </c>
      <c r="H302" t="s">
        <v>14360</v>
      </c>
      <c r="I302" t="s">
        <v>3580</v>
      </c>
      <c r="J302" s="4" t="s">
        <v>3580</v>
      </c>
      <c r="L302" t="s">
        <v>2468</v>
      </c>
      <c r="M302" t="s">
        <v>15775</v>
      </c>
      <c r="N302" t="s">
        <v>3448</v>
      </c>
      <c r="O302" t="s">
        <v>3448</v>
      </c>
      <c r="P302" t="s">
        <v>3449</v>
      </c>
      <c r="Q302" t="s">
        <v>3449</v>
      </c>
      <c r="R302" t="s">
        <v>3448</v>
      </c>
      <c r="S302" t="s">
        <v>5006</v>
      </c>
    </row>
    <row r="303" spans="1:19" x14ac:dyDescent="0.2">
      <c r="A303" t="s">
        <v>13924</v>
      </c>
      <c r="B303" t="s">
        <v>14359</v>
      </c>
      <c r="C303" t="s">
        <v>20077</v>
      </c>
      <c r="D303" t="str">
        <f>_xlfn.XLOOKUP(E303,pathways!$A$2:$A$31,pathways!$B$2:$B$31)</f>
        <v>Cofactors and vitamins</v>
      </c>
      <c r="E303" t="s">
        <v>3448</v>
      </c>
      <c r="F303" t="s">
        <v>4124</v>
      </c>
      <c r="G303" t="s">
        <v>14360</v>
      </c>
      <c r="H303" t="s">
        <v>14360</v>
      </c>
      <c r="I303" t="s">
        <v>8053</v>
      </c>
      <c r="J303" s="4" t="s">
        <v>14360</v>
      </c>
      <c r="L303" t="s">
        <v>14360</v>
      </c>
      <c r="M303" t="s">
        <v>14360</v>
      </c>
      <c r="N303" t="s">
        <v>3448</v>
      </c>
      <c r="O303" t="s">
        <v>14360</v>
      </c>
      <c r="P303" t="s">
        <v>4124</v>
      </c>
      <c r="Q303" t="s">
        <v>14360</v>
      </c>
      <c r="R303" t="s">
        <v>14360</v>
      </c>
      <c r="S303" t="s">
        <v>5021</v>
      </c>
    </row>
    <row r="304" spans="1:19" x14ac:dyDescent="0.2">
      <c r="A304" t="s">
        <v>2567</v>
      </c>
      <c r="B304" t="s">
        <v>14359</v>
      </c>
      <c r="C304" t="s">
        <v>19698</v>
      </c>
      <c r="D304" t="str">
        <f>_xlfn.XLOOKUP(E304,pathways!$A$2:$A$31,pathways!$B$2:$B$31)</f>
        <v>Cofactors and vitamins</v>
      </c>
      <c r="E304" t="s">
        <v>3448</v>
      </c>
      <c r="F304" t="s">
        <v>4124</v>
      </c>
      <c r="G304" t="s">
        <v>14360</v>
      </c>
      <c r="H304" t="s">
        <v>14360</v>
      </c>
      <c r="I304" t="s">
        <v>4127</v>
      </c>
      <c r="J304" s="4" t="s">
        <v>12420</v>
      </c>
      <c r="L304" t="s">
        <v>2566</v>
      </c>
      <c r="M304" t="s">
        <v>15889</v>
      </c>
      <c r="N304" t="s">
        <v>3448</v>
      </c>
      <c r="O304" t="s">
        <v>3448</v>
      </c>
      <c r="P304" t="s">
        <v>4124</v>
      </c>
      <c r="Q304" t="s">
        <v>4124</v>
      </c>
      <c r="R304" t="s">
        <v>3448</v>
      </c>
      <c r="S304" t="s">
        <v>5006</v>
      </c>
    </row>
    <row r="305" spans="1:19" x14ac:dyDescent="0.2">
      <c r="A305" t="s">
        <v>13770</v>
      </c>
      <c r="B305" t="s">
        <v>14359</v>
      </c>
      <c r="C305" t="s">
        <v>20122</v>
      </c>
      <c r="D305" t="str">
        <f>_xlfn.XLOOKUP(E305,pathways!$A$2:$A$31,pathways!$B$2:$B$31)</f>
        <v>Cofactors and vitamins</v>
      </c>
      <c r="E305" t="s">
        <v>3448</v>
      </c>
      <c r="F305" t="s">
        <v>4133</v>
      </c>
      <c r="G305" t="s">
        <v>14360</v>
      </c>
      <c r="H305" t="s">
        <v>14360</v>
      </c>
      <c r="I305" t="s">
        <v>4136</v>
      </c>
      <c r="J305" s="4" t="s">
        <v>12426</v>
      </c>
      <c r="L305" t="s">
        <v>14360</v>
      </c>
      <c r="M305" t="s">
        <v>14360</v>
      </c>
      <c r="N305" t="s">
        <v>3448</v>
      </c>
      <c r="O305" t="s">
        <v>3448</v>
      </c>
      <c r="P305" t="s">
        <v>4133</v>
      </c>
      <c r="Q305" t="s">
        <v>4133</v>
      </c>
      <c r="R305" t="s">
        <v>14360</v>
      </c>
      <c r="S305" t="s">
        <v>5014</v>
      </c>
    </row>
    <row r="306" spans="1:19" x14ac:dyDescent="0.2">
      <c r="A306" t="s">
        <v>1221</v>
      </c>
      <c r="B306" t="s">
        <v>14359</v>
      </c>
      <c r="C306" t="s">
        <v>19218</v>
      </c>
      <c r="D306" t="str">
        <f>_xlfn.XLOOKUP(E306,pathways!$A$2:$A$31,pathways!$B$2:$B$31)</f>
        <v>Cofactors and vitamins</v>
      </c>
      <c r="E306" t="s">
        <v>3448</v>
      </c>
      <c r="F306" t="s">
        <v>5600</v>
      </c>
      <c r="G306" t="s">
        <v>14360</v>
      </c>
      <c r="H306" t="s">
        <v>14360</v>
      </c>
      <c r="I306" t="s">
        <v>5718</v>
      </c>
      <c r="J306" s="4" t="s">
        <v>5718</v>
      </c>
      <c r="L306" t="s">
        <v>1220</v>
      </c>
      <c r="M306" t="s">
        <v>14496</v>
      </c>
      <c r="N306" t="s">
        <v>3448</v>
      </c>
      <c r="O306" t="s">
        <v>3448</v>
      </c>
      <c r="P306" t="s">
        <v>5600</v>
      </c>
      <c r="Q306" t="s">
        <v>5600</v>
      </c>
      <c r="R306" t="s">
        <v>3448</v>
      </c>
      <c r="S306" t="s">
        <v>5021</v>
      </c>
    </row>
    <row r="307" spans="1:19" x14ac:dyDescent="0.2">
      <c r="A307" t="s">
        <v>1238</v>
      </c>
      <c r="B307" t="s">
        <v>14359</v>
      </c>
      <c r="C307" t="s">
        <v>19222</v>
      </c>
      <c r="D307" t="str">
        <f>_xlfn.XLOOKUP(E307,pathways!$A$2:$A$31,pathways!$B$2:$B$31)</f>
        <v>Cofactors and vitamins</v>
      </c>
      <c r="E307" t="s">
        <v>3448</v>
      </c>
      <c r="F307" t="s">
        <v>3449</v>
      </c>
      <c r="G307" t="s">
        <v>5814</v>
      </c>
      <c r="H307" t="s">
        <v>14360</v>
      </c>
      <c r="I307" t="s">
        <v>5814</v>
      </c>
      <c r="J307" s="4" t="s">
        <v>5814</v>
      </c>
      <c r="L307" t="s">
        <v>1237</v>
      </c>
      <c r="M307" t="s">
        <v>14514</v>
      </c>
      <c r="N307" t="s">
        <v>3448</v>
      </c>
      <c r="O307" t="s">
        <v>3448</v>
      </c>
      <c r="P307" t="s">
        <v>3449</v>
      </c>
      <c r="Q307" t="s">
        <v>3449</v>
      </c>
      <c r="R307" t="s">
        <v>3448</v>
      </c>
      <c r="S307" t="s">
        <v>5006</v>
      </c>
    </row>
    <row r="308" spans="1:19" x14ac:dyDescent="0.2">
      <c r="A308" t="s">
        <v>20152</v>
      </c>
      <c r="B308" t="s">
        <v>14359</v>
      </c>
      <c r="C308" t="s">
        <v>20206</v>
      </c>
      <c r="D308" t="str">
        <f>_xlfn.XLOOKUP(E308,pathways!$A$2:$A$31,pathways!$B$2:$B$31)</f>
        <v>Cofactors and vitamins</v>
      </c>
      <c r="E308" t="s">
        <v>20128</v>
      </c>
      <c r="F308" t="s">
        <v>20207</v>
      </c>
      <c r="G308" t="s">
        <v>14360</v>
      </c>
      <c r="H308" t="s">
        <v>14360</v>
      </c>
      <c r="J308" t="s">
        <v>20206</v>
      </c>
      <c r="S308" t="s">
        <v>5441</v>
      </c>
    </row>
    <row r="309" spans="1:19" x14ac:dyDescent="0.2">
      <c r="A309" t="s">
        <v>13963</v>
      </c>
      <c r="B309" t="s">
        <v>14359</v>
      </c>
      <c r="C309" t="s">
        <v>8833</v>
      </c>
      <c r="D309" t="str">
        <f>_xlfn.XLOOKUP(E309,pathways!$A$2:$A$31,pathways!$B$2:$B$31)</f>
        <v>Carbohydrate/energy metabolism</v>
      </c>
      <c r="E309" t="s">
        <v>3479</v>
      </c>
      <c r="F309" t="s">
        <v>3480</v>
      </c>
      <c r="G309" t="s">
        <v>8833</v>
      </c>
      <c r="H309" t="s">
        <v>14360</v>
      </c>
      <c r="I309" t="s">
        <v>8833</v>
      </c>
      <c r="J309" s="4" t="s">
        <v>8833</v>
      </c>
      <c r="L309" t="s">
        <v>14360</v>
      </c>
      <c r="M309" t="s">
        <v>14360</v>
      </c>
      <c r="N309" t="s">
        <v>3479</v>
      </c>
      <c r="O309" t="s">
        <v>3479</v>
      </c>
      <c r="P309" t="s">
        <v>3480</v>
      </c>
      <c r="Q309" t="s">
        <v>3480</v>
      </c>
      <c r="R309" t="s">
        <v>14360</v>
      </c>
      <c r="S309" t="s">
        <v>5441</v>
      </c>
    </row>
    <row r="310" spans="1:19" x14ac:dyDescent="0.2">
      <c r="A310" t="s">
        <v>1334</v>
      </c>
      <c r="B310" t="s">
        <v>14359</v>
      </c>
      <c r="C310" t="s">
        <v>19254</v>
      </c>
      <c r="D310" t="str">
        <f>_xlfn.XLOOKUP(E310,pathways!$A$2:$A$31,pathways!$B$2:$B$31)</f>
        <v>Carbohydrate/energy metabolism</v>
      </c>
      <c r="E310" t="s">
        <v>3479</v>
      </c>
      <c r="F310" t="s">
        <v>3480</v>
      </c>
      <c r="G310" t="s">
        <v>6283</v>
      </c>
      <c r="H310" t="s">
        <v>14360</v>
      </c>
      <c r="I310" t="s">
        <v>6283</v>
      </c>
      <c r="J310" s="4" t="s">
        <v>6283</v>
      </c>
      <c r="L310" t="s">
        <v>1333</v>
      </c>
      <c r="M310" t="s">
        <v>14612</v>
      </c>
      <c r="N310" t="s">
        <v>3479</v>
      </c>
      <c r="O310" t="s">
        <v>3479</v>
      </c>
      <c r="P310" t="s">
        <v>3480</v>
      </c>
      <c r="Q310" t="s">
        <v>3480</v>
      </c>
      <c r="R310" t="s">
        <v>3479</v>
      </c>
      <c r="S310" t="s">
        <v>5441</v>
      </c>
    </row>
    <row r="311" spans="1:19" x14ac:dyDescent="0.2">
      <c r="A311" t="s">
        <v>2649</v>
      </c>
      <c r="B311" t="s">
        <v>14359</v>
      </c>
      <c r="C311" t="s">
        <v>19737</v>
      </c>
      <c r="D311" t="str">
        <f>_xlfn.XLOOKUP(E311,pathways!$A$2:$A$31,pathways!$B$2:$B$31)</f>
        <v>Carbohydrate/energy metabolism</v>
      </c>
      <c r="E311" t="s">
        <v>3479</v>
      </c>
      <c r="F311" t="s">
        <v>3480</v>
      </c>
      <c r="G311" t="s">
        <v>3483</v>
      </c>
      <c r="H311" t="s">
        <v>14360</v>
      </c>
      <c r="I311" t="s">
        <v>3483</v>
      </c>
      <c r="J311" s="4" t="s">
        <v>3483</v>
      </c>
      <c r="L311" t="s">
        <v>2648</v>
      </c>
      <c r="M311" t="s">
        <v>15987</v>
      </c>
      <c r="N311" t="s">
        <v>3479</v>
      </c>
      <c r="O311" t="s">
        <v>3479</v>
      </c>
      <c r="P311" t="s">
        <v>3480</v>
      </c>
      <c r="Q311" t="s">
        <v>3480</v>
      </c>
      <c r="R311" t="s">
        <v>3479</v>
      </c>
      <c r="S311" t="s">
        <v>5441</v>
      </c>
    </row>
    <row r="312" spans="1:19" x14ac:dyDescent="0.2">
      <c r="A312" t="s">
        <v>1831</v>
      </c>
      <c r="B312" t="s">
        <v>14359</v>
      </c>
      <c r="C312" t="s">
        <v>19411</v>
      </c>
      <c r="D312" t="str">
        <f>_xlfn.XLOOKUP(E312,pathways!$A$2:$A$31,pathways!$B$2:$B$31)</f>
        <v>Carbohydrate/energy metabolism</v>
      </c>
      <c r="E312" t="s">
        <v>3479</v>
      </c>
      <c r="F312" t="s">
        <v>3480</v>
      </c>
      <c r="G312" t="s">
        <v>8713</v>
      </c>
      <c r="H312" t="s">
        <v>14360</v>
      </c>
      <c r="I312" t="s">
        <v>8713</v>
      </c>
      <c r="J312" s="4" t="s">
        <v>14360</v>
      </c>
      <c r="L312" t="s">
        <v>1830</v>
      </c>
      <c r="M312" t="s">
        <v>15131</v>
      </c>
      <c r="N312" t="s">
        <v>3479</v>
      </c>
      <c r="O312" t="s">
        <v>14360</v>
      </c>
      <c r="P312" t="s">
        <v>3480</v>
      </c>
      <c r="Q312" t="s">
        <v>14360</v>
      </c>
      <c r="R312" t="s">
        <v>3479</v>
      </c>
      <c r="S312" t="s">
        <v>14360</v>
      </c>
    </row>
    <row r="313" spans="1:19" x14ac:dyDescent="0.2">
      <c r="A313" t="s">
        <v>13788</v>
      </c>
      <c r="B313" t="s">
        <v>14359</v>
      </c>
      <c r="C313" t="s">
        <v>338</v>
      </c>
      <c r="D313" t="str">
        <f>_xlfn.XLOOKUP(E313,pathways!$A$2:$A$31,pathways!$B$2:$B$31)</f>
        <v>Carbohydrate/energy metabolism</v>
      </c>
      <c r="E313" t="s">
        <v>3479</v>
      </c>
      <c r="F313" t="s">
        <v>3480</v>
      </c>
      <c r="G313" t="s">
        <v>14360</v>
      </c>
      <c r="H313" t="s">
        <v>14360</v>
      </c>
      <c r="I313" t="s">
        <v>337</v>
      </c>
      <c r="J313" s="4" t="s">
        <v>337</v>
      </c>
      <c r="L313" t="s">
        <v>339</v>
      </c>
      <c r="M313" s="3" t="s">
        <v>16793</v>
      </c>
      <c r="N313" t="s">
        <v>3479</v>
      </c>
      <c r="O313" t="s">
        <v>3479</v>
      </c>
      <c r="P313" t="s">
        <v>3480</v>
      </c>
      <c r="Q313" t="s">
        <v>3480</v>
      </c>
      <c r="R313" t="s">
        <v>3479</v>
      </c>
      <c r="S313" t="s">
        <v>5021</v>
      </c>
    </row>
    <row r="314" spans="1:19" x14ac:dyDescent="0.2">
      <c r="A314" t="s">
        <v>13759</v>
      </c>
      <c r="B314" t="s">
        <v>14359</v>
      </c>
      <c r="C314" t="s">
        <v>19971</v>
      </c>
      <c r="D314" t="str">
        <f>_xlfn.XLOOKUP(E314,pathways!$A$2:$A$31,pathways!$B$2:$B$31)</f>
        <v>Carbohydrate/energy metabolism</v>
      </c>
      <c r="E314" t="s">
        <v>3479</v>
      </c>
      <c r="F314" t="s">
        <v>3480</v>
      </c>
      <c r="G314" t="s">
        <v>3847</v>
      </c>
      <c r="H314" t="s">
        <v>14360</v>
      </c>
      <c r="I314" t="s">
        <v>3847</v>
      </c>
      <c r="J314" s="4" t="s">
        <v>3847</v>
      </c>
      <c r="L314" t="s">
        <v>14360</v>
      </c>
      <c r="M314" t="s">
        <v>14360</v>
      </c>
      <c r="N314" t="s">
        <v>3479</v>
      </c>
      <c r="O314" t="s">
        <v>3479</v>
      </c>
      <c r="P314" t="s">
        <v>3480</v>
      </c>
      <c r="Q314" t="s">
        <v>3480</v>
      </c>
      <c r="R314" t="s">
        <v>14360</v>
      </c>
      <c r="S314" t="s">
        <v>5021</v>
      </c>
    </row>
    <row r="315" spans="1:19" x14ac:dyDescent="0.2">
      <c r="A315" t="s">
        <v>2555</v>
      </c>
      <c r="B315" t="s">
        <v>14359</v>
      </c>
      <c r="C315" t="s">
        <v>19692</v>
      </c>
      <c r="D315" t="str">
        <f>_xlfn.XLOOKUP(E315,pathways!$A$2:$A$31,pathways!$B$2:$B$31)</f>
        <v>Carbohydrate/energy metabolism</v>
      </c>
      <c r="E315" t="s">
        <v>3479</v>
      </c>
      <c r="F315" t="s">
        <v>3480</v>
      </c>
      <c r="G315" t="s">
        <v>14360</v>
      </c>
      <c r="H315" t="s">
        <v>14360</v>
      </c>
      <c r="I315" t="s">
        <v>4003</v>
      </c>
      <c r="J315" s="4" t="s">
        <v>4003</v>
      </c>
      <c r="L315" t="s">
        <v>2554</v>
      </c>
      <c r="M315" t="s">
        <v>15875</v>
      </c>
      <c r="N315" t="s">
        <v>3479</v>
      </c>
      <c r="O315" t="s">
        <v>3479</v>
      </c>
      <c r="P315" t="s">
        <v>3480</v>
      </c>
      <c r="Q315" t="s">
        <v>3480</v>
      </c>
      <c r="R315" t="s">
        <v>3479</v>
      </c>
      <c r="S315" t="s">
        <v>5632</v>
      </c>
    </row>
    <row r="316" spans="1:19" x14ac:dyDescent="0.2">
      <c r="A316" t="s">
        <v>2548</v>
      </c>
      <c r="B316" t="s">
        <v>14359</v>
      </c>
      <c r="C316" t="s">
        <v>19688</v>
      </c>
      <c r="D316" t="str">
        <f>_xlfn.XLOOKUP(E316,pathways!$A$2:$A$31,pathways!$B$2:$B$31)</f>
        <v>Carbohydrate/energy metabolism</v>
      </c>
      <c r="E316" t="s">
        <v>3479</v>
      </c>
      <c r="F316" t="s">
        <v>4075</v>
      </c>
      <c r="G316" t="s">
        <v>14360</v>
      </c>
      <c r="H316" t="s">
        <v>14360</v>
      </c>
      <c r="I316" t="s">
        <v>4078</v>
      </c>
      <c r="J316" s="4" t="s">
        <v>4078</v>
      </c>
      <c r="L316" t="s">
        <v>2547</v>
      </c>
      <c r="M316" t="s">
        <v>15865</v>
      </c>
      <c r="N316" t="s">
        <v>3479</v>
      </c>
      <c r="O316" t="s">
        <v>3479</v>
      </c>
      <c r="P316" t="s">
        <v>4075</v>
      </c>
      <c r="Q316" t="s">
        <v>4075</v>
      </c>
      <c r="R316" t="s">
        <v>3479</v>
      </c>
      <c r="S316" t="s">
        <v>4373</v>
      </c>
    </row>
    <row r="317" spans="1:19" x14ac:dyDescent="0.2">
      <c r="A317" t="s">
        <v>2495</v>
      </c>
      <c r="B317" t="s">
        <v>14359</v>
      </c>
      <c r="C317" t="s">
        <v>19665</v>
      </c>
      <c r="D317" t="str">
        <f>_xlfn.XLOOKUP(E317,pathways!$A$2:$A$31,pathways!$B$2:$B$31)</f>
        <v>Carbohydrate/energy metabolism</v>
      </c>
      <c r="E317" t="s">
        <v>3479</v>
      </c>
      <c r="F317" t="s">
        <v>3480</v>
      </c>
      <c r="G317" t="s">
        <v>14360</v>
      </c>
      <c r="H317" t="s">
        <v>14360</v>
      </c>
      <c r="I317" t="s">
        <v>3734</v>
      </c>
      <c r="J317" s="4" t="s">
        <v>3734</v>
      </c>
      <c r="L317" t="s">
        <v>2494</v>
      </c>
      <c r="M317" t="s">
        <v>15803</v>
      </c>
      <c r="N317" t="s">
        <v>3479</v>
      </c>
      <c r="O317" t="s">
        <v>3479</v>
      </c>
      <c r="P317" t="s">
        <v>3480</v>
      </c>
      <c r="Q317" t="s">
        <v>3480</v>
      </c>
      <c r="R317" t="s">
        <v>3479</v>
      </c>
      <c r="S317" t="s">
        <v>4373</v>
      </c>
    </row>
    <row r="318" spans="1:19" x14ac:dyDescent="0.2">
      <c r="A318" t="s">
        <v>13866</v>
      </c>
      <c r="B318" t="s">
        <v>14359</v>
      </c>
      <c r="C318" t="s">
        <v>19322</v>
      </c>
      <c r="D318" t="str">
        <f>_xlfn.XLOOKUP(E318,pathways!$A$2:$A$31,pathways!$B$2:$B$31)</f>
        <v>Carbohydrate/energy metabolism</v>
      </c>
      <c r="E318" t="s">
        <v>3479</v>
      </c>
      <c r="F318" t="s">
        <v>3480</v>
      </c>
      <c r="G318" t="s">
        <v>7094</v>
      </c>
      <c r="H318" t="s">
        <v>14360</v>
      </c>
      <c r="I318" t="s">
        <v>7094</v>
      </c>
      <c r="J318" s="4" t="s">
        <v>7094</v>
      </c>
      <c r="L318" t="s">
        <v>1531</v>
      </c>
      <c r="M318" t="s">
        <v>14818</v>
      </c>
      <c r="N318" t="s">
        <v>3479</v>
      </c>
      <c r="O318" t="s">
        <v>3479</v>
      </c>
      <c r="P318" t="s">
        <v>3480</v>
      </c>
      <c r="Q318" t="s">
        <v>3480</v>
      </c>
      <c r="R318" t="s">
        <v>3479</v>
      </c>
      <c r="S318" t="s">
        <v>4084</v>
      </c>
    </row>
    <row r="319" spans="1:19" x14ac:dyDescent="0.2">
      <c r="A319" t="s">
        <v>430</v>
      </c>
      <c r="B319" t="s">
        <v>14358</v>
      </c>
      <c r="C319" t="s">
        <v>19760</v>
      </c>
      <c r="D319" t="str">
        <f>_xlfn.XLOOKUP(E319,pathways!$A$2:$A$31,pathways!$B$2:$B$31)</f>
        <v>Lipid metabolism</v>
      </c>
      <c r="E319" t="s">
        <v>426</v>
      </c>
      <c r="F319" t="s">
        <v>426</v>
      </c>
      <c r="G319" t="s">
        <v>14360</v>
      </c>
      <c r="H319" t="s">
        <v>19859</v>
      </c>
      <c r="I319" t="s">
        <v>10703</v>
      </c>
      <c r="J319" s="4" t="s">
        <v>14360</v>
      </c>
      <c r="K319" t="s">
        <v>428</v>
      </c>
      <c r="L319" t="s">
        <v>429</v>
      </c>
      <c r="M319" t="s">
        <v>16803</v>
      </c>
      <c r="N319" t="s">
        <v>426</v>
      </c>
      <c r="O319" t="s">
        <v>14360</v>
      </c>
      <c r="P319" t="s">
        <v>426</v>
      </c>
      <c r="Q319" t="s">
        <v>14360</v>
      </c>
      <c r="S319" t="s">
        <v>4373</v>
      </c>
    </row>
    <row r="320" spans="1:19" x14ac:dyDescent="0.2">
      <c r="A320" t="s">
        <v>424</v>
      </c>
      <c r="B320" t="s">
        <v>14358</v>
      </c>
      <c r="C320" t="s">
        <v>423</v>
      </c>
      <c r="D320" t="str">
        <f>_xlfn.XLOOKUP(E320,pathways!$A$2:$A$31,pathways!$B$2:$B$31)</f>
        <v>Lipid metabolism</v>
      </c>
      <c r="E320" t="s">
        <v>426</v>
      </c>
      <c r="F320" t="s">
        <v>426</v>
      </c>
      <c r="G320" t="s">
        <v>14360</v>
      </c>
      <c r="H320" t="s">
        <v>10683</v>
      </c>
      <c r="I320" t="s">
        <v>10683</v>
      </c>
      <c r="J320" s="4" t="s">
        <v>425</v>
      </c>
      <c r="K320" t="s">
        <v>422</v>
      </c>
      <c r="L320" t="s">
        <v>423</v>
      </c>
      <c r="M320" t="s">
        <v>17043</v>
      </c>
      <c r="N320" t="s">
        <v>426</v>
      </c>
      <c r="O320" t="s">
        <v>426</v>
      </c>
      <c r="P320" t="s">
        <v>426</v>
      </c>
      <c r="S320" t="s">
        <v>4059</v>
      </c>
    </row>
    <row r="321" spans="1:19" x14ac:dyDescent="0.2">
      <c r="A321" t="s">
        <v>609</v>
      </c>
      <c r="B321" t="s">
        <v>14358</v>
      </c>
      <c r="C321" t="s">
        <v>19762</v>
      </c>
      <c r="D321" t="str">
        <f>_xlfn.XLOOKUP(E321,pathways!$A$2:$A$31,pathways!$B$2:$B$31)</f>
        <v>Lipid metabolism</v>
      </c>
      <c r="E321" t="s">
        <v>426</v>
      </c>
      <c r="F321" t="s">
        <v>426</v>
      </c>
      <c r="G321" t="s">
        <v>14360</v>
      </c>
      <c r="H321" t="s">
        <v>11218</v>
      </c>
      <c r="I321" t="s">
        <v>10700</v>
      </c>
      <c r="J321" s="4" t="s">
        <v>610</v>
      </c>
      <c r="K321" t="s">
        <v>607</v>
      </c>
      <c r="L321" t="s">
        <v>608</v>
      </c>
      <c r="M321" t="s">
        <v>16856</v>
      </c>
      <c r="N321" t="s">
        <v>426</v>
      </c>
      <c r="O321" t="s">
        <v>426</v>
      </c>
      <c r="P321" t="s">
        <v>426</v>
      </c>
      <c r="S321" t="s">
        <v>14360</v>
      </c>
    </row>
    <row r="322" spans="1:19" x14ac:dyDescent="0.2">
      <c r="A322" t="s">
        <v>619</v>
      </c>
      <c r="B322" t="s">
        <v>14358</v>
      </c>
      <c r="C322" t="s">
        <v>19765</v>
      </c>
      <c r="D322" t="str">
        <f>_xlfn.XLOOKUP(E322,pathways!$A$2:$A$31,pathways!$B$2:$B$31)</f>
        <v>Lipid metabolism</v>
      </c>
      <c r="E322" t="s">
        <v>426</v>
      </c>
      <c r="F322" t="s">
        <v>426</v>
      </c>
      <c r="G322" t="s">
        <v>14360</v>
      </c>
      <c r="H322" t="s">
        <v>620</v>
      </c>
      <c r="I322" t="s">
        <v>10695</v>
      </c>
      <c r="J322" s="4" t="s">
        <v>13664</v>
      </c>
      <c r="K322" t="s">
        <v>617</v>
      </c>
      <c r="L322" t="s">
        <v>618</v>
      </c>
      <c r="M322" t="s">
        <v>16954</v>
      </c>
      <c r="N322" t="s">
        <v>426</v>
      </c>
      <c r="O322" t="s">
        <v>426</v>
      </c>
      <c r="P322" t="s">
        <v>426</v>
      </c>
      <c r="S322" t="s">
        <v>4059</v>
      </c>
    </row>
    <row r="323" spans="1:19" x14ac:dyDescent="0.2">
      <c r="A323" t="s">
        <v>628</v>
      </c>
      <c r="B323" t="s">
        <v>14358</v>
      </c>
      <c r="C323" t="s">
        <v>629</v>
      </c>
      <c r="D323" t="str">
        <f>_xlfn.XLOOKUP(E323,pathways!$A$2:$A$31,pathways!$B$2:$B$31)</f>
        <v>Lipid metabolism</v>
      </c>
      <c r="E323" t="s">
        <v>426</v>
      </c>
      <c r="F323" t="s">
        <v>426</v>
      </c>
      <c r="G323" t="s">
        <v>14360</v>
      </c>
      <c r="H323" t="s">
        <v>10686</v>
      </c>
      <c r="I323" t="s">
        <v>10686</v>
      </c>
      <c r="J323" s="4" t="s">
        <v>629</v>
      </c>
      <c r="K323" t="s">
        <v>626</v>
      </c>
      <c r="L323" t="s">
        <v>627</v>
      </c>
      <c r="M323" t="s">
        <v>16810</v>
      </c>
      <c r="N323" t="s">
        <v>426</v>
      </c>
      <c r="O323" t="s">
        <v>426</v>
      </c>
      <c r="P323" t="s">
        <v>426</v>
      </c>
      <c r="S323" t="s">
        <v>3569</v>
      </c>
    </row>
    <row r="324" spans="1:19" x14ac:dyDescent="0.2">
      <c r="A324" t="s">
        <v>637</v>
      </c>
      <c r="B324" t="s">
        <v>14358</v>
      </c>
      <c r="C324" t="s">
        <v>638</v>
      </c>
      <c r="D324" t="str">
        <f>_xlfn.XLOOKUP(E324,pathways!$A$2:$A$31,pathways!$B$2:$B$31)</f>
        <v>Lipid metabolism</v>
      </c>
      <c r="E324" t="s">
        <v>426</v>
      </c>
      <c r="F324" t="s">
        <v>426</v>
      </c>
      <c r="G324" t="s">
        <v>14360</v>
      </c>
      <c r="H324" t="s">
        <v>10689</v>
      </c>
      <c r="I324" t="s">
        <v>10689</v>
      </c>
      <c r="J324" s="4" t="s">
        <v>638</v>
      </c>
      <c r="K324" t="s">
        <v>635</v>
      </c>
      <c r="L324" t="s">
        <v>636</v>
      </c>
      <c r="M324" t="s">
        <v>16813</v>
      </c>
      <c r="N324" t="s">
        <v>426</v>
      </c>
      <c r="O324" t="s">
        <v>426</v>
      </c>
      <c r="P324" t="s">
        <v>426</v>
      </c>
      <c r="S324" t="s">
        <v>14360</v>
      </c>
    </row>
    <row r="325" spans="1:19" x14ac:dyDescent="0.2">
      <c r="A325" t="s">
        <v>786</v>
      </c>
      <c r="B325" t="s">
        <v>14358</v>
      </c>
      <c r="C325" t="s">
        <v>785</v>
      </c>
      <c r="D325" t="str">
        <f>_xlfn.XLOOKUP(E325,pathways!$A$2:$A$31,pathways!$B$2:$B$31)</f>
        <v>Lipid metabolism</v>
      </c>
      <c r="E325" t="s">
        <v>426</v>
      </c>
      <c r="F325" t="s">
        <v>426</v>
      </c>
      <c r="G325" t="s">
        <v>14360</v>
      </c>
      <c r="H325" t="s">
        <v>787</v>
      </c>
      <c r="I325" t="s">
        <v>10692</v>
      </c>
      <c r="J325" s="4" t="s">
        <v>785</v>
      </c>
      <c r="K325" t="s">
        <v>784</v>
      </c>
      <c r="L325" t="s">
        <v>785</v>
      </c>
      <c r="M325" t="s">
        <v>16975</v>
      </c>
      <c r="N325" t="s">
        <v>426</v>
      </c>
      <c r="O325" t="s">
        <v>426</v>
      </c>
      <c r="P325" t="s">
        <v>426</v>
      </c>
      <c r="S325" t="s">
        <v>5559</v>
      </c>
    </row>
    <row r="326" spans="1:19" x14ac:dyDescent="0.2">
      <c r="A326" t="s">
        <v>614</v>
      </c>
      <c r="B326" t="s">
        <v>14358</v>
      </c>
      <c r="C326" t="s">
        <v>613</v>
      </c>
      <c r="D326" t="str">
        <f>_xlfn.XLOOKUP(E326,pathways!$A$2:$A$31,pathways!$B$2:$B$31)</f>
        <v>Lipid metabolism</v>
      </c>
      <c r="E326" t="s">
        <v>426</v>
      </c>
      <c r="F326" t="s">
        <v>437</v>
      </c>
      <c r="G326" t="s">
        <v>14360</v>
      </c>
      <c r="H326" t="s">
        <v>10721</v>
      </c>
      <c r="I326" t="s">
        <v>10721</v>
      </c>
      <c r="J326" s="4" t="s">
        <v>615</v>
      </c>
      <c r="K326" t="s">
        <v>612</v>
      </c>
      <c r="L326" t="s">
        <v>613</v>
      </c>
      <c r="M326" t="s">
        <v>16857</v>
      </c>
      <c r="N326" t="s">
        <v>426</v>
      </c>
      <c r="O326" t="s">
        <v>426</v>
      </c>
      <c r="P326" t="s">
        <v>437</v>
      </c>
      <c r="Q326" t="s">
        <v>437</v>
      </c>
      <c r="S326" t="s">
        <v>5559</v>
      </c>
    </row>
    <row r="327" spans="1:19" x14ac:dyDescent="0.2">
      <c r="A327" t="s">
        <v>435</v>
      </c>
      <c r="B327" t="s">
        <v>14358</v>
      </c>
      <c r="C327" t="s">
        <v>434</v>
      </c>
      <c r="D327" t="str">
        <f>_xlfn.XLOOKUP(E327,pathways!$A$2:$A$31,pathways!$B$2:$B$31)</f>
        <v>Lipid metabolism</v>
      </c>
      <c r="E327" t="s">
        <v>426</v>
      </c>
      <c r="F327" t="s">
        <v>437</v>
      </c>
      <c r="G327" t="s">
        <v>14360</v>
      </c>
      <c r="H327" t="s">
        <v>10724</v>
      </c>
      <c r="I327" t="s">
        <v>10724</v>
      </c>
      <c r="J327" s="4" t="s">
        <v>434</v>
      </c>
      <c r="K327" t="s">
        <v>433</v>
      </c>
      <c r="L327" t="s">
        <v>434</v>
      </c>
      <c r="M327" t="s">
        <v>16805</v>
      </c>
      <c r="N327" t="s">
        <v>426</v>
      </c>
      <c r="O327" t="s">
        <v>14360</v>
      </c>
      <c r="P327" t="s">
        <v>437</v>
      </c>
      <c r="Q327" t="s">
        <v>14360</v>
      </c>
      <c r="S327" t="s">
        <v>14360</v>
      </c>
    </row>
    <row r="328" spans="1:19" x14ac:dyDescent="0.2">
      <c r="A328" t="s">
        <v>624</v>
      </c>
      <c r="B328" t="s">
        <v>14358</v>
      </c>
      <c r="C328" t="s">
        <v>623</v>
      </c>
      <c r="D328" t="str">
        <f>_xlfn.XLOOKUP(E328,pathways!$A$2:$A$31,pathways!$B$2:$B$31)</f>
        <v>Lipid metabolism</v>
      </c>
      <c r="E328" t="s">
        <v>426</v>
      </c>
      <c r="F328" t="s">
        <v>437</v>
      </c>
      <c r="G328" t="s">
        <v>14360</v>
      </c>
      <c r="H328" t="s">
        <v>10715</v>
      </c>
      <c r="I328" t="s">
        <v>10715</v>
      </c>
      <c r="J328" s="4" t="s">
        <v>623</v>
      </c>
      <c r="K328" t="s">
        <v>622</v>
      </c>
      <c r="L328" t="s">
        <v>623</v>
      </c>
      <c r="M328" t="s">
        <v>16955</v>
      </c>
      <c r="N328" t="s">
        <v>426</v>
      </c>
      <c r="O328" t="s">
        <v>426</v>
      </c>
      <c r="P328" t="s">
        <v>437</v>
      </c>
      <c r="Q328" t="s">
        <v>437</v>
      </c>
      <c r="S328" t="s">
        <v>14360</v>
      </c>
    </row>
    <row r="329" spans="1:19" x14ac:dyDescent="0.2">
      <c r="A329" t="s">
        <v>633</v>
      </c>
      <c r="B329" t="s">
        <v>14358</v>
      </c>
      <c r="C329" t="s">
        <v>632</v>
      </c>
      <c r="D329" t="str">
        <f>_xlfn.XLOOKUP(E329,pathways!$A$2:$A$31,pathways!$B$2:$B$31)</f>
        <v>Lipid metabolism</v>
      </c>
      <c r="E329" t="s">
        <v>426</v>
      </c>
      <c r="F329" t="s">
        <v>437</v>
      </c>
      <c r="G329" t="s">
        <v>14360</v>
      </c>
      <c r="H329" t="s">
        <v>10706</v>
      </c>
      <c r="I329" t="s">
        <v>10706</v>
      </c>
      <c r="J329" s="4" t="s">
        <v>632</v>
      </c>
      <c r="K329" t="s">
        <v>631</v>
      </c>
      <c r="L329" t="s">
        <v>632</v>
      </c>
      <c r="M329" t="s">
        <v>16812</v>
      </c>
      <c r="N329" t="s">
        <v>426</v>
      </c>
      <c r="O329" t="s">
        <v>426</v>
      </c>
      <c r="P329" t="s">
        <v>437</v>
      </c>
      <c r="Q329" t="s">
        <v>437</v>
      </c>
      <c r="S329" t="s">
        <v>3460</v>
      </c>
    </row>
    <row r="330" spans="1:19" x14ac:dyDescent="0.2">
      <c r="A330" t="s">
        <v>641</v>
      </c>
      <c r="B330" t="s">
        <v>14358</v>
      </c>
      <c r="C330" t="s">
        <v>640</v>
      </c>
      <c r="D330" t="str">
        <f>_xlfn.XLOOKUP(E330,pathways!$A$2:$A$31,pathways!$B$2:$B$31)</f>
        <v>Lipid metabolism</v>
      </c>
      <c r="E330" t="s">
        <v>426</v>
      </c>
      <c r="F330" t="s">
        <v>437</v>
      </c>
      <c r="G330" t="s">
        <v>14360</v>
      </c>
      <c r="H330" t="s">
        <v>10730</v>
      </c>
      <c r="I330" t="s">
        <v>10730</v>
      </c>
      <c r="J330" s="4" t="s">
        <v>14360</v>
      </c>
      <c r="K330" t="s">
        <v>640</v>
      </c>
      <c r="L330" t="s">
        <v>14360</v>
      </c>
      <c r="M330" t="s">
        <v>14360</v>
      </c>
      <c r="N330" t="s">
        <v>426</v>
      </c>
      <c r="O330" t="s">
        <v>14360</v>
      </c>
      <c r="P330" t="s">
        <v>437</v>
      </c>
      <c r="Q330" t="s">
        <v>14360</v>
      </c>
      <c r="R330" t="s">
        <v>14360</v>
      </c>
      <c r="S330" t="s">
        <v>4869</v>
      </c>
    </row>
    <row r="331" spans="1:19" x14ac:dyDescent="0.2">
      <c r="A331" s="8" t="s">
        <v>19876</v>
      </c>
      <c r="B331" t="s">
        <v>14358</v>
      </c>
      <c r="C331" t="s">
        <v>640</v>
      </c>
      <c r="D331" t="str">
        <f>_xlfn.XLOOKUP(E331,pathways!$A$2:$A$31,pathways!$B$2:$B$31)</f>
        <v>Lipid metabolism</v>
      </c>
      <c r="E331" t="s">
        <v>426</v>
      </c>
      <c r="F331" t="s">
        <v>437</v>
      </c>
      <c r="G331" t="s">
        <v>14360</v>
      </c>
      <c r="H331" t="s">
        <v>14360</v>
      </c>
      <c r="I331" t="s">
        <v>10730</v>
      </c>
      <c r="J331" s="4" t="s">
        <v>14360</v>
      </c>
      <c r="K331" t="s">
        <v>640</v>
      </c>
      <c r="L331" t="s">
        <v>14360</v>
      </c>
      <c r="M331" t="s">
        <v>14360</v>
      </c>
      <c r="N331" t="s">
        <v>426</v>
      </c>
      <c r="O331" t="s">
        <v>14360</v>
      </c>
      <c r="P331" t="s">
        <v>437</v>
      </c>
      <c r="Q331" t="s">
        <v>14360</v>
      </c>
      <c r="R331" t="s">
        <v>14360</v>
      </c>
      <c r="S331" t="s">
        <v>14360</v>
      </c>
    </row>
    <row r="332" spans="1:19" x14ac:dyDescent="0.2">
      <c r="A332" t="s">
        <v>646</v>
      </c>
      <c r="B332" t="s">
        <v>14358</v>
      </c>
      <c r="C332" t="s">
        <v>645</v>
      </c>
      <c r="D332" t="str">
        <f>_xlfn.XLOOKUP(E332,pathways!$A$2:$A$31,pathways!$B$2:$B$31)</f>
        <v>Lipid metabolism</v>
      </c>
      <c r="E332" t="s">
        <v>426</v>
      </c>
      <c r="F332" t="s">
        <v>437</v>
      </c>
      <c r="G332" t="s">
        <v>14360</v>
      </c>
      <c r="H332" t="s">
        <v>10709</v>
      </c>
      <c r="I332" t="s">
        <v>10709</v>
      </c>
      <c r="J332" s="4" t="s">
        <v>645</v>
      </c>
      <c r="K332" t="s">
        <v>644</v>
      </c>
      <c r="L332" t="s">
        <v>645</v>
      </c>
      <c r="M332" t="s">
        <v>16815</v>
      </c>
      <c r="N332" t="s">
        <v>426</v>
      </c>
      <c r="O332" t="s">
        <v>426</v>
      </c>
      <c r="P332" t="s">
        <v>437</v>
      </c>
      <c r="Q332" t="s">
        <v>437</v>
      </c>
      <c r="S332" t="s">
        <v>5559</v>
      </c>
    </row>
    <row r="333" spans="1:19" x14ac:dyDescent="0.2">
      <c r="A333" t="s">
        <v>790</v>
      </c>
      <c r="B333" t="s">
        <v>14358</v>
      </c>
      <c r="C333" t="s">
        <v>789</v>
      </c>
      <c r="D333" t="str">
        <f>_xlfn.XLOOKUP(E333,pathways!$A$2:$A$31,pathways!$B$2:$B$31)</f>
        <v>Lipid metabolism</v>
      </c>
      <c r="E333" t="s">
        <v>426</v>
      </c>
      <c r="F333" t="s">
        <v>437</v>
      </c>
      <c r="G333" t="s">
        <v>14360</v>
      </c>
      <c r="H333" t="s">
        <v>14360</v>
      </c>
      <c r="I333" t="s">
        <v>10727</v>
      </c>
      <c r="J333" s="4" t="s">
        <v>14360</v>
      </c>
      <c r="K333" t="s">
        <v>789</v>
      </c>
      <c r="L333" t="s">
        <v>14360</v>
      </c>
      <c r="M333" t="s">
        <v>14360</v>
      </c>
      <c r="N333" t="s">
        <v>426</v>
      </c>
      <c r="O333" t="s">
        <v>14360</v>
      </c>
      <c r="P333" t="s">
        <v>437</v>
      </c>
      <c r="Q333" t="s">
        <v>14360</v>
      </c>
      <c r="R333" t="s">
        <v>14360</v>
      </c>
      <c r="S333" t="s">
        <v>7151</v>
      </c>
    </row>
    <row r="334" spans="1:19" x14ac:dyDescent="0.2">
      <c r="A334" s="8" t="s">
        <v>19875</v>
      </c>
      <c r="B334" t="s">
        <v>14358</v>
      </c>
      <c r="C334" t="s">
        <v>789</v>
      </c>
      <c r="D334" t="str">
        <f>_xlfn.XLOOKUP(E334,pathways!$A$2:$A$31,pathways!$B$2:$B$31)</f>
        <v>Lipid metabolism</v>
      </c>
      <c r="E334" t="s">
        <v>426</v>
      </c>
      <c r="F334" t="s">
        <v>437</v>
      </c>
      <c r="G334" t="s">
        <v>14360</v>
      </c>
      <c r="H334" t="s">
        <v>10727</v>
      </c>
      <c r="I334" t="s">
        <v>10727</v>
      </c>
      <c r="J334" s="4" t="s">
        <v>14360</v>
      </c>
      <c r="K334" t="s">
        <v>789</v>
      </c>
      <c r="L334" t="s">
        <v>14360</v>
      </c>
      <c r="M334" t="s">
        <v>14360</v>
      </c>
      <c r="N334" t="s">
        <v>426</v>
      </c>
      <c r="O334" t="s">
        <v>14360</v>
      </c>
      <c r="P334" t="s">
        <v>437</v>
      </c>
      <c r="Q334" t="s">
        <v>14360</v>
      </c>
      <c r="R334" t="s">
        <v>14360</v>
      </c>
      <c r="S334" t="s">
        <v>14360</v>
      </c>
    </row>
    <row r="335" spans="1:19" x14ac:dyDescent="0.2">
      <c r="A335" t="s">
        <v>795</v>
      </c>
      <c r="B335" t="s">
        <v>14358</v>
      </c>
      <c r="C335" t="s">
        <v>794</v>
      </c>
      <c r="D335" t="str">
        <f>_xlfn.XLOOKUP(E335,pathways!$A$2:$A$31,pathways!$B$2:$B$31)</f>
        <v>Lipid metabolism</v>
      </c>
      <c r="E335" t="s">
        <v>426</v>
      </c>
      <c r="F335" t="s">
        <v>437</v>
      </c>
      <c r="G335" t="s">
        <v>14360</v>
      </c>
      <c r="H335" t="s">
        <v>10712</v>
      </c>
      <c r="I335" t="s">
        <v>10712</v>
      </c>
      <c r="J335" s="4" t="s">
        <v>794</v>
      </c>
      <c r="K335" t="s">
        <v>793</v>
      </c>
      <c r="L335" t="s">
        <v>794</v>
      </c>
      <c r="M335" t="s">
        <v>16977</v>
      </c>
      <c r="N335" t="s">
        <v>426</v>
      </c>
      <c r="O335" t="s">
        <v>426</v>
      </c>
      <c r="P335" t="s">
        <v>437</v>
      </c>
      <c r="Q335" t="s">
        <v>437</v>
      </c>
      <c r="S335" t="s">
        <v>8265</v>
      </c>
    </row>
    <row r="336" spans="1:19" x14ac:dyDescent="0.2">
      <c r="A336" t="s">
        <v>812</v>
      </c>
      <c r="B336" t="s">
        <v>14358</v>
      </c>
      <c r="C336" t="s">
        <v>811</v>
      </c>
      <c r="D336" t="str">
        <f>_xlfn.XLOOKUP(E336,pathways!$A$2:$A$31,pathways!$B$2:$B$31)</f>
        <v>Lipid metabolism</v>
      </c>
      <c r="E336" t="s">
        <v>426</v>
      </c>
      <c r="F336" t="s">
        <v>437</v>
      </c>
      <c r="G336" t="s">
        <v>14360</v>
      </c>
      <c r="H336" t="s">
        <v>10718</v>
      </c>
      <c r="I336" t="s">
        <v>10718</v>
      </c>
      <c r="J336" s="4" t="s">
        <v>811</v>
      </c>
      <c r="K336" t="s">
        <v>810</v>
      </c>
      <c r="L336" t="s">
        <v>811</v>
      </c>
      <c r="M336" t="s">
        <v>16985</v>
      </c>
      <c r="N336" t="s">
        <v>426</v>
      </c>
      <c r="O336" t="s">
        <v>426</v>
      </c>
      <c r="P336" t="s">
        <v>437</v>
      </c>
      <c r="Q336" t="s">
        <v>437</v>
      </c>
      <c r="S336" t="s">
        <v>3864</v>
      </c>
    </row>
    <row r="337" spans="1:19" x14ac:dyDescent="0.2">
      <c r="A337" t="s">
        <v>808</v>
      </c>
      <c r="B337" t="s">
        <v>14358</v>
      </c>
      <c r="C337" t="s">
        <v>807</v>
      </c>
      <c r="D337" t="str">
        <f>_xlfn.XLOOKUP(E337,pathways!$A$2:$A$31,pathways!$B$2:$B$31)</f>
        <v>Lipid metabolism</v>
      </c>
      <c r="E337" t="s">
        <v>426</v>
      </c>
      <c r="F337" t="s">
        <v>426</v>
      </c>
      <c r="G337" t="s">
        <v>14360</v>
      </c>
      <c r="H337" t="s">
        <v>11304</v>
      </c>
      <c r="I337" t="s">
        <v>10698</v>
      </c>
      <c r="J337" s="4" t="s">
        <v>807</v>
      </c>
      <c r="K337" t="s">
        <v>806</v>
      </c>
      <c r="L337" t="s">
        <v>807</v>
      </c>
      <c r="M337" t="s">
        <v>16983</v>
      </c>
      <c r="N337" t="s">
        <v>426</v>
      </c>
      <c r="O337" t="s">
        <v>426</v>
      </c>
      <c r="P337" t="s">
        <v>426</v>
      </c>
      <c r="S337" t="s">
        <v>14360</v>
      </c>
    </row>
    <row r="338" spans="1:19" x14ac:dyDescent="0.2">
      <c r="A338" t="s">
        <v>847</v>
      </c>
      <c r="B338" t="s">
        <v>14358</v>
      </c>
      <c r="C338" t="s">
        <v>846</v>
      </c>
      <c r="D338" t="str">
        <f>_xlfn.XLOOKUP(E338,pathways!$A$2:$A$31,pathways!$B$2:$B$31)</f>
        <v>Lipid metabolism</v>
      </c>
      <c r="E338" t="s">
        <v>426</v>
      </c>
      <c r="F338" t="s">
        <v>426</v>
      </c>
      <c r="G338" t="s">
        <v>14360</v>
      </c>
      <c r="H338" t="s">
        <v>846</v>
      </c>
      <c r="I338" t="s">
        <v>10680</v>
      </c>
      <c r="J338" s="4" t="s">
        <v>846</v>
      </c>
      <c r="K338" t="s">
        <v>845</v>
      </c>
      <c r="L338" t="s">
        <v>846</v>
      </c>
      <c r="M338" t="s">
        <v>17039</v>
      </c>
      <c r="N338" t="s">
        <v>426</v>
      </c>
      <c r="O338" t="s">
        <v>426</v>
      </c>
      <c r="P338" t="s">
        <v>426</v>
      </c>
      <c r="S338" t="s">
        <v>3793</v>
      </c>
    </row>
    <row r="339" spans="1:19" x14ac:dyDescent="0.2">
      <c r="A339" t="s">
        <v>34</v>
      </c>
      <c r="B339" t="s">
        <v>14358</v>
      </c>
      <c r="C339" t="s">
        <v>32</v>
      </c>
      <c r="D339" t="str">
        <f>_xlfn.XLOOKUP(E339,pathways!$A$2:$A$31,pathways!$B$2:$B$31)</f>
        <v>Fluid balance</v>
      </c>
      <c r="E339" t="s">
        <v>35</v>
      </c>
      <c r="F339" t="s">
        <v>35</v>
      </c>
      <c r="G339" t="s">
        <v>14360</v>
      </c>
      <c r="H339" t="s">
        <v>32</v>
      </c>
      <c r="I339" t="s">
        <v>32</v>
      </c>
      <c r="J339" s="4" t="s">
        <v>14360</v>
      </c>
      <c r="K339" t="s">
        <v>32</v>
      </c>
      <c r="L339" t="s">
        <v>33</v>
      </c>
      <c r="M339" t="s">
        <v>16785</v>
      </c>
      <c r="N339" t="s">
        <v>35</v>
      </c>
      <c r="O339" t="s">
        <v>14360</v>
      </c>
      <c r="P339" t="s">
        <v>35</v>
      </c>
      <c r="Q339" t="s">
        <v>14360</v>
      </c>
      <c r="S339" t="s">
        <v>8139</v>
      </c>
    </row>
    <row r="340" spans="1:19" x14ac:dyDescent="0.2">
      <c r="A340" t="s">
        <v>420</v>
      </c>
      <c r="B340" t="s">
        <v>14358</v>
      </c>
      <c r="C340" t="s">
        <v>418</v>
      </c>
      <c r="D340" t="str">
        <f>_xlfn.XLOOKUP(E340,pathways!$A$2:$A$31,pathways!$B$2:$B$31)</f>
        <v>Fluid balance</v>
      </c>
      <c r="E340" t="s">
        <v>35</v>
      </c>
      <c r="F340" t="s">
        <v>35</v>
      </c>
      <c r="G340" t="s">
        <v>417</v>
      </c>
      <c r="H340" t="s">
        <v>418</v>
      </c>
      <c r="I340" t="s">
        <v>418</v>
      </c>
      <c r="J340" s="4" t="s">
        <v>418</v>
      </c>
      <c r="K340" t="s">
        <v>418</v>
      </c>
      <c r="L340" t="s">
        <v>419</v>
      </c>
      <c r="M340" s="3" t="s">
        <v>16798</v>
      </c>
      <c r="N340" t="s">
        <v>35</v>
      </c>
      <c r="O340" t="s">
        <v>35</v>
      </c>
      <c r="P340" t="s">
        <v>35</v>
      </c>
      <c r="S340" t="s">
        <v>8139</v>
      </c>
    </row>
    <row r="341" spans="1:19" x14ac:dyDescent="0.2">
      <c r="A341" t="s">
        <v>851</v>
      </c>
      <c r="B341" t="s">
        <v>14358</v>
      </c>
      <c r="C341" t="s">
        <v>442</v>
      </c>
      <c r="D341" t="str">
        <f>_xlfn.XLOOKUP(E341,pathways!$A$2:$A$31,pathways!$B$2:$B$31)</f>
        <v>Lipid metabolism</v>
      </c>
      <c r="E341" t="s">
        <v>442</v>
      </c>
      <c r="F341" t="s">
        <v>442</v>
      </c>
      <c r="G341" t="s">
        <v>14360</v>
      </c>
      <c r="H341" t="s">
        <v>10615</v>
      </c>
      <c r="I341" t="s">
        <v>10615</v>
      </c>
      <c r="J341" s="4" t="s">
        <v>852</v>
      </c>
      <c r="K341" t="s">
        <v>849</v>
      </c>
      <c r="L341" t="s">
        <v>850</v>
      </c>
      <c r="M341" t="s">
        <v>16816</v>
      </c>
      <c r="N341" t="s">
        <v>442</v>
      </c>
      <c r="O341" t="s">
        <v>442</v>
      </c>
      <c r="P341" t="s">
        <v>442</v>
      </c>
      <c r="S341" t="s">
        <v>3864</v>
      </c>
    </row>
    <row r="342" spans="1:19" x14ac:dyDescent="0.2">
      <c r="A342" t="s">
        <v>445</v>
      </c>
      <c r="B342" t="s">
        <v>14358</v>
      </c>
      <c r="C342" t="s">
        <v>444</v>
      </c>
      <c r="D342" t="s">
        <v>20125</v>
      </c>
      <c r="E342" t="s">
        <v>442</v>
      </c>
      <c r="F342" t="s">
        <v>442</v>
      </c>
      <c r="G342" t="s">
        <v>14360</v>
      </c>
      <c r="H342" t="s">
        <v>10624</v>
      </c>
      <c r="I342" t="s">
        <v>10624</v>
      </c>
      <c r="J342" s="4" t="s">
        <v>14360</v>
      </c>
      <c r="K342" t="s">
        <v>444</v>
      </c>
      <c r="L342" t="s">
        <v>14360</v>
      </c>
      <c r="M342" t="s">
        <v>14360</v>
      </c>
      <c r="N342" t="s">
        <v>442</v>
      </c>
      <c r="O342" t="s">
        <v>14360</v>
      </c>
      <c r="P342" t="s">
        <v>442</v>
      </c>
      <c r="Q342" t="s">
        <v>14360</v>
      </c>
      <c r="R342" t="s">
        <v>14360</v>
      </c>
      <c r="S342" t="s">
        <v>14360</v>
      </c>
    </row>
    <row r="343" spans="1:19" x14ac:dyDescent="0.2">
      <c r="A343" t="s">
        <v>465</v>
      </c>
      <c r="B343" t="s">
        <v>14358</v>
      </c>
      <c r="C343" t="s">
        <v>464</v>
      </c>
      <c r="D343" t="s">
        <v>20125</v>
      </c>
      <c r="E343" t="s">
        <v>442</v>
      </c>
      <c r="F343" t="s">
        <v>442</v>
      </c>
      <c r="G343" t="s">
        <v>14360</v>
      </c>
      <c r="H343" t="s">
        <v>10621</v>
      </c>
      <c r="I343" t="s">
        <v>10621</v>
      </c>
      <c r="J343" s="4" t="s">
        <v>14360</v>
      </c>
      <c r="K343" t="s">
        <v>464</v>
      </c>
      <c r="L343" t="s">
        <v>14360</v>
      </c>
      <c r="M343" t="s">
        <v>14360</v>
      </c>
      <c r="N343" t="s">
        <v>442</v>
      </c>
      <c r="O343" t="s">
        <v>14360</v>
      </c>
      <c r="P343" t="s">
        <v>442</v>
      </c>
      <c r="Q343" t="s">
        <v>14360</v>
      </c>
      <c r="R343" t="s">
        <v>14360</v>
      </c>
      <c r="S343" t="s">
        <v>4991</v>
      </c>
    </row>
    <row r="344" spans="1:19" x14ac:dyDescent="0.2">
      <c r="A344" t="s">
        <v>505</v>
      </c>
      <c r="B344" t="s">
        <v>14358</v>
      </c>
      <c r="C344" t="s">
        <v>504</v>
      </c>
      <c r="D344" t="s">
        <v>20125</v>
      </c>
      <c r="E344" t="s">
        <v>442</v>
      </c>
      <c r="F344" t="s">
        <v>442</v>
      </c>
      <c r="G344" t="s">
        <v>14360</v>
      </c>
      <c r="H344" t="s">
        <v>10618</v>
      </c>
      <c r="I344" t="s">
        <v>10618</v>
      </c>
      <c r="J344" s="4" t="s">
        <v>14360</v>
      </c>
      <c r="K344" t="s">
        <v>504</v>
      </c>
      <c r="L344" t="s">
        <v>14360</v>
      </c>
      <c r="M344" t="s">
        <v>14360</v>
      </c>
      <c r="N344" t="s">
        <v>442</v>
      </c>
      <c r="O344" t="s">
        <v>14360</v>
      </c>
      <c r="P344" t="s">
        <v>442</v>
      </c>
      <c r="Q344" t="s">
        <v>14360</v>
      </c>
      <c r="R344" t="s">
        <v>14360</v>
      </c>
      <c r="S344" t="s">
        <v>3498</v>
      </c>
    </row>
    <row r="345" spans="1:19" x14ac:dyDescent="0.2">
      <c r="A345" t="s">
        <v>943</v>
      </c>
      <c r="B345" t="s">
        <v>14358</v>
      </c>
      <c r="C345" t="s">
        <v>19761</v>
      </c>
      <c r="D345" t="str">
        <f>_xlfn.XLOOKUP(E345,pathways!$A$2:$A$31,pathways!$B$2:$B$31)</f>
        <v>Lipoproteins</v>
      </c>
      <c r="E345" t="s">
        <v>945</v>
      </c>
      <c r="F345" t="s">
        <v>945</v>
      </c>
      <c r="G345" t="s">
        <v>14360</v>
      </c>
      <c r="H345" t="s">
        <v>11272</v>
      </c>
      <c r="I345" t="s">
        <v>10588</v>
      </c>
      <c r="J345" s="4" t="s">
        <v>941</v>
      </c>
      <c r="K345" t="s">
        <v>941</v>
      </c>
      <c r="L345" t="s">
        <v>942</v>
      </c>
      <c r="M345" t="s">
        <v>16830</v>
      </c>
      <c r="N345" t="s">
        <v>945</v>
      </c>
      <c r="O345" t="s">
        <v>935</v>
      </c>
      <c r="P345" t="s">
        <v>945</v>
      </c>
      <c r="S345" t="s">
        <v>3603</v>
      </c>
    </row>
    <row r="346" spans="1:19" x14ac:dyDescent="0.2">
      <c r="A346" t="s">
        <v>964</v>
      </c>
      <c r="B346" t="s">
        <v>14358</v>
      </c>
      <c r="C346" t="s">
        <v>19763</v>
      </c>
      <c r="D346" t="str">
        <f>_xlfn.XLOOKUP(E346,pathways!$A$2:$A$31,pathways!$B$2:$B$31)</f>
        <v>Lipoproteins</v>
      </c>
      <c r="E346" t="s">
        <v>945</v>
      </c>
      <c r="F346" t="s">
        <v>945</v>
      </c>
      <c r="G346" t="s">
        <v>14360</v>
      </c>
      <c r="H346" t="s">
        <v>11288</v>
      </c>
      <c r="I346" t="s">
        <v>10585</v>
      </c>
      <c r="J346" s="4" t="s">
        <v>962</v>
      </c>
      <c r="K346" t="s">
        <v>962</v>
      </c>
      <c r="L346" t="s">
        <v>963</v>
      </c>
      <c r="M346" t="s">
        <v>16863</v>
      </c>
      <c r="N346" t="s">
        <v>945</v>
      </c>
      <c r="O346" t="s">
        <v>935</v>
      </c>
      <c r="P346" t="s">
        <v>945</v>
      </c>
      <c r="S346" t="s">
        <v>14360</v>
      </c>
    </row>
    <row r="347" spans="1:19" x14ac:dyDescent="0.2">
      <c r="A347" t="s">
        <v>1005</v>
      </c>
      <c r="B347" t="s">
        <v>14358</v>
      </c>
      <c r="C347" t="s">
        <v>19768</v>
      </c>
      <c r="D347" t="str">
        <f>_xlfn.XLOOKUP(E347,pathways!$A$2:$A$31,pathways!$B$2:$B$31)</f>
        <v>Lipoproteins</v>
      </c>
      <c r="E347" t="s">
        <v>945</v>
      </c>
      <c r="F347" t="s">
        <v>945</v>
      </c>
      <c r="G347" t="s">
        <v>14360</v>
      </c>
      <c r="H347" t="s">
        <v>11208</v>
      </c>
      <c r="I347" t="s">
        <v>10582</v>
      </c>
      <c r="J347" s="4" t="s">
        <v>1003</v>
      </c>
      <c r="K347" t="s">
        <v>1003</v>
      </c>
      <c r="L347" t="s">
        <v>1004</v>
      </c>
      <c r="M347" t="s">
        <v>17048</v>
      </c>
      <c r="N347" t="s">
        <v>945</v>
      </c>
      <c r="O347" t="s">
        <v>935</v>
      </c>
      <c r="P347" t="s">
        <v>945</v>
      </c>
      <c r="S347" t="s">
        <v>4869</v>
      </c>
    </row>
    <row r="348" spans="1:19" x14ac:dyDescent="0.2">
      <c r="A348" t="s">
        <v>19873</v>
      </c>
      <c r="B348" t="s">
        <v>14358</v>
      </c>
      <c r="C348" t="s">
        <v>1009</v>
      </c>
      <c r="D348" t="s">
        <v>20124</v>
      </c>
      <c r="E348" t="s">
        <v>1011</v>
      </c>
      <c r="F348" t="s">
        <v>1011</v>
      </c>
      <c r="G348" t="s">
        <v>14360</v>
      </c>
      <c r="H348" t="s">
        <v>14360</v>
      </c>
      <c r="I348" t="s">
        <v>10663</v>
      </c>
      <c r="J348" s="4" t="s">
        <v>1009</v>
      </c>
      <c r="K348" t="s">
        <v>1008</v>
      </c>
      <c r="L348" t="s">
        <v>1009</v>
      </c>
      <c r="M348" t="s">
        <v>17036</v>
      </c>
      <c r="N348" t="s">
        <v>1011</v>
      </c>
      <c r="O348" t="s">
        <v>656</v>
      </c>
      <c r="P348" t="s">
        <v>1011</v>
      </c>
      <c r="S348" t="s">
        <v>14360</v>
      </c>
    </row>
    <row r="349" spans="1:19" x14ac:dyDescent="0.2">
      <c r="A349" t="s">
        <v>1010</v>
      </c>
      <c r="B349" t="s">
        <v>14358</v>
      </c>
      <c r="C349" t="s">
        <v>1009</v>
      </c>
      <c r="D349" t="s">
        <v>20124</v>
      </c>
      <c r="E349" t="s">
        <v>1011</v>
      </c>
      <c r="F349" t="s">
        <v>1011</v>
      </c>
      <c r="G349" t="s">
        <v>14360</v>
      </c>
      <c r="H349" t="s">
        <v>11195</v>
      </c>
      <c r="I349" t="s">
        <v>10663</v>
      </c>
      <c r="J349" s="4" t="s">
        <v>1009</v>
      </c>
      <c r="K349" t="s">
        <v>1008</v>
      </c>
      <c r="L349" t="s">
        <v>1009</v>
      </c>
      <c r="M349" t="s">
        <v>17036</v>
      </c>
      <c r="N349" t="s">
        <v>1011</v>
      </c>
      <c r="O349" t="s">
        <v>656</v>
      </c>
      <c r="P349" t="s">
        <v>1011</v>
      </c>
      <c r="S349" t="s">
        <v>3793</v>
      </c>
    </row>
    <row r="350" spans="1:19" x14ac:dyDescent="0.2">
      <c r="A350" t="s">
        <v>340</v>
      </c>
      <c r="B350" t="s">
        <v>14358</v>
      </c>
      <c r="C350" t="s">
        <v>338</v>
      </c>
      <c r="D350" t="str">
        <f>_xlfn.XLOOKUP(E350,pathways!$A$2:$A$31,pathways!$B$2:$B$31)</f>
        <v>Carbohydrate/energy metabolism</v>
      </c>
      <c r="E350" t="s">
        <v>341</v>
      </c>
      <c r="F350" t="s">
        <v>341</v>
      </c>
      <c r="G350" t="s">
        <v>14360</v>
      </c>
      <c r="H350" t="s">
        <v>338</v>
      </c>
      <c r="I350" t="s">
        <v>338</v>
      </c>
      <c r="J350" s="4" t="s">
        <v>338</v>
      </c>
      <c r="K350" t="s">
        <v>338</v>
      </c>
      <c r="L350" t="s">
        <v>339</v>
      </c>
      <c r="M350" t="s">
        <v>15687</v>
      </c>
      <c r="N350" t="s">
        <v>341</v>
      </c>
      <c r="O350" t="s">
        <v>341</v>
      </c>
      <c r="P350" t="s">
        <v>341</v>
      </c>
      <c r="S350" t="s">
        <v>4869</v>
      </c>
    </row>
    <row r="351" spans="1:19" x14ac:dyDescent="0.2">
      <c r="A351" t="s">
        <v>566</v>
      </c>
      <c r="B351" t="s">
        <v>14358</v>
      </c>
      <c r="C351" t="s">
        <v>564</v>
      </c>
      <c r="D351" t="str">
        <f>_xlfn.XLOOKUP(E351,pathways!$A$2:$A$31,pathways!$B$2:$B$31)</f>
        <v>Carbohydrate/energy metabolism</v>
      </c>
      <c r="E351" t="s">
        <v>341</v>
      </c>
      <c r="F351" t="s">
        <v>341</v>
      </c>
      <c r="G351" t="s">
        <v>14360</v>
      </c>
      <c r="H351" t="s">
        <v>564</v>
      </c>
      <c r="I351" t="s">
        <v>564</v>
      </c>
      <c r="J351" s="4" t="s">
        <v>564</v>
      </c>
      <c r="K351" t="s">
        <v>564</v>
      </c>
      <c r="L351" t="s">
        <v>565</v>
      </c>
      <c r="M351" s="3" t="s">
        <v>16818</v>
      </c>
      <c r="N351" t="s">
        <v>341</v>
      </c>
      <c r="O351" t="s">
        <v>341</v>
      </c>
      <c r="P351" t="s">
        <v>341</v>
      </c>
      <c r="S351" t="s">
        <v>3873</v>
      </c>
    </row>
    <row r="352" spans="1:19" x14ac:dyDescent="0.2">
      <c r="A352" t="s">
        <v>1084</v>
      </c>
      <c r="B352" t="s">
        <v>14358</v>
      </c>
      <c r="C352" t="s">
        <v>1085</v>
      </c>
      <c r="D352" t="s">
        <v>20124</v>
      </c>
      <c r="E352" t="s">
        <v>3459</v>
      </c>
      <c r="F352" t="s">
        <v>4887</v>
      </c>
      <c r="G352" t="s">
        <v>14360</v>
      </c>
      <c r="H352" t="s">
        <v>14360</v>
      </c>
      <c r="I352" t="s">
        <v>1085</v>
      </c>
      <c r="J352" s="4" t="s">
        <v>1085</v>
      </c>
      <c r="L352" t="s">
        <v>1083</v>
      </c>
      <c r="M352" s="3" t="s">
        <v>16820</v>
      </c>
      <c r="N352" t="s">
        <v>341</v>
      </c>
      <c r="O352" t="s">
        <v>341</v>
      </c>
      <c r="P352" t="s">
        <v>341</v>
      </c>
      <c r="S352" t="s">
        <v>14360</v>
      </c>
    </row>
    <row r="353" spans="1:19" x14ac:dyDescent="0.2">
      <c r="A353" t="s">
        <v>597</v>
      </c>
      <c r="B353" t="s">
        <v>14358</v>
      </c>
      <c r="C353" t="s">
        <v>595</v>
      </c>
      <c r="D353" t="str">
        <f>_xlfn.XLOOKUP(E353,pathways!$A$2:$A$31,pathways!$B$2:$B$31)</f>
        <v>Carbohydrate/energy metabolism</v>
      </c>
      <c r="E353" t="s">
        <v>341</v>
      </c>
      <c r="F353" t="s">
        <v>341</v>
      </c>
      <c r="G353" t="s">
        <v>14360</v>
      </c>
      <c r="H353" t="s">
        <v>595</v>
      </c>
      <c r="I353" t="s">
        <v>595</v>
      </c>
      <c r="J353" s="4" t="s">
        <v>595</v>
      </c>
      <c r="K353" t="s">
        <v>595</v>
      </c>
      <c r="L353" t="s">
        <v>596</v>
      </c>
      <c r="M353" s="3" t="s">
        <v>16858</v>
      </c>
      <c r="N353" t="s">
        <v>341</v>
      </c>
      <c r="O353" t="s">
        <v>341</v>
      </c>
      <c r="P353" t="s">
        <v>341</v>
      </c>
      <c r="S353" t="s">
        <v>5082</v>
      </c>
    </row>
    <row r="354" spans="1:19" x14ac:dyDescent="0.2">
      <c r="A354" t="s">
        <v>799</v>
      </c>
      <c r="B354" t="s">
        <v>14358</v>
      </c>
      <c r="C354" t="s">
        <v>797</v>
      </c>
      <c r="D354" t="str">
        <f>_xlfn.XLOOKUP(E354,pathways!$A$2:$A$31,pathways!$B$2:$B$31)</f>
        <v>Carbohydrate/energy metabolism</v>
      </c>
      <c r="E354" t="s">
        <v>341</v>
      </c>
      <c r="F354" t="s">
        <v>341</v>
      </c>
      <c r="G354" t="s">
        <v>14360</v>
      </c>
      <c r="H354" t="s">
        <v>797</v>
      </c>
      <c r="I354" t="s">
        <v>797</v>
      </c>
      <c r="J354" s="4" t="s">
        <v>797</v>
      </c>
      <c r="K354" t="s">
        <v>797</v>
      </c>
      <c r="L354" t="s">
        <v>798</v>
      </c>
      <c r="M354" s="3" t="s">
        <v>16978</v>
      </c>
      <c r="N354" t="s">
        <v>341</v>
      </c>
      <c r="O354" t="s">
        <v>341</v>
      </c>
      <c r="P354" t="s">
        <v>341</v>
      </c>
      <c r="S354" t="s">
        <v>14360</v>
      </c>
    </row>
    <row r="355" spans="1:19" x14ac:dyDescent="0.2">
      <c r="A355" t="s">
        <v>578</v>
      </c>
      <c r="B355" t="s">
        <v>14358</v>
      </c>
      <c r="C355" t="s">
        <v>577</v>
      </c>
      <c r="D355" t="str">
        <f>_xlfn.XLOOKUP(E355,pathways!$A$2:$A$31,pathways!$B$2:$B$31)</f>
        <v>Inflammation</v>
      </c>
      <c r="E355" t="s">
        <v>580</v>
      </c>
      <c r="F355" t="s">
        <v>580</v>
      </c>
      <c r="G355" t="s">
        <v>14360</v>
      </c>
      <c r="H355" t="s">
        <v>579</v>
      </c>
      <c r="I355" t="s">
        <v>10767</v>
      </c>
      <c r="J355" s="4" t="s">
        <v>579</v>
      </c>
      <c r="K355" t="s">
        <v>576</v>
      </c>
      <c r="L355" t="s">
        <v>577</v>
      </c>
      <c r="M355" t="s">
        <v>16822</v>
      </c>
      <c r="N355" t="s">
        <v>580</v>
      </c>
      <c r="O355" t="s">
        <v>580</v>
      </c>
      <c r="P355" t="s">
        <v>580</v>
      </c>
      <c r="S355" t="s">
        <v>14360</v>
      </c>
    </row>
    <row r="356" spans="1:19" x14ac:dyDescent="0.2">
      <c r="A356" t="s">
        <v>12</v>
      </c>
      <c r="B356" t="s">
        <v>14358</v>
      </c>
      <c r="C356" t="s">
        <v>10</v>
      </c>
      <c r="D356" t="str">
        <f>_xlfn.XLOOKUP(E356,pathways!$A$2:$A$31,pathways!$B$2:$B$31)</f>
        <v>Carbohydrate/energy metabolism</v>
      </c>
      <c r="E356" t="s">
        <v>13</v>
      </c>
      <c r="F356" t="s">
        <v>13</v>
      </c>
      <c r="G356" t="s">
        <v>14360</v>
      </c>
      <c r="H356" t="s">
        <v>10</v>
      </c>
      <c r="I356" t="s">
        <v>10759</v>
      </c>
      <c r="J356" s="4" t="s">
        <v>10</v>
      </c>
      <c r="K356" t="s">
        <v>10</v>
      </c>
      <c r="L356" t="s">
        <v>11</v>
      </c>
      <c r="M356" s="3" t="s">
        <v>16792</v>
      </c>
      <c r="N356" t="s">
        <v>13</v>
      </c>
      <c r="O356" t="s">
        <v>13</v>
      </c>
      <c r="P356" t="s">
        <v>13</v>
      </c>
      <c r="S356" t="s">
        <v>14360</v>
      </c>
    </row>
    <row r="357" spans="1:19" x14ac:dyDescent="0.2">
      <c r="A357" t="s">
        <v>17</v>
      </c>
      <c r="B357" t="s">
        <v>14358</v>
      </c>
      <c r="C357" t="s">
        <v>15</v>
      </c>
      <c r="D357" t="str">
        <f>_xlfn.XLOOKUP(E357,pathways!$A$2:$A$31,pathways!$B$2:$B$31)</f>
        <v>Carbohydrate/energy metabolism</v>
      </c>
      <c r="E357" t="s">
        <v>13</v>
      </c>
      <c r="F357" t="s">
        <v>13</v>
      </c>
      <c r="G357" t="s">
        <v>14360</v>
      </c>
      <c r="H357" t="s">
        <v>15</v>
      </c>
      <c r="I357" t="s">
        <v>15</v>
      </c>
      <c r="J357" s="4" t="s">
        <v>15</v>
      </c>
      <c r="K357" t="s">
        <v>15</v>
      </c>
      <c r="L357" t="s">
        <v>16</v>
      </c>
      <c r="M357" t="s">
        <v>16780</v>
      </c>
      <c r="N357" t="s">
        <v>13</v>
      </c>
      <c r="O357" t="s">
        <v>13</v>
      </c>
      <c r="P357" t="s">
        <v>13</v>
      </c>
      <c r="S357" t="s">
        <v>4869</v>
      </c>
    </row>
    <row r="358" spans="1:19" x14ac:dyDescent="0.2">
      <c r="A358" t="s">
        <v>21</v>
      </c>
      <c r="B358" t="s">
        <v>14358</v>
      </c>
      <c r="C358" t="s">
        <v>19</v>
      </c>
      <c r="D358" t="str">
        <f>_xlfn.XLOOKUP(E358,pathways!$A$2:$A$31,pathways!$B$2:$B$31)</f>
        <v>Carbohydrate/energy metabolism</v>
      </c>
      <c r="E358" t="s">
        <v>13</v>
      </c>
      <c r="F358" t="s">
        <v>13</v>
      </c>
      <c r="G358" t="s">
        <v>14360</v>
      </c>
      <c r="H358" t="s">
        <v>19</v>
      </c>
      <c r="I358" t="s">
        <v>19</v>
      </c>
      <c r="J358" s="4" t="s">
        <v>14360</v>
      </c>
      <c r="K358" t="s">
        <v>19</v>
      </c>
      <c r="L358" t="s">
        <v>14360</v>
      </c>
      <c r="M358" t="s">
        <v>14360</v>
      </c>
      <c r="N358" t="s">
        <v>13</v>
      </c>
      <c r="O358" t="s">
        <v>14360</v>
      </c>
      <c r="P358" t="s">
        <v>13</v>
      </c>
      <c r="Q358" t="s">
        <v>14360</v>
      </c>
      <c r="R358" t="s">
        <v>14360</v>
      </c>
      <c r="S358" t="s">
        <v>4869</v>
      </c>
    </row>
    <row r="359" spans="1:19" x14ac:dyDescent="0.2">
      <c r="A359" t="s">
        <v>25</v>
      </c>
      <c r="B359" t="s">
        <v>14358</v>
      </c>
      <c r="C359" t="s">
        <v>23</v>
      </c>
      <c r="D359" t="str">
        <f>_xlfn.XLOOKUP(E359,pathways!$A$2:$A$31,pathways!$B$2:$B$31)</f>
        <v>Carbohydrate/energy metabolism</v>
      </c>
      <c r="E359" t="s">
        <v>13</v>
      </c>
      <c r="F359" t="s">
        <v>13</v>
      </c>
      <c r="G359" t="s">
        <v>14360</v>
      </c>
      <c r="H359" t="s">
        <v>23</v>
      </c>
      <c r="I359" t="s">
        <v>23</v>
      </c>
      <c r="J359" s="4" t="s">
        <v>14360</v>
      </c>
      <c r="K359" t="s">
        <v>23</v>
      </c>
      <c r="L359" t="s">
        <v>24</v>
      </c>
      <c r="M359" t="s">
        <v>16782</v>
      </c>
      <c r="N359" t="s">
        <v>13</v>
      </c>
      <c r="O359" t="s">
        <v>14360</v>
      </c>
      <c r="P359" t="s">
        <v>13</v>
      </c>
      <c r="Q359" t="s">
        <v>14360</v>
      </c>
      <c r="S359" t="s">
        <v>3524</v>
      </c>
    </row>
    <row r="360" spans="1:19" x14ac:dyDescent="0.2">
      <c r="A360" t="s">
        <v>1608</v>
      </c>
      <c r="B360" t="s">
        <v>14359</v>
      </c>
      <c r="C360" t="s">
        <v>7429</v>
      </c>
      <c r="D360" t="str">
        <f>_xlfn.XLOOKUP(E360,pathways!$A$2:$A$31,pathways!$B$2:$B$31)</f>
        <v>Lipid metabolism</v>
      </c>
      <c r="E360" t="s">
        <v>3459</v>
      </c>
      <c r="F360" t="s">
        <v>4101</v>
      </c>
      <c r="G360" t="s">
        <v>14360</v>
      </c>
      <c r="H360" t="s">
        <v>14360</v>
      </c>
      <c r="I360" t="s">
        <v>7429</v>
      </c>
      <c r="J360" s="4" t="s">
        <v>11523</v>
      </c>
      <c r="L360" t="s">
        <v>1607</v>
      </c>
      <c r="M360" t="s">
        <v>14895</v>
      </c>
      <c r="N360" t="s">
        <v>3459</v>
      </c>
      <c r="O360" t="s">
        <v>3459</v>
      </c>
      <c r="P360" t="s">
        <v>4101</v>
      </c>
      <c r="Q360" t="s">
        <v>4101</v>
      </c>
      <c r="R360" t="s">
        <v>3459</v>
      </c>
      <c r="S360" t="s">
        <v>4869</v>
      </c>
    </row>
    <row r="361" spans="1:19" x14ac:dyDescent="0.2">
      <c r="A361" t="s">
        <v>14086</v>
      </c>
      <c r="B361" t="s">
        <v>14359</v>
      </c>
      <c r="C361" t="s">
        <v>10153</v>
      </c>
      <c r="D361" t="str">
        <f>_xlfn.XLOOKUP(E361,pathways!$A$2:$A$31,pathways!$B$2:$B$31)</f>
        <v>Lipid metabolism</v>
      </c>
      <c r="E361" t="s">
        <v>3459</v>
      </c>
      <c r="F361" t="s">
        <v>3569</v>
      </c>
      <c r="G361" t="s">
        <v>14360</v>
      </c>
      <c r="H361" t="s">
        <v>14360</v>
      </c>
      <c r="I361" t="s">
        <v>10153</v>
      </c>
      <c r="J361" s="4" t="s">
        <v>14360</v>
      </c>
      <c r="L361" t="s">
        <v>2313</v>
      </c>
      <c r="M361" t="s">
        <v>15615</v>
      </c>
      <c r="N361" t="s">
        <v>3459</v>
      </c>
      <c r="O361" t="s">
        <v>14360</v>
      </c>
      <c r="P361" t="s">
        <v>3569</v>
      </c>
      <c r="Q361" t="s">
        <v>14360</v>
      </c>
      <c r="R361" t="s">
        <v>3459</v>
      </c>
      <c r="S361" t="s">
        <v>14360</v>
      </c>
    </row>
    <row r="362" spans="1:19" x14ac:dyDescent="0.2">
      <c r="A362" t="s">
        <v>1690</v>
      </c>
      <c r="B362" t="s">
        <v>14359</v>
      </c>
      <c r="C362" t="s">
        <v>8001</v>
      </c>
      <c r="D362" t="str">
        <f>_xlfn.XLOOKUP(E362,pathways!$A$2:$A$31,pathways!$B$2:$B$31)</f>
        <v>Lipid metabolism</v>
      </c>
      <c r="E362" t="s">
        <v>3459</v>
      </c>
      <c r="F362" t="s">
        <v>7998</v>
      </c>
      <c r="G362" t="s">
        <v>14360</v>
      </c>
      <c r="H362" t="s">
        <v>14360</v>
      </c>
      <c r="I362" t="s">
        <v>8001</v>
      </c>
      <c r="J362" s="4" t="s">
        <v>11595</v>
      </c>
      <c r="L362" t="s">
        <v>1689</v>
      </c>
      <c r="M362" t="s">
        <v>14981</v>
      </c>
      <c r="N362" t="s">
        <v>3459</v>
      </c>
      <c r="O362" t="s">
        <v>3459</v>
      </c>
      <c r="P362" t="s">
        <v>7998</v>
      </c>
      <c r="Q362" t="s">
        <v>11596</v>
      </c>
      <c r="R362" t="s">
        <v>3459</v>
      </c>
      <c r="S362" t="s">
        <v>14360</v>
      </c>
    </row>
    <row r="363" spans="1:19" x14ac:dyDescent="0.2">
      <c r="A363" t="s">
        <v>1992</v>
      </c>
      <c r="B363" t="s">
        <v>14359</v>
      </c>
      <c r="C363" t="s">
        <v>9166</v>
      </c>
      <c r="D363" t="str">
        <f>_xlfn.XLOOKUP(E363,pathways!$A$2:$A$31,pathways!$B$2:$B$31)</f>
        <v>Lipid metabolism</v>
      </c>
      <c r="E363" t="s">
        <v>3459</v>
      </c>
      <c r="F363" t="s">
        <v>7998</v>
      </c>
      <c r="G363" t="s">
        <v>9166</v>
      </c>
      <c r="H363" t="s">
        <v>14360</v>
      </c>
      <c r="I363" t="s">
        <v>9166</v>
      </c>
      <c r="J363" s="4" t="s">
        <v>11599</v>
      </c>
      <c r="L363" t="s">
        <v>1991</v>
      </c>
      <c r="M363" t="s">
        <v>15293</v>
      </c>
      <c r="N363" t="s">
        <v>3459</v>
      </c>
      <c r="O363" t="s">
        <v>3459</v>
      </c>
      <c r="P363" t="s">
        <v>7998</v>
      </c>
      <c r="Q363" t="s">
        <v>11596</v>
      </c>
      <c r="R363" t="s">
        <v>3459</v>
      </c>
      <c r="S363" t="s">
        <v>3498</v>
      </c>
    </row>
    <row r="364" spans="1:19" x14ac:dyDescent="0.2">
      <c r="A364" t="s">
        <v>1756</v>
      </c>
      <c r="B364" t="s">
        <v>14359</v>
      </c>
      <c r="C364" t="s">
        <v>19387</v>
      </c>
      <c r="D364" t="str">
        <f>_xlfn.XLOOKUP(E364,pathways!$A$2:$A$31,pathways!$B$2:$B$31)</f>
        <v>Lipid metabolism</v>
      </c>
      <c r="E364" t="s">
        <v>3459</v>
      </c>
      <c r="F364" t="s">
        <v>7722</v>
      </c>
      <c r="G364" t="s">
        <v>14360</v>
      </c>
      <c r="H364" t="s">
        <v>14360</v>
      </c>
      <c r="I364" t="s">
        <v>8288</v>
      </c>
      <c r="J364" s="4" t="s">
        <v>8288</v>
      </c>
      <c r="L364" t="s">
        <v>1755</v>
      </c>
      <c r="M364" t="s">
        <v>15053</v>
      </c>
      <c r="N364" t="s">
        <v>3459</v>
      </c>
      <c r="O364" t="s">
        <v>3459</v>
      </c>
      <c r="P364" t="s">
        <v>7722</v>
      </c>
      <c r="Q364" t="s">
        <v>7722</v>
      </c>
      <c r="R364" t="s">
        <v>3459</v>
      </c>
      <c r="S364" t="s">
        <v>5418</v>
      </c>
    </row>
    <row r="365" spans="1:19" x14ac:dyDescent="0.2">
      <c r="A365" t="s">
        <v>1922</v>
      </c>
      <c r="B365" t="s">
        <v>14359</v>
      </c>
      <c r="C365" t="s">
        <v>19445</v>
      </c>
      <c r="D365" t="str">
        <f>_xlfn.XLOOKUP(E365,pathways!$A$2:$A$31,pathways!$B$2:$B$31)</f>
        <v>Lipid metabolism</v>
      </c>
      <c r="E365" t="s">
        <v>3459</v>
      </c>
      <c r="F365" t="s">
        <v>8803</v>
      </c>
      <c r="G365" t="s">
        <v>14360</v>
      </c>
      <c r="H365" t="s">
        <v>14360</v>
      </c>
      <c r="I365" t="s">
        <v>9001</v>
      </c>
      <c r="J365" s="4" t="s">
        <v>9001</v>
      </c>
      <c r="L365" t="s">
        <v>1921</v>
      </c>
      <c r="M365" t="s">
        <v>15223</v>
      </c>
      <c r="N365" t="s">
        <v>3459</v>
      </c>
      <c r="O365" t="s">
        <v>3459</v>
      </c>
      <c r="P365" t="s">
        <v>8803</v>
      </c>
      <c r="Q365" t="s">
        <v>8803</v>
      </c>
      <c r="R365" t="s">
        <v>3459</v>
      </c>
      <c r="S365" t="s">
        <v>14360</v>
      </c>
    </row>
    <row r="366" spans="1:19" x14ac:dyDescent="0.2">
      <c r="A366" t="s">
        <v>1914</v>
      </c>
      <c r="B366" t="s">
        <v>14359</v>
      </c>
      <c r="C366" t="s">
        <v>19442</v>
      </c>
      <c r="D366" t="str">
        <f>_xlfn.XLOOKUP(E366,pathways!$A$2:$A$31,pathways!$B$2:$B$31)</f>
        <v>Lipid metabolism</v>
      </c>
      <c r="E366" t="s">
        <v>3459</v>
      </c>
      <c r="F366" t="s">
        <v>8803</v>
      </c>
      <c r="G366" t="s">
        <v>20440</v>
      </c>
      <c r="H366" t="s">
        <v>14360</v>
      </c>
      <c r="I366" t="s">
        <v>8978</v>
      </c>
      <c r="J366" s="4" t="s">
        <v>8978</v>
      </c>
      <c r="L366" t="s">
        <v>1913</v>
      </c>
      <c r="M366" t="s">
        <v>15215</v>
      </c>
      <c r="N366" t="s">
        <v>3459</v>
      </c>
      <c r="O366" t="s">
        <v>3459</v>
      </c>
      <c r="P366" t="s">
        <v>8803</v>
      </c>
      <c r="Q366" t="s">
        <v>8803</v>
      </c>
      <c r="R366" t="s">
        <v>3459</v>
      </c>
      <c r="S366" t="s">
        <v>14360</v>
      </c>
    </row>
    <row r="367" spans="1:19" x14ac:dyDescent="0.2">
      <c r="A367" t="s">
        <v>1938</v>
      </c>
      <c r="B367" t="s">
        <v>14359</v>
      </c>
      <c r="C367" t="s">
        <v>19453</v>
      </c>
      <c r="D367" t="str">
        <f>_xlfn.XLOOKUP(E367,pathways!$A$2:$A$31,pathways!$B$2:$B$31)</f>
        <v>Lipid metabolism</v>
      </c>
      <c r="E367" t="s">
        <v>3459</v>
      </c>
      <c r="F367" t="s">
        <v>8803</v>
      </c>
      <c r="G367" t="s">
        <v>14360</v>
      </c>
      <c r="H367" t="s">
        <v>14360</v>
      </c>
      <c r="I367" t="s">
        <v>8995</v>
      </c>
      <c r="J367" s="4" t="s">
        <v>8995</v>
      </c>
      <c r="L367" t="s">
        <v>1937</v>
      </c>
      <c r="M367" t="s">
        <v>15238</v>
      </c>
      <c r="N367" t="s">
        <v>3459</v>
      </c>
      <c r="O367" t="s">
        <v>3459</v>
      </c>
      <c r="P367" t="s">
        <v>8803</v>
      </c>
      <c r="Q367" t="s">
        <v>8803</v>
      </c>
      <c r="R367" t="s">
        <v>3459</v>
      </c>
      <c r="S367" t="s">
        <v>5082</v>
      </c>
    </row>
    <row r="368" spans="1:19" x14ac:dyDescent="0.2">
      <c r="A368" t="s">
        <v>1967</v>
      </c>
      <c r="B368" t="s">
        <v>14359</v>
      </c>
      <c r="C368" t="s">
        <v>19466</v>
      </c>
      <c r="D368" t="str">
        <f>_xlfn.XLOOKUP(E368,pathways!$A$2:$A$31,pathways!$B$2:$B$31)</f>
        <v>Lipid metabolism</v>
      </c>
      <c r="E368" t="s">
        <v>3459</v>
      </c>
      <c r="F368" t="s">
        <v>8803</v>
      </c>
      <c r="G368" t="s">
        <v>14360</v>
      </c>
      <c r="H368" t="s">
        <v>14360</v>
      </c>
      <c r="I368" t="s">
        <v>9066</v>
      </c>
      <c r="J368" s="4" t="s">
        <v>9066</v>
      </c>
      <c r="L368" t="s">
        <v>1966</v>
      </c>
      <c r="M368" t="s">
        <v>15267</v>
      </c>
      <c r="N368" t="s">
        <v>3459</v>
      </c>
      <c r="O368" t="s">
        <v>3459</v>
      </c>
      <c r="P368" t="s">
        <v>8803</v>
      </c>
      <c r="Q368" t="s">
        <v>8803</v>
      </c>
      <c r="R368" t="s">
        <v>3459</v>
      </c>
      <c r="S368" t="s">
        <v>5632</v>
      </c>
    </row>
    <row r="369" spans="1:19" x14ac:dyDescent="0.2">
      <c r="A369" t="s">
        <v>1932</v>
      </c>
      <c r="B369" t="s">
        <v>14359</v>
      </c>
      <c r="C369" t="s">
        <v>19450</v>
      </c>
      <c r="D369" t="str">
        <f>_xlfn.XLOOKUP(E369,pathways!$A$2:$A$31,pathways!$B$2:$B$31)</f>
        <v>Lipid metabolism</v>
      </c>
      <c r="E369" t="s">
        <v>3459</v>
      </c>
      <c r="F369" t="s">
        <v>8803</v>
      </c>
      <c r="G369" t="s">
        <v>14360</v>
      </c>
      <c r="H369" t="s">
        <v>14360</v>
      </c>
      <c r="I369" t="s">
        <v>8990</v>
      </c>
      <c r="J369" s="4" t="s">
        <v>8990</v>
      </c>
      <c r="L369" t="s">
        <v>1931</v>
      </c>
      <c r="M369" t="s">
        <v>15232</v>
      </c>
      <c r="N369" t="s">
        <v>3459</v>
      </c>
      <c r="O369" t="s">
        <v>3459</v>
      </c>
      <c r="P369" t="s">
        <v>8803</v>
      </c>
      <c r="Q369" t="s">
        <v>8803</v>
      </c>
      <c r="R369" t="s">
        <v>3459</v>
      </c>
      <c r="S369" t="s">
        <v>14360</v>
      </c>
    </row>
    <row r="370" spans="1:19" x14ac:dyDescent="0.2">
      <c r="A370" t="s">
        <v>1940</v>
      </c>
      <c r="B370" t="s">
        <v>14359</v>
      </c>
      <c r="C370" t="s">
        <v>19454</v>
      </c>
      <c r="D370" t="str">
        <f>_xlfn.XLOOKUP(E370,pathways!$A$2:$A$31,pathways!$B$2:$B$31)</f>
        <v>Lipid metabolism</v>
      </c>
      <c r="E370" t="s">
        <v>3459</v>
      </c>
      <c r="F370" t="s">
        <v>8803</v>
      </c>
      <c r="G370" t="s">
        <v>14360</v>
      </c>
      <c r="H370" t="s">
        <v>14360</v>
      </c>
      <c r="I370" t="s">
        <v>8984</v>
      </c>
      <c r="J370" s="4" t="s">
        <v>8984</v>
      </c>
      <c r="L370" t="s">
        <v>1939</v>
      </c>
      <c r="M370" t="s">
        <v>15240</v>
      </c>
      <c r="N370" t="s">
        <v>3459</v>
      </c>
      <c r="O370" t="s">
        <v>3459</v>
      </c>
      <c r="P370" t="s">
        <v>8803</v>
      </c>
      <c r="Q370" t="s">
        <v>8803</v>
      </c>
      <c r="R370" t="s">
        <v>3459</v>
      </c>
      <c r="S370" t="s">
        <v>14360</v>
      </c>
    </row>
    <row r="371" spans="1:19" x14ac:dyDescent="0.2">
      <c r="A371" t="s">
        <v>1957</v>
      </c>
      <c r="B371" t="s">
        <v>14359</v>
      </c>
      <c r="C371" t="s">
        <v>19461</v>
      </c>
      <c r="D371" t="str">
        <f>_xlfn.XLOOKUP(E371,pathways!$A$2:$A$31,pathways!$B$2:$B$31)</f>
        <v>Lipid metabolism</v>
      </c>
      <c r="E371" t="s">
        <v>3459</v>
      </c>
      <c r="F371" t="s">
        <v>8803</v>
      </c>
      <c r="G371" t="s">
        <v>19461</v>
      </c>
      <c r="H371" t="s">
        <v>14360</v>
      </c>
      <c r="I371" t="s">
        <v>9090</v>
      </c>
      <c r="J371" s="4" t="s">
        <v>9090</v>
      </c>
      <c r="L371" t="s">
        <v>1956</v>
      </c>
      <c r="M371" t="s">
        <v>15257</v>
      </c>
      <c r="N371" t="s">
        <v>3459</v>
      </c>
      <c r="O371" t="s">
        <v>3459</v>
      </c>
      <c r="P371" t="s">
        <v>8803</v>
      </c>
      <c r="Q371" t="s">
        <v>8803</v>
      </c>
      <c r="R371" t="s">
        <v>3459</v>
      </c>
      <c r="S371" t="s">
        <v>5632</v>
      </c>
    </row>
    <row r="372" spans="1:19" x14ac:dyDescent="0.2">
      <c r="A372" t="s">
        <v>1983</v>
      </c>
      <c r="B372" t="s">
        <v>14359</v>
      </c>
      <c r="C372" t="s">
        <v>19474</v>
      </c>
      <c r="D372" t="str">
        <f>_xlfn.XLOOKUP(E372,pathways!$A$2:$A$31,pathways!$B$2:$B$31)</f>
        <v>Lipid metabolism</v>
      </c>
      <c r="E372" t="s">
        <v>3459</v>
      </c>
      <c r="F372" t="s">
        <v>8803</v>
      </c>
      <c r="G372" t="s">
        <v>14360</v>
      </c>
      <c r="H372" t="s">
        <v>14360</v>
      </c>
      <c r="I372" t="s">
        <v>9096</v>
      </c>
      <c r="J372" s="4" t="s">
        <v>9096</v>
      </c>
      <c r="L372" t="s">
        <v>1982</v>
      </c>
      <c r="M372" t="s">
        <v>15283</v>
      </c>
      <c r="N372" t="s">
        <v>3459</v>
      </c>
      <c r="O372" t="s">
        <v>3459</v>
      </c>
      <c r="P372" t="s">
        <v>8803</v>
      </c>
      <c r="Q372" t="s">
        <v>8803</v>
      </c>
      <c r="R372" t="s">
        <v>3459</v>
      </c>
      <c r="S372" t="s">
        <v>5600</v>
      </c>
    </row>
    <row r="373" spans="1:19" x14ac:dyDescent="0.2">
      <c r="A373" t="s">
        <v>1630</v>
      </c>
      <c r="B373" t="s">
        <v>14359</v>
      </c>
      <c r="C373" t="s">
        <v>19346</v>
      </c>
      <c r="D373" t="str">
        <f>_xlfn.XLOOKUP(E373,pathways!$A$2:$A$31,pathways!$B$2:$B$31)</f>
        <v>Lipid metabolism</v>
      </c>
      <c r="E373" t="s">
        <v>3459</v>
      </c>
      <c r="F373" t="s">
        <v>7722</v>
      </c>
      <c r="G373" t="s">
        <v>14360</v>
      </c>
      <c r="H373" t="s">
        <v>14360</v>
      </c>
      <c r="I373" t="s">
        <v>7725</v>
      </c>
      <c r="J373" s="4" t="s">
        <v>7725</v>
      </c>
      <c r="L373" t="s">
        <v>1629</v>
      </c>
      <c r="M373" t="s">
        <v>14919</v>
      </c>
      <c r="N373" t="s">
        <v>3459</v>
      </c>
      <c r="O373" t="s">
        <v>3459</v>
      </c>
      <c r="P373" t="s">
        <v>7722</v>
      </c>
      <c r="Q373" t="s">
        <v>7722</v>
      </c>
      <c r="R373" t="s">
        <v>3459</v>
      </c>
      <c r="S373" t="s">
        <v>14360</v>
      </c>
    </row>
    <row r="374" spans="1:19" x14ac:dyDescent="0.2">
      <c r="A374" t="s">
        <v>1644</v>
      </c>
      <c r="B374" t="s">
        <v>14359</v>
      </c>
      <c r="C374" t="s">
        <v>19352</v>
      </c>
      <c r="D374" t="str">
        <f>_xlfn.XLOOKUP(E374,pathways!$A$2:$A$31,pathways!$B$2:$B$31)</f>
        <v>Lipid metabolism</v>
      </c>
      <c r="E374" t="s">
        <v>3459</v>
      </c>
      <c r="F374" t="s">
        <v>7722</v>
      </c>
      <c r="G374" t="s">
        <v>14360</v>
      </c>
      <c r="H374" t="s">
        <v>14360</v>
      </c>
      <c r="I374" t="s">
        <v>7808</v>
      </c>
      <c r="J374" s="4" t="s">
        <v>7808</v>
      </c>
      <c r="L374" t="s">
        <v>1643</v>
      </c>
      <c r="M374" t="s">
        <v>14933</v>
      </c>
      <c r="N374" t="s">
        <v>3459</v>
      </c>
      <c r="O374" t="s">
        <v>3459</v>
      </c>
      <c r="P374" t="s">
        <v>7722</v>
      </c>
      <c r="Q374" t="s">
        <v>7722</v>
      </c>
      <c r="R374" t="s">
        <v>3459</v>
      </c>
      <c r="S374" t="s">
        <v>3661</v>
      </c>
    </row>
    <row r="375" spans="1:19" x14ac:dyDescent="0.2">
      <c r="A375" t="s">
        <v>1934</v>
      </c>
      <c r="B375" t="s">
        <v>14359</v>
      </c>
      <c r="C375" t="s">
        <v>19451</v>
      </c>
      <c r="D375" t="str">
        <f>_xlfn.XLOOKUP(E375,pathways!$A$2:$A$31,pathways!$B$2:$B$31)</f>
        <v>Lipid metabolism</v>
      </c>
      <c r="E375" t="s">
        <v>3459</v>
      </c>
      <c r="F375" t="s">
        <v>8803</v>
      </c>
      <c r="G375" t="s">
        <v>20439</v>
      </c>
      <c r="H375" t="s">
        <v>14360</v>
      </c>
      <c r="I375" t="s">
        <v>8972</v>
      </c>
      <c r="J375" s="4" t="s">
        <v>8972</v>
      </c>
      <c r="L375" t="s">
        <v>1933</v>
      </c>
      <c r="M375" t="s">
        <v>15234</v>
      </c>
      <c r="N375" t="s">
        <v>3459</v>
      </c>
      <c r="O375" t="s">
        <v>3459</v>
      </c>
      <c r="P375" t="s">
        <v>8803</v>
      </c>
      <c r="Q375" t="s">
        <v>8803</v>
      </c>
      <c r="R375" t="s">
        <v>3459</v>
      </c>
      <c r="S375" t="s">
        <v>5441</v>
      </c>
    </row>
    <row r="376" spans="1:19" x14ac:dyDescent="0.2">
      <c r="A376" t="s">
        <v>1969</v>
      </c>
      <c r="B376" t="s">
        <v>14359</v>
      </c>
      <c r="C376" t="s">
        <v>19467</v>
      </c>
      <c r="D376" t="str">
        <f>_xlfn.XLOOKUP(E376,pathways!$A$2:$A$31,pathways!$B$2:$B$31)</f>
        <v>Lipid metabolism</v>
      </c>
      <c r="E376" t="s">
        <v>3459</v>
      </c>
      <c r="F376" t="s">
        <v>8803</v>
      </c>
      <c r="G376" t="s">
        <v>14360</v>
      </c>
      <c r="H376" t="s">
        <v>14360</v>
      </c>
      <c r="I376" t="s">
        <v>9120</v>
      </c>
      <c r="J376" s="4" t="s">
        <v>9120</v>
      </c>
      <c r="L376" t="s">
        <v>1968</v>
      </c>
      <c r="M376" t="s">
        <v>15269</v>
      </c>
      <c r="N376" t="s">
        <v>3459</v>
      </c>
      <c r="O376" t="s">
        <v>3459</v>
      </c>
      <c r="P376" t="s">
        <v>8803</v>
      </c>
      <c r="Q376" t="s">
        <v>8803</v>
      </c>
      <c r="R376" t="s">
        <v>3459</v>
      </c>
      <c r="S376" t="s">
        <v>5441</v>
      </c>
    </row>
    <row r="377" spans="1:19" x14ac:dyDescent="0.2">
      <c r="A377" t="s">
        <v>1906</v>
      </c>
      <c r="B377" t="s">
        <v>14359</v>
      </c>
      <c r="C377" t="s">
        <v>19439</v>
      </c>
      <c r="D377" t="str">
        <f>_xlfn.XLOOKUP(E377,pathways!$A$2:$A$31,pathways!$B$2:$B$31)</f>
        <v>Lipid metabolism</v>
      </c>
      <c r="E377" t="s">
        <v>3459</v>
      </c>
      <c r="F377" t="s">
        <v>8803</v>
      </c>
      <c r="G377" t="s">
        <v>14360</v>
      </c>
      <c r="H377" t="s">
        <v>14360</v>
      </c>
      <c r="I377" t="s">
        <v>8806</v>
      </c>
      <c r="J377" s="4" t="s">
        <v>8806</v>
      </c>
      <c r="L377" t="s">
        <v>1905</v>
      </c>
      <c r="M377" t="s">
        <v>15207</v>
      </c>
      <c r="N377" t="s">
        <v>3459</v>
      </c>
      <c r="O377" t="s">
        <v>3459</v>
      </c>
      <c r="P377" t="s">
        <v>8803</v>
      </c>
      <c r="Q377" t="s">
        <v>8803</v>
      </c>
      <c r="R377" t="s">
        <v>3459</v>
      </c>
      <c r="S377" t="s">
        <v>3864</v>
      </c>
    </row>
    <row r="378" spans="1:19" x14ac:dyDescent="0.2">
      <c r="A378" t="s">
        <v>1652</v>
      </c>
      <c r="B378" t="s">
        <v>14359</v>
      </c>
      <c r="C378" t="s">
        <v>19355</v>
      </c>
      <c r="D378" t="str">
        <f>_xlfn.XLOOKUP(E378,pathways!$A$2:$A$31,pathways!$B$2:$B$31)</f>
        <v>Lipid metabolism</v>
      </c>
      <c r="E378" t="s">
        <v>3459</v>
      </c>
      <c r="F378" t="s">
        <v>7722</v>
      </c>
      <c r="G378" t="s">
        <v>14360</v>
      </c>
      <c r="H378" t="s">
        <v>14360</v>
      </c>
      <c r="I378" t="s">
        <v>7813</v>
      </c>
      <c r="J378" s="4" t="s">
        <v>7813</v>
      </c>
      <c r="L378" t="s">
        <v>1651</v>
      </c>
      <c r="M378" t="s">
        <v>14941</v>
      </c>
      <c r="N378" t="s">
        <v>3459</v>
      </c>
      <c r="O378" t="s">
        <v>3459</v>
      </c>
      <c r="P378" t="s">
        <v>7722</v>
      </c>
      <c r="Q378" t="s">
        <v>7722</v>
      </c>
      <c r="R378" t="s">
        <v>3459</v>
      </c>
      <c r="S378" t="s">
        <v>14360</v>
      </c>
    </row>
    <row r="379" spans="1:19" x14ac:dyDescent="0.2">
      <c r="A379" t="s">
        <v>14212</v>
      </c>
      <c r="B379" t="s">
        <v>14359</v>
      </c>
      <c r="C379" t="s">
        <v>11356</v>
      </c>
      <c r="D379" t="str">
        <f>_xlfn.XLOOKUP(E379,pathways!$A$2:$A$31,pathways!$B$2:$B$31)</f>
        <v>Lipid metabolism</v>
      </c>
      <c r="E379" t="s">
        <v>3459</v>
      </c>
      <c r="F379" t="s">
        <v>5441</v>
      </c>
      <c r="G379" t="s">
        <v>14360</v>
      </c>
      <c r="H379" t="s">
        <v>14360</v>
      </c>
      <c r="I379" t="s">
        <v>14360</v>
      </c>
      <c r="J379" s="4" t="s">
        <v>11356</v>
      </c>
      <c r="L379" t="s">
        <v>14360</v>
      </c>
      <c r="M379" t="s">
        <v>14360</v>
      </c>
      <c r="N379" t="s">
        <v>14360</v>
      </c>
      <c r="O379" t="s">
        <v>3459</v>
      </c>
      <c r="P379" t="s">
        <v>14360</v>
      </c>
      <c r="Q379" t="s">
        <v>5441</v>
      </c>
      <c r="R379" t="s">
        <v>14360</v>
      </c>
      <c r="S379" t="s">
        <v>5441</v>
      </c>
    </row>
    <row r="380" spans="1:19" x14ac:dyDescent="0.2">
      <c r="A380" t="s">
        <v>1413</v>
      </c>
      <c r="B380" t="s">
        <v>14359</v>
      </c>
      <c r="C380" t="s">
        <v>19280</v>
      </c>
      <c r="D380" t="str">
        <f>_xlfn.XLOOKUP(E380,pathways!$A$2:$A$31,pathways!$B$2:$B$31)</f>
        <v>Lipid metabolism</v>
      </c>
      <c r="E380" t="s">
        <v>3459</v>
      </c>
      <c r="F380" t="s">
        <v>5441</v>
      </c>
      <c r="G380" t="s">
        <v>14360</v>
      </c>
      <c r="H380" t="s">
        <v>14360</v>
      </c>
      <c r="I380" t="s">
        <v>6602</v>
      </c>
      <c r="J380" s="4" t="s">
        <v>6602</v>
      </c>
      <c r="L380" t="s">
        <v>1412</v>
      </c>
      <c r="M380" t="s">
        <v>14698</v>
      </c>
      <c r="N380" t="s">
        <v>3459</v>
      </c>
      <c r="O380" t="s">
        <v>3459</v>
      </c>
      <c r="P380" t="s">
        <v>5441</v>
      </c>
      <c r="Q380" t="s">
        <v>5441</v>
      </c>
      <c r="R380" t="s">
        <v>3459</v>
      </c>
      <c r="S380" t="s">
        <v>5632</v>
      </c>
    </row>
    <row r="381" spans="1:19" x14ac:dyDescent="0.2">
      <c r="A381" t="s">
        <v>1419</v>
      </c>
      <c r="B381" t="s">
        <v>14359</v>
      </c>
      <c r="C381" t="s">
        <v>19283</v>
      </c>
      <c r="D381" t="str">
        <f>_xlfn.XLOOKUP(E381,pathways!$A$2:$A$31,pathways!$B$2:$B$31)</f>
        <v>Lipid metabolism</v>
      </c>
      <c r="E381" t="s">
        <v>3459</v>
      </c>
      <c r="F381" t="s">
        <v>5441</v>
      </c>
      <c r="G381" t="s">
        <v>19283</v>
      </c>
      <c r="H381" t="s">
        <v>14360</v>
      </c>
      <c r="I381" t="s">
        <v>6641</v>
      </c>
      <c r="J381" s="4" t="s">
        <v>6641</v>
      </c>
      <c r="L381" t="s">
        <v>1418</v>
      </c>
      <c r="M381" t="s">
        <v>14704</v>
      </c>
      <c r="N381" t="s">
        <v>3459</v>
      </c>
      <c r="O381" t="s">
        <v>3459</v>
      </c>
      <c r="P381" t="s">
        <v>5441</v>
      </c>
      <c r="Q381" t="s">
        <v>5441</v>
      </c>
      <c r="R381" t="s">
        <v>3459</v>
      </c>
      <c r="S381" t="s">
        <v>3498</v>
      </c>
    </row>
    <row r="382" spans="1:19" x14ac:dyDescent="0.2">
      <c r="A382" t="s">
        <v>13854</v>
      </c>
      <c r="B382" t="s">
        <v>14359</v>
      </c>
      <c r="C382" t="s">
        <v>6821</v>
      </c>
      <c r="D382" t="str">
        <f>_xlfn.XLOOKUP(E382,pathways!$A$2:$A$31,pathways!$B$2:$B$31)</f>
        <v>Lipid metabolism</v>
      </c>
      <c r="E382" t="s">
        <v>3459</v>
      </c>
      <c r="F382" t="s">
        <v>5441</v>
      </c>
      <c r="G382" t="s">
        <v>14360</v>
      </c>
      <c r="H382" t="s">
        <v>14360</v>
      </c>
      <c r="I382" t="s">
        <v>6821</v>
      </c>
      <c r="J382" s="4" t="s">
        <v>6821</v>
      </c>
      <c r="L382" t="s">
        <v>14360</v>
      </c>
      <c r="M382" t="s">
        <v>14360</v>
      </c>
      <c r="N382" t="s">
        <v>3459</v>
      </c>
      <c r="O382" t="s">
        <v>3459</v>
      </c>
      <c r="P382" t="s">
        <v>5441</v>
      </c>
      <c r="Q382" t="s">
        <v>5441</v>
      </c>
      <c r="R382" t="s">
        <v>14360</v>
      </c>
      <c r="S382" t="s">
        <v>3603</v>
      </c>
    </row>
    <row r="383" spans="1:19" x14ac:dyDescent="0.2">
      <c r="A383" t="s">
        <v>1382</v>
      </c>
      <c r="B383" t="s">
        <v>14359</v>
      </c>
      <c r="C383" t="s">
        <v>6453</v>
      </c>
      <c r="D383" t="str">
        <f>_xlfn.XLOOKUP(E383,pathways!$A$2:$A$31,pathways!$B$2:$B$31)</f>
        <v>Lipid metabolism</v>
      </c>
      <c r="E383" t="s">
        <v>3459</v>
      </c>
      <c r="F383" t="s">
        <v>5418</v>
      </c>
      <c r="G383" t="s">
        <v>14360</v>
      </c>
      <c r="H383" t="s">
        <v>14360</v>
      </c>
      <c r="I383" t="s">
        <v>6453</v>
      </c>
      <c r="J383" s="4" t="s">
        <v>6453</v>
      </c>
      <c r="L383" t="s">
        <v>1381</v>
      </c>
      <c r="M383" t="s">
        <v>14662</v>
      </c>
      <c r="N383" t="s">
        <v>3459</v>
      </c>
      <c r="O383" t="s">
        <v>3459</v>
      </c>
      <c r="P383" t="s">
        <v>5418</v>
      </c>
      <c r="Q383" t="s">
        <v>5418</v>
      </c>
      <c r="R383" t="s">
        <v>3459</v>
      </c>
      <c r="S383" t="s">
        <v>3864</v>
      </c>
    </row>
    <row r="384" spans="1:19" x14ac:dyDescent="0.2">
      <c r="A384" t="s">
        <v>13989</v>
      </c>
      <c r="B384" t="s">
        <v>14359</v>
      </c>
      <c r="C384" t="s">
        <v>9381</v>
      </c>
      <c r="D384" t="str">
        <f>_xlfn.XLOOKUP(E384,pathways!$A$2:$A$31,pathways!$B$2:$B$31)</f>
        <v>Lipid metabolism</v>
      </c>
      <c r="E384" t="s">
        <v>3459</v>
      </c>
      <c r="F384" t="s">
        <v>5441</v>
      </c>
      <c r="G384" t="s">
        <v>14360</v>
      </c>
      <c r="H384" t="s">
        <v>14360</v>
      </c>
      <c r="I384" t="s">
        <v>9381</v>
      </c>
      <c r="J384" s="4" t="s">
        <v>14360</v>
      </c>
      <c r="L384" t="s">
        <v>14360</v>
      </c>
      <c r="M384" t="s">
        <v>14360</v>
      </c>
      <c r="N384" t="s">
        <v>3459</v>
      </c>
      <c r="O384" t="s">
        <v>14360</v>
      </c>
      <c r="P384" t="s">
        <v>5441</v>
      </c>
      <c r="Q384" t="s">
        <v>14360</v>
      </c>
      <c r="R384" t="s">
        <v>14360</v>
      </c>
      <c r="S384" t="s">
        <v>5632</v>
      </c>
    </row>
    <row r="385" spans="1:19" x14ac:dyDescent="0.2">
      <c r="A385" t="s">
        <v>1776</v>
      </c>
      <c r="B385" t="s">
        <v>14359</v>
      </c>
      <c r="C385" t="s">
        <v>8470</v>
      </c>
      <c r="D385" t="str">
        <f>_xlfn.XLOOKUP(E385,pathways!$A$2:$A$31,pathways!$B$2:$B$31)</f>
        <v>Lipid metabolism</v>
      </c>
      <c r="E385" t="s">
        <v>3459</v>
      </c>
      <c r="F385" t="s">
        <v>5418</v>
      </c>
      <c r="G385" t="s">
        <v>14360</v>
      </c>
      <c r="H385" t="s">
        <v>14360</v>
      </c>
      <c r="I385" t="s">
        <v>8470</v>
      </c>
      <c r="J385" s="4" t="s">
        <v>8470</v>
      </c>
      <c r="L385" t="s">
        <v>1775</v>
      </c>
      <c r="M385" t="s">
        <v>15073</v>
      </c>
      <c r="N385" t="s">
        <v>3459</v>
      </c>
      <c r="O385" t="s">
        <v>3459</v>
      </c>
      <c r="P385" t="s">
        <v>5418</v>
      </c>
      <c r="Q385" t="s">
        <v>5418</v>
      </c>
      <c r="R385" t="s">
        <v>3459</v>
      </c>
      <c r="S385" t="s">
        <v>4142</v>
      </c>
    </row>
    <row r="386" spans="1:19" x14ac:dyDescent="0.2">
      <c r="A386" t="s">
        <v>13843</v>
      </c>
      <c r="B386" t="s">
        <v>14359</v>
      </c>
      <c r="C386" t="s">
        <v>6525</v>
      </c>
      <c r="D386" t="str">
        <f>_xlfn.XLOOKUP(E386,pathways!$A$2:$A$31,pathways!$B$2:$B$31)</f>
        <v>Lipid metabolism</v>
      </c>
      <c r="E386" t="s">
        <v>3459</v>
      </c>
      <c r="F386" t="s">
        <v>5418</v>
      </c>
      <c r="G386" t="s">
        <v>14360</v>
      </c>
      <c r="H386" t="s">
        <v>14360</v>
      </c>
      <c r="I386" t="s">
        <v>6525</v>
      </c>
      <c r="J386" s="4" t="s">
        <v>6525</v>
      </c>
      <c r="L386" t="s">
        <v>14360</v>
      </c>
      <c r="M386" t="s">
        <v>14360</v>
      </c>
      <c r="N386" t="s">
        <v>3459</v>
      </c>
      <c r="O386" t="s">
        <v>3459</v>
      </c>
      <c r="P386" t="s">
        <v>5418</v>
      </c>
      <c r="Q386" t="s">
        <v>5418</v>
      </c>
      <c r="R386" t="s">
        <v>14360</v>
      </c>
      <c r="S386" t="s">
        <v>3705</v>
      </c>
    </row>
    <row r="387" spans="1:19" x14ac:dyDescent="0.2">
      <c r="A387" t="s">
        <v>13938</v>
      </c>
      <c r="B387" t="s">
        <v>14359</v>
      </c>
      <c r="C387" t="s">
        <v>8298</v>
      </c>
      <c r="D387" t="str">
        <f>_xlfn.XLOOKUP(E387,pathways!$A$2:$A$31,pathways!$B$2:$B$31)</f>
        <v>Lipid metabolism</v>
      </c>
      <c r="E387" t="s">
        <v>3459</v>
      </c>
      <c r="F387" t="s">
        <v>5441</v>
      </c>
      <c r="G387" t="s">
        <v>14360</v>
      </c>
      <c r="H387" t="s">
        <v>14360</v>
      </c>
      <c r="I387" t="s">
        <v>8298</v>
      </c>
      <c r="J387" s="4" t="s">
        <v>14360</v>
      </c>
      <c r="L387" t="s">
        <v>14360</v>
      </c>
      <c r="M387" t="s">
        <v>14360</v>
      </c>
      <c r="N387" t="s">
        <v>3459</v>
      </c>
      <c r="O387" t="s">
        <v>14360</v>
      </c>
      <c r="P387" t="s">
        <v>5441</v>
      </c>
      <c r="Q387" t="s">
        <v>14360</v>
      </c>
      <c r="R387" t="s">
        <v>14360</v>
      </c>
      <c r="S387" t="s">
        <v>4356</v>
      </c>
    </row>
    <row r="388" spans="1:19" x14ac:dyDescent="0.2">
      <c r="A388" t="s">
        <v>1623</v>
      </c>
      <c r="B388" t="s">
        <v>14359</v>
      </c>
      <c r="C388" t="s">
        <v>7717</v>
      </c>
      <c r="D388" t="str">
        <f>_xlfn.XLOOKUP(E388,pathways!$A$2:$A$31,pathways!$B$2:$B$31)</f>
        <v>Lipid metabolism</v>
      </c>
      <c r="E388" t="s">
        <v>3459</v>
      </c>
      <c r="F388" t="s">
        <v>5441</v>
      </c>
      <c r="G388" t="s">
        <v>14360</v>
      </c>
      <c r="H388" t="s">
        <v>14360</v>
      </c>
      <c r="I388" t="s">
        <v>7717</v>
      </c>
      <c r="J388" s="4" t="s">
        <v>14360</v>
      </c>
      <c r="L388" t="s">
        <v>1622</v>
      </c>
      <c r="M388" t="s">
        <v>14911</v>
      </c>
      <c r="N388" t="s">
        <v>3459</v>
      </c>
      <c r="O388" t="s">
        <v>14360</v>
      </c>
      <c r="P388" t="s">
        <v>5441</v>
      </c>
      <c r="Q388" t="s">
        <v>14360</v>
      </c>
      <c r="R388" t="s">
        <v>3459</v>
      </c>
      <c r="S388" t="s">
        <v>3705</v>
      </c>
    </row>
    <row r="389" spans="1:19" x14ac:dyDescent="0.2">
      <c r="A389" t="s">
        <v>1740</v>
      </c>
      <c r="B389" t="s">
        <v>14359</v>
      </c>
      <c r="C389" t="s">
        <v>19381</v>
      </c>
      <c r="D389" t="str">
        <f>_xlfn.XLOOKUP(E389,pathways!$A$2:$A$31,pathways!$B$2:$B$31)</f>
        <v>Lipid metabolism</v>
      </c>
      <c r="E389" t="s">
        <v>3459</v>
      </c>
      <c r="F389" t="s">
        <v>5441</v>
      </c>
      <c r="G389" t="s">
        <v>19381</v>
      </c>
      <c r="H389" t="s">
        <v>14360</v>
      </c>
      <c r="I389" t="s">
        <v>8281</v>
      </c>
      <c r="J389" s="4" t="s">
        <v>8281</v>
      </c>
      <c r="L389" t="s">
        <v>1739</v>
      </c>
      <c r="M389" t="s">
        <v>15037</v>
      </c>
      <c r="N389" t="s">
        <v>3459</v>
      </c>
      <c r="O389" t="s">
        <v>3459</v>
      </c>
      <c r="P389" t="s">
        <v>5441</v>
      </c>
      <c r="Q389" t="s">
        <v>5441</v>
      </c>
      <c r="R389" t="s">
        <v>3459</v>
      </c>
      <c r="S389" t="s">
        <v>7151</v>
      </c>
    </row>
    <row r="390" spans="1:19" x14ac:dyDescent="0.2">
      <c r="A390" t="s">
        <v>13841</v>
      </c>
      <c r="B390" t="s">
        <v>14359</v>
      </c>
      <c r="C390" t="s">
        <v>6461</v>
      </c>
      <c r="D390" t="str">
        <f>_xlfn.XLOOKUP(E390,pathways!$A$2:$A$31,pathways!$B$2:$B$31)</f>
        <v>Lipid metabolism</v>
      </c>
      <c r="E390" t="s">
        <v>3459</v>
      </c>
      <c r="F390" t="s">
        <v>5418</v>
      </c>
      <c r="G390" t="s">
        <v>14360</v>
      </c>
      <c r="H390" t="s">
        <v>14360</v>
      </c>
      <c r="I390" t="s">
        <v>6461</v>
      </c>
      <c r="J390" s="4" t="s">
        <v>6461</v>
      </c>
      <c r="L390" t="s">
        <v>14360</v>
      </c>
      <c r="M390" t="s">
        <v>14360</v>
      </c>
      <c r="N390" t="s">
        <v>3459</v>
      </c>
      <c r="O390" t="s">
        <v>3459</v>
      </c>
      <c r="P390" t="s">
        <v>5418</v>
      </c>
      <c r="Q390" t="s">
        <v>5418</v>
      </c>
      <c r="R390" t="s">
        <v>14360</v>
      </c>
      <c r="S390" t="s">
        <v>3460</v>
      </c>
    </row>
    <row r="391" spans="1:19" x14ac:dyDescent="0.2">
      <c r="A391" t="s">
        <v>1963</v>
      </c>
      <c r="B391" t="s">
        <v>14359</v>
      </c>
      <c r="C391" t="s">
        <v>19464</v>
      </c>
      <c r="D391" t="str">
        <f>_xlfn.XLOOKUP(E391,pathways!$A$2:$A$31,pathways!$B$2:$B$31)</f>
        <v>Lipid metabolism</v>
      </c>
      <c r="E391" t="s">
        <v>3459</v>
      </c>
      <c r="F391" t="s">
        <v>5021</v>
      </c>
      <c r="G391" t="s">
        <v>14360</v>
      </c>
      <c r="H391" t="s">
        <v>14360</v>
      </c>
      <c r="I391" t="s">
        <v>9078</v>
      </c>
      <c r="J391" s="4" t="s">
        <v>9078</v>
      </c>
      <c r="L391" t="s">
        <v>1962</v>
      </c>
      <c r="M391" t="s">
        <v>15263</v>
      </c>
      <c r="N391" t="s">
        <v>3459</v>
      </c>
      <c r="O391" t="s">
        <v>3459</v>
      </c>
      <c r="P391" t="s">
        <v>5021</v>
      </c>
      <c r="Q391" t="s">
        <v>5021</v>
      </c>
      <c r="R391" t="s">
        <v>3459</v>
      </c>
      <c r="S391" t="s">
        <v>3460</v>
      </c>
    </row>
    <row r="392" spans="1:19" x14ac:dyDescent="0.2">
      <c r="A392" t="s">
        <v>13972</v>
      </c>
      <c r="B392" t="s">
        <v>14359</v>
      </c>
      <c r="C392" t="s">
        <v>9114</v>
      </c>
      <c r="D392" t="str">
        <f>_xlfn.XLOOKUP(E392,pathways!$A$2:$A$31,pathways!$B$2:$B$31)</f>
        <v>Lipid metabolism</v>
      </c>
      <c r="E392" t="s">
        <v>3459</v>
      </c>
      <c r="F392" t="s">
        <v>5006</v>
      </c>
      <c r="G392" t="s">
        <v>14360</v>
      </c>
      <c r="H392" t="s">
        <v>14360</v>
      </c>
      <c r="I392" t="s">
        <v>9114</v>
      </c>
      <c r="J392" s="4" t="s">
        <v>14360</v>
      </c>
      <c r="L392" t="s">
        <v>14360</v>
      </c>
      <c r="M392" t="s">
        <v>14360</v>
      </c>
      <c r="N392" t="s">
        <v>3459</v>
      </c>
      <c r="O392" t="s">
        <v>14360</v>
      </c>
      <c r="P392" t="s">
        <v>5006</v>
      </c>
      <c r="Q392" t="s">
        <v>14360</v>
      </c>
      <c r="R392" t="s">
        <v>14360</v>
      </c>
      <c r="S392" t="s">
        <v>3705</v>
      </c>
    </row>
    <row r="393" spans="1:19" x14ac:dyDescent="0.2">
      <c r="A393" t="s">
        <v>2005</v>
      </c>
      <c r="B393" t="s">
        <v>14359</v>
      </c>
      <c r="C393" t="s">
        <v>19484</v>
      </c>
      <c r="D393" t="str">
        <f>_xlfn.XLOOKUP(E393,pathways!$A$2:$A$31,pathways!$B$2:$B$31)</f>
        <v>Lipid metabolism</v>
      </c>
      <c r="E393" t="s">
        <v>3459</v>
      </c>
      <c r="F393" t="s">
        <v>5021</v>
      </c>
      <c r="G393" t="s">
        <v>14360</v>
      </c>
      <c r="H393" t="s">
        <v>14360</v>
      </c>
      <c r="I393" t="s">
        <v>9211</v>
      </c>
      <c r="J393" s="4" t="s">
        <v>9211</v>
      </c>
      <c r="L393" t="s">
        <v>2004</v>
      </c>
      <c r="M393" t="s">
        <v>15306</v>
      </c>
      <c r="N393" t="s">
        <v>3459</v>
      </c>
      <c r="O393" t="s">
        <v>3459</v>
      </c>
      <c r="P393" t="s">
        <v>5021</v>
      </c>
      <c r="Q393" t="s">
        <v>5021</v>
      </c>
      <c r="R393" t="s">
        <v>3459</v>
      </c>
      <c r="S393" t="s">
        <v>5082</v>
      </c>
    </row>
    <row r="394" spans="1:19" x14ac:dyDescent="0.2">
      <c r="A394" t="s">
        <v>14213</v>
      </c>
      <c r="B394" t="s">
        <v>14359</v>
      </c>
      <c r="C394" t="s">
        <v>11388</v>
      </c>
      <c r="D394" t="str">
        <f>_xlfn.XLOOKUP(E394,pathways!$A$2:$A$31,pathways!$B$2:$B$31)</f>
        <v>Lipid metabolism</v>
      </c>
      <c r="E394" t="s">
        <v>3459</v>
      </c>
      <c r="F394" t="s">
        <v>5441</v>
      </c>
      <c r="G394" t="s">
        <v>14360</v>
      </c>
      <c r="H394" t="s">
        <v>14360</v>
      </c>
      <c r="I394" t="s">
        <v>14360</v>
      </c>
      <c r="J394" s="4" t="s">
        <v>11388</v>
      </c>
      <c r="L394" t="s">
        <v>14360</v>
      </c>
      <c r="M394" t="s">
        <v>14360</v>
      </c>
      <c r="N394" t="s">
        <v>14360</v>
      </c>
      <c r="O394" t="s">
        <v>3459</v>
      </c>
      <c r="P394" t="s">
        <v>14360</v>
      </c>
      <c r="Q394" t="s">
        <v>5441</v>
      </c>
      <c r="R394" t="s">
        <v>14360</v>
      </c>
      <c r="S394" t="s">
        <v>3687</v>
      </c>
    </row>
    <row r="395" spans="1:19" x14ac:dyDescent="0.2">
      <c r="A395" t="s">
        <v>1328</v>
      </c>
      <c r="B395" t="s">
        <v>14359</v>
      </c>
      <c r="C395" t="s">
        <v>6318</v>
      </c>
      <c r="D395" t="str">
        <f>_xlfn.XLOOKUP(E395,pathways!$A$2:$A$31,pathways!$B$2:$B$31)</f>
        <v>Lipid metabolism</v>
      </c>
      <c r="E395" t="s">
        <v>3459</v>
      </c>
      <c r="F395" t="s">
        <v>5441</v>
      </c>
      <c r="G395" t="s">
        <v>6318</v>
      </c>
      <c r="H395" t="s">
        <v>14360</v>
      </c>
      <c r="I395" t="s">
        <v>6318</v>
      </c>
      <c r="J395" s="4" t="s">
        <v>6318</v>
      </c>
      <c r="L395" t="s">
        <v>1327</v>
      </c>
      <c r="M395" t="s">
        <v>14606</v>
      </c>
      <c r="N395" t="s">
        <v>3459</v>
      </c>
      <c r="O395" t="s">
        <v>3459</v>
      </c>
      <c r="P395" t="s">
        <v>5441</v>
      </c>
      <c r="Q395" t="s">
        <v>5441</v>
      </c>
      <c r="R395" t="s">
        <v>3459</v>
      </c>
      <c r="S395" t="s">
        <v>14360</v>
      </c>
    </row>
    <row r="396" spans="1:19" x14ac:dyDescent="0.2">
      <c r="A396" t="s">
        <v>1423</v>
      </c>
      <c r="B396" t="s">
        <v>14359</v>
      </c>
      <c r="C396" t="s">
        <v>19284</v>
      </c>
      <c r="D396" t="str">
        <f>_xlfn.XLOOKUP(E396,pathways!$A$2:$A$31,pathways!$B$2:$B$31)</f>
        <v>Lipid metabolism</v>
      </c>
      <c r="E396" t="s">
        <v>3459</v>
      </c>
      <c r="F396" t="s">
        <v>5441</v>
      </c>
      <c r="G396" t="s">
        <v>14360</v>
      </c>
      <c r="H396" t="s">
        <v>14360</v>
      </c>
      <c r="I396" t="s">
        <v>6635</v>
      </c>
      <c r="J396" s="4" t="s">
        <v>6635</v>
      </c>
      <c r="L396" t="s">
        <v>1422</v>
      </c>
      <c r="M396" t="s">
        <v>14708</v>
      </c>
      <c r="N396" t="s">
        <v>3459</v>
      </c>
      <c r="O396" t="s">
        <v>3459</v>
      </c>
      <c r="P396" t="s">
        <v>5441</v>
      </c>
      <c r="Q396" t="s">
        <v>5441</v>
      </c>
      <c r="R396" t="s">
        <v>3459</v>
      </c>
      <c r="S396" t="s">
        <v>14360</v>
      </c>
    </row>
    <row r="397" spans="1:19" x14ac:dyDescent="0.2">
      <c r="A397" t="s">
        <v>1965</v>
      </c>
      <c r="B397" t="s">
        <v>14359</v>
      </c>
      <c r="C397" t="s">
        <v>19465</v>
      </c>
      <c r="D397" t="str">
        <f>_xlfn.XLOOKUP(E397,pathways!$A$2:$A$31,pathways!$B$2:$B$31)</f>
        <v>Lipid metabolism</v>
      </c>
      <c r="E397" t="s">
        <v>3459</v>
      </c>
      <c r="F397" t="s">
        <v>5441</v>
      </c>
      <c r="G397" t="s">
        <v>14360</v>
      </c>
      <c r="H397" t="s">
        <v>14360</v>
      </c>
      <c r="I397" t="s">
        <v>9125</v>
      </c>
      <c r="J397" s="4" t="s">
        <v>9125</v>
      </c>
      <c r="L397" t="s">
        <v>1964</v>
      </c>
      <c r="M397" t="s">
        <v>15265</v>
      </c>
      <c r="N397" t="s">
        <v>3459</v>
      </c>
      <c r="O397" t="s">
        <v>3459</v>
      </c>
      <c r="P397" t="s">
        <v>5441</v>
      </c>
      <c r="Q397" t="s">
        <v>5441</v>
      </c>
      <c r="R397" t="s">
        <v>3459</v>
      </c>
      <c r="S397" t="s">
        <v>14360</v>
      </c>
    </row>
    <row r="398" spans="1:19" x14ac:dyDescent="0.2">
      <c r="A398" t="s">
        <v>1479</v>
      </c>
      <c r="B398" t="s">
        <v>14359</v>
      </c>
      <c r="C398" t="s">
        <v>19307</v>
      </c>
      <c r="D398" t="str">
        <f>_xlfn.XLOOKUP(E398,pathways!$A$2:$A$31,pathways!$B$2:$B$31)</f>
        <v>Lipid metabolism</v>
      </c>
      <c r="E398" t="s">
        <v>3459</v>
      </c>
      <c r="F398" t="s">
        <v>5441</v>
      </c>
      <c r="G398" t="s">
        <v>19307</v>
      </c>
      <c r="H398" t="s">
        <v>14360</v>
      </c>
      <c r="I398" t="s">
        <v>6960</v>
      </c>
      <c r="J398" s="4" t="s">
        <v>6960</v>
      </c>
      <c r="L398" t="s">
        <v>1478</v>
      </c>
      <c r="M398" t="s">
        <v>14764</v>
      </c>
      <c r="N398" t="s">
        <v>3459</v>
      </c>
      <c r="O398" t="s">
        <v>3459</v>
      </c>
      <c r="P398" t="s">
        <v>5441</v>
      </c>
      <c r="Q398" t="s">
        <v>5441</v>
      </c>
      <c r="R398" t="s">
        <v>3459</v>
      </c>
      <c r="S398" t="s">
        <v>3661</v>
      </c>
    </row>
    <row r="399" spans="1:19" x14ac:dyDescent="0.2">
      <c r="A399" t="s">
        <v>1215</v>
      </c>
      <c r="B399" t="s">
        <v>14359</v>
      </c>
      <c r="C399" t="s">
        <v>5742</v>
      </c>
      <c r="D399" t="str">
        <f>_xlfn.XLOOKUP(E399,pathways!$A$2:$A$31,pathways!$B$2:$B$31)</f>
        <v>Lipid metabolism</v>
      </c>
      <c r="E399" t="s">
        <v>3459</v>
      </c>
      <c r="F399" t="s">
        <v>5418</v>
      </c>
      <c r="G399" t="s">
        <v>14360</v>
      </c>
      <c r="H399" t="s">
        <v>14360</v>
      </c>
      <c r="I399" t="s">
        <v>5742</v>
      </c>
      <c r="J399" s="4" t="s">
        <v>5742</v>
      </c>
      <c r="L399" t="s">
        <v>1214</v>
      </c>
      <c r="M399" t="s">
        <v>14490</v>
      </c>
      <c r="N399" t="s">
        <v>3459</v>
      </c>
      <c r="O399" t="s">
        <v>3459</v>
      </c>
      <c r="P399" t="s">
        <v>5418</v>
      </c>
      <c r="Q399" t="s">
        <v>5418</v>
      </c>
      <c r="R399" t="s">
        <v>3459</v>
      </c>
      <c r="S399" t="s">
        <v>3534</v>
      </c>
    </row>
    <row r="400" spans="1:19" x14ac:dyDescent="0.2">
      <c r="A400" t="s">
        <v>1973</v>
      </c>
      <c r="B400" t="s">
        <v>14359</v>
      </c>
      <c r="C400" t="s">
        <v>19469</v>
      </c>
      <c r="D400" t="str">
        <f>_xlfn.XLOOKUP(E400,pathways!$A$2:$A$31,pathways!$B$2:$B$31)</f>
        <v>Lipid metabolism</v>
      </c>
      <c r="E400" t="s">
        <v>3459</v>
      </c>
      <c r="F400" t="s">
        <v>5021</v>
      </c>
      <c r="G400" t="s">
        <v>14360</v>
      </c>
      <c r="H400" t="s">
        <v>14360</v>
      </c>
      <c r="I400" t="s">
        <v>9084</v>
      </c>
      <c r="J400" s="4" t="s">
        <v>9084</v>
      </c>
      <c r="L400" t="s">
        <v>1972</v>
      </c>
      <c r="M400" t="s">
        <v>15273</v>
      </c>
      <c r="N400" t="s">
        <v>3459</v>
      </c>
      <c r="O400" t="s">
        <v>3459</v>
      </c>
      <c r="P400" t="s">
        <v>5021</v>
      </c>
      <c r="Q400" t="s">
        <v>5021</v>
      </c>
      <c r="R400" t="s">
        <v>3459</v>
      </c>
      <c r="S400" t="s">
        <v>5632</v>
      </c>
    </row>
    <row r="401" spans="1:19" x14ac:dyDescent="0.2">
      <c r="A401" t="s">
        <v>1157</v>
      </c>
      <c r="B401" t="s">
        <v>14359</v>
      </c>
      <c r="C401" t="s">
        <v>19196</v>
      </c>
      <c r="D401" t="str">
        <f>_xlfn.XLOOKUP(E401,pathways!$A$2:$A$31,pathways!$B$2:$B$31)</f>
        <v>Lipid metabolism</v>
      </c>
      <c r="E401" t="s">
        <v>3459</v>
      </c>
      <c r="F401" t="s">
        <v>5021</v>
      </c>
      <c r="G401" t="s">
        <v>5467</v>
      </c>
      <c r="H401" t="s">
        <v>14360</v>
      </c>
      <c r="I401" t="s">
        <v>5467</v>
      </c>
      <c r="J401" s="4" t="s">
        <v>5467</v>
      </c>
      <c r="L401" t="s">
        <v>1156</v>
      </c>
      <c r="M401" t="s">
        <v>14428</v>
      </c>
      <c r="N401" t="s">
        <v>3459</v>
      </c>
      <c r="O401" t="s">
        <v>3459</v>
      </c>
      <c r="P401" t="s">
        <v>5021</v>
      </c>
      <c r="Q401" t="s">
        <v>5021</v>
      </c>
      <c r="R401" t="s">
        <v>3459</v>
      </c>
      <c r="S401" t="s">
        <v>3873</v>
      </c>
    </row>
    <row r="402" spans="1:19" x14ac:dyDescent="0.2">
      <c r="A402" t="s">
        <v>13851</v>
      </c>
      <c r="B402" t="s">
        <v>14359</v>
      </c>
      <c r="C402" t="s">
        <v>6784</v>
      </c>
      <c r="D402" t="str">
        <f>_xlfn.XLOOKUP(E402,pathways!$A$2:$A$31,pathways!$B$2:$B$31)</f>
        <v>Lipid metabolism</v>
      </c>
      <c r="E402" t="s">
        <v>3459</v>
      </c>
      <c r="F402" t="s">
        <v>5418</v>
      </c>
      <c r="G402" t="s">
        <v>14360</v>
      </c>
      <c r="H402" t="s">
        <v>14360</v>
      </c>
      <c r="I402" t="s">
        <v>6784</v>
      </c>
      <c r="J402" s="4" t="s">
        <v>6784</v>
      </c>
      <c r="L402" t="s">
        <v>14360</v>
      </c>
      <c r="M402" t="s">
        <v>14360</v>
      </c>
      <c r="N402" t="s">
        <v>3459</v>
      </c>
      <c r="O402" t="s">
        <v>3459</v>
      </c>
      <c r="P402" t="s">
        <v>5418</v>
      </c>
      <c r="Q402" t="s">
        <v>5418</v>
      </c>
      <c r="R402" t="s">
        <v>14360</v>
      </c>
      <c r="S402" t="s">
        <v>3873</v>
      </c>
    </row>
    <row r="403" spans="1:19" x14ac:dyDescent="0.2">
      <c r="A403" t="s">
        <v>1975</v>
      </c>
      <c r="B403" t="s">
        <v>14359</v>
      </c>
      <c r="C403" t="s">
        <v>19470</v>
      </c>
      <c r="D403" t="str">
        <f>_xlfn.XLOOKUP(E403,pathways!$A$2:$A$31,pathways!$B$2:$B$31)</f>
        <v>Lipid metabolism</v>
      </c>
      <c r="E403" t="s">
        <v>3459</v>
      </c>
      <c r="F403" t="s">
        <v>5006</v>
      </c>
      <c r="G403" t="s">
        <v>14360</v>
      </c>
      <c r="H403" t="s">
        <v>14360</v>
      </c>
      <c r="I403" t="s">
        <v>9102</v>
      </c>
      <c r="J403" s="4" t="s">
        <v>9102</v>
      </c>
      <c r="L403" t="s">
        <v>1974</v>
      </c>
      <c r="M403" t="s">
        <v>15275</v>
      </c>
      <c r="N403" t="s">
        <v>3459</v>
      </c>
      <c r="O403" t="s">
        <v>3459</v>
      </c>
      <c r="P403" t="s">
        <v>5006</v>
      </c>
      <c r="Q403" t="s">
        <v>5006</v>
      </c>
      <c r="R403" t="s">
        <v>3459</v>
      </c>
      <c r="S403" t="s">
        <v>14360</v>
      </c>
    </row>
    <row r="404" spans="1:19" x14ac:dyDescent="0.2">
      <c r="A404" t="s">
        <v>1979</v>
      </c>
      <c r="B404" t="s">
        <v>14359</v>
      </c>
      <c r="C404" t="s">
        <v>19472</v>
      </c>
      <c r="D404" t="str">
        <f>_xlfn.XLOOKUP(E404,pathways!$A$2:$A$31,pathways!$B$2:$B$31)</f>
        <v>Lipid metabolism</v>
      </c>
      <c r="E404" t="s">
        <v>3459</v>
      </c>
      <c r="F404" t="s">
        <v>5021</v>
      </c>
      <c r="G404" t="s">
        <v>14360</v>
      </c>
      <c r="H404" t="s">
        <v>14360</v>
      </c>
      <c r="I404" t="s">
        <v>9072</v>
      </c>
      <c r="J404" s="4" t="s">
        <v>9072</v>
      </c>
      <c r="L404" t="s">
        <v>1978</v>
      </c>
      <c r="M404" t="s">
        <v>15279</v>
      </c>
      <c r="N404" t="s">
        <v>3459</v>
      </c>
      <c r="O404" t="s">
        <v>3459</v>
      </c>
      <c r="P404" t="s">
        <v>5021</v>
      </c>
      <c r="Q404" t="s">
        <v>5021</v>
      </c>
      <c r="R404" t="s">
        <v>3459</v>
      </c>
      <c r="S404" t="s">
        <v>3864</v>
      </c>
    </row>
    <row r="405" spans="1:19" x14ac:dyDescent="0.2">
      <c r="A405" t="s">
        <v>13971</v>
      </c>
      <c r="B405" t="s">
        <v>14359</v>
      </c>
      <c r="C405" t="s">
        <v>9108</v>
      </c>
      <c r="D405" t="str">
        <f>_xlfn.XLOOKUP(E405,pathways!$A$2:$A$31,pathways!$B$2:$B$31)</f>
        <v>Lipid metabolism</v>
      </c>
      <c r="E405" t="s">
        <v>3459</v>
      </c>
      <c r="F405" t="s">
        <v>5006</v>
      </c>
      <c r="G405" t="s">
        <v>14360</v>
      </c>
      <c r="H405" t="s">
        <v>14360</v>
      </c>
      <c r="I405" t="s">
        <v>9108</v>
      </c>
      <c r="J405" s="4" t="s">
        <v>14360</v>
      </c>
      <c r="L405" t="s">
        <v>14360</v>
      </c>
      <c r="M405" t="s">
        <v>14360</v>
      </c>
      <c r="N405" t="s">
        <v>3459</v>
      </c>
      <c r="O405" t="s">
        <v>14360</v>
      </c>
      <c r="P405" t="s">
        <v>5006</v>
      </c>
      <c r="Q405" t="s">
        <v>14360</v>
      </c>
      <c r="R405" t="s">
        <v>14360</v>
      </c>
      <c r="S405" t="s">
        <v>3864</v>
      </c>
    </row>
    <row r="406" spans="1:19" x14ac:dyDescent="0.2">
      <c r="A406" t="s">
        <v>1981</v>
      </c>
      <c r="B406" t="s">
        <v>14359</v>
      </c>
      <c r="C406" t="s">
        <v>19473</v>
      </c>
      <c r="D406" t="str">
        <f>_xlfn.XLOOKUP(E406,pathways!$A$2:$A$31,pathways!$B$2:$B$31)</f>
        <v>Lipid metabolism</v>
      </c>
      <c r="E406" t="s">
        <v>3459</v>
      </c>
      <c r="F406" t="s">
        <v>5006</v>
      </c>
      <c r="G406" t="s">
        <v>14360</v>
      </c>
      <c r="H406" t="s">
        <v>14360</v>
      </c>
      <c r="I406" t="s">
        <v>14360</v>
      </c>
      <c r="J406" s="4" t="s">
        <v>11414</v>
      </c>
      <c r="L406" t="s">
        <v>1980</v>
      </c>
      <c r="M406" t="s">
        <v>15281</v>
      </c>
      <c r="N406" t="s">
        <v>14360</v>
      </c>
      <c r="O406" t="s">
        <v>3459</v>
      </c>
      <c r="P406" t="s">
        <v>14360</v>
      </c>
      <c r="Q406" t="s">
        <v>5006</v>
      </c>
      <c r="R406" t="s">
        <v>3459</v>
      </c>
      <c r="S406" t="s">
        <v>3498</v>
      </c>
    </row>
    <row r="407" spans="1:19" x14ac:dyDescent="0.2">
      <c r="A407" t="s">
        <v>1298</v>
      </c>
      <c r="B407" t="s">
        <v>14359</v>
      </c>
      <c r="C407" t="s">
        <v>6098</v>
      </c>
      <c r="D407" t="str">
        <f>_xlfn.XLOOKUP(E407,pathways!$A$2:$A$31,pathways!$B$2:$B$31)</f>
        <v>Lipid metabolism</v>
      </c>
      <c r="E407" t="s">
        <v>3459</v>
      </c>
      <c r="F407" t="s">
        <v>5441</v>
      </c>
      <c r="G407" t="s">
        <v>6098</v>
      </c>
      <c r="H407" t="s">
        <v>14360</v>
      </c>
      <c r="I407" t="s">
        <v>6098</v>
      </c>
      <c r="J407" s="4" t="s">
        <v>6098</v>
      </c>
      <c r="L407" t="s">
        <v>1297</v>
      </c>
      <c r="M407" t="s">
        <v>14576</v>
      </c>
      <c r="N407" t="s">
        <v>3459</v>
      </c>
      <c r="O407" t="s">
        <v>3459</v>
      </c>
      <c r="P407" t="s">
        <v>5441</v>
      </c>
      <c r="Q407" t="s">
        <v>5441</v>
      </c>
      <c r="R407" t="s">
        <v>3459</v>
      </c>
      <c r="S407" t="s">
        <v>5632</v>
      </c>
    </row>
    <row r="408" spans="1:19" x14ac:dyDescent="0.2">
      <c r="A408" t="s">
        <v>1425</v>
      </c>
      <c r="B408" t="s">
        <v>14359</v>
      </c>
      <c r="C408" t="s">
        <v>6628</v>
      </c>
      <c r="D408" t="str">
        <f>_xlfn.XLOOKUP(E408,pathways!$A$2:$A$31,pathways!$B$2:$B$31)</f>
        <v>Lipid metabolism</v>
      </c>
      <c r="E408" t="s">
        <v>3459</v>
      </c>
      <c r="F408" t="s">
        <v>5441</v>
      </c>
      <c r="G408" t="s">
        <v>6628</v>
      </c>
      <c r="H408" t="s">
        <v>14360</v>
      </c>
      <c r="I408" t="s">
        <v>6628</v>
      </c>
      <c r="J408" s="4" t="s">
        <v>6628</v>
      </c>
      <c r="L408" t="s">
        <v>1424</v>
      </c>
      <c r="M408" t="s">
        <v>14710</v>
      </c>
      <c r="N408" t="s">
        <v>3459</v>
      </c>
      <c r="O408" t="s">
        <v>3459</v>
      </c>
      <c r="P408" t="s">
        <v>5441</v>
      </c>
      <c r="Q408" t="s">
        <v>5441</v>
      </c>
      <c r="R408" t="s">
        <v>3459</v>
      </c>
      <c r="S408" t="s">
        <v>3507</v>
      </c>
    </row>
    <row r="409" spans="1:19" x14ac:dyDescent="0.2">
      <c r="A409" t="s">
        <v>1762</v>
      </c>
      <c r="B409" t="s">
        <v>14359</v>
      </c>
      <c r="C409" t="s">
        <v>19389</v>
      </c>
      <c r="D409" t="str">
        <f>_xlfn.XLOOKUP(E409,pathways!$A$2:$A$31,pathways!$B$2:$B$31)</f>
        <v>Lipid metabolism</v>
      </c>
      <c r="E409" t="s">
        <v>3459</v>
      </c>
      <c r="F409" t="s">
        <v>5441</v>
      </c>
      <c r="G409" t="s">
        <v>14360</v>
      </c>
      <c r="H409" t="s">
        <v>14360</v>
      </c>
      <c r="I409" t="s">
        <v>8337</v>
      </c>
      <c r="J409" s="4" t="s">
        <v>8337</v>
      </c>
      <c r="L409" t="s">
        <v>1761</v>
      </c>
      <c r="M409" t="s">
        <v>15059</v>
      </c>
      <c r="N409" t="s">
        <v>3459</v>
      </c>
      <c r="O409" t="s">
        <v>3459</v>
      </c>
      <c r="P409" t="s">
        <v>5441</v>
      </c>
      <c r="Q409" t="s">
        <v>5441</v>
      </c>
      <c r="R409" t="s">
        <v>3459</v>
      </c>
      <c r="S409" t="s">
        <v>14360</v>
      </c>
    </row>
    <row r="410" spans="1:19" x14ac:dyDescent="0.2">
      <c r="A410" t="s">
        <v>1481</v>
      </c>
      <c r="B410" t="s">
        <v>14359</v>
      </c>
      <c r="C410" t="s">
        <v>6955</v>
      </c>
      <c r="D410" t="str">
        <f>_xlfn.XLOOKUP(E410,pathways!$A$2:$A$31,pathways!$B$2:$B$31)</f>
        <v>Lipid metabolism</v>
      </c>
      <c r="E410" t="s">
        <v>3459</v>
      </c>
      <c r="F410" t="s">
        <v>5441</v>
      </c>
      <c r="G410" t="s">
        <v>6955</v>
      </c>
      <c r="H410" t="s">
        <v>14360</v>
      </c>
      <c r="I410" t="s">
        <v>6955</v>
      </c>
      <c r="J410" s="4" t="s">
        <v>11422</v>
      </c>
      <c r="L410" t="s">
        <v>1480</v>
      </c>
      <c r="M410" t="s">
        <v>14766</v>
      </c>
      <c r="N410" t="s">
        <v>3459</v>
      </c>
      <c r="O410" t="s">
        <v>3459</v>
      </c>
      <c r="P410" t="s">
        <v>5441</v>
      </c>
      <c r="Q410" t="s">
        <v>5441</v>
      </c>
      <c r="R410" t="s">
        <v>3459</v>
      </c>
    </row>
    <row r="411" spans="1:19" x14ac:dyDescent="0.2">
      <c r="A411" t="s">
        <v>1200</v>
      </c>
      <c r="B411" t="s">
        <v>14359</v>
      </c>
      <c r="C411" t="s">
        <v>5643</v>
      </c>
      <c r="D411" t="str">
        <f>_xlfn.XLOOKUP(E411,pathways!$A$2:$A$31,pathways!$B$2:$B$31)</f>
        <v>Lipid metabolism</v>
      </c>
      <c r="E411" t="s">
        <v>3459</v>
      </c>
      <c r="F411" t="s">
        <v>5418</v>
      </c>
      <c r="G411" t="s">
        <v>14360</v>
      </c>
      <c r="H411" t="s">
        <v>14360</v>
      </c>
      <c r="I411" t="s">
        <v>5643</v>
      </c>
      <c r="J411" s="4" t="s">
        <v>5643</v>
      </c>
      <c r="L411" t="s">
        <v>1199</v>
      </c>
      <c r="M411" t="s">
        <v>14474</v>
      </c>
      <c r="N411" t="s">
        <v>3459</v>
      </c>
      <c r="O411" t="s">
        <v>3459</v>
      </c>
      <c r="P411" t="s">
        <v>5418</v>
      </c>
      <c r="Q411" t="s">
        <v>5418</v>
      </c>
      <c r="R411" t="s">
        <v>3459</v>
      </c>
      <c r="S411" t="s">
        <v>3740</v>
      </c>
    </row>
    <row r="412" spans="1:19" x14ac:dyDescent="0.2">
      <c r="A412" t="s">
        <v>14123</v>
      </c>
      <c r="B412" t="s">
        <v>14359</v>
      </c>
      <c r="C412" t="s">
        <v>10294</v>
      </c>
      <c r="D412" t="str">
        <f>_xlfn.XLOOKUP(E412,pathways!$A$2:$A$31,pathways!$B$2:$B$31)</f>
        <v>Lipid metabolism</v>
      </c>
      <c r="E412" t="s">
        <v>3459</v>
      </c>
      <c r="F412" t="s">
        <v>7722</v>
      </c>
      <c r="G412" t="s">
        <v>14360</v>
      </c>
      <c r="H412" t="s">
        <v>14360</v>
      </c>
      <c r="I412" t="s">
        <v>10294</v>
      </c>
      <c r="J412" s="4" t="s">
        <v>14360</v>
      </c>
      <c r="L412" t="s">
        <v>14360</v>
      </c>
      <c r="M412" t="s">
        <v>14360</v>
      </c>
      <c r="N412" t="s">
        <v>3459</v>
      </c>
      <c r="O412" t="s">
        <v>14360</v>
      </c>
      <c r="P412" t="s">
        <v>7722</v>
      </c>
      <c r="Q412" t="s">
        <v>14360</v>
      </c>
      <c r="R412" t="s">
        <v>14360</v>
      </c>
      <c r="S412" t="s">
        <v>4991</v>
      </c>
    </row>
    <row r="413" spans="1:19" x14ac:dyDescent="0.2">
      <c r="A413" t="s">
        <v>2016</v>
      </c>
      <c r="B413" t="s">
        <v>14359</v>
      </c>
      <c r="C413" t="s">
        <v>19490</v>
      </c>
      <c r="D413" t="str">
        <f>_xlfn.XLOOKUP(E413,pathways!$A$2:$A$31,pathways!$B$2:$B$31)</f>
        <v>Lipid metabolism</v>
      </c>
      <c r="E413" t="s">
        <v>3459</v>
      </c>
      <c r="F413" t="s">
        <v>5021</v>
      </c>
      <c r="G413" t="s">
        <v>14360</v>
      </c>
      <c r="H413" t="s">
        <v>14360</v>
      </c>
      <c r="I413" t="s">
        <v>9217</v>
      </c>
      <c r="J413" s="4" t="s">
        <v>9217</v>
      </c>
      <c r="L413" t="s">
        <v>2015</v>
      </c>
      <c r="M413" t="s">
        <v>15319</v>
      </c>
      <c r="N413" t="s">
        <v>3459</v>
      </c>
      <c r="O413" t="s">
        <v>3459</v>
      </c>
      <c r="P413" t="s">
        <v>5021</v>
      </c>
      <c r="Q413" t="s">
        <v>5021</v>
      </c>
      <c r="R413" t="s">
        <v>3459</v>
      </c>
      <c r="S413" t="s">
        <v>14360</v>
      </c>
    </row>
    <row r="414" spans="1:19" x14ac:dyDescent="0.2">
      <c r="A414" t="s">
        <v>1395</v>
      </c>
      <c r="B414" t="s">
        <v>14359</v>
      </c>
      <c r="C414" t="s">
        <v>19273</v>
      </c>
      <c r="D414" t="str">
        <f>_xlfn.XLOOKUP(E414,pathways!$A$2:$A$31,pathways!$B$2:$B$31)</f>
        <v>Lipid metabolism</v>
      </c>
      <c r="E414" t="s">
        <v>3459</v>
      </c>
      <c r="F414" t="s">
        <v>5441</v>
      </c>
      <c r="G414" t="s">
        <v>19273</v>
      </c>
      <c r="H414" t="s">
        <v>14360</v>
      </c>
      <c r="I414" t="s">
        <v>6560</v>
      </c>
      <c r="J414" s="4" t="s">
        <v>6560</v>
      </c>
      <c r="L414" t="s">
        <v>1394</v>
      </c>
      <c r="M414" t="s">
        <v>14676</v>
      </c>
      <c r="N414" t="s">
        <v>3459</v>
      </c>
      <c r="O414" t="s">
        <v>3459</v>
      </c>
      <c r="P414" t="s">
        <v>5441</v>
      </c>
      <c r="Q414" t="s">
        <v>5441</v>
      </c>
      <c r="R414" t="s">
        <v>3459</v>
      </c>
      <c r="S414" t="s">
        <v>4869</v>
      </c>
    </row>
    <row r="415" spans="1:19" x14ac:dyDescent="0.2">
      <c r="A415" t="s">
        <v>1890</v>
      </c>
      <c r="B415" t="s">
        <v>14359</v>
      </c>
      <c r="C415" t="s">
        <v>19432</v>
      </c>
      <c r="D415" t="str">
        <f>_xlfn.XLOOKUP(E415,pathways!$A$2:$A$31,pathways!$B$2:$B$31)</f>
        <v>Lipid metabolism</v>
      </c>
      <c r="E415" t="s">
        <v>3459</v>
      </c>
      <c r="F415" t="s">
        <v>5418</v>
      </c>
      <c r="G415" t="s">
        <v>14360</v>
      </c>
      <c r="H415" t="s">
        <v>14360</v>
      </c>
      <c r="I415" t="s">
        <v>8858</v>
      </c>
      <c r="J415" s="4" t="s">
        <v>8858</v>
      </c>
      <c r="L415" t="s">
        <v>1889</v>
      </c>
      <c r="M415" t="s">
        <v>15191</v>
      </c>
      <c r="N415" t="s">
        <v>3459</v>
      </c>
      <c r="O415" t="s">
        <v>3459</v>
      </c>
      <c r="P415" t="s">
        <v>5418</v>
      </c>
      <c r="Q415" t="s">
        <v>5418</v>
      </c>
      <c r="R415" t="s">
        <v>3459</v>
      </c>
      <c r="S415" t="s">
        <v>7998</v>
      </c>
    </row>
    <row r="416" spans="1:19" x14ac:dyDescent="0.2">
      <c r="A416" t="s">
        <v>3077</v>
      </c>
      <c r="B416" t="s">
        <v>14359</v>
      </c>
      <c r="C416" t="s">
        <v>8785</v>
      </c>
      <c r="D416" t="str">
        <f>_xlfn.XLOOKUP(E416,pathways!$A$2:$A$31,pathways!$B$2:$B$31)</f>
        <v>Lipid metabolism</v>
      </c>
      <c r="E416" t="s">
        <v>3459</v>
      </c>
      <c r="F416" t="s">
        <v>5021</v>
      </c>
      <c r="G416" t="s">
        <v>8785</v>
      </c>
      <c r="H416" t="s">
        <v>14360</v>
      </c>
      <c r="I416" t="s">
        <v>8785</v>
      </c>
      <c r="J416" s="4" t="s">
        <v>8785</v>
      </c>
      <c r="L416" t="s">
        <v>3076</v>
      </c>
      <c r="M416" t="s">
        <v>16434</v>
      </c>
      <c r="N416" t="s">
        <v>3459</v>
      </c>
      <c r="O416" t="s">
        <v>3459</v>
      </c>
      <c r="P416" t="s">
        <v>5021</v>
      </c>
      <c r="Q416" t="s">
        <v>5021</v>
      </c>
      <c r="R416" t="s">
        <v>3459</v>
      </c>
      <c r="S416" t="s">
        <v>3873</v>
      </c>
    </row>
    <row r="417" spans="1:19" x14ac:dyDescent="0.2">
      <c r="A417" t="s">
        <v>1926</v>
      </c>
      <c r="B417" t="s">
        <v>14359</v>
      </c>
      <c r="C417" t="s">
        <v>19447</v>
      </c>
      <c r="D417" t="str">
        <f>_xlfn.XLOOKUP(E417,pathways!$A$2:$A$31,pathways!$B$2:$B$31)</f>
        <v>Lipid metabolism</v>
      </c>
      <c r="E417" t="s">
        <v>3459</v>
      </c>
      <c r="F417" t="s">
        <v>5006</v>
      </c>
      <c r="G417" t="s">
        <v>19447</v>
      </c>
      <c r="H417" t="s">
        <v>14360</v>
      </c>
      <c r="I417" t="s">
        <v>8939</v>
      </c>
      <c r="J417" s="4" t="s">
        <v>8939</v>
      </c>
      <c r="L417" t="s">
        <v>1925</v>
      </c>
      <c r="M417" t="s">
        <v>15227</v>
      </c>
      <c r="N417" t="s">
        <v>3459</v>
      </c>
      <c r="O417" t="s">
        <v>3459</v>
      </c>
      <c r="P417" t="s">
        <v>5006</v>
      </c>
      <c r="Q417" t="s">
        <v>5006</v>
      </c>
      <c r="R417" t="s">
        <v>3459</v>
      </c>
      <c r="S417" t="s">
        <v>4869</v>
      </c>
    </row>
    <row r="418" spans="1:19" x14ac:dyDescent="0.2">
      <c r="A418" t="s">
        <v>1942</v>
      </c>
      <c r="B418" t="s">
        <v>14359</v>
      </c>
      <c r="C418" t="s">
        <v>19455</v>
      </c>
      <c r="D418" t="str">
        <f>_xlfn.XLOOKUP(E418,pathways!$A$2:$A$31,pathways!$B$2:$B$31)</f>
        <v>Lipid metabolism</v>
      </c>
      <c r="E418" t="s">
        <v>3459</v>
      </c>
      <c r="F418" t="s">
        <v>5014</v>
      </c>
      <c r="G418" t="s">
        <v>14360</v>
      </c>
      <c r="H418" t="s">
        <v>14360</v>
      </c>
      <c r="I418" t="s">
        <v>8957</v>
      </c>
      <c r="J418" s="4" t="s">
        <v>8957</v>
      </c>
      <c r="L418" t="s">
        <v>1941</v>
      </c>
      <c r="M418" t="s">
        <v>15242</v>
      </c>
      <c r="N418" t="s">
        <v>3459</v>
      </c>
      <c r="O418" t="s">
        <v>3459</v>
      </c>
      <c r="P418" t="s">
        <v>5014</v>
      </c>
      <c r="Q418" t="s">
        <v>5014</v>
      </c>
      <c r="R418" t="s">
        <v>3459</v>
      </c>
      <c r="S418" t="s">
        <v>7998</v>
      </c>
    </row>
    <row r="419" spans="1:19" x14ac:dyDescent="0.2">
      <c r="A419" t="s">
        <v>1920</v>
      </c>
      <c r="B419" t="s">
        <v>14359</v>
      </c>
      <c r="C419" t="s">
        <v>19444</v>
      </c>
      <c r="D419" t="str">
        <f>_xlfn.XLOOKUP(E419,pathways!$A$2:$A$31,pathways!$B$2:$B$31)</f>
        <v>Lipid metabolism</v>
      </c>
      <c r="E419" t="s">
        <v>3459</v>
      </c>
      <c r="F419" t="s">
        <v>5021</v>
      </c>
      <c r="G419" t="s">
        <v>14360</v>
      </c>
      <c r="H419" t="s">
        <v>14360</v>
      </c>
      <c r="I419" t="s">
        <v>8936</v>
      </c>
      <c r="J419" s="4" t="s">
        <v>8936</v>
      </c>
      <c r="L419" t="s">
        <v>1919</v>
      </c>
      <c r="M419" t="s">
        <v>15221</v>
      </c>
      <c r="N419" t="s">
        <v>3459</v>
      </c>
      <c r="O419" t="s">
        <v>3459</v>
      </c>
      <c r="P419" t="s">
        <v>5021</v>
      </c>
      <c r="Q419" t="s">
        <v>5021</v>
      </c>
      <c r="R419" t="s">
        <v>3459</v>
      </c>
      <c r="S419" t="s">
        <v>5082</v>
      </c>
    </row>
    <row r="420" spans="1:19" x14ac:dyDescent="0.2">
      <c r="A420" t="s">
        <v>1904</v>
      </c>
      <c r="B420" t="s">
        <v>14359</v>
      </c>
      <c r="C420" t="s">
        <v>8792</v>
      </c>
      <c r="D420" t="str">
        <f>_xlfn.XLOOKUP(E420,pathways!$A$2:$A$31,pathways!$B$2:$B$31)</f>
        <v>Lipid metabolism</v>
      </c>
      <c r="E420" t="s">
        <v>3459</v>
      </c>
      <c r="F420" t="s">
        <v>5021</v>
      </c>
      <c r="G420" t="s">
        <v>14360</v>
      </c>
      <c r="H420" t="s">
        <v>14360</v>
      </c>
      <c r="I420" t="s">
        <v>8792</v>
      </c>
      <c r="J420" s="4" t="s">
        <v>8792</v>
      </c>
      <c r="L420" t="s">
        <v>1903</v>
      </c>
      <c r="M420" t="s">
        <v>15205</v>
      </c>
      <c r="N420" t="s">
        <v>3459</v>
      </c>
      <c r="O420" t="s">
        <v>3459</v>
      </c>
      <c r="P420" t="s">
        <v>5021</v>
      </c>
      <c r="Q420" t="s">
        <v>5021</v>
      </c>
      <c r="R420" t="s">
        <v>3459</v>
      </c>
      <c r="S420" t="s">
        <v>14360</v>
      </c>
    </row>
    <row r="421" spans="1:19" x14ac:dyDescent="0.2">
      <c r="A421" t="s">
        <v>1944</v>
      </c>
      <c r="B421" t="s">
        <v>14359</v>
      </c>
      <c r="C421" t="s">
        <v>19456</v>
      </c>
      <c r="D421" t="str">
        <f>_xlfn.XLOOKUP(E421,pathways!$A$2:$A$31,pathways!$B$2:$B$31)</f>
        <v>Lipid metabolism</v>
      </c>
      <c r="E421" t="s">
        <v>3459</v>
      </c>
      <c r="F421" t="s">
        <v>5006</v>
      </c>
      <c r="G421" t="s">
        <v>14360</v>
      </c>
      <c r="H421" t="s">
        <v>14360</v>
      </c>
      <c r="I421" t="s">
        <v>8945</v>
      </c>
      <c r="J421" s="4" t="s">
        <v>8945</v>
      </c>
      <c r="L421" t="s">
        <v>1943</v>
      </c>
      <c r="M421" t="s">
        <v>15244</v>
      </c>
      <c r="N421" t="s">
        <v>3459</v>
      </c>
      <c r="O421" t="s">
        <v>3459</v>
      </c>
      <c r="P421" t="s">
        <v>5006</v>
      </c>
      <c r="Q421" t="s">
        <v>5006</v>
      </c>
      <c r="R421" t="s">
        <v>3459</v>
      </c>
      <c r="S421" t="s">
        <v>3498</v>
      </c>
    </row>
    <row r="422" spans="1:19" x14ac:dyDescent="0.2">
      <c r="A422" t="s">
        <v>2433</v>
      </c>
      <c r="B422" t="s">
        <v>14359</v>
      </c>
      <c r="C422" t="s">
        <v>5024</v>
      </c>
      <c r="D422" t="str">
        <f>_xlfn.XLOOKUP(E422,pathways!$A$2:$A$31,pathways!$B$2:$B$31)</f>
        <v>Lipid metabolism</v>
      </c>
      <c r="E422" t="s">
        <v>3459</v>
      </c>
      <c r="F422" t="s">
        <v>5021</v>
      </c>
      <c r="G422" t="s">
        <v>5024</v>
      </c>
      <c r="H422" t="s">
        <v>14360</v>
      </c>
      <c r="I422" t="s">
        <v>5024</v>
      </c>
      <c r="J422" s="4" t="s">
        <v>5024</v>
      </c>
      <c r="L422" t="s">
        <v>2432</v>
      </c>
      <c r="M422" t="s">
        <v>15739</v>
      </c>
      <c r="N422" t="s">
        <v>3459</v>
      </c>
      <c r="O422" t="s">
        <v>3459</v>
      </c>
      <c r="P422" t="s">
        <v>5021</v>
      </c>
      <c r="Q422" t="s">
        <v>5021</v>
      </c>
      <c r="R422" t="s">
        <v>3459</v>
      </c>
      <c r="S422" t="s">
        <v>4869</v>
      </c>
    </row>
    <row r="423" spans="1:19" x14ac:dyDescent="0.2">
      <c r="A423" t="s">
        <v>1524</v>
      </c>
      <c r="B423" t="s">
        <v>14359</v>
      </c>
      <c r="C423" t="s">
        <v>7070</v>
      </c>
      <c r="D423" t="str">
        <f>_xlfn.XLOOKUP(E423,pathways!$A$2:$A$31,pathways!$B$2:$B$31)</f>
        <v>Lipid metabolism</v>
      </c>
      <c r="E423" t="s">
        <v>3459</v>
      </c>
      <c r="F423" t="s">
        <v>5006</v>
      </c>
      <c r="G423" t="s">
        <v>7070</v>
      </c>
      <c r="H423" t="s">
        <v>14360</v>
      </c>
      <c r="I423" t="s">
        <v>7070</v>
      </c>
      <c r="J423" s="4" t="s">
        <v>7070</v>
      </c>
      <c r="L423" t="s">
        <v>1523</v>
      </c>
      <c r="M423" t="s">
        <v>14810</v>
      </c>
      <c r="N423" t="s">
        <v>3459</v>
      </c>
      <c r="O423" t="s">
        <v>3459</v>
      </c>
      <c r="P423" t="s">
        <v>5006</v>
      </c>
      <c r="Q423" t="s">
        <v>5006</v>
      </c>
      <c r="R423" t="s">
        <v>3459</v>
      </c>
      <c r="S423" t="s">
        <v>4869</v>
      </c>
    </row>
    <row r="424" spans="1:19" x14ac:dyDescent="0.2">
      <c r="A424" t="s">
        <v>2437</v>
      </c>
      <c r="B424" t="s">
        <v>14359</v>
      </c>
      <c r="C424" t="s">
        <v>5017</v>
      </c>
      <c r="D424" t="str">
        <f>_xlfn.XLOOKUP(E424,pathways!$A$2:$A$31,pathways!$B$2:$B$31)</f>
        <v>Lipid metabolism</v>
      </c>
      <c r="E424" t="s">
        <v>3459</v>
      </c>
      <c r="F424" t="s">
        <v>5014</v>
      </c>
      <c r="G424" t="s">
        <v>14360</v>
      </c>
      <c r="H424" t="s">
        <v>14360</v>
      </c>
      <c r="I424" t="s">
        <v>5017</v>
      </c>
      <c r="J424" s="4" t="s">
        <v>5017</v>
      </c>
      <c r="L424" t="s">
        <v>2436</v>
      </c>
      <c r="M424" t="s">
        <v>15743</v>
      </c>
      <c r="N424" t="s">
        <v>3459</v>
      </c>
      <c r="O424" t="s">
        <v>3459</v>
      </c>
      <c r="P424" t="s">
        <v>5014</v>
      </c>
      <c r="Q424" t="s">
        <v>5014</v>
      </c>
      <c r="R424" t="s">
        <v>3459</v>
      </c>
      <c r="S424" t="s">
        <v>4869</v>
      </c>
    </row>
    <row r="425" spans="1:19" x14ac:dyDescent="0.2">
      <c r="A425" t="s">
        <v>2453</v>
      </c>
      <c r="B425" t="s">
        <v>14359</v>
      </c>
      <c r="C425" t="s">
        <v>5039</v>
      </c>
      <c r="D425" t="str">
        <f>_xlfn.XLOOKUP(E425,pathways!$A$2:$A$31,pathways!$B$2:$B$31)</f>
        <v>Lipid metabolism</v>
      </c>
      <c r="E425" t="s">
        <v>3459</v>
      </c>
      <c r="F425" t="s">
        <v>5021</v>
      </c>
      <c r="G425" t="s">
        <v>14360</v>
      </c>
      <c r="H425" t="s">
        <v>14360</v>
      </c>
      <c r="I425" t="s">
        <v>5039</v>
      </c>
      <c r="J425" s="4" t="s">
        <v>5039</v>
      </c>
      <c r="L425" t="s">
        <v>2452</v>
      </c>
      <c r="M425" t="s">
        <v>15759</v>
      </c>
      <c r="N425" t="s">
        <v>3459</v>
      </c>
      <c r="O425" t="s">
        <v>3459</v>
      </c>
      <c r="P425" t="s">
        <v>5021</v>
      </c>
      <c r="Q425" t="s">
        <v>5021</v>
      </c>
      <c r="R425" t="s">
        <v>3459</v>
      </c>
      <c r="S425" t="s">
        <v>7998</v>
      </c>
    </row>
    <row r="426" spans="1:19" x14ac:dyDescent="0.2">
      <c r="A426" t="s">
        <v>2435</v>
      </c>
      <c r="B426" t="s">
        <v>14359</v>
      </c>
      <c r="C426" t="s">
        <v>5009</v>
      </c>
      <c r="D426" t="str">
        <f>_xlfn.XLOOKUP(E426,pathways!$A$2:$A$31,pathways!$B$2:$B$31)</f>
        <v>Lipid metabolism</v>
      </c>
      <c r="E426" t="s">
        <v>3459</v>
      </c>
      <c r="F426" t="s">
        <v>5006</v>
      </c>
      <c r="G426" t="s">
        <v>5009</v>
      </c>
      <c r="H426" t="s">
        <v>14360</v>
      </c>
      <c r="I426" t="s">
        <v>5009</v>
      </c>
      <c r="J426" s="4" t="s">
        <v>5009</v>
      </c>
      <c r="L426" t="s">
        <v>2434</v>
      </c>
      <c r="M426" t="s">
        <v>15741</v>
      </c>
      <c r="N426" t="s">
        <v>3459</v>
      </c>
      <c r="O426" t="s">
        <v>3459</v>
      </c>
      <c r="P426" t="s">
        <v>5006</v>
      </c>
      <c r="Q426" t="s">
        <v>5006</v>
      </c>
      <c r="R426" t="s">
        <v>3459</v>
      </c>
      <c r="S426" t="s">
        <v>7998</v>
      </c>
    </row>
    <row r="427" spans="1:19" x14ac:dyDescent="0.2">
      <c r="A427" t="s">
        <v>1977</v>
      </c>
      <c r="B427" t="s">
        <v>14359</v>
      </c>
      <c r="C427" t="s">
        <v>19471</v>
      </c>
      <c r="D427" t="str">
        <f>_xlfn.XLOOKUP(E427,pathways!$A$2:$A$31,pathways!$B$2:$B$31)</f>
        <v>Lipid metabolism</v>
      </c>
      <c r="E427" t="s">
        <v>3459</v>
      </c>
      <c r="F427" t="s">
        <v>5014</v>
      </c>
      <c r="G427" t="s">
        <v>14360</v>
      </c>
      <c r="H427" t="s">
        <v>14360</v>
      </c>
      <c r="I427" t="s">
        <v>9060</v>
      </c>
      <c r="J427" s="4" t="s">
        <v>9060</v>
      </c>
      <c r="L427" t="s">
        <v>1976</v>
      </c>
      <c r="M427" t="s">
        <v>15277</v>
      </c>
      <c r="N427" t="s">
        <v>3459</v>
      </c>
      <c r="O427" t="s">
        <v>3459</v>
      </c>
      <c r="P427" t="s">
        <v>5014</v>
      </c>
      <c r="Q427" t="s">
        <v>5014</v>
      </c>
      <c r="R427" t="s">
        <v>3459</v>
      </c>
      <c r="S427" t="s">
        <v>7998</v>
      </c>
    </row>
    <row r="428" spans="1:19" x14ac:dyDescent="0.2">
      <c r="A428" t="s">
        <v>1894</v>
      </c>
      <c r="B428" t="s">
        <v>14359</v>
      </c>
      <c r="C428" t="s">
        <v>19434</v>
      </c>
      <c r="D428" t="str">
        <f>_xlfn.XLOOKUP(E428,pathways!$A$2:$A$31,pathways!$B$2:$B$31)</f>
        <v>Lipid metabolism</v>
      </c>
      <c r="E428" t="s">
        <v>3459</v>
      </c>
      <c r="F428" t="s">
        <v>5021</v>
      </c>
      <c r="G428" t="s">
        <v>20429</v>
      </c>
      <c r="H428" t="s">
        <v>14360</v>
      </c>
      <c r="I428" t="s">
        <v>8931</v>
      </c>
      <c r="J428" s="4" t="s">
        <v>8931</v>
      </c>
      <c r="L428" t="s">
        <v>1893</v>
      </c>
      <c r="M428" t="s">
        <v>15195</v>
      </c>
      <c r="N428" t="s">
        <v>3459</v>
      </c>
      <c r="O428" t="s">
        <v>3459</v>
      </c>
      <c r="P428" t="s">
        <v>5021</v>
      </c>
      <c r="Q428" t="s">
        <v>5021</v>
      </c>
      <c r="R428" t="s">
        <v>3459</v>
      </c>
      <c r="S428" t="s">
        <v>5632</v>
      </c>
    </row>
    <row r="429" spans="1:19" x14ac:dyDescent="0.2">
      <c r="A429" t="s">
        <v>1900</v>
      </c>
      <c r="B429" t="s">
        <v>14359</v>
      </c>
      <c r="C429" t="s">
        <v>19437</v>
      </c>
      <c r="D429" t="str">
        <f>_xlfn.XLOOKUP(E429,pathways!$A$2:$A$31,pathways!$B$2:$B$31)</f>
        <v>Lipid metabolism</v>
      </c>
      <c r="E429" t="s">
        <v>3459</v>
      </c>
      <c r="F429" t="s">
        <v>5021</v>
      </c>
      <c r="G429" t="s">
        <v>14360</v>
      </c>
      <c r="H429" t="s">
        <v>14360</v>
      </c>
      <c r="I429" t="s">
        <v>8819</v>
      </c>
      <c r="J429" s="4" t="s">
        <v>8819</v>
      </c>
      <c r="L429" t="s">
        <v>1899</v>
      </c>
      <c r="M429" t="s">
        <v>15201</v>
      </c>
      <c r="N429" t="s">
        <v>3459</v>
      </c>
      <c r="O429" t="s">
        <v>3459</v>
      </c>
      <c r="P429" t="s">
        <v>5021</v>
      </c>
      <c r="Q429" t="s">
        <v>5021</v>
      </c>
      <c r="R429" t="s">
        <v>3459</v>
      </c>
      <c r="S429" t="s">
        <v>5632</v>
      </c>
    </row>
    <row r="430" spans="1:19" x14ac:dyDescent="0.2">
      <c r="A430" t="s">
        <v>13842</v>
      </c>
      <c r="B430" t="s">
        <v>14359</v>
      </c>
      <c r="C430" t="s">
        <v>6476</v>
      </c>
      <c r="D430" t="str">
        <f>_xlfn.XLOOKUP(E430,pathways!$A$2:$A$31,pathways!$B$2:$B$31)</f>
        <v>Lipid metabolism</v>
      </c>
      <c r="E430" t="s">
        <v>3459</v>
      </c>
      <c r="F430" t="s">
        <v>5441</v>
      </c>
      <c r="G430" t="s">
        <v>14360</v>
      </c>
      <c r="H430" t="s">
        <v>14360</v>
      </c>
      <c r="I430" t="s">
        <v>6476</v>
      </c>
      <c r="J430" s="4" t="s">
        <v>6476</v>
      </c>
      <c r="L430" t="s">
        <v>14360</v>
      </c>
      <c r="M430" t="s">
        <v>14360</v>
      </c>
      <c r="N430" t="s">
        <v>3459</v>
      </c>
      <c r="O430" t="s">
        <v>3459</v>
      </c>
      <c r="P430" t="s">
        <v>5441</v>
      </c>
      <c r="Q430" t="s">
        <v>5441</v>
      </c>
      <c r="R430" t="s">
        <v>14360</v>
      </c>
      <c r="S430" t="s">
        <v>14360</v>
      </c>
    </row>
    <row r="431" spans="1:19" x14ac:dyDescent="0.2">
      <c r="A431" t="s">
        <v>1310</v>
      </c>
      <c r="B431" t="s">
        <v>14359</v>
      </c>
      <c r="C431" t="s">
        <v>6060</v>
      </c>
      <c r="D431" t="str">
        <f>_xlfn.XLOOKUP(E431,pathways!$A$2:$A$31,pathways!$B$2:$B$31)</f>
        <v>Lipid metabolism</v>
      </c>
      <c r="E431" t="s">
        <v>3459</v>
      </c>
      <c r="F431" t="s">
        <v>5441</v>
      </c>
      <c r="G431" t="s">
        <v>14360</v>
      </c>
      <c r="H431" t="s">
        <v>14360</v>
      </c>
      <c r="I431" t="s">
        <v>6060</v>
      </c>
      <c r="J431" s="4" t="s">
        <v>6060</v>
      </c>
      <c r="L431" t="s">
        <v>1309</v>
      </c>
      <c r="M431" t="s">
        <v>14588</v>
      </c>
      <c r="N431" t="s">
        <v>3459</v>
      </c>
      <c r="O431" t="s">
        <v>3459</v>
      </c>
      <c r="P431" t="s">
        <v>5441</v>
      </c>
      <c r="Q431" t="s">
        <v>5441</v>
      </c>
      <c r="R431" t="s">
        <v>3459</v>
      </c>
      <c r="S431" t="s">
        <v>14360</v>
      </c>
    </row>
    <row r="432" spans="1:19" x14ac:dyDescent="0.2">
      <c r="A432" t="s">
        <v>1421</v>
      </c>
      <c r="B432" t="s">
        <v>14359</v>
      </c>
      <c r="C432" t="s">
        <v>6621</v>
      </c>
      <c r="D432" t="str">
        <f>_xlfn.XLOOKUP(E432,pathways!$A$2:$A$31,pathways!$B$2:$B$31)</f>
        <v>Lipid metabolism</v>
      </c>
      <c r="E432" t="s">
        <v>3459</v>
      </c>
      <c r="F432" t="s">
        <v>5441</v>
      </c>
      <c r="G432" t="s">
        <v>6621</v>
      </c>
      <c r="H432" t="s">
        <v>14360</v>
      </c>
      <c r="I432" t="s">
        <v>6621</v>
      </c>
      <c r="J432" s="4" t="s">
        <v>6621</v>
      </c>
      <c r="L432" t="s">
        <v>1420</v>
      </c>
      <c r="M432" t="s">
        <v>14706</v>
      </c>
      <c r="N432" t="s">
        <v>3459</v>
      </c>
      <c r="O432" t="s">
        <v>3459</v>
      </c>
      <c r="P432" t="s">
        <v>5441</v>
      </c>
      <c r="Q432" t="s">
        <v>5441</v>
      </c>
      <c r="R432" t="s">
        <v>3459</v>
      </c>
      <c r="S432" t="s">
        <v>3864</v>
      </c>
    </row>
    <row r="433" spans="1:19" x14ac:dyDescent="0.2">
      <c r="A433" t="s">
        <v>1760</v>
      </c>
      <c r="B433" t="s">
        <v>14359</v>
      </c>
      <c r="C433" t="s">
        <v>19388</v>
      </c>
      <c r="D433" t="str">
        <f>_xlfn.XLOOKUP(E433,pathways!$A$2:$A$31,pathways!$B$2:$B$31)</f>
        <v>Lipid metabolism</v>
      </c>
      <c r="E433" t="s">
        <v>3459</v>
      </c>
      <c r="F433" t="s">
        <v>5441</v>
      </c>
      <c r="G433" t="s">
        <v>14360</v>
      </c>
      <c r="H433" t="s">
        <v>14360</v>
      </c>
      <c r="I433" t="s">
        <v>8342</v>
      </c>
      <c r="J433" s="4" t="s">
        <v>8342</v>
      </c>
      <c r="L433" t="s">
        <v>1759</v>
      </c>
      <c r="M433" t="s">
        <v>15057</v>
      </c>
      <c r="N433" t="s">
        <v>3459</v>
      </c>
      <c r="O433" t="s">
        <v>3459</v>
      </c>
      <c r="P433" t="s">
        <v>5441</v>
      </c>
      <c r="Q433" t="s">
        <v>5441</v>
      </c>
      <c r="R433" t="s">
        <v>3459</v>
      </c>
      <c r="S433" t="s">
        <v>3470</v>
      </c>
    </row>
    <row r="434" spans="1:19" x14ac:dyDescent="0.2">
      <c r="A434" t="s">
        <v>1457</v>
      </c>
      <c r="B434" t="s">
        <v>14359</v>
      </c>
      <c r="C434" t="s">
        <v>6826</v>
      </c>
      <c r="D434" t="str">
        <f>_xlfn.XLOOKUP(E434,pathways!$A$2:$A$31,pathways!$B$2:$B$31)</f>
        <v>Lipid metabolism</v>
      </c>
      <c r="E434" t="s">
        <v>3459</v>
      </c>
      <c r="F434" t="s">
        <v>5441</v>
      </c>
      <c r="G434" t="s">
        <v>6826</v>
      </c>
      <c r="H434" t="s">
        <v>14360</v>
      </c>
      <c r="I434" t="s">
        <v>6826</v>
      </c>
      <c r="J434" s="4" t="s">
        <v>6826</v>
      </c>
      <c r="L434" t="s">
        <v>1456</v>
      </c>
      <c r="M434" t="s">
        <v>14742</v>
      </c>
      <c r="N434" t="s">
        <v>3459</v>
      </c>
      <c r="O434" t="s">
        <v>3459</v>
      </c>
      <c r="P434" t="s">
        <v>5441</v>
      </c>
      <c r="Q434" t="s">
        <v>5441</v>
      </c>
      <c r="R434" t="s">
        <v>3459</v>
      </c>
      <c r="S434" t="s">
        <v>5082</v>
      </c>
    </row>
    <row r="435" spans="1:19" x14ac:dyDescent="0.2">
      <c r="A435" t="s">
        <v>13817</v>
      </c>
      <c r="B435" t="s">
        <v>14359</v>
      </c>
      <c r="C435" t="s">
        <v>5587</v>
      </c>
      <c r="D435" t="str">
        <f>_xlfn.XLOOKUP(E435,pathways!$A$2:$A$31,pathways!$B$2:$B$31)</f>
        <v>Lipid metabolism</v>
      </c>
      <c r="E435" t="s">
        <v>3459</v>
      </c>
      <c r="F435" t="s">
        <v>5418</v>
      </c>
      <c r="G435" t="s">
        <v>14360</v>
      </c>
      <c r="H435" t="s">
        <v>14360</v>
      </c>
      <c r="I435" t="s">
        <v>5587</v>
      </c>
      <c r="J435" s="4" t="s">
        <v>14360</v>
      </c>
      <c r="L435" t="s">
        <v>14360</v>
      </c>
      <c r="M435" t="s">
        <v>14360</v>
      </c>
      <c r="N435" t="s">
        <v>3459</v>
      </c>
      <c r="O435" t="s">
        <v>14360</v>
      </c>
      <c r="P435" t="s">
        <v>5418</v>
      </c>
      <c r="Q435" t="s">
        <v>14360</v>
      </c>
      <c r="R435" t="s">
        <v>14360</v>
      </c>
      <c r="S435" t="s">
        <v>5082</v>
      </c>
    </row>
    <row r="436" spans="1:19" x14ac:dyDescent="0.2">
      <c r="A436" t="s">
        <v>3063</v>
      </c>
      <c r="B436" t="s">
        <v>14359</v>
      </c>
      <c r="C436" t="s">
        <v>19744</v>
      </c>
      <c r="D436" t="str">
        <f>_xlfn.XLOOKUP(E436,pathways!$A$2:$A$31,pathways!$B$2:$B$31)</f>
        <v>Lipid metabolism</v>
      </c>
      <c r="E436" t="s">
        <v>3459</v>
      </c>
      <c r="F436" t="s">
        <v>5021</v>
      </c>
      <c r="G436" t="s">
        <v>7063</v>
      </c>
      <c r="H436" t="s">
        <v>14360</v>
      </c>
      <c r="I436" t="s">
        <v>7063</v>
      </c>
      <c r="J436" s="4" t="s">
        <v>7063</v>
      </c>
      <c r="L436" t="s">
        <v>3062</v>
      </c>
      <c r="M436" t="s">
        <v>16422</v>
      </c>
      <c r="N436" t="s">
        <v>3459</v>
      </c>
      <c r="O436" t="s">
        <v>3459</v>
      </c>
      <c r="P436" t="s">
        <v>5021</v>
      </c>
      <c r="Q436" t="s">
        <v>5021</v>
      </c>
      <c r="R436" t="s">
        <v>3459</v>
      </c>
      <c r="S436" t="s">
        <v>3687</v>
      </c>
    </row>
    <row r="437" spans="1:19" x14ac:dyDescent="0.2">
      <c r="A437" t="s">
        <v>1908</v>
      </c>
      <c r="B437" t="s">
        <v>14359</v>
      </c>
      <c r="C437" t="s">
        <v>8919</v>
      </c>
      <c r="D437" t="str">
        <f>_xlfn.XLOOKUP(E437,pathways!$A$2:$A$31,pathways!$B$2:$B$31)</f>
        <v>Lipid metabolism</v>
      </c>
      <c r="E437" t="s">
        <v>3459</v>
      </c>
      <c r="F437" t="s">
        <v>5006</v>
      </c>
      <c r="G437" t="s">
        <v>8919</v>
      </c>
      <c r="H437" t="s">
        <v>14360</v>
      </c>
      <c r="I437" t="s">
        <v>8919</v>
      </c>
      <c r="J437" s="4" t="s">
        <v>8919</v>
      </c>
      <c r="L437" t="s">
        <v>1907</v>
      </c>
      <c r="M437" t="s">
        <v>15209</v>
      </c>
      <c r="N437" t="s">
        <v>3459</v>
      </c>
      <c r="O437" t="s">
        <v>3459</v>
      </c>
      <c r="P437" t="s">
        <v>5006</v>
      </c>
      <c r="Q437" t="s">
        <v>5006</v>
      </c>
      <c r="R437" t="s">
        <v>3459</v>
      </c>
      <c r="S437" t="s">
        <v>5082</v>
      </c>
    </row>
    <row r="438" spans="1:19" x14ac:dyDescent="0.2">
      <c r="A438" t="s">
        <v>1150</v>
      </c>
      <c r="B438" t="s">
        <v>14359</v>
      </c>
      <c r="C438" t="s">
        <v>5429</v>
      </c>
      <c r="D438" t="str">
        <f>_xlfn.XLOOKUP(E438,pathways!$A$2:$A$31,pathways!$B$2:$B$31)</f>
        <v>Lipid metabolism</v>
      </c>
      <c r="E438" t="s">
        <v>3459</v>
      </c>
      <c r="F438" t="s">
        <v>5014</v>
      </c>
      <c r="G438" t="s">
        <v>14360</v>
      </c>
      <c r="H438" t="s">
        <v>14360</v>
      </c>
      <c r="I438" t="s">
        <v>5429</v>
      </c>
      <c r="J438" s="4" t="s">
        <v>5429</v>
      </c>
      <c r="L438" t="s">
        <v>1149</v>
      </c>
      <c r="M438" t="s">
        <v>14420</v>
      </c>
      <c r="N438" t="s">
        <v>3459</v>
      </c>
      <c r="O438" t="s">
        <v>3459</v>
      </c>
      <c r="P438" t="s">
        <v>5014</v>
      </c>
      <c r="Q438" t="s">
        <v>5014</v>
      </c>
      <c r="R438" t="s">
        <v>3459</v>
      </c>
      <c r="S438" t="s">
        <v>3498</v>
      </c>
    </row>
    <row r="439" spans="1:19" x14ac:dyDescent="0.2">
      <c r="A439" t="s">
        <v>1910</v>
      </c>
      <c r="B439" t="s">
        <v>14359</v>
      </c>
      <c r="C439" t="s">
        <v>19440</v>
      </c>
      <c r="D439" t="str">
        <f>_xlfn.XLOOKUP(E439,pathways!$A$2:$A$31,pathways!$B$2:$B$31)</f>
        <v>Lipid metabolism</v>
      </c>
      <c r="E439" t="s">
        <v>3459</v>
      </c>
      <c r="F439" t="s">
        <v>5021</v>
      </c>
      <c r="G439" t="s">
        <v>8799</v>
      </c>
      <c r="H439" t="s">
        <v>14360</v>
      </c>
      <c r="I439" t="s">
        <v>8799</v>
      </c>
      <c r="J439" s="4" t="s">
        <v>8799</v>
      </c>
      <c r="L439" t="s">
        <v>1909</v>
      </c>
      <c r="M439" t="s">
        <v>15211</v>
      </c>
      <c r="N439" t="s">
        <v>3459</v>
      </c>
      <c r="O439" t="s">
        <v>3459</v>
      </c>
      <c r="P439" t="s">
        <v>5021</v>
      </c>
      <c r="Q439" t="s">
        <v>5021</v>
      </c>
      <c r="R439" t="s">
        <v>3459</v>
      </c>
      <c r="S439" t="s">
        <v>3498</v>
      </c>
    </row>
    <row r="440" spans="1:19" x14ac:dyDescent="0.2">
      <c r="A440" t="s">
        <v>1948</v>
      </c>
      <c r="B440" t="s">
        <v>14359</v>
      </c>
      <c r="C440" t="s">
        <v>19457</v>
      </c>
      <c r="D440" t="str">
        <f>_xlfn.XLOOKUP(E440,pathways!$A$2:$A$31,pathways!$B$2:$B$31)</f>
        <v>Lipid metabolism</v>
      </c>
      <c r="E440" t="s">
        <v>3459</v>
      </c>
      <c r="F440" t="s">
        <v>5006</v>
      </c>
      <c r="G440" t="s">
        <v>14360</v>
      </c>
      <c r="H440" t="s">
        <v>14360</v>
      </c>
      <c r="I440" t="s">
        <v>8951</v>
      </c>
      <c r="J440" s="4" t="s">
        <v>8951</v>
      </c>
      <c r="L440" t="s">
        <v>1947</v>
      </c>
      <c r="M440" t="s">
        <v>15248</v>
      </c>
      <c r="N440" t="s">
        <v>3459</v>
      </c>
      <c r="O440" t="s">
        <v>3459</v>
      </c>
      <c r="P440" t="s">
        <v>5006</v>
      </c>
      <c r="Q440" t="s">
        <v>5006</v>
      </c>
      <c r="R440" t="s">
        <v>3459</v>
      </c>
      <c r="S440" t="s">
        <v>3873</v>
      </c>
    </row>
    <row r="441" spans="1:19" x14ac:dyDescent="0.2">
      <c r="A441" t="s">
        <v>1892</v>
      </c>
      <c r="B441" t="s">
        <v>14359</v>
      </c>
      <c r="C441" t="s">
        <v>19433</v>
      </c>
      <c r="D441" t="str">
        <f>_xlfn.XLOOKUP(E441,pathways!$A$2:$A$31,pathways!$B$2:$B$31)</f>
        <v>Lipid metabolism</v>
      </c>
      <c r="E441" t="s">
        <v>3459</v>
      </c>
      <c r="F441" t="s">
        <v>5021</v>
      </c>
      <c r="G441" t="s">
        <v>14360</v>
      </c>
      <c r="H441" t="s">
        <v>14360</v>
      </c>
      <c r="I441" t="s">
        <v>8926</v>
      </c>
      <c r="J441" s="4" t="s">
        <v>8926</v>
      </c>
      <c r="L441" t="s">
        <v>1891</v>
      </c>
      <c r="M441" t="s">
        <v>15193</v>
      </c>
      <c r="N441" t="s">
        <v>3459</v>
      </c>
      <c r="O441" t="s">
        <v>3459</v>
      </c>
      <c r="P441" t="s">
        <v>5021</v>
      </c>
      <c r="Q441" t="s">
        <v>5021</v>
      </c>
      <c r="R441" t="s">
        <v>3459</v>
      </c>
      <c r="S441" t="s">
        <v>3498</v>
      </c>
    </row>
    <row r="442" spans="1:19" x14ac:dyDescent="0.2">
      <c r="A442" t="s">
        <v>1896</v>
      </c>
      <c r="B442" t="s">
        <v>14359</v>
      </c>
      <c r="C442" t="s">
        <v>19435</v>
      </c>
      <c r="D442" t="str">
        <f>_xlfn.XLOOKUP(E442,pathways!$A$2:$A$31,pathways!$B$2:$B$31)</f>
        <v>Lipid metabolism</v>
      </c>
      <c r="E442" t="s">
        <v>3459</v>
      </c>
      <c r="F442" t="s">
        <v>5006</v>
      </c>
      <c r="G442" t="s">
        <v>19435</v>
      </c>
      <c r="H442" t="s">
        <v>14360</v>
      </c>
      <c r="I442" t="s">
        <v>8913</v>
      </c>
      <c r="J442" s="4" t="s">
        <v>8913</v>
      </c>
      <c r="L442" t="s">
        <v>1895</v>
      </c>
      <c r="M442" t="s">
        <v>15197</v>
      </c>
      <c r="N442" t="s">
        <v>3459</v>
      </c>
      <c r="O442" t="s">
        <v>3459</v>
      </c>
      <c r="P442" t="s">
        <v>5006</v>
      </c>
      <c r="Q442" t="s">
        <v>5006</v>
      </c>
      <c r="R442" t="s">
        <v>3459</v>
      </c>
      <c r="S442" t="s">
        <v>3498</v>
      </c>
    </row>
    <row r="443" spans="1:19" x14ac:dyDescent="0.2">
      <c r="A443" t="s">
        <v>1952</v>
      </c>
      <c r="B443" t="s">
        <v>14359</v>
      </c>
      <c r="C443" t="s">
        <v>8962</v>
      </c>
      <c r="D443" t="str">
        <f>_xlfn.XLOOKUP(E443,pathways!$A$2:$A$31,pathways!$B$2:$B$31)</f>
        <v>Lipid metabolism</v>
      </c>
      <c r="E443" t="s">
        <v>3459</v>
      </c>
      <c r="F443" t="s">
        <v>5014</v>
      </c>
      <c r="G443" t="s">
        <v>14360</v>
      </c>
      <c r="H443" t="s">
        <v>14360</v>
      </c>
      <c r="I443" t="s">
        <v>8962</v>
      </c>
      <c r="J443" s="4" t="s">
        <v>8962</v>
      </c>
      <c r="L443" t="s">
        <v>1951</v>
      </c>
      <c r="M443" t="s">
        <v>15252</v>
      </c>
      <c r="N443" t="s">
        <v>3459</v>
      </c>
      <c r="O443" t="s">
        <v>3459</v>
      </c>
      <c r="P443" t="s">
        <v>5014</v>
      </c>
      <c r="Q443" t="s">
        <v>5014</v>
      </c>
      <c r="R443" t="s">
        <v>3459</v>
      </c>
      <c r="S443" t="s">
        <v>3906</v>
      </c>
    </row>
    <row r="444" spans="1:19" x14ac:dyDescent="0.2">
      <c r="A444" t="s">
        <v>1874</v>
      </c>
      <c r="B444" t="s">
        <v>14359</v>
      </c>
      <c r="C444" t="s">
        <v>19426</v>
      </c>
      <c r="D444" t="str">
        <f>_xlfn.XLOOKUP(E444,pathways!$A$2:$A$31,pathways!$B$2:$B$31)</f>
        <v>Lipid metabolism</v>
      </c>
      <c r="E444" t="s">
        <v>3459</v>
      </c>
      <c r="F444" t="s">
        <v>5021</v>
      </c>
      <c r="G444" t="s">
        <v>14360</v>
      </c>
      <c r="H444" t="s">
        <v>14360</v>
      </c>
      <c r="I444" t="s">
        <v>8778</v>
      </c>
      <c r="J444" s="4" t="s">
        <v>8778</v>
      </c>
      <c r="L444" t="s">
        <v>1873</v>
      </c>
      <c r="M444" t="s">
        <v>15175</v>
      </c>
      <c r="N444" t="s">
        <v>3459</v>
      </c>
      <c r="O444" t="s">
        <v>3459</v>
      </c>
      <c r="P444" t="s">
        <v>5021</v>
      </c>
      <c r="Q444" t="s">
        <v>5021</v>
      </c>
      <c r="R444" t="s">
        <v>3459</v>
      </c>
      <c r="S444" t="s">
        <v>4373</v>
      </c>
    </row>
    <row r="445" spans="1:19" x14ac:dyDescent="0.2">
      <c r="A445" t="s">
        <v>1499</v>
      </c>
      <c r="B445" t="s">
        <v>14359</v>
      </c>
      <c r="C445" t="s">
        <v>7047</v>
      </c>
      <c r="D445" t="str">
        <f>_xlfn.XLOOKUP(E445,pathways!$A$2:$A$31,pathways!$B$2:$B$31)</f>
        <v>Lipid metabolism</v>
      </c>
      <c r="E445" t="s">
        <v>3459</v>
      </c>
      <c r="F445" t="s">
        <v>5006</v>
      </c>
      <c r="G445" t="s">
        <v>14360</v>
      </c>
      <c r="H445" t="s">
        <v>14360</v>
      </c>
      <c r="I445" t="s">
        <v>7047</v>
      </c>
      <c r="J445" s="4" t="s">
        <v>7047</v>
      </c>
      <c r="L445" t="s">
        <v>1498</v>
      </c>
      <c r="M445" t="s">
        <v>14784</v>
      </c>
      <c r="N445" t="s">
        <v>3459</v>
      </c>
      <c r="O445" t="s">
        <v>3459</v>
      </c>
      <c r="P445" t="s">
        <v>5006</v>
      </c>
      <c r="Q445" t="s">
        <v>5006</v>
      </c>
      <c r="R445" t="s">
        <v>3459</v>
      </c>
      <c r="S445" t="s">
        <v>5082</v>
      </c>
    </row>
    <row r="446" spans="1:19" x14ac:dyDescent="0.2">
      <c r="A446" t="s">
        <v>1971</v>
      </c>
      <c r="B446" t="s">
        <v>14359</v>
      </c>
      <c r="C446" t="s">
        <v>19468</v>
      </c>
      <c r="D446" t="str">
        <f>_xlfn.XLOOKUP(E446,pathways!$A$2:$A$31,pathways!$B$2:$B$31)</f>
        <v>Lipid metabolism</v>
      </c>
      <c r="E446" t="s">
        <v>3459</v>
      </c>
      <c r="F446" t="s">
        <v>5014</v>
      </c>
      <c r="G446" t="s">
        <v>14360</v>
      </c>
      <c r="H446" t="s">
        <v>14360</v>
      </c>
      <c r="I446" t="s">
        <v>14360</v>
      </c>
      <c r="J446" s="4" t="s">
        <v>11489</v>
      </c>
      <c r="L446" t="s">
        <v>1970</v>
      </c>
      <c r="M446" t="s">
        <v>15271</v>
      </c>
      <c r="N446" t="s">
        <v>14360</v>
      </c>
      <c r="O446" t="s">
        <v>3459</v>
      </c>
      <c r="P446" t="s">
        <v>14360</v>
      </c>
      <c r="Q446" t="s">
        <v>5014</v>
      </c>
      <c r="R446" t="s">
        <v>3459</v>
      </c>
      <c r="S446" t="s">
        <v>14360</v>
      </c>
    </row>
    <row r="447" spans="1:19" x14ac:dyDescent="0.2">
      <c r="A447" t="s">
        <v>1155</v>
      </c>
      <c r="B447" t="s">
        <v>14359</v>
      </c>
      <c r="C447" t="s">
        <v>11491</v>
      </c>
      <c r="D447" t="str">
        <f>_xlfn.XLOOKUP(E447,pathways!$A$2:$A$31,pathways!$B$2:$B$31)</f>
        <v>Lipid metabolism</v>
      </c>
      <c r="E447" t="s">
        <v>3459</v>
      </c>
      <c r="F447" t="s">
        <v>11492</v>
      </c>
      <c r="G447" t="s">
        <v>14360</v>
      </c>
      <c r="H447" t="s">
        <v>14360</v>
      </c>
      <c r="I447" t="s">
        <v>14360</v>
      </c>
      <c r="J447" s="4" t="s">
        <v>11491</v>
      </c>
      <c r="L447" t="s">
        <v>1154</v>
      </c>
      <c r="M447" t="s">
        <v>14426</v>
      </c>
      <c r="N447" t="s">
        <v>14360</v>
      </c>
      <c r="O447" t="s">
        <v>3459</v>
      </c>
      <c r="P447" t="s">
        <v>14360</v>
      </c>
      <c r="Q447" t="s">
        <v>11492</v>
      </c>
      <c r="R447" t="s">
        <v>3459</v>
      </c>
      <c r="S447" t="s">
        <v>3705</v>
      </c>
    </row>
    <row r="448" spans="1:19" x14ac:dyDescent="0.2">
      <c r="A448" t="s">
        <v>1308</v>
      </c>
      <c r="B448" t="s">
        <v>14359</v>
      </c>
      <c r="C448" t="s">
        <v>19245</v>
      </c>
      <c r="D448" t="str">
        <f>_xlfn.XLOOKUP(E448,pathways!$A$2:$A$31,pathways!$B$2:$B$31)</f>
        <v>Lipid metabolism</v>
      </c>
      <c r="E448" t="s">
        <v>3459</v>
      </c>
      <c r="F448" t="s">
        <v>5441</v>
      </c>
      <c r="G448" t="s">
        <v>14360</v>
      </c>
      <c r="H448" t="s">
        <v>14360</v>
      </c>
      <c r="I448" t="s">
        <v>6091</v>
      </c>
      <c r="J448" s="4" t="s">
        <v>6091</v>
      </c>
      <c r="L448" t="s">
        <v>1307</v>
      </c>
      <c r="M448" t="s">
        <v>14586</v>
      </c>
      <c r="N448" t="s">
        <v>3459</v>
      </c>
      <c r="O448" t="s">
        <v>3459</v>
      </c>
      <c r="P448" t="s">
        <v>5441</v>
      </c>
      <c r="Q448" t="s">
        <v>5441</v>
      </c>
      <c r="R448" t="s">
        <v>3459</v>
      </c>
      <c r="S448" t="s">
        <v>3460</v>
      </c>
    </row>
    <row r="449" spans="1:19" x14ac:dyDescent="0.2">
      <c r="A449" t="s">
        <v>1386</v>
      </c>
      <c r="B449" t="s">
        <v>14359</v>
      </c>
      <c r="C449" t="s">
        <v>6506</v>
      </c>
      <c r="D449" t="str">
        <f>_xlfn.XLOOKUP(E449,pathways!$A$2:$A$31,pathways!$B$2:$B$31)</f>
        <v>Lipid metabolism</v>
      </c>
      <c r="E449" t="s">
        <v>3459</v>
      </c>
      <c r="F449" t="s">
        <v>5441</v>
      </c>
      <c r="G449" t="s">
        <v>6506</v>
      </c>
      <c r="H449" t="s">
        <v>14360</v>
      </c>
      <c r="I449" t="s">
        <v>6506</v>
      </c>
      <c r="J449" s="4" t="s">
        <v>6506</v>
      </c>
      <c r="L449" t="s">
        <v>1385</v>
      </c>
      <c r="M449" t="s">
        <v>14666</v>
      </c>
      <c r="N449" t="s">
        <v>3459</v>
      </c>
      <c r="O449" t="s">
        <v>3459</v>
      </c>
      <c r="P449" t="s">
        <v>5441</v>
      </c>
      <c r="Q449" t="s">
        <v>5441</v>
      </c>
      <c r="R449" t="s">
        <v>3459</v>
      </c>
      <c r="S449" t="s">
        <v>5632</v>
      </c>
    </row>
    <row r="450" spans="1:19" x14ac:dyDescent="0.2">
      <c r="A450" t="s">
        <v>1400</v>
      </c>
      <c r="B450" t="s">
        <v>14359</v>
      </c>
      <c r="C450" t="s">
        <v>6513</v>
      </c>
      <c r="D450" t="str">
        <f>_xlfn.XLOOKUP(E450,pathways!$A$2:$A$31,pathways!$B$2:$B$31)</f>
        <v>Lipid metabolism</v>
      </c>
      <c r="E450" t="s">
        <v>3459</v>
      </c>
      <c r="F450" t="s">
        <v>5441</v>
      </c>
      <c r="G450" t="s">
        <v>14360</v>
      </c>
      <c r="H450" t="s">
        <v>14360</v>
      </c>
      <c r="I450" t="s">
        <v>6513</v>
      </c>
      <c r="J450" s="4" t="s">
        <v>6513</v>
      </c>
      <c r="L450" t="s">
        <v>1399</v>
      </c>
      <c r="M450" t="s">
        <v>14682</v>
      </c>
      <c r="N450" t="s">
        <v>3459</v>
      </c>
      <c r="O450" t="s">
        <v>3459</v>
      </c>
      <c r="P450" t="s">
        <v>5441</v>
      </c>
      <c r="Q450" t="s">
        <v>5441</v>
      </c>
      <c r="R450" t="s">
        <v>3459</v>
      </c>
      <c r="S450" t="s">
        <v>4373</v>
      </c>
    </row>
    <row r="451" spans="1:19" x14ac:dyDescent="0.2">
      <c r="A451" t="s">
        <v>1169</v>
      </c>
      <c r="B451" t="s">
        <v>14359</v>
      </c>
      <c r="C451" t="s">
        <v>5444</v>
      </c>
      <c r="D451" t="str">
        <f>_xlfn.XLOOKUP(E451,pathways!$A$2:$A$31,pathways!$B$2:$B$31)</f>
        <v>Lipid metabolism</v>
      </c>
      <c r="E451" t="s">
        <v>3459</v>
      </c>
      <c r="F451" t="s">
        <v>5441</v>
      </c>
      <c r="G451" t="s">
        <v>14360</v>
      </c>
      <c r="H451" t="s">
        <v>14360</v>
      </c>
      <c r="I451" t="s">
        <v>5444</v>
      </c>
      <c r="J451" s="4" t="s">
        <v>5444</v>
      </c>
      <c r="L451" t="s">
        <v>1168</v>
      </c>
      <c r="M451" t="s">
        <v>14440</v>
      </c>
      <c r="N451" t="s">
        <v>3459</v>
      </c>
      <c r="O451" t="s">
        <v>3459</v>
      </c>
      <c r="P451" t="s">
        <v>5441</v>
      </c>
      <c r="Q451" t="s">
        <v>5441</v>
      </c>
      <c r="R451" t="s">
        <v>3459</v>
      </c>
      <c r="S451" t="s">
        <v>3819</v>
      </c>
    </row>
    <row r="452" spans="1:19" x14ac:dyDescent="0.2">
      <c r="A452" t="s">
        <v>13935</v>
      </c>
      <c r="B452" t="s">
        <v>14359</v>
      </c>
      <c r="C452" t="s">
        <v>8187</v>
      </c>
      <c r="D452" t="str">
        <f>_xlfn.XLOOKUP(E452,pathways!$A$2:$A$31,pathways!$B$2:$B$31)</f>
        <v>Lipid metabolism</v>
      </c>
      <c r="E452" t="s">
        <v>3459</v>
      </c>
      <c r="F452" t="s">
        <v>5441</v>
      </c>
      <c r="G452" t="s">
        <v>14360</v>
      </c>
      <c r="H452" t="s">
        <v>14360</v>
      </c>
      <c r="I452" t="s">
        <v>8187</v>
      </c>
      <c r="J452" s="4" t="s">
        <v>14360</v>
      </c>
      <c r="L452" t="s">
        <v>14360</v>
      </c>
      <c r="M452" t="s">
        <v>14360</v>
      </c>
      <c r="N452" t="s">
        <v>3459</v>
      </c>
      <c r="O452" t="s">
        <v>14360</v>
      </c>
      <c r="P452" t="s">
        <v>5441</v>
      </c>
      <c r="Q452" t="s">
        <v>14360</v>
      </c>
      <c r="R452" t="s">
        <v>14360</v>
      </c>
      <c r="S452" t="s">
        <v>3749</v>
      </c>
    </row>
    <row r="453" spans="1:19" x14ac:dyDescent="0.2">
      <c r="A453" t="s">
        <v>1878</v>
      </c>
      <c r="B453" t="s">
        <v>14359</v>
      </c>
      <c r="C453" t="s">
        <v>8771</v>
      </c>
      <c r="D453" t="str">
        <f>_xlfn.XLOOKUP(E453,pathways!$A$2:$A$31,pathways!$B$2:$B$31)</f>
        <v>Lipid metabolism</v>
      </c>
      <c r="E453" t="s">
        <v>3459</v>
      </c>
      <c r="F453" t="s">
        <v>5021</v>
      </c>
      <c r="G453" t="s">
        <v>14360</v>
      </c>
      <c r="H453" t="s">
        <v>14360</v>
      </c>
      <c r="I453" t="s">
        <v>8771</v>
      </c>
      <c r="J453" s="4" t="s">
        <v>8771</v>
      </c>
      <c r="L453" t="s">
        <v>1877</v>
      </c>
      <c r="M453" t="s">
        <v>15179</v>
      </c>
      <c r="N453" t="s">
        <v>3459</v>
      </c>
      <c r="O453" t="s">
        <v>3459</v>
      </c>
      <c r="P453" t="s">
        <v>5021</v>
      </c>
      <c r="Q453" t="s">
        <v>5021</v>
      </c>
      <c r="R453" t="s">
        <v>3459</v>
      </c>
      <c r="S453" t="s">
        <v>14360</v>
      </c>
    </row>
    <row r="454" spans="1:19" x14ac:dyDescent="0.2">
      <c r="A454" t="s">
        <v>1171</v>
      </c>
      <c r="B454" t="s">
        <v>14359</v>
      </c>
      <c r="C454" t="s">
        <v>19200</v>
      </c>
      <c r="D454" t="str">
        <f>_xlfn.XLOOKUP(E454,pathways!$A$2:$A$31,pathways!$B$2:$B$31)</f>
        <v>Lipid metabolism</v>
      </c>
      <c r="E454" t="s">
        <v>3459</v>
      </c>
      <c r="F454" t="s">
        <v>5021</v>
      </c>
      <c r="G454" t="s">
        <v>5451</v>
      </c>
      <c r="H454" t="s">
        <v>14360</v>
      </c>
      <c r="I454" t="s">
        <v>5451</v>
      </c>
      <c r="J454" s="4" t="s">
        <v>5451</v>
      </c>
      <c r="L454" t="s">
        <v>1170</v>
      </c>
      <c r="M454" t="s">
        <v>14442</v>
      </c>
      <c r="N454" t="s">
        <v>3459</v>
      </c>
      <c r="O454" t="s">
        <v>3459</v>
      </c>
      <c r="P454" t="s">
        <v>5021</v>
      </c>
      <c r="Q454" t="s">
        <v>5021</v>
      </c>
      <c r="R454" t="s">
        <v>3459</v>
      </c>
      <c r="S454" t="s">
        <v>3437</v>
      </c>
    </row>
    <row r="455" spans="1:19" x14ac:dyDescent="0.2">
      <c r="A455" t="s">
        <v>1306</v>
      </c>
      <c r="B455" t="s">
        <v>14359</v>
      </c>
      <c r="C455" t="s">
        <v>6127</v>
      </c>
      <c r="D455" t="str">
        <f>_xlfn.XLOOKUP(E455,pathways!$A$2:$A$31,pathways!$B$2:$B$31)</f>
        <v>Lipid metabolism</v>
      </c>
      <c r="E455" t="s">
        <v>3459</v>
      </c>
      <c r="F455" t="s">
        <v>4059</v>
      </c>
      <c r="G455" t="s">
        <v>14360</v>
      </c>
      <c r="H455" t="s">
        <v>14360</v>
      </c>
      <c r="I455" t="s">
        <v>6127</v>
      </c>
      <c r="J455" s="4" t="s">
        <v>6127</v>
      </c>
      <c r="L455" t="s">
        <v>1305</v>
      </c>
      <c r="M455" t="s">
        <v>14584</v>
      </c>
      <c r="N455" t="s">
        <v>3459</v>
      </c>
      <c r="O455" t="s">
        <v>3459</v>
      </c>
      <c r="P455" t="s">
        <v>4059</v>
      </c>
      <c r="Q455" t="s">
        <v>11502</v>
      </c>
      <c r="R455" t="s">
        <v>3459</v>
      </c>
      <c r="S455" t="s">
        <v>14360</v>
      </c>
    </row>
    <row r="456" spans="1:19" x14ac:dyDescent="0.2">
      <c r="A456" t="s">
        <v>1300</v>
      </c>
      <c r="B456" t="s">
        <v>14359</v>
      </c>
      <c r="C456" t="s">
        <v>6120</v>
      </c>
      <c r="D456" t="str">
        <f>_xlfn.XLOOKUP(E456,pathways!$A$2:$A$31,pathways!$B$2:$B$31)</f>
        <v>Lipid metabolism</v>
      </c>
      <c r="E456" t="s">
        <v>3459</v>
      </c>
      <c r="F456" t="s">
        <v>4059</v>
      </c>
      <c r="G456" t="s">
        <v>14360</v>
      </c>
      <c r="H456" t="s">
        <v>14360</v>
      </c>
      <c r="I456" t="s">
        <v>6120</v>
      </c>
      <c r="J456" s="4" t="s">
        <v>6120</v>
      </c>
      <c r="L456" t="s">
        <v>1299</v>
      </c>
      <c r="M456" t="s">
        <v>14578</v>
      </c>
      <c r="N456" t="s">
        <v>3459</v>
      </c>
      <c r="O456" t="s">
        <v>3459</v>
      </c>
      <c r="P456" t="s">
        <v>4059</v>
      </c>
      <c r="Q456" t="s">
        <v>11502</v>
      </c>
      <c r="R456" t="s">
        <v>3459</v>
      </c>
      <c r="S456" t="s">
        <v>14360</v>
      </c>
    </row>
    <row r="457" spans="1:19" x14ac:dyDescent="0.2">
      <c r="A457" t="s">
        <v>1276</v>
      </c>
      <c r="B457" t="s">
        <v>14359</v>
      </c>
      <c r="C457" t="s">
        <v>5952</v>
      </c>
      <c r="D457" t="str">
        <f>_xlfn.XLOOKUP(E457,pathways!$A$2:$A$31,pathways!$B$2:$B$31)</f>
        <v>Lipid metabolism</v>
      </c>
      <c r="E457" t="s">
        <v>3459</v>
      </c>
      <c r="F457" t="s">
        <v>3569</v>
      </c>
      <c r="G457" t="s">
        <v>5952</v>
      </c>
      <c r="H457" t="s">
        <v>14360</v>
      </c>
      <c r="I457" t="s">
        <v>5952</v>
      </c>
      <c r="J457" s="4" t="s">
        <v>5952</v>
      </c>
      <c r="L457" t="s">
        <v>1275</v>
      </c>
      <c r="M457" t="s">
        <v>14554</v>
      </c>
      <c r="N457" t="s">
        <v>3459</v>
      </c>
      <c r="O457" t="s">
        <v>3459</v>
      </c>
      <c r="P457" t="s">
        <v>3569</v>
      </c>
      <c r="Q457" t="s">
        <v>3569</v>
      </c>
      <c r="R457" t="s">
        <v>3459</v>
      </c>
      <c r="S457" t="s">
        <v>4942</v>
      </c>
    </row>
    <row r="458" spans="1:19" x14ac:dyDescent="0.2">
      <c r="A458" t="s">
        <v>13941</v>
      </c>
      <c r="B458" t="s">
        <v>14359</v>
      </c>
      <c r="C458" t="s">
        <v>8318</v>
      </c>
      <c r="D458" t="str">
        <f>_xlfn.XLOOKUP(E458,pathways!$A$2:$A$31,pathways!$B$2:$B$31)</f>
        <v>Lipid metabolism</v>
      </c>
      <c r="E458" t="s">
        <v>3459</v>
      </c>
      <c r="F458" t="s">
        <v>5559</v>
      </c>
      <c r="G458" t="s">
        <v>14360</v>
      </c>
      <c r="H458" t="s">
        <v>14360</v>
      </c>
      <c r="I458" t="s">
        <v>8318</v>
      </c>
      <c r="J458" s="4" t="s">
        <v>14360</v>
      </c>
      <c r="L458" t="s">
        <v>14360</v>
      </c>
      <c r="M458" t="s">
        <v>14360</v>
      </c>
      <c r="N458" t="s">
        <v>3459</v>
      </c>
      <c r="O458" t="s">
        <v>14360</v>
      </c>
      <c r="P458" t="s">
        <v>5559</v>
      </c>
      <c r="Q458" t="s">
        <v>14360</v>
      </c>
      <c r="R458" t="s">
        <v>14360</v>
      </c>
      <c r="S458" t="s">
        <v>3864</v>
      </c>
    </row>
    <row r="459" spans="1:19" x14ac:dyDescent="0.2">
      <c r="A459" t="s">
        <v>14027</v>
      </c>
      <c r="B459" t="s">
        <v>14359</v>
      </c>
      <c r="C459" t="s">
        <v>9801</v>
      </c>
      <c r="D459" t="str">
        <f>_xlfn.XLOOKUP(E459,pathways!$A$2:$A$31,pathways!$B$2:$B$31)</f>
        <v>Lipid metabolism</v>
      </c>
      <c r="E459" t="s">
        <v>3459</v>
      </c>
      <c r="F459" t="s">
        <v>5559</v>
      </c>
      <c r="G459" t="s">
        <v>14360</v>
      </c>
      <c r="H459" t="s">
        <v>14360</v>
      </c>
      <c r="I459" t="s">
        <v>9801</v>
      </c>
      <c r="J459" s="4" t="s">
        <v>14360</v>
      </c>
      <c r="L459" t="s">
        <v>2225</v>
      </c>
      <c r="M459" t="s">
        <v>15523</v>
      </c>
      <c r="N459" t="s">
        <v>3459</v>
      </c>
      <c r="O459" t="s">
        <v>14360</v>
      </c>
      <c r="P459" t="s">
        <v>5559</v>
      </c>
      <c r="Q459" t="s">
        <v>14360</v>
      </c>
      <c r="R459" t="s">
        <v>3459</v>
      </c>
      <c r="S459" t="s">
        <v>5082</v>
      </c>
    </row>
    <row r="460" spans="1:19" x14ac:dyDescent="0.2">
      <c r="A460" t="s">
        <v>2234</v>
      </c>
      <c r="B460" t="s">
        <v>14359</v>
      </c>
      <c r="C460" t="s">
        <v>19578</v>
      </c>
      <c r="D460" t="str">
        <f>_xlfn.XLOOKUP(E460,pathways!$A$2:$A$31,pathways!$B$2:$B$31)</f>
        <v>Lipid metabolism</v>
      </c>
      <c r="E460" t="s">
        <v>3459</v>
      </c>
      <c r="F460" t="s">
        <v>5559</v>
      </c>
      <c r="G460" t="s">
        <v>14360</v>
      </c>
      <c r="H460" t="s">
        <v>14360</v>
      </c>
      <c r="I460" t="s">
        <v>9805</v>
      </c>
      <c r="J460" s="4" t="s">
        <v>14360</v>
      </c>
      <c r="L460" t="s">
        <v>2233</v>
      </c>
      <c r="M460" t="s">
        <v>15531</v>
      </c>
      <c r="N460" t="s">
        <v>3459</v>
      </c>
      <c r="O460" t="s">
        <v>14360</v>
      </c>
      <c r="P460" t="s">
        <v>5559</v>
      </c>
      <c r="Q460" t="s">
        <v>14360</v>
      </c>
      <c r="R460" t="s">
        <v>3459</v>
      </c>
      <c r="S460" t="s">
        <v>5082</v>
      </c>
    </row>
    <row r="461" spans="1:19" x14ac:dyDescent="0.2">
      <c r="A461" t="s">
        <v>13873</v>
      </c>
      <c r="B461" t="s">
        <v>14359</v>
      </c>
      <c r="C461" t="s">
        <v>7326</v>
      </c>
      <c r="D461" t="str">
        <f>_xlfn.XLOOKUP(E461,pathways!$A$2:$A$31,pathways!$B$2:$B$31)</f>
        <v>Lipid metabolism</v>
      </c>
      <c r="E461" t="s">
        <v>3459</v>
      </c>
      <c r="F461" t="s">
        <v>4910</v>
      </c>
      <c r="G461" t="s">
        <v>14360</v>
      </c>
      <c r="H461" t="s">
        <v>14360</v>
      </c>
      <c r="I461" t="s">
        <v>7326</v>
      </c>
      <c r="J461" s="4" t="s">
        <v>7326</v>
      </c>
      <c r="L461" t="s">
        <v>14360</v>
      </c>
      <c r="M461" t="s">
        <v>14360</v>
      </c>
      <c r="N461" t="s">
        <v>3459</v>
      </c>
      <c r="O461" t="s">
        <v>3459</v>
      </c>
      <c r="P461" t="s">
        <v>4910</v>
      </c>
      <c r="Q461" t="s">
        <v>4910</v>
      </c>
      <c r="R461" t="s">
        <v>14360</v>
      </c>
      <c r="S461" t="s">
        <v>3864</v>
      </c>
    </row>
    <row r="462" spans="1:19" x14ac:dyDescent="0.2">
      <c r="A462" t="s">
        <v>13795</v>
      </c>
      <c r="B462" t="s">
        <v>14359</v>
      </c>
      <c r="C462" t="s">
        <v>4913</v>
      </c>
      <c r="D462" t="str">
        <f>_xlfn.XLOOKUP(E462,pathways!$A$2:$A$31,pathways!$B$2:$B$31)</f>
        <v>Lipid metabolism</v>
      </c>
      <c r="E462" t="s">
        <v>3459</v>
      </c>
      <c r="F462" t="s">
        <v>4910</v>
      </c>
      <c r="G462" t="s">
        <v>14360</v>
      </c>
      <c r="H462" t="s">
        <v>14360</v>
      </c>
      <c r="I462" t="s">
        <v>4913</v>
      </c>
      <c r="J462" s="4" t="s">
        <v>4913</v>
      </c>
      <c r="L462" t="s">
        <v>14360</v>
      </c>
      <c r="M462" t="s">
        <v>14360</v>
      </c>
      <c r="N462" t="s">
        <v>3459</v>
      </c>
      <c r="O462" t="s">
        <v>3459</v>
      </c>
      <c r="P462" t="s">
        <v>4910</v>
      </c>
      <c r="Q462" t="s">
        <v>4910</v>
      </c>
      <c r="R462" t="s">
        <v>14360</v>
      </c>
      <c r="S462" t="s">
        <v>3749</v>
      </c>
    </row>
    <row r="463" spans="1:19" x14ac:dyDescent="0.2">
      <c r="A463" t="s">
        <v>2612</v>
      </c>
      <c r="B463" t="s">
        <v>14359</v>
      </c>
      <c r="C463" t="s">
        <v>3463</v>
      </c>
      <c r="D463" t="str">
        <f>_xlfn.XLOOKUP(E463,pathways!$A$2:$A$31,pathways!$B$2:$B$31)</f>
        <v>Lipid metabolism</v>
      </c>
      <c r="E463" t="s">
        <v>3459</v>
      </c>
      <c r="F463" t="s">
        <v>3460</v>
      </c>
      <c r="G463" t="s">
        <v>14360</v>
      </c>
      <c r="H463" t="s">
        <v>14360</v>
      </c>
      <c r="I463" t="s">
        <v>3463</v>
      </c>
      <c r="J463" s="4" t="s">
        <v>14360</v>
      </c>
      <c r="L463" t="s">
        <v>2611</v>
      </c>
      <c r="M463" t="s">
        <v>15946</v>
      </c>
      <c r="N463" t="s">
        <v>3459</v>
      </c>
      <c r="O463" t="s">
        <v>14360</v>
      </c>
      <c r="P463" t="s">
        <v>3460</v>
      </c>
      <c r="Q463" t="s">
        <v>14360</v>
      </c>
      <c r="R463" t="s">
        <v>3459</v>
      </c>
      <c r="S463" t="s">
        <v>5082</v>
      </c>
    </row>
    <row r="464" spans="1:19" x14ac:dyDescent="0.2">
      <c r="A464" t="s">
        <v>1584</v>
      </c>
      <c r="B464" t="s">
        <v>14359</v>
      </c>
      <c r="C464" t="s">
        <v>7349</v>
      </c>
      <c r="D464" t="str">
        <f>_xlfn.XLOOKUP(E464,pathways!$A$2:$A$31,pathways!$B$2:$B$31)</f>
        <v>Lipid metabolism</v>
      </c>
      <c r="E464" t="s">
        <v>3459</v>
      </c>
      <c r="F464" t="s">
        <v>4869</v>
      </c>
      <c r="G464" t="s">
        <v>14360</v>
      </c>
      <c r="H464" t="s">
        <v>14360</v>
      </c>
      <c r="I464" t="s">
        <v>7349</v>
      </c>
      <c r="J464" s="4" t="s">
        <v>7349</v>
      </c>
      <c r="L464" t="s">
        <v>1583</v>
      </c>
      <c r="M464" t="s">
        <v>14871</v>
      </c>
      <c r="N464" t="s">
        <v>3459</v>
      </c>
      <c r="O464" t="s">
        <v>3459</v>
      </c>
      <c r="P464" t="s">
        <v>4869</v>
      </c>
      <c r="Q464" t="s">
        <v>4869</v>
      </c>
      <c r="R464" t="s">
        <v>3459</v>
      </c>
      <c r="S464" t="s">
        <v>5082</v>
      </c>
    </row>
    <row r="465" spans="1:19" x14ac:dyDescent="0.2">
      <c r="A465" t="s">
        <v>14214</v>
      </c>
      <c r="B465" t="s">
        <v>14359</v>
      </c>
      <c r="C465" t="s">
        <v>11515</v>
      </c>
      <c r="D465" t="str">
        <f>_xlfn.XLOOKUP(E465,pathways!$A$2:$A$31,pathways!$B$2:$B$31)</f>
        <v>Lipid metabolism</v>
      </c>
      <c r="E465" t="s">
        <v>3459</v>
      </c>
      <c r="F465" t="s">
        <v>4869</v>
      </c>
      <c r="G465" t="s">
        <v>14360</v>
      </c>
      <c r="H465" t="s">
        <v>14360</v>
      </c>
      <c r="I465" t="s">
        <v>14360</v>
      </c>
      <c r="J465" s="4" t="s">
        <v>11515</v>
      </c>
      <c r="L465" t="s">
        <v>14360</v>
      </c>
      <c r="M465" t="s">
        <v>14360</v>
      </c>
      <c r="N465" t="s">
        <v>14360</v>
      </c>
      <c r="O465" t="s">
        <v>3459</v>
      </c>
      <c r="P465" t="s">
        <v>14360</v>
      </c>
      <c r="Q465" t="s">
        <v>4869</v>
      </c>
      <c r="R465" t="s">
        <v>14360</v>
      </c>
      <c r="S465" t="s">
        <v>5230</v>
      </c>
    </row>
    <row r="466" spans="1:19" x14ac:dyDescent="0.2">
      <c r="A466" t="s">
        <v>13904</v>
      </c>
      <c r="B466" t="s">
        <v>14359</v>
      </c>
      <c r="C466" t="s">
        <v>11517</v>
      </c>
      <c r="D466" t="str">
        <f>_xlfn.XLOOKUP(E466,pathways!$A$2:$A$31,pathways!$B$2:$B$31)</f>
        <v>Lipid metabolism</v>
      </c>
      <c r="E466" t="s">
        <v>3459</v>
      </c>
      <c r="F466" t="s">
        <v>4101</v>
      </c>
      <c r="G466" t="s">
        <v>14360</v>
      </c>
      <c r="H466" t="s">
        <v>14360</v>
      </c>
      <c r="I466" t="s">
        <v>7759</v>
      </c>
      <c r="J466" s="4" t="s">
        <v>11517</v>
      </c>
      <c r="L466" t="s">
        <v>14360</v>
      </c>
      <c r="M466" t="s">
        <v>14360</v>
      </c>
      <c r="N466" t="s">
        <v>3459</v>
      </c>
      <c r="O466" t="s">
        <v>3459</v>
      </c>
      <c r="P466" t="s">
        <v>4101</v>
      </c>
      <c r="Q466" t="s">
        <v>4101</v>
      </c>
      <c r="R466" t="s">
        <v>14360</v>
      </c>
      <c r="S466" t="s">
        <v>14360</v>
      </c>
    </row>
    <row r="467" spans="1:19" x14ac:dyDescent="0.2">
      <c r="A467" t="s">
        <v>13905</v>
      </c>
      <c r="B467" t="s">
        <v>14359</v>
      </c>
      <c r="C467" t="s">
        <v>7778</v>
      </c>
      <c r="D467" t="str">
        <f>_xlfn.XLOOKUP(E467,pathways!$A$2:$A$31,pathways!$B$2:$B$31)</f>
        <v>Lipid metabolism</v>
      </c>
      <c r="E467" t="s">
        <v>3459</v>
      </c>
      <c r="F467" t="s">
        <v>4869</v>
      </c>
      <c r="G467" t="s">
        <v>14360</v>
      </c>
      <c r="H467" t="s">
        <v>14360</v>
      </c>
      <c r="I467" t="s">
        <v>7778</v>
      </c>
      <c r="J467" s="4" t="s">
        <v>7778</v>
      </c>
      <c r="L467" t="s">
        <v>14360</v>
      </c>
      <c r="M467" t="s">
        <v>14360</v>
      </c>
      <c r="N467" t="s">
        <v>3459</v>
      </c>
      <c r="O467" t="s">
        <v>3459</v>
      </c>
      <c r="P467" t="s">
        <v>4869</v>
      </c>
      <c r="Q467" t="s">
        <v>4869</v>
      </c>
      <c r="R467" t="s">
        <v>14360</v>
      </c>
      <c r="S467" t="s">
        <v>5632</v>
      </c>
    </row>
    <row r="468" spans="1:19" x14ac:dyDescent="0.2">
      <c r="A468" t="s">
        <v>1561</v>
      </c>
      <c r="B468" t="s">
        <v>14359</v>
      </c>
      <c r="C468" t="s">
        <v>11521</v>
      </c>
      <c r="D468" t="str">
        <f>_xlfn.XLOOKUP(E468,pathways!$A$2:$A$31,pathways!$B$2:$B$31)</f>
        <v>Lipid metabolism</v>
      </c>
      <c r="E468" t="s">
        <v>3459</v>
      </c>
      <c r="F468" t="s">
        <v>5559</v>
      </c>
      <c r="G468" t="s">
        <v>11521</v>
      </c>
      <c r="H468" t="s">
        <v>14360</v>
      </c>
      <c r="I468" t="s">
        <v>7291</v>
      </c>
      <c r="J468" s="4" t="s">
        <v>11521</v>
      </c>
      <c r="L468" t="s">
        <v>1560</v>
      </c>
      <c r="M468" t="s">
        <v>14847</v>
      </c>
      <c r="N468" t="s">
        <v>3459</v>
      </c>
      <c r="O468" t="s">
        <v>3459</v>
      </c>
      <c r="P468" t="s">
        <v>5559</v>
      </c>
      <c r="Q468" t="s">
        <v>5559</v>
      </c>
      <c r="R468" t="s">
        <v>3459</v>
      </c>
      <c r="S468" t="s">
        <v>7216</v>
      </c>
    </row>
    <row r="469" spans="1:19" x14ac:dyDescent="0.2">
      <c r="A469" t="s">
        <v>1750</v>
      </c>
      <c r="B469" t="s">
        <v>14359</v>
      </c>
      <c r="C469" t="s">
        <v>8328</v>
      </c>
      <c r="D469" t="str">
        <f>_xlfn.XLOOKUP(E469,pathways!$A$2:$A$31,pathways!$B$2:$B$31)</f>
        <v>Lipid metabolism</v>
      </c>
      <c r="E469" t="s">
        <v>3459</v>
      </c>
      <c r="F469" t="s">
        <v>7151</v>
      </c>
      <c r="G469" t="s">
        <v>14360</v>
      </c>
      <c r="H469" t="s">
        <v>14360</v>
      </c>
      <c r="I469" t="s">
        <v>8328</v>
      </c>
      <c r="J469" s="4" t="s">
        <v>14360</v>
      </c>
      <c r="L469" t="s">
        <v>1749</v>
      </c>
      <c r="M469" t="s">
        <v>15047</v>
      </c>
      <c r="N469" t="s">
        <v>3459</v>
      </c>
      <c r="O469" t="s">
        <v>14360</v>
      </c>
      <c r="P469" t="s">
        <v>7151</v>
      </c>
      <c r="Q469" t="s">
        <v>14360</v>
      </c>
      <c r="R469" t="s">
        <v>3459</v>
      </c>
      <c r="S469" t="s">
        <v>4215</v>
      </c>
    </row>
    <row r="470" spans="1:19" x14ac:dyDescent="0.2">
      <c r="A470" t="s">
        <v>13871</v>
      </c>
      <c r="B470" t="s">
        <v>14359</v>
      </c>
      <c r="C470" t="s">
        <v>7296</v>
      </c>
      <c r="D470" t="str">
        <f>_xlfn.XLOOKUP(E470,pathways!$A$2:$A$31,pathways!$B$2:$B$31)</f>
        <v>Lipid metabolism</v>
      </c>
      <c r="E470" t="s">
        <v>3459</v>
      </c>
      <c r="F470" t="s">
        <v>7151</v>
      </c>
      <c r="G470" t="s">
        <v>14360</v>
      </c>
      <c r="H470" t="s">
        <v>14360</v>
      </c>
      <c r="I470" t="s">
        <v>7296</v>
      </c>
      <c r="J470" s="4" t="s">
        <v>14360</v>
      </c>
      <c r="L470" t="s">
        <v>14360</v>
      </c>
      <c r="M470" t="s">
        <v>14360</v>
      </c>
      <c r="N470" t="s">
        <v>3459</v>
      </c>
      <c r="O470" t="s">
        <v>14360</v>
      </c>
      <c r="P470" t="s">
        <v>7151</v>
      </c>
      <c r="Q470" t="s">
        <v>14360</v>
      </c>
      <c r="R470" t="s">
        <v>14360</v>
      </c>
      <c r="S470" t="s">
        <v>5082</v>
      </c>
    </row>
    <row r="471" spans="1:19" x14ac:dyDescent="0.2">
      <c r="A471" t="s">
        <v>1730</v>
      </c>
      <c r="B471" t="s">
        <v>14359</v>
      </c>
      <c r="C471" t="s">
        <v>8245</v>
      </c>
      <c r="D471" t="str">
        <f>_xlfn.XLOOKUP(E471,pathways!$A$2:$A$31,pathways!$B$2:$B$31)</f>
        <v>Lipid metabolism</v>
      </c>
      <c r="E471" t="s">
        <v>3459</v>
      </c>
      <c r="F471" t="s">
        <v>8139</v>
      </c>
      <c r="G471" t="s">
        <v>14360</v>
      </c>
      <c r="H471" t="s">
        <v>14360</v>
      </c>
      <c r="I471" t="s">
        <v>8245</v>
      </c>
      <c r="J471" s="4" t="s">
        <v>14360</v>
      </c>
      <c r="L471" t="s">
        <v>1729</v>
      </c>
      <c r="M471" t="s">
        <v>15025</v>
      </c>
      <c r="N471" t="s">
        <v>3459</v>
      </c>
      <c r="O471" t="s">
        <v>14360</v>
      </c>
      <c r="P471" t="s">
        <v>8139</v>
      </c>
      <c r="Q471" t="s">
        <v>14360</v>
      </c>
      <c r="R471" t="s">
        <v>3459</v>
      </c>
      <c r="S471" t="s">
        <v>3524</v>
      </c>
    </row>
    <row r="472" spans="1:19" x14ac:dyDescent="0.2">
      <c r="A472" t="s">
        <v>1702</v>
      </c>
      <c r="B472" t="s">
        <v>14359</v>
      </c>
      <c r="C472" t="s">
        <v>8142</v>
      </c>
      <c r="D472" t="str">
        <f>_xlfn.XLOOKUP(E472,pathways!$A$2:$A$31,pathways!$B$2:$B$31)</f>
        <v>Lipid metabolism</v>
      </c>
      <c r="E472" t="s">
        <v>3459</v>
      </c>
      <c r="F472" t="s">
        <v>8139</v>
      </c>
      <c r="G472" t="s">
        <v>14360</v>
      </c>
      <c r="H472" t="s">
        <v>14360</v>
      </c>
      <c r="I472" t="s">
        <v>8142</v>
      </c>
      <c r="J472" s="4" t="s">
        <v>8142</v>
      </c>
      <c r="L472" t="s">
        <v>1701</v>
      </c>
      <c r="M472" t="s">
        <v>14995</v>
      </c>
      <c r="N472" t="s">
        <v>3459</v>
      </c>
      <c r="O472" t="s">
        <v>3459</v>
      </c>
      <c r="P472" t="s">
        <v>8139</v>
      </c>
      <c r="Q472" t="s">
        <v>8139</v>
      </c>
      <c r="R472" t="s">
        <v>3459</v>
      </c>
      <c r="S472" t="s">
        <v>6422</v>
      </c>
    </row>
    <row r="473" spans="1:19" x14ac:dyDescent="0.2">
      <c r="A473" t="s">
        <v>13812</v>
      </c>
      <c r="B473" t="s">
        <v>14359</v>
      </c>
      <c r="C473" t="s">
        <v>5421</v>
      </c>
      <c r="D473" t="str">
        <f>_xlfn.XLOOKUP(E473,pathways!$A$2:$A$31,pathways!$B$2:$B$31)</f>
        <v>Lipid metabolism</v>
      </c>
      <c r="E473" t="s">
        <v>3459</v>
      </c>
      <c r="F473" t="s">
        <v>5418</v>
      </c>
      <c r="G473" t="s">
        <v>14360</v>
      </c>
      <c r="H473" t="s">
        <v>14360</v>
      </c>
      <c r="I473" t="s">
        <v>5421</v>
      </c>
      <c r="J473" s="4" t="s">
        <v>14360</v>
      </c>
      <c r="L473" t="s">
        <v>14360</v>
      </c>
      <c r="M473" t="s">
        <v>14360</v>
      </c>
      <c r="N473" t="s">
        <v>3459</v>
      </c>
      <c r="O473" t="s">
        <v>14360</v>
      </c>
      <c r="P473" t="s">
        <v>5418</v>
      </c>
      <c r="Q473" t="s">
        <v>14360</v>
      </c>
      <c r="R473" t="s">
        <v>14360</v>
      </c>
      <c r="S473" t="s">
        <v>3687</v>
      </c>
    </row>
    <row r="474" spans="1:19" x14ac:dyDescent="0.2">
      <c r="A474" t="s">
        <v>14000</v>
      </c>
      <c r="B474" t="s">
        <v>14359</v>
      </c>
      <c r="C474" t="s">
        <v>9570</v>
      </c>
      <c r="D474" t="str">
        <f>_xlfn.XLOOKUP(E474,pathways!$A$2:$A$31,pathways!$B$2:$B$31)</f>
        <v>Lipid metabolism</v>
      </c>
      <c r="E474" t="s">
        <v>3459</v>
      </c>
      <c r="F474" t="s">
        <v>4991</v>
      </c>
      <c r="G474" t="s">
        <v>14360</v>
      </c>
      <c r="H474" t="s">
        <v>14360</v>
      </c>
      <c r="I474" t="s">
        <v>9570</v>
      </c>
      <c r="J474" s="4" t="s">
        <v>14360</v>
      </c>
      <c r="L474" t="s">
        <v>2113</v>
      </c>
      <c r="M474" t="s">
        <v>15407</v>
      </c>
      <c r="N474" t="s">
        <v>3459</v>
      </c>
      <c r="O474" t="s">
        <v>14360</v>
      </c>
      <c r="P474" t="s">
        <v>4991</v>
      </c>
      <c r="Q474" t="s">
        <v>14360</v>
      </c>
      <c r="R474" t="s">
        <v>3459</v>
      </c>
      <c r="S474" t="s">
        <v>3687</v>
      </c>
    </row>
    <row r="475" spans="1:19" x14ac:dyDescent="0.2">
      <c r="A475" t="s">
        <v>14215</v>
      </c>
      <c r="B475" t="s">
        <v>14359</v>
      </c>
      <c r="C475" t="s">
        <v>11539</v>
      </c>
      <c r="D475" t="str">
        <f>_xlfn.XLOOKUP(E475,pathways!$A$2:$A$31,pathways!$B$2:$B$31)</f>
        <v>Lipid metabolism</v>
      </c>
      <c r="E475" t="s">
        <v>3459</v>
      </c>
      <c r="F475" t="s">
        <v>5418</v>
      </c>
      <c r="G475" t="s">
        <v>14360</v>
      </c>
      <c r="H475" t="s">
        <v>14360</v>
      </c>
      <c r="I475" t="s">
        <v>14360</v>
      </c>
      <c r="J475" s="4" t="s">
        <v>11539</v>
      </c>
      <c r="L475" t="s">
        <v>14360</v>
      </c>
      <c r="M475" t="s">
        <v>14360</v>
      </c>
      <c r="N475" t="s">
        <v>14360</v>
      </c>
      <c r="O475" t="s">
        <v>3459</v>
      </c>
      <c r="P475" t="s">
        <v>14360</v>
      </c>
      <c r="Q475" t="s">
        <v>5418</v>
      </c>
      <c r="R475" t="s">
        <v>14360</v>
      </c>
      <c r="S475" t="s">
        <v>3498</v>
      </c>
    </row>
    <row r="476" spans="1:19" x14ac:dyDescent="0.2">
      <c r="A476" t="s">
        <v>2130</v>
      </c>
      <c r="B476" t="s">
        <v>14359</v>
      </c>
      <c r="C476" t="s">
        <v>19541</v>
      </c>
      <c r="D476" t="str">
        <f>_xlfn.XLOOKUP(E476,pathways!$A$2:$A$31,pathways!$B$2:$B$31)</f>
        <v>Lipid metabolism</v>
      </c>
      <c r="E476" t="s">
        <v>3459</v>
      </c>
      <c r="F476" t="s">
        <v>4869</v>
      </c>
      <c r="G476" t="s">
        <v>14360</v>
      </c>
      <c r="H476" t="s">
        <v>14360</v>
      </c>
      <c r="I476" t="s">
        <v>9588</v>
      </c>
      <c r="J476" s="4" t="s">
        <v>14360</v>
      </c>
      <c r="L476" t="s">
        <v>2129</v>
      </c>
      <c r="M476" t="s">
        <v>15423</v>
      </c>
      <c r="N476" t="s">
        <v>3459</v>
      </c>
      <c r="O476" t="s">
        <v>14360</v>
      </c>
      <c r="P476" t="s">
        <v>4869</v>
      </c>
      <c r="Q476" t="s">
        <v>14360</v>
      </c>
      <c r="R476" t="s">
        <v>3459</v>
      </c>
      <c r="S476" t="s">
        <v>14360</v>
      </c>
    </row>
    <row r="477" spans="1:19" x14ac:dyDescent="0.2">
      <c r="A477" t="s">
        <v>13982</v>
      </c>
      <c r="B477" t="s">
        <v>14359</v>
      </c>
      <c r="C477" t="s">
        <v>9315</v>
      </c>
      <c r="D477" t="str">
        <f>_xlfn.XLOOKUP(E477,pathways!$A$2:$A$31,pathways!$B$2:$B$31)</f>
        <v>Lipid metabolism</v>
      </c>
      <c r="E477" t="s">
        <v>3459</v>
      </c>
      <c r="F477" t="s">
        <v>4869</v>
      </c>
      <c r="G477" t="s">
        <v>14360</v>
      </c>
      <c r="H477" t="s">
        <v>14360</v>
      </c>
      <c r="I477" t="s">
        <v>9315</v>
      </c>
      <c r="J477" s="4" t="s">
        <v>9315</v>
      </c>
      <c r="L477" t="s">
        <v>14360</v>
      </c>
      <c r="M477" t="s">
        <v>14360</v>
      </c>
      <c r="N477" t="s">
        <v>3459</v>
      </c>
      <c r="O477" t="s">
        <v>3459</v>
      </c>
      <c r="P477" t="s">
        <v>4869</v>
      </c>
      <c r="Q477" t="s">
        <v>4869</v>
      </c>
      <c r="R477" t="s">
        <v>14360</v>
      </c>
      <c r="S477" t="s">
        <v>5082</v>
      </c>
    </row>
    <row r="478" spans="1:19" x14ac:dyDescent="0.2">
      <c r="A478" t="s">
        <v>1697</v>
      </c>
      <c r="B478" t="s">
        <v>14359</v>
      </c>
      <c r="C478" t="s">
        <v>8060</v>
      </c>
      <c r="D478" t="str">
        <f>_xlfn.XLOOKUP(E478,pathways!$A$2:$A$31,pathways!$B$2:$B$31)</f>
        <v>Lipid metabolism</v>
      </c>
      <c r="E478" t="s">
        <v>3459</v>
      </c>
      <c r="F478" t="s">
        <v>4869</v>
      </c>
      <c r="G478" t="s">
        <v>14360</v>
      </c>
      <c r="H478" t="s">
        <v>14360</v>
      </c>
      <c r="I478" t="s">
        <v>8060</v>
      </c>
      <c r="J478" s="4" t="s">
        <v>8060</v>
      </c>
      <c r="L478" t="s">
        <v>1696</v>
      </c>
      <c r="M478" t="s">
        <v>14989</v>
      </c>
      <c r="N478" t="s">
        <v>3459</v>
      </c>
      <c r="O478" t="s">
        <v>3459</v>
      </c>
      <c r="P478" t="s">
        <v>4869</v>
      </c>
      <c r="Q478" t="s">
        <v>4869</v>
      </c>
      <c r="R478" t="s">
        <v>3459</v>
      </c>
      <c r="S478" t="s">
        <v>5082</v>
      </c>
    </row>
    <row r="479" spans="1:19" x14ac:dyDescent="0.2">
      <c r="A479" t="s">
        <v>1565</v>
      </c>
      <c r="B479" t="s">
        <v>14359</v>
      </c>
      <c r="C479" t="s">
        <v>7234</v>
      </c>
      <c r="D479" t="str">
        <f>_xlfn.XLOOKUP(E479,pathways!$A$2:$A$31,pathways!$B$2:$B$31)</f>
        <v>Lipid metabolism</v>
      </c>
      <c r="E479" t="s">
        <v>3459</v>
      </c>
      <c r="F479" t="s">
        <v>3873</v>
      </c>
      <c r="G479" t="s">
        <v>14360</v>
      </c>
      <c r="H479" t="s">
        <v>14360</v>
      </c>
      <c r="I479" t="s">
        <v>7234</v>
      </c>
      <c r="J479" s="4" t="s">
        <v>7234</v>
      </c>
      <c r="L479" t="s">
        <v>1564</v>
      </c>
      <c r="M479" t="s">
        <v>14851</v>
      </c>
      <c r="N479" t="s">
        <v>3459</v>
      </c>
      <c r="O479" t="s">
        <v>3459</v>
      </c>
      <c r="P479" t="s">
        <v>3873</v>
      </c>
      <c r="Q479" t="s">
        <v>3873</v>
      </c>
      <c r="R479" t="s">
        <v>3459</v>
      </c>
      <c r="S479" t="s">
        <v>6878</v>
      </c>
    </row>
    <row r="480" spans="1:19" x14ac:dyDescent="0.2">
      <c r="A480" t="s">
        <v>14003</v>
      </c>
      <c r="B480" t="s">
        <v>14359</v>
      </c>
      <c r="C480" t="s">
        <v>9601</v>
      </c>
      <c r="D480" t="str">
        <f>_xlfn.XLOOKUP(E480,pathways!$A$2:$A$31,pathways!$B$2:$B$31)</f>
        <v>Lipid metabolism</v>
      </c>
      <c r="E480" t="s">
        <v>3459</v>
      </c>
      <c r="F480" t="s">
        <v>4869</v>
      </c>
      <c r="G480" t="s">
        <v>14360</v>
      </c>
      <c r="H480" t="s">
        <v>14360</v>
      </c>
      <c r="I480" t="s">
        <v>9601</v>
      </c>
      <c r="J480" s="4" t="s">
        <v>14360</v>
      </c>
      <c r="L480" t="s">
        <v>14360</v>
      </c>
      <c r="M480" t="s">
        <v>14360</v>
      </c>
      <c r="N480" t="s">
        <v>3459</v>
      </c>
      <c r="O480" t="s">
        <v>14360</v>
      </c>
      <c r="P480" t="s">
        <v>4869</v>
      </c>
      <c r="Q480" t="s">
        <v>14360</v>
      </c>
      <c r="R480" t="s">
        <v>14360</v>
      </c>
      <c r="S480" t="s">
        <v>14360</v>
      </c>
    </row>
    <row r="481" spans="1:19" x14ac:dyDescent="0.2">
      <c r="A481" t="s">
        <v>13964</v>
      </c>
      <c r="B481" t="s">
        <v>14359</v>
      </c>
      <c r="C481" t="s">
        <v>8845</v>
      </c>
      <c r="D481" t="str">
        <f>_xlfn.XLOOKUP(E481,pathways!$A$2:$A$31,pathways!$B$2:$B$31)</f>
        <v>Lipid metabolism</v>
      </c>
      <c r="E481" t="s">
        <v>3459</v>
      </c>
      <c r="F481" t="s">
        <v>4869</v>
      </c>
      <c r="G481" t="s">
        <v>14360</v>
      </c>
      <c r="H481" t="s">
        <v>14360</v>
      </c>
      <c r="I481" t="s">
        <v>8845</v>
      </c>
      <c r="J481" s="4" t="s">
        <v>8845</v>
      </c>
      <c r="L481" t="s">
        <v>14360</v>
      </c>
      <c r="M481" t="s">
        <v>14360</v>
      </c>
      <c r="N481" t="s">
        <v>3459</v>
      </c>
      <c r="O481" t="s">
        <v>3459</v>
      </c>
      <c r="P481" t="s">
        <v>4869</v>
      </c>
      <c r="Q481" t="s">
        <v>4869</v>
      </c>
      <c r="R481" t="s">
        <v>14360</v>
      </c>
      <c r="S481" t="s">
        <v>3864</v>
      </c>
    </row>
    <row r="482" spans="1:19" x14ac:dyDescent="0.2">
      <c r="A482" t="s">
        <v>13983</v>
      </c>
      <c r="B482" t="s">
        <v>14359</v>
      </c>
      <c r="C482" t="s">
        <v>9321</v>
      </c>
      <c r="D482" t="str">
        <f>_xlfn.XLOOKUP(E482,pathways!$A$2:$A$31,pathways!$B$2:$B$31)</f>
        <v>Lipid metabolism</v>
      </c>
      <c r="E482" t="s">
        <v>3459</v>
      </c>
      <c r="F482" t="s">
        <v>4869</v>
      </c>
      <c r="G482" t="s">
        <v>14360</v>
      </c>
      <c r="H482" t="s">
        <v>14360</v>
      </c>
      <c r="I482" t="s">
        <v>9321</v>
      </c>
      <c r="J482" s="4" t="s">
        <v>9321</v>
      </c>
      <c r="L482" t="s">
        <v>14360</v>
      </c>
      <c r="M482" t="s">
        <v>14360</v>
      </c>
      <c r="N482" t="s">
        <v>3459</v>
      </c>
      <c r="O482" t="s">
        <v>3459</v>
      </c>
      <c r="P482" t="s">
        <v>4869</v>
      </c>
      <c r="Q482" t="s">
        <v>4869</v>
      </c>
      <c r="R482" t="s">
        <v>14360</v>
      </c>
      <c r="S482" t="s">
        <v>5082</v>
      </c>
    </row>
    <row r="483" spans="1:19" x14ac:dyDescent="0.2">
      <c r="A483" t="s">
        <v>1209</v>
      </c>
      <c r="B483" t="s">
        <v>14359</v>
      </c>
      <c r="C483" t="s">
        <v>5505</v>
      </c>
      <c r="D483" t="str">
        <f>_xlfn.XLOOKUP(E483,pathways!$A$2:$A$31,pathways!$B$2:$B$31)</f>
        <v>Lipid metabolism</v>
      </c>
      <c r="E483" t="s">
        <v>3459</v>
      </c>
      <c r="F483" t="s">
        <v>4869</v>
      </c>
      <c r="G483" t="s">
        <v>14360</v>
      </c>
      <c r="H483" t="s">
        <v>14360</v>
      </c>
      <c r="I483" t="s">
        <v>5505</v>
      </c>
      <c r="J483" s="4" t="s">
        <v>5505</v>
      </c>
      <c r="L483" t="s">
        <v>1208</v>
      </c>
      <c r="M483" t="s">
        <v>14484</v>
      </c>
      <c r="N483" t="s">
        <v>3459</v>
      </c>
      <c r="O483" t="s">
        <v>3459</v>
      </c>
      <c r="P483" t="s">
        <v>4869</v>
      </c>
      <c r="Q483" t="s">
        <v>4869</v>
      </c>
      <c r="R483" t="s">
        <v>3459</v>
      </c>
      <c r="S483" t="s">
        <v>14360</v>
      </c>
    </row>
    <row r="484" spans="1:19" x14ac:dyDescent="0.2">
      <c r="A484" t="s">
        <v>1427</v>
      </c>
      <c r="B484" t="s">
        <v>14359</v>
      </c>
      <c r="C484" t="s">
        <v>6655</v>
      </c>
      <c r="D484" t="str">
        <f>_xlfn.XLOOKUP(E484,pathways!$A$2:$A$31,pathways!$B$2:$B$31)</f>
        <v>Lipid metabolism</v>
      </c>
      <c r="E484" t="s">
        <v>3459</v>
      </c>
      <c r="F484" t="s">
        <v>4869</v>
      </c>
      <c r="G484" t="s">
        <v>14360</v>
      </c>
      <c r="H484" t="s">
        <v>14360</v>
      </c>
      <c r="I484" t="s">
        <v>6655</v>
      </c>
      <c r="J484" s="4" t="s">
        <v>6655</v>
      </c>
      <c r="L484" t="s">
        <v>1426</v>
      </c>
      <c r="M484" t="s">
        <v>14712</v>
      </c>
      <c r="N484" t="s">
        <v>3459</v>
      </c>
      <c r="O484" t="s">
        <v>3459</v>
      </c>
      <c r="P484" t="s">
        <v>4869</v>
      </c>
      <c r="Q484" t="s">
        <v>4869</v>
      </c>
      <c r="R484" t="s">
        <v>3459</v>
      </c>
      <c r="S484" t="s">
        <v>3586</v>
      </c>
    </row>
    <row r="485" spans="1:19" x14ac:dyDescent="0.2">
      <c r="A485" t="s">
        <v>2403</v>
      </c>
      <c r="B485" t="s">
        <v>14359</v>
      </c>
      <c r="C485" t="s">
        <v>4872</v>
      </c>
      <c r="D485" t="str">
        <f>_xlfn.XLOOKUP(E485,pathways!$A$2:$A$31,pathways!$B$2:$B$31)</f>
        <v>Lipid metabolism</v>
      </c>
      <c r="E485" t="s">
        <v>3459</v>
      </c>
      <c r="F485" t="s">
        <v>4869</v>
      </c>
      <c r="G485" t="s">
        <v>14360</v>
      </c>
      <c r="H485" t="s">
        <v>14360</v>
      </c>
      <c r="I485" t="s">
        <v>4872</v>
      </c>
      <c r="J485" s="4" t="s">
        <v>4872</v>
      </c>
      <c r="L485" t="s">
        <v>2402</v>
      </c>
      <c r="M485" t="s">
        <v>15703</v>
      </c>
      <c r="N485" t="s">
        <v>3459</v>
      </c>
      <c r="O485" t="s">
        <v>3459</v>
      </c>
      <c r="P485" t="s">
        <v>4869</v>
      </c>
      <c r="Q485" t="s">
        <v>4869</v>
      </c>
      <c r="R485" t="s">
        <v>3459</v>
      </c>
      <c r="S485" t="s">
        <v>4373</v>
      </c>
    </row>
    <row r="486" spans="1:19" x14ac:dyDescent="0.2">
      <c r="A486" t="s">
        <v>1217</v>
      </c>
      <c r="B486" t="s">
        <v>14359</v>
      </c>
      <c r="C486" t="s">
        <v>5681</v>
      </c>
      <c r="D486" t="str">
        <f>_xlfn.XLOOKUP(E486,pathways!$A$2:$A$31,pathways!$B$2:$B$31)</f>
        <v>Lipid metabolism</v>
      </c>
      <c r="E486" t="s">
        <v>3459</v>
      </c>
      <c r="F486" t="s">
        <v>5418</v>
      </c>
      <c r="G486" t="s">
        <v>14360</v>
      </c>
      <c r="H486" t="s">
        <v>14360</v>
      </c>
      <c r="I486" t="s">
        <v>5681</v>
      </c>
      <c r="J486" s="4" t="s">
        <v>5681</v>
      </c>
      <c r="L486" t="s">
        <v>1216</v>
      </c>
      <c r="M486" t="s">
        <v>14492</v>
      </c>
      <c r="N486" t="s">
        <v>3459</v>
      </c>
      <c r="O486" t="s">
        <v>3459</v>
      </c>
      <c r="P486" t="s">
        <v>5418</v>
      </c>
      <c r="Q486" t="s">
        <v>5418</v>
      </c>
      <c r="R486" t="s">
        <v>3459</v>
      </c>
      <c r="S486" t="s">
        <v>3569</v>
      </c>
    </row>
    <row r="487" spans="1:19" x14ac:dyDescent="0.2">
      <c r="A487" t="s">
        <v>13820</v>
      </c>
      <c r="B487" t="s">
        <v>14359</v>
      </c>
      <c r="C487" t="s">
        <v>5658</v>
      </c>
      <c r="D487" t="str">
        <f>_xlfn.XLOOKUP(E487,pathways!$A$2:$A$31,pathways!$B$2:$B$31)</f>
        <v>Lipid metabolism</v>
      </c>
      <c r="E487" t="s">
        <v>3459</v>
      </c>
      <c r="F487" t="s">
        <v>5418</v>
      </c>
      <c r="G487" t="s">
        <v>14360</v>
      </c>
      <c r="H487" t="s">
        <v>14360</v>
      </c>
      <c r="I487" t="s">
        <v>5658</v>
      </c>
      <c r="J487" s="4" t="s">
        <v>14360</v>
      </c>
      <c r="L487" t="s">
        <v>14360</v>
      </c>
      <c r="M487" t="s">
        <v>14360</v>
      </c>
      <c r="N487" t="s">
        <v>3459</v>
      </c>
      <c r="O487" t="s">
        <v>14360</v>
      </c>
      <c r="P487" t="s">
        <v>5418</v>
      </c>
      <c r="Q487" t="s">
        <v>14360</v>
      </c>
      <c r="R487" t="s">
        <v>14360</v>
      </c>
      <c r="S487" t="s">
        <v>6535</v>
      </c>
    </row>
    <row r="488" spans="1:19" x14ac:dyDescent="0.2">
      <c r="A488" t="s">
        <v>1417</v>
      </c>
      <c r="B488" t="s">
        <v>14359</v>
      </c>
      <c r="C488" t="s">
        <v>19282</v>
      </c>
      <c r="D488" t="str">
        <f>_xlfn.XLOOKUP(E488,pathways!$A$2:$A$31,pathways!$B$2:$B$31)</f>
        <v>Lipid metabolism</v>
      </c>
      <c r="E488" t="s">
        <v>3459</v>
      </c>
      <c r="F488" t="s">
        <v>5441</v>
      </c>
      <c r="G488" t="s">
        <v>14360</v>
      </c>
      <c r="H488" t="s">
        <v>14360</v>
      </c>
      <c r="I488" t="s">
        <v>6609</v>
      </c>
      <c r="J488" s="4" t="s">
        <v>6609</v>
      </c>
      <c r="L488" t="s">
        <v>1416</v>
      </c>
      <c r="M488" t="s">
        <v>14702</v>
      </c>
      <c r="N488" t="s">
        <v>3459</v>
      </c>
      <c r="O488" t="s">
        <v>3459</v>
      </c>
      <c r="P488" t="s">
        <v>5441</v>
      </c>
      <c r="Q488" t="s">
        <v>5441</v>
      </c>
      <c r="R488" t="s">
        <v>3459</v>
      </c>
      <c r="S488" t="s">
        <v>14360</v>
      </c>
    </row>
    <row r="489" spans="1:19" x14ac:dyDescent="0.2">
      <c r="A489" t="s">
        <v>1415</v>
      </c>
      <c r="B489" t="s">
        <v>14359</v>
      </c>
      <c r="C489" t="s">
        <v>19281</v>
      </c>
      <c r="D489" t="str">
        <f>_xlfn.XLOOKUP(E489,pathways!$A$2:$A$31,pathways!$B$2:$B$31)</f>
        <v>Lipid metabolism</v>
      </c>
      <c r="E489" t="s">
        <v>3459</v>
      </c>
      <c r="F489" t="s">
        <v>5441</v>
      </c>
      <c r="G489" t="s">
        <v>14360</v>
      </c>
      <c r="H489" t="s">
        <v>14360</v>
      </c>
      <c r="I489" t="s">
        <v>6615</v>
      </c>
      <c r="J489" s="4" t="s">
        <v>6615</v>
      </c>
      <c r="L489" t="s">
        <v>1414</v>
      </c>
      <c r="M489" t="s">
        <v>14700</v>
      </c>
      <c r="N489" t="s">
        <v>3459</v>
      </c>
      <c r="O489" t="s">
        <v>3459</v>
      </c>
      <c r="P489" t="s">
        <v>5441</v>
      </c>
      <c r="Q489" t="s">
        <v>5441</v>
      </c>
      <c r="R489" t="s">
        <v>3459</v>
      </c>
      <c r="S489" t="s">
        <v>5632</v>
      </c>
    </row>
    <row r="490" spans="1:19" x14ac:dyDescent="0.2">
      <c r="A490" t="s">
        <v>1686</v>
      </c>
      <c r="B490" t="s">
        <v>14359</v>
      </c>
      <c r="C490" t="s">
        <v>19369</v>
      </c>
      <c r="D490" t="str">
        <f>_xlfn.XLOOKUP(E490,pathways!$A$2:$A$31,pathways!$B$2:$B$31)</f>
        <v>Lipid metabolism</v>
      </c>
      <c r="E490" t="s">
        <v>3459</v>
      </c>
      <c r="F490" t="s">
        <v>5441</v>
      </c>
      <c r="G490" t="s">
        <v>19369</v>
      </c>
      <c r="H490" t="s">
        <v>14360</v>
      </c>
      <c r="I490" t="s">
        <v>7994</v>
      </c>
      <c r="J490" s="4" t="s">
        <v>7994</v>
      </c>
      <c r="L490" t="s">
        <v>1685</v>
      </c>
      <c r="M490" t="s">
        <v>14977</v>
      </c>
      <c r="N490" t="s">
        <v>3459</v>
      </c>
      <c r="O490" t="s">
        <v>3459</v>
      </c>
      <c r="P490" t="s">
        <v>5441</v>
      </c>
      <c r="Q490" t="s">
        <v>5441</v>
      </c>
      <c r="R490" t="s">
        <v>3459</v>
      </c>
      <c r="S490" t="s">
        <v>14360</v>
      </c>
    </row>
    <row r="491" spans="1:19" x14ac:dyDescent="0.2">
      <c r="A491" t="s">
        <v>1533</v>
      </c>
      <c r="B491" t="s">
        <v>14359</v>
      </c>
      <c r="C491" t="s">
        <v>7160</v>
      </c>
      <c r="D491" t="str">
        <f>_xlfn.XLOOKUP(E491,pathways!$A$2:$A$31,pathways!$B$2:$B$31)</f>
        <v>Lipid metabolism</v>
      </c>
      <c r="E491" t="s">
        <v>3459</v>
      </c>
      <c r="F491" t="s">
        <v>7151</v>
      </c>
      <c r="G491" t="s">
        <v>7160</v>
      </c>
      <c r="H491" t="s">
        <v>14360</v>
      </c>
      <c r="I491" t="s">
        <v>7160</v>
      </c>
      <c r="J491" s="4" t="s">
        <v>7160</v>
      </c>
      <c r="L491" t="s">
        <v>1532</v>
      </c>
      <c r="M491" t="s">
        <v>14820</v>
      </c>
      <c r="N491" t="s">
        <v>3459</v>
      </c>
      <c r="O491" t="s">
        <v>3459</v>
      </c>
      <c r="P491" t="s">
        <v>7151</v>
      </c>
      <c r="Q491" t="s">
        <v>7151</v>
      </c>
      <c r="R491" t="s">
        <v>3459</v>
      </c>
      <c r="S491" t="s">
        <v>14360</v>
      </c>
    </row>
    <row r="492" spans="1:19" x14ac:dyDescent="0.2">
      <c r="A492" t="s">
        <v>1612</v>
      </c>
      <c r="B492" t="s">
        <v>14359</v>
      </c>
      <c r="C492" t="s">
        <v>7436</v>
      </c>
      <c r="D492" t="str">
        <f>_xlfn.XLOOKUP(E492,pathways!$A$2:$A$31,pathways!$B$2:$B$31)</f>
        <v>Lipid metabolism</v>
      </c>
      <c r="E492" t="s">
        <v>3459</v>
      </c>
      <c r="F492" t="s">
        <v>3460</v>
      </c>
      <c r="G492" t="s">
        <v>14360</v>
      </c>
      <c r="H492" t="s">
        <v>14360</v>
      </c>
      <c r="I492" t="s">
        <v>7436</v>
      </c>
      <c r="J492" s="4" t="s">
        <v>14360</v>
      </c>
      <c r="L492" t="s">
        <v>1611</v>
      </c>
      <c r="M492" t="s">
        <v>14899</v>
      </c>
      <c r="N492" t="s">
        <v>3459</v>
      </c>
      <c r="O492" t="s">
        <v>14360</v>
      </c>
      <c r="P492" t="s">
        <v>3460</v>
      </c>
      <c r="Q492" t="s">
        <v>14360</v>
      </c>
      <c r="R492" t="s">
        <v>3459</v>
      </c>
      <c r="S492" t="s">
        <v>3470</v>
      </c>
    </row>
    <row r="493" spans="1:19" x14ac:dyDescent="0.2">
      <c r="A493" t="s">
        <v>1598</v>
      </c>
      <c r="B493" t="s">
        <v>14359</v>
      </c>
      <c r="C493" t="s">
        <v>19338</v>
      </c>
      <c r="D493" t="str">
        <f>_xlfn.XLOOKUP(E493,pathways!$A$2:$A$31,pathways!$B$2:$B$31)</f>
        <v>Lipid metabolism</v>
      </c>
      <c r="E493" t="s">
        <v>3459</v>
      </c>
      <c r="F493" t="s">
        <v>3460</v>
      </c>
      <c r="G493" t="s">
        <v>14360</v>
      </c>
      <c r="H493" t="s">
        <v>14360</v>
      </c>
      <c r="I493" t="s">
        <v>7401</v>
      </c>
      <c r="J493" s="4" t="s">
        <v>14360</v>
      </c>
      <c r="L493" t="s">
        <v>1597</v>
      </c>
      <c r="M493" t="s">
        <v>14885</v>
      </c>
      <c r="N493" t="s">
        <v>3459</v>
      </c>
      <c r="O493" t="s">
        <v>14360</v>
      </c>
      <c r="P493" t="s">
        <v>3460</v>
      </c>
      <c r="Q493" t="s">
        <v>14360</v>
      </c>
      <c r="R493" t="s">
        <v>3459</v>
      </c>
      <c r="S493" t="s">
        <v>14360</v>
      </c>
    </row>
    <row r="494" spans="1:19" x14ac:dyDescent="0.2">
      <c r="A494" t="s">
        <v>14006</v>
      </c>
      <c r="B494" t="s">
        <v>14359</v>
      </c>
      <c r="C494" t="s">
        <v>19551</v>
      </c>
      <c r="D494" t="str">
        <f>_xlfn.XLOOKUP(E494,pathways!$A$2:$A$31,pathways!$B$2:$B$31)</f>
        <v>Lipid metabolism</v>
      </c>
      <c r="E494" t="s">
        <v>3459</v>
      </c>
      <c r="F494" t="s">
        <v>3873</v>
      </c>
      <c r="G494" t="s">
        <v>14360</v>
      </c>
      <c r="H494" t="s">
        <v>14360</v>
      </c>
      <c r="I494" t="s">
        <v>9629</v>
      </c>
      <c r="J494" s="4" t="s">
        <v>9629</v>
      </c>
      <c r="L494" t="s">
        <v>2149</v>
      </c>
      <c r="M494" t="s">
        <v>15443</v>
      </c>
      <c r="N494" t="s">
        <v>3459</v>
      </c>
      <c r="O494" t="s">
        <v>3459</v>
      </c>
      <c r="P494" t="s">
        <v>3873</v>
      </c>
      <c r="Q494" t="s">
        <v>3873</v>
      </c>
      <c r="R494" t="s">
        <v>3459</v>
      </c>
      <c r="S494" t="s">
        <v>3586</v>
      </c>
    </row>
    <row r="495" spans="1:19" x14ac:dyDescent="0.2">
      <c r="A495" t="s">
        <v>1269</v>
      </c>
      <c r="B495" t="s">
        <v>14359</v>
      </c>
      <c r="C495" t="s">
        <v>19234</v>
      </c>
      <c r="D495" t="str">
        <f>_xlfn.XLOOKUP(E495,pathways!$A$2:$A$31,pathways!$B$2:$B$31)</f>
        <v>Lipid metabolism</v>
      </c>
      <c r="E495" t="s">
        <v>3459</v>
      </c>
      <c r="F495" t="s">
        <v>3873</v>
      </c>
      <c r="G495" t="s">
        <v>14360</v>
      </c>
      <c r="H495" t="s">
        <v>14360</v>
      </c>
      <c r="I495" t="s">
        <v>5921</v>
      </c>
      <c r="J495" s="4" t="s">
        <v>5921</v>
      </c>
      <c r="L495" t="s">
        <v>1268</v>
      </c>
      <c r="M495" t="s">
        <v>14546</v>
      </c>
      <c r="N495" t="s">
        <v>3459</v>
      </c>
      <c r="O495" t="s">
        <v>3459</v>
      </c>
      <c r="P495" t="s">
        <v>3873</v>
      </c>
      <c r="Q495" t="s">
        <v>3873</v>
      </c>
      <c r="R495" t="s">
        <v>3459</v>
      </c>
      <c r="S495" t="s">
        <v>3437</v>
      </c>
    </row>
    <row r="496" spans="1:19" x14ac:dyDescent="0.2">
      <c r="A496" t="s">
        <v>14076</v>
      </c>
      <c r="B496" t="s">
        <v>14359</v>
      </c>
      <c r="C496" t="s">
        <v>10094</v>
      </c>
      <c r="D496" t="str">
        <f>_xlfn.XLOOKUP(E496,pathways!$A$2:$A$31,pathways!$B$2:$B$31)</f>
        <v>Lipid metabolism</v>
      </c>
      <c r="E496" t="s">
        <v>3459</v>
      </c>
      <c r="F496" t="s">
        <v>6535</v>
      </c>
      <c r="G496" t="s">
        <v>14360</v>
      </c>
      <c r="H496" t="s">
        <v>14360</v>
      </c>
      <c r="I496" t="s">
        <v>10094</v>
      </c>
      <c r="J496" s="4" t="s">
        <v>14360</v>
      </c>
      <c r="L496" t="s">
        <v>14360</v>
      </c>
      <c r="M496" t="s">
        <v>14360</v>
      </c>
      <c r="N496" t="s">
        <v>3459</v>
      </c>
      <c r="O496" t="s">
        <v>14360</v>
      </c>
      <c r="P496" t="s">
        <v>6535</v>
      </c>
      <c r="Q496" t="s">
        <v>14360</v>
      </c>
      <c r="R496" t="s">
        <v>14360</v>
      </c>
      <c r="S496" t="s">
        <v>14360</v>
      </c>
    </row>
    <row r="497" spans="1:19" x14ac:dyDescent="0.2">
      <c r="A497" t="s">
        <v>2377</v>
      </c>
      <c r="B497" t="s">
        <v>14359</v>
      </c>
      <c r="C497" t="s">
        <v>3510</v>
      </c>
      <c r="D497" t="str">
        <f>_xlfn.XLOOKUP(E497,pathways!$A$2:$A$31,pathways!$B$2:$B$31)</f>
        <v>Lipid metabolism</v>
      </c>
      <c r="E497" t="s">
        <v>3459</v>
      </c>
      <c r="F497" t="s">
        <v>3507</v>
      </c>
      <c r="G497" t="s">
        <v>3510</v>
      </c>
      <c r="H497" t="s">
        <v>14360</v>
      </c>
      <c r="I497" t="s">
        <v>3510</v>
      </c>
      <c r="J497" s="4" t="s">
        <v>3510</v>
      </c>
      <c r="L497" t="s">
        <v>2376</v>
      </c>
      <c r="M497" t="s">
        <v>15675</v>
      </c>
      <c r="N497" t="s">
        <v>3459</v>
      </c>
      <c r="O497" t="s">
        <v>3459</v>
      </c>
      <c r="P497" t="s">
        <v>3507</v>
      </c>
      <c r="Q497" t="s">
        <v>3507</v>
      </c>
      <c r="R497" t="s">
        <v>3459</v>
      </c>
      <c r="S497" t="s">
        <v>3705</v>
      </c>
    </row>
    <row r="498" spans="1:19" x14ac:dyDescent="0.2">
      <c r="A498" t="s">
        <v>13936</v>
      </c>
      <c r="B498" t="s">
        <v>14359</v>
      </c>
      <c r="C498" t="s">
        <v>11587</v>
      </c>
      <c r="D498" t="str">
        <f>_xlfn.XLOOKUP(E498,pathways!$A$2:$A$31,pathways!$B$2:$B$31)</f>
        <v>Lipid metabolism</v>
      </c>
      <c r="E498" t="s">
        <v>3459</v>
      </c>
      <c r="F498" t="s">
        <v>3873</v>
      </c>
      <c r="G498" t="s">
        <v>14360</v>
      </c>
      <c r="H498" t="s">
        <v>14360</v>
      </c>
      <c r="I498" t="s">
        <v>8203</v>
      </c>
      <c r="J498" s="4" t="s">
        <v>11587</v>
      </c>
      <c r="L498" t="s">
        <v>14360</v>
      </c>
      <c r="M498" t="s">
        <v>14360</v>
      </c>
      <c r="N498" t="s">
        <v>3459</v>
      </c>
      <c r="O498" t="s">
        <v>3459</v>
      </c>
      <c r="P498" t="s">
        <v>3873</v>
      </c>
      <c r="Q498" t="s">
        <v>3873</v>
      </c>
      <c r="R498" t="s">
        <v>14360</v>
      </c>
      <c r="S498" t="s">
        <v>3793</v>
      </c>
    </row>
    <row r="499" spans="1:19" x14ac:dyDescent="0.2">
      <c r="A499" t="s">
        <v>13756</v>
      </c>
      <c r="B499" t="s">
        <v>14359</v>
      </c>
      <c r="C499" t="s">
        <v>10</v>
      </c>
      <c r="D499" t="str">
        <f>_xlfn.XLOOKUP(E499,pathways!$A$2:$A$31,pathways!$B$2:$B$31)</f>
        <v>Lipid metabolism</v>
      </c>
      <c r="E499" t="s">
        <v>3459</v>
      </c>
      <c r="F499" t="s">
        <v>3740</v>
      </c>
      <c r="G499" t="s">
        <v>14360</v>
      </c>
      <c r="H499" t="s">
        <v>14360</v>
      </c>
      <c r="I499" t="s">
        <v>3743</v>
      </c>
      <c r="J499" s="4" t="s">
        <v>3743</v>
      </c>
      <c r="L499" t="s">
        <v>11</v>
      </c>
      <c r="M499" t="s">
        <v>15813</v>
      </c>
      <c r="N499" t="s">
        <v>3459</v>
      </c>
      <c r="O499" t="s">
        <v>3459</v>
      </c>
      <c r="P499" t="s">
        <v>3740</v>
      </c>
      <c r="Q499" t="s">
        <v>3740</v>
      </c>
      <c r="R499" t="s">
        <v>3459</v>
      </c>
      <c r="S499" t="s">
        <v>3534</v>
      </c>
    </row>
    <row r="500" spans="1:19" x14ac:dyDescent="0.2">
      <c r="A500" t="s">
        <v>14011</v>
      </c>
      <c r="B500" t="s">
        <v>14359</v>
      </c>
      <c r="C500" t="s">
        <v>19553</v>
      </c>
      <c r="D500" t="str">
        <f>_xlfn.XLOOKUP(E500,pathways!$A$2:$A$31,pathways!$B$2:$B$31)</f>
        <v>Lipid metabolism</v>
      </c>
      <c r="E500" t="s">
        <v>3459</v>
      </c>
      <c r="F500" t="s">
        <v>4991</v>
      </c>
      <c r="G500" t="s">
        <v>14360</v>
      </c>
      <c r="H500" t="s">
        <v>14360</v>
      </c>
      <c r="I500" t="s">
        <v>9665</v>
      </c>
      <c r="J500" s="4" t="s">
        <v>9665</v>
      </c>
      <c r="L500" t="s">
        <v>2152</v>
      </c>
      <c r="M500" t="s">
        <v>15447</v>
      </c>
      <c r="N500" t="s">
        <v>3459</v>
      </c>
      <c r="O500" t="s">
        <v>3459</v>
      </c>
      <c r="P500" t="s">
        <v>4991</v>
      </c>
      <c r="Q500" t="s">
        <v>11593</v>
      </c>
      <c r="R500" t="s">
        <v>3459</v>
      </c>
      <c r="S500" t="s">
        <v>14360</v>
      </c>
    </row>
    <row r="501" spans="1:19" x14ac:dyDescent="0.2">
      <c r="A501" t="s">
        <v>1232</v>
      </c>
      <c r="B501" t="s">
        <v>14359</v>
      </c>
      <c r="C501" t="s">
        <v>5688</v>
      </c>
      <c r="D501" t="str">
        <f>_xlfn.XLOOKUP(E501,pathways!$A$2:$A$31,pathways!$B$2:$B$31)</f>
        <v>Lipid metabolism</v>
      </c>
      <c r="E501" t="s">
        <v>3459</v>
      </c>
      <c r="F501" t="s">
        <v>4869</v>
      </c>
      <c r="G501" t="s">
        <v>14360</v>
      </c>
      <c r="H501" t="s">
        <v>14360</v>
      </c>
      <c r="I501" t="s">
        <v>5688</v>
      </c>
      <c r="J501" s="4" t="s">
        <v>5688</v>
      </c>
      <c r="L501" t="s">
        <v>1231</v>
      </c>
      <c r="M501" t="s">
        <v>14508</v>
      </c>
      <c r="N501" t="s">
        <v>3459</v>
      </c>
      <c r="O501" t="s">
        <v>3459</v>
      </c>
      <c r="P501" t="s">
        <v>4869</v>
      </c>
      <c r="Q501" t="s">
        <v>4869</v>
      </c>
      <c r="R501" t="s">
        <v>3459</v>
      </c>
      <c r="S501" t="s">
        <v>3705</v>
      </c>
    </row>
    <row r="502" spans="1:19" x14ac:dyDescent="0.2">
      <c r="A502" t="s">
        <v>2287</v>
      </c>
      <c r="B502" t="s">
        <v>14359</v>
      </c>
      <c r="C502" t="s">
        <v>10097</v>
      </c>
      <c r="D502" t="str">
        <f>_xlfn.XLOOKUP(E502,pathways!$A$2:$A$31,pathways!$B$2:$B$31)</f>
        <v>Lipid metabolism</v>
      </c>
      <c r="E502" t="s">
        <v>3459</v>
      </c>
      <c r="F502" t="s">
        <v>7998</v>
      </c>
      <c r="G502" t="s">
        <v>20436</v>
      </c>
      <c r="H502" t="s">
        <v>14360</v>
      </c>
      <c r="I502" t="s">
        <v>10097</v>
      </c>
      <c r="J502" s="4" t="s">
        <v>14360</v>
      </c>
      <c r="L502" t="s">
        <v>2286</v>
      </c>
      <c r="M502" t="s">
        <v>15584</v>
      </c>
      <c r="N502" t="s">
        <v>3459</v>
      </c>
      <c r="O502" t="s">
        <v>14360</v>
      </c>
      <c r="P502" t="s">
        <v>7998</v>
      </c>
      <c r="Q502" t="s">
        <v>14360</v>
      </c>
      <c r="R502" t="s">
        <v>3459</v>
      </c>
      <c r="S502" t="s">
        <v>5559</v>
      </c>
    </row>
    <row r="503" spans="1:19" x14ac:dyDescent="0.2">
      <c r="A503" t="s">
        <v>1380</v>
      </c>
      <c r="B503" t="s">
        <v>14359</v>
      </c>
      <c r="C503" t="s">
        <v>19268</v>
      </c>
      <c r="D503" t="str">
        <f>_xlfn.XLOOKUP(E503,pathways!$A$2:$A$31,pathways!$B$2:$B$31)</f>
        <v>Lipid metabolism</v>
      </c>
      <c r="E503" t="s">
        <v>3459</v>
      </c>
      <c r="F503" t="s">
        <v>3873</v>
      </c>
      <c r="G503" t="s">
        <v>14360</v>
      </c>
      <c r="H503" t="s">
        <v>14360</v>
      </c>
      <c r="I503" t="s">
        <v>6491</v>
      </c>
      <c r="J503" s="4" t="s">
        <v>14360</v>
      </c>
      <c r="L503" t="s">
        <v>1379</v>
      </c>
      <c r="M503" t="s">
        <v>14660</v>
      </c>
      <c r="N503" t="s">
        <v>3459</v>
      </c>
      <c r="O503" t="s">
        <v>14360</v>
      </c>
      <c r="P503" t="s">
        <v>3873</v>
      </c>
      <c r="Q503" t="s">
        <v>14360</v>
      </c>
      <c r="R503" t="s">
        <v>3459</v>
      </c>
      <c r="S503" t="s">
        <v>14360</v>
      </c>
    </row>
    <row r="504" spans="1:19" x14ac:dyDescent="0.2">
      <c r="A504" t="s">
        <v>1845</v>
      </c>
      <c r="B504" t="s">
        <v>14359</v>
      </c>
      <c r="C504" t="s">
        <v>8636</v>
      </c>
      <c r="D504" t="str">
        <f>_xlfn.XLOOKUP(E504,pathways!$A$2:$A$31,pathways!$B$2:$B$31)</f>
        <v>Lipid metabolism</v>
      </c>
      <c r="E504" t="s">
        <v>3459</v>
      </c>
      <c r="F504" t="s">
        <v>4869</v>
      </c>
      <c r="G504" t="s">
        <v>14360</v>
      </c>
      <c r="H504" t="s">
        <v>14360</v>
      </c>
      <c r="I504" t="s">
        <v>8636</v>
      </c>
      <c r="J504" s="4" t="s">
        <v>8636</v>
      </c>
      <c r="L504" t="s">
        <v>1844</v>
      </c>
      <c r="M504" t="s">
        <v>15146</v>
      </c>
      <c r="N504" t="s">
        <v>3459</v>
      </c>
      <c r="O504" t="s">
        <v>3459</v>
      </c>
      <c r="P504" t="s">
        <v>4869</v>
      </c>
      <c r="Q504" t="s">
        <v>4869</v>
      </c>
      <c r="R504" t="s">
        <v>3459</v>
      </c>
      <c r="S504" t="s">
        <v>5559</v>
      </c>
    </row>
    <row r="505" spans="1:19" x14ac:dyDescent="0.2">
      <c r="A505" t="s">
        <v>2253</v>
      </c>
      <c r="B505" t="s">
        <v>14359</v>
      </c>
      <c r="C505" t="s">
        <v>9902</v>
      </c>
      <c r="D505" t="str">
        <f>_xlfn.XLOOKUP(E505,pathways!$A$2:$A$31,pathways!$B$2:$B$31)</f>
        <v>Lipid metabolism</v>
      </c>
      <c r="E505" t="s">
        <v>3459</v>
      </c>
      <c r="F505" t="s">
        <v>7998</v>
      </c>
      <c r="G505" t="s">
        <v>14360</v>
      </c>
      <c r="H505" t="s">
        <v>14360</v>
      </c>
      <c r="I505" t="s">
        <v>9902</v>
      </c>
      <c r="J505" s="4" t="s">
        <v>14360</v>
      </c>
      <c r="L505" t="s">
        <v>2252</v>
      </c>
      <c r="M505" t="s">
        <v>15550</v>
      </c>
      <c r="N505" t="s">
        <v>3459</v>
      </c>
      <c r="O505" t="s">
        <v>14360</v>
      </c>
      <c r="P505" t="s">
        <v>7998</v>
      </c>
      <c r="Q505" t="s">
        <v>14360</v>
      </c>
      <c r="R505" t="s">
        <v>3459</v>
      </c>
      <c r="S505" t="s">
        <v>5559</v>
      </c>
    </row>
    <row r="506" spans="1:19" x14ac:dyDescent="0.2">
      <c r="A506" t="s">
        <v>1246</v>
      </c>
      <c r="B506" t="s">
        <v>14359</v>
      </c>
      <c r="C506" t="s">
        <v>5853</v>
      </c>
      <c r="D506" t="str">
        <f>_xlfn.XLOOKUP(E506,pathways!$A$2:$A$31,pathways!$B$2:$B$31)</f>
        <v>Lipid metabolism</v>
      </c>
      <c r="E506" t="s">
        <v>3459</v>
      </c>
      <c r="F506" t="s">
        <v>4869</v>
      </c>
      <c r="G506" t="s">
        <v>14360</v>
      </c>
      <c r="H506" t="s">
        <v>14360</v>
      </c>
      <c r="I506" t="s">
        <v>5853</v>
      </c>
      <c r="J506" s="4" t="s">
        <v>5853</v>
      </c>
      <c r="L506" t="s">
        <v>1245</v>
      </c>
      <c r="M506" t="s">
        <v>14522</v>
      </c>
      <c r="N506" t="s">
        <v>3459</v>
      </c>
      <c r="O506" t="s">
        <v>3459</v>
      </c>
      <c r="P506" t="s">
        <v>4869</v>
      </c>
      <c r="Q506" t="s">
        <v>4869</v>
      </c>
      <c r="R506" t="s">
        <v>3459</v>
      </c>
      <c r="S506" t="s">
        <v>5559</v>
      </c>
    </row>
    <row r="507" spans="1:19" x14ac:dyDescent="0.2">
      <c r="A507" t="s">
        <v>1196</v>
      </c>
      <c r="B507" t="s">
        <v>14359</v>
      </c>
      <c r="C507" t="s">
        <v>5627</v>
      </c>
      <c r="D507" t="str">
        <f>_xlfn.XLOOKUP(E507,pathways!$A$2:$A$31,pathways!$B$2:$B$31)</f>
        <v>Lipid metabolism</v>
      </c>
      <c r="E507" t="s">
        <v>3459</v>
      </c>
      <c r="F507" t="s">
        <v>4869</v>
      </c>
      <c r="G507" t="s">
        <v>14360</v>
      </c>
      <c r="H507" t="s">
        <v>14360</v>
      </c>
      <c r="I507" t="s">
        <v>5627</v>
      </c>
      <c r="J507" s="4" t="s">
        <v>14360</v>
      </c>
      <c r="L507" t="s">
        <v>1195</v>
      </c>
      <c r="M507" t="s">
        <v>14470</v>
      </c>
      <c r="N507" t="s">
        <v>3459</v>
      </c>
      <c r="O507" t="s">
        <v>14360</v>
      </c>
      <c r="P507" t="s">
        <v>4869</v>
      </c>
      <c r="Q507" t="s">
        <v>14360</v>
      </c>
      <c r="R507" t="s">
        <v>3459</v>
      </c>
      <c r="S507" t="s">
        <v>5559</v>
      </c>
    </row>
    <row r="508" spans="1:19" x14ac:dyDescent="0.2">
      <c r="A508" t="s">
        <v>1207</v>
      </c>
      <c r="B508" t="s">
        <v>14359</v>
      </c>
      <c r="C508" t="s">
        <v>5512</v>
      </c>
      <c r="D508" t="str">
        <f>_xlfn.XLOOKUP(E508,pathways!$A$2:$A$31,pathways!$B$2:$B$31)</f>
        <v>Lipid metabolism</v>
      </c>
      <c r="E508" t="s">
        <v>3459</v>
      </c>
      <c r="F508" t="s">
        <v>4869</v>
      </c>
      <c r="G508" t="s">
        <v>14360</v>
      </c>
      <c r="H508" t="s">
        <v>14360</v>
      </c>
      <c r="I508" t="s">
        <v>5512</v>
      </c>
      <c r="J508" s="4" t="s">
        <v>5512</v>
      </c>
      <c r="L508" t="s">
        <v>1206</v>
      </c>
      <c r="M508" t="s">
        <v>14482</v>
      </c>
      <c r="N508" t="s">
        <v>3459</v>
      </c>
      <c r="O508" t="s">
        <v>3459</v>
      </c>
      <c r="P508" t="s">
        <v>4869</v>
      </c>
      <c r="Q508" t="s">
        <v>4869</v>
      </c>
      <c r="R508" t="s">
        <v>3459</v>
      </c>
      <c r="S508" t="s">
        <v>5559</v>
      </c>
    </row>
    <row r="509" spans="1:19" x14ac:dyDescent="0.2">
      <c r="A509" t="s">
        <v>14103</v>
      </c>
      <c r="B509" t="s">
        <v>14359</v>
      </c>
      <c r="C509" t="s">
        <v>10231</v>
      </c>
      <c r="D509" t="str">
        <f>_xlfn.XLOOKUP(E509,pathways!$A$2:$A$31,pathways!$B$2:$B$31)</f>
        <v>Lipid metabolism</v>
      </c>
      <c r="E509" t="s">
        <v>3459</v>
      </c>
      <c r="F509" t="s">
        <v>7998</v>
      </c>
      <c r="G509" t="s">
        <v>14360</v>
      </c>
      <c r="H509" t="s">
        <v>14360</v>
      </c>
      <c r="I509" t="s">
        <v>10231</v>
      </c>
      <c r="J509" s="4" t="s">
        <v>14360</v>
      </c>
      <c r="L509" t="s">
        <v>2327</v>
      </c>
      <c r="M509" t="s">
        <v>15628</v>
      </c>
      <c r="N509" t="s">
        <v>3459</v>
      </c>
      <c r="O509" t="s">
        <v>14360</v>
      </c>
      <c r="P509" t="s">
        <v>7998</v>
      </c>
      <c r="Q509" t="s">
        <v>14360</v>
      </c>
      <c r="R509" t="s">
        <v>3459</v>
      </c>
      <c r="S509" t="s">
        <v>5559</v>
      </c>
    </row>
    <row r="510" spans="1:19" x14ac:dyDescent="0.2">
      <c r="A510" t="s">
        <v>2337</v>
      </c>
      <c r="B510" t="s">
        <v>14359</v>
      </c>
      <c r="C510" t="s">
        <v>10232</v>
      </c>
      <c r="D510" t="str">
        <f>_xlfn.XLOOKUP(E510,pathways!$A$2:$A$31,pathways!$B$2:$B$31)</f>
        <v>Lipid metabolism</v>
      </c>
      <c r="E510" t="s">
        <v>3459</v>
      </c>
      <c r="F510" t="s">
        <v>7998</v>
      </c>
      <c r="G510" t="s">
        <v>14360</v>
      </c>
      <c r="H510" t="s">
        <v>14360</v>
      </c>
      <c r="I510" t="s">
        <v>10232</v>
      </c>
      <c r="J510" s="4" t="s">
        <v>14360</v>
      </c>
      <c r="L510" t="s">
        <v>2336</v>
      </c>
      <c r="M510" t="s">
        <v>15636</v>
      </c>
      <c r="N510" t="s">
        <v>3459</v>
      </c>
      <c r="O510" t="s">
        <v>14360</v>
      </c>
      <c r="P510" t="s">
        <v>7998</v>
      </c>
      <c r="Q510" t="s">
        <v>14360</v>
      </c>
      <c r="R510" t="s">
        <v>3459</v>
      </c>
      <c r="S510" t="s">
        <v>14360</v>
      </c>
    </row>
    <row r="511" spans="1:19" x14ac:dyDescent="0.2">
      <c r="A511" t="s">
        <v>14216</v>
      </c>
      <c r="B511" t="s">
        <v>14359</v>
      </c>
      <c r="C511" t="s">
        <v>11611</v>
      </c>
      <c r="D511" t="str">
        <f>_xlfn.XLOOKUP(E511,pathways!$A$2:$A$31,pathways!$B$2:$B$31)</f>
        <v>Lipid metabolism</v>
      </c>
      <c r="E511" t="s">
        <v>3459</v>
      </c>
      <c r="F511" t="s">
        <v>4869</v>
      </c>
      <c r="G511" t="s">
        <v>14360</v>
      </c>
      <c r="H511" t="s">
        <v>14360</v>
      </c>
      <c r="I511" t="s">
        <v>14360</v>
      </c>
      <c r="J511" s="4" t="s">
        <v>11611</v>
      </c>
      <c r="L511" t="s">
        <v>14360</v>
      </c>
      <c r="M511" t="s">
        <v>14360</v>
      </c>
      <c r="N511" t="s">
        <v>14360</v>
      </c>
      <c r="O511" t="s">
        <v>3459</v>
      </c>
      <c r="P511" t="s">
        <v>14360</v>
      </c>
      <c r="Q511" t="s">
        <v>4869</v>
      </c>
      <c r="R511" t="s">
        <v>14360</v>
      </c>
      <c r="S511" t="s">
        <v>7133</v>
      </c>
    </row>
    <row r="512" spans="1:19" x14ac:dyDescent="0.2">
      <c r="A512" t="s">
        <v>2124</v>
      </c>
      <c r="B512" t="s">
        <v>14359</v>
      </c>
      <c r="C512" t="s">
        <v>9579</v>
      </c>
      <c r="D512" t="str">
        <f>_xlfn.XLOOKUP(E512,pathways!$A$2:$A$31,pathways!$B$2:$B$31)</f>
        <v>Lipid metabolism</v>
      </c>
      <c r="E512" t="s">
        <v>3459</v>
      </c>
      <c r="F512" t="s">
        <v>7998</v>
      </c>
      <c r="G512" t="s">
        <v>14360</v>
      </c>
      <c r="H512" t="s">
        <v>14360</v>
      </c>
      <c r="I512" t="s">
        <v>9579</v>
      </c>
      <c r="J512" s="4" t="s">
        <v>14360</v>
      </c>
      <c r="L512" t="s">
        <v>2123</v>
      </c>
      <c r="M512" t="s">
        <v>15419</v>
      </c>
      <c r="N512" t="s">
        <v>3459</v>
      </c>
      <c r="O512" t="s">
        <v>14360</v>
      </c>
      <c r="P512" t="s">
        <v>7998</v>
      </c>
      <c r="Q512" t="s">
        <v>14360</v>
      </c>
      <c r="R512" t="s">
        <v>3459</v>
      </c>
      <c r="S512" t="s">
        <v>7133</v>
      </c>
    </row>
    <row r="513" spans="1:19" x14ac:dyDescent="0.2">
      <c r="A513" t="s">
        <v>1254</v>
      </c>
      <c r="B513" t="s">
        <v>14359</v>
      </c>
      <c r="C513" t="s">
        <v>11613</v>
      </c>
      <c r="D513" t="str">
        <f>_xlfn.XLOOKUP(E513,pathways!$A$2:$A$31,pathways!$B$2:$B$31)</f>
        <v>Lipid metabolism</v>
      </c>
      <c r="E513" t="s">
        <v>3459</v>
      </c>
      <c r="F513" t="s">
        <v>4869</v>
      </c>
      <c r="G513" t="s">
        <v>14360</v>
      </c>
      <c r="H513" t="s">
        <v>14360</v>
      </c>
      <c r="I513" t="s">
        <v>14360</v>
      </c>
      <c r="J513" s="4" t="s">
        <v>11613</v>
      </c>
      <c r="L513" t="s">
        <v>1253</v>
      </c>
      <c r="M513" t="s">
        <v>14530</v>
      </c>
      <c r="N513" t="s">
        <v>14360</v>
      </c>
      <c r="O513" t="s">
        <v>3459</v>
      </c>
      <c r="P513" t="s">
        <v>14360</v>
      </c>
      <c r="Q513" t="s">
        <v>4869</v>
      </c>
      <c r="R513" t="s">
        <v>3459</v>
      </c>
      <c r="S513" t="s">
        <v>7133</v>
      </c>
    </row>
    <row r="514" spans="1:19" x14ac:dyDescent="0.2">
      <c r="A514" t="s">
        <v>1495</v>
      </c>
      <c r="B514" t="s">
        <v>14359</v>
      </c>
      <c r="C514" t="s">
        <v>6940</v>
      </c>
      <c r="D514" t="str">
        <f>_xlfn.XLOOKUP(E514,pathways!$A$2:$A$31,pathways!$B$2:$B$31)</f>
        <v>Lipid metabolism</v>
      </c>
      <c r="E514" t="s">
        <v>3459</v>
      </c>
      <c r="F514" t="s">
        <v>3873</v>
      </c>
      <c r="G514" t="s">
        <v>6940</v>
      </c>
      <c r="H514" t="s">
        <v>14360</v>
      </c>
      <c r="I514" t="s">
        <v>6940</v>
      </c>
      <c r="J514" s="4" t="s">
        <v>14360</v>
      </c>
      <c r="L514" t="s">
        <v>1494</v>
      </c>
      <c r="M514" t="s">
        <v>14780</v>
      </c>
      <c r="N514" t="s">
        <v>3459</v>
      </c>
      <c r="O514" t="s">
        <v>14360</v>
      </c>
      <c r="P514" t="s">
        <v>3873</v>
      </c>
      <c r="Q514" t="s">
        <v>14360</v>
      </c>
      <c r="R514" t="s">
        <v>3459</v>
      </c>
      <c r="S514" t="s">
        <v>7133</v>
      </c>
    </row>
    <row r="515" spans="1:19" x14ac:dyDescent="0.2">
      <c r="A515" t="s">
        <v>1469</v>
      </c>
      <c r="B515" t="s">
        <v>14359</v>
      </c>
      <c r="C515" t="s">
        <v>6869</v>
      </c>
      <c r="D515" t="str">
        <f>_xlfn.XLOOKUP(E515,pathways!$A$2:$A$31,pathways!$B$2:$B$31)</f>
        <v>Lipid metabolism</v>
      </c>
      <c r="E515" t="s">
        <v>3459</v>
      </c>
      <c r="F515" t="s">
        <v>3460</v>
      </c>
      <c r="G515" t="s">
        <v>14360</v>
      </c>
      <c r="H515" t="s">
        <v>14360</v>
      </c>
      <c r="I515" t="s">
        <v>6869</v>
      </c>
      <c r="J515" s="4" t="s">
        <v>14360</v>
      </c>
      <c r="L515" t="s">
        <v>1468</v>
      </c>
      <c r="M515" t="s">
        <v>14754</v>
      </c>
      <c r="N515" t="s">
        <v>3459</v>
      </c>
      <c r="O515" t="s">
        <v>14360</v>
      </c>
      <c r="P515" t="s">
        <v>3460</v>
      </c>
      <c r="Q515" t="s">
        <v>14360</v>
      </c>
      <c r="R515" t="s">
        <v>3459</v>
      </c>
      <c r="S515" t="s">
        <v>3470</v>
      </c>
    </row>
    <row r="516" spans="1:19" x14ac:dyDescent="0.2">
      <c r="A516" t="s">
        <v>13933</v>
      </c>
      <c r="B516" t="s">
        <v>14359</v>
      </c>
      <c r="C516" t="s">
        <v>18241</v>
      </c>
      <c r="D516" t="str">
        <f>_xlfn.XLOOKUP(E516,pathways!$A$2:$A$31,pathways!$B$2:$B$31)</f>
        <v>Lipid metabolism</v>
      </c>
      <c r="E516" t="s">
        <v>3459</v>
      </c>
      <c r="F516" t="s">
        <v>3819</v>
      </c>
      <c r="G516" t="s">
        <v>14360</v>
      </c>
      <c r="H516" t="s">
        <v>14360</v>
      </c>
      <c r="I516" t="s">
        <v>8128</v>
      </c>
      <c r="J516" s="4" t="s">
        <v>14360</v>
      </c>
      <c r="L516" t="s">
        <v>1695</v>
      </c>
      <c r="M516" t="s">
        <v>14987</v>
      </c>
      <c r="N516" t="s">
        <v>3459</v>
      </c>
      <c r="O516" t="s">
        <v>14360</v>
      </c>
      <c r="P516" t="s">
        <v>3819</v>
      </c>
      <c r="Q516" t="s">
        <v>14360</v>
      </c>
      <c r="R516" t="s">
        <v>3459</v>
      </c>
      <c r="S516" t="s">
        <v>5632</v>
      </c>
    </row>
    <row r="517" spans="1:19" x14ac:dyDescent="0.2">
      <c r="A517" t="s">
        <v>1849</v>
      </c>
      <c r="B517" t="s">
        <v>14359</v>
      </c>
      <c r="C517" t="s">
        <v>8649</v>
      </c>
      <c r="D517" t="str">
        <f>_xlfn.XLOOKUP(E517,pathways!$A$2:$A$31,pathways!$B$2:$B$31)</f>
        <v>Lipid metabolism</v>
      </c>
      <c r="E517" t="s">
        <v>3459</v>
      </c>
      <c r="F517" t="s">
        <v>3749</v>
      </c>
      <c r="G517" t="s">
        <v>14360</v>
      </c>
      <c r="H517" t="s">
        <v>14360</v>
      </c>
      <c r="I517" t="s">
        <v>8649</v>
      </c>
      <c r="J517" s="4" t="s">
        <v>8649</v>
      </c>
      <c r="L517" t="s">
        <v>1848</v>
      </c>
      <c r="M517" t="s">
        <v>15149</v>
      </c>
      <c r="N517" t="s">
        <v>3459</v>
      </c>
      <c r="O517" t="s">
        <v>3459</v>
      </c>
      <c r="P517" t="s">
        <v>3749</v>
      </c>
      <c r="Q517" t="s">
        <v>3749</v>
      </c>
      <c r="R517" t="s">
        <v>3459</v>
      </c>
      <c r="S517" t="s">
        <v>14360</v>
      </c>
    </row>
    <row r="518" spans="1:19" x14ac:dyDescent="0.2">
      <c r="A518" t="s">
        <v>13849</v>
      </c>
      <c r="B518" t="s">
        <v>14359</v>
      </c>
      <c r="C518" t="s">
        <v>6736</v>
      </c>
      <c r="D518" t="str">
        <f>_xlfn.XLOOKUP(E518,pathways!$A$2:$A$31,pathways!$B$2:$B$31)</f>
        <v>Lipid metabolism</v>
      </c>
      <c r="E518" t="s">
        <v>3459</v>
      </c>
      <c r="F518" t="s">
        <v>3749</v>
      </c>
      <c r="G518" t="s">
        <v>14360</v>
      </c>
      <c r="H518" t="s">
        <v>14360</v>
      </c>
      <c r="I518" t="s">
        <v>6736</v>
      </c>
      <c r="J518" s="4" t="s">
        <v>6736</v>
      </c>
      <c r="L518" t="s">
        <v>14360</v>
      </c>
      <c r="M518" t="s">
        <v>14360</v>
      </c>
      <c r="N518" t="s">
        <v>3459</v>
      </c>
      <c r="O518" t="s">
        <v>3459</v>
      </c>
      <c r="P518" t="s">
        <v>3749</v>
      </c>
      <c r="Q518" t="s">
        <v>3749</v>
      </c>
      <c r="R518" t="s">
        <v>14360</v>
      </c>
      <c r="S518" t="s">
        <v>3586</v>
      </c>
    </row>
    <row r="519" spans="1:19" x14ac:dyDescent="0.2">
      <c r="A519" t="s">
        <v>1575</v>
      </c>
      <c r="B519" t="s">
        <v>14359</v>
      </c>
      <c r="C519" t="s">
        <v>7372</v>
      </c>
      <c r="D519" t="str">
        <f>_xlfn.XLOOKUP(E519,pathways!$A$2:$A$31,pathways!$B$2:$B$31)</f>
        <v>Lipid metabolism</v>
      </c>
      <c r="E519" t="s">
        <v>3459</v>
      </c>
      <c r="F519" t="s">
        <v>3749</v>
      </c>
      <c r="G519" t="s">
        <v>14360</v>
      </c>
      <c r="H519" t="s">
        <v>14360</v>
      </c>
      <c r="I519" t="s">
        <v>7372</v>
      </c>
      <c r="J519" s="4" t="s">
        <v>7372</v>
      </c>
      <c r="L519" t="s">
        <v>1574</v>
      </c>
      <c r="M519" t="s">
        <v>14861</v>
      </c>
      <c r="N519" t="s">
        <v>3459</v>
      </c>
      <c r="O519" t="s">
        <v>3459</v>
      </c>
      <c r="P519" t="s">
        <v>3749</v>
      </c>
      <c r="Q519" t="s">
        <v>3749</v>
      </c>
      <c r="R519" t="s">
        <v>3459</v>
      </c>
      <c r="S519" t="s">
        <v>14360</v>
      </c>
    </row>
    <row r="520" spans="1:19" x14ac:dyDescent="0.2">
      <c r="A520" t="s">
        <v>2244</v>
      </c>
      <c r="B520" t="s">
        <v>14359</v>
      </c>
      <c r="C520" t="s">
        <v>9835</v>
      </c>
      <c r="D520" t="str">
        <f>_xlfn.XLOOKUP(E520,pathways!$A$2:$A$31,pathways!$B$2:$B$31)</f>
        <v>Lipid metabolism</v>
      </c>
      <c r="E520" t="s">
        <v>3459</v>
      </c>
      <c r="F520" t="s">
        <v>6878</v>
      </c>
      <c r="G520" t="s">
        <v>14360</v>
      </c>
      <c r="H520" t="s">
        <v>14360</v>
      </c>
      <c r="I520" t="s">
        <v>9835</v>
      </c>
      <c r="J520" s="4" t="s">
        <v>14360</v>
      </c>
      <c r="L520" t="s">
        <v>2243</v>
      </c>
      <c r="M520" t="s">
        <v>15540</v>
      </c>
      <c r="N520" t="s">
        <v>3459</v>
      </c>
      <c r="O520" t="s">
        <v>14360</v>
      </c>
      <c r="P520" t="s">
        <v>6878</v>
      </c>
      <c r="Q520" t="s">
        <v>14360</v>
      </c>
      <c r="R520" t="s">
        <v>3459</v>
      </c>
      <c r="S520" t="s">
        <v>14360</v>
      </c>
    </row>
    <row r="521" spans="1:19" x14ac:dyDescent="0.2">
      <c r="A521" t="s">
        <v>1290</v>
      </c>
      <c r="B521" t="s">
        <v>14359</v>
      </c>
      <c r="C521" t="s">
        <v>6000</v>
      </c>
      <c r="D521" t="str">
        <f>_xlfn.XLOOKUP(E521,pathways!$A$2:$A$31,pathways!$B$2:$B$31)</f>
        <v>Lipid metabolism</v>
      </c>
      <c r="E521" t="s">
        <v>3459</v>
      </c>
      <c r="F521" t="s">
        <v>3569</v>
      </c>
      <c r="G521" t="s">
        <v>14360</v>
      </c>
      <c r="H521" t="s">
        <v>14360</v>
      </c>
      <c r="I521" t="s">
        <v>6000</v>
      </c>
      <c r="J521" s="4" t="s">
        <v>6000</v>
      </c>
      <c r="L521" t="s">
        <v>1289</v>
      </c>
      <c r="M521" t="s">
        <v>14568</v>
      </c>
      <c r="N521" t="s">
        <v>3459</v>
      </c>
      <c r="O521" t="s">
        <v>3459</v>
      </c>
      <c r="P521" t="s">
        <v>3569</v>
      </c>
      <c r="Q521" t="s">
        <v>3569</v>
      </c>
      <c r="R521" t="s">
        <v>3459</v>
      </c>
      <c r="S521" t="s">
        <v>4656</v>
      </c>
    </row>
    <row r="522" spans="1:19" x14ac:dyDescent="0.2">
      <c r="A522" t="s">
        <v>2112</v>
      </c>
      <c r="B522" t="s">
        <v>14359</v>
      </c>
      <c r="C522" t="s">
        <v>9565</v>
      </c>
      <c r="D522" t="str">
        <f>_xlfn.XLOOKUP(E522,pathways!$A$2:$A$31,pathways!$B$2:$B$31)</f>
        <v>Lipid metabolism</v>
      </c>
      <c r="E522" t="s">
        <v>3459</v>
      </c>
      <c r="F522" t="s">
        <v>6535</v>
      </c>
      <c r="G522" t="s">
        <v>14360</v>
      </c>
      <c r="H522" t="s">
        <v>14360</v>
      </c>
      <c r="I522" t="s">
        <v>9565</v>
      </c>
      <c r="J522" s="4" t="s">
        <v>9565</v>
      </c>
      <c r="L522" t="s">
        <v>2111</v>
      </c>
      <c r="M522" t="s">
        <v>15405</v>
      </c>
      <c r="N522" t="s">
        <v>3459</v>
      </c>
      <c r="O522" t="s">
        <v>3459</v>
      </c>
      <c r="P522" t="s">
        <v>6535</v>
      </c>
      <c r="Q522" t="s">
        <v>11596</v>
      </c>
      <c r="R522" t="s">
        <v>3459</v>
      </c>
      <c r="S522" t="s">
        <v>4373</v>
      </c>
    </row>
    <row r="523" spans="1:19" x14ac:dyDescent="0.2">
      <c r="A523" t="s">
        <v>13872</v>
      </c>
      <c r="B523" t="s">
        <v>14359</v>
      </c>
      <c r="C523" t="s">
        <v>7307</v>
      </c>
      <c r="D523" t="str">
        <f>_xlfn.XLOOKUP(E523,pathways!$A$2:$A$31,pathways!$B$2:$B$31)</f>
        <v>Lipid metabolism</v>
      </c>
      <c r="E523" t="s">
        <v>3459</v>
      </c>
      <c r="F523" t="s">
        <v>4910</v>
      </c>
      <c r="G523" t="s">
        <v>14360</v>
      </c>
      <c r="H523" t="s">
        <v>14360</v>
      </c>
      <c r="I523" t="s">
        <v>7307</v>
      </c>
      <c r="J523" s="4" t="s">
        <v>14360</v>
      </c>
      <c r="L523" t="s">
        <v>14360</v>
      </c>
      <c r="M523" t="s">
        <v>14360</v>
      </c>
      <c r="N523" t="s">
        <v>3459</v>
      </c>
      <c r="O523" t="s">
        <v>14360</v>
      </c>
      <c r="P523" t="s">
        <v>4910</v>
      </c>
      <c r="Q523" t="s">
        <v>14360</v>
      </c>
      <c r="R523" t="s">
        <v>14360</v>
      </c>
      <c r="S523" t="s">
        <v>3749</v>
      </c>
    </row>
    <row r="524" spans="1:19" x14ac:dyDescent="0.2">
      <c r="A524" t="s">
        <v>13925</v>
      </c>
      <c r="B524" t="s">
        <v>14359</v>
      </c>
      <c r="C524" t="s">
        <v>8067</v>
      </c>
      <c r="D524" t="str">
        <f>_xlfn.XLOOKUP(E524,pathways!$A$2:$A$31,pathways!$B$2:$B$31)</f>
        <v>Lipid metabolism</v>
      </c>
      <c r="E524" t="s">
        <v>3459</v>
      </c>
      <c r="F524" t="s">
        <v>4869</v>
      </c>
      <c r="G524" t="s">
        <v>14360</v>
      </c>
      <c r="H524" t="s">
        <v>14360</v>
      </c>
      <c r="I524" t="s">
        <v>8067</v>
      </c>
      <c r="J524" s="4" t="s">
        <v>14360</v>
      </c>
      <c r="L524" t="s">
        <v>14360</v>
      </c>
      <c r="M524" t="s">
        <v>14360</v>
      </c>
      <c r="N524" t="s">
        <v>3459</v>
      </c>
      <c r="O524" t="s">
        <v>14360</v>
      </c>
      <c r="P524" t="s">
        <v>4869</v>
      </c>
      <c r="Q524" t="s">
        <v>14360</v>
      </c>
      <c r="R524" t="s">
        <v>14360</v>
      </c>
      <c r="S524" t="s">
        <v>4869</v>
      </c>
    </row>
    <row r="525" spans="1:19" x14ac:dyDescent="0.2">
      <c r="A525" t="s">
        <v>1250</v>
      </c>
      <c r="B525" t="s">
        <v>14359</v>
      </c>
      <c r="C525" t="s">
        <v>11660</v>
      </c>
      <c r="D525" t="str">
        <f>_xlfn.XLOOKUP(E525,pathways!$A$2:$A$31,pathways!$B$2:$B$31)</f>
        <v>Lipid metabolism</v>
      </c>
      <c r="E525" t="s">
        <v>3459</v>
      </c>
      <c r="F525" t="s">
        <v>4869</v>
      </c>
      <c r="G525" t="s">
        <v>14360</v>
      </c>
      <c r="H525" t="s">
        <v>14360</v>
      </c>
      <c r="I525" t="s">
        <v>14360</v>
      </c>
      <c r="J525" s="4" t="s">
        <v>11660</v>
      </c>
      <c r="L525" t="s">
        <v>1249</v>
      </c>
      <c r="M525" t="s">
        <v>14526</v>
      </c>
      <c r="N525" t="s">
        <v>14360</v>
      </c>
      <c r="O525" t="s">
        <v>3459</v>
      </c>
      <c r="P525" t="s">
        <v>14360</v>
      </c>
      <c r="Q525" t="s">
        <v>4869</v>
      </c>
      <c r="R525" t="s">
        <v>3459</v>
      </c>
      <c r="S525" t="s">
        <v>3460</v>
      </c>
    </row>
    <row r="526" spans="1:19" x14ac:dyDescent="0.2">
      <c r="A526" t="s">
        <v>1535</v>
      </c>
      <c r="B526" t="s">
        <v>14359</v>
      </c>
      <c r="C526" t="s">
        <v>7166</v>
      </c>
      <c r="D526" t="str">
        <f>_xlfn.XLOOKUP(E526,pathways!$A$2:$A$31,pathways!$B$2:$B$31)</f>
        <v>Lipid metabolism</v>
      </c>
      <c r="E526" t="s">
        <v>3459</v>
      </c>
      <c r="F526" t="s">
        <v>5559</v>
      </c>
      <c r="G526" t="s">
        <v>14360</v>
      </c>
      <c r="H526" t="s">
        <v>14360</v>
      </c>
      <c r="I526" t="s">
        <v>7166</v>
      </c>
      <c r="J526" s="4" t="s">
        <v>14360</v>
      </c>
      <c r="L526" t="s">
        <v>1534</v>
      </c>
      <c r="M526" t="s">
        <v>14822</v>
      </c>
      <c r="N526" t="s">
        <v>3459</v>
      </c>
      <c r="O526" t="s">
        <v>14360</v>
      </c>
      <c r="P526" t="s">
        <v>5559</v>
      </c>
      <c r="Q526" t="s">
        <v>14360</v>
      </c>
      <c r="R526" t="s">
        <v>3459</v>
      </c>
      <c r="S526" t="s">
        <v>14360</v>
      </c>
    </row>
    <row r="527" spans="1:19" x14ac:dyDescent="0.2">
      <c r="A527" t="s">
        <v>13940</v>
      </c>
      <c r="B527" t="s">
        <v>14359</v>
      </c>
      <c r="C527" t="s">
        <v>8315</v>
      </c>
      <c r="D527" t="str">
        <f>_xlfn.XLOOKUP(E527,pathways!$A$2:$A$31,pathways!$B$2:$B$31)</f>
        <v>Lipid metabolism</v>
      </c>
      <c r="E527" t="s">
        <v>3459</v>
      </c>
      <c r="F527" t="s">
        <v>5559</v>
      </c>
      <c r="G527" t="s">
        <v>14360</v>
      </c>
      <c r="H527" t="s">
        <v>14360</v>
      </c>
      <c r="I527" t="s">
        <v>8315</v>
      </c>
      <c r="J527" s="4" t="s">
        <v>14360</v>
      </c>
      <c r="L527" t="s">
        <v>14360</v>
      </c>
      <c r="M527" t="s">
        <v>14360</v>
      </c>
      <c r="N527" t="s">
        <v>3459</v>
      </c>
      <c r="O527" t="s">
        <v>14360</v>
      </c>
      <c r="P527" t="s">
        <v>5559</v>
      </c>
      <c r="Q527" t="s">
        <v>14360</v>
      </c>
      <c r="R527" t="s">
        <v>14360</v>
      </c>
    </row>
    <row r="528" spans="1:19" x14ac:dyDescent="0.2">
      <c r="A528" t="s">
        <v>1553</v>
      </c>
      <c r="B528" t="s">
        <v>14359</v>
      </c>
      <c r="C528" t="s">
        <v>7183</v>
      </c>
      <c r="D528" t="str">
        <f>_xlfn.XLOOKUP(E528,pathways!$A$2:$A$31,pathways!$B$2:$B$31)</f>
        <v>Lipid metabolism</v>
      </c>
      <c r="E528" t="s">
        <v>3459</v>
      </c>
      <c r="F528" t="s">
        <v>5559</v>
      </c>
      <c r="G528" t="s">
        <v>14360</v>
      </c>
      <c r="H528" t="s">
        <v>14360</v>
      </c>
      <c r="I528" t="s">
        <v>7183</v>
      </c>
      <c r="J528" s="4" t="s">
        <v>7183</v>
      </c>
      <c r="L528" t="s">
        <v>1552</v>
      </c>
      <c r="M528" t="s">
        <v>14839</v>
      </c>
      <c r="N528" t="s">
        <v>3459</v>
      </c>
      <c r="O528" t="s">
        <v>3459</v>
      </c>
      <c r="P528" t="s">
        <v>5559</v>
      </c>
      <c r="Q528" t="s">
        <v>5559</v>
      </c>
      <c r="R528" t="s">
        <v>3459</v>
      </c>
      <c r="S528" t="s">
        <v>14360</v>
      </c>
    </row>
    <row r="529" spans="1:19" x14ac:dyDescent="0.2">
      <c r="A529" t="s">
        <v>1551</v>
      </c>
      <c r="B529" t="s">
        <v>14359</v>
      </c>
      <c r="C529" t="s">
        <v>7188</v>
      </c>
      <c r="D529" t="str">
        <f>_xlfn.XLOOKUP(E529,pathways!$A$2:$A$31,pathways!$B$2:$B$31)</f>
        <v>Lipid metabolism</v>
      </c>
      <c r="E529" t="s">
        <v>3459</v>
      </c>
      <c r="F529" t="s">
        <v>5559</v>
      </c>
      <c r="G529" t="s">
        <v>14360</v>
      </c>
      <c r="H529" t="s">
        <v>14360</v>
      </c>
      <c r="I529" t="s">
        <v>7188</v>
      </c>
      <c r="J529" s="4" t="s">
        <v>7188</v>
      </c>
      <c r="L529" t="s">
        <v>1550</v>
      </c>
      <c r="M529" t="s">
        <v>14837</v>
      </c>
      <c r="N529" t="s">
        <v>3459</v>
      </c>
      <c r="O529" t="s">
        <v>3459</v>
      </c>
      <c r="P529" t="s">
        <v>5559</v>
      </c>
      <c r="Q529" t="s">
        <v>5559</v>
      </c>
      <c r="R529" t="s">
        <v>3459</v>
      </c>
      <c r="S529" t="s">
        <v>3740</v>
      </c>
    </row>
    <row r="530" spans="1:19" x14ac:dyDescent="0.2">
      <c r="A530" t="s">
        <v>1789</v>
      </c>
      <c r="B530" t="s">
        <v>14359</v>
      </c>
      <c r="C530" t="s">
        <v>8408</v>
      </c>
      <c r="D530" t="str">
        <f>_xlfn.XLOOKUP(E530,pathways!$A$2:$A$31,pathways!$B$2:$B$31)</f>
        <v>Lipid metabolism</v>
      </c>
      <c r="E530" t="s">
        <v>3459</v>
      </c>
      <c r="F530" t="s">
        <v>5559</v>
      </c>
      <c r="G530" t="s">
        <v>14360</v>
      </c>
      <c r="H530" t="s">
        <v>14360</v>
      </c>
      <c r="I530" t="s">
        <v>8408</v>
      </c>
      <c r="J530" s="4" t="s">
        <v>14360</v>
      </c>
      <c r="L530" t="s">
        <v>1788</v>
      </c>
      <c r="M530" t="s">
        <v>15087</v>
      </c>
      <c r="N530" t="s">
        <v>3459</v>
      </c>
      <c r="O530" t="s">
        <v>14360</v>
      </c>
      <c r="P530" t="s">
        <v>5559</v>
      </c>
      <c r="Q530" t="s">
        <v>14360</v>
      </c>
      <c r="R530" t="s">
        <v>3459</v>
      </c>
    </row>
    <row r="531" spans="1:19" x14ac:dyDescent="0.2">
      <c r="A531" t="s">
        <v>1539</v>
      </c>
      <c r="B531" t="s">
        <v>14359</v>
      </c>
      <c r="C531" t="s">
        <v>7192</v>
      </c>
      <c r="D531" t="str">
        <f>_xlfn.XLOOKUP(E531,pathways!$A$2:$A$31,pathways!$B$2:$B$31)</f>
        <v>Lipid metabolism</v>
      </c>
      <c r="E531" t="s">
        <v>3459</v>
      </c>
      <c r="F531" t="s">
        <v>5559</v>
      </c>
      <c r="G531" t="s">
        <v>14360</v>
      </c>
      <c r="H531" t="s">
        <v>14360</v>
      </c>
      <c r="I531" t="s">
        <v>7192</v>
      </c>
      <c r="J531" s="4" t="s">
        <v>7192</v>
      </c>
      <c r="L531" t="s">
        <v>1538</v>
      </c>
      <c r="M531" t="s">
        <v>14826</v>
      </c>
      <c r="N531" t="s">
        <v>3459</v>
      </c>
      <c r="O531" t="s">
        <v>3459</v>
      </c>
      <c r="P531" t="s">
        <v>5559</v>
      </c>
      <c r="Q531" t="s">
        <v>5559</v>
      </c>
      <c r="R531" t="s">
        <v>3459</v>
      </c>
      <c r="S531" t="s">
        <v>5568</v>
      </c>
    </row>
    <row r="532" spans="1:19" x14ac:dyDescent="0.2">
      <c r="A532" t="s">
        <v>1507</v>
      </c>
      <c r="B532" t="s">
        <v>14359</v>
      </c>
      <c r="C532" t="s">
        <v>7128</v>
      </c>
      <c r="D532" t="str">
        <f>_xlfn.XLOOKUP(E532,pathways!$A$2:$A$31,pathways!$B$2:$B$31)</f>
        <v>Lipid metabolism</v>
      </c>
      <c r="E532" t="s">
        <v>3459</v>
      </c>
      <c r="F532" t="s">
        <v>5559</v>
      </c>
      <c r="G532" t="s">
        <v>14360</v>
      </c>
      <c r="H532" t="s">
        <v>14360</v>
      </c>
      <c r="I532" t="s">
        <v>7128</v>
      </c>
      <c r="J532" s="4" t="s">
        <v>7128</v>
      </c>
      <c r="L532" t="s">
        <v>1506</v>
      </c>
      <c r="M532" t="s">
        <v>14792</v>
      </c>
      <c r="N532" t="s">
        <v>3459</v>
      </c>
      <c r="O532" t="s">
        <v>3459</v>
      </c>
      <c r="P532" t="s">
        <v>5559</v>
      </c>
      <c r="Q532" t="s">
        <v>5559</v>
      </c>
      <c r="R532" t="s">
        <v>3459</v>
      </c>
      <c r="S532" t="s">
        <v>3437</v>
      </c>
    </row>
    <row r="533" spans="1:19" x14ac:dyDescent="0.2">
      <c r="A533" t="s">
        <v>1545</v>
      </c>
      <c r="B533" t="s">
        <v>14359</v>
      </c>
      <c r="C533" t="s">
        <v>7195</v>
      </c>
      <c r="D533" t="str">
        <f>_xlfn.XLOOKUP(E533,pathways!$A$2:$A$31,pathways!$B$2:$B$31)</f>
        <v>Lipid metabolism</v>
      </c>
      <c r="E533" t="s">
        <v>3459</v>
      </c>
      <c r="F533" t="s">
        <v>5559</v>
      </c>
      <c r="G533" t="s">
        <v>14360</v>
      </c>
      <c r="H533" t="s">
        <v>14360</v>
      </c>
      <c r="I533" t="s">
        <v>7195</v>
      </c>
      <c r="J533" s="4" t="s">
        <v>7195</v>
      </c>
      <c r="L533" t="s">
        <v>1544</v>
      </c>
      <c r="M533" t="s">
        <v>14832</v>
      </c>
      <c r="N533" t="s">
        <v>3459</v>
      </c>
      <c r="O533" t="s">
        <v>3459</v>
      </c>
      <c r="P533" t="s">
        <v>5559</v>
      </c>
      <c r="Q533" t="s">
        <v>5559</v>
      </c>
      <c r="R533" t="s">
        <v>3459</v>
      </c>
      <c r="S533" t="s">
        <v>3480</v>
      </c>
    </row>
    <row r="534" spans="1:19" x14ac:dyDescent="0.2">
      <c r="A534" t="s">
        <v>13868</v>
      </c>
      <c r="B534" t="s">
        <v>14359</v>
      </c>
      <c r="C534" t="s">
        <v>7214</v>
      </c>
      <c r="D534" t="str">
        <f>_xlfn.XLOOKUP(E534,pathways!$A$2:$A$31,pathways!$B$2:$B$31)</f>
        <v>Lipid metabolism</v>
      </c>
      <c r="E534" t="s">
        <v>3459</v>
      </c>
      <c r="F534" t="s">
        <v>7133</v>
      </c>
      <c r="G534" t="s">
        <v>14360</v>
      </c>
      <c r="H534" t="s">
        <v>14360</v>
      </c>
      <c r="I534" t="s">
        <v>7214</v>
      </c>
      <c r="J534" s="4" t="s">
        <v>14360</v>
      </c>
      <c r="L534" t="s">
        <v>14360</v>
      </c>
      <c r="M534" t="s">
        <v>14360</v>
      </c>
      <c r="N534" t="s">
        <v>3459</v>
      </c>
      <c r="O534" t="s">
        <v>14360</v>
      </c>
      <c r="P534" t="s">
        <v>7133</v>
      </c>
      <c r="Q534" t="s">
        <v>14360</v>
      </c>
      <c r="R534" t="s">
        <v>14360</v>
      </c>
      <c r="S534" t="s">
        <v>14360</v>
      </c>
    </row>
    <row r="535" spans="1:19" x14ac:dyDescent="0.2">
      <c r="A535" t="s">
        <v>1513</v>
      </c>
      <c r="B535" t="s">
        <v>14359</v>
      </c>
      <c r="C535" t="s">
        <v>7136</v>
      </c>
      <c r="D535" t="str">
        <f>_xlfn.XLOOKUP(E535,pathways!$A$2:$A$31,pathways!$B$2:$B$31)</f>
        <v>Lipid metabolism</v>
      </c>
      <c r="E535" t="s">
        <v>3459</v>
      </c>
      <c r="F535" t="s">
        <v>7133</v>
      </c>
      <c r="G535" t="s">
        <v>14360</v>
      </c>
      <c r="H535" t="s">
        <v>14360</v>
      </c>
      <c r="I535" t="s">
        <v>7136</v>
      </c>
      <c r="J535" s="4" t="s">
        <v>7136</v>
      </c>
      <c r="L535" t="s">
        <v>1512</v>
      </c>
      <c r="M535" t="s">
        <v>14798</v>
      </c>
      <c r="N535" t="s">
        <v>3459</v>
      </c>
      <c r="O535" t="s">
        <v>3459</v>
      </c>
      <c r="P535" t="s">
        <v>7133</v>
      </c>
      <c r="Q535" t="s">
        <v>7133</v>
      </c>
      <c r="R535" t="s">
        <v>3459</v>
      </c>
      <c r="S535" t="s">
        <v>14360</v>
      </c>
    </row>
    <row r="536" spans="1:19" x14ac:dyDescent="0.2">
      <c r="A536" t="s">
        <v>1543</v>
      </c>
      <c r="B536" t="s">
        <v>14359</v>
      </c>
      <c r="C536" t="s">
        <v>7174</v>
      </c>
      <c r="D536" t="str">
        <f>_xlfn.XLOOKUP(E536,pathways!$A$2:$A$31,pathways!$B$2:$B$31)</f>
        <v>Lipid metabolism</v>
      </c>
      <c r="E536" t="s">
        <v>3459</v>
      </c>
      <c r="F536" t="s">
        <v>7133</v>
      </c>
      <c r="G536" t="s">
        <v>7174</v>
      </c>
      <c r="H536" t="s">
        <v>14360</v>
      </c>
      <c r="I536" t="s">
        <v>7174</v>
      </c>
      <c r="J536" s="4" t="s">
        <v>7174</v>
      </c>
      <c r="L536" t="s">
        <v>1542</v>
      </c>
      <c r="M536" t="s">
        <v>14830</v>
      </c>
      <c r="N536" t="s">
        <v>3459</v>
      </c>
      <c r="O536" t="s">
        <v>3459</v>
      </c>
      <c r="P536" t="s">
        <v>7133</v>
      </c>
      <c r="Q536" t="s">
        <v>7133</v>
      </c>
      <c r="R536" t="s">
        <v>3459</v>
      </c>
      <c r="S536" t="s">
        <v>14360</v>
      </c>
    </row>
    <row r="537" spans="1:19" x14ac:dyDescent="0.2">
      <c r="A537" t="s">
        <v>1541</v>
      </c>
      <c r="B537" t="s">
        <v>14359</v>
      </c>
      <c r="C537" t="s">
        <v>7170</v>
      </c>
      <c r="D537" t="str">
        <f>_xlfn.XLOOKUP(E537,pathways!$A$2:$A$31,pathways!$B$2:$B$31)</f>
        <v>Lipid metabolism</v>
      </c>
      <c r="E537" t="s">
        <v>3459</v>
      </c>
      <c r="F537" t="s">
        <v>7133</v>
      </c>
      <c r="G537" t="s">
        <v>14360</v>
      </c>
      <c r="H537" t="s">
        <v>14360</v>
      </c>
      <c r="I537" t="s">
        <v>7170</v>
      </c>
      <c r="J537" s="4" t="s">
        <v>7170</v>
      </c>
      <c r="L537" t="s">
        <v>1540</v>
      </c>
      <c r="M537" t="s">
        <v>14828</v>
      </c>
      <c r="N537" t="s">
        <v>3459</v>
      </c>
      <c r="O537" t="s">
        <v>3459</v>
      </c>
      <c r="P537" t="s">
        <v>7133</v>
      </c>
      <c r="Q537" t="s">
        <v>7133</v>
      </c>
      <c r="R537" t="s">
        <v>3459</v>
      </c>
      <c r="S537" t="s">
        <v>3620</v>
      </c>
    </row>
    <row r="538" spans="1:19" x14ac:dyDescent="0.2">
      <c r="A538" t="s">
        <v>1549</v>
      </c>
      <c r="B538" t="s">
        <v>14359</v>
      </c>
      <c r="C538" t="s">
        <v>7177</v>
      </c>
      <c r="D538" t="str">
        <f>_xlfn.XLOOKUP(E538,pathways!$A$2:$A$31,pathways!$B$2:$B$31)</f>
        <v>Lipid metabolism</v>
      </c>
      <c r="E538" t="s">
        <v>3459</v>
      </c>
      <c r="F538" t="s">
        <v>7133</v>
      </c>
      <c r="G538" t="s">
        <v>14360</v>
      </c>
      <c r="H538" t="s">
        <v>14360</v>
      </c>
      <c r="I538" t="s">
        <v>7177</v>
      </c>
      <c r="J538" s="4" t="s">
        <v>14360</v>
      </c>
      <c r="L538" t="s">
        <v>1548</v>
      </c>
      <c r="M538" t="s">
        <v>14836</v>
      </c>
      <c r="N538" t="s">
        <v>3459</v>
      </c>
      <c r="O538" t="s">
        <v>14360</v>
      </c>
      <c r="P538" t="s">
        <v>7133</v>
      </c>
      <c r="Q538" t="s">
        <v>14360</v>
      </c>
      <c r="R538" t="s">
        <v>3459</v>
      </c>
      <c r="S538" t="s">
        <v>8397</v>
      </c>
    </row>
    <row r="539" spans="1:19" x14ac:dyDescent="0.2">
      <c r="A539" t="s">
        <v>1445</v>
      </c>
      <c r="B539" t="s">
        <v>14359</v>
      </c>
      <c r="C539" t="s">
        <v>19293</v>
      </c>
      <c r="D539" t="str">
        <f>_xlfn.XLOOKUP(E539,pathways!$A$2:$A$31,pathways!$B$2:$B$31)</f>
        <v>Lipid metabolism</v>
      </c>
      <c r="E539" t="s">
        <v>3459</v>
      </c>
      <c r="F539" t="s">
        <v>3749</v>
      </c>
      <c r="G539" t="s">
        <v>14360</v>
      </c>
      <c r="H539" t="s">
        <v>14360</v>
      </c>
      <c r="I539" t="s">
        <v>6727</v>
      </c>
      <c r="J539" s="4" t="s">
        <v>11686</v>
      </c>
      <c r="L539" t="s">
        <v>1444</v>
      </c>
      <c r="M539" t="s">
        <v>14730</v>
      </c>
      <c r="N539" t="s">
        <v>3459</v>
      </c>
      <c r="O539" t="s">
        <v>3459</v>
      </c>
      <c r="P539" t="s">
        <v>3749</v>
      </c>
      <c r="Q539" t="s">
        <v>3749</v>
      </c>
      <c r="R539" t="s">
        <v>3459</v>
      </c>
      <c r="S539" t="s">
        <v>3560</v>
      </c>
    </row>
    <row r="540" spans="1:19" x14ac:dyDescent="0.2">
      <c r="A540" t="s">
        <v>13822</v>
      </c>
      <c r="B540" t="s">
        <v>14359</v>
      </c>
      <c r="C540" t="s">
        <v>5771</v>
      </c>
      <c r="D540" t="str">
        <f>_xlfn.XLOOKUP(E540,pathways!$A$2:$A$31,pathways!$B$2:$B$31)</f>
        <v>Lipid metabolism</v>
      </c>
      <c r="E540" t="s">
        <v>3459</v>
      </c>
      <c r="F540" t="s">
        <v>3819</v>
      </c>
      <c r="G540" t="s">
        <v>14360</v>
      </c>
      <c r="H540" t="s">
        <v>14360</v>
      </c>
      <c r="I540" t="s">
        <v>5771</v>
      </c>
      <c r="J540" s="4" t="s">
        <v>14360</v>
      </c>
      <c r="L540" t="s">
        <v>14360</v>
      </c>
      <c r="M540" t="s">
        <v>14360</v>
      </c>
      <c r="N540" t="s">
        <v>3459</v>
      </c>
      <c r="O540" t="s">
        <v>14360</v>
      </c>
      <c r="P540" t="s">
        <v>3819</v>
      </c>
      <c r="Q540" t="s">
        <v>14360</v>
      </c>
      <c r="R540" t="s">
        <v>14360</v>
      </c>
    </row>
    <row r="541" spans="1:19" x14ac:dyDescent="0.2">
      <c r="A541" t="s">
        <v>1772</v>
      </c>
      <c r="B541" t="s">
        <v>14359</v>
      </c>
      <c r="C541" t="s">
        <v>8356</v>
      </c>
      <c r="D541" t="str">
        <f>_xlfn.XLOOKUP(E541,pathways!$A$2:$A$31,pathways!$B$2:$B$31)</f>
        <v>Lipid metabolism</v>
      </c>
      <c r="E541" t="s">
        <v>3459</v>
      </c>
      <c r="F541" t="s">
        <v>4869</v>
      </c>
      <c r="G541" t="s">
        <v>14360</v>
      </c>
      <c r="H541" t="s">
        <v>14360</v>
      </c>
      <c r="I541" t="s">
        <v>8356</v>
      </c>
      <c r="J541" s="4" t="s">
        <v>8356</v>
      </c>
      <c r="L541" t="s">
        <v>1771</v>
      </c>
      <c r="M541" t="s">
        <v>15069</v>
      </c>
      <c r="N541" t="s">
        <v>3459</v>
      </c>
      <c r="O541" t="s">
        <v>3459</v>
      </c>
      <c r="P541" t="s">
        <v>4869</v>
      </c>
      <c r="Q541" t="s">
        <v>4869</v>
      </c>
      <c r="R541" t="s">
        <v>3459</v>
      </c>
      <c r="S541" t="s">
        <v>3670</v>
      </c>
    </row>
    <row r="542" spans="1:19" x14ac:dyDescent="0.2">
      <c r="A542" t="s">
        <v>2479</v>
      </c>
      <c r="B542" t="s">
        <v>14359</v>
      </c>
      <c r="C542" t="s">
        <v>3554</v>
      </c>
      <c r="D542" t="str">
        <f>_xlfn.XLOOKUP(E542,pathways!$A$2:$A$31,pathways!$B$2:$B$31)</f>
        <v>Lipid metabolism</v>
      </c>
      <c r="E542" t="s">
        <v>3459</v>
      </c>
      <c r="F542" t="s">
        <v>3460</v>
      </c>
      <c r="G542" t="s">
        <v>14360</v>
      </c>
      <c r="H542" t="s">
        <v>14360</v>
      </c>
      <c r="I542" t="s">
        <v>3554</v>
      </c>
      <c r="J542" s="4" t="s">
        <v>14360</v>
      </c>
      <c r="L542" t="s">
        <v>2478</v>
      </c>
      <c r="M542" t="s">
        <v>15785</v>
      </c>
      <c r="N542" t="s">
        <v>3459</v>
      </c>
      <c r="O542" t="s">
        <v>14360</v>
      </c>
      <c r="P542" t="s">
        <v>3460</v>
      </c>
      <c r="Q542" t="s">
        <v>14360</v>
      </c>
      <c r="R542" t="s">
        <v>3459</v>
      </c>
    </row>
    <row r="543" spans="1:19" x14ac:dyDescent="0.2">
      <c r="A543" t="s">
        <v>13792</v>
      </c>
      <c r="B543" t="s">
        <v>14359</v>
      </c>
      <c r="C543" t="s">
        <v>19</v>
      </c>
      <c r="D543" t="str">
        <f>_xlfn.XLOOKUP(E543,pathways!$A$2:$A$31,pathways!$B$2:$B$31)</f>
        <v>Lipid metabolism</v>
      </c>
      <c r="E543" t="s">
        <v>3459</v>
      </c>
      <c r="F543" t="s">
        <v>3740</v>
      </c>
      <c r="G543" t="s">
        <v>14360</v>
      </c>
      <c r="H543" t="s">
        <v>14360</v>
      </c>
      <c r="I543" t="s">
        <v>18</v>
      </c>
      <c r="J543" s="4" t="s">
        <v>14360</v>
      </c>
      <c r="L543" t="s">
        <v>20</v>
      </c>
      <c r="M543" t="s">
        <v>15715</v>
      </c>
      <c r="N543" t="s">
        <v>3459</v>
      </c>
      <c r="O543" t="s">
        <v>14360</v>
      </c>
      <c r="P543" t="s">
        <v>3740</v>
      </c>
      <c r="Q543" t="s">
        <v>14360</v>
      </c>
      <c r="R543" t="s">
        <v>3459</v>
      </c>
      <c r="S543" t="s">
        <v>3543</v>
      </c>
    </row>
    <row r="544" spans="1:19" x14ac:dyDescent="0.2">
      <c r="A544" t="s">
        <v>1188</v>
      </c>
      <c r="B544" t="s">
        <v>14359</v>
      </c>
      <c r="C544" t="s">
        <v>19208</v>
      </c>
      <c r="D544" t="str">
        <f>_xlfn.XLOOKUP(E544,pathways!$A$2:$A$31,pathways!$B$2:$B$31)</f>
        <v>Lipid metabolism</v>
      </c>
      <c r="E544" t="s">
        <v>3459</v>
      </c>
      <c r="F544" t="s">
        <v>5568</v>
      </c>
      <c r="G544" t="s">
        <v>14360</v>
      </c>
      <c r="H544" t="s">
        <v>14360</v>
      </c>
      <c r="I544" t="s">
        <v>5571</v>
      </c>
      <c r="J544" s="4" t="s">
        <v>5571</v>
      </c>
      <c r="L544" t="s">
        <v>1187</v>
      </c>
      <c r="M544" t="s">
        <v>14460</v>
      </c>
      <c r="N544" t="s">
        <v>3459</v>
      </c>
      <c r="O544" t="s">
        <v>3459</v>
      </c>
      <c r="P544" t="s">
        <v>5568</v>
      </c>
      <c r="Q544" t="s">
        <v>11596</v>
      </c>
      <c r="R544" t="s">
        <v>3459</v>
      </c>
      <c r="S544" t="s">
        <v>3864</v>
      </c>
    </row>
    <row r="545" spans="1:19" x14ac:dyDescent="0.2">
      <c r="A545" t="s">
        <v>1857</v>
      </c>
      <c r="B545" t="s">
        <v>14359</v>
      </c>
      <c r="C545" t="s">
        <v>19417</v>
      </c>
      <c r="D545" t="str">
        <f>_xlfn.XLOOKUP(E545,pathways!$A$2:$A$31,pathways!$B$2:$B$31)</f>
        <v>Lipid metabolism</v>
      </c>
      <c r="E545" t="s">
        <v>3459</v>
      </c>
      <c r="F545" t="s">
        <v>8397</v>
      </c>
      <c r="G545" t="s">
        <v>14360</v>
      </c>
      <c r="H545" t="s">
        <v>14360</v>
      </c>
      <c r="I545" t="s">
        <v>8719</v>
      </c>
      <c r="J545" s="4" t="s">
        <v>8719</v>
      </c>
      <c r="L545" t="s">
        <v>1856</v>
      </c>
      <c r="M545" t="s">
        <v>15156</v>
      </c>
      <c r="N545" t="s">
        <v>3459</v>
      </c>
      <c r="O545" t="s">
        <v>3459</v>
      </c>
      <c r="P545" t="s">
        <v>8397</v>
      </c>
      <c r="Q545" t="s">
        <v>11596</v>
      </c>
      <c r="R545" t="s">
        <v>3459</v>
      </c>
      <c r="S545" t="s">
        <v>14360</v>
      </c>
    </row>
    <row r="546" spans="1:19" x14ac:dyDescent="0.2">
      <c r="A546" t="s">
        <v>1264</v>
      </c>
      <c r="B546" t="s">
        <v>14359</v>
      </c>
      <c r="C546" t="s">
        <v>19231</v>
      </c>
      <c r="D546" t="str">
        <f>_xlfn.XLOOKUP(E546,pathways!$A$2:$A$31,pathways!$B$2:$B$31)</f>
        <v>Lipid metabolism</v>
      </c>
      <c r="E546" t="s">
        <v>3459</v>
      </c>
      <c r="F546" t="s">
        <v>3560</v>
      </c>
      <c r="G546" t="s">
        <v>14360</v>
      </c>
      <c r="H546" t="s">
        <v>14360</v>
      </c>
      <c r="I546" t="s">
        <v>5944</v>
      </c>
      <c r="J546" s="4" t="s">
        <v>5944</v>
      </c>
      <c r="L546" t="s">
        <v>1263</v>
      </c>
      <c r="M546" t="s">
        <v>14540</v>
      </c>
      <c r="N546" t="s">
        <v>3459</v>
      </c>
      <c r="O546" t="s">
        <v>3459</v>
      </c>
      <c r="P546" t="s">
        <v>3560</v>
      </c>
      <c r="Q546" t="s">
        <v>11702</v>
      </c>
      <c r="R546" t="s">
        <v>3459</v>
      </c>
      <c r="S546" t="s">
        <v>14360</v>
      </c>
    </row>
    <row r="547" spans="1:19" x14ac:dyDescent="0.2">
      <c r="A547" t="s">
        <v>14217</v>
      </c>
      <c r="B547" t="s">
        <v>14359</v>
      </c>
      <c r="C547" t="s">
        <v>20094</v>
      </c>
      <c r="D547" t="str">
        <f>_xlfn.XLOOKUP(E547,pathways!$A$2:$A$31,pathways!$B$2:$B$31)</f>
        <v>Lipid metabolism</v>
      </c>
      <c r="E547" t="s">
        <v>3459</v>
      </c>
      <c r="F547" t="s">
        <v>11596</v>
      </c>
      <c r="G547" t="s">
        <v>14360</v>
      </c>
      <c r="H547" t="s">
        <v>14360</v>
      </c>
      <c r="I547" t="s">
        <v>14360</v>
      </c>
      <c r="J547" s="4" t="s">
        <v>11705</v>
      </c>
      <c r="L547" t="s">
        <v>14360</v>
      </c>
      <c r="M547" t="s">
        <v>14360</v>
      </c>
      <c r="N547" t="s">
        <v>14360</v>
      </c>
      <c r="O547" t="s">
        <v>3459</v>
      </c>
      <c r="P547" t="s">
        <v>14360</v>
      </c>
      <c r="Q547" t="s">
        <v>11596</v>
      </c>
      <c r="R547" t="s">
        <v>14360</v>
      </c>
      <c r="S547" t="s">
        <v>14360</v>
      </c>
    </row>
    <row r="548" spans="1:19" x14ac:dyDescent="0.2">
      <c r="A548" t="s">
        <v>1465</v>
      </c>
      <c r="B548" t="s">
        <v>14359</v>
      </c>
      <c r="C548" t="s">
        <v>19301</v>
      </c>
      <c r="D548" t="str">
        <f>_xlfn.XLOOKUP(E548,pathways!$A$2:$A$31,pathways!$B$2:$B$31)</f>
        <v>Lipid metabolism</v>
      </c>
      <c r="E548" t="s">
        <v>3459</v>
      </c>
      <c r="F548" t="s">
        <v>4869</v>
      </c>
      <c r="G548" t="s">
        <v>14360</v>
      </c>
      <c r="H548" t="s">
        <v>14360</v>
      </c>
      <c r="I548" t="s">
        <v>14360</v>
      </c>
      <c r="J548" s="4" t="s">
        <v>11712</v>
      </c>
      <c r="L548" t="s">
        <v>1464</v>
      </c>
      <c r="M548" t="s">
        <v>14750</v>
      </c>
      <c r="N548" t="s">
        <v>14360</v>
      </c>
      <c r="O548" t="s">
        <v>3459</v>
      </c>
      <c r="P548" t="s">
        <v>14360</v>
      </c>
      <c r="Q548" t="s">
        <v>4869</v>
      </c>
      <c r="R548" t="s">
        <v>3459</v>
      </c>
      <c r="S548" t="s">
        <v>14360</v>
      </c>
    </row>
    <row r="549" spans="1:19" x14ac:dyDescent="0.2">
      <c r="A549" t="s">
        <v>1555</v>
      </c>
      <c r="B549" t="s">
        <v>14359</v>
      </c>
      <c r="C549" t="s">
        <v>19325</v>
      </c>
      <c r="D549" t="str">
        <f>_xlfn.XLOOKUP(E549,pathways!$A$2:$A$31,pathways!$B$2:$B$31)</f>
        <v>Lipid metabolism</v>
      </c>
      <c r="E549" t="s">
        <v>3459</v>
      </c>
      <c r="F549" t="s">
        <v>5559</v>
      </c>
      <c r="G549" t="s">
        <v>20428</v>
      </c>
      <c r="H549" t="s">
        <v>14360</v>
      </c>
      <c r="I549" t="s">
        <v>7315</v>
      </c>
      <c r="J549" s="4" t="s">
        <v>7315</v>
      </c>
      <c r="L549" t="s">
        <v>1554</v>
      </c>
      <c r="M549" t="s">
        <v>14841</v>
      </c>
      <c r="N549" t="s">
        <v>3459</v>
      </c>
      <c r="O549" t="s">
        <v>3459</v>
      </c>
      <c r="P549" t="s">
        <v>5559</v>
      </c>
      <c r="Q549" t="s">
        <v>5559</v>
      </c>
      <c r="R549" t="s">
        <v>3459</v>
      </c>
      <c r="S549" t="s">
        <v>14360</v>
      </c>
    </row>
    <row r="550" spans="1:19" x14ac:dyDescent="0.2">
      <c r="A550" t="s">
        <v>13867</v>
      </c>
      <c r="B550" t="s">
        <v>14359</v>
      </c>
      <c r="C550" t="s">
        <v>19913</v>
      </c>
      <c r="D550" t="str">
        <f>_xlfn.XLOOKUP(E550,pathways!$A$2:$A$31,pathways!$B$2:$B$31)</f>
        <v>Lipid metabolism</v>
      </c>
      <c r="E550" t="s">
        <v>3459</v>
      </c>
      <c r="F550" t="s">
        <v>5559</v>
      </c>
      <c r="G550" t="s">
        <v>7198</v>
      </c>
      <c r="H550" t="s">
        <v>14360</v>
      </c>
      <c r="I550" t="s">
        <v>7198</v>
      </c>
      <c r="J550" s="4" t="s">
        <v>7198</v>
      </c>
      <c r="L550" t="s">
        <v>14360</v>
      </c>
      <c r="M550" t="s">
        <v>14360</v>
      </c>
      <c r="N550" t="s">
        <v>3459</v>
      </c>
      <c r="O550" t="s">
        <v>3459</v>
      </c>
      <c r="P550" t="s">
        <v>5559</v>
      </c>
      <c r="Q550" t="s">
        <v>5559</v>
      </c>
      <c r="R550" t="s">
        <v>14360</v>
      </c>
      <c r="S550" t="s">
        <v>3498</v>
      </c>
    </row>
    <row r="551" spans="1:19" x14ac:dyDescent="0.2">
      <c r="A551" t="s">
        <v>1547</v>
      </c>
      <c r="B551" t="s">
        <v>14359</v>
      </c>
      <c r="C551" t="s">
        <v>19324</v>
      </c>
      <c r="D551" t="str">
        <f>_xlfn.XLOOKUP(E551,pathways!$A$2:$A$31,pathways!$B$2:$B$31)</f>
        <v>Lipid metabolism</v>
      </c>
      <c r="E551" t="s">
        <v>3459</v>
      </c>
      <c r="F551" t="s">
        <v>5559</v>
      </c>
      <c r="G551" t="s">
        <v>7201</v>
      </c>
      <c r="H551" t="s">
        <v>14360</v>
      </c>
      <c r="I551" t="s">
        <v>7201</v>
      </c>
      <c r="J551" s="4" t="s">
        <v>7201</v>
      </c>
      <c r="L551" t="s">
        <v>1546</v>
      </c>
      <c r="M551" t="s">
        <v>14834</v>
      </c>
      <c r="N551" t="s">
        <v>3459</v>
      </c>
      <c r="O551" t="s">
        <v>3459</v>
      </c>
      <c r="P551" t="s">
        <v>5559</v>
      </c>
      <c r="Q551" t="s">
        <v>5559</v>
      </c>
      <c r="R551" t="s">
        <v>3459</v>
      </c>
      <c r="S551" t="s">
        <v>3498</v>
      </c>
    </row>
    <row r="552" spans="1:19" x14ac:dyDescent="0.2">
      <c r="A552" t="s">
        <v>1521</v>
      </c>
      <c r="B552" t="s">
        <v>14359</v>
      </c>
      <c r="C552" t="s">
        <v>19318</v>
      </c>
      <c r="D552" t="str">
        <f>_xlfn.XLOOKUP(E552,pathways!$A$2:$A$31,pathways!$B$2:$B$31)</f>
        <v>Lipid metabolism</v>
      </c>
      <c r="E552" t="s">
        <v>3459</v>
      </c>
      <c r="F552" t="s">
        <v>5559</v>
      </c>
      <c r="G552" t="s">
        <v>14360</v>
      </c>
      <c r="H552" t="s">
        <v>14360</v>
      </c>
      <c r="I552" t="s">
        <v>7147</v>
      </c>
      <c r="J552" s="4" t="s">
        <v>7147</v>
      </c>
      <c r="L552" t="s">
        <v>1520</v>
      </c>
      <c r="M552" t="s">
        <v>14806</v>
      </c>
      <c r="N552" t="s">
        <v>3459</v>
      </c>
      <c r="O552" t="s">
        <v>3459</v>
      </c>
      <c r="P552" t="s">
        <v>5559</v>
      </c>
      <c r="Q552" t="s">
        <v>5559</v>
      </c>
      <c r="R552" t="s">
        <v>3459</v>
      </c>
      <c r="S552" t="s">
        <v>3603</v>
      </c>
    </row>
    <row r="553" spans="1:19" x14ac:dyDescent="0.2">
      <c r="A553" t="s">
        <v>1537</v>
      </c>
      <c r="B553" t="s">
        <v>14359</v>
      </c>
      <c r="C553" t="s">
        <v>19323</v>
      </c>
      <c r="D553" t="str">
        <f>_xlfn.XLOOKUP(E553,pathways!$A$2:$A$31,pathways!$B$2:$B$31)</f>
        <v>Lipid metabolism</v>
      </c>
      <c r="E553" t="s">
        <v>3459</v>
      </c>
      <c r="F553" t="s">
        <v>5559</v>
      </c>
      <c r="G553" t="s">
        <v>7157</v>
      </c>
      <c r="H553" t="s">
        <v>14360</v>
      </c>
      <c r="I553" t="s">
        <v>7157</v>
      </c>
      <c r="J553" s="4" t="s">
        <v>7157</v>
      </c>
      <c r="L553" t="s">
        <v>1536</v>
      </c>
      <c r="M553" t="s">
        <v>14824</v>
      </c>
      <c r="N553" t="s">
        <v>3459</v>
      </c>
      <c r="O553" t="s">
        <v>3459</v>
      </c>
      <c r="P553" t="s">
        <v>5559</v>
      </c>
      <c r="Q553" t="s">
        <v>5559</v>
      </c>
      <c r="R553" t="s">
        <v>3459</v>
      </c>
      <c r="S553" t="s">
        <v>4215</v>
      </c>
    </row>
    <row r="554" spans="1:19" x14ac:dyDescent="0.2">
      <c r="A554" t="s">
        <v>1579</v>
      </c>
      <c r="B554" t="s">
        <v>14359</v>
      </c>
      <c r="C554" t="s">
        <v>19331</v>
      </c>
      <c r="D554" t="str">
        <f>_xlfn.XLOOKUP(E554,pathways!$A$2:$A$31,pathways!$B$2:$B$31)</f>
        <v>Lipid metabolism</v>
      </c>
      <c r="E554" t="s">
        <v>3459</v>
      </c>
      <c r="F554" t="s">
        <v>5559</v>
      </c>
      <c r="G554" t="s">
        <v>7204</v>
      </c>
      <c r="H554" t="s">
        <v>14360</v>
      </c>
      <c r="I554" t="s">
        <v>7204</v>
      </c>
      <c r="J554" s="4" t="s">
        <v>7204</v>
      </c>
      <c r="L554" t="s">
        <v>1578</v>
      </c>
      <c r="M554" t="s">
        <v>14865</v>
      </c>
      <c r="N554" t="s">
        <v>3459</v>
      </c>
      <c r="O554" t="s">
        <v>3459</v>
      </c>
      <c r="P554" t="s">
        <v>5559</v>
      </c>
      <c r="Q554" t="s">
        <v>5559</v>
      </c>
      <c r="R554" t="s">
        <v>3459</v>
      </c>
      <c r="S554" t="s">
        <v>3480</v>
      </c>
    </row>
    <row r="555" spans="1:19" x14ac:dyDescent="0.2">
      <c r="A555" t="s">
        <v>1577</v>
      </c>
      <c r="B555" t="s">
        <v>14359</v>
      </c>
      <c r="C555" t="s">
        <v>19330</v>
      </c>
      <c r="D555" t="str">
        <f>_xlfn.XLOOKUP(E555,pathways!$A$2:$A$31,pathways!$B$2:$B$31)</f>
        <v>Lipid metabolism</v>
      </c>
      <c r="E555" t="s">
        <v>3459</v>
      </c>
      <c r="F555" t="s">
        <v>5559</v>
      </c>
      <c r="G555" t="s">
        <v>7210</v>
      </c>
      <c r="H555" t="s">
        <v>14360</v>
      </c>
      <c r="I555" t="s">
        <v>7210</v>
      </c>
      <c r="J555" s="4" t="s">
        <v>7210</v>
      </c>
      <c r="L555" t="s">
        <v>1576</v>
      </c>
      <c r="M555" t="s">
        <v>14863</v>
      </c>
      <c r="N555" t="s">
        <v>3459</v>
      </c>
      <c r="O555" t="s">
        <v>3459</v>
      </c>
      <c r="P555" t="s">
        <v>5559</v>
      </c>
      <c r="Q555" t="s">
        <v>5559</v>
      </c>
      <c r="R555" t="s">
        <v>3459</v>
      </c>
      <c r="S555" t="s">
        <v>4679</v>
      </c>
    </row>
    <row r="556" spans="1:19" x14ac:dyDescent="0.2">
      <c r="A556" t="s">
        <v>3069</v>
      </c>
      <c r="B556" t="s">
        <v>14359</v>
      </c>
      <c r="C556" t="s">
        <v>19747</v>
      </c>
      <c r="D556" t="str">
        <f>_xlfn.XLOOKUP(E556,pathways!$A$2:$A$31,pathways!$B$2:$B$31)</f>
        <v>Lipid metabolism</v>
      </c>
      <c r="E556" t="s">
        <v>3459</v>
      </c>
      <c r="F556" t="s">
        <v>5559</v>
      </c>
      <c r="G556" t="s">
        <v>14360</v>
      </c>
      <c r="H556" t="s">
        <v>14360</v>
      </c>
      <c r="I556" t="s">
        <v>7632</v>
      </c>
      <c r="J556" s="4" t="s">
        <v>7632</v>
      </c>
      <c r="L556" t="s">
        <v>3068</v>
      </c>
      <c r="M556" t="s">
        <v>16426</v>
      </c>
      <c r="N556" t="s">
        <v>3459</v>
      </c>
      <c r="O556" t="s">
        <v>3459</v>
      </c>
      <c r="P556" t="s">
        <v>5559</v>
      </c>
      <c r="Q556" t="s">
        <v>5559</v>
      </c>
      <c r="R556" t="s">
        <v>3459</v>
      </c>
      <c r="S556" t="s">
        <v>14360</v>
      </c>
    </row>
    <row r="557" spans="1:19" x14ac:dyDescent="0.2">
      <c r="A557" t="s">
        <v>3042</v>
      </c>
      <c r="B557" t="s">
        <v>14359</v>
      </c>
      <c r="C557" t="s">
        <v>19741</v>
      </c>
      <c r="D557" t="str">
        <f>_xlfn.XLOOKUP(E557,pathways!$A$2:$A$31,pathways!$B$2:$B$31)</f>
        <v>Lipid metabolism</v>
      </c>
      <c r="E557" t="s">
        <v>3459</v>
      </c>
      <c r="F557" t="s">
        <v>5559</v>
      </c>
      <c r="G557" t="s">
        <v>5786</v>
      </c>
      <c r="H557" t="s">
        <v>14360</v>
      </c>
      <c r="I557" t="s">
        <v>5786</v>
      </c>
      <c r="J557" s="4" t="s">
        <v>5786</v>
      </c>
      <c r="L557" t="s">
        <v>3041</v>
      </c>
      <c r="M557" t="s">
        <v>16400</v>
      </c>
      <c r="N557" t="s">
        <v>3459</v>
      </c>
      <c r="O557" t="s">
        <v>3459</v>
      </c>
      <c r="P557" t="s">
        <v>5559</v>
      </c>
      <c r="Q557" t="s">
        <v>5559</v>
      </c>
      <c r="R557" t="s">
        <v>3459</v>
      </c>
      <c r="S557" t="s">
        <v>5559</v>
      </c>
    </row>
    <row r="558" spans="1:19" x14ac:dyDescent="0.2">
      <c r="A558" t="s">
        <v>2631</v>
      </c>
      <c r="B558" t="s">
        <v>14359</v>
      </c>
      <c r="C558" t="s">
        <v>19729</v>
      </c>
      <c r="D558" t="str">
        <f>_xlfn.XLOOKUP(E558,pathways!$A$2:$A$31,pathways!$B$2:$B$31)</f>
        <v>Lipid metabolism</v>
      </c>
      <c r="E558" t="s">
        <v>3459</v>
      </c>
      <c r="F558" t="s">
        <v>4017</v>
      </c>
      <c r="G558" t="s">
        <v>14360</v>
      </c>
      <c r="H558" t="s">
        <v>14360</v>
      </c>
      <c r="I558" t="s">
        <v>4431</v>
      </c>
      <c r="J558" s="4" t="s">
        <v>4431</v>
      </c>
      <c r="L558" t="s">
        <v>2630</v>
      </c>
      <c r="M558" t="s">
        <v>15969</v>
      </c>
      <c r="N558" t="s">
        <v>3459</v>
      </c>
      <c r="O558" t="s">
        <v>3459</v>
      </c>
      <c r="P558" t="s">
        <v>4017</v>
      </c>
      <c r="Q558" t="s">
        <v>11502</v>
      </c>
      <c r="R558" t="s">
        <v>3459</v>
      </c>
      <c r="S558" t="s">
        <v>14360</v>
      </c>
    </row>
    <row r="559" spans="1:19" x14ac:dyDescent="0.2">
      <c r="A559" t="s">
        <v>2487</v>
      </c>
      <c r="B559" t="s">
        <v>14359</v>
      </c>
      <c r="C559" t="s">
        <v>19661</v>
      </c>
      <c r="D559" t="str">
        <f>_xlfn.XLOOKUP(E559,pathways!$A$2:$A$31,pathways!$B$2:$B$31)</f>
        <v>Lipid metabolism</v>
      </c>
      <c r="E559" t="s">
        <v>3459</v>
      </c>
      <c r="F559" t="s">
        <v>3560</v>
      </c>
      <c r="G559" t="s">
        <v>14360</v>
      </c>
      <c r="H559" t="s">
        <v>14360</v>
      </c>
      <c r="I559" t="s">
        <v>3655</v>
      </c>
      <c r="J559" s="4" t="s">
        <v>3655</v>
      </c>
      <c r="L559" t="s">
        <v>2486</v>
      </c>
      <c r="M559" t="s">
        <v>15795</v>
      </c>
      <c r="N559" t="s">
        <v>3459</v>
      </c>
      <c r="O559" t="s">
        <v>3459</v>
      </c>
      <c r="P559" t="s">
        <v>3560</v>
      </c>
      <c r="Q559" t="s">
        <v>11702</v>
      </c>
      <c r="R559" t="s">
        <v>3459</v>
      </c>
      <c r="S559" t="s">
        <v>5559</v>
      </c>
    </row>
    <row r="560" spans="1:19" x14ac:dyDescent="0.2">
      <c r="A560" t="s">
        <v>14218</v>
      </c>
      <c r="B560" t="s">
        <v>14359</v>
      </c>
      <c r="C560" t="s">
        <v>19914</v>
      </c>
      <c r="D560" t="str">
        <f>_xlfn.XLOOKUP(E560,pathways!$A$2:$A$31,pathways!$B$2:$B$31)</f>
        <v>Lipid metabolism</v>
      </c>
      <c r="E560" t="s">
        <v>3459</v>
      </c>
      <c r="F560" t="s">
        <v>4774</v>
      </c>
      <c r="G560" t="s">
        <v>14360</v>
      </c>
      <c r="H560" t="s">
        <v>14360</v>
      </c>
      <c r="I560" t="s">
        <v>14360</v>
      </c>
      <c r="J560" s="4" t="s">
        <v>11746</v>
      </c>
      <c r="L560" t="s">
        <v>14360</v>
      </c>
      <c r="M560" t="s">
        <v>14360</v>
      </c>
      <c r="N560" t="s">
        <v>14360</v>
      </c>
      <c r="O560" t="s">
        <v>3459</v>
      </c>
      <c r="P560" t="s">
        <v>14360</v>
      </c>
      <c r="Q560" t="s">
        <v>4774</v>
      </c>
      <c r="R560" t="s">
        <v>14360</v>
      </c>
      <c r="S560" t="s">
        <v>5559</v>
      </c>
    </row>
    <row r="561" spans="1:19" x14ac:dyDescent="0.2">
      <c r="A561" t="s">
        <v>2110</v>
      </c>
      <c r="B561" t="s">
        <v>14359</v>
      </c>
      <c r="C561" t="s">
        <v>19535</v>
      </c>
      <c r="D561" t="str">
        <f>_xlfn.XLOOKUP(E561,pathways!$A$2:$A$31,pathways!$B$2:$B$31)</f>
        <v>Lipid metabolism</v>
      </c>
      <c r="E561" t="s">
        <v>3459</v>
      </c>
      <c r="F561" t="s">
        <v>7821</v>
      </c>
      <c r="G561" t="s">
        <v>14360</v>
      </c>
      <c r="H561" t="s">
        <v>14360</v>
      </c>
      <c r="I561" t="s">
        <v>9490</v>
      </c>
      <c r="J561" s="4" t="s">
        <v>9490</v>
      </c>
      <c r="L561" t="s">
        <v>2109</v>
      </c>
      <c r="M561" t="s">
        <v>15403</v>
      </c>
      <c r="N561" t="s">
        <v>3459</v>
      </c>
      <c r="O561" t="s">
        <v>3459</v>
      </c>
      <c r="P561" t="s">
        <v>7821</v>
      </c>
      <c r="Q561" t="s">
        <v>11596</v>
      </c>
      <c r="R561" t="s">
        <v>3459</v>
      </c>
      <c r="S561" t="s">
        <v>5559</v>
      </c>
    </row>
    <row r="562" spans="1:19" x14ac:dyDescent="0.2">
      <c r="A562" t="s">
        <v>1989</v>
      </c>
      <c r="B562" t="s">
        <v>14359</v>
      </c>
      <c r="C562" t="s">
        <v>19477</v>
      </c>
      <c r="D562" t="str">
        <f>_xlfn.XLOOKUP(E562,pathways!$A$2:$A$31,pathways!$B$2:$B$31)</f>
        <v>Lipid metabolism</v>
      </c>
      <c r="E562" t="s">
        <v>3459</v>
      </c>
      <c r="F562" t="s">
        <v>9134</v>
      </c>
      <c r="G562" t="s">
        <v>14360</v>
      </c>
      <c r="H562" t="s">
        <v>14360</v>
      </c>
      <c r="I562" t="s">
        <v>9185</v>
      </c>
      <c r="J562" s="4" t="s">
        <v>9185</v>
      </c>
      <c r="L562" t="s">
        <v>1988</v>
      </c>
      <c r="M562" t="s">
        <v>15289</v>
      </c>
      <c r="N562" t="s">
        <v>3459</v>
      </c>
      <c r="O562" t="s">
        <v>3459</v>
      </c>
      <c r="P562" t="s">
        <v>9134</v>
      </c>
      <c r="Q562" t="s">
        <v>9134</v>
      </c>
      <c r="R562" t="s">
        <v>3459</v>
      </c>
      <c r="S562" t="s">
        <v>5559</v>
      </c>
    </row>
    <row r="563" spans="1:19" x14ac:dyDescent="0.2">
      <c r="A563" t="s">
        <v>2081</v>
      </c>
      <c r="B563" t="s">
        <v>14359</v>
      </c>
      <c r="C563" t="s">
        <v>19521</v>
      </c>
      <c r="D563" t="str">
        <f>_xlfn.XLOOKUP(E563,pathways!$A$2:$A$31,pathways!$B$2:$B$31)</f>
        <v>Lipid metabolism</v>
      </c>
      <c r="E563" t="s">
        <v>3459</v>
      </c>
      <c r="F563" t="s">
        <v>5526</v>
      </c>
      <c r="G563" t="s">
        <v>14360</v>
      </c>
      <c r="H563" t="s">
        <v>14360</v>
      </c>
      <c r="I563" t="s">
        <v>9471</v>
      </c>
      <c r="J563" s="4" t="s">
        <v>14360</v>
      </c>
      <c r="L563" t="s">
        <v>2080</v>
      </c>
      <c r="M563" t="s">
        <v>15374</v>
      </c>
      <c r="N563" t="s">
        <v>3459</v>
      </c>
      <c r="O563" t="s">
        <v>14360</v>
      </c>
      <c r="P563" t="s">
        <v>5526</v>
      </c>
      <c r="Q563" t="s">
        <v>14360</v>
      </c>
      <c r="R563" t="s">
        <v>3459</v>
      </c>
      <c r="S563" t="s">
        <v>5559</v>
      </c>
    </row>
    <row r="564" spans="1:19" x14ac:dyDescent="0.2">
      <c r="A564" t="s">
        <v>13803</v>
      </c>
      <c r="B564" t="s">
        <v>14359</v>
      </c>
      <c r="C564" t="s">
        <v>20098</v>
      </c>
      <c r="D564" t="str">
        <f>_xlfn.XLOOKUP(E564,pathways!$A$2:$A$31,pathways!$B$2:$B$31)</f>
        <v>Lipid metabolism</v>
      </c>
      <c r="E564" t="s">
        <v>3459</v>
      </c>
      <c r="F564" t="s">
        <v>3873</v>
      </c>
      <c r="G564" t="s">
        <v>5093</v>
      </c>
      <c r="H564" t="s">
        <v>14360</v>
      </c>
      <c r="I564" t="s">
        <v>5093</v>
      </c>
      <c r="J564" s="4" t="s">
        <v>14360</v>
      </c>
      <c r="L564" t="s">
        <v>14360</v>
      </c>
      <c r="M564" t="s">
        <v>14360</v>
      </c>
      <c r="N564" t="s">
        <v>3459</v>
      </c>
      <c r="O564" t="s">
        <v>14360</v>
      </c>
      <c r="P564" t="s">
        <v>3873</v>
      </c>
      <c r="Q564" t="s">
        <v>14360</v>
      </c>
      <c r="R564" t="s">
        <v>14360</v>
      </c>
      <c r="S564" t="s">
        <v>5559</v>
      </c>
    </row>
    <row r="565" spans="1:19" x14ac:dyDescent="0.2">
      <c r="A565" t="s">
        <v>14080</v>
      </c>
      <c r="B565" t="s">
        <v>14359</v>
      </c>
      <c r="C565" t="s">
        <v>19918</v>
      </c>
      <c r="D565" t="str">
        <f>_xlfn.XLOOKUP(E565,pathways!$A$2:$A$31,pathways!$B$2:$B$31)</f>
        <v>Lipid metabolism</v>
      </c>
      <c r="E565" t="s">
        <v>3459</v>
      </c>
      <c r="F565" t="s">
        <v>4774</v>
      </c>
      <c r="G565" t="s">
        <v>14360</v>
      </c>
      <c r="H565" t="s">
        <v>14360</v>
      </c>
      <c r="I565" t="s">
        <v>10121</v>
      </c>
      <c r="J565" s="4" t="s">
        <v>14360</v>
      </c>
      <c r="L565" t="s">
        <v>14360</v>
      </c>
      <c r="M565" t="s">
        <v>14360</v>
      </c>
      <c r="N565" t="s">
        <v>3459</v>
      </c>
      <c r="O565" t="s">
        <v>14360</v>
      </c>
      <c r="P565" t="s">
        <v>4774</v>
      </c>
      <c r="Q565" t="s">
        <v>14360</v>
      </c>
      <c r="R565" t="s">
        <v>14360</v>
      </c>
      <c r="S565" t="s">
        <v>5559</v>
      </c>
    </row>
    <row r="566" spans="1:19" x14ac:dyDescent="0.2">
      <c r="A566" t="s">
        <v>1936</v>
      </c>
      <c r="B566" t="s">
        <v>14359</v>
      </c>
      <c r="C566" t="s">
        <v>19452</v>
      </c>
      <c r="D566" t="str">
        <f>_xlfn.XLOOKUP(E566,pathways!$A$2:$A$31,pathways!$B$2:$B$31)</f>
        <v>Lipid metabolism</v>
      </c>
      <c r="E566" t="s">
        <v>3459</v>
      </c>
      <c r="F566" t="s">
        <v>8860</v>
      </c>
      <c r="G566" t="s">
        <v>20430</v>
      </c>
      <c r="H566" t="s">
        <v>14360</v>
      </c>
      <c r="I566" t="s">
        <v>9010</v>
      </c>
      <c r="J566" s="4" t="s">
        <v>9010</v>
      </c>
      <c r="L566" t="s">
        <v>1935</v>
      </c>
      <c r="M566" t="s">
        <v>15236</v>
      </c>
      <c r="N566" t="s">
        <v>3459</v>
      </c>
      <c r="O566" t="s">
        <v>3459</v>
      </c>
      <c r="P566" t="s">
        <v>8860</v>
      </c>
      <c r="Q566" t="s">
        <v>8860</v>
      </c>
      <c r="R566" t="s">
        <v>3459</v>
      </c>
      <c r="S566" t="s">
        <v>3470</v>
      </c>
    </row>
    <row r="567" spans="1:19" x14ac:dyDescent="0.2">
      <c r="A567" t="s">
        <v>1815</v>
      </c>
      <c r="B567" t="s">
        <v>14359</v>
      </c>
      <c r="C567" t="s">
        <v>19406</v>
      </c>
      <c r="D567" t="str">
        <f>_xlfn.XLOOKUP(E567,pathways!$A$2:$A$31,pathways!$B$2:$B$31)</f>
        <v>Lipid metabolism</v>
      </c>
      <c r="E567" t="s">
        <v>3459</v>
      </c>
      <c r="F567" t="s">
        <v>814</v>
      </c>
      <c r="G567" t="s">
        <v>14360</v>
      </c>
      <c r="H567" t="s">
        <v>14360</v>
      </c>
      <c r="I567" t="s">
        <v>8595</v>
      </c>
      <c r="J567" s="4" t="s">
        <v>8595</v>
      </c>
      <c r="L567" t="s">
        <v>1814</v>
      </c>
      <c r="M567" t="s">
        <v>15115</v>
      </c>
      <c r="N567" t="s">
        <v>3459</v>
      </c>
      <c r="O567" t="s">
        <v>3459</v>
      </c>
      <c r="P567" t="s">
        <v>814</v>
      </c>
      <c r="Q567" t="s">
        <v>814</v>
      </c>
      <c r="R567" t="s">
        <v>3459</v>
      </c>
    </row>
    <row r="568" spans="1:19" x14ac:dyDescent="0.2">
      <c r="A568" t="s">
        <v>2066</v>
      </c>
      <c r="B568" t="s">
        <v>14359</v>
      </c>
      <c r="C568" t="s">
        <v>19513</v>
      </c>
      <c r="D568" t="str">
        <f>_xlfn.XLOOKUP(E568,pathways!$A$2:$A$31,pathways!$B$2:$B$31)</f>
        <v>Lipid metabolism</v>
      </c>
      <c r="E568" t="s">
        <v>3459</v>
      </c>
      <c r="F568" t="s">
        <v>5526</v>
      </c>
      <c r="G568" t="s">
        <v>14360</v>
      </c>
      <c r="H568" t="s">
        <v>14360</v>
      </c>
      <c r="I568" t="s">
        <v>9465</v>
      </c>
      <c r="J568" s="4" t="s">
        <v>9465</v>
      </c>
      <c r="L568" t="s">
        <v>2065</v>
      </c>
      <c r="M568" t="s">
        <v>15362</v>
      </c>
      <c r="N568" t="s">
        <v>3459</v>
      </c>
      <c r="O568" t="s">
        <v>3459</v>
      </c>
      <c r="P568" t="s">
        <v>5526</v>
      </c>
      <c r="Q568" t="s">
        <v>11596</v>
      </c>
      <c r="R568" t="s">
        <v>3459</v>
      </c>
    </row>
    <row r="569" spans="1:19" x14ac:dyDescent="0.2">
      <c r="A569" t="s">
        <v>14084</v>
      </c>
      <c r="B569" t="s">
        <v>14359</v>
      </c>
      <c r="C569" t="s">
        <v>19606</v>
      </c>
      <c r="D569" t="str">
        <f>_xlfn.XLOOKUP(E569,pathways!$A$2:$A$31,pathways!$B$2:$B$31)</f>
        <v>Lipid metabolism</v>
      </c>
      <c r="E569" t="s">
        <v>3459</v>
      </c>
      <c r="F569" t="s">
        <v>3873</v>
      </c>
      <c r="G569" t="s">
        <v>14360</v>
      </c>
      <c r="H569" t="s">
        <v>14360</v>
      </c>
      <c r="I569" t="s">
        <v>10144</v>
      </c>
      <c r="J569" s="4" t="s">
        <v>14360</v>
      </c>
      <c r="L569" t="s">
        <v>2309</v>
      </c>
      <c r="M569" t="s">
        <v>15610</v>
      </c>
      <c r="N569" t="s">
        <v>3459</v>
      </c>
      <c r="O569" t="s">
        <v>14360</v>
      </c>
      <c r="P569" t="s">
        <v>3873</v>
      </c>
      <c r="Q569" t="s">
        <v>14360</v>
      </c>
      <c r="R569" t="s">
        <v>3459</v>
      </c>
    </row>
    <row r="570" spans="1:19" x14ac:dyDescent="0.2">
      <c r="A570" t="s">
        <v>13791</v>
      </c>
      <c r="B570" t="s">
        <v>14359</v>
      </c>
      <c r="C570" t="s">
        <v>19633</v>
      </c>
      <c r="D570" t="str">
        <f>_xlfn.XLOOKUP(E570,pathways!$A$2:$A$31,pathways!$B$2:$B$31)</f>
        <v>Lipid metabolism</v>
      </c>
      <c r="E570" t="s">
        <v>3459</v>
      </c>
      <c r="F570" t="s">
        <v>4765</v>
      </c>
      <c r="G570" t="s">
        <v>14360</v>
      </c>
      <c r="H570" t="s">
        <v>14360</v>
      </c>
      <c r="I570" t="s">
        <v>4800</v>
      </c>
      <c r="J570" s="4" t="s">
        <v>14360</v>
      </c>
      <c r="L570" t="s">
        <v>2390</v>
      </c>
      <c r="M570" t="s">
        <v>15691</v>
      </c>
      <c r="N570" t="s">
        <v>3459</v>
      </c>
      <c r="O570" t="s">
        <v>14360</v>
      </c>
      <c r="P570" t="s">
        <v>4765</v>
      </c>
      <c r="Q570" t="s">
        <v>14360</v>
      </c>
      <c r="R570" t="s">
        <v>3459</v>
      </c>
      <c r="S570" t="s">
        <v>4446</v>
      </c>
    </row>
    <row r="571" spans="1:19" x14ac:dyDescent="0.2">
      <c r="A571" t="s">
        <v>3040</v>
      </c>
      <c r="B571" t="s">
        <v>14359</v>
      </c>
      <c r="C571" t="s">
        <v>19740</v>
      </c>
      <c r="D571" t="str">
        <f>_xlfn.XLOOKUP(E571,pathways!$A$2:$A$31,pathways!$B$2:$B$31)</f>
        <v>Lipid metabolism</v>
      </c>
      <c r="E571" t="s">
        <v>3459</v>
      </c>
      <c r="F571" t="s">
        <v>5754</v>
      </c>
      <c r="G571" t="s">
        <v>5757</v>
      </c>
      <c r="H571" t="s">
        <v>14360</v>
      </c>
      <c r="I571" t="s">
        <v>5757</v>
      </c>
      <c r="J571" s="4" t="s">
        <v>5757</v>
      </c>
      <c r="L571" t="s">
        <v>3039</v>
      </c>
      <c r="M571" t="s">
        <v>16398</v>
      </c>
      <c r="N571" t="s">
        <v>3459</v>
      </c>
      <c r="O571" t="s">
        <v>3459</v>
      </c>
      <c r="P571" t="s">
        <v>5754</v>
      </c>
      <c r="Q571" t="s">
        <v>5754</v>
      </c>
      <c r="R571" t="s">
        <v>3459</v>
      </c>
      <c r="S571" t="s">
        <v>4446</v>
      </c>
    </row>
    <row r="572" spans="1:19" x14ac:dyDescent="0.2">
      <c r="A572" t="s">
        <v>1258</v>
      </c>
      <c r="B572" t="s">
        <v>14359</v>
      </c>
      <c r="C572" t="s">
        <v>19228</v>
      </c>
      <c r="D572" t="str">
        <f>_xlfn.XLOOKUP(E572,pathways!$A$2:$A$31,pathways!$B$2:$B$31)</f>
        <v>Lipid metabolism</v>
      </c>
      <c r="E572" t="s">
        <v>3459</v>
      </c>
      <c r="F572" t="s">
        <v>5754</v>
      </c>
      <c r="G572" t="s">
        <v>14360</v>
      </c>
      <c r="H572" t="s">
        <v>14360</v>
      </c>
      <c r="I572" t="s">
        <v>5890</v>
      </c>
      <c r="J572" s="4" t="s">
        <v>5890</v>
      </c>
      <c r="L572" t="s">
        <v>1257</v>
      </c>
      <c r="M572" t="s">
        <v>14534</v>
      </c>
      <c r="N572" t="s">
        <v>3459</v>
      </c>
      <c r="O572" t="s">
        <v>3459</v>
      </c>
      <c r="P572" t="s">
        <v>5754</v>
      </c>
      <c r="Q572" t="s">
        <v>5754</v>
      </c>
      <c r="R572" t="s">
        <v>3459</v>
      </c>
      <c r="S572" t="s">
        <v>4017</v>
      </c>
    </row>
    <row r="573" spans="1:19" x14ac:dyDescent="0.2">
      <c r="A573" t="s">
        <v>1294</v>
      </c>
      <c r="B573" t="s">
        <v>14359</v>
      </c>
      <c r="C573" t="s">
        <v>19242</v>
      </c>
      <c r="D573" t="str">
        <f>_xlfn.XLOOKUP(E573,pathways!$A$2:$A$31,pathways!$B$2:$B$31)</f>
        <v>Lipid metabolism</v>
      </c>
      <c r="E573" t="s">
        <v>3459</v>
      </c>
      <c r="F573" t="s">
        <v>3749</v>
      </c>
      <c r="G573" t="s">
        <v>14360</v>
      </c>
      <c r="H573" t="s">
        <v>14360</v>
      </c>
      <c r="I573" t="s">
        <v>14360</v>
      </c>
      <c r="J573" s="4" t="s">
        <v>11790</v>
      </c>
      <c r="L573" t="s">
        <v>1293</v>
      </c>
      <c r="M573" t="s">
        <v>14572</v>
      </c>
      <c r="N573" t="s">
        <v>14360</v>
      </c>
      <c r="O573" t="s">
        <v>3459</v>
      </c>
      <c r="P573" t="s">
        <v>14360</v>
      </c>
      <c r="Q573" t="s">
        <v>3749</v>
      </c>
      <c r="R573" t="s">
        <v>3459</v>
      </c>
      <c r="S573" t="s">
        <v>3560</v>
      </c>
    </row>
    <row r="574" spans="1:19" x14ac:dyDescent="0.2">
      <c r="A574" t="s">
        <v>2605</v>
      </c>
      <c r="B574" t="s">
        <v>14359</v>
      </c>
      <c r="C574" t="s">
        <v>19716</v>
      </c>
      <c r="D574" t="str">
        <f>_xlfn.XLOOKUP(E574,pathways!$A$2:$A$31,pathways!$B$2:$B$31)</f>
        <v>Lipid metabolism</v>
      </c>
      <c r="E574" t="s">
        <v>3459</v>
      </c>
      <c r="F574" t="s">
        <v>3569</v>
      </c>
      <c r="G574" t="s">
        <v>14360</v>
      </c>
      <c r="H574" t="s">
        <v>14360</v>
      </c>
      <c r="I574" t="s">
        <v>4408</v>
      </c>
      <c r="J574" s="4" t="s">
        <v>4408</v>
      </c>
      <c r="L574" t="s">
        <v>2604</v>
      </c>
      <c r="M574" t="s">
        <v>15934</v>
      </c>
      <c r="N574" t="s">
        <v>3459</v>
      </c>
      <c r="O574" t="s">
        <v>3459</v>
      </c>
      <c r="P574" t="s">
        <v>3569</v>
      </c>
      <c r="Q574" t="s">
        <v>3569</v>
      </c>
      <c r="R574" t="s">
        <v>3459</v>
      </c>
      <c r="S574" t="s">
        <v>7821</v>
      </c>
    </row>
    <row r="575" spans="1:19" x14ac:dyDescent="0.2">
      <c r="A575" t="s">
        <v>2639</v>
      </c>
      <c r="B575" t="s">
        <v>14359</v>
      </c>
      <c r="C575" t="s">
        <v>19733</v>
      </c>
      <c r="D575" t="str">
        <f>_xlfn.XLOOKUP(E575,pathways!$A$2:$A$31,pathways!$B$2:$B$31)</f>
        <v>Lipid metabolism</v>
      </c>
      <c r="E575" t="s">
        <v>3459</v>
      </c>
      <c r="F575" t="s">
        <v>3569</v>
      </c>
      <c r="G575" t="s">
        <v>14360</v>
      </c>
      <c r="H575" t="s">
        <v>14360</v>
      </c>
      <c r="I575" t="s">
        <v>4489</v>
      </c>
      <c r="J575" s="4" t="s">
        <v>4489</v>
      </c>
      <c r="L575" t="s">
        <v>2638</v>
      </c>
      <c r="M575" t="s">
        <v>15977</v>
      </c>
      <c r="N575" t="s">
        <v>3459</v>
      </c>
      <c r="O575" t="s">
        <v>3459</v>
      </c>
      <c r="P575" t="s">
        <v>3569</v>
      </c>
      <c r="Q575" t="s">
        <v>3569</v>
      </c>
      <c r="R575" t="s">
        <v>3459</v>
      </c>
      <c r="S575" t="s">
        <v>9134</v>
      </c>
    </row>
    <row r="576" spans="1:19" x14ac:dyDescent="0.2">
      <c r="A576" t="s">
        <v>2629</v>
      </c>
      <c r="B576" t="s">
        <v>14359</v>
      </c>
      <c r="C576" t="s">
        <v>19728</v>
      </c>
      <c r="D576" t="str">
        <f>_xlfn.XLOOKUP(E576,pathways!$A$2:$A$31,pathways!$B$2:$B$31)</f>
        <v>Lipid metabolism</v>
      </c>
      <c r="E576" t="s">
        <v>3459</v>
      </c>
      <c r="F576" t="s">
        <v>3569</v>
      </c>
      <c r="G576" t="s">
        <v>14360</v>
      </c>
      <c r="H576" t="s">
        <v>14360</v>
      </c>
      <c r="I576" t="s">
        <v>4497</v>
      </c>
      <c r="J576" s="4" t="s">
        <v>4497</v>
      </c>
      <c r="L576" t="s">
        <v>2628</v>
      </c>
      <c r="M576" t="s">
        <v>15967</v>
      </c>
      <c r="N576" t="s">
        <v>3459</v>
      </c>
      <c r="O576" t="s">
        <v>3459</v>
      </c>
      <c r="P576" t="s">
        <v>3569</v>
      </c>
      <c r="Q576" t="s">
        <v>3569</v>
      </c>
      <c r="R576" t="s">
        <v>3459</v>
      </c>
      <c r="S576" t="s">
        <v>5526</v>
      </c>
    </row>
    <row r="577" spans="1:19" x14ac:dyDescent="0.2">
      <c r="A577" t="s">
        <v>1096</v>
      </c>
      <c r="B577" t="s">
        <v>14359</v>
      </c>
      <c r="C577" t="s">
        <v>19172</v>
      </c>
      <c r="D577" t="str">
        <f>_xlfn.XLOOKUP(E577,pathways!$A$2:$A$31,pathways!$B$2:$B$31)</f>
        <v>Lipid metabolism</v>
      </c>
      <c r="E577" t="s">
        <v>3459</v>
      </c>
      <c r="F577" t="s">
        <v>5134</v>
      </c>
      <c r="G577" t="s">
        <v>14360</v>
      </c>
      <c r="H577" t="s">
        <v>14360</v>
      </c>
      <c r="I577" t="s">
        <v>5137</v>
      </c>
      <c r="J577" s="4" t="s">
        <v>5137</v>
      </c>
      <c r="L577" t="s">
        <v>1095</v>
      </c>
      <c r="M577" t="s">
        <v>14364</v>
      </c>
      <c r="N577" t="s">
        <v>3459</v>
      </c>
      <c r="O577" t="s">
        <v>3459</v>
      </c>
      <c r="P577" t="s">
        <v>5134</v>
      </c>
      <c r="Q577" t="s">
        <v>5134</v>
      </c>
      <c r="R577" t="s">
        <v>3459</v>
      </c>
      <c r="S577" t="s">
        <v>3661</v>
      </c>
    </row>
    <row r="578" spans="1:19" x14ac:dyDescent="0.2">
      <c r="A578" t="s">
        <v>13908</v>
      </c>
      <c r="B578" t="s">
        <v>14359</v>
      </c>
      <c r="C578" t="s">
        <v>19360</v>
      </c>
      <c r="D578" t="str">
        <f>_xlfn.XLOOKUP(E578,pathways!$A$2:$A$31,pathways!$B$2:$B$31)</f>
        <v>Lipid metabolism</v>
      </c>
      <c r="E578" t="s">
        <v>3459</v>
      </c>
      <c r="F578" t="s">
        <v>7821</v>
      </c>
      <c r="G578" t="s">
        <v>14360</v>
      </c>
      <c r="H578" t="s">
        <v>14360</v>
      </c>
      <c r="I578" t="s">
        <v>7824</v>
      </c>
      <c r="J578" s="4" t="s">
        <v>7824</v>
      </c>
      <c r="L578" t="s">
        <v>1663</v>
      </c>
      <c r="M578" t="s">
        <v>14953</v>
      </c>
      <c r="N578" t="s">
        <v>3459</v>
      </c>
      <c r="O578" t="s">
        <v>3459</v>
      </c>
      <c r="P578" t="s">
        <v>7821</v>
      </c>
      <c r="Q578" t="s">
        <v>11596</v>
      </c>
      <c r="R578" t="s">
        <v>3459</v>
      </c>
      <c r="S578" t="s">
        <v>3661</v>
      </c>
    </row>
    <row r="579" spans="1:19" x14ac:dyDescent="0.2">
      <c r="A579" t="s">
        <v>13987</v>
      </c>
      <c r="B579" t="s">
        <v>14359</v>
      </c>
      <c r="C579" t="s">
        <v>19931</v>
      </c>
      <c r="D579" t="str">
        <f>_xlfn.XLOOKUP(E579,pathways!$A$2:$A$31,pathways!$B$2:$B$31)</f>
        <v>Lipid metabolism</v>
      </c>
      <c r="E579" t="s">
        <v>3459</v>
      </c>
      <c r="F579" t="s">
        <v>4998</v>
      </c>
      <c r="G579" t="s">
        <v>14360</v>
      </c>
      <c r="H579" t="s">
        <v>14360</v>
      </c>
      <c r="I579" t="s">
        <v>9351</v>
      </c>
      <c r="J579" s="4" t="s">
        <v>14360</v>
      </c>
      <c r="L579" t="s">
        <v>14360</v>
      </c>
      <c r="M579" t="s">
        <v>14360</v>
      </c>
      <c r="N579" t="s">
        <v>3459</v>
      </c>
      <c r="O579" t="s">
        <v>14360</v>
      </c>
      <c r="P579" t="s">
        <v>4998</v>
      </c>
      <c r="Q579" t="s">
        <v>14360</v>
      </c>
      <c r="R579" t="s">
        <v>14360</v>
      </c>
      <c r="S579" t="s">
        <v>5600</v>
      </c>
    </row>
    <row r="580" spans="1:19" x14ac:dyDescent="0.2">
      <c r="A580" t="s">
        <v>2044</v>
      </c>
      <c r="B580" t="s">
        <v>14359</v>
      </c>
      <c r="C580" t="s">
        <v>19502</v>
      </c>
      <c r="D580" t="str">
        <f>_xlfn.XLOOKUP(E580,pathways!$A$2:$A$31,pathways!$B$2:$B$31)</f>
        <v>Lipid metabolism</v>
      </c>
      <c r="E580" t="s">
        <v>3459</v>
      </c>
      <c r="F580" t="s">
        <v>4998</v>
      </c>
      <c r="G580" t="s">
        <v>14360</v>
      </c>
      <c r="H580" t="s">
        <v>14360</v>
      </c>
      <c r="I580" t="s">
        <v>9354</v>
      </c>
      <c r="J580" s="4" t="s">
        <v>9354</v>
      </c>
      <c r="L580" t="s">
        <v>2043</v>
      </c>
      <c r="M580" t="s">
        <v>15347</v>
      </c>
      <c r="N580" t="s">
        <v>3459</v>
      </c>
      <c r="O580" t="s">
        <v>3459</v>
      </c>
      <c r="P580" t="s">
        <v>4998</v>
      </c>
      <c r="Q580" t="s">
        <v>4998</v>
      </c>
      <c r="R580" t="s">
        <v>3459</v>
      </c>
      <c r="S580" t="s">
        <v>5600</v>
      </c>
    </row>
    <row r="581" spans="1:19" x14ac:dyDescent="0.2">
      <c r="A581" t="s">
        <v>2054</v>
      </c>
      <c r="B581" t="s">
        <v>14359</v>
      </c>
      <c r="C581" t="s">
        <v>19507</v>
      </c>
      <c r="D581" t="str">
        <f>_xlfn.XLOOKUP(E581,pathways!$A$2:$A$31,pathways!$B$2:$B$31)</f>
        <v>Lipid metabolism</v>
      </c>
      <c r="E581" t="s">
        <v>3459</v>
      </c>
      <c r="F581" t="s">
        <v>4998</v>
      </c>
      <c r="G581" t="s">
        <v>14360</v>
      </c>
      <c r="H581" t="s">
        <v>14360</v>
      </c>
      <c r="I581" t="s">
        <v>14360</v>
      </c>
      <c r="J581" s="4" t="s">
        <v>11807</v>
      </c>
      <c r="L581" t="s">
        <v>2053</v>
      </c>
      <c r="M581" t="s">
        <v>15355</v>
      </c>
      <c r="N581" t="s">
        <v>14360</v>
      </c>
      <c r="O581" t="s">
        <v>3459</v>
      </c>
      <c r="P581" t="s">
        <v>14360</v>
      </c>
      <c r="Q581" t="s">
        <v>4998</v>
      </c>
      <c r="R581" t="s">
        <v>3459</v>
      </c>
      <c r="S581" t="s">
        <v>3670</v>
      </c>
    </row>
    <row r="582" spans="1:19" x14ac:dyDescent="0.2">
      <c r="A582" t="s">
        <v>13988</v>
      </c>
      <c r="B582" t="s">
        <v>14359</v>
      </c>
      <c r="C582" t="s">
        <v>19932</v>
      </c>
      <c r="D582" t="str">
        <f>_xlfn.XLOOKUP(E582,pathways!$A$2:$A$31,pathways!$B$2:$B$31)</f>
        <v>Lipid metabolism</v>
      </c>
      <c r="E582" t="s">
        <v>3459</v>
      </c>
      <c r="F582" t="s">
        <v>4998</v>
      </c>
      <c r="G582" t="s">
        <v>14360</v>
      </c>
      <c r="H582" t="s">
        <v>14360</v>
      </c>
      <c r="I582" t="s">
        <v>9367</v>
      </c>
      <c r="J582" s="4" t="s">
        <v>14360</v>
      </c>
      <c r="L582" t="s">
        <v>14360</v>
      </c>
      <c r="M582" t="s">
        <v>14360</v>
      </c>
      <c r="N582" t="s">
        <v>3459</v>
      </c>
      <c r="O582" t="s">
        <v>14360</v>
      </c>
      <c r="P582" t="s">
        <v>4998</v>
      </c>
      <c r="Q582" t="s">
        <v>14360</v>
      </c>
      <c r="R582" t="s">
        <v>14360</v>
      </c>
      <c r="S582" t="s">
        <v>3670</v>
      </c>
    </row>
    <row r="583" spans="1:19" x14ac:dyDescent="0.2">
      <c r="A583" t="s">
        <v>14219</v>
      </c>
      <c r="B583" t="s">
        <v>14359</v>
      </c>
      <c r="C583" t="s">
        <v>19933</v>
      </c>
      <c r="D583" t="str">
        <f>_xlfn.XLOOKUP(E583,pathways!$A$2:$A$31,pathways!$B$2:$B$31)</f>
        <v>Lipid metabolism</v>
      </c>
      <c r="E583" t="s">
        <v>3459</v>
      </c>
      <c r="F583" t="s">
        <v>4998</v>
      </c>
      <c r="G583" t="s">
        <v>14360</v>
      </c>
      <c r="H583" t="s">
        <v>14360</v>
      </c>
      <c r="I583" t="s">
        <v>14360</v>
      </c>
      <c r="J583" s="4" t="s">
        <v>11809</v>
      </c>
      <c r="L583" t="s">
        <v>14360</v>
      </c>
      <c r="M583" t="s">
        <v>14360</v>
      </c>
      <c r="N583" t="s">
        <v>14360</v>
      </c>
      <c r="O583" t="s">
        <v>3459</v>
      </c>
      <c r="P583" t="s">
        <v>14360</v>
      </c>
      <c r="Q583" t="s">
        <v>4998</v>
      </c>
      <c r="R583" t="s">
        <v>14360</v>
      </c>
      <c r="S583" t="s">
        <v>14360</v>
      </c>
    </row>
    <row r="584" spans="1:19" x14ac:dyDescent="0.2">
      <c r="A584" t="s">
        <v>2083</v>
      </c>
      <c r="B584" t="s">
        <v>14359</v>
      </c>
      <c r="C584" t="s">
        <v>19522</v>
      </c>
      <c r="D584" t="str">
        <f>_xlfn.XLOOKUP(E584,pathways!$A$2:$A$31,pathways!$B$2:$B$31)</f>
        <v>Lipid metabolism</v>
      </c>
      <c r="E584" t="s">
        <v>3459</v>
      </c>
      <c r="F584" t="s">
        <v>5526</v>
      </c>
      <c r="G584" t="s">
        <v>14360</v>
      </c>
      <c r="H584" t="s">
        <v>14360</v>
      </c>
      <c r="I584" t="s">
        <v>9481</v>
      </c>
      <c r="J584" s="4" t="s">
        <v>9481</v>
      </c>
      <c r="L584" t="s">
        <v>2082</v>
      </c>
      <c r="M584" t="s">
        <v>15376</v>
      </c>
      <c r="N584" t="s">
        <v>3459</v>
      </c>
      <c r="O584" t="s">
        <v>3459</v>
      </c>
      <c r="P584" t="s">
        <v>5526</v>
      </c>
      <c r="Q584" t="s">
        <v>11596</v>
      </c>
      <c r="R584" t="s">
        <v>3459</v>
      </c>
      <c r="S584" t="s">
        <v>14360</v>
      </c>
    </row>
    <row r="585" spans="1:19" x14ac:dyDescent="0.2">
      <c r="A585" t="s">
        <v>13787</v>
      </c>
      <c r="B585" t="s">
        <v>14359</v>
      </c>
      <c r="C585" t="s">
        <v>19935</v>
      </c>
      <c r="D585" t="str">
        <f>_xlfn.XLOOKUP(E585,pathways!$A$2:$A$31,pathways!$B$2:$B$31)</f>
        <v>Lipid metabolism</v>
      </c>
      <c r="E585" t="s">
        <v>3459</v>
      </c>
      <c r="F585" t="s">
        <v>3516</v>
      </c>
      <c r="G585" t="s">
        <v>14360</v>
      </c>
      <c r="H585" t="s">
        <v>14360</v>
      </c>
      <c r="I585" t="s">
        <v>4722</v>
      </c>
      <c r="J585" s="4" t="s">
        <v>14360</v>
      </c>
      <c r="L585" t="s">
        <v>14360</v>
      </c>
      <c r="M585" t="s">
        <v>14360</v>
      </c>
      <c r="N585" t="s">
        <v>3459</v>
      </c>
      <c r="O585" t="s">
        <v>14360</v>
      </c>
      <c r="P585" t="s">
        <v>3516</v>
      </c>
      <c r="Q585" t="s">
        <v>14360</v>
      </c>
      <c r="R585" t="s">
        <v>14360</v>
      </c>
    </row>
    <row r="586" spans="1:19" x14ac:dyDescent="0.2">
      <c r="A586" t="s">
        <v>14088</v>
      </c>
      <c r="B586" t="s">
        <v>14359</v>
      </c>
      <c r="C586" t="s">
        <v>19936</v>
      </c>
      <c r="D586" t="str">
        <f>_xlfn.XLOOKUP(E586,pathways!$A$2:$A$31,pathways!$B$2:$B$31)</f>
        <v>Lipid metabolism</v>
      </c>
      <c r="E586" t="s">
        <v>3459</v>
      </c>
      <c r="F586" t="s">
        <v>3516</v>
      </c>
      <c r="G586" t="s">
        <v>14360</v>
      </c>
      <c r="H586" t="s">
        <v>14360</v>
      </c>
      <c r="I586" t="s">
        <v>10164</v>
      </c>
      <c r="J586" s="4" t="s">
        <v>14360</v>
      </c>
      <c r="L586" t="s">
        <v>14360</v>
      </c>
      <c r="M586" t="s">
        <v>14360</v>
      </c>
      <c r="N586" t="s">
        <v>3459</v>
      </c>
      <c r="O586" t="s">
        <v>14360</v>
      </c>
      <c r="P586" t="s">
        <v>3516</v>
      </c>
      <c r="Q586" t="s">
        <v>14360</v>
      </c>
      <c r="R586" t="s">
        <v>14360</v>
      </c>
    </row>
    <row r="587" spans="1:19" x14ac:dyDescent="0.2">
      <c r="A587" t="s">
        <v>13864</v>
      </c>
      <c r="B587" t="s">
        <v>14359</v>
      </c>
      <c r="C587" t="s">
        <v>19319</v>
      </c>
      <c r="D587" t="str">
        <f>_xlfn.XLOOKUP(E587,pathways!$A$2:$A$31,pathways!$B$2:$B$31)</f>
        <v>Lipid metabolism</v>
      </c>
      <c r="E587" t="s">
        <v>3459</v>
      </c>
      <c r="F587" t="s">
        <v>3937</v>
      </c>
      <c r="G587" t="s">
        <v>14360</v>
      </c>
      <c r="H587" t="s">
        <v>14360</v>
      </c>
      <c r="I587" t="s">
        <v>7052</v>
      </c>
      <c r="J587" s="4" t="s">
        <v>14360</v>
      </c>
      <c r="L587" t="s">
        <v>1522</v>
      </c>
      <c r="M587" t="s">
        <v>14808</v>
      </c>
      <c r="N587" t="s">
        <v>3459</v>
      </c>
      <c r="O587" t="s">
        <v>14360</v>
      </c>
      <c r="P587" t="s">
        <v>3937</v>
      </c>
      <c r="Q587" t="s">
        <v>14360</v>
      </c>
      <c r="R587" t="s">
        <v>3459</v>
      </c>
    </row>
    <row r="588" spans="1:19" x14ac:dyDescent="0.2">
      <c r="A588" t="s">
        <v>2418</v>
      </c>
      <c r="B588" t="s">
        <v>14359</v>
      </c>
      <c r="C588" t="s">
        <v>19640</v>
      </c>
      <c r="D588" t="str">
        <f>_xlfn.XLOOKUP(E588,pathways!$A$2:$A$31,pathways!$B$2:$B$31)</f>
        <v>Lipid metabolism</v>
      </c>
      <c r="E588" t="s">
        <v>3459</v>
      </c>
      <c r="F588" t="s">
        <v>3516</v>
      </c>
      <c r="G588" t="s">
        <v>14360</v>
      </c>
      <c r="H588" t="s">
        <v>14360</v>
      </c>
      <c r="I588" t="s">
        <v>3519</v>
      </c>
      <c r="J588" s="4" t="s">
        <v>3519</v>
      </c>
      <c r="L588" t="s">
        <v>2417</v>
      </c>
      <c r="M588" t="s">
        <v>15721</v>
      </c>
      <c r="N588" t="s">
        <v>3459</v>
      </c>
      <c r="O588" t="s">
        <v>3459</v>
      </c>
      <c r="P588" t="s">
        <v>3516</v>
      </c>
      <c r="Q588" t="s">
        <v>3516</v>
      </c>
      <c r="R588" t="s">
        <v>3459</v>
      </c>
      <c r="S588" t="s">
        <v>14360</v>
      </c>
    </row>
    <row r="589" spans="1:19" x14ac:dyDescent="0.2">
      <c r="A589" t="s">
        <v>2503</v>
      </c>
      <c r="B589" t="s">
        <v>14359</v>
      </c>
      <c r="C589" t="s">
        <v>346</v>
      </c>
      <c r="D589" t="str">
        <f>_xlfn.XLOOKUP(E589,pathways!$A$2:$A$31,pathways!$B$2:$B$31)</f>
        <v>Lipid metabolism</v>
      </c>
      <c r="E589" t="s">
        <v>3459</v>
      </c>
      <c r="F589" t="s">
        <v>3749</v>
      </c>
      <c r="G589" t="s">
        <v>14360</v>
      </c>
      <c r="H589" t="s">
        <v>14360</v>
      </c>
      <c r="I589" t="s">
        <v>3752</v>
      </c>
      <c r="J589" s="4" t="s">
        <v>3752</v>
      </c>
      <c r="L589" t="s">
        <v>2502</v>
      </c>
      <c r="M589" t="s">
        <v>15815</v>
      </c>
      <c r="N589" t="s">
        <v>3459</v>
      </c>
      <c r="O589" t="s">
        <v>3459</v>
      </c>
      <c r="P589" t="s">
        <v>3749</v>
      </c>
      <c r="Q589" t="s">
        <v>3749</v>
      </c>
      <c r="R589" t="s">
        <v>3459</v>
      </c>
      <c r="S589" t="s">
        <v>14360</v>
      </c>
    </row>
    <row r="590" spans="1:19" x14ac:dyDescent="0.2">
      <c r="A590" t="s">
        <v>13848</v>
      </c>
      <c r="B590" t="s">
        <v>14359</v>
      </c>
      <c r="C590" t="s">
        <v>19937</v>
      </c>
      <c r="D590" t="str">
        <f>_xlfn.XLOOKUP(E590,pathways!$A$2:$A$31,pathways!$B$2:$B$31)</f>
        <v>Lipid metabolism</v>
      </c>
      <c r="E590" t="s">
        <v>3459</v>
      </c>
      <c r="F590" t="s">
        <v>3749</v>
      </c>
      <c r="G590" t="s">
        <v>14360</v>
      </c>
      <c r="H590" t="s">
        <v>14360</v>
      </c>
      <c r="I590" t="s">
        <v>6719</v>
      </c>
      <c r="J590" s="4" t="s">
        <v>14360</v>
      </c>
      <c r="L590" t="s">
        <v>14360</v>
      </c>
      <c r="M590" t="s">
        <v>14360</v>
      </c>
      <c r="N590" t="s">
        <v>3459</v>
      </c>
      <c r="O590" t="s">
        <v>14360</v>
      </c>
      <c r="P590" t="s">
        <v>3749</v>
      </c>
      <c r="Q590" t="s">
        <v>14360</v>
      </c>
      <c r="R590" t="s">
        <v>14360</v>
      </c>
      <c r="S590" t="s">
        <v>14360</v>
      </c>
    </row>
    <row r="591" spans="1:19" x14ac:dyDescent="0.2">
      <c r="A591" t="s">
        <v>2236</v>
      </c>
      <c r="B591" t="s">
        <v>14359</v>
      </c>
      <c r="C591" t="s">
        <v>19579</v>
      </c>
      <c r="D591" t="str">
        <f>_xlfn.XLOOKUP(E591,pathways!$A$2:$A$31,pathways!$B$2:$B$31)</f>
        <v>Lipid metabolism</v>
      </c>
      <c r="E591" t="s">
        <v>3459</v>
      </c>
      <c r="F591" t="s">
        <v>3516</v>
      </c>
      <c r="G591" t="s">
        <v>14360</v>
      </c>
      <c r="H591" t="s">
        <v>14360</v>
      </c>
      <c r="I591" t="s">
        <v>9815</v>
      </c>
      <c r="J591" s="4" t="s">
        <v>14360</v>
      </c>
      <c r="L591" t="s">
        <v>2235</v>
      </c>
      <c r="M591" t="s">
        <v>15532</v>
      </c>
      <c r="N591" t="s">
        <v>3459</v>
      </c>
      <c r="O591" t="s">
        <v>14360</v>
      </c>
      <c r="P591" t="s">
        <v>3516</v>
      </c>
      <c r="Q591" t="s">
        <v>14360</v>
      </c>
      <c r="R591" t="s">
        <v>3459</v>
      </c>
      <c r="S591" t="s">
        <v>8860</v>
      </c>
    </row>
    <row r="592" spans="1:19" x14ac:dyDescent="0.2">
      <c r="A592" t="s">
        <v>2428</v>
      </c>
      <c r="B592" t="s">
        <v>14359</v>
      </c>
      <c r="C592" t="s">
        <v>19645</v>
      </c>
      <c r="D592" t="str">
        <f>_xlfn.XLOOKUP(E592,pathways!$A$2:$A$31,pathways!$B$2:$B$31)</f>
        <v>Lipid metabolism</v>
      </c>
      <c r="E592" t="s">
        <v>3459</v>
      </c>
      <c r="F592" t="s">
        <v>3758</v>
      </c>
      <c r="G592" t="s">
        <v>4898</v>
      </c>
      <c r="H592" t="s">
        <v>14360</v>
      </c>
      <c r="I592" t="s">
        <v>4898</v>
      </c>
      <c r="J592" s="4" t="s">
        <v>4898</v>
      </c>
      <c r="L592" t="s">
        <v>2427</v>
      </c>
      <c r="M592" t="s">
        <v>15733</v>
      </c>
      <c r="N592" t="s">
        <v>3459</v>
      </c>
      <c r="O592" t="s">
        <v>3459</v>
      </c>
      <c r="P592" t="s">
        <v>3758</v>
      </c>
      <c r="Q592" t="s">
        <v>3758</v>
      </c>
      <c r="R592" t="s">
        <v>3459</v>
      </c>
      <c r="S592" t="s">
        <v>814</v>
      </c>
    </row>
    <row r="593" spans="1:19" x14ac:dyDescent="0.2">
      <c r="A593" t="s">
        <v>2497</v>
      </c>
      <c r="B593" t="s">
        <v>14359</v>
      </c>
      <c r="C593" t="s">
        <v>19666</v>
      </c>
      <c r="D593" t="str">
        <f>_xlfn.XLOOKUP(E593,pathways!$A$2:$A$31,pathways!$B$2:$B$31)</f>
        <v>Lipid metabolism</v>
      </c>
      <c r="E593" t="s">
        <v>3459</v>
      </c>
      <c r="F593" t="s">
        <v>3758</v>
      </c>
      <c r="G593" t="s">
        <v>14360</v>
      </c>
      <c r="H593" t="s">
        <v>14360</v>
      </c>
      <c r="I593" t="s">
        <v>3761</v>
      </c>
      <c r="J593" s="4" t="s">
        <v>3761</v>
      </c>
      <c r="L593" t="s">
        <v>2496</v>
      </c>
      <c r="M593" t="s">
        <v>15805</v>
      </c>
      <c r="N593" t="s">
        <v>3459</v>
      </c>
      <c r="O593" t="s">
        <v>3459</v>
      </c>
      <c r="P593" t="s">
        <v>3758</v>
      </c>
      <c r="Q593" t="s">
        <v>3758</v>
      </c>
      <c r="R593" t="s">
        <v>3459</v>
      </c>
      <c r="S593" t="s">
        <v>5526</v>
      </c>
    </row>
    <row r="594" spans="1:19" x14ac:dyDescent="0.2">
      <c r="A594" t="s">
        <v>14095</v>
      </c>
      <c r="B594" t="s">
        <v>14359</v>
      </c>
      <c r="C594" t="s">
        <v>19597</v>
      </c>
      <c r="D594" t="str">
        <f>_xlfn.XLOOKUP(E594,pathways!$A$2:$A$31,pathways!$B$2:$B$31)</f>
        <v>Lipid metabolism</v>
      </c>
      <c r="E594" t="s">
        <v>3459</v>
      </c>
      <c r="F594" t="s">
        <v>4101</v>
      </c>
      <c r="G594" t="s">
        <v>13033</v>
      </c>
      <c r="H594" t="s">
        <v>14360</v>
      </c>
      <c r="I594" t="s">
        <v>10188</v>
      </c>
      <c r="J594" s="4" t="s">
        <v>14360</v>
      </c>
      <c r="L594" t="s">
        <v>2289</v>
      </c>
      <c r="M594" t="s">
        <v>15587</v>
      </c>
      <c r="N594" t="s">
        <v>3459</v>
      </c>
      <c r="O594" t="s">
        <v>14360</v>
      </c>
      <c r="P594" t="s">
        <v>4101</v>
      </c>
      <c r="Q594" t="s">
        <v>14360</v>
      </c>
      <c r="R594" t="s">
        <v>3459</v>
      </c>
      <c r="S594" t="s">
        <v>5082</v>
      </c>
    </row>
    <row r="595" spans="1:19" x14ac:dyDescent="0.2">
      <c r="A595" t="s">
        <v>2318</v>
      </c>
      <c r="B595" t="s">
        <v>14359</v>
      </c>
      <c r="C595" t="s">
        <v>19609</v>
      </c>
      <c r="D595" t="str">
        <f>_xlfn.XLOOKUP(E595,pathways!$A$2:$A$31,pathways!$B$2:$B$31)</f>
        <v>Lipid metabolism</v>
      </c>
      <c r="E595" t="s">
        <v>3459</v>
      </c>
      <c r="F595" t="s">
        <v>5535</v>
      </c>
      <c r="G595" t="s">
        <v>14360</v>
      </c>
      <c r="H595" t="s">
        <v>14360</v>
      </c>
      <c r="I595" t="s">
        <v>10191</v>
      </c>
      <c r="J595" s="4" t="s">
        <v>14360</v>
      </c>
      <c r="L595" t="s">
        <v>2317</v>
      </c>
      <c r="M595" t="s">
        <v>15620</v>
      </c>
      <c r="N595" t="s">
        <v>3459</v>
      </c>
      <c r="O595" t="s">
        <v>14360</v>
      </c>
      <c r="P595" t="s">
        <v>5535</v>
      </c>
      <c r="Q595" t="s">
        <v>14360</v>
      </c>
      <c r="R595" t="s">
        <v>3459</v>
      </c>
      <c r="S595" t="s">
        <v>3705</v>
      </c>
    </row>
    <row r="596" spans="1:19" x14ac:dyDescent="0.2">
      <c r="A596" t="s">
        <v>14104</v>
      </c>
      <c r="B596" t="s">
        <v>14359</v>
      </c>
      <c r="C596" t="s">
        <v>19613</v>
      </c>
      <c r="D596" t="str">
        <f>_xlfn.XLOOKUP(E596,pathways!$A$2:$A$31,pathways!$B$2:$B$31)</f>
        <v>Lipid metabolism</v>
      </c>
      <c r="E596" t="s">
        <v>3459</v>
      </c>
      <c r="F596" t="s">
        <v>4991</v>
      </c>
      <c r="G596" t="s">
        <v>14360</v>
      </c>
      <c r="H596" t="s">
        <v>14360</v>
      </c>
      <c r="I596" t="s">
        <v>10235</v>
      </c>
      <c r="J596" s="4" t="s">
        <v>14360</v>
      </c>
      <c r="L596" t="s">
        <v>2330</v>
      </c>
      <c r="M596" t="s">
        <v>15631</v>
      </c>
      <c r="N596" t="s">
        <v>3459</v>
      </c>
      <c r="O596" t="s">
        <v>14360</v>
      </c>
      <c r="P596" t="s">
        <v>4991</v>
      </c>
      <c r="Q596" t="s">
        <v>14360</v>
      </c>
      <c r="R596" t="s">
        <v>3459</v>
      </c>
      <c r="S596" t="s">
        <v>4215</v>
      </c>
    </row>
    <row r="597" spans="1:19" x14ac:dyDescent="0.2">
      <c r="A597" t="s">
        <v>13895</v>
      </c>
      <c r="B597" t="s">
        <v>14359</v>
      </c>
      <c r="C597" t="s">
        <v>19343</v>
      </c>
      <c r="D597" t="str">
        <f>_xlfn.XLOOKUP(E597,pathways!$A$2:$A$31,pathways!$B$2:$B$31)</f>
        <v>Lipid metabolism</v>
      </c>
      <c r="E597" t="s">
        <v>3459</v>
      </c>
      <c r="F597" t="s">
        <v>3569</v>
      </c>
      <c r="G597" t="s">
        <v>14360</v>
      </c>
      <c r="H597" t="s">
        <v>14360</v>
      </c>
      <c r="I597" t="s">
        <v>7663</v>
      </c>
      <c r="J597" s="4" t="s">
        <v>14360</v>
      </c>
      <c r="L597" t="s">
        <v>1619</v>
      </c>
      <c r="M597" t="s">
        <v>14907</v>
      </c>
      <c r="N597" t="s">
        <v>3459</v>
      </c>
      <c r="O597" t="s">
        <v>14360</v>
      </c>
      <c r="P597" t="s">
        <v>3569</v>
      </c>
      <c r="Q597" t="s">
        <v>14360</v>
      </c>
      <c r="R597" t="s">
        <v>3459</v>
      </c>
      <c r="S597" t="s">
        <v>4124</v>
      </c>
    </row>
    <row r="598" spans="1:19" x14ac:dyDescent="0.2">
      <c r="A598" t="s">
        <v>1594</v>
      </c>
      <c r="B598" t="s">
        <v>14359</v>
      </c>
      <c r="C598" t="s">
        <v>19337</v>
      </c>
      <c r="D598" t="str">
        <f>_xlfn.XLOOKUP(E598,pathways!$A$2:$A$31,pathways!$B$2:$B$31)</f>
        <v>Lipid metabolism</v>
      </c>
      <c r="E598" t="s">
        <v>3459</v>
      </c>
      <c r="F598" t="s">
        <v>6535</v>
      </c>
      <c r="G598" t="s">
        <v>14360</v>
      </c>
      <c r="H598" t="s">
        <v>14360</v>
      </c>
      <c r="I598" t="s">
        <v>7394</v>
      </c>
      <c r="J598" s="4" t="s">
        <v>7394</v>
      </c>
      <c r="L598" t="s">
        <v>1593</v>
      </c>
      <c r="M598" t="s">
        <v>14881</v>
      </c>
      <c r="N598" t="s">
        <v>3459</v>
      </c>
      <c r="O598" t="s">
        <v>3459</v>
      </c>
      <c r="P598" t="s">
        <v>6535</v>
      </c>
      <c r="Q598" t="s">
        <v>11596</v>
      </c>
      <c r="R598" t="s">
        <v>3459</v>
      </c>
      <c r="S598" t="s">
        <v>3498</v>
      </c>
    </row>
    <row r="599" spans="1:19" x14ac:dyDescent="0.2">
      <c r="A599" t="s">
        <v>13757</v>
      </c>
      <c r="B599" t="s">
        <v>14359</v>
      </c>
      <c r="C599" t="s">
        <v>19941</v>
      </c>
      <c r="D599" t="str">
        <f>_xlfn.XLOOKUP(E599,pathways!$A$2:$A$31,pathways!$B$2:$B$31)</f>
        <v>Lipid metabolism</v>
      </c>
      <c r="E599" t="s">
        <v>3459</v>
      </c>
      <c r="F599" t="s">
        <v>3768</v>
      </c>
      <c r="G599" t="s">
        <v>14360</v>
      </c>
      <c r="H599" t="s">
        <v>14360</v>
      </c>
      <c r="I599" t="s">
        <v>3771</v>
      </c>
      <c r="J599" s="4" t="s">
        <v>14360</v>
      </c>
      <c r="L599" t="s">
        <v>14360</v>
      </c>
      <c r="M599" t="s">
        <v>14360</v>
      </c>
      <c r="N599" t="s">
        <v>3459</v>
      </c>
      <c r="O599" t="s">
        <v>14360</v>
      </c>
      <c r="P599" t="s">
        <v>3768</v>
      </c>
      <c r="Q599" t="s">
        <v>14360</v>
      </c>
      <c r="R599" t="s">
        <v>14360</v>
      </c>
      <c r="S599" t="s">
        <v>3498</v>
      </c>
    </row>
    <row r="600" spans="1:19" x14ac:dyDescent="0.2">
      <c r="A600" t="s">
        <v>2520</v>
      </c>
      <c r="B600" t="s">
        <v>14359</v>
      </c>
      <c r="C600" t="s">
        <v>19675</v>
      </c>
      <c r="D600" t="str">
        <f>_xlfn.XLOOKUP(E600,pathways!$A$2:$A$31,pathways!$B$2:$B$31)</f>
        <v>Lipid metabolism</v>
      </c>
      <c r="E600" t="s">
        <v>3459</v>
      </c>
      <c r="F600" t="s">
        <v>3768</v>
      </c>
      <c r="G600" t="s">
        <v>3916</v>
      </c>
      <c r="H600" t="s">
        <v>14360</v>
      </c>
      <c r="I600" t="s">
        <v>3916</v>
      </c>
      <c r="J600" s="4" t="s">
        <v>3916</v>
      </c>
      <c r="L600" t="s">
        <v>2519</v>
      </c>
      <c r="M600" t="s">
        <v>15835</v>
      </c>
      <c r="N600" t="s">
        <v>3459</v>
      </c>
      <c r="O600" t="s">
        <v>3459</v>
      </c>
      <c r="P600" t="s">
        <v>3768</v>
      </c>
      <c r="Q600" t="s">
        <v>3768</v>
      </c>
      <c r="R600" t="s">
        <v>3459</v>
      </c>
      <c r="S600" t="s">
        <v>3882</v>
      </c>
    </row>
    <row r="601" spans="1:19" x14ac:dyDescent="0.2">
      <c r="A601" t="s">
        <v>2491</v>
      </c>
      <c r="B601" t="s">
        <v>14359</v>
      </c>
      <c r="C601" t="s">
        <v>19663</v>
      </c>
      <c r="D601" t="str">
        <f>_xlfn.XLOOKUP(E601,pathways!$A$2:$A$31,pathways!$B$2:$B$31)</f>
        <v>Lipid metabolism</v>
      </c>
      <c r="E601" t="s">
        <v>3459</v>
      </c>
      <c r="F601" t="s">
        <v>3768</v>
      </c>
      <c r="G601" t="s">
        <v>3779</v>
      </c>
      <c r="H601" t="s">
        <v>14360</v>
      </c>
      <c r="I601" t="s">
        <v>3779</v>
      </c>
      <c r="J601" s="4" t="s">
        <v>3779</v>
      </c>
      <c r="L601" t="s">
        <v>2490</v>
      </c>
      <c r="M601" t="s">
        <v>15799</v>
      </c>
      <c r="N601" t="s">
        <v>3459</v>
      </c>
      <c r="O601" t="s">
        <v>3459</v>
      </c>
      <c r="P601" t="s">
        <v>3768</v>
      </c>
      <c r="Q601" t="s">
        <v>3768</v>
      </c>
      <c r="R601" t="s">
        <v>3459</v>
      </c>
      <c r="S601" t="s">
        <v>3714</v>
      </c>
    </row>
    <row r="602" spans="1:19" x14ac:dyDescent="0.2">
      <c r="A602" t="s">
        <v>13997</v>
      </c>
      <c r="B602" t="s">
        <v>14359</v>
      </c>
      <c r="C602" t="s">
        <v>19537</v>
      </c>
      <c r="D602" t="str">
        <f>_xlfn.XLOOKUP(E602,pathways!$A$2:$A$31,pathways!$B$2:$B$31)</f>
        <v>Lipid metabolism</v>
      </c>
      <c r="E602" t="s">
        <v>3459</v>
      </c>
      <c r="F602" t="s">
        <v>3768</v>
      </c>
      <c r="G602" t="s">
        <v>9540</v>
      </c>
      <c r="H602" t="s">
        <v>14360</v>
      </c>
      <c r="I602" t="s">
        <v>9540</v>
      </c>
      <c r="J602" s="4" t="s">
        <v>14360</v>
      </c>
      <c r="L602" t="s">
        <v>2119</v>
      </c>
      <c r="M602" t="s">
        <v>15415</v>
      </c>
      <c r="N602" t="s">
        <v>3459</v>
      </c>
      <c r="O602" t="s">
        <v>14360</v>
      </c>
      <c r="P602" t="s">
        <v>3768</v>
      </c>
      <c r="Q602" t="s">
        <v>14360</v>
      </c>
      <c r="R602" t="s">
        <v>3459</v>
      </c>
      <c r="S602" t="s">
        <v>3714</v>
      </c>
    </row>
    <row r="603" spans="1:19" x14ac:dyDescent="0.2">
      <c r="A603" t="s">
        <v>14092</v>
      </c>
      <c r="B603" t="s">
        <v>14359</v>
      </c>
      <c r="C603" t="s">
        <v>19753</v>
      </c>
      <c r="D603" t="str">
        <f>_xlfn.XLOOKUP(E603,pathways!$A$2:$A$31,pathways!$B$2:$B$31)</f>
        <v>Lipid metabolism</v>
      </c>
      <c r="E603" t="s">
        <v>3459</v>
      </c>
      <c r="F603" t="s">
        <v>3873</v>
      </c>
      <c r="G603" t="s">
        <v>20434</v>
      </c>
      <c r="H603" t="s">
        <v>14360</v>
      </c>
      <c r="I603" t="s">
        <v>10180</v>
      </c>
      <c r="J603" s="4" t="s">
        <v>14360</v>
      </c>
      <c r="L603" t="s">
        <v>3092</v>
      </c>
      <c r="M603" t="s">
        <v>16449</v>
      </c>
      <c r="N603" t="s">
        <v>3459</v>
      </c>
      <c r="O603" t="s">
        <v>14360</v>
      </c>
      <c r="P603" t="s">
        <v>3873</v>
      </c>
      <c r="Q603" t="s">
        <v>14360</v>
      </c>
      <c r="R603" t="s">
        <v>3459</v>
      </c>
      <c r="S603" t="s">
        <v>3714</v>
      </c>
    </row>
    <row r="604" spans="1:19" x14ac:dyDescent="0.2">
      <c r="A604" t="s">
        <v>1288</v>
      </c>
      <c r="B604" t="s">
        <v>14359</v>
      </c>
      <c r="C604" t="s">
        <v>19241</v>
      </c>
      <c r="D604" t="str">
        <f>_xlfn.XLOOKUP(E604,pathways!$A$2:$A$31,pathways!$B$2:$B$31)</f>
        <v>Lipid metabolism</v>
      </c>
      <c r="E604" t="s">
        <v>3459</v>
      </c>
      <c r="F604" t="s">
        <v>5535</v>
      </c>
      <c r="G604" t="s">
        <v>14360</v>
      </c>
      <c r="H604" t="s">
        <v>14360</v>
      </c>
      <c r="I604" t="s">
        <v>6022</v>
      </c>
      <c r="J604" s="4" t="s">
        <v>6022</v>
      </c>
      <c r="L604" t="s">
        <v>1287</v>
      </c>
      <c r="M604" t="s">
        <v>14566</v>
      </c>
      <c r="N604" t="s">
        <v>3459</v>
      </c>
      <c r="O604" t="s">
        <v>3459</v>
      </c>
      <c r="P604" t="s">
        <v>5535</v>
      </c>
      <c r="Q604" t="s">
        <v>11596</v>
      </c>
      <c r="R604" t="s">
        <v>3459</v>
      </c>
      <c r="S604" t="s">
        <v>6580</v>
      </c>
    </row>
    <row r="605" spans="1:19" x14ac:dyDescent="0.2">
      <c r="A605" t="s">
        <v>1463</v>
      </c>
      <c r="B605" t="s">
        <v>14359</v>
      </c>
      <c r="C605" t="s">
        <v>19300</v>
      </c>
      <c r="D605" t="str">
        <f>_xlfn.XLOOKUP(E605,pathways!$A$2:$A$31,pathways!$B$2:$B$31)</f>
        <v>Lipid metabolism</v>
      </c>
      <c r="E605" t="s">
        <v>3459</v>
      </c>
      <c r="F605" t="s">
        <v>5134</v>
      </c>
      <c r="G605" t="s">
        <v>14360</v>
      </c>
      <c r="H605" t="s">
        <v>14360</v>
      </c>
      <c r="I605" t="s">
        <v>6847</v>
      </c>
      <c r="J605" s="4" t="s">
        <v>6847</v>
      </c>
      <c r="L605" t="s">
        <v>1462</v>
      </c>
      <c r="M605" t="s">
        <v>14748</v>
      </c>
      <c r="N605" t="s">
        <v>3459</v>
      </c>
      <c r="O605" t="s">
        <v>3459</v>
      </c>
      <c r="P605" t="s">
        <v>5134</v>
      </c>
      <c r="Q605" t="s">
        <v>5134</v>
      </c>
      <c r="R605" t="s">
        <v>3459</v>
      </c>
      <c r="S605" t="s">
        <v>6580</v>
      </c>
    </row>
    <row r="606" spans="1:19" x14ac:dyDescent="0.2">
      <c r="A606" t="s">
        <v>2536</v>
      </c>
      <c r="B606" t="s">
        <v>14359</v>
      </c>
      <c r="C606" t="s">
        <v>19682</v>
      </c>
      <c r="D606" t="str">
        <f>_xlfn.XLOOKUP(E606,pathways!$A$2:$A$31,pathways!$B$2:$B$31)</f>
        <v>Lipid metabolism</v>
      </c>
      <c r="E606" t="s">
        <v>3459</v>
      </c>
      <c r="F606" t="s">
        <v>3819</v>
      </c>
      <c r="G606" t="s">
        <v>14360</v>
      </c>
      <c r="H606" t="s">
        <v>14360</v>
      </c>
      <c r="I606" t="s">
        <v>3822</v>
      </c>
      <c r="J606" s="4" t="s">
        <v>3822</v>
      </c>
      <c r="L606" t="s">
        <v>2535</v>
      </c>
      <c r="M606" t="s">
        <v>15851</v>
      </c>
      <c r="N606" t="s">
        <v>3459</v>
      </c>
      <c r="O606" t="s">
        <v>3459</v>
      </c>
      <c r="P606" t="s">
        <v>3819</v>
      </c>
      <c r="Q606" t="s">
        <v>3819</v>
      </c>
      <c r="R606" t="s">
        <v>3459</v>
      </c>
      <c r="S606" t="s">
        <v>6580</v>
      </c>
    </row>
    <row r="607" spans="1:19" x14ac:dyDescent="0.2">
      <c r="A607" t="s">
        <v>14093</v>
      </c>
      <c r="B607" t="s">
        <v>14359</v>
      </c>
      <c r="C607" t="s">
        <v>19599</v>
      </c>
      <c r="D607" t="str">
        <f>_xlfn.XLOOKUP(E607,pathways!$A$2:$A$31,pathways!$B$2:$B$31)</f>
        <v>Lipid metabolism</v>
      </c>
      <c r="E607" t="s">
        <v>3459</v>
      </c>
      <c r="F607" t="s">
        <v>3819</v>
      </c>
      <c r="G607" t="s">
        <v>14360</v>
      </c>
      <c r="H607" t="s">
        <v>14360</v>
      </c>
      <c r="I607" t="s">
        <v>10184</v>
      </c>
      <c r="J607" s="4" t="s">
        <v>14360</v>
      </c>
      <c r="L607" t="s">
        <v>2292</v>
      </c>
      <c r="M607" t="s">
        <v>15590</v>
      </c>
      <c r="N607" t="s">
        <v>3459</v>
      </c>
      <c r="O607" t="s">
        <v>14360</v>
      </c>
      <c r="P607" t="s">
        <v>3819</v>
      </c>
      <c r="Q607" t="s">
        <v>14360</v>
      </c>
      <c r="R607" t="s">
        <v>3459</v>
      </c>
      <c r="S607" t="s">
        <v>6580</v>
      </c>
    </row>
    <row r="608" spans="1:19" x14ac:dyDescent="0.2">
      <c r="A608" t="s">
        <v>14028</v>
      </c>
      <c r="B608" t="s">
        <v>14359</v>
      </c>
      <c r="C608" t="s">
        <v>19752</v>
      </c>
      <c r="D608" t="str">
        <f>_xlfn.XLOOKUP(E608,pathways!$A$2:$A$31,pathways!$B$2:$B$31)</f>
        <v>Lipid metabolism</v>
      </c>
      <c r="E608" t="s">
        <v>3459</v>
      </c>
      <c r="F608" t="s">
        <v>3819</v>
      </c>
      <c r="G608" t="s">
        <v>14360</v>
      </c>
      <c r="H608" t="s">
        <v>14360</v>
      </c>
      <c r="I608" t="s">
        <v>9820</v>
      </c>
      <c r="J608" s="4" t="s">
        <v>14360</v>
      </c>
      <c r="L608" t="s">
        <v>3090</v>
      </c>
      <c r="M608" t="s">
        <v>16447</v>
      </c>
      <c r="N608" t="s">
        <v>3459</v>
      </c>
      <c r="O608" t="s">
        <v>14360</v>
      </c>
      <c r="P608" t="s">
        <v>3819</v>
      </c>
      <c r="Q608" t="s">
        <v>14360</v>
      </c>
      <c r="R608" t="s">
        <v>3459</v>
      </c>
      <c r="S608" t="s">
        <v>6580</v>
      </c>
    </row>
    <row r="609" spans="1:19" x14ac:dyDescent="0.2">
      <c r="A609" t="s">
        <v>13816</v>
      </c>
      <c r="B609" t="s">
        <v>14359</v>
      </c>
      <c r="C609" t="s">
        <v>19212</v>
      </c>
      <c r="D609" t="str">
        <f>_xlfn.XLOOKUP(E609,pathways!$A$2:$A$31,pathways!$B$2:$B$31)</f>
        <v>Lipid metabolism</v>
      </c>
      <c r="E609" t="s">
        <v>3459</v>
      </c>
      <c r="F609" t="s">
        <v>5559</v>
      </c>
      <c r="G609" t="s">
        <v>5562</v>
      </c>
      <c r="H609" t="s">
        <v>14360</v>
      </c>
      <c r="I609" t="s">
        <v>5562</v>
      </c>
      <c r="J609" s="4" t="s">
        <v>11852</v>
      </c>
      <c r="L609" t="s">
        <v>1194</v>
      </c>
      <c r="M609" t="s">
        <v>14468</v>
      </c>
      <c r="N609" t="s">
        <v>3459</v>
      </c>
      <c r="O609" t="s">
        <v>3459</v>
      </c>
      <c r="P609" t="s">
        <v>5559</v>
      </c>
      <c r="Q609" t="s">
        <v>5559</v>
      </c>
      <c r="R609" t="s">
        <v>3459</v>
      </c>
      <c r="S609" t="s">
        <v>6580</v>
      </c>
    </row>
    <row r="610" spans="1:19" x14ac:dyDescent="0.2">
      <c r="A610" t="s">
        <v>14220</v>
      </c>
      <c r="B610" t="s">
        <v>14359</v>
      </c>
      <c r="C610" t="s">
        <v>19951</v>
      </c>
      <c r="D610" t="str">
        <f>_xlfn.XLOOKUP(E610,pathways!$A$2:$A$31,pathways!$B$2:$B$31)</f>
        <v>Lipid metabolism</v>
      </c>
      <c r="E610" t="s">
        <v>3459</v>
      </c>
      <c r="F610" t="s">
        <v>7792</v>
      </c>
      <c r="G610" t="s">
        <v>14360</v>
      </c>
      <c r="H610" t="s">
        <v>14360</v>
      </c>
      <c r="I610" t="s">
        <v>14360</v>
      </c>
      <c r="J610" s="4" t="s">
        <v>11859</v>
      </c>
      <c r="L610" t="s">
        <v>14360</v>
      </c>
      <c r="M610" t="s">
        <v>14360</v>
      </c>
      <c r="N610" t="s">
        <v>14360</v>
      </c>
      <c r="O610" t="s">
        <v>3459</v>
      </c>
      <c r="P610" t="s">
        <v>14360</v>
      </c>
      <c r="Q610" t="s">
        <v>7792</v>
      </c>
      <c r="R610" t="s">
        <v>14360</v>
      </c>
      <c r="S610" t="s">
        <v>6580</v>
      </c>
    </row>
    <row r="611" spans="1:19" x14ac:dyDescent="0.2">
      <c r="A611" t="s">
        <v>14221</v>
      </c>
      <c r="B611" t="s">
        <v>14359</v>
      </c>
      <c r="C611" t="s">
        <v>19952</v>
      </c>
      <c r="D611" t="str">
        <f>_xlfn.XLOOKUP(E611,pathways!$A$2:$A$31,pathways!$B$2:$B$31)</f>
        <v>Lipid metabolism</v>
      </c>
      <c r="E611" t="s">
        <v>3459</v>
      </c>
      <c r="F611" t="s">
        <v>7792</v>
      </c>
      <c r="G611" t="s">
        <v>14360</v>
      </c>
      <c r="H611" t="s">
        <v>14360</v>
      </c>
      <c r="I611" t="s">
        <v>14360</v>
      </c>
      <c r="J611" s="4" t="s">
        <v>11861</v>
      </c>
      <c r="L611" t="s">
        <v>14360</v>
      </c>
      <c r="M611" t="s">
        <v>14360</v>
      </c>
      <c r="N611" t="s">
        <v>14360</v>
      </c>
      <c r="O611" t="s">
        <v>3459</v>
      </c>
      <c r="P611" t="s">
        <v>14360</v>
      </c>
      <c r="Q611" t="s">
        <v>7792</v>
      </c>
      <c r="R611" t="s">
        <v>14360</v>
      </c>
      <c r="S611" t="s">
        <v>6580</v>
      </c>
    </row>
    <row r="612" spans="1:19" x14ac:dyDescent="0.2">
      <c r="A612" t="s">
        <v>14222</v>
      </c>
      <c r="B612" t="s">
        <v>14359</v>
      </c>
      <c r="C612" t="s">
        <v>19953</v>
      </c>
      <c r="D612" t="str">
        <f>_xlfn.XLOOKUP(E612,pathways!$A$2:$A$31,pathways!$B$2:$B$31)</f>
        <v>Lipid metabolism</v>
      </c>
      <c r="E612" t="s">
        <v>3459</v>
      </c>
      <c r="F612" t="s">
        <v>7792</v>
      </c>
      <c r="G612" t="s">
        <v>14360</v>
      </c>
      <c r="H612" t="s">
        <v>14360</v>
      </c>
      <c r="I612" t="s">
        <v>14360</v>
      </c>
      <c r="J612" s="4" t="s">
        <v>11863</v>
      </c>
      <c r="L612" t="s">
        <v>14360</v>
      </c>
      <c r="M612" t="s">
        <v>14360</v>
      </c>
      <c r="N612" t="s">
        <v>14360</v>
      </c>
      <c r="O612" t="s">
        <v>3459</v>
      </c>
      <c r="P612" t="s">
        <v>14360</v>
      </c>
      <c r="Q612" t="s">
        <v>7792</v>
      </c>
      <c r="R612" t="s">
        <v>14360</v>
      </c>
      <c r="S612" t="s">
        <v>6580</v>
      </c>
    </row>
    <row r="613" spans="1:19" x14ac:dyDescent="0.2">
      <c r="A613" t="s">
        <v>14223</v>
      </c>
      <c r="B613" t="s">
        <v>14359</v>
      </c>
      <c r="C613" t="s">
        <v>19954</v>
      </c>
      <c r="D613" t="str">
        <f>_xlfn.XLOOKUP(E613,pathways!$A$2:$A$31,pathways!$B$2:$B$31)</f>
        <v>Lipid metabolism</v>
      </c>
      <c r="E613" t="s">
        <v>3459</v>
      </c>
      <c r="F613" t="s">
        <v>7792</v>
      </c>
      <c r="G613" t="s">
        <v>14360</v>
      </c>
      <c r="H613" t="s">
        <v>14360</v>
      </c>
      <c r="I613" t="s">
        <v>14360</v>
      </c>
      <c r="J613" s="4" t="s">
        <v>11865</v>
      </c>
      <c r="L613" t="s">
        <v>14360</v>
      </c>
      <c r="M613" t="s">
        <v>14360</v>
      </c>
      <c r="N613" t="s">
        <v>14360</v>
      </c>
      <c r="O613" t="s">
        <v>3459</v>
      </c>
      <c r="P613" t="s">
        <v>14360</v>
      </c>
      <c r="Q613" t="s">
        <v>7792</v>
      </c>
      <c r="R613" t="s">
        <v>14360</v>
      </c>
      <c r="S613" t="s">
        <v>3714</v>
      </c>
    </row>
    <row r="614" spans="1:19" x14ac:dyDescent="0.2">
      <c r="A614" t="s">
        <v>2416</v>
      </c>
      <c r="B614" t="s">
        <v>14359</v>
      </c>
      <c r="C614" t="s">
        <v>19639</v>
      </c>
      <c r="D614" t="str">
        <f>_xlfn.XLOOKUP(E614,pathways!$A$2:$A$31,pathways!$B$2:$B$31)</f>
        <v>Lipid metabolism</v>
      </c>
      <c r="E614" t="s">
        <v>3459</v>
      </c>
      <c r="F614" t="s">
        <v>3560</v>
      </c>
      <c r="G614" t="s">
        <v>14360</v>
      </c>
      <c r="H614" t="s">
        <v>14360</v>
      </c>
      <c r="I614" t="s">
        <v>4855</v>
      </c>
      <c r="J614" s="4" t="s">
        <v>4855</v>
      </c>
      <c r="L614" t="s">
        <v>2415</v>
      </c>
      <c r="M614" t="s">
        <v>15719</v>
      </c>
      <c r="N614" t="s">
        <v>3459</v>
      </c>
      <c r="O614" t="s">
        <v>3459</v>
      </c>
      <c r="P614" t="s">
        <v>3560</v>
      </c>
      <c r="Q614" t="s">
        <v>11702</v>
      </c>
      <c r="R614" t="s">
        <v>3459</v>
      </c>
      <c r="S614" t="s">
        <v>14360</v>
      </c>
    </row>
    <row r="615" spans="1:19" x14ac:dyDescent="0.2">
      <c r="A615" t="s">
        <v>1477</v>
      </c>
      <c r="B615" t="s">
        <v>14359</v>
      </c>
      <c r="C615" t="s">
        <v>19306</v>
      </c>
      <c r="D615" t="str">
        <f>_xlfn.XLOOKUP(E615,pathways!$A$2:$A$31,pathways!$B$2:$B$31)</f>
        <v>Lipid metabolism</v>
      </c>
      <c r="E615" t="s">
        <v>3459</v>
      </c>
      <c r="F615" t="s">
        <v>3560</v>
      </c>
      <c r="G615" t="s">
        <v>14360</v>
      </c>
      <c r="H615" t="s">
        <v>14360</v>
      </c>
      <c r="I615" t="s">
        <v>6892</v>
      </c>
      <c r="J615" s="4" t="s">
        <v>6892</v>
      </c>
      <c r="L615" t="s">
        <v>1476</v>
      </c>
      <c r="M615" t="s">
        <v>14762</v>
      </c>
      <c r="N615" t="s">
        <v>3459</v>
      </c>
      <c r="O615" t="s">
        <v>3459</v>
      </c>
      <c r="P615" t="s">
        <v>3560</v>
      </c>
      <c r="Q615" t="s">
        <v>11702</v>
      </c>
      <c r="R615" t="s">
        <v>3459</v>
      </c>
      <c r="S615" t="s">
        <v>14360</v>
      </c>
    </row>
    <row r="616" spans="1:19" x14ac:dyDescent="0.2">
      <c r="A616" t="s">
        <v>1995</v>
      </c>
      <c r="B616" t="s">
        <v>14359</v>
      </c>
      <c r="C616" t="s">
        <v>19479</v>
      </c>
      <c r="D616" t="str">
        <f>_xlfn.XLOOKUP(E616,pathways!$A$2:$A$31,pathways!$B$2:$B$31)</f>
        <v>Lipid metabolism</v>
      </c>
      <c r="E616" t="s">
        <v>3459</v>
      </c>
      <c r="F616" t="s">
        <v>9134</v>
      </c>
      <c r="G616" t="s">
        <v>14360</v>
      </c>
      <c r="H616" t="s">
        <v>14360</v>
      </c>
      <c r="I616" t="s">
        <v>9198</v>
      </c>
      <c r="J616" s="4" t="s">
        <v>9198</v>
      </c>
      <c r="L616" t="s">
        <v>1994</v>
      </c>
      <c r="M616" t="s">
        <v>15296</v>
      </c>
      <c r="N616" t="s">
        <v>3459</v>
      </c>
      <c r="O616" t="s">
        <v>3459</v>
      </c>
      <c r="P616" t="s">
        <v>9134</v>
      </c>
      <c r="Q616" t="s">
        <v>9134</v>
      </c>
      <c r="R616" t="s">
        <v>3459</v>
      </c>
      <c r="S616" t="s">
        <v>3873</v>
      </c>
    </row>
    <row r="617" spans="1:19" x14ac:dyDescent="0.2">
      <c r="A617" t="s">
        <v>2088</v>
      </c>
      <c r="B617" t="s">
        <v>14359</v>
      </c>
      <c r="C617" t="s">
        <v>19525</v>
      </c>
      <c r="D617" t="str">
        <f>_xlfn.XLOOKUP(E617,pathways!$A$2:$A$31,pathways!$B$2:$B$31)</f>
        <v>Lipid metabolism</v>
      </c>
      <c r="E617" t="s">
        <v>3459</v>
      </c>
      <c r="F617" t="s">
        <v>7821</v>
      </c>
      <c r="G617" t="s">
        <v>14360</v>
      </c>
      <c r="H617" t="s">
        <v>14360</v>
      </c>
      <c r="I617" t="s">
        <v>9498</v>
      </c>
      <c r="J617" s="4" t="s">
        <v>9498</v>
      </c>
      <c r="L617" t="s">
        <v>2087</v>
      </c>
      <c r="M617" t="s">
        <v>15381</v>
      </c>
      <c r="N617" t="s">
        <v>3459</v>
      </c>
      <c r="O617" t="s">
        <v>3459</v>
      </c>
      <c r="P617" t="s">
        <v>7821</v>
      </c>
      <c r="Q617" t="s">
        <v>11596</v>
      </c>
      <c r="R617" t="s">
        <v>3459</v>
      </c>
      <c r="S617" t="s">
        <v>6580</v>
      </c>
    </row>
    <row r="618" spans="1:19" x14ac:dyDescent="0.2">
      <c r="A618" t="s">
        <v>2098</v>
      </c>
      <c r="B618" t="s">
        <v>14359</v>
      </c>
      <c r="C618" t="s">
        <v>19530</v>
      </c>
      <c r="D618" t="str">
        <f>_xlfn.XLOOKUP(E618,pathways!$A$2:$A$31,pathways!$B$2:$B$31)</f>
        <v>Lipid metabolism</v>
      </c>
      <c r="E618" t="s">
        <v>3459</v>
      </c>
      <c r="F618" t="s">
        <v>7821</v>
      </c>
      <c r="G618" t="s">
        <v>14360</v>
      </c>
      <c r="H618" t="s">
        <v>14360</v>
      </c>
      <c r="I618" t="s">
        <v>9495</v>
      </c>
      <c r="J618" s="4" t="s">
        <v>9495</v>
      </c>
      <c r="L618" t="s">
        <v>2097</v>
      </c>
      <c r="M618" t="s">
        <v>15391</v>
      </c>
      <c r="N618" t="s">
        <v>3459</v>
      </c>
      <c r="O618" t="s">
        <v>3459</v>
      </c>
      <c r="P618" t="s">
        <v>7821</v>
      </c>
      <c r="Q618" t="s">
        <v>11596</v>
      </c>
      <c r="R618" t="s">
        <v>3459</v>
      </c>
      <c r="S618" t="s">
        <v>6580</v>
      </c>
    </row>
    <row r="619" spans="1:19" x14ac:dyDescent="0.2">
      <c r="A619" t="s">
        <v>1267</v>
      </c>
      <c r="B619" t="s">
        <v>14359</v>
      </c>
      <c r="C619" t="s">
        <v>19233</v>
      </c>
      <c r="D619" t="str">
        <f>_xlfn.XLOOKUP(E619,pathways!$A$2:$A$31,pathways!$B$2:$B$31)</f>
        <v>Lipid metabolism</v>
      </c>
      <c r="E619" t="s">
        <v>3459</v>
      </c>
      <c r="F619" t="s">
        <v>3560</v>
      </c>
      <c r="G619" t="s">
        <v>14360</v>
      </c>
      <c r="H619" t="s">
        <v>14360</v>
      </c>
      <c r="I619" t="s">
        <v>5936</v>
      </c>
      <c r="J619" s="4" t="s">
        <v>5936</v>
      </c>
      <c r="L619" t="s">
        <v>1266</v>
      </c>
      <c r="M619" t="s">
        <v>14544</v>
      </c>
      <c r="N619" t="s">
        <v>3459</v>
      </c>
      <c r="O619" t="s">
        <v>3459</v>
      </c>
      <c r="P619" t="s">
        <v>3560</v>
      </c>
      <c r="Q619" t="s">
        <v>11702</v>
      </c>
      <c r="R619" t="s">
        <v>3459</v>
      </c>
      <c r="S619" t="s">
        <v>4765</v>
      </c>
    </row>
    <row r="620" spans="1:19" x14ac:dyDescent="0.2">
      <c r="A620" t="s">
        <v>1658</v>
      </c>
      <c r="B620" t="s">
        <v>14359</v>
      </c>
      <c r="C620" t="s">
        <v>19357</v>
      </c>
      <c r="D620" t="str">
        <f>_xlfn.XLOOKUP(E620,pathways!$A$2:$A$31,pathways!$B$2:$B$31)</f>
        <v>Lipid metabolism</v>
      </c>
      <c r="E620" t="s">
        <v>3459</v>
      </c>
      <c r="F620" t="s">
        <v>3873</v>
      </c>
      <c r="G620" t="s">
        <v>14360</v>
      </c>
      <c r="H620" t="s">
        <v>14360</v>
      </c>
      <c r="I620" t="s">
        <v>7771</v>
      </c>
      <c r="J620" s="4" t="s">
        <v>7771</v>
      </c>
      <c r="L620" t="s">
        <v>1657</v>
      </c>
      <c r="M620" t="s">
        <v>14947</v>
      </c>
      <c r="N620" t="s">
        <v>3459</v>
      </c>
      <c r="O620" t="s">
        <v>3459</v>
      </c>
      <c r="P620" t="s">
        <v>3873</v>
      </c>
      <c r="Q620" t="s">
        <v>3873</v>
      </c>
      <c r="R620" t="s">
        <v>3459</v>
      </c>
      <c r="S620" t="s">
        <v>5754</v>
      </c>
    </row>
    <row r="621" spans="1:19" x14ac:dyDescent="0.2">
      <c r="A621" t="s">
        <v>13813</v>
      </c>
      <c r="B621" t="s">
        <v>14359</v>
      </c>
      <c r="C621" t="s">
        <v>19195</v>
      </c>
      <c r="D621" t="str">
        <f>_xlfn.XLOOKUP(E621,pathways!$A$2:$A$31,pathways!$B$2:$B$31)</f>
        <v>Lipid metabolism</v>
      </c>
      <c r="E621" t="s">
        <v>3459</v>
      </c>
      <c r="F621" t="s">
        <v>3560</v>
      </c>
      <c r="G621" t="s">
        <v>14360</v>
      </c>
      <c r="H621" t="s">
        <v>14360</v>
      </c>
      <c r="I621" t="s">
        <v>5459</v>
      </c>
      <c r="J621" s="4" t="s">
        <v>5459</v>
      </c>
      <c r="L621" t="s">
        <v>1153</v>
      </c>
      <c r="M621" t="s">
        <v>14424</v>
      </c>
      <c r="N621" t="s">
        <v>3459</v>
      </c>
      <c r="O621" t="s">
        <v>3459</v>
      </c>
      <c r="P621" t="s">
        <v>3560</v>
      </c>
      <c r="Q621" t="s">
        <v>11702</v>
      </c>
      <c r="R621" t="s">
        <v>3459</v>
      </c>
      <c r="S621" t="s">
        <v>5754</v>
      </c>
    </row>
    <row r="622" spans="1:19" x14ac:dyDescent="0.2">
      <c r="A622" t="s">
        <v>2102</v>
      </c>
      <c r="B622" t="s">
        <v>14359</v>
      </c>
      <c r="C622" t="s">
        <v>19532</v>
      </c>
      <c r="D622" t="str">
        <f>_xlfn.XLOOKUP(E622,pathways!$A$2:$A$31,pathways!$B$2:$B$31)</f>
        <v>Lipid metabolism</v>
      </c>
      <c r="E622" t="s">
        <v>3459</v>
      </c>
      <c r="F622" t="s">
        <v>7821</v>
      </c>
      <c r="G622" t="s">
        <v>14360</v>
      </c>
      <c r="H622" t="s">
        <v>14360</v>
      </c>
      <c r="I622" t="s">
        <v>9501</v>
      </c>
      <c r="J622" s="4" t="s">
        <v>14360</v>
      </c>
      <c r="L622" t="s">
        <v>2101</v>
      </c>
      <c r="M622" t="s">
        <v>15395</v>
      </c>
      <c r="N622" t="s">
        <v>3459</v>
      </c>
      <c r="O622" t="s">
        <v>14360</v>
      </c>
      <c r="P622" t="s">
        <v>7821</v>
      </c>
      <c r="Q622" t="s">
        <v>14360</v>
      </c>
      <c r="R622" t="s">
        <v>3459</v>
      </c>
      <c r="S622" t="s">
        <v>3470</v>
      </c>
    </row>
    <row r="623" spans="1:19" x14ac:dyDescent="0.2">
      <c r="A623" t="s">
        <v>1997</v>
      </c>
      <c r="B623" t="s">
        <v>14359</v>
      </c>
      <c r="C623" t="s">
        <v>19480</v>
      </c>
      <c r="D623" t="str">
        <f>_xlfn.XLOOKUP(E623,pathways!$A$2:$A$31,pathways!$B$2:$B$31)</f>
        <v>Lipid metabolism</v>
      </c>
      <c r="E623" t="s">
        <v>3459</v>
      </c>
      <c r="F623" t="s">
        <v>9134</v>
      </c>
      <c r="G623" t="s">
        <v>14360</v>
      </c>
      <c r="H623" t="s">
        <v>14360</v>
      </c>
      <c r="I623" t="s">
        <v>9190</v>
      </c>
      <c r="J623" s="4" t="s">
        <v>9190</v>
      </c>
      <c r="L623" t="s">
        <v>1996</v>
      </c>
      <c r="M623" t="s">
        <v>15298</v>
      </c>
      <c r="N623" t="s">
        <v>3459</v>
      </c>
      <c r="O623" t="s">
        <v>3459</v>
      </c>
      <c r="P623" t="s">
        <v>9134</v>
      </c>
      <c r="Q623" t="s">
        <v>9134</v>
      </c>
      <c r="R623" t="s">
        <v>3459</v>
      </c>
      <c r="S623" t="s">
        <v>3864</v>
      </c>
    </row>
    <row r="624" spans="1:19" x14ac:dyDescent="0.2">
      <c r="A624" t="s">
        <v>1429</v>
      </c>
      <c r="B624" t="s">
        <v>14359</v>
      </c>
      <c r="C624" t="s">
        <v>19285</v>
      </c>
      <c r="D624" t="str">
        <f>_xlfn.XLOOKUP(E624,pathways!$A$2:$A$31,pathways!$B$2:$B$31)</f>
        <v>Lipid metabolism</v>
      </c>
      <c r="E624" t="s">
        <v>3459</v>
      </c>
      <c r="F624" t="s">
        <v>3560</v>
      </c>
      <c r="G624" t="s">
        <v>14360</v>
      </c>
      <c r="H624" t="s">
        <v>14360</v>
      </c>
      <c r="I624" t="s">
        <v>6662</v>
      </c>
      <c r="J624" s="4" t="s">
        <v>14360</v>
      </c>
      <c r="L624" t="s">
        <v>1428</v>
      </c>
      <c r="M624" t="s">
        <v>14714</v>
      </c>
      <c r="N624" t="s">
        <v>3459</v>
      </c>
      <c r="O624" t="s">
        <v>14360</v>
      </c>
      <c r="P624" t="s">
        <v>3560</v>
      </c>
      <c r="Q624" t="s">
        <v>14360</v>
      </c>
      <c r="R624" t="s">
        <v>3459</v>
      </c>
      <c r="S624" t="s">
        <v>4373</v>
      </c>
    </row>
    <row r="625" spans="1:19" x14ac:dyDescent="0.2">
      <c r="A625" t="s">
        <v>13826</v>
      </c>
      <c r="B625" t="s">
        <v>14359</v>
      </c>
      <c r="C625" t="s">
        <v>19235</v>
      </c>
      <c r="D625" t="str">
        <f>_xlfn.XLOOKUP(E625,pathways!$A$2:$A$31,pathways!$B$2:$B$31)</f>
        <v>Lipid metabolism</v>
      </c>
      <c r="E625" t="s">
        <v>3459</v>
      </c>
      <c r="F625" t="s">
        <v>3560</v>
      </c>
      <c r="G625" t="s">
        <v>14360</v>
      </c>
      <c r="H625" t="s">
        <v>14360</v>
      </c>
      <c r="I625" t="s">
        <v>5928</v>
      </c>
      <c r="J625" s="4" t="s">
        <v>5928</v>
      </c>
      <c r="L625" t="s">
        <v>1270</v>
      </c>
      <c r="M625" t="s">
        <v>14548</v>
      </c>
      <c r="N625" t="s">
        <v>3459</v>
      </c>
      <c r="O625" t="s">
        <v>3459</v>
      </c>
      <c r="P625" t="s">
        <v>3560</v>
      </c>
      <c r="Q625" t="s">
        <v>11702</v>
      </c>
      <c r="R625" t="s">
        <v>3459</v>
      </c>
      <c r="S625" t="s">
        <v>14360</v>
      </c>
    </row>
    <row r="626" spans="1:19" x14ac:dyDescent="0.2">
      <c r="A626" t="s">
        <v>13995</v>
      </c>
      <c r="B626" t="s">
        <v>14359</v>
      </c>
      <c r="C626" t="s">
        <v>20101</v>
      </c>
      <c r="D626" t="str">
        <f>_xlfn.XLOOKUP(E626,pathways!$A$2:$A$31,pathways!$B$2:$B$31)</f>
        <v>Lipid metabolism</v>
      </c>
      <c r="E626" t="s">
        <v>3459</v>
      </c>
      <c r="F626" t="s">
        <v>7821</v>
      </c>
      <c r="G626" t="s">
        <v>14360</v>
      </c>
      <c r="H626" t="s">
        <v>14360</v>
      </c>
      <c r="I626" t="s">
        <v>9508</v>
      </c>
      <c r="J626" s="4" t="s">
        <v>9508</v>
      </c>
      <c r="L626" t="s">
        <v>14360</v>
      </c>
      <c r="M626" t="s">
        <v>14360</v>
      </c>
      <c r="N626" t="s">
        <v>3459</v>
      </c>
      <c r="O626" t="s">
        <v>3459</v>
      </c>
      <c r="P626" t="s">
        <v>7821</v>
      </c>
      <c r="Q626" t="s">
        <v>11596</v>
      </c>
      <c r="R626" t="s">
        <v>14360</v>
      </c>
      <c r="S626" t="s">
        <v>3569</v>
      </c>
    </row>
    <row r="627" spans="1:19" x14ac:dyDescent="0.2">
      <c r="A627" t="s">
        <v>2181</v>
      </c>
      <c r="B627" t="s">
        <v>14359</v>
      </c>
      <c r="C627" t="s">
        <v>19566</v>
      </c>
      <c r="D627" t="str">
        <f>_xlfn.XLOOKUP(E627,pathways!$A$2:$A$31,pathways!$B$2:$B$31)</f>
        <v>Lipid metabolism</v>
      </c>
      <c r="E627" t="s">
        <v>3459</v>
      </c>
      <c r="F627" t="s">
        <v>3873</v>
      </c>
      <c r="G627" t="s">
        <v>20432</v>
      </c>
      <c r="H627" t="s">
        <v>14360</v>
      </c>
      <c r="I627" t="s">
        <v>9769</v>
      </c>
      <c r="J627" s="4" t="s">
        <v>9769</v>
      </c>
      <c r="L627" t="s">
        <v>2180</v>
      </c>
      <c r="M627" t="s">
        <v>15478</v>
      </c>
      <c r="N627" t="s">
        <v>3459</v>
      </c>
      <c r="O627" t="s">
        <v>3459</v>
      </c>
      <c r="P627" t="s">
        <v>3873</v>
      </c>
      <c r="Q627" t="s">
        <v>3873</v>
      </c>
      <c r="R627" t="s">
        <v>3459</v>
      </c>
      <c r="S627" t="s">
        <v>3569</v>
      </c>
    </row>
    <row r="628" spans="1:19" x14ac:dyDescent="0.2">
      <c r="A628" t="s">
        <v>1240</v>
      </c>
      <c r="B628" t="s">
        <v>14359</v>
      </c>
      <c r="C628" t="s">
        <v>19223</v>
      </c>
      <c r="D628" t="str">
        <f>_xlfn.XLOOKUP(E628,pathways!$A$2:$A$31,pathways!$B$2:$B$31)</f>
        <v>Lipid metabolism</v>
      </c>
      <c r="E628" t="s">
        <v>3459</v>
      </c>
      <c r="F628" t="s">
        <v>3873</v>
      </c>
      <c r="G628" t="s">
        <v>14360</v>
      </c>
      <c r="H628" t="s">
        <v>14360</v>
      </c>
      <c r="I628" t="s">
        <v>5822</v>
      </c>
      <c r="J628" s="4" t="s">
        <v>5822</v>
      </c>
      <c r="L628" t="s">
        <v>1239</v>
      </c>
      <c r="M628" t="s">
        <v>14516</v>
      </c>
      <c r="N628" t="s">
        <v>3459</v>
      </c>
      <c r="O628" t="s">
        <v>3459</v>
      </c>
      <c r="P628" t="s">
        <v>3873</v>
      </c>
      <c r="Q628" t="s">
        <v>3873</v>
      </c>
      <c r="R628" t="s">
        <v>3459</v>
      </c>
      <c r="S628" t="s">
        <v>3569</v>
      </c>
    </row>
    <row r="629" spans="1:19" x14ac:dyDescent="0.2">
      <c r="A629" t="s">
        <v>2126</v>
      </c>
      <c r="B629" t="s">
        <v>14359</v>
      </c>
      <c r="C629" t="s">
        <v>19539</v>
      </c>
      <c r="D629" t="str">
        <f>_xlfn.XLOOKUP(E629,pathways!$A$2:$A$31,pathways!$B$2:$B$31)</f>
        <v>Lipid metabolism</v>
      </c>
      <c r="E629" t="s">
        <v>3459</v>
      </c>
      <c r="F629" t="s">
        <v>3873</v>
      </c>
      <c r="G629" t="s">
        <v>14360</v>
      </c>
      <c r="H629" t="s">
        <v>14360</v>
      </c>
      <c r="I629" t="s">
        <v>9610</v>
      </c>
      <c r="J629" s="4" t="s">
        <v>14360</v>
      </c>
      <c r="L629" t="s">
        <v>2125</v>
      </c>
      <c r="M629" t="s">
        <v>15420</v>
      </c>
      <c r="N629" t="s">
        <v>3459</v>
      </c>
      <c r="O629" t="s">
        <v>14360</v>
      </c>
      <c r="P629" t="s">
        <v>3873</v>
      </c>
      <c r="Q629" t="s">
        <v>14360</v>
      </c>
      <c r="R629" t="s">
        <v>3459</v>
      </c>
      <c r="S629" t="s">
        <v>14360</v>
      </c>
    </row>
    <row r="630" spans="1:19" x14ac:dyDescent="0.2">
      <c r="A630" t="s">
        <v>1650</v>
      </c>
      <c r="B630" t="s">
        <v>14359</v>
      </c>
      <c r="C630" t="s">
        <v>19354</v>
      </c>
      <c r="D630" t="str">
        <f>_xlfn.XLOOKUP(E630,pathways!$A$2:$A$31,pathways!$B$2:$B$31)</f>
        <v>Lipid metabolism</v>
      </c>
      <c r="E630" t="s">
        <v>3459</v>
      </c>
      <c r="F630" t="s">
        <v>3873</v>
      </c>
      <c r="G630" t="s">
        <v>14360</v>
      </c>
      <c r="H630" t="s">
        <v>14360</v>
      </c>
      <c r="I630" t="s">
        <v>7765</v>
      </c>
      <c r="J630" s="4" t="s">
        <v>11895</v>
      </c>
      <c r="L630" t="s">
        <v>1649</v>
      </c>
      <c r="M630" t="s">
        <v>14939</v>
      </c>
      <c r="N630" t="s">
        <v>3459</v>
      </c>
      <c r="O630" t="s">
        <v>3459</v>
      </c>
      <c r="P630" t="s">
        <v>3873</v>
      </c>
      <c r="Q630" t="s">
        <v>3873</v>
      </c>
      <c r="R630" t="s">
        <v>3459</v>
      </c>
      <c r="S630" t="s">
        <v>14360</v>
      </c>
    </row>
    <row r="631" spans="1:19" x14ac:dyDescent="0.2">
      <c r="A631" t="s">
        <v>2471</v>
      </c>
      <c r="B631" t="s">
        <v>14359</v>
      </c>
      <c r="C631" t="s">
        <v>19654</v>
      </c>
      <c r="D631" t="str">
        <f>_xlfn.XLOOKUP(E631,pathways!$A$2:$A$31,pathways!$B$2:$B$31)</f>
        <v>Lipid metabolism</v>
      </c>
      <c r="E631" t="s">
        <v>3459</v>
      </c>
      <c r="F631" t="s">
        <v>3560</v>
      </c>
      <c r="G631" t="s">
        <v>14360</v>
      </c>
      <c r="H631" t="s">
        <v>14360</v>
      </c>
      <c r="I631" t="s">
        <v>5114</v>
      </c>
      <c r="J631" s="4" t="s">
        <v>5114</v>
      </c>
      <c r="L631" t="s">
        <v>2470</v>
      </c>
      <c r="M631" t="s">
        <v>15777</v>
      </c>
      <c r="N631" t="s">
        <v>3459</v>
      </c>
      <c r="O631" t="s">
        <v>3459</v>
      </c>
      <c r="P631" t="s">
        <v>3560</v>
      </c>
      <c r="Q631" t="s">
        <v>11702</v>
      </c>
      <c r="R631" t="s">
        <v>3459</v>
      </c>
      <c r="S631" t="s">
        <v>14360</v>
      </c>
    </row>
    <row r="632" spans="1:19" x14ac:dyDescent="0.2">
      <c r="A632" t="s">
        <v>13976</v>
      </c>
      <c r="B632" t="s">
        <v>14359</v>
      </c>
      <c r="C632" t="s">
        <v>19961</v>
      </c>
      <c r="D632" t="str">
        <f>_xlfn.XLOOKUP(E632,pathways!$A$2:$A$31,pathways!$B$2:$B$31)</f>
        <v>Lipid metabolism</v>
      </c>
      <c r="E632" t="s">
        <v>3459</v>
      </c>
      <c r="F632" t="s">
        <v>9134</v>
      </c>
      <c r="G632" t="s">
        <v>14360</v>
      </c>
      <c r="H632" t="s">
        <v>14360</v>
      </c>
      <c r="I632" t="s">
        <v>9202</v>
      </c>
      <c r="J632" s="4" t="s">
        <v>14360</v>
      </c>
      <c r="L632" t="s">
        <v>14360</v>
      </c>
      <c r="M632" t="s">
        <v>14360</v>
      </c>
      <c r="N632" t="s">
        <v>3459</v>
      </c>
      <c r="O632" t="s">
        <v>14360</v>
      </c>
      <c r="P632" t="s">
        <v>9134</v>
      </c>
      <c r="Q632" t="s">
        <v>14360</v>
      </c>
      <c r="R632" t="s">
        <v>14360</v>
      </c>
      <c r="S632" t="s">
        <v>5134</v>
      </c>
    </row>
    <row r="633" spans="1:19" x14ac:dyDescent="0.2">
      <c r="A633" t="s">
        <v>14072</v>
      </c>
      <c r="B633" t="s">
        <v>14359</v>
      </c>
      <c r="C633" t="s">
        <v>19595</v>
      </c>
      <c r="D633" t="str">
        <f>_xlfn.XLOOKUP(E633,pathways!$A$2:$A$31,pathways!$B$2:$B$31)</f>
        <v>Lipid metabolism</v>
      </c>
      <c r="E633" t="s">
        <v>3459</v>
      </c>
      <c r="F633" t="s">
        <v>3873</v>
      </c>
      <c r="G633" t="s">
        <v>14360</v>
      </c>
      <c r="H633" t="s">
        <v>14360</v>
      </c>
      <c r="I633" t="s">
        <v>10081</v>
      </c>
      <c r="J633" s="4" t="s">
        <v>14360</v>
      </c>
      <c r="L633" t="s">
        <v>2284</v>
      </c>
      <c r="M633" t="s">
        <v>15583</v>
      </c>
      <c r="N633" t="s">
        <v>3459</v>
      </c>
      <c r="O633" t="s">
        <v>14360</v>
      </c>
      <c r="P633" t="s">
        <v>3873</v>
      </c>
      <c r="Q633" t="s">
        <v>14360</v>
      </c>
      <c r="R633" t="s">
        <v>3459</v>
      </c>
      <c r="S633" t="s">
        <v>14360</v>
      </c>
    </row>
    <row r="634" spans="1:19" x14ac:dyDescent="0.2">
      <c r="A634" t="s">
        <v>1332</v>
      </c>
      <c r="B634" t="s">
        <v>14359</v>
      </c>
      <c r="C634" t="s">
        <v>19253</v>
      </c>
      <c r="D634" t="str">
        <f>_xlfn.XLOOKUP(E634,pathways!$A$2:$A$31,pathways!$B$2:$B$31)</f>
        <v>Lipid metabolism</v>
      </c>
      <c r="E634" t="s">
        <v>3459</v>
      </c>
      <c r="F634" t="s">
        <v>4059</v>
      </c>
      <c r="G634" t="s">
        <v>14360</v>
      </c>
      <c r="H634" t="s">
        <v>14360</v>
      </c>
      <c r="I634" t="s">
        <v>6269</v>
      </c>
      <c r="J634" s="4" t="s">
        <v>6269</v>
      </c>
      <c r="L634" t="s">
        <v>1331</v>
      </c>
      <c r="M634" t="s">
        <v>14610</v>
      </c>
      <c r="N634" t="s">
        <v>3459</v>
      </c>
      <c r="O634" t="s">
        <v>3459</v>
      </c>
      <c r="P634" t="s">
        <v>4059</v>
      </c>
      <c r="Q634" t="s">
        <v>11502</v>
      </c>
      <c r="R634" t="s">
        <v>3459</v>
      </c>
      <c r="S634" t="s">
        <v>4124</v>
      </c>
    </row>
    <row r="635" spans="1:19" x14ac:dyDescent="0.2">
      <c r="A635" t="s">
        <v>2106</v>
      </c>
      <c r="B635" t="s">
        <v>14359</v>
      </c>
      <c r="C635" t="s">
        <v>19533</v>
      </c>
      <c r="D635" t="str">
        <f>_xlfn.XLOOKUP(E635,pathways!$A$2:$A$31,pathways!$B$2:$B$31)</f>
        <v>Lipid metabolism</v>
      </c>
      <c r="E635" t="s">
        <v>3459</v>
      </c>
      <c r="F635" t="s">
        <v>11596</v>
      </c>
      <c r="G635" t="s">
        <v>14360</v>
      </c>
      <c r="H635" t="s">
        <v>14360</v>
      </c>
      <c r="I635" t="s">
        <v>14360</v>
      </c>
      <c r="J635" s="4" t="s">
        <v>11902</v>
      </c>
      <c r="L635" t="s">
        <v>2105</v>
      </c>
      <c r="M635" t="s">
        <v>15399</v>
      </c>
      <c r="N635" t="s">
        <v>14360</v>
      </c>
      <c r="O635" t="s">
        <v>3459</v>
      </c>
      <c r="P635" t="s">
        <v>14360</v>
      </c>
      <c r="Q635" t="s">
        <v>11596</v>
      </c>
      <c r="R635" t="s">
        <v>3459</v>
      </c>
      <c r="S635" t="s">
        <v>4124</v>
      </c>
    </row>
    <row r="636" spans="1:19" x14ac:dyDescent="0.2">
      <c r="A636" t="s">
        <v>1347</v>
      </c>
      <c r="B636" t="s">
        <v>14359</v>
      </c>
      <c r="C636" t="s">
        <v>19261</v>
      </c>
      <c r="D636" t="str">
        <f>_xlfn.XLOOKUP(E636,pathways!$A$2:$A$31,pathways!$B$2:$B$31)</f>
        <v>Lipid metabolism</v>
      </c>
      <c r="E636" t="s">
        <v>3459</v>
      </c>
      <c r="F636" t="s">
        <v>5559</v>
      </c>
      <c r="G636" t="s">
        <v>6142</v>
      </c>
      <c r="H636" t="s">
        <v>14360</v>
      </c>
      <c r="I636" t="s">
        <v>6142</v>
      </c>
      <c r="J636" s="4" t="s">
        <v>6142</v>
      </c>
      <c r="L636" t="s">
        <v>1346</v>
      </c>
      <c r="M636" t="s">
        <v>14626</v>
      </c>
      <c r="N636" t="s">
        <v>3459</v>
      </c>
      <c r="O636" t="s">
        <v>3459</v>
      </c>
      <c r="P636" t="s">
        <v>5559</v>
      </c>
      <c r="Q636" t="s">
        <v>5559</v>
      </c>
      <c r="R636" t="s">
        <v>3459</v>
      </c>
      <c r="S636" t="s">
        <v>4124</v>
      </c>
    </row>
    <row r="637" spans="1:19" x14ac:dyDescent="0.2">
      <c r="A637" t="s">
        <v>2349</v>
      </c>
      <c r="B637" t="s">
        <v>14359</v>
      </c>
      <c r="C637" t="s">
        <v>19619</v>
      </c>
      <c r="D637" t="str">
        <f>_xlfn.XLOOKUP(E637,pathways!$A$2:$A$31,pathways!$B$2:$B$31)</f>
        <v>Lipid metabolism</v>
      </c>
      <c r="E637" t="s">
        <v>3459</v>
      </c>
      <c r="F637" t="s">
        <v>4059</v>
      </c>
      <c r="G637" t="s">
        <v>14360</v>
      </c>
      <c r="H637" t="s">
        <v>14360</v>
      </c>
      <c r="I637" t="s">
        <v>4633</v>
      </c>
      <c r="J637" s="4" t="s">
        <v>4633</v>
      </c>
      <c r="L637" t="s">
        <v>2348</v>
      </c>
      <c r="M637" t="s">
        <v>15647</v>
      </c>
      <c r="N637" t="s">
        <v>3459</v>
      </c>
      <c r="O637" t="s">
        <v>3459</v>
      </c>
      <c r="P637" t="s">
        <v>4059</v>
      </c>
      <c r="Q637" t="s">
        <v>11502</v>
      </c>
      <c r="R637" t="s">
        <v>3459</v>
      </c>
      <c r="S637" t="s">
        <v>5082</v>
      </c>
    </row>
    <row r="638" spans="1:19" x14ac:dyDescent="0.2">
      <c r="A638" t="s">
        <v>13793</v>
      </c>
      <c r="B638" t="s">
        <v>14359</v>
      </c>
      <c r="C638" t="s">
        <v>19965</v>
      </c>
      <c r="D638" t="str">
        <f>_xlfn.XLOOKUP(E638,pathways!$A$2:$A$31,pathways!$B$2:$B$31)</f>
        <v>Lipid metabolism</v>
      </c>
      <c r="E638" t="s">
        <v>3459</v>
      </c>
      <c r="F638" t="s">
        <v>4844</v>
      </c>
      <c r="G638" t="s">
        <v>14360</v>
      </c>
      <c r="H638" t="s">
        <v>14360</v>
      </c>
      <c r="I638" t="s">
        <v>4847</v>
      </c>
      <c r="J638" s="4" t="s">
        <v>14360</v>
      </c>
      <c r="L638" t="s">
        <v>14360</v>
      </c>
      <c r="M638" t="s">
        <v>14360</v>
      </c>
      <c r="N638" t="s">
        <v>3459</v>
      </c>
      <c r="O638" t="s">
        <v>14360</v>
      </c>
      <c r="P638" t="s">
        <v>4844</v>
      </c>
      <c r="Q638" t="s">
        <v>14360</v>
      </c>
      <c r="R638" t="s">
        <v>14360</v>
      </c>
      <c r="S638" t="s">
        <v>14360</v>
      </c>
    </row>
    <row r="639" spans="1:19" x14ac:dyDescent="0.2">
      <c r="A639" t="s">
        <v>1752</v>
      </c>
      <c r="B639" t="s">
        <v>14359</v>
      </c>
      <c r="C639" t="s">
        <v>19385</v>
      </c>
      <c r="D639" t="str">
        <f>_xlfn.XLOOKUP(E639,pathways!$A$2:$A$31,pathways!$B$2:$B$31)</f>
        <v>Lipid metabolism</v>
      </c>
      <c r="E639" t="s">
        <v>3459</v>
      </c>
      <c r="F639" t="s">
        <v>5559</v>
      </c>
      <c r="G639" t="s">
        <v>14360</v>
      </c>
      <c r="H639" t="s">
        <v>14360</v>
      </c>
      <c r="I639" t="s">
        <v>8322</v>
      </c>
      <c r="J639" s="4" t="s">
        <v>8322</v>
      </c>
      <c r="L639" t="s">
        <v>1751</v>
      </c>
      <c r="M639" t="s">
        <v>15049</v>
      </c>
      <c r="N639" t="s">
        <v>3459</v>
      </c>
      <c r="O639" t="s">
        <v>3459</v>
      </c>
      <c r="P639" t="s">
        <v>5559</v>
      </c>
      <c r="Q639" t="s">
        <v>5559</v>
      </c>
      <c r="R639" t="s">
        <v>3459</v>
      </c>
      <c r="S639" t="s">
        <v>4998</v>
      </c>
    </row>
    <row r="640" spans="1:19" x14ac:dyDescent="0.2">
      <c r="A640" t="s">
        <v>2524</v>
      </c>
      <c r="B640" t="s">
        <v>14359</v>
      </c>
      <c r="C640" t="s">
        <v>19677</v>
      </c>
      <c r="D640" t="str">
        <f>_xlfn.XLOOKUP(E640,pathways!$A$2:$A$31,pathways!$B$2:$B$31)</f>
        <v>Lipid metabolism</v>
      </c>
      <c r="E640" t="s">
        <v>3459</v>
      </c>
      <c r="F640" t="s">
        <v>3873</v>
      </c>
      <c r="G640" t="s">
        <v>14360</v>
      </c>
      <c r="H640" t="s">
        <v>14360</v>
      </c>
      <c r="I640" t="s">
        <v>3876</v>
      </c>
      <c r="J640" s="4" t="s">
        <v>3876</v>
      </c>
      <c r="L640" t="s">
        <v>2523</v>
      </c>
      <c r="M640" t="s">
        <v>15839</v>
      </c>
      <c r="N640" t="s">
        <v>3459</v>
      </c>
      <c r="O640" t="s">
        <v>3459</v>
      </c>
      <c r="P640" t="s">
        <v>3873</v>
      </c>
      <c r="Q640" t="s">
        <v>3873</v>
      </c>
      <c r="R640" t="s">
        <v>3459</v>
      </c>
      <c r="S640" t="s">
        <v>14360</v>
      </c>
    </row>
    <row r="641" spans="1:19" x14ac:dyDescent="0.2">
      <c r="A641" t="s">
        <v>13794</v>
      </c>
      <c r="B641" t="s">
        <v>14359</v>
      </c>
      <c r="C641" t="s">
        <v>1085</v>
      </c>
      <c r="D641" t="str">
        <f>_xlfn.XLOOKUP(E641,pathways!$A$2:$A$31,pathways!$B$2:$B$31)</f>
        <v>Lipid metabolism</v>
      </c>
      <c r="E641" t="s">
        <v>3459</v>
      </c>
      <c r="F641" t="s">
        <v>4887</v>
      </c>
      <c r="G641" t="s">
        <v>14360</v>
      </c>
      <c r="H641" t="s">
        <v>14360</v>
      </c>
      <c r="I641" t="s">
        <v>4890</v>
      </c>
      <c r="J641" s="4" t="s">
        <v>4890</v>
      </c>
      <c r="L641" t="s">
        <v>1083</v>
      </c>
      <c r="M641" t="s">
        <v>15729</v>
      </c>
      <c r="N641" t="s">
        <v>3459</v>
      </c>
      <c r="O641" t="s">
        <v>3459</v>
      </c>
      <c r="P641" t="s">
        <v>4887</v>
      </c>
      <c r="Q641" t="s">
        <v>4887</v>
      </c>
      <c r="R641" t="s">
        <v>3459</v>
      </c>
      <c r="S641" t="s">
        <v>5526</v>
      </c>
    </row>
    <row r="642" spans="1:19" x14ac:dyDescent="0.2">
      <c r="A642" t="s">
        <v>1128</v>
      </c>
      <c r="B642" t="s">
        <v>14359</v>
      </c>
      <c r="C642" t="s">
        <v>19184</v>
      </c>
      <c r="D642" t="str">
        <f>_xlfn.XLOOKUP(E642,pathways!$A$2:$A$31,pathways!$B$2:$B$31)</f>
        <v>Lipid metabolism</v>
      </c>
      <c r="E642" t="s">
        <v>3459</v>
      </c>
      <c r="F642" t="s">
        <v>4887</v>
      </c>
      <c r="G642" t="s">
        <v>14360</v>
      </c>
      <c r="H642" t="s">
        <v>14360</v>
      </c>
      <c r="I642" t="s">
        <v>5257</v>
      </c>
      <c r="J642" s="4" t="s">
        <v>5257</v>
      </c>
      <c r="L642" t="s">
        <v>1127</v>
      </c>
      <c r="M642" t="s">
        <v>14398</v>
      </c>
      <c r="N642" t="s">
        <v>3459</v>
      </c>
      <c r="O642" t="s">
        <v>3459</v>
      </c>
      <c r="P642" t="s">
        <v>4887</v>
      </c>
      <c r="Q642" t="s">
        <v>4887</v>
      </c>
      <c r="R642" t="s">
        <v>3459</v>
      </c>
      <c r="S642" t="s">
        <v>14360</v>
      </c>
    </row>
    <row r="643" spans="1:19" x14ac:dyDescent="0.2">
      <c r="A643" t="s">
        <v>1453</v>
      </c>
      <c r="B643" t="s">
        <v>14359</v>
      </c>
      <c r="C643" t="s">
        <v>19297</v>
      </c>
      <c r="D643" t="str">
        <f>_xlfn.XLOOKUP(E643,pathways!$A$2:$A$31,pathways!$B$2:$B$31)</f>
        <v>Lipid metabolism</v>
      </c>
      <c r="E643" t="s">
        <v>3459</v>
      </c>
      <c r="F643" t="s">
        <v>3758</v>
      </c>
      <c r="G643" t="s">
        <v>14360</v>
      </c>
      <c r="H643" t="s">
        <v>14360</v>
      </c>
      <c r="I643" t="s">
        <v>6792</v>
      </c>
      <c r="J643" s="4" t="s">
        <v>6792</v>
      </c>
      <c r="L643" t="s">
        <v>1452</v>
      </c>
      <c r="M643" t="s">
        <v>14738</v>
      </c>
      <c r="N643" t="s">
        <v>3459</v>
      </c>
      <c r="O643" t="s">
        <v>3459</v>
      </c>
      <c r="P643" t="s">
        <v>3758</v>
      </c>
      <c r="Q643" t="s">
        <v>3758</v>
      </c>
      <c r="R643" t="s">
        <v>3459</v>
      </c>
      <c r="S643" t="s">
        <v>14360</v>
      </c>
    </row>
    <row r="644" spans="1:19" x14ac:dyDescent="0.2">
      <c r="A644" t="s">
        <v>13852</v>
      </c>
      <c r="B644" t="s">
        <v>14359</v>
      </c>
      <c r="C644" t="s">
        <v>19980</v>
      </c>
      <c r="D644" t="str">
        <f>_xlfn.XLOOKUP(E644,pathways!$A$2:$A$31,pathways!$B$2:$B$31)</f>
        <v>Lipid metabolism</v>
      </c>
      <c r="E644" t="s">
        <v>3459</v>
      </c>
      <c r="F644" t="s">
        <v>3758</v>
      </c>
      <c r="G644" t="s">
        <v>14360</v>
      </c>
      <c r="H644" t="s">
        <v>14360</v>
      </c>
      <c r="I644" t="s">
        <v>6800</v>
      </c>
      <c r="J644" s="4" t="s">
        <v>14360</v>
      </c>
      <c r="L644" t="s">
        <v>14360</v>
      </c>
      <c r="M644" t="s">
        <v>14360</v>
      </c>
      <c r="N644" t="s">
        <v>3459</v>
      </c>
      <c r="O644" t="s">
        <v>14360</v>
      </c>
      <c r="P644" t="s">
        <v>3758</v>
      </c>
      <c r="Q644" t="s">
        <v>14360</v>
      </c>
      <c r="R644" t="s">
        <v>14360</v>
      </c>
      <c r="S644" t="s">
        <v>14360</v>
      </c>
    </row>
    <row r="645" spans="1:19" x14ac:dyDescent="0.2">
      <c r="A645" t="s">
        <v>1111</v>
      </c>
      <c r="B645" t="s">
        <v>14359</v>
      </c>
      <c r="C645" t="s">
        <v>19178</v>
      </c>
      <c r="D645" t="str">
        <f>_xlfn.XLOOKUP(E645,pathways!$A$2:$A$31,pathways!$B$2:$B$31)</f>
        <v>Lipid metabolism</v>
      </c>
      <c r="E645" t="s">
        <v>3459</v>
      </c>
      <c r="F645" t="s">
        <v>3758</v>
      </c>
      <c r="G645" t="s">
        <v>14360</v>
      </c>
      <c r="H645" t="s">
        <v>14360</v>
      </c>
      <c r="I645" t="s">
        <v>5281</v>
      </c>
      <c r="J645" s="4" t="s">
        <v>5281</v>
      </c>
      <c r="L645" t="s">
        <v>1110</v>
      </c>
      <c r="M645" t="s">
        <v>14380</v>
      </c>
      <c r="N645" t="s">
        <v>3459</v>
      </c>
      <c r="O645" t="s">
        <v>3459</v>
      </c>
      <c r="P645" t="s">
        <v>3758</v>
      </c>
      <c r="Q645" t="s">
        <v>3758</v>
      </c>
      <c r="R645" t="s">
        <v>3459</v>
      </c>
      <c r="S645" t="s">
        <v>3937</v>
      </c>
    </row>
    <row r="646" spans="1:19" x14ac:dyDescent="0.2">
      <c r="A646" t="s">
        <v>13985</v>
      </c>
      <c r="B646" t="s">
        <v>14359</v>
      </c>
      <c r="C646" t="s">
        <v>19981</v>
      </c>
      <c r="D646" t="str">
        <f>_xlfn.XLOOKUP(E646,pathways!$A$2:$A$31,pathways!$B$2:$B$31)</f>
        <v>Lipid metabolism</v>
      </c>
      <c r="E646" t="s">
        <v>3459</v>
      </c>
      <c r="F646" t="s">
        <v>3758</v>
      </c>
      <c r="G646" t="s">
        <v>14360</v>
      </c>
      <c r="H646" t="s">
        <v>14360</v>
      </c>
      <c r="I646" t="s">
        <v>9343</v>
      </c>
      <c r="J646" s="4" t="s">
        <v>14360</v>
      </c>
      <c r="L646" t="s">
        <v>14360</v>
      </c>
      <c r="M646" t="s">
        <v>14360</v>
      </c>
      <c r="N646" t="s">
        <v>3459</v>
      </c>
      <c r="O646" t="s">
        <v>14360</v>
      </c>
      <c r="P646" t="s">
        <v>3758</v>
      </c>
      <c r="Q646" t="s">
        <v>14360</v>
      </c>
      <c r="R646" t="s">
        <v>14360</v>
      </c>
      <c r="S646" t="s">
        <v>3516</v>
      </c>
    </row>
    <row r="647" spans="1:19" x14ac:dyDescent="0.2">
      <c r="A647" t="s">
        <v>14012</v>
      </c>
      <c r="B647" t="s">
        <v>14359</v>
      </c>
      <c r="C647" t="s">
        <v>19558</v>
      </c>
      <c r="D647" t="str">
        <f>_xlfn.XLOOKUP(E647,pathways!$A$2:$A$31,pathways!$B$2:$B$31)</f>
        <v>Lipid metabolism</v>
      </c>
      <c r="E647" t="s">
        <v>3459</v>
      </c>
      <c r="F647" t="s">
        <v>3516</v>
      </c>
      <c r="G647" t="s">
        <v>14360</v>
      </c>
      <c r="H647" t="s">
        <v>14360</v>
      </c>
      <c r="I647" t="s">
        <v>9668</v>
      </c>
      <c r="J647" s="4" t="s">
        <v>14360</v>
      </c>
      <c r="L647" t="s">
        <v>2160</v>
      </c>
      <c r="M647" t="s">
        <v>15457</v>
      </c>
      <c r="N647" t="s">
        <v>3459</v>
      </c>
      <c r="O647" t="s">
        <v>14360</v>
      </c>
      <c r="P647" t="s">
        <v>3516</v>
      </c>
      <c r="Q647" t="s">
        <v>14360</v>
      </c>
      <c r="R647" t="s">
        <v>3459</v>
      </c>
      <c r="S647" t="s">
        <v>3749</v>
      </c>
    </row>
    <row r="648" spans="1:19" x14ac:dyDescent="0.2">
      <c r="A648" t="s">
        <v>2457</v>
      </c>
      <c r="B648" t="s">
        <v>14359</v>
      </c>
      <c r="C648" t="s">
        <v>19651</v>
      </c>
      <c r="D648" t="str">
        <f>_xlfn.XLOOKUP(E648,pathways!$A$2:$A$31,pathways!$B$2:$B$31)</f>
        <v>Lipid metabolism</v>
      </c>
      <c r="E648" t="s">
        <v>3459</v>
      </c>
      <c r="F648" t="s">
        <v>3516</v>
      </c>
      <c r="G648" t="s">
        <v>14360</v>
      </c>
      <c r="H648" t="s">
        <v>14360</v>
      </c>
      <c r="I648" t="s">
        <v>5054</v>
      </c>
      <c r="J648" s="4" t="s">
        <v>5054</v>
      </c>
      <c r="L648" t="s">
        <v>2456</v>
      </c>
      <c r="M648" t="s">
        <v>15763</v>
      </c>
      <c r="N648" t="s">
        <v>3459</v>
      </c>
      <c r="O648" t="s">
        <v>3459</v>
      </c>
      <c r="P648" t="s">
        <v>3516</v>
      </c>
      <c r="Q648" t="s">
        <v>3516</v>
      </c>
      <c r="R648" t="s">
        <v>3459</v>
      </c>
    </row>
    <row r="649" spans="1:19" x14ac:dyDescent="0.2">
      <c r="A649" t="s">
        <v>1865</v>
      </c>
      <c r="B649" t="s">
        <v>14359</v>
      </c>
      <c r="C649" t="s">
        <v>19421</v>
      </c>
      <c r="D649" t="str">
        <f>_xlfn.XLOOKUP(E649,pathways!$A$2:$A$31,pathways!$B$2:$B$31)</f>
        <v>Lipid metabolism</v>
      </c>
      <c r="E649" t="s">
        <v>3459</v>
      </c>
      <c r="F649" t="s">
        <v>3516</v>
      </c>
      <c r="G649" t="s">
        <v>14360</v>
      </c>
      <c r="H649" t="s">
        <v>14360</v>
      </c>
      <c r="I649" t="s">
        <v>8734</v>
      </c>
      <c r="J649" s="4" t="s">
        <v>11990</v>
      </c>
      <c r="L649" t="s">
        <v>1864</v>
      </c>
      <c r="M649" t="s">
        <v>15164</v>
      </c>
      <c r="N649" t="s">
        <v>3459</v>
      </c>
      <c r="O649" t="s">
        <v>3459</v>
      </c>
      <c r="P649" t="s">
        <v>3516</v>
      </c>
      <c r="Q649" t="s">
        <v>3516</v>
      </c>
      <c r="R649" t="s">
        <v>3459</v>
      </c>
    </row>
    <row r="650" spans="1:19" x14ac:dyDescent="0.2">
      <c r="A650" t="s">
        <v>3079</v>
      </c>
      <c r="B650" t="s">
        <v>14359</v>
      </c>
      <c r="C650" t="s">
        <v>19749</v>
      </c>
      <c r="D650" t="str">
        <f>_xlfn.XLOOKUP(E650,pathways!$A$2:$A$31,pathways!$B$2:$B$31)</f>
        <v>Lipid metabolism</v>
      </c>
      <c r="E650" t="s">
        <v>3459</v>
      </c>
      <c r="F650" t="s">
        <v>3516</v>
      </c>
      <c r="G650" t="s">
        <v>14360</v>
      </c>
      <c r="H650" t="s">
        <v>14360</v>
      </c>
      <c r="I650" t="s">
        <v>9162</v>
      </c>
      <c r="J650" s="4" t="s">
        <v>9162</v>
      </c>
      <c r="L650" t="s">
        <v>3078</v>
      </c>
      <c r="M650" t="s">
        <v>16436</v>
      </c>
      <c r="N650" t="s">
        <v>3459</v>
      </c>
      <c r="O650" t="s">
        <v>3459</v>
      </c>
      <c r="P650" t="s">
        <v>3516</v>
      </c>
      <c r="Q650" t="s">
        <v>3516</v>
      </c>
      <c r="R650" t="s">
        <v>3459</v>
      </c>
    </row>
    <row r="651" spans="1:19" x14ac:dyDescent="0.2">
      <c r="A651" t="s">
        <v>2538</v>
      </c>
      <c r="B651" t="s">
        <v>14359</v>
      </c>
      <c r="C651" t="s">
        <v>19683</v>
      </c>
      <c r="D651" t="str">
        <f>_xlfn.XLOOKUP(E651,pathways!$A$2:$A$31,pathways!$B$2:$B$31)</f>
        <v>Lipid metabolism</v>
      </c>
      <c r="E651" t="s">
        <v>3459</v>
      </c>
      <c r="F651" t="s">
        <v>3516</v>
      </c>
      <c r="G651" t="s">
        <v>14360</v>
      </c>
      <c r="H651" t="s">
        <v>14360</v>
      </c>
      <c r="I651" t="s">
        <v>3892</v>
      </c>
      <c r="J651" s="4" t="s">
        <v>3892</v>
      </c>
      <c r="L651" t="s">
        <v>2537</v>
      </c>
      <c r="M651" t="s">
        <v>15853</v>
      </c>
      <c r="N651" t="s">
        <v>3459</v>
      </c>
      <c r="O651" t="s">
        <v>3459</v>
      </c>
      <c r="P651" t="s">
        <v>3516</v>
      </c>
      <c r="Q651" t="s">
        <v>3516</v>
      </c>
      <c r="R651" t="s">
        <v>3459</v>
      </c>
    </row>
    <row r="652" spans="1:19" x14ac:dyDescent="0.2">
      <c r="A652" t="s">
        <v>1999</v>
      </c>
      <c r="B652" t="s">
        <v>14359</v>
      </c>
      <c r="C652" t="s">
        <v>19481</v>
      </c>
      <c r="D652" t="str">
        <f>_xlfn.XLOOKUP(E652,pathways!$A$2:$A$31,pathways!$B$2:$B$31)</f>
        <v>Lipid metabolism</v>
      </c>
      <c r="E652" t="s">
        <v>3459</v>
      </c>
      <c r="F652" t="s">
        <v>3516</v>
      </c>
      <c r="G652" t="s">
        <v>14360</v>
      </c>
      <c r="H652" t="s">
        <v>14360</v>
      </c>
      <c r="I652" t="s">
        <v>9158</v>
      </c>
      <c r="J652" s="4" t="s">
        <v>14360</v>
      </c>
      <c r="L652" t="s">
        <v>1998</v>
      </c>
      <c r="M652" t="s">
        <v>15300</v>
      </c>
      <c r="N652" t="s">
        <v>3459</v>
      </c>
      <c r="O652" t="s">
        <v>14360</v>
      </c>
      <c r="P652" t="s">
        <v>3516</v>
      </c>
      <c r="Q652" t="s">
        <v>14360</v>
      </c>
      <c r="R652" t="s">
        <v>3459</v>
      </c>
    </row>
    <row r="653" spans="1:19" x14ac:dyDescent="0.2">
      <c r="A653" t="s">
        <v>1519</v>
      </c>
      <c r="B653" t="s">
        <v>14359</v>
      </c>
      <c r="C653" t="s">
        <v>19317</v>
      </c>
      <c r="D653" t="str">
        <f>_xlfn.XLOOKUP(E653,pathways!$A$2:$A$31,pathways!$B$2:$B$31)</f>
        <v>Lipid metabolism</v>
      </c>
      <c r="E653" t="s">
        <v>3459</v>
      </c>
      <c r="F653" t="s">
        <v>3819</v>
      </c>
      <c r="G653" t="s">
        <v>14360</v>
      </c>
      <c r="H653" t="s">
        <v>14360</v>
      </c>
      <c r="I653" t="s">
        <v>7141</v>
      </c>
      <c r="J653" s="4" t="s">
        <v>7141</v>
      </c>
      <c r="L653" t="s">
        <v>1518</v>
      </c>
      <c r="M653" t="s">
        <v>14804</v>
      </c>
      <c r="N653" t="s">
        <v>3459</v>
      </c>
      <c r="O653" t="s">
        <v>3459</v>
      </c>
      <c r="P653" t="s">
        <v>3819</v>
      </c>
      <c r="Q653" t="s">
        <v>3819</v>
      </c>
      <c r="R653" t="s">
        <v>3459</v>
      </c>
    </row>
    <row r="654" spans="1:19" x14ac:dyDescent="0.2">
      <c r="A654" t="s">
        <v>1138</v>
      </c>
      <c r="B654" t="s">
        <v>14359</v>
      </c>
      <c r="C654" t="s">
        <v>19188</v>
      </c>
      <c r="D654" t="str">
        <f>_xlfn.XLOOKUP(E654,pathways!$A$2:$A$31,pathways!$B$2:$B$31)</f>
        <v>Lipid metabolism</v>
      </c>
      <c r="E654" t="s">
        <v>3459</v>
      </c>
      <c r="F654" t="s">
        <v>3819</v>
      </c>
      <c r="G654" t="s">
        <v>14360</v>
      </c>
      <c r="H654" t="s">
        <v>14360</v>
      </c>
      <c r="I654" t="s">
        <v>5321</v>
      </c>
      <c r="J654" s="4" t="s">
        <v>5321</v>
      </c>
      <c r="L654" t="s">
        <v>1137</v>
      </c>
      <c r="M654" t="s">
        <v>14408</v>
      </c>
      <c r="N654" t="s">
        <v>3459</v>
      </c>
      <c r="O654" t="s">
        <v>3459</v>
      </c>
      <c r="P654" t="s">
        <v>3819</v>
      </c>
      <c r="Q654" t="s">
        <v>3819</v>
      </c>
      <c r="R654" t="s">
        <v>3459</v>
      </c>
    </row>
    <row r="655" spans="1:19" x14ac:dyDescent="0.2">
      <c r="A655" t="s">
        <v>1871</v>
      </c>
      <c r="B655" t="s">
        <v>14359</v>
      </c>
      <c r="C655" t="s">
        <v>19425</v>
      </c>
      <c r="D655" t="str">
        <f>_xlfn.XLOOKUP(E655,pathways!$A$2:$A$31,pathways!$B$2:$B$31)</f>
        <v>Lipid metabolism</v>
      </c>
      <c r="E655" t="s">
        <v>3459</v>
      </c>
      <c r="F655" t="s">
        <v>3819</v>
      </c>
      <c r="G655" t="s">
        <v>14360</v>
      </c>
      <c r="H655" t="s">
        <v>14360</v>
      </c>
      <c r="I655" t="s">
        <v>8739</v>
      </c>
      <c r="J655" s="4" t="s">
        <v>11997</v>
      </c>
      <c r="L655" t="s">
        <v>1870</v>
      </c>
      <c r="M655" t="s">
        <v>15172</v>
      </c>
      <c r="N655" t="s">
        <v>3459</v>
      </c>
      <c r="O655" t="s">
        <v>3459</v>
      </c>
      <c r="P655" t="s">
        <v>3819</v>
      </c>
      <c r="Q655" t="s">
        <v>3819</v>
      </c>
      <c r="R655" t="s">
        <v>3459</v>
      </c>
    </row>
    <row r="656" spans="1:19" x14ac:dyDescent="0.2">
      <c r="A656" t="s">
        <v>1699</v>
      </c>
      <c r="B656" t="s">
        <v>14359</v>
      </c>
      <c r="C656" t="s">
        <v>19373</v>
      </c>
      <c r="D656" t="str">
        <f>_xlfn.XLOOKUP(E656,pathways!$A$2:$A$31,pathways!$B$2:$B$31)</f>
        <v>Lipid metabolism</v>
      </c>
      <c r="E656" t="s">
        <v>3459</v>
      </c>
      <c r="F656" t="s">
        <v>3819</v>
      </c>
      <c r="G656" t="s">
        <v>14360</v>
      </c>
      <c r="H656" t="s">
        <v>14360</v>
      </c>
      <c r="I656" t="s">
        <v>8049</v>
      </c>
      <c r="J656" s="4" t="s">
        <v>14360</v>
      </c>
      <c r="L656" t="s">
        <v>1698</v>
      </c>
      <c r="M656" t="s">
        <v>14991</v>
      </c>
      <c r="N656" t="s">
        <v>3459</v>
      </c>
      <c r="O656" t="s">
        <v>14360</v>
      </c>
      <c r="P656" t="s">
        <v>3819</v>
      </c>
      <c r="Q656" t="s">
        <v>14360</v>
      </c>
      <c r="R656" t="s">
        <v>3459</v>
      </c>
    </row>
    <row r="657" spans="1:19" x14ac:dyDescent="0.2">
      <c r="A657" t="s">
        <v>1225</v>
      </c>
      <c r="B657" t="s">
        <v>14359</v>
      </c>
      <c r="C657" t="s">
        <v>19219</v>
      </c>
      <c r="D657" t="str">
        <f>_xlfn.XLOOKUP(E657,pathways!$A$2:$A$31,pathways!$B$2:$B$31)</f>
        <v>Lipid metabolism</v>
      </c>
      <c r="E657" t="s">
        <v>3459</v>
      </c>
      <c r="F657" t="s">
        <v>3819</v>
      </c>
      <c r="G657" t="s">
        <v>14360</v>
      </c>
      <c r="H657" t="s">
        <v>14360</v>
      </c>
      <c r="I657" t="s">
        <v>5778</v>
      </c>
      <c r="J657" s="4" t="s">
        <v>5778</v>
      </c>
      <c r="L657" t="s">
        <v>1224</v>
      </c>
      <c r="M657" t="s">
        <v>14500</v>
      </c>
      <c r="N657" t="s">
        <v>3459</v>
      </c>
      <c r="O657" t="s">
        <v>3459</v>
      </c>
      <c r="P657" t="s">
        <v>3819</v>
      </c>
      <c r="Q657" t="s">
        <v>3819</v>
      </c>
      <c r="R657" t="s">
        <v>3459</v>
      </c>
    </row>
    <row r="658" spans="1:19" x14ac:dyDescent="0.2">
      <c r="A658" t="s">
        <v>1459</v>
      </c>
      <c r="B658" t="s">
        <v>14359</v>
      </c>
      <c r="C658" t="s">
        <v>19299</v>
      </c>
      <c r="D658" t="str">
        <f>_xlfn.XLOOKUP(E658,pathways!$A$2:$A$31,pathways!$B$2:$B$31)</f>
        <v>Lipid metabolism</v>
      </c>
      <c r="E658" t="s">
        <v>3459</v>
      </c>
      <c r="F658" t="s">
        <v>3819</v>
      </c>
      <c r="G658" t="s">
        <v>14360</v>
      </c>
      <c r="H658" t="s">
        <v>14360</v>
      </c>
      <c r="I658" t="s">
        <v>6831</v>
      </c>
      <c r="J658" s="4" t="s">
        <v>6831</v>
      </c>
      <c r="L658" t="s">
        <v>1458</v>
      </c>
      <c r="M658" t="s">
        <v>14744</v>
      </c>
      <c r="N658" t="s">
        <v>3459</v>
      </c>
      <c r="O658" t="s">
        <v>3459</v>
      </c>
      <c r="P658" t="s">
        <v>3819</v>
      </c>
      <c r="Q658" t="s">
        <v>3819</v>
      </c>
      <c r="R658" t="s">
        <v>3459</v>
      </c>
    </row>
    <row r="659" spans="1:19" x14ac:dyDescent="0.2">
      <c r="A659" t="s">
        <v>2100</v>
      </c>
      <c r="B659" t="s">
        <v>14359</v>
      </c>
      <c r="C659" t="s">
        <v>19531</v>
      </c>
      <c r="D659" t="str">
        <f>_xlfn.XLOOKUP(E659,pathways!$A$2:$A$31,pathways!$B$2:$B$31)</f>
        <v>Lipid metabolism</v>
      </c>
      <c r="E659" t="s">
        <v>3459</v>
      </c>
      <c r="F659" t="s">
        <v>7081</v>
      </c>
      <c r="G659" t="s">
        <v>14360</v>
      </c>
      <c r="H659" t="s">
        <v>14360</v>
      </c>
      <c r="I659" t="s">
        <v>9520</v>
      </c>
      <c r="J659" s="4" t="s">
        <v>9520</v>
      </c>
      <c r="L659" t="s">
        <v>2099</v>
      </c>
      <c r="M659" t="s">
        <v>15393</v>
      </c>
      <c r="N659" t="s">
        <v>3459</v>
      </c>
      <c r="O659" t="s">
        <v>3459</v>
      </c>
      <c r="P659" t="s">
        <v>7081</v>
      </c>
      <c r="Q659" t="s">
        <v>7081</v>
      </c>
      <c r="R659" t="s">
        <v>3459</v>
      </c>
    </row>
    <row r="660" spans="1:19" x14ac:dyDescent="0.2">
      <c r="A660" t="s">
        <v>2050</v>
      </c>
      <c r="B660" t="s">
        <v>14359</v>
      </c>
      <c r="C660" t="s">
        <v>19505</v>
      </c>
      <c r="D660" t="str">
        <f>_xlfn.XLOOKUP(E660,pathways!$A$2:$A$31,pathways!$B$2:$B$31)</f>
        <v>Lipid metabolism</v>
      </c>
      <c r="E660" t="s">
        <v>3459</v>
      </c>
      <c r="F660" t="s">
        <v>7081</v>
      </c>
      <c r="G660" t="s">
        <v>14360</v>
      </c>
      <c r="H660" t="s">
        <v>14360</v>
      </c>
      <c r="I660" t="s">
        <v>9361</v>
      </c>
      <c r="J660" s="4" t="s">
        <v>9361</v>
      </c>
      <c r="L660" t="s">
        <v>2049</v>
      </c>
      <c r="M660" t="s">
        <v>15352</v>
      </c>
      <c r="N660" t="s">
        <v>3459</v>
      </c>
      <c r="O660" t="s">
        <v>3459</v>
      </c>
      <c r="P660" t="s">
        <v>7081</v>
      </c>
      <c r="Q660" t="s">
        <v>7081</v>
      </c>
      <c r="R660" t="s">
        <v>3459</v>
      </c>
    </row>
    <row r="661" spans="1:19" x14ac:dyDescent="0.2">
      <c r="A661" t="s">
        <v>2048</v>
      </c>
      <c r="B661" t="s">
        <v>14359</v>
      </c>
      <c r="C661" t="s">
        <v>19504</v>
      </c>
      <c r="D661" t="str">
        <f>_xlfn.XLOOKUP(E661,pathways!$A$2:$A$31,pathways!$B$2:$B$31)</f>
        <v>Lipid metabolism</v>
      </c>
      <c r="E661" t="s">
        <v>3459</v>
      </c>
      <c r="F661" t="s">
        <v>7081</v>
      </c>
      <c r="G661" t="s">
        <v>14360</v>
      </c>
      <c r="H661" t="s">
        <v>14360</v>
      </c>
      <c r="I661" t="s">
        <v>9358</v>
      </c>
      <c r="J661" s="4" t="s">
        <v>9358</v>
      </c>
      <c r="L661" t="s">
        <v>2047</v>
      </c>
      <c r="M661" t="s">
        <v>15350</v>
      </c>
      <c r="N661" t="s">
        <v>3459</v>
      </c>
      <c r="O661" t="s">
        <v>3459</v>
      </c>
      <c r="P661" t="s">
        <v>7081</v>
      </c>
      <c r="Q661" t="s">
        <v>7081</v>
      </c>
      <c r="R661" t="s">
        <v>3459</v>
      </c>
    </row>
    <row r="662" spans="1:19" x14ac:dyDescent="0.2">
      <c r="A662" t="s">
        <v>2046</v>
      </c>
      <c r="B662" t="s">
        <v>14359</v>
      </c>
      <c r="C662" t="s">
        <v>19503</v>
      </c>
      <c r="D662" t="str">
        <f>_xlfn.XLOOKUP(E662,pathways!$A$2:$A$31,pathways!$B$2:$B$31)</f>
        <v>Lipid metabolism</v>
      </c>
      <c r="E662" t="s">
        <v>3459</v>
      </c>
      <c r="F662" t="s">
        <v>7081</v>
      </c>
      <c r="G662" t="s">
        <v>14360</v>
      </c>
      <c r="H662" t="s">
        <v>14360</v>
      </c>
      <c r="I662" t="s">
        <v>9364</v>
      </c>
      <c r="J662" s="4" t="s">
        <v>9364</v>
      </c>
      <c r="L662" t="s">
        <v>2045</v>
      </c>
      <c r="M662" t="s">
        <v>15348</v>
      </c>
      <c r="N662" t="s">
        <v>3459</v>
      </c>
      <c r="O662" t="s">
        <v>3459</v>
      </c>
      <c r="P662" t="s">
        <v>7081</v>
      </c>
      <c r="Q662" t="s">
        <v>7081</v>
      </c>
      <c r="R662" t="s">
        <v>3459</v>
      </c>
      <c r="S662" t="s">
        <v>14360</v>
      </c>
    </row>
    <row r="663" spans="1:19" x14ac:dyDescent="0.2">
      <c r="A663" t="s">
        <v>2022</v>
      </c>
      <c r="B663" t="s">
        <v>14359</v>
      </c>
      <c r="C663" t="s">
        <v>19493</v>
      </c>
      <c r="D663" t="str">
        <f>_xlfn.XLOOKUP(E663,pathways!$A$2:$A$31,pathways!$B$2:$B$31)</f>
        <v>Lipid metabolism</v>
      </c>
      <c r="E663" t="s">
        <v>3459</v>
      </c>
      <c r="F663" t="s">
        <v>7081</v>
      </c>
      <c r="G663" t="s">
        <v>14360</v>
      </c>
      <c r="H663" t="s">
        <v>14360</v>
      </c>
      <c r="I663" t="s">
        <v>9307</v>
      </c>
      <c r="J663" s="4" t="s">
        <v>9307</v>
      </c>
      <c r="L663" t="s">
        <v>2021</v>
      </c>
      <c r="M663" t="s">
        <v>15325</v>
      </c>
      <c r="N663" t="s">
        <v>3459</v>
      </c>
      <c r="O663" t="s">
        <v>3459</v>
      </c>
      <c r="P663" t="s">
        <v>7081</v>
      </c>
      <c r="Q663" t="s">
        <v>7081</v>
      </c>
      <c r="R663" t="s">
        <v>3459</v>
      </c>
      <c r="S663" t="s">
        <v>14360</v>
      </c>
    </row>
    <row r="664" spans="1:19" x14ac:dyDescent="0.2">
      <c r="A664" t="s">
        <v>1987</v>
      </c>
      <c r="B664" t="s">
        <v>14359</v>
      </c>
      <c r="C664" t="s">
        <v>19476</v>
      </c>
      <c r="D664" t="str">
        <f>_xlfn.XLOOKUP(E664,pathways!$A$2:$A$31,pathways!$B$2:$B$31)</f>
        <v>Lipid metabolism</v>
      </c>
      <c r="E664" t="s">
        <v>3459</v>
      </c>
      <c r="F664" t="s">
        <v>7081</v>
      </c>
      <c r="G664" t="s">
        <v>14360</v>
      </c>
      <c r="H664" t="s">
        <v>14360</v>
      </c>
      <c r="I664" t="s">
        <v>9170</v>
      </c>
      <c r="J664" s="4" t="s">
        <v>9170</v>
      </c>
      <c r="L664" t="s">
        <v>1986</v>
      </c>
      <c r="M664" t="s">
        <v>15287</v>
      </c>
      <c r="N664" t="s">
        <v>3459</v>
      </c>
      <c r="O664" t="s">
        <v>3459</v>
      </c>
      <c r="P664" t="s">
        <v>7081</v>
      </c>
      <c r="Q664" t="s">
        <v>7081</v>
      </c>
      <c r="R664" t="s">
        <v>3459</v>
      </c>
      <c r="S664" t="s">
        <v>14360</v>
      </c>
    </row>
    <row r="665" spans="1:19" x14ac:dyDescent="0.2">
      <c r="A665" t="s">
        <v>1528</v>
      </c>
      <c r="B665" t="s">
        <v>14359</v>
      </c>
      <c r="C665" t="s">
        <v>19321</v>
      </c>
      <c r="D665" t="str">
        <f>_xlfn.XLOOKUP(E665,pathways!$A$2:$A$31,pathways!$B$2:$B$31)</f>
        <v>Lipid metabolism</v>
      </c>
      <c r="E665" t="s">
        <v>3459</v>
      </c>
      <c r="F665" t="s">
        <v>7081</v>
      </c>
      <c r="G665" t="s">
        <v>14360</v>
      </c>
      <c r="H665" t="s">
        <v>14360</v>
      </c>
      <c r="I665" t="s">
        <v>7084</v>
      </c>
      <c r="J665" s="4" t="s">
        <v>7084</v>
      </c>
      <c r="L665" t="s">
        <v>1527</v>
      </c>
      <c r="M665" t="s">
        <v>14814</v>
      </c>
      <c r="N665" t="s">
        <v>3459</v>
      </c>
      <c r="O665" t="s">
        <v>3459</v>
      </c>
      <c r="P665" t="s">
        <v>7081</v>
      </c>
      <c r="Q665" t="s">
        <v>7081</v>
      </c>
      <c r="R665" t="s">
        <v>3459</v>
      </c>
      <c r="S665" t="s">
        <v>14360</v>
      </c>
    </row>
    <row r="666" spans="1:19" x14ac:dyDescent="0.2">
      <c r="A666" t="s">
        <v>2040</v>
      </c>
      <c r="B666" t="s">
        <v>14359</v>
      </c>
      <c r="C666" t="s">
        <v>19500</v>
      </c>
      <c r="D666" t="str">
        <f>_xlfn.XLOOKUP(E666,pathways!$A$2:$A$31,pathways!$B$2:$B$31)</f>
        <v>Lipid metabolism</v>
      </c>
      <c r="E666" t="s">
        <v>3459</v>
      </c>
      <c r="F666" t="s">
        <v>7081</v>
      </c>
      <c r="G666" t="s">
        <v>14360</v>
      </c>
      <c r="H666" t="s">
        <v>14360</v>
      </c>
      <c r="I666" t="s">
        <v>14360</v>
      </c>
      <c r="J666" s="4" t="s">
        <v>12010</v>
      </c>
      <c r="L666" t="s">
        <v>2039</v>
      </c>
      <c r="M666" t="s">
        <v>15343</v>
      </c>
      <c r="N666" t="s">
        <v>14360</v>
      </c>
      <c r="O666" t="s">
        <v>3459</v>
      </c>
      <c r="P666" t="s">
        <v>14360</v>
      </c>
      <c r="Q666" t="s">
        <v>7081</v>
      </c>
      <c r="R666" t="s">
        <v>3459</v>
      </c>
      <c r="S666" t="s">
        <v>3516</v>
      </c>
    </row>
    <row r="667" spans="1:19" x14ac:dyDescent="0.2">
      <c r="A667" t="s">
        <v>1628</v>
      </c>
      <c r="B667" t="s">
        <v>14359</v>
      </c>
      <c r="C667" t="s">
        <v>19345</v>
      </c>
      <c r="D667" t="str">
        <f>_xlfn.XLOOKUP(E667,pathways!$A$2:$A$31,pathways!$B$2:$B$31)</f>
        <v>Lipid metabolism</v>
      </c>
      <c r="E667" t="s">
        <v>3459</v>
      </c>
      <c r="F667" t="s">
        <v>3819</v>
      </c>
      <c r="G667" t="s">
        <v>14360</v>
      </c>
      <c r="H667" t="s">
        <v>14360</v>
      </c>
      <c r="I667" t="s">
        <v>7738</v>
      </c>
      <c r="J667" s="4" t="s">
        <v>7738</v>
      </c>
      <c r="L667" t="s">
        <v>1627</v>
      </c>
      <c r="M667" t="s">
        <v>14917</v>
      </c>
      <c r="N667" t="s">
        <v>3459</v>
      </c>
      <c r="O667" t="s">
        <v>3459</v>
      </c>
      <c r="P667" t="s">
        <v>3819</v>
      </c>
      <c r="Q667" t="s">
        <v>3819</v>
      </c>
      <c r="R667" t="s">
        <v>3459</v>
      </c>
      <c r="S667" t="s">
        <v>3758</v>
      </c>
    </row>
    <row r="668" spans="1:19" x14ac:dyDescent="0.2">
      <c r="A668" t="s">
        <v>2240</v>
      </c>
      <c r="B668" t="s">
        <v>14359</v>
      </c>
      <c r="C668" t="s">
        <v>19580</v>
      </c>
      <c r="D668" t="str">
        <f>_xlfn.XLOOKUP(E668,pathways!$A$2:$A$31,pathways!$B$2:$B$31)</f>
        <v>Lipid metabolism</v>
      </c>
      <c r="E668" t="s">
        <v>3459</v>
      </c>
      <c r="F668" t="s">
        <v>3819</v>
      </c>
      <c r="G668" t="s">
        <v>14360</v>
      </c>
      <c r="H668" t="s">
        <v>14360</v>
      </c>
      <c r="I668" t="s">
        <v>9890</v>
      </c>
      <c r="J668" s="4" t="s">
        <v>14360</v>
      </c>
      <c r="L668" t="s">
        <v>2239</v>
      </c>
      <c r="M668" t="s">
        <v>15536</v>
      </c>
      <c r="N668" t="s">
        <v>3459</v>
      </c>
      <c r="O668" t="s">
        <v>14360</v>
      </c>
      <c r="P668" t="s">
        <v>3819</v>
      </c>
      <c r="Q668" t="s">
        <v>14360</v>
      </c>
      <c r="R668" t="s">
        <v>3459</v>
      </c>
      <c r="S668" t="s">
        <v>3758</v>
      </c>
    </row>
    <row r="669" spans="1:19" x14ac:dyDescent="0.2">
      <c r="A669" t="s">
        <v>14040</v>
      </c>
      <c r="B669" t="s">
        <v>14359</v>
      </c>
      <c r="C669" t="s">
        <v>19983</v>
      </c>
      <c r="D669" t="str">
        <f>_xlfn.XLOOKUP(E669,pathways!$A$2:$A$31,pathways!$B$2:$B$31)</f>
        <v>Lipid metabolism</v>
      </c>
      <c r="E669" t="s">
        <v>3459</v>
      </c>
      <c r="F669" t="s">
        <v>3819</v>
      </c>
      <c r="G669" t="s">
        <v>14360</v>
      </c>
      <c r="H669" t="s">
        <v>14360</v>
      </c>
      <c r="I669" t="s">
        <v>9891</v>
      </c>
      <c r="J669" s="4" t="s">
        <v>14360</v>
      </c>
      <c r="L669" t="s">
        <v>14360</v>
      </c>
      <c r="M669" t="s">
        <v>14360</v>
      </c>
      <c r="N669" t="s">
        <v>3459</v>
      </c>
      <c r="O669" t="s">
        <v>14360</v>
      </c>
      <c r="P669" t="s">
        <v>3819</v>
      </c>
      <c r="Q669" t="s">
        <v>14360</v>
      </c>
      <c r="R669" t="s">
        <v>14360</v>
      </c>
      <c r="S669" t="s">
        <v>3864</v>
      </c>
    </row>
    <row r="670" spans="1:19" x14ac:dyDescent="0.2">
      <c r="A670" t="s">
        <v>13994</v>
      </c>
      <c r="B670" t="s">
        <v>14359</v>
      </c>
      <c r="C670" t="s">
        <v>19519</v>
      </c>
      <c r="D670" t="str">
        <f>_xlfn.XLOOKUP(E670,pathways!$A$2:$A$31,pathways!$B$2:$B$31)</f>
        <v>Lipid metabolism</v>
      </c>
      <c r="E670" t="s">
        <v>3459</v>
      </c>
      <c r="F670" t="s">
        <v>3560</v>
      </c>
      <c r="G670" t="s">
        <v>14360</v>
      </c>
      <c r="H670" t="s">
        <v>14360</v>
      </c>
      <c r="I670" t="s">
        <v>9456</v>
      </c>
      <c r="J670" s="4" t="s">
        <v>14360</v>
      </c>
      <c r="L670" t="s">
        <v>2077</v>
      </c>
      <c r="M670" t="s">
        <v>15371</v>
      </c>
      <c r="N670" t="s">
        <v>3459</v>
      </c>
      <c r="O670" t="s">
        <v>14360</v>
      </c>
      <c r="P670" t="s">
        <v>3560</v>
      </c>
      <c r="Q670" t="s">
        <v>14360</v>
      </c>
      <c r="R670" t="s">
        <v>3459</v>
      </c>
      <c r="S670" t="s">
        <v>4101</v>
      </c>
    </row>
    <row r="671" spans="1:19" x14ac:dyDescent="0.2">
      <c r="A671" t="s">
        <v>13785</v>
      </c>
      <c r="B671" t="s">
        <v>14359</v>
      </c>
      <c r="C671" t="s">
        <v>19988</v>
      </c>
      <c r="D671" t="str">
        <f>_xlfn.XLOOKUP(E671,pathways!$A$2:$A$31,pathways!$B$2:$B$31)</f>
        <v>Lipid metabolism</v>
      </c>
      <c r="E671" t="s">
        <v>3459</v>
      </c>
      <c r="F671" t="s">
        <v>3569</v>
      </c>
      <c r="G671" t="s">
        <v>4481</v>
      </c>
      <c r="H671" t="s">
        <v>14360</v>
      </c>
      <c r="I671" t="s">
        <v>4481</v>
      </c>
      <c r="J671" s="4" t="s">
        <v>14360</v>
      </c>
      <c r="L671" t="s">
        <v>14360</v>
      </c>
      <c r="M671" t="s">
        <v>14360</v>
      </c>
      <c r="N671" t="s">
        <v>3459</v>
      </c>
      <c r="O671" t="s">
        <v>14360</v>
      </c>
      <c r="P671" t="s">
        <v>3569</v>
      </c>
      <c r="Q671" t="s">
        <v>14360</v>
      </c>
      <c r="R671" t="s">
        <v>14360</v>
      </c>
      <c r="S671" t="s">
        <v>5535</v>
      </c>
    </row>
    <row r="672" spans="1:19" x14ac:dyDescent="0.2">
      <c r="A672" t="s">
        <v>2133</v>
      </c>
      <c r="B672" t="s">
        <v>14359</v>
      </c>
      <c r="C672" t="s">
        <v>19542</v>
      </c>
      <c r="D672" t="str">
        <f>_xlfn.XLOOKUP(E672,pathways!$A$2:$A$31,pathways!$B$2:$B$31)</f>
        <v>Lipid metabolism</v>
      </c>
      <c r="E672" t="s">
        <v>3459</v>
      </c>
      <c r="F672" t="s">
        <v>3873</v>
      </c>
      <c r="G672" t="s">
        <v>20433</v>
      </c>
      <c r="H672" t="s">
        <v>14360</v>
      </c>
      <c r="I672" t="s">
        <v>9622</v>
      </c>
      <c r="J672" s="4" t="s">
        <v>9622</v>
      </c>
      <c r="L672" t="s">
        <v>2132</v>
      </c>
      <c r="M672" t="s">
        <v>15426</v>
      </c>
      <c r="N672" t="s">
        <v>3459</v>
      </c>
      <c r="O672" t="s">
        <v>3459</v>
      </c>
      <c r="P672" t="s">
        <v>3873</v>
      </c>
      <c r="Q672" t="s">
        <v>3873</v>
      </c>
      <c r="R672" t="s">
        <v>3459</v>
      </c>
      <c r="S672" t="s">
        <v>4991</v>
      </c>
    </row>
    <row r="673" spans="1:19" x14ac:dyDescent="0.2">
      <c r="A673" t="s">
        <v>2020</v>
      </c>
      <c r="B673" t="s">
        <v>14359</v>
      </c>
      <c r="C673" t="s">
        <v>19492</v>
      </c>
      <c r="D673" t="str">
        <f>_xlfn.XLOOKUP(E673,pathways!$A$2:$A$31,pathways!$B$2:$B$31)</f>
        <v>Lipid metabolism</v>
      </c>
      <c r="E673" t="s">
        <v>3459</v>
      </c>
      <c r="F673" t="s">
        <v>3560</v>
      </c>
      <c r="G673" t="s">
        <v>14360</v>
      </c>
      <c r="H673" t="s">
        <v>14360</v>
      </c>
      <c r="I673" t="s">
        <v>9230</v>
      </c>
      <c r="J673" s="4" t="s">
        <v>9230</v>
      </c>
      <c r="L673" t="s">
        <v>2019</v>
      </c>
      <c r="M673" t="s">
        <v>15323</v>
      </c>
      <c r="N673" t="s">
        <v>3459</v>
      </c>
      <c r="O673" t="s">
        <v>3459</v>
      </c>
      <c r="P673" t="s">
        <v>3560</v>
      </c>
      <c r="Q673" t="s">
        <v>11702</v>
      </c>
      <c r="R673" t="s">
        <v>3459</v>
      </c>
      <c r="S673" t="s">
        <v>3569</v>
      </c>
    </row>
    <row r="674" spans="1:19" x14ac:dyDescent="0.2">
      <c r="A674" t="s">
        <v>1451</v>
      </c>
      <c r="B674" t="s">
        <v>14359</v>
      </c>
      <c r="C674" t="s">
        <v>19296</v>
      </c>
      <c r="D674" t="str">
        <f>_xlfn.XLOOKUP(E674,pathways!$A$2:$A$31,pathways!$B$2:$B$31)</f>
        <v>Lipid metabolism</v>
      </c>
      <c r="E674" t="s">
        <v>3459</v>
      </c>
      <c r="F674" t="s">
        <v>3873</v>
      </c>
      <c r="G674" t="s">
        <v>14360</v>
      </c>
      <c r="H674" t="s">
        <v>14360</v>
      </c>
      <c r="I674" t="s">
        <v>6760</v>
      </c>
      <c r="J674" s="4" t="s">
        <v>6760</v>
      </c>
      <c r="L674" t="s">
        <v>1450</v>
      </c>
      <c r="M674" t="s">
        <v>14736</v>
      </c>
      <c r="N674" t="s">
        <v>3459</v>
      </c>
      <c r="O674" t="s">
        <v>3459</v>
      </c>
      <c r="P674" t="s">
        <v>3873</v>
      </c>
      <c r="Q674" t="s">
        <v>3873</v>
      </c>
      <c r="R674" t="s">
        <v>3459</v>
      </c>
      <c r="S674" t="s">
        <v>6535</v>
      </c>
    </row>
    <row r="675" spans="1:19" x14ac:dyDescent="0.2">
      <c r="A675" t="s">
        <v>2135</v>
      </c>
      <c r="B675" t="s">
        <v>14359</v>
      </c>
      <c r="C675" t="s">
        <v>19543</v>
      </c>
      <c r="D675" t="str">
        <f>_xlfn.XLOOKUP(E675,pathways!$A$2:$A$31,pathways!$B$2:$B$31)</f>
        <v>Lipid metabolism</v>
      </c>
      <c r="E675" t="s">
        <v>3459</v>
      </c>
      <c r="F675" t="s">
        <v>3873</v>
      </c>
      <c r="G675" t="s">
        <v>14360</v>
      </c>
      <c r="H675" t="s">
        <v>14360</v>
      </c>
      <c r="I675" t="s">
        <v>9615</v>
      </c>
      <c r="J675" s="4" t="s">
        <v>9615</v>
      </c>
      <c r="L675" t="s">
        <v>2134</v>
      </c>
      <c r="M675" t="s">
        <v>15428</v>
      </c>
      <c r="N675" t="s">
        <v>3459</v>
      </c>
      <c r="O675" t="s">
        <v>3459</v>
      </c>
      <c r="P675" t="s">
        <v>3873</v>
      </c>
      <c r="Q675" t="s">
        <v>3873</v>
      </c>
      <c r="R675" t="s">
        <v>3459</v>
      </c>
      <c r="S675" t="s">
        <v>14360</v>
      </c>
    </row>
    <row r="676" spans="1:19" x14ac:dyDescent="0.2">
      <c r="A676" t="s">
        <v>13814</v>
      </c>
      <c r="B676" t="s">
        <v>14359</v>
      </c>
      <c r="C676" t="s">
        <v>19207</v>
      </c>
      <c r="D676" t="str">
        <f>_xlfn.XLOOKUP(E676,pathways!$A$2:$A$31,pathways!$B$2:$B$31)</f>
        <v>Lipid metabolism</v>
      </c>
      <c r="E676" t="s">
        <v>3459</v>
      </c>
      <c r="F676" t="s">
        <v>5535</v>
      </c>
      <c r="G676" t="s">
        <v>14360</v>
      </c>
      <c r="H676" t="s">
        <v>14360</v>
      </c>
      <c r="I676" t="s">
        <v>5538</v>
      </c>
      <c r="J676" s="4" t="s">
        <v>5538</v>
      </c>
      <c r="L676" t="s">
        <v>1186</v>
      </c>
      <c r="M676" t="s">
        <v>14458</v>
      </c>
      <c r="N676" t="s">
        <v>3459</v>
      </c>
      <c r="O676" t="s">
        <v>3459</v>
      </c>
      <c r="P676" t="s">
        <v>5535</v>
      </c>
      <c r="Q676" t="s">
        <v>11596</v>
      </c>
      <c r="R676" t="s">
        <v>3459</v>
      </c>
      <c r="S676" t="s">
        <v>14360</v>
      </c>
    </row>
    <row r="677" spans="1:19" x14ac:dyDescent="0.2">
      <c r="A677" t="s">
        <v>1503</v>
      </c>
      <c r="B677" t="s">
        <v>14359</v>
      </c>
      <c r="C677" t="s">
        <v>19312</v>
      </c>
      <c r="D677" t="str">
        <f>_xlfn.XLOOKUP(E677,pathways!$A$2:$A$31,pathways!$B$2:$B$31)</f>
        <v>Lipid metabolism</v>
      </c>
      <c r="E677" t="s">
        <v>3459</v>
      </c>
      <c r="F677" t="s">
        <v>6878</v>
      </c>
      <c r="G677" t="s">
        <v>6881</v>
      </c>
      <c r="H677" t="s">
        <v>14360</v>
      </c>
      <c r="I677" t="s">
        <v>6881</v>
      </c>
      <c r="J677" s="4" t="s">
        <v>6881</v>
      </c>
      <c r="L677" t="s">
        <v>1502</v>
      </c>
      <c r="M677" t="s">
        <v>14788</v>
      </c>
      <c r="N677" t="s">
        <v>3459</v>
      </c>
      <c r="O677" t="s">
        <v>3459</v>
      </c>
      <c r="P677" t="s">
        <v>6878</v>
      </c>
      <c r="Q677" t="s">
        <v>6878</v>
      </c>
      <c r="R677" t="s">
        <v>3459</v>
      </c>
      <c r="S677" t="s">
        <v>3480</v>
      </c>
    </row>
    <row r="678" spans="1:19" x14ac:dyDescent="0.2">
      <c r="A678" t="s">
        <v>13845</v>
      </c>
      <c r="B678" t="s">
        <v>14359</v>
      </c>
      <c r="C678" t="s">
        <v>19275</v>
      </c>
      <c r="D678" t="str">
        <f>_xlfn.XLOOKUP(E678,pathways!$A$2:$A$31,pathways!$B$2:$B$31)</f>
        <v>Lipid metabolism</v>
      </c>
      <c r="E678" t="s">
        <v>3459</v>
      </c>
      <c r="F678" t="s">
        <v>4991</v>
      </c>
      <c r="G678" t="s">
        <v>14360</v>
      </c>
      <c r="H678" t="s">
        <v>14360</v>
      </c>
      <c r="I678" t="s">
        <v>6566</v>
      </c>
      <c r="J678" s="4" t="s">
        <v>14360</v>
      </c>
      <c r="L678" t="s">
        <v>1401</v>
      </c>
      <c r="M678" t="s">
        <v>14684</v>
      </c>
      <c r="N678" t="s">
        <v>3459</v>
      </c>
      <c r="O678" t="s">
        <v>14360</v>
      </c>
      <c r="P678" t="s">
        <v>4991</v>
      </c>
      <c r="Q678" t="s">
        <v>14360</v>
      </c>
      <c r="R678" t="s">
        <v>3459</v>
      </c>
    </row>
    <row r="679" spans="1:19" x14ac:dyDescent="0.2">
      <c r="A679" t="s">
        <v>2117</v>
      </c>
      <c r="B679" t="s">
        <v>14359</v>
      </c>
      <c r="C679" t="s">
        <v>19536</v>
      </c>
      <c r="D679" t="str">
        <f>_xlfn.XLOOKUP(E679,pathways!$A$2:$A$31,pathways!$B$2:$B$31)</f>
        <v>Lipid metabolism</v>
      </c>
      <c r="E679" t="s">
        <v>3459</v>
      </c>
      <c r="F679" t="s">
        <v>3873</v>
      </c>
      <c r="G679" t="s">
        <v>14360</v>
      </c>
      <c r="H679" t="s">
        <v>14360</v>
      </c>
      <c r="I679" t="s">
        <v>9576</v>
      </c>
      <c r="J679" s="4" t="s">
        <v>9576</v>
      </c>
      <c r="L679" t="s">
        <v>2116</v>
      </c>
      <c r="M679" t="s">
        <v>15412</v>
      </c>
      <c r="N679" t="s">
        <v>3459</v>
      </c>
      <c r="O679" t="s">
        <v>3459</v>
      </c>
      <c r="P679" t="s">
        <v>3873</v>
      </c>
      <c r="Q679" t="s">
        <v>3873</v>
      </c>
      <c r="R679" t="s">
        <v>3459</v>
      </c>
      <c r="S679" t="s">
        <v>3480</v>
      </c>
    </row>
    <row r="680" spans="1:19" x14ac:dyDescent="0.2">
      <c r="A680" t="s">
        <v>14067</v>
      </c>
      <c r="B680" t="s">
        <v>14359</v>
      </c>
      <c r="C680" t="s">
        <v>19593</v>
      </c>
      <c r="D680" t="str">
        <f>_xlfn.XLOOKUP(E680,pathways!$A$2:$A$31,pathways!$B$2:$B$31)</f>
        <v>Lipid metabolism</v>
      </c>
      <c r="E680" t="s">
        <v>3459</v>
      </c>
      <c r="F680" t="s">
        <v>814</v>
      </c>
      <c r="G680" t="s">
        <v>14360</v>
      </c>
      <c r="H680" t="s">
        <v>14360</v>
      </c>
      <c r="I680" t="s">
        <v>10052</v>
      </c>
      <c r="J680" s="4" t="s">
        <v>14360</v>
      </c>
      <c r="L680" t="s">
        <v>2282</v>
      </c>
      <c r="M680" t="s">
        <v>15579</v>
      </c>
      <c r="N680" t="s">
        <v>3459</v>
      </c>
      <c r="O680" t="s">
        <v>14360</v>
      </c>
      <c r="P680" t="s">
        <v>814</v>
      </c>
      <c r="Q680" t="s">
        <v>14360</v>
      </c>
      <c r="R680" t="s">
        <v>3459</v>
      </c>
      <c r="S680" t="s">
        <v>3661</v>
      </c>
    </row>
    <row r="681" spans="1:19" x14ac:dyDescent="0.2">
      <c r="A681" t="s">
        <v>1312</v>
      </c>
      <c r="B681" t="s">
        <v>14359</v>
      </c>
      <c r="C681" t="s">
        <v>19246</v>
      </c>
      <c r="D681" t="str">
        <f>_xlfn.XLOOKUP(E681,pathways!$A$2:$A$31,pathways!$B$2:$B$31)</f>
        <v>Lipid metabolism</v>
      </c>
      <c r="E681" t="s">
        <v>3459</v>
      </c>
      <c r="F681" t="s">
        <v>3819</v>
      </c>
      <c r="G681" t="s">
        <v>14360</v>
      </c>
      <c r="H681" t="s">
        <v>14360</v>
      </c>
      <c r="I681" t="s">
        <v>6134</v>
      </c>
      <c r="J681" s="4" t="s">
        <v>14360</v>
      </c>
      <c r="L681" t="s">
        <v>1311</v>
      </c>
      <c r="M681" t="s">
        <v>14590</v>
      </c>
      <c r="N681" t="s">
        <v>3459</v>
      </c>
      <c r="O681" t="s">
        <v>14360</v>
      </c>
      <c r="P681" t="s">
        <v>3819</v>
      </c>
      <c r="Q681" t="s">
        <v>14360</v>
      </c>
      <c r="R681" t="s">
        <v>3459</v>
      </c>
      <c r="S681" t="s">
        <v>14360</v>
      </c>
    </row>
    <row r="682" spans="1:19" x14ac:dyDescent="0.2">
      <c r="A682" t="s">
        <v>1618</v>
      </c>
      <c r="B682" t="s">
        <v>14359</v>
      </c>
      <c r="C682" t="s">
        <v>19342</v>
      </c>
      <c r="D682" t="str">
        <f>_xlfn.XLOOKUP(E682,pathways!$A$2:$A$31,pathways!$B$2:$B$31)</f>
        <v>Lipid metabolism</v>
      </c>
      <c r="E682" t="s">
        <v>3459</v>
      </c>
      <c r="F682" t="s">
        <v>3819</v>
      </c>
      <c r="G682" t="s">
        <v>14360</v>
      </c>
      <c r="H682" t="s">
        <v>14360</v>
      </c>
      <c r="I682" t="s">
        <v>7521</v>
      </c>
      <c r="J682" s="4" t="s">
        <v>7521</v>
      </c>
      <c r="L682" t="s">
        <v>1617</v>
      </c>
      <c r="M682" t="s">
        <v>14905</v>
      </c>
      <c r="N682" t="s">
        <v>3459</v>
      </c>
      <c r="O682" t="s">
        <v>3459</v>
      </c>
      <c r="P682" t="s">
        <v>3819</v>
      </c>
      <c r="Q682" t="s">
        <v>3819</v>
      </c>
      <c r="R682" t="s">
        <v>3459</v>
      </c>
      <c r="S682" t="s">
        <v>14360</v>
      </c>
    </row>
    <row r="683" spans="1:19" x14ac:dyDescent="0.2">
      <c r="A683" t="s">
        <v>14087</v>
      </c>
      <c r="B683" t="s">
        <v>14359</v>
      </c>
      <c r="C683" t="s">
        <v>19999</v>
      </c>
      <c r="D683" t="str">
        <f>_xlfn.XLOOKUP(E683,pathways!$A$2:$A$31,pathways!$B$2:$B$31)</f>
        <v>Lipid metabolism</v>
      </c>
      <c r="E683" t="s">
        <v>3459</v>
      </c>
      <c r="F683" t="s">
        <v>3819</v>
      </c>
      <c r="G683" t="s">
        <v>14360</v>
      </c>
      <c r="H683" t="s">
        <v>14360</v>
      </c>
      <c r="I683" t="s">
        <v>10161</v>
      </c>
      <c r="J683" s="4" t="s">
        <v>14360</v>
      </c>
      <c r="L683" t="s">
        <v>14360</v>
      </c>
      <c r="M683" t="s">
        <v>14360</v>
      </c>
      <c r="N683" t="s">
        <v>3459</v>
      </c>
      <c r="O683" t="s">
        <v>14360</v>
      </c>
      <c r="P683" t="s">
        <v>3819</v>
      </c>
      <c r="Q683" t="s">
        <v>14360</v>
      </c>
      <c r="R683" t="s">
        <v>14360</v>
      </c>
      <c r="S683" t="s">
        <v>14360</v>
      </c>
    </row>
    <row r="684" spans="1:19" x14ac:dyDescent="0.2">
      <c r="A684" t="s">
        <v>13980</v>
      </c>
      <c r="B684" t="s">
        <v>14359</v>
      </c>
      <c r="C684" t="s">
        <v>20116</v>
      </c>
      <c r="D684" t="str">
        <f>_xlfn.XLOOKUP(E684,pathways!$A$2:$A$31,pathways!$B$2:$B$31)</f>
        <v>Lipid metabolism</v>
      </c>
      <c r="E684" t="s">
        <v>3459</v>
      </c>
      <c r="F684" t="s">
        <v>9027</v>
      </c>
      <c r="G684" t="s">
        <v>14360</v>
      </c>
      <c r="H684" t="s">
        <v>14360</v>
      </c>
      <c r="I684" t="s">
        <v>9298</v>
      </c>
      <c r="J684" s="4" t="s">
        <v>9298</v>
      </c>
      <c r="L684" t="s">
        <v>14360</v>
      </c>
      <c r="M684" t="s">
        <v>14360</v>
      </c>
      <c r="N684" t="s">
        <v>3459</v>
      </c>
      <c r="O684" t="s">
        <v>3459</v>
      </c>
      <c r="P684" t="s">
        <v>9027</v>
      </c>
      <c r="Q684" t="s">
        <v>9027</v>
      </c>
      <c r="R684" t="s">
        <v>14360</v>
      </c>
      <c r="S684" t="s">
        <v>14360</v>
      </c>
    </row>
    <row r="685" spans="1:19" x14ac:dyDescent="0.2">
      <c r="A685" t="s">
        <v>2009</v>
      </c>
      <c r="B685" t="s">
        <v>14359</v>
      </c>
      <c r="C685" t="s">
        <v>19487</v>
      </c>
      <c r="D685" t="str">
        <f>_xlfn.XLOOKUP(E685,pathways!$A$2:$A$31,pathways!$B$2:$B$31)</f>
        <v>Lipid metabolism</v>
      </c>
      <c r="E685" t="s">
        <v>3459</v>
      </c>
      <c r="F685" t="s">
        <v>9027</v>
      </c>
      <c r="G685" t="s">
        <v>14360</v>
      </c>
      <c r="H685" t="s">
        <v>14360</v>
      </c>
      <c r="I685" t="s">
        <v>9293</v>
      </c>
      <c r="J685" s="4" t="s">
        <v>9293</v>
      </c>
      <c r="L685" t="s">
        <v>2008</v>
      </c>
      <c r="M685" t="s">
        <v>15311</v>
      </c>
      <c r="N685" t="s">
        <v>3459</v>
      </c>
      <c r="O685" t="s">
        <v>3459</v>
      </c>
      <c r="P685" t="s">
        <v>9027</v>
      </c>
      <c r="Q685" t="s">
        <v>9027</v>
      </c>
      <c r="R685" t="s">
        <v>3459</v>
      </c>
      <c r="S685" t="s">
        <v>14360</v>
      </c>
    </row>
    <row r="686" spans="1:19" x14ac:dyDescent="0.2">
      <c r="A686" t="s">
        <v>1928</v>
      </c>
      <c r="B686" t="s">
        <v>14359</v>
      </c>
      <c r="C686" t="s">
        <v>19448</v>
      </c>
      <c r="D686" t="str">
        <f>_xlfn.XLOOKUP(E686,pathways!$A$2:$A$31,pathways!$B$2:$B$31)</f>
        <v>Lipid metabolism</v>
      </c>
      <c r="E686" t="s">
        <v>3459</v>
      </c>
      <c r="F686" t="s">
        <v>9027</v>
      </c>
      <c r="G686" t="s">
        <v>14360</v>
      </c>
      <c r="H686" t="s">
        <v>14360</v>
      </c>
      <c r="I686" t="s">
        <v>9030</v>
      </c>
      <c r="J686" s="4" t="s">
        <v>9030</v>
      </c>
      <c r="L686" t="s">
        <v>1927</v>
      </c>
      <c r="M686" t="s">
        <v>15229</v>
      </c>
      <c r="N686" t="s">
        <v>3459</v>
      </c>
      <c r="O686" t="s">
        <v>3459</v>
      </c>
      <c r="P686" t="s">
        <v>9027</v>
      </c>
      <c r="Q686" t="s">
        <v>9027</v>
      </c>
      <c r="R686" t="s">
        <v>3459</v>
      </c>
      <c r="S686" t="s">
        <v>14360</v>
      </c>
    </row>
    <row r="687" spans="1:19" x14ac:dyDescent="0.2">
      <c r="A687" t="s">
        <v>2473</v>
      </c>
      <c r="B687" t="s">
        <v>14359</v>
      </c>
      <c r="C687" t="s">
        <v>19655</v>
      </c>
      <c r="D687" t="str">
        <f>_xlfn.XLOOKUP(E687,pathways!$A$2:$A$31,pathways!$B$2:$B$31)</f>
        <v>Lipid metabolism</v>
      </c>
      <c r="E687" t="s">
        <v>3459</v>
      </c>
      <c r="F687" t="s">
        <v>3569</v>
      </c>
      <c r="G687" t="s">
        <v>14360</v>
      </c>
      <c r="H687" t="s">
        <v>14360</v>
      </c>
      <c r="I687" t="s">
        <v>3572</v>
      </c>
      <c r="J687" s="4" t="s">
        <v>3572</v>
      </c>
      <c r="L687" t="s">
        <v>2472</v>
      </c>
      <c r="M687" t="s">
        <v>15779</v>
      </c>
      <c r="N687" t="s">
        <v>3459</v>
      </c>
      <c r="O687" t="s">
        <v>3459</v>
      </c>
      <c r="P687" t="s">
        <v>3569</v>
      </c>
      <c r="Q687" t="s">
        <v>3569</v>
      </c>
      <c r="R687" t="s">
        <v>3459</v>
      </c>
      <c r="S687" t="s">
        <v>14360</v>
      </c>
    </row>
    <row r="688" spans="1:19" x14ac:dyDescent="0.2">
      <c r="A688" t="s">
        <v>13837</v>
      </c>
      <c r="B688" t="s">
        <v>14359</v>
      </c>
      <c r="C688" t="s">
        <v>19259</v>
      </c>
      <c r="D688" t="str">
        <f>_xlfn.XLOOKUP(E688,pathways!$A$2:$A$31,pathways!$B$2:$B$31)</f>
        <v>Lipid metabolism</v>
      </c>
      <c r="E688" t="s">
        <v>3459</v>
      </c>
      <c r="F688" t="s">
        <v>5535</v>
      </c>
      <c r="G688" t="s">
        <v>14360</v>
      </c>
      <c r="H688" t="s">
        <v>14360</v>
      </c>
      <c r="I688" t="s">
        <v>6303</v>
      </c>
      <c r="J688" s="4" t="s">
        <v>6303</v>
      </c>
      <c r="L688" t="s">
        <v>1343</v>
      </c>
      <c r="M688" t="s">
        <v>14622</v>
      </c>
      <c r="N688" t="s">
        <v>3459</v>
      </c>
      <c r="O688" t="s">
        <v>3459</v>
      </c>
      <c r="P688" t="s">
        <v>5535</v>
      </c>
      <c r="Q688" t="s">
        <v>11596</v>
      </c>
      <c r="R688" t="s">
        <v>3459</v>
      </c>
      <c r="S688" t="s">
        <v>3768</v>
      </c>
    </row>
    <row r="689" spans="1:19" x14ac:dyDescent="0.2">
      <c r="A689" t="s">
        <v>1861</v>
      </c>
      <c r="B689" t="s">
        <v>14359</v>
      </c>
      <c r="C689" t="s">
        <v>19419</v>
      </c>
      <c r="D689" t="str">
        <f>_xlfn.XLOOKUP(E689,pathways!$A$2:$A$31,pathways!$B$2:$B$31)</f>
        <v>Lipid metabolism</v>
      </c>
      <c r="E689" t="s">
        <v>3459</v>
      </c>
      <c r="F689" t="s">
        <v>814</v>
      </c>
      <c r="G689" t="s">
        <v>14360</v>
      </c>
      <c r="H689" t="s">
        <v>14360</v>
      </c>
      <c r="I689" t="s">
        <v>8610</v>
      </c>
      <c r="J689" s="4" t="s">
        <v>8610</v>
      </c>
      <c r="L689" t="s">
        <v>1860</v>
      </c>
      <c r="M689" t="s">
        <v>15160</v>
      </c>
      <c r="N689" t="s">
        <v>3459</v>
      </c>
      <c r="O689" t="s">
        <v>3459</v>
      </c>
      <c r="P689" t="s">
        <v>814</v>
      </c>
      <c r="Q689" t="s">
        <v>814</v>
      </c>
      <c r="R689" t="s">
        <v>3459</v>
      </c>
      <c r="S689" t="s">
        <v>3768</v>
      </c>
    </row>
    <row r="690" spans="1:19" x14ac:dyDescent="0.2">
      <c r="A690" t="s">
        <v>2085</v>
      </c>
      <c r="B690" t="s">
        <v>14359</v>
      </c>
      <c r="C690" t="s">
        <v>19523</v>
      </c>
      <c r="D690" t="str">
        <f>_xlfn.XLOOKUP(E690,pathways!$A$2:$A$31,pathways!$B$2:$B$31)</f>
        <v>Lipid metabolism</v>
      </c>
      <c r="E690" t="s">
        <v>3459</v>
      </c>
      <c r="F690" t="s">
        <v>5526</v>
      </c>
      <c r="G690" t="s">
        <v>14360</v>
      </c>
      <c r="H690" t="s">
        <v>14360</v>
      </c>
      <c r="I690" t="s">
        <v>9477</v>
      </c>
      <c r="J690" s="4" t="s">
        <v>9477</v>
      </c>
      <c r="L690" t="s">
        <v>2084</v>
      </c>
      <c r="M690" t="s">
        <v>15378</v>
      </c>
      <c r="N690" t="s">
        <v>3459</v>
      </c>
      <c r="O690" t="s">
        <v>3459</v>
      </c>
      <c r="P690" t="s">
        <v>5526</v>
      </c>
      <c r="Q690" t="s">
        <v>11596</v>
      </c>
      <c r="R690" t="s">
        <v>3459</v>
      </c>
      <c r="S690" t="s">
        <v>3768</v>
      </c>
    </row>
    <row r="691" spans="1:19" x14ac:dyDescent="0.2">
      <c r="A691" t="s">
        <v>2481</v>
      </c>
      <c r="B691" t="s">
        <v>14359</v>
      </c>
      <c r="C691" t="s">
        <v>19657</v>
      </c>
      <c r="D691" t="str">
        <f>_xlfn.XLOOKUP(E691,pathways!$A$2:$A$31,pathways!$B$2:$B$31)</f>
        <v>Lipid metabolism</v>
      </c>
      <c r="E691" t="s">
        <v>3459</v>
      </c>
      <c r="F691" t="s">
        <v>3560</v>
      </c>
      <c r="G691" t="s">
        <v>14360</v>
      </c>
      <c r="H691" t="s">
        <v>14360</v>
      </c>
      <c r="I691" t="s">
        <v>3563</v>
      </c>
      <c r="J691" s="4" t="s">
        <v>3563</v>
      </c>
      <c r="L691" t="s">
        <v>2480</v>
      </c>
      <c r="M691" t="s">
        <v>15787</v>
      </c>
      <c r="N691" t="s">
        <v>3459</v>
      </c>
      <c r="O691" t="s">
        <v>3459</v>
      </c>
      <c r="P691" t="s">
        <v>3560</v>
      </c>
      <c r="Q691" t="s">
        <v>11702</v>
      </c>
      <c r="R691" t="s">
        <v>3459</v>
      </c>
      <c r="S691" t="s">
        <v>14360</v>
      </c>
    </row>
    <row r="692" spans="1:19" x14ac:dyDescent="0.2">
      <c r="A692" t="s">
        <v>1340</v>
      </c>
      <c r="B692" t="s">
        <v>14359</v>
      </c>
      <c r="C692" t="s">
        <v>19257</v>
      </c>
      <c r="D692" t="str">
        <f>_xlfn.XLOOKUP(E692,pathways!$A$2:$A$31,pathways!$B$2:$B$31)</f>
        <v>Lipid metabolism</v>
      </c>
      <c r="E692" t="s">
        <v>3459</v>
      </c>
      <c r="F692" t="s">
        <v>3560</v>
      </c>
      <c r="G692" t="s">
        <v>14360</v>
      </c>
      <c r="H692" t="s">
        <v>14360</v>
      </c>
      <c r="I692" t="s">
        <v>6277</v>
      </c>
      <c r="J692" s="4" t="s">
        <v>6277</v>
      </c>
      <c r="L692" t="s">
        <v>1339</v>
      </c>
      <c r="M692" t="s">
        <v>14618</v>
      </c>
      <c r="N692" t="s">
        <v>3459</v>
      </c>
      <c r="O692" t="s">
        <v>3459</v>
      </c>
      <c r="P692" t="s">
        <v>3560</v>
      </c>
      <c r="Q692" t="s">
        <v>11702</v>
      </c>
      <c r="R692" t="s">
        <v>3459</v>
      </c>
      <c r="S692" t="s">
        <v>3785</v>
      </c>
    </row>
    <row r="693" spans="1:19" x14ac:dyDescent="0.2">
      <c r="A693" t="s">
        <v>2076</v>
      </c>
      <c r="B693" t="s">
        <v>14359</v>
      </c>
      <c r="C693" t="s">
        <v>19518</v>
      </c>
      <c r="D693" t="str">
        <f>_xlfn.XLOOKUP(E693,pathways!$A$2:$A$31,pathways!$B$2:$B$31)</f>
        <v>Lipid metabolism</v>
      </c>
      <c r="E693" t="s">
        <v>3459</v>
      </c>
      <c r="F693" t="s">
        <v>7821</v>
      </c>
      <c r="G693" t="s">
        <v>14360</v>
      </c>
      <c r="H693" t="s">
        <v>14360</v>
      </c>
      <c r="I693" t="s">
        <v>9462</v>
      </c>
      <c r="J693" s="4" t="s">
        <v>9462</v>
      </c>
      <c r="L693" t="s">
        <v>2075</v>
      </c>
      <c r="M693" t="s">
        <v>15369</v>
      </c>
      <c r="N693" t="s">
        <v>3459</v>
      </c>
      <c r="O693" t="s">
        <v>3459</v>
      </c>
      <c r="P693" t="s">
        <v>7821</v>
      </c>
      <c r="Q693" t="s">
        <v>11596</v>
      </c>
      <c r="R693" t="s">
        <v>3459</v>
      </c>
      <c r="S693" t="s">
        <v>3785</v>
      </c>
    </row>
    <row r="694" spans="1:19" x14ac:dyDescent="0.2">
      <c r="A694" t="s">
        <v>1876</v>
      </c>
      <c r="B694" t="s">
        <v>14359</v>
      </c>
      <c r="C694" t="s">
        <v>19427</v>
      </c>
      <c r="D694" t="str">
        <f>_xlfn.XLOOKUP(E694,pathways!$A$2:$A$31,pathways!$B$2:$B$31)</f>
        <v>Lipid metabolism</v>
      </c>
      <c r="E694" t="s">
        <v>3459</v>
      </c>
      <c r="F694" t="s">
        <v>4774</v>
      </c>
      <c r="G694" t="s">
        <v>14360</v>
      </c>
      <c r="H694" t="s">
        <v>14360</v>
      </c>
      <c r="I694" t="s">
        <v>8756</v>
      </c>
      <c r="J694" s="4" t="s">
        <v>8756</v>
      </c>
      <c r="L694" t="s">
        <v>1875</v>
      </c>
      <c r="M694" t="s">
        <v>15177</v>
      </c>
      <c r="N694" t="s">
        <v>3459</v>
      </c>
      <c r="O694" t="s">
        <v>3459</v>
      </c>
      <c r="P694" t="s">
        <v>4774</v>
      </c>
      <c r="Q694" t="s">
        <v>4774</v>
      </c>
      <c r="R694" t="s">
        <v>3459</v>
      </c>
    </row>
    <row r="695" spans="1:19" x14ac:dyDescent="0.2">
      <c r="A695" t="s">
        <v>2018</v>
      </c>
      <c r="B695" t="s">
        <v>14359</v>
      </c>
      <c r="C695" t="s">
        <v>19491</v>
      </c>
      <c r="D695" t="str">
        <f>_xlfn.XLOOKUP(E695,pathways!$A$2:$A$31,pathways!$B$2:$B$31)</f>
        <v>Lipid metabolism</v>
      </c>
      <c r="E695" t="s">
        <v>3459</v>
      </c>
      <c r="F695" t="s">
        <v>7792</v>
      </c>
      <c r="G695" t="s">
        <v>14360</v>
      </c>
      <c r="H695" t="s">
        <v>14360</v>
      </c>
      <c r="I695" t="s">
        <v>14360</v>
      </c>
      <c r="J695" s="4" t="s">
        <v>12108</v>
      </c>
      <c r="L695" t="s">
        <v>2017</v>
      </c>
      <c r="M695" t="s">
        <v>15321</v>
      </c>
      <c r="N695" t="s">
        <v>14360</v>
      </c>
      <c r="O695" t="s">
        <v>3459</v>
      </c>
      <c r="P695" t="s">
        <v>14360</v>
      </c>
      <c r="Q695" t="s">
        <v>7792</v>
      </c>
      <c r="R695" t="s">
        <v>3459</v>
      </c>
      <c r="S695" t="s">
        <v>14360</v>
      </c>
    </row>
    <row r="696" spans="1:19" x14ac:dyDescent="0.2">
      <c r="A696" t="s">
        <v>2030</v>
      </c>
      <c r="B696" t="s">
        <v>14359</v>
      </c>
      <c r="C696" t="s">
        <v>19496</v>
      </c>
      <c r="D696" t="str">
        <f>_xlfn.XLOOKUP(E696,pathways!$A$2:$A$31,pathways!$B$2:$B$31)</f>
        <v>Lipid metabolism</v>
      </c>
      <c r="E696" t="s">
        <v>3459</v>
      </c>
      <c r="F696" t="s">
        <v>7792</v>
      </c>
      <c r="G696" t="s">
        <v>14360</v>
      </c>
      <c r="H696" t="s">
        <v>14360</v>
      </c>
      <c r="I696" t="s">
        <v>14360</v>
      </c>
      <c r="J696" s="4" t="s">
        <v>12111</v>
      </c>
      <c r="L696" t="s">
        <v>2029</v>
      </c>
      <c r="M696" t="s">
        <v>15333</v>
      </c>
      <c r="N696" t="s">
        <v>14360</v>
      </c>
      <c r="O696" t="s">
        <v>3459</v>
      </c>
      <c r="P696" t="s">
        <v>14360</v>
      </c>
      <c r="Q696" t="s">
        <v>7792</v>
      </c>
      <c r="R696" t="s">
        <v>3459</v>
      </c>
      <c r="S696" t="s">
        <v>3793</v>
      </c>
    </row>
    <row r="697" spans="1:19" x14ac:dyDescent="0.2">
      <c r="A697" t="s">
        <v>14228</v>
      </c>
      <c r="B697" t="s">
        <v>14359</v>
      </c>
      <c r="C697" t="s">
        <v>20005</v>
      </c>
      <c r="D697" t="str">
        <f>_xlfn.XLOOKUP(E697,pathways!$A$2:$A$31,pathways!$B$2:$B$31)</f>
        <v>Lipid metabolism</v>
      </c>
      <c r="E697" t="s">
        <v>3459</v>
      </c>
      <c r="F697" t="s">
        <v>7792</v>
      </c>
      <c r="G697" t="s">
        <v>14360</v>
      </c>
      <c r="H697" t="s">
        <v>14360</v>
      </c>
      <c r="I697" t="s">
        <v>14360</v>
      </c>
      <c r="J697" s="4" t="s">
        <v>12113</v>
      </c>
      <c r="L697" t="s">
        <v>14360</v>
      </c>
      <c r="M697" t="s">
        <v>14360</v>
      </c>
      <c r="N697" t="s">
        <v>14360</v>
      </c>
      <c r="O697" t="s">
        <v>3459</v>
      </c>
      <c r="P697" t="s">
        <v>14360</v>
      </c>
      <c r="Q697" t="s">
        <v>7792</v>
      </c>
      <c r="R697" t="s">
        <v>14360</v>
      </c>
      <c r="S697" t="s">
        <v>3603</v>
      </c>
    </row>
    <row r="698" spans="1:19" x14ac:dyDescent="0.2">
      <c r="A698" t="s">
        <v>14229</v>
      </c>
      <c r="B698" t="s">
        <v>14359</v>
      </c>
      <c r="C698" t="s">
        <v>20006</v>
      </c>
      <c r="D698" t="str">
        <f>_xlfn.XLOOKUP(E698,pathways!$A$2:$A$31,pathways!$B$2:$B$31)</f>
        <v>Lipid metabolism</v>
      </c>
      <c r="E698" t="s">
        <v>3459</v>
      </c>
      <c r="F698" t="s">
        <v>7792</v>
      </c>
      <c r="G698" t="s">
        <v>14360</v>
      </c>
      <c r="H698" t="s">
        <v>14360</v>
      </c>
      <c r="I698" t="s">
        <v>14360</v>
      </c>
      <c r="J698" s="4" t="s">
        <v>12116</v>
      </c>
      <c r="L698" t="s">
        <v>14360</v>
      </c>
      <c r="M698" t="s">
        <v>14360</v>
      </c>
      <c r="N698" t="s">
        <v>14360</v>
      </c>
      <c r="O698" t="s">
        <v>3459</v>
      </c>
      <c r="P698" t="s">
        <v>14360</v>
      </c>
      <c r="Q698" t="s">
        <v>7792</v>
      </c>
      <c r="R698" t="s">
        <v>14360</v>
      </c>
      <c r="S698" t="s">
        <v>3603</v>
      </c>
    </row>
    <row r="699" spans="1:19" x14ac:dyDescent="0.2">
      <c r="A699" t="s">
        <v>14230</v>
      </c>
      <c r="B699" t="s">
        <v>14359</v>
      </c>
      <c r="C699" t="s">
        <v>20007</v>
      </c>
      <c r="D699" t="str">
        <f>_xlfn.XLOOKUP(E699,pathways!$A$2:$A$31,pathways!$B$2:$B$31)</f>
        <v>Lipid metabolism</v>
      </c>
      <c r="E699" t="s">
        <v>3459</v>
      </c>
      <c r="F699" t="s">
        <v>7792</v>
      </c>
      <c r="G699" t="s">
        <v>14360</v>
      </c>
      <c r="H699" t="s">
        <v>14360</v>
      </c>
      <c r="I699" t="s">
        <v>14360</v>
      </c>
      <c r="J699" s="4" t="s">
        <v>12119</v>
      </c>
      <c r="L699" t="s">
        <v>14360</v>
      </c>
      <c r="M699" t="s">
        <v>14360</v>
      </c>
      <c r="N699" t="s">
        <v>14360</v>
      </c>
      <c r="O699" t="s">
        <v>3459</v>
      </c>
      <c r="P699" t="s">
        <v>14360</v>
      </c>
      <c r="Q699" t="s">
        <v>7792</v>
      </c>
      <c r="R699" t="s">
        <v>14360</v>
      </c>
      <c r="S699" t="s">
        <v>3603</v>
      </c>
    </row>
    <row r="700" spans="1:19" x14ac:dyDescent="0.2">
      <c r="A700" t="s">
        <v>13979</v>
      </c>
      <c r="B700" t="s">
        <v>14359</v>
      </c>
      <c r="C700" t="s">
        <v>20008</v>
      </c>
      <c r="D700" t="str">
        <f>_xlfn.XLOOKUP(E700,pathways!$A$2:$A$31,pathways!$B$2:$B$31)</f>
        <v>Lipid metabolism</v>
      </c>
      <c r="E700" t="s">
        <v>3459</v>
      </c>
      <c r="F700" t="s">
        <v>7792</v>
      </c>
      <c r="G700" t="s">
        <v>14360</v>
      </c>
      <c r="H700" t="s">
        <v>14360</v>
      </c>
      <c r="I700" t="s">
        <v>9276</v>
      </c>
      <c r="J700" s="4" t="s">
        <v>14360</v>
      </c>
      <c r="L700" t="s">
        <v>14360</v>
      </c>
      <c r="M700" t="s">
        <v>14360</v>
      </c>
      <c r="N700" t="s">
        <v>3459</v>
      </c>
      <c r="O700" t="s">
        <v>14360</v>
      </c>
      <c r="P700" t="s">
        <v>7792</v>
      </c>
      <c r="Q700" t="s">
        <v>14360</v>
      </c>
      <c r="R700" t="s">
        <v>14360</v>
      </c>
      <c r="S700" t="s">
        <v>14360</v>
      </c>
    </row>
    <row r="701" spans="1:19" x14ac:dyDescent="0.2">
      <c r="A701" t="s">
        <v>2072</v>
      </c>
      <c r="B701" t="s">
        <v>14359</v>
      </c>
      <c r="C701" t="s">
        <v>19516</v>
      </c>
      <c r="D701" t="str">
        <f>_xlfn.XLOOKUP(E701,pathways!$A$2:$A$31,pathways!$B$2:$B$31)</f>
        <v>Lipid metabolism</v>
      </c>
      <c r="E701" t="s">
        <v>3459</v>
      </c>
      <c r="F701" t="s">
        <v>9134</v>
      </c>
      <c r="G701" t="s">
        <v>14360</v>
      </c>
      <c r="H701" t="s">
        <v>14360</v>
      </c>
      <c r="I701" t="s">
        <v>9376</v>
      </c>
      <c r="J701" s="4" t="s">
        <v>9376</v>
      </c>
      <c r="L701" t="s">
        <v>2071</v>
      </c>
      <c r="M701" t="s">
        <v>15366</v>
      </c>
      <c r="N701" t="s">
        <v>3459</v>
      </c>
      <c r="O701" t="s">
        <v>3459</v>
      </c>
      <c r="P701" t="s">
        <v>9134</v>
      </c>
      <c r="Q701" t="s">
        <v>9134</v>
      </c>
      <c r="R701" t="s">
        <v>3459</v>
      </c>
      <c r="S701" t="s">
        <v>3793</v>
      </c>
    </row>
    <row r="702" spans="1:19" x14ac:dyDescent="0.2">
      <c r="A702" t="s">
        <v>2259</v>
      </c>
      <c r="B702" t="s">
        <v>14359</v>
      </c>
      <c r="C702" t="s">
        <v>19582</v>
      </c>
      <c r="D702" t="str">
        <f>_xlfn.XLOOKUP(E702,pathways!$A$2:$A$31,pathways!$B$2:$B$31)</f>
        <v>Lipid metabolism</v>
      </c>
      <c r="E702" t="s">
        <v>3459</v>
      </c>
      <c r="F702" t="s">
        <v>3819</v>
      </c>
      <c r="G702" t="s">
        <v>14360</v>
      </c>
      <c r="H702" t="s">
        <v>14360</v>
      </c>
      <c r="I702" t="s">
        <v>9897</v>
      </c>
      <c r="J702" s="4" t="s">
        <v>9897</v>
      </c>
      <c r="L702" t="s">
        <v>2258</v>
      </c>
      <c r="M702" t="s">
        <v>15556</v>
      </c>
      <c r="N702" t="s">
        <v>3459</v>
      </c>
      <c r="O702" t="s">
        <v>3459</v>
      </c>
      <c r="P702" t="s">
        <v>3819</v>
      </c>
      <c r="Q702" t="s">
        <v>3819</v>
      </c>
      <c r="R702" t="s">
        <v>3459</v>
      </c>
      <c r="S702" t="s">
        <v>3793</v>
      </c>
    </row>
    <row r="703" spans="1:19" x14ac:dyDescent="0.2">
      <c r="A703" t="s">
        <v>14041</v>
      </c>
      <c r="B703" t="s">
        <v>14359</v>
      </c>
      <c r="C703" t="s">
        <v>20010</v>
      </c>
      <c r="D703" t="str">
        <f>_xlfn.XLOOKUP(E703,pathways!$A$2:$A$31,pathways!$B$2:$B$31)</f>
        <v>Lipid metabolism</v>
      </c>
      <c r="E703" t="s">
        <v>3459</v>
      </c>
      <c r="F703" t="s">
        <v>3819</v>
      </c>
      <c r="G703" t="s">
        <v>14360</v>
      </c>
      <c r="H703" t="s">
        <v>14360</v>
      </c>
      <c r="I703" t="s">
        <v>9899</v>
      </c>
      <c r="J703" s="4" t="s">
        <v>14360</v>
      </c>
      <c r="L703" t="s">
        <v>14360</v>
      </c>
      <c r="M703" t="s">
        <v>14360</v>
      </c>
      <c r="N703" t="s">
        <v>3459</v>
      </c>
      <c r="O703" t="s">
        <v>14360</v>
      </c>
      <c r="P703" t="s">
        <v>3819</v>
      </c>
      <c r="Q703" t="s">
        <v>14360</v>
      </c>
      <c r="R703" t="s">
        <v>14360</v>
      </c>
      <c r="S703" t="s">
        <v>3793</v>
      </c>
    </row>
    <row r="704" spans="1:19" x14ac:dyDescent="0.2">
      <c r="A704" t="s">
        <v>1173</v>
      </c>
      <c r="B704" t="s">
        <v>14359</v>
      </c>
      <c r="C704" t="s">
        <v>19201</v>
      </c>
      <c r="D704" t="str">
        <f>_xlfn.XLOOKUP(E704,pathways!$A$2:$A$31,pathways!$B$2:$B$31)</f>
        <v>Lipid metabolism</v>
      </c>
      <c r="E704" t="s">
        <v>3459</v>
      </c>
      <c r="F704" t="s">
        <v>3873</v>
      </c>
      <c r="G704" t="s">
        <v>5482</v>
      </c>
      <c r="H704" t="s">
        <v>14360</v>
      </c>
      <c r="I704" t="s">
        <v>5482</v>
      </c>
      <c r="J704" s="4" t="s">
        <v>5482</v>
      </c>
      <c r="L704" t="s">
        <v>1172</v>
      </c>
      <c r="M704" t="s">
        <v>14444</v>
      </c>
      <c r="N704" t="s">
        <v>3459</v>
      </c>
      <c r="O704" t="s">
        <v>3459</v>
      </c>
      <c r="P704" t="s">
        <v>3873</v>
      </c>
      <c r="Q704" t="s">
        <v>3873</v>
      </c>
      <c r="R704" t="s">
        <v>3459</v>
      </c>
      <c r="S704" t="s">
        <v>3603</v>
      </c>
    </row>
    <row r="705" spans="1:19" x14ac:dyDescent="0.2">
      <c r="A705" t="s">
        <v>13778</v>
      </c>
      <c r="B705" t="s">
        <v>14359</v>
      </c>
      <c r="C705" t="s">
        <v>20012</v>
      </c>
      <c r="D705" t="str">
        <f>_xlfn.XLOOKUP(E705,pathways!$A$2:$A$31,pathways!$B$2:$B$31)</f>
        <v>Lipid metabolism</v>
      </c>
      <c r="E705" t="s">
        <v>3459</v>
      </c>
      <c r="F705" t="s">
        <v>4324</v>
      </c>
      <c r="G705" t="s">
        <v>14360</v>
      </c>
      <c r="H705" t="s">
        <v>14360</v>
      </c>
      <c r="I705" t="s">
        <v>4327</v>
      </c>
      <c r="J705" s="4" t="s">
        <v>4327</v>
      </c>
      <c r="L705" t="s">
        <v>14360</v>
      </c>
      <c r="M705" t="s">
        <v>14360</v>
      </c>
      <c r="N705" t="s">
        <v>3459</v>
      </c>
      <c r="O705" t="s">
        <v>3459</v>
      </c>
      <c r="P705" t="s">
        <v>4324</v>
      </c>
      <c r="Q705" t="s">
        <v>4324</v>
      </c>
      <c r="R705" t="s">
        <v>14360</v>
      </c>
      <c r="S705" t="s">
        <v>4356</v>
      </c>
    </row>
    <row r="706" spans="1:19" x14ac:dyDescent="0.2">
      <c r="A706" t="s">
        <v>2657</v>
      </c>
      <c r="B706" t="s">
        <v>14359</v>
      </c>
      <c r="C706" t="s">
        <v>19739</v>
      </c>
      <c r="D706" t="str">
        <f>_xlfn.XLOOKUP(E706,pathways!$A$2:$A$31,pathways!$B$2:$B$31)</f>
        <v>Lipid metabolism</v>
      </c>
      <c r="E706" t="s">
        <v>3459</v>
      </c>
      <c r="F706" t="s">
        <v>4017</v>
      </c>
      <c r="G706" t="s">
        <v>14360</v>
      </c>
      <c r="H706" t="s">
        <v>14360</v>
      </c>
      <c r="I706" t="s">
        <v>4416</v>
      </c>
      <c r="J706" s="4" t="s">
        <v>4416</v>
      </c>
      <c r="L706" t="s">
        <v>2656</v>
      </c>
      <c r="M706" t="s">
        <v>15995</v>
      </c>
      <c r="N706" t="s">
        <v>3459</v>
      </c>
      <c r="O706" t="s">
        <v>3459</v>
      </c>
      <c r="P706" t="s">
        <v>4017</v>
      </c>
      <c r="Q706" t="s">
        <v>11502</v>
      </c>
      <c r="R706" t="s">
        <v>3459</v>
      </c>
      <c r="S706" t="s">
        <v>4356</v>
      </c>
    </row>
    <row r="707" spans="1:19" x14ac:dyDescent="0.2">
      <c r="A707" t="s">
        <v>1688</v>
      </c>
      <c r="B707" t="s">
        <v>14359</v>
      </c>
      <c r="C707" t="s">
        <v>19370</v>
      </c>
      <c r="D707" t="str">
        <f>_xlfn.XLOOKUP(E707,pathways!$A$2:$A$31,pathways!$B$2:$B$31)</f>
        <v>Lipid metabolism</v>
      </c>
      <c r="E707" t="s">
        <v>3459</v>
      </c>
      <c r="F707" t="s">
        <v>5526</v>
      </c>
      <c r="G707" t="s">
        <v>14360</v>
      </c>
      <c r="H707" t="s">
        <v>14360</v>
      </c>
      <c r="I707" t="s">
        <v>8029</v>
      </c>
      <c r="J707" s="4" t="s">
        <v>8029</v>
      </c>
      <c r="L707" t="s">
        <v>1687</v>
      </c>
      <c r="M707" t="s">
        <v>14979</v>
      </c>
      <c r="N707" t="s">
        <v>3459</v>
      </c>
      <c r="O707" t="s">
        <v>3459</v>
      </c>
      <c r="P707" t="s">
        <v>5526</v>
      </c>
      <c r="Q707" t="s">
        <v>11596</v>
      </c>
      <c r="R707" t="s">
        <v>3459</v>
      </c>
      <c r="S707" t="s">
        <v>14360</v>
      </c>
    </row>
    <row r="708" spans="1:19" x14ac:dyDescent="0.2">
      <c r="A708" t="s">
        <v>14231</v>
      </c>
      <c r="B708" t="s">
        <v>14359</v>
      </c>
      <c r="C708" t="s">
        <v>20117</v>
      </c>
      <c r="D708" t="str">
        <f>_xlfn.XLOOKUP(E708,pathways!$A$2:$A$31,pathways!$B$2:$B$31)</f>
        <v>Lipid metabolism</v>
      </c>
      <c r="E708" t="s">
        <v>3459</v>
      </c>
      <c r="F708" t="s">
        <v>5754</v>
      </c>
      <c r="G708" t="s">
        <v>14360</v>
      </c>
      <c r="H708" t="s">
        <v>14360</v>
      </c>
      <c r="I708" t="s">
        <v>14360</v>
      </c>
      <c r="J708" s="4" t="s">
        <v>12157</v>
      </c>
      <c r="L708" t="s">
        <v>14360</v>
      </c>
      <c r="M708" t="s">
        <v>14360</v>
      </c>
      <c r="N708" t="s">
        <v>14360</v>
      </c>
      <c r="O708" t="s">
        <v>3459</v>
      </c>
      <c r="P708" t="s">
        <v>14360</v>
      </c>
      <c r="Q708" t="s">
        <v>5754</v>
      </c>
      <c r="R708" t="s">
        <v>14360</v>
      </c>
      <c r="S708" t="s">
        <v>3873</v>
      </c>
    </row>
    <row r="709" spans="1:19" x14ac:dyDescent="0.2">
      <c r="A709" t="s">
        <v>2559</v>
      </c>
      <c r="B709" t="s">
        <v>14359</v>
      </c>
      <c r="C709" t="s">
        <v>19694</v>
      </c>
      <c r="D709" t="str">
        <f>_xlfn.XLOOKUP(E709,pathways!$A$2:$A$31,pathways!$B$2:$B$31)</f>
        <v>Lipid metabolism</v>
      </c>
      <c r="E709" t="s">
        <v>3459</v>
      </c>
      <c r="F709" t="s">
        <v>3937</v>
      </c>
      <c r="G709" t="s">
        <v>3940</v>
      </c>
      <c r="H709" t="s">
        <v>14360</v>
      </c>
      <c r="I709" t="s">
        <v>3940</v>
      </c>
      <c r="J709" s="4" t="s">
        <v>3940</v>
      </c>
      <c r="L709" t="s">
        <v>2558</v>
      </c>
      <c r="M709" t="s">
        <v>15881</v>
      </c>
      <c r="N709" t="s">
        <v>3459</v>
      </c>
      <c r="O709" t="s">
        <v>3459</v>
      </c>
      <c r="P709" t="s">
        <v>3937</v>
      </c>
      <c r="Q709" t="s">
        <v>3937</v>
      </c>
      <c r="R709" t="s">
        <v>3459</v>
      </c>
      <c r="S709" t="s">
        <v>5535</v>
      </c>
    </row>
    <row r="710" spans="1:19" x14ac:dyDescent="0.2">
      <c r="A710" t="s">
        <v>2583</v>
      </c>
      <c r="B710" t="s">
        <v>14359</v>
      </c>
      <c r="C710" t="s">
        <v>19704</v>
      </c>
      <c r="D710" t="str">
        <f>_xlfn.XLOOKUP(E710,pathways!$A$2:$A$31,pathways!$B$2:$B$31)</f>
        <v>Lipid metabolism</v>
      </c>
      <c r="E710" t="s">
        <v>3459</v>
      </c>
      <c r="F710" t="s">
        <v>4017</v>
      </c>
      <c r="G710" t="s">
        <v>14360</v>
      </c>
      <c r="H710" t="s">
        <v>14360</v>
      </c>
      <c r="I710" t="s">
        <v>4177</v>
      </c>
      <c r="J710" s="4" t="s">
        <v>4177</v>
      </c>
      <c r="L710" t="s">
        <v>2582</v>
      </c>
      <c r="M710" t="s">
        <v>15907</v>
      </c>
      <c r="N710" t="s">
        <v>3459</v>
      </c>
      <c r="O710" t="s">
        <v>3459</v>
      </c>
      <c r="P710" t="s">
        <v>4017</v>
      </c>
      <c r="Q710" t="s">
        <v>11502</v>
      </c>
      <c r="R710" t="s">
        <v>3459</v>
      </c>
    </row>
    <row r="711" spans="1:19" x14ac:dyDescent="0.2">
      <c r="A711" t="s">
        <v>1274</v>
      </c>
      <c r="B711" t="s">
        <v>14359</v>
      </c>
      <c r="C711" t="s">
        <v>19236</v>
      </c>
      <c r="D711" t="str">
        <f>_xlfn.XLOOKUP(E711,pathways!$A$2:$A$31,pathways!$B$2:$B$31)</f>
        <v>Lipid metabolism</v>
      </c>
      <c r="E711" t="s">
        <v>3459</v>
      </c>
      <c r="F711" t="s">
        <v>4059</v>
      </c>
      <c r="G711" t="s">
        <v>14360</v>
      </c>
      <c r="H711" t="s">
        <v>14360</v>
      </c>
      <c r="I711" t="s">
        <v>5960</v>
      </c>
      <c r="J711" s="4" t="s">
        <v>5960</v>
      </c>
      <c r="L711" t="s">
        <v>1273</v>
      </c>
      <c r="M711" t="s">
        <v>14552</v>
      </c>
      <c r="N711" t="s">
        <v>3459</v>
      </c>
      <c r="O711" t="s">
        <v>3459</v>
      </c>
      <c r="P711" t="s">
        <v>4059</v>
      </c>
      <c r="Q711" t="s">
        <v>11502</v>
      </c>
      <c r="R711" t="s">
        <v>3459</v>
      </c>
      <c r="S711" t="s">
        <v>5559</v>
      </c>
    </row>
    <row r="712" spans="1:19" x14ac:dyDescent="0.2">
      <c r="A712" t="s">
        <v>1782</v>
      </c>
      <c r="B712" t="s">
        <v>14359</v>
      </c>
      <c r="C712" t="s">
        <v>19395</v>
      </c>
      <c r="D712" t="str">
        <f>_xlfn.XLOOKUP(E712,pathways!$A$2:$A$31,pathways!$B$2:$B$31)</f>
        <v>Lipid metabolism</v>
      </c>
      <c r="E712" t="s">
        <v>3459</v>
      </c>
      <c r="F712" t="s">
        <v>6535</v>
      </c>
      <c r="G712" t="s">
        <v>14360</v>
      </c>
      <c r="H712" t="s">
        <v>14360</v>
      </c>
      <c r="I712" t="s">
        <v>8412</v>
      </c>
      <c r="J712" s="4" t="s">
        <v>8412</v>
      </c>
      <c r="L712" t="s">
        <v>1781</v>
      </c>
      <c r="M712" t="s">
        <v>15079</v>
      </c>
      <c r="N712" t="s">
        <v>3459</v>
      </c>
      <c r="O712" t="s">
        <v>3459</v>
      </c>
      <c r="P712" t="s">
        <v>6535</v>
      </c>
      <c r="Q712" t="s">
        <v>11596</v>
      </c>
      <c r="R712" t="s">
        <v>3459</v>
      </c>
      <c r="S712" t="s">
        <v>5134</v>
      </c>
    </row>
    <row r="713" spans="1:19" x14ac:dyDescent="0.2">
      <c r="A713" t="s">
        <v>1916</v>
      </c>
      <c r="B713" t="s">
        <v>14359</v>
      </c>
      <c r="C713" t="s">
        <v>19443</v>
      </c>
      <c r="D713" t="str">
        <f>_xlfn.XLOOKUP(E713,pathways!$A$2:$A$31,pathways!$B$2:$B$31)</f>
        <v>Lipid metabolism</v>
      </c>
      <c r="E713" t="s">
        <v>3459</v>
      </c>
      <c r="F713" t="s">
        <v>8860</v>
      </c>
      <c r="G713" t="s">
        <v>14360</v>
      </c>
      <c r="H713" t="s">
        <v>14360</v>
      </c>
      <c r="I713" t="s">
        <v>9045</v>
      </c>
      <c r="J713" s="4" t="s">
        <v>9045</v>
      </c>
      <c r="L713" t="s">
        <v>1915</v>
      </c>
      <c r="M713" t="s">
        <v>15217</v>
      </c>
      <c r="N713" t="s">
        <v>3459</v>
      </c>
      <c r="O713" t="s">
        <v>3459</v>
      </c>
      <c r="P713" t="s">
        <v>8860</v>
      </c>
      <c r="Q713" t="s">
        <v>8860</v>
      </c>
      <c r="R713" t="s">
        <v>3459</v>
      </c>
      <c r="S713" t="s">
        <v>3819</v>
      </c>
    </row>
    <row r="714" spans="1:19" x14ac:dyDescent="0.2">
      <c r="A714" t="s">
        <v>14232</v>
      </c>
      <c r="B714" t="s">
        <v>14359</v>
      </c>
      <c r="C714" t="s">
        <v>20026</v>
      </c>
      <c r="D714" t="str">
        <f>_xlfn.XLOOKUP(E714,pathways!$A$2:$A$31,pathways!$B$2:$B$31)</f>
        <v>Lipid metabolism</v>
      </c>
      <c r="E714" t="s">
        <v>3459</v>
      </c>
      <c r="F714" t="s">
        <v>7792</v>
      </c>
      <c r="G714" t="s">
        <v>14360</v>
      </c>
      <c r="H714" t="s">
        <v>14360</v>
      </c>
      <c r="I714" t="s">
        <v>14360</v>
      </c>
      <c r="J714" s="4" t="s">
        <v>12173</v>
      </c>
      <c r="L714" t="s">
        <v>14360</v>
      </c>
      <c r="M714" t="s">
        <v>14360</v>
      </c>
      <c r="N714" t="s">
        <v>14360</v>
      </c>
      <c r="O714" t="s">
        <v>3459</v>
      </c>
      <c r="P714" t="s">
        <v>14360</v>
      </c>
      <c r="Q714" t="s">
        <v>7792</v>
      </c>
      <c r="R714" t="s">
        <v>14360</v>
      </c>
      <c r="S714" t="s">
        <v>3819</v>
      </c>
    </row>
    <row r="715" spans="1:19" x14ac:dyDescent="0.2">
      <c r="A715" t="s">
        <v>14233</v>
      </c>
      <c r="B715" t="s">
        <v>14359</v>
      </c>
      <c r="C715" t="s">
        <v>20027</v>
      </c>
      <c r="D715" t="str">
        <f>_xlfn.XLOOKUP(E715,pathways!$A$2:$A$31,pathways!$B$2:$B$31)</f>
        <v>Lipid metabolism</v>
      </c>
      <c r="E715" t="s">
        <v>3459</v>
      </c>
      <c r="F715" t="s">
        <v>7792</v>
      </c>
      <c r="G715" t="s">
        <v>14360</v>
      </c>
      <c r="H715" t="s">
        <v>14360</v>
      </c>
      <c r="I715" t="s">
        <v>14360</v>
      </c>
      <c r="J715" s="4" t="s">
        <v>12175</v>
      </c>
      <c r="L715" t="s">
        <v>14360</v>
      </c>
      <c r="M715" t="s">
        <v>14360</v>
      </c>
      <c r="N715" t="s">
        <v>14360</v>
      </c>
      <c r="O715" t="s">
        <v>3459</v>
      </c>
      <c r="P715" t="s">
        <v>14360</v>
      </c>
      <c r="Q715" t="s">
        <v>7792</v>
      </c>
      <c r="R715" t="s">
        <v>14360</v>
      </c>
      <c r="S715" t="s">
        <v>3819</v>
      </c>
    </row>
    <row r="716" spans="1:19" x14ac:dyDescent="0.2">
      <c r="A716" t="s">
        <v>1304</v>
      </c>
      <c r="B716" t="s">
        <v>14359</v>
      </c>
      <c r="C716" t="s">
        <v>19244</v>
      </c>
      <c r="D716" t="str">
        <f>_xlfn.XLOOKUP(E716,pathways!$A$2:$A$31,pathways!$B$2:$B$31)</f>
        <v>Lipid metabolism</v>
      </c>
      <c r="E716" t="s">
        <v>3459</v>
      </c>
      <c r="F716" t="s">
        <v>5526</v>
      </c>
      <c r="G716" t="s">
        <v>14360</v>
      </c>
      <c r="H716" t="s">
        <v>14360</v>
      </c>
      <c r="I716" t="s">
        <v>6084</v>
      </c>
      <c r="J716" s="4" t="s">
        <v>6084</v>
      </c>
      <c r="L716" t="s">
        <v>1303</v>
      </c>
      <c r="M716" t="s">
        <v>14582</v>
      </c>
      <c r="N716" t="s">
        <v>3459</v>
      </c>
      <c r="O716" t="s">
        <v>3459</v>
      </c>
      <c r="P716" t="s">
        <v>5526</v>
      </c>
      <c r="Q716" t="s">
        <v>11596</v>
      </c>
      <c r="R716" t="s">
        <v>3459</v>
      </c>
      <c r="S716" t="s">
        <v>14360</v>
      </c>
    </row>
    <row r="717" spans="1:19" x14ac:dyDescent="0.2">
      <c r="A717" t="s">
        <v>2167</v>
      </c>
      <c r="B717" t="s">
        <v>14359</v>
      </c>
      <c r="C717" t="s">
        <v>19562</v>
      </c>
      <c r="D717" t="str">
        <f>_xlfn.XLOOKUP(E717,pathways!$A$2:$A$31,pathways!$B$2:$B$31)</f>
        <v>Lipid metabolism</v>
      </c>
      <c r="E717" t="s">
        <v>3459</v>
      </c>
      <c r="F717" t="s">
        <v>8139</v>
      </c>
      <c r="G717" t="s">
        <v>14360</v>
      </c>
      <c r="H717" t="s">
        <v>14360</v>
      </c>
      <c r="I717" t="s">
        <v>9646</v>
      </c>
      <c r="J717" s="4" t="s">
        <v>9646</v>
      </c>
      <c r="L717" t="s">
        <v>2166</v>
      </c>
      <c r="M717" t="s">
        <v>15464</v>
      </c>
      <c r="N717" t="s">
        <v>3459</v>
      </c>
      <c r="O717" t="s">
        <v>3459</v>
      </c>
      <c r="P717" t="s">
        <v>8139</v>
      </c>
      <c r="Q717" t="s">
        <v>8139</v>
      </c>
      <c r="R717" t="s">
        <v>3459</v>
      </c>
      <c r="S717" t="s">
        <v>14360</v>
      </c>
    </row>
    <row r="718" spans="1:19" x14ac:dyDescent="0.2">
      <c r="A718" t="s">
        <v>13981</v>
      </c>
      <c r="B718" t="s">
        <v>14359</v>
      </c>
      <c r="C718" t="s">
        <v>9304</v>
      </c>
      <c r="D718" t="str">
        <f>_xlfn.XLOOKUP(E718,pathways!$A$2:$A$31,pathways!$B$2:$B$31)</f>
        <v>Lipid metabolism</v>
      </c>
      <c r="E718" t="s">
        <v>3459</v>
      </c>
      <c r="F718" t="s">
        <v>4998</v>
      </c>
      <c r="G718" t="s">
        <v>14360</v>
      </c>
      <c r="H718" t="s">
        <v>14360</v>
      </c>
      <c r="I718" t="s">
        <v>9304</v>
      </c>
      <c r="J718" s="4" t="s">
        <v>14360</v>
      </c>
      <c r="L718" t="s">
        <v>14360</v>
      </c>
      <c r="M718" t="s">
        <v>14360</v>
      </c>
      <c r="N718" t="s">
        <v>3459</v>
      </c>
      <c r="O718" t="s">
        <v>14360</v>
      </c>
      <c r="P718" t="s">
        <v>4998</v>
      </c>
      <c r="Q718" t="s">
        <v>14360</v>
      </c>
      <c r="R718" t="s">
        <v>14360</v>
      </c>
      <c r="S718" t="s">
        <v>14360</v>
      </c>
    </row>
    <row r="719" spans="1:19" x14ac:dyDescent="0.2">
      <c r="A719" t="s">
        <v>13802</v>
      </c>
      <c r="B719" t="s">
        <v>14359</v>
      </c>
      <c r="C719" t="s">
        <v>4994</v>
      </c>
      <c r="D719" t="str">
        <f>_xlfn.XLOOKUP(E719,pathways!$A$2:$A$31,pathways!$B$2:$B$31)</f>
        <v>Lipid metabolism</v>
      </c>
      <c r="E719" t="s">
        <v>3459</v>
      </c>
      <c r="F719" t="s">
        <v>4991</v>
      </c>
      <c r="G719" t="s">
        <v>14360</v>
      </c>
      <c r="H719" t="s">
        <v>14360</v>
      </c>
      <c r="I719" t="s">
        <v>4994</v>
      </c>
      <c r="J719" s="4" t="s">
        <v>14360</v>
      </c>
      <c r="L719" t="s">
        <v>14360</v>
      </c>
      <c r="M719" t="s">
        <v>14360</v>
      </c>
      <c r="N719" t="s">
        <v>3459</v>
      </c>
      <c r="O719" t="s">
        <v>14360</v>
      </c>
      <c r="P719" t="s">
        <v>4991</v>
      </c>
      <c r="Q719" t="s">
        <v>14360</v>
      </c>
      <c r="R719" t="s">
        <v>14360</v>
      </c>
      <c r="S719" t="s">
        <v>14360</v>
      </c>
    </row>
    <row r="720" spans="1:19" x14ac:dyDescent="0.2">
      <c r="A720" t="s">
        <v>14002</v>
      </c>
      <c r="B720" t="s">
        <v>14359</v>
      </c>
      <c r="C720" t="s">
        <v>9598</v>
      </c>
      <c r="D720" t="str">
        <f>_xlfn.XLOOKUP(E720,pathways!$A$2:$A$31,pathways!$B$2:$B$31)</f>
        <v>Lipid metabolism</v>
      </c>
      <c r="E720" t="s">
        <v>3459</v>
      </c>
      <c r="F720" t="s">
        <v>9595</v>
      </c>
      <c r="G720" t="s">
        <v>14360</v>
      </c>
      <c r="H720" t="s">
        <v>14360</v>
      </c>
      <c r="I720" t="s">
        <v>9598</v>
      </c>
      <c r="J720" s="4" t="s">
        <v>14360</v>
      </c>
      <c r="L720" t="s">
        <v>14360</v>
      </c>
      <c r="M720" t="s">
        <v>14360</v>
      </c>
      <c r="N720" t="s">
        <v>3459</v>
      </c>
      <c r="O720" t="s">
        <v>14360</v>
      </c>
      <c r="P720" t="s">
        <v>9595</v>
      </c>
      <c r="Q720" t="s">
        <v>14360</v>
      </c>
      <c r="R720" t="s">
        <v>14360</v>
      </c>
      <c r="S720" t="s">
        <v>14360</v>
      </c>
    </row>
    <row r="721" spans="1:19" x14ac:dyDescent="0.2">
      <c r="A721" t="s">
        <v>14234</v>
      </c>
      <c r="B721" t="s">
        <v>14359</v>
      </c>
      <c r="C721" t="s">
        <v>12233</v>
      </c>
      <c r="D721" t="str">
        <f>_xlfn.XLOOKUP(E721,pathways!$A$2:$A$31,pathways!$B$2:$B$31)</f>
        <v>Lipid metabolism</v>
      </c>
      <c r="E721" t="s">
        <v>3459</v>
      </c>
      <c r="F721" t="s">
        <v>4998</v>
      </c>
      <c r="G721" t="s">
        <v>14360</v>
      </c>
      <c r="H721" t="s">
        <v>14360</v>
      </c>
      <c r="I721" t="s">
        <v>14360</v>
      </c>
      <c r="J721" s="4" t="s">
        <v>12233</v>
      </c>
      <c r="L721" t="s">
        <v>14360</v>
      </c>
      <c r="M721" t="s">
        <v>14360</v>
      </c>
      <c r="N721" t="s">
        <v>14360</v>
      </c>
      <c r="O721" t="s">
        <v>3459</v>
      </c>
      <c r="P721" t="s">
        <v>14360</v>
      </c>
      <c r="Q721" t="s">
        <v>4998</v>
      </c>
      <c r="R721" t="s">
        <v>14360</v>
      </c>
      <c r="S721" t="s">
        <v>14360</v>
      </c>
    </row>
    <row r="722" spans="1:19" x14ac:dyDescent="0.2">
      <c r="A722" t="s">
        <v>13986</v>
      </c>
      <c r="B722" t="s">
        <v>14359</v>
      </c>
      <c r="C722" t="s">
        <v>9348</v>
      </c>
      <c r="D722" t="str">
        <f>_xlfn.XLOOKUP(E722,pathways!$A$2:$A$31,pathways!$B$2:$B$31)</f>
        <v>Lipid metabolism</v>
      </c>
      <c r="E722" t="s">
        <v>3459</v>
      </c>
      <c r="F722" t="s">
        <v>4998</v>
      </c>
      <c r="G722" t="s">
        <v>14360</v>
      </c>
      <c r="H722" t="s">
        <v>14360</v>
      </c>
      <c r="I722" t="s">
        <v>9348</v>
      </c>
      <c r="J722" s="4" t="s">
        <v>14360</v>
      </c>
      <c r="L722" t="s">
        <v>14360</v>
      </c>
      <c r="M722" t="s">
        <v>14360</v>
      </c>
      <c r="N722" t="s">
        <v>3459</v>
      </c>
      <c r="O722" t="s">
        <v>14360</v>
      </c>
      <c r="P722" t="s">
        <v>4998</v>
      </c>
      <c r="Q722" t="s">
        <v>14360</v>
      </c>
      <c r="R722" t="s">
        <v>14360</v>
      </c>
      <c r="S722" t="s">
        <v>3560</v>
      </c>
    </row>
    <row r="723" spans="1:19" x14ac:dyDescent="0.2">
      <c r="A723" t="s">
        <v>2011</v>
      </c>
      <c r="B723" t="s">
        <v>14359</v>
      </c>
      <c r="C723" t="s">
        <v>9332</v>
      </c>
      <c r="D723" t="str">
        <f>_xlfn.XLOOKUP(E723,pathways!$A$2:$A$31,pathways!$B$2:$B$31)</f>
        <v>Lipid metabolism</v>
      </c>
      <c r="E723" t="s">
        <v>3459</v>
      </c>
      <c r="F723" t="s">
        <v>4774</v>
      </c>
      <c r="G723" t="s">
        <v>14360</v>
      </c>
      <c r="H723" t="s">
        <v>14360</v>
      </c>
      <c r="I723" t="s">
        <v>9332</v>
      </c>
      <c r="J723" s="4" t="s">
        <v>9332</v>
      </c>
      <c r="L723" t="s">
        <v>2010</v>
      </c>
      <c r="M723" t="s">
        <v>15313</v>
      </c>
      <c r="N723" t="s">
        <v>3459</v>
      </c>
      <c r="O723" t="s">
        <v>3459</v>
      </c>
      <c r="P723" t="s">
        <v>4774</v>
      </c>
      <c r="Q723" t="s">
        <v>4774</v>
      </c>
      <c r="R723" t="s">
        <v>3459</v>
      </c>
      <c r="S723" t="s">
        <v>3560</v>
      </c>
    </row>
    <row r="724" spans="1:19" x14ac:dyDescent="0.2">
      <c r="A724" t="s">
        <v>1656</v>
      </c>
      <c r="B724" t="s">
        <v>14359</v>
      </c>
      <c r="C724" t="s">
        <v>7817</v>
      </c>
      <c r="D724" t="str">
        <f>_xlfn.XLOOKUP(E724,pathways!$A$2:$A$31,pathways!$B$2:$B$31)</f>
        <v>Lipid metabolism</v>
      </c>
      <c r="E724" t="s">
        <v>3459</v>
      </c>
      <c r="F724" t="s">
        <v>4774</v>
      </c>
      <c r="G724" t="s">
        <v>14360</v>
      </c>
      <c r="H724" t="s">
        <v>14360</v>
      </c>
      <c r="I724" t="s">
        <v>7817</v>
      </c>
      <c r="J724" s="4" t="s">
        <v>7817</v>
      </c>
      <c r="L724" t="s">
        <v>1655</v>
      </c>
      <c r="M724" t="s">
        <v>14945</v>
      </c>
      <c r="N724" t="s">
        <v>3459</v>
      </c>
      <c r="O724" t="s">
        <v>3459</v>
      </c>
      <c r="P724" t="s">
        <v>4774</v>
      </c>
      <c r="Q724" t="s">
        <v>4774</v>
      </c>
      <c r="R724" t="s">
        <v>3459</v>
      </c>
      <c r="S724" t="s">
        <v>9134</v>
      </c>
    </row>
    <row r="725" spans="1:19" x14ac:dyDescent="0.2">
      <c r="A725" t="s">
        <v>2042</v>
      </c>
      <c r="B725" t="s">
        <v>14359</v>
      </c>
      <c r="C725" t="s">
        <v>19501</v>
      </c>
      <c r="D725" t="str">
        <f>_xlfn.XLOOKUP(E725,pathways!$A$2:$A$31,pathways!$B$2:$B$31)</f>
        <v>Lipid metabolism</v>
      </c>
      <c r="E725" t="s">
        <v>3459</v>
      </c>
      <c r="F725" t="s">
        <v>4998</v>
      </c>
      <c r="G725" t="s">
        <v>14360</v>
      </c>
      <c r="H725" t="s">
        <v>14360</v>
      </c>
      <c r="I725" t="s">
        <v>14360</v>
      </c>
      <c r="J725" s="4" t="s">
        <v>12237</v>
      </c>
      <c r="L725" t="s">
        <v>2041</v>
      </c>
      <c r="M725" t="s">
        <v>15345</v>
      </c>
      <c r="N725" t="s">
        <v>14360</v>
      </c>
      <c r="O725" t="s">
        <v>3459</v>
      </c>
      <c r="P725" t="s">
        <v>14360</v>
      </c>
      <c r="Q725" t="s">
        <v>4998</v>
      </c>
      <c r="R725" t="s">
        <v>3459</v>
      </c>
      <c r="S725" t="s">
        <v>7821</v>
      </c>
    </row>
    <row r="726" spans="1:19" x14ac:dyDescent="0.2">
      <c r="A726" t="s">
        <v>2028</v>
      </c>
      <c r="B726" t="s">
        <v>14359</v>
      </c>
      <c r="C726" t="s">
        <v>19495</v>
      </c>
      <c r="D726" t="str">
        <f>_xlfn.XLOOKUP(E726,pathways!$A$2:$A$31,pathways!$B$2:$B$31)</f>
        <v>Lipid metabolism</v>
      </c>
      <c r="E726" t="s">
        <v>3459</v>
      </c>
      <c r="F726" t="s">
        <v>4998</v>
      </c>
      <c r="G726" t="s">
        <v>14360</v>
      </c>
      <c r="H726" t="s">
        <v>14360</v>
      </c>
      <c r="I726" t="s">
        <v>9289</v>
      </c>
      <c r="J726" s="4" t="s">
        <v>9289</v>
      </c>
      <c r="L726" t="s">
        <v>2027</v>
      </c>
      <c r="M726" t="s">
        <v>15331</v>
      </c>
      <c r="N726" t="s">
        <v>3459</v>
      </c>
      <c r="O726" t="s">
        <v>3459</v>
      </c>
      <c r="P726" t="s">
        <v>4998</v>
      </c>
      <c r="Q726" t="s">
        <v>4998</v>
      </c>
      <c r="R726" t="s">
        <v>3459</v>
      </c>
      <c r="S726" t="s">
        <v>7821</v>
      </c>
    </row>
    <row r="727" spans="1:19" x14ac:dyDescent="0.2">
      <c r="A727" t="s">
        <v>1946</v>
      </c>
      <c r="B727" t="s">
        <v>14359</v>
      </c>
      <c r="C727" t="s">
        <v>9022</v>
      </c>
      <c r="D727" t="str">
        <f>_xlfn.XLOOKUP(E727,pathways!$A$2:$A$31,pathways!$B$2:$B$31)</f>
        <v>Lipid metabolism</v>
      </c>
      <c r="E727" t="s">
        <v>3459</v>
      </c>
      <c r="F727" t="s">
        <v>4463</v>
      </c>
      <c r="G727" t="s">
        <v>14360</v>
      </c>
      <c r="H727" t="s">
        <v>14360</v>
      </c>
      <c r="I727" t="s">
        <v>9022</v>
      </c>
      <c r="J727" s="4" t="s">
        <v>9022</v>
      </c>
      <c r="L727" t="s">
        <v>1945</v>
      </c>
      <c r="M727" t="s">
        <v>15246</v>
      </c>
      <c r="N727" t="s">
        <v>3459</v>
      </c>
      <c r="O727" t="s">
        <v>3459</v>
      </c>
      <c r="P727" t="s">
        <v>4463</v>
      </c>
      <c r="Q727" t="s">
        <v>4463</v>
      </c>
      <c r="R727" t="s">
        <v>3459</v>
      </c>
      <c r="S727" t="s">
        <v>3864</v>
      </c>
    </row>
    <row r="728" spans="1:19" x14ac:dyDescent="0.2">
      <c r="A728" t="s">
        <v>2445</v>
      </c>
      <c r="B728" t="s">
        <v>14359</v>
      </c>
      <c r="C728" t="s">
        <v>5001</v>
      </c>
      <c r="D728" t="str">
        <f>_xlfn.XLOOKUP(E728,pathways!$A$2:$A$31,pathways!$B$2:$B$31)</f>
        <v>Lipid metabolism</v>
      </c>
      <c r="E728" t="s">
        <v>3459</v>
      </c>
      <c r="F728" t="s">
        <v>4998</v>
      </c>
      <c r="G728" t="s">
        <v>5001</v>
      </c>
      <c r="H728" t="s">
        <v>14360</v>
      </c>
      <c r="I728" t="s">
        <v>5001</v>
      </c>
      <c r="J728" s="4" t="s">
        <v>5001</v>
      </c>
      <c r="L728" t="s">
        <v>2444</v>
      </c>
      <c r="M728" t="s">
        <v>15751</v>
      </c>
      <c r="N728" t="s">
        <v>3459</v>
      </c>
      <c r="O728" t="s">
        <v>3459</v>
      </c>
      <c r="P728" t="s">
        <v>4998</v>
      </c>
      <c r="Q728" t="s">
        <v>4998</v>
      </c>
      <c r="R728" t="s">
        <v>3459</v>
      </c>
      <c r="S728" t="s">
        <v>3864</v>
      </c>
    </row>
    <row r="729" spans="1:19" x14ac:dyDescent="0.2">
      <c r="A729" t="s">
        <v>1676</v>
      </c>
      <c r="B729" t="s">
        <v>14359</v>
      </c>
      <c r="C729" t="s">
        <v>7968</v>
      </c>
      <c r="D729" t="str">
        <f>_xlfn.XLOOKUP(E729,pathways!$A$2:$A$31,pathways!$B$2:$B$31)</f>
        <v>Lipid metabolism</v>
      </c>
      <c r="E729" t="s">
        <v>3459</v>
      </c>
      <c r="F729" t="s">
        <v>4991</v>
      </c>
      <c r="G729" t="s">
        <v>14360</v>
      </c>
      <c r="H729" t="s">
        <v>14360</v>
      </c>
      <c r="I729" t="s">
        <v>7968</v>
      </c>
      <c r="J729" s="4" t="s">
        <v>7968</v>
      </c>
      <c r="L729" t="s">
        <v>1675</v>
      </c>
      <c r="M729" t="s">
        <v>14967</v>
      </c>
      <c r="N729" t="s">
        <v>3459</v>
      </c>
      <c r="O729" t="s">
        <v>3459</v>
      </c>
      <c r="P729" t="s">
        <v>4991</v>
      </c>
      <c r="Q729" t="s">
        <v>11593</v>
      </c>
      <c r="R729" t="s">
        <v>3459</v>
      </c>
      <c r="S729" t="s">
        <v>3864</v>
      </c>
    </row>
    <row r="730" spans="1:19" x14ac:dyDescent="0.2">
      <c r="A730" t="s">
        <v>13984</v>
      </c>
      <c r="B730" t="s">
        <v>14359</v>
      </c>
      <c r="C730" t="s">
        <v>9326</v>
      </c>
      <c r="D730" t="str">
        <f>_xlfn.XLOOKUP(E730,pathways!$A$2:$A$31,pathways!$B$2:$B$31)</f>
        <v>Lipid metabolism</v>
      </c>
      <c r="E730" t="s">
        <v>3459</v>
      </c>
      <c r="F730" t="s">
        <v>4774</v>
      </c>
      <c r="G730" t="s">
        <v>14360</v>
      </c>
      <c r="H730" t="s">
        <v>14360</v>
      </c>
      <c r="I730" t="s">
        <v>9326</v>
      </c>
      <c r="J730" s="4" t="s">
        <v>14360</v>
      </c>
      <c r="L730" t="s">
        <v>14360</v>
      </c>
      <c r="M730" t="s">
        <v>14360</v>
      </c>
      <c r="N730" t="s">
        <v>3459</v>
      </c>
      <c r="O730" t="s">
        <v>14360</v>
      </c>
      <c r="P730" t="s">
        <v>4774</v>
      </c>
      <c r="Q730" t="s">
        <v>14360</v>
      </c>
      <c r="R730" t="s">
        <v>14360</v>
      </c>
      <c r="S730" t="s">
        <v>4050</v>
      </c>
    </row>
    <row r="731" spans="1:19" x14ac:dyDescent="0.2">
      <c r="A731" t="s">
        <v>13911</v>
      </c>
      <c r="B731" t="s">
        <v>14359</v>
      </c>
      <c r="C731" t="s">
        <v>7845</v>
      </c>
      <c r="D731" t="str">
        <f>_xlfn.XLOOKUP(E731,pathways!$A$2:$A$31,pathways!$B$2:$B$31)</f>
        <v>Lipid metabolism</v>
      </c>
      <c r="E731" t="s">
        <v>3459</v>
      </c>
      <c r="F731" t="s">
        <v>4774</v>
      </c>
      <c r="G731" t="s">
        <v>14360</v>
      </c>
      <c r="H731" t="s">
        <v>14360</v>
      </c>
      <c r="I731" t="s">
        <v>7845</v>
      </c>
      <c r="J731" s="4" t="s">
        <v>14360</v>
      </c>
      <c r="L731" t="s">
        <v>14360</v>
      </c>
      <c r="M731" t="s">
        <v>14360</v>
      </c>
      <c r="N731" t="s">
        <v>3459</v>
      </c>
      <c r="O731" t="s">
        <v>14360</v>
      </c>
      <c r="P731" t="s">
        <v>4774</v>
      </c>
      <c r="Q731" t="s">
        <v>14360</v>
      </c>
      <c r="R731" t="s">
        <v>14360</v>
      </c>
      <c r="S731" t="s">
        <v>14360</v>
      </c>
    </row>
    <row r="732" spans="1:19" x14ac:dyDescent="0.2">
      <c r="A732" t="s">
        <v>2034</v>
      </c>
      <c r="B732" t="s">
        <v>14359</v>
      </c>
      <c r="C732" t="s">
        <v>19498</v>
      </c>
      <c r="D732" t="str">
        <f>_xlfn.XLOOKUP(E732,pathways!$A$2:$A$31,pathways!$B$2:$B$31)</f>
        <v>Lipid metabolism</v>
      </c>
      <c r="E732" t="s">
        <v>3459</v>
      </c>
      <c r="F732" t="s">
        <v>4998</v>
      </c>
      <c r="G732" t="s">
        <v>14360</v>
      </c>
      <c r="H732" t="s">
        <v>14360</v>
      </c>
      <c r="I732" t="s">
        <v>9310</v>
      </c>
      <c r="J732" s="4" t="s">
        <v>9310</v>
      </c>
      <c r="L732" t="s">
        <v>2033</v>
      </c>
      <c r="M732" t="s">
        <v>15337</v>
      </c>
      <c r="N732" t="s">
        <v>3459</v>
      </c>
      <c r="O732" t="s">
        <v>3459</v>
      </c>
      <c r="P732" t="s">
        <v>4998</v>
      </c>
      <c r="Q732" t="s">
        <v>4998</v>
      </c>
      <c r="R732" t="s">
        <v>3459</v>
      </c>
      <c r="S732" t="s">
        <v>5632</v>
      </c>
    </row>
    <row r="733" spans="1:19" x14ac:dyDescent="0.2">
      <c r="A733" t="s">
        <v>2635</v>
      </c>
      <c r="B733" t="s">
        <v>14359</v>
      </c>
      <c r="C733" t="s">
        <v>19731</v>
      </c>
      <c r="D733" t="str">
        <f>_xlfn.XLOOKUP(E733,pathways!$A$2:$A$31,pathways!$B$2:$B$31)</f>
        <v>Lipid metabolism</v>
      </c>
      <c r="E733" t="s">
        <v>3459</v>
      </c>
      <c r="F733" t="s">
        <v>4463</v>
      </c>
      <c r="G733" t="s">
        <v>14360</v>
      </c>
      <c r="H733" t="s">
        <v>14360</v>
      </c>
      <c r="I733" t="s">
        <v>4466</v>
      </c>
      <c r="J733" s="4" t="s">
        <v>14360</v>
      </c>
      <c r="L733" t="s">
        <v>2634</v>
      </c>
      <c r="M733" t="s">
        <v>15973</v>
      </c>
      <c r="N733" t="s">
        <v>3459</v>
      </c>
      <c r="O733" t="s">
        <v>14360</v>
      </c>
      <c r="P733" t="s">
        <v>4463</v>
      </c>
      <c r="Q733" t="s">
        <v>14360</v>
      </c>
      <c r="R733" t="s">
        <v>3459</v>
      </c>
      <c r="S733" t="s">
        <v>3661</v>
      </c>
    </row>
    <row r="734" spans="1:19" x14ac:dyDescent="0.2">
      <c r="A734" t="s">
        <v>2455</v>
      </c>
      <c r="B734" t="s">
        <v>14359</v>
      </c>
      <c r="C734" t="s">
        <v>19650</v>
      </c>
      <c r="D734" t="str">
        <f>_xlfn.XLOOKUP(E734,pathways!$A$2:$A$31,pathways!$B$2:$B$31)</f>
        <v>Lipid metabolism</v>
      </c>
      <c r="E734" t="s">
        <v>3459</v>
      </c>
      <c r="F734" t="s">
        <v>4998</v>
      </c>
      <c r="G734" t="s">
        <v>14360</v>
      </c>
      <c r="H734" t="s">
        <v>14360</v>
      </c>
      <c r="I734" t="s">
        <v>5047</v>
      </c>
      <c r="J734" s="4" t="s">
        <v>5047</v>
      </c>
      <c r="L734" t="s">
        <v>2454</v>
      </c>
      <c r="M734" t="s">
        <v>15761</v>
      </c>
      <c r="N734" t="s">
        <v>3459</v>
      </c>
      <c r="O734" t="s">
        <v>3459</v>
      </c>
      <c r="P734" t="s">
        <v>4998</v>
      </c>
      <c r="Q734" t="s">
        <v>4998</v>
      </c>
      <c r="R734" t="s">
        <v>3459</v>
      </c>
      <c r="S734" t="s">
        <v>3882</v>
      </c>
    </row>
    <row r="735" spans="1:19" x14ac:dyDescent="0.2">
      <c r="A735" t="s">
        <v>14001</v>
      </c>
      <c r="B735" t="s">
        <v>14359</v>
      </c>
      <c r="C735" t="s">
        <v>9593</v>
      </c>
      <c r="D735" t="str">
        <f>_xlfn.XLOOKUP(E735,pathways!$A$2:$A$31,pathways!$B$2:$B$31)</f>
        <v>Lipid metabolism</v>
      </c>
      <c r="E735" t="s">
        <v>3459</v>
      </c>
      <c r="F735" t="s">
        <v>4774</v>
      </c>
      <c r="G735" t="s">
        <v>14360</v>
      </c>
      <c r="H735" t="s">
        <v>14360</v>
      </c>
      <c r="I735" t="s">
        <v>9593</v>
      </c>
      <c r="J735" s="4" t="s">
        <v>9593</v>
      </c>
      <c r="L735" t="s">
        <v>14360</v>
      </c>
      <c r="M735" t="s">
        <v>14360</v>
      </c>
      <c r="N735" t="s">
        <v>3459</v>
      </c>
      <c r="O735" t="s">
        <v>3459</v>
      </c>
      <c r="P735" t="s">
        <v>4774</v>
      </c>
      <c r="Q735" t="s">
        <v>4774</v>
      </c>
      <c r="R735" t="s">
        <v>14360</v>
      </c>
      <c r="S735" t="s">
        <v>3560</v>
      </c>
    </row>
    <row r="736" spans="1:19" x14ac:dyDescent="0.2">
      <c r="A736" t="s">
        <v>13912</v>
      </c>
      <c r="B736" t="s">
        <v>14359</v>
      </c>
      <c r="C736" t="s">
        <v>7851</v>
      </c>
      <c r="D736" t="str">
        <f>_xlfn.XLOOKUP(E736,pathways!$A$2:$A$31,pathways!$B$2:$B$31)</f>
        <v>Lipid metabolism</v>
      </c>
      <c r="E736" t="s">
        <v>3459</v>
      </c>
      <c r="F736" t="s">
        <v>4774</v>
      </c>
      <c r="G736" t="s">
        <v>14360</v>
      </c>
      <c r="H736" t="s">
        <v>14360</v>
      </c>
      <c r="I736" t="s">
        <v>7851</v>
      </c>
      <c r="J736" s="4" t="s">
        <v>7851</v>
      </c>
      <c r="L736" t="s">
        <v>14360</v>
      </c>
      <c r="M736" t="s">
        <v>14360</v>
      </c>
      <c r="N736" t="s">
        <v>3459</v>
      </c>
      <c r="O736" t="s">
        <v>3459</v>
      </c>
      <c r="P736" t="s">
        <v>4774</v>
      </c>
      <c r="Q736" t="s">
        <v>4774</v>
      </c>
      <c r="R736" t="s">
        <v>14360</v>
      </c>
      <c r="S736" t="s">
        <v>3873</v>
      </c>
    </row>
    <row r="737" spans="1:19" x14ac:dyDescent="0.2">
      <c r="A737" t="s">
        <v>14235</v>
      </c>
      <c r="B737" t="s">
        <v>14359</v>
      </c>
      <c r="C737" t="s">
        <v>20032</v>
      </c>
      <c r="D737" t="str">
        <f>_xlfn.XLOOKUP(E737,pathways!$A$2:$A$31,pathways!$B$2:$B$31)</f>
        <v>Lipid metabolism</v>
      </c>
      <c r="E737" t="s">
        <v>3459</v>
      </c>
      <c r="F737" t="s">
        <v>11502</v>
      </c>
      <c r="G737" t="s">
        <v>14360</v>
      </c>
      <c r="H737" t="s">
        <v>14360</v>
      </c>
      <c r="I737" t="s">
        <v>14360</v>
      </c>
      <c r="J737" s="4" t="s">
        <v>12270</v>
      </c>
      <c r="L737" t="s">
        <v>14360</v>
      </c>
      <c r="M737" t="s">
        <v>14360</v>
      </c>
      <c r="N737" t="s">
        <v>14360</v>
      </c>
      <c r="O737" t="s">
        <v>3459</v>
      </c>
      <c r="P737" t="s">
        <v>14360</v>
      </c>
      <c r="Q737" t="s">
        <v>11502</v>
      </c>
      <c r="R737" t="s">
        <v>14360</v>
      </c>
      <c r="S737" t="s">
        <v>3560</v>
      </c>
    </row>
    <row r="738" spans="1:19" x14ac:dyDescent="0.2">
      <c r="A738" t="s">
        <v>2096</v>
      </c>
      <c r="B738" t="s">
        <v>14359</v>
      </c>
      <c r="C738" t="s">
        <v>19529</v>
      </c>
      <c r="D738" t="str">
        <f>_xlfn.XLOOKUP(E738,pathways!$A$2:$A$31,pathways!$B$2:$B$31)</f>
        <v>Lipid metabolism</v>
      </c>
      <c r="E738" t="s">
        <v>3459</v>
      </c>
      <c r="F738" t="s">
        <v>6535</v>
      </c>
      <c r="G738" t="s">
        <v>14360</v>
      </c>
      <c r="H738" t="s">
        <v>14360</v>
      </c>
      <c r="I738" t="s">
        <v>9504</v>
      </c>
      <c r="J738" s="4" t="s">
        <v>9504</v>
      </c>
      <c r="L738" t="s">
        <v>2095</v>
      </c>
      <c r="M738" t="s">
        <v>15389</v>
      </c>
      <c r="N738" t="s">
        <v>3459</v>
      </c>
      <c r="O738" t="s">
        <v>3459</v>
      </c>
      <c r="P738" t="s">
        <v>6535</v>
      </c>
      <c r="Q738" t="s">
        <v>11596</v>
      </c>
      <c r="R738" t="s">
        <v>3459</v>
      </c>
    </row>
    <row r="739" spans="1:19" x14ac:dyDescent="0.2">
      <c r="A739" t="s">
        <v>2056</v>
      </c>
      <c r="B739" t="s">
        <v>14359</v>
      </c>
      <c r="C739" t="s">
        <v>19508</v>
      </c>
      <c r="D739" t="str">
        <f>_xlfn.XLOOKUP(E739,pathways!$A$2:$A$31,pathways!$B$2:$B$31)</f>
        <v>Lipid metabolism</v>
      </c>
      <c r="E739" t="s">
        <v>3459</v>
      </c>
      <c r="F739" t="s">
        <v>3560</v>
      </c>
      <c r="G739" t="s">
        <v>14360</v>
      </c>
      <c r="H739" t="s">
        <v>14360</v>
      </c>
      <c r="I739" t="s">
        <v>9410</v>
      </c>
      <c r="J739" s="4" t="s">
        <v>9410</v>
      </c>
      <c r="L739" t="s">
        <v>2055</v>
      </c>
      <c r="M739" t="s">
        <v>15356</v>
      </c>
      <c r="N739" t="s">
        <v>3459</v>
      </c>
      <c r="O739" t="s">
        <v>3459</v>
      </c>
      <c r="P739" t="s">
        <v>3560</v>
      </c>
      <c r="Q739" t="s">
        <v>11702</v>
      </c>
      <c r="R739" t="s">
        <v>3459</v>
      </c>
      <c r="S739" t="s">
        <v>7821</v>
      </c>
    </row>
    <row r="740" spans="1:19" x14ac:dyDescent="0.2">
      <c r="A740" t="s">
        <v>2641</v>
      </c>
      <c r="B740" t="s">
        <v>14359</v>
      </c>
      <c r="C740" t="s">
        <v>19734</v>
      </c>
      <c r="D740" t="str">
        <f>_xlfn.XLOOKUP(E740,pathways!$A$2:$A$31,pathways!$B$2:$B$31)</f>
        <v>Lipid metabolism</v>
      </c>
      <c r="E740" t="s">
        <v>3459</v>
      </c>
      <c r="F740" t="s">
        <v>4017</v>
      </c>
      <c r="G740" t="s">
        <v>14360</v>
      </c>
      <c r="H740" t="s">
        <v>14360</v>
      </c>
      <c r="I740" t="s">
        <v>4423</v>
      </c>
      <c r="J740" s="4" t="s">
        <v>4423</v>
      </c>
      <c r="L740" t="s">
        <v>2640</v>
      </c>
      <c r="M740" t="s">
        <v>15979</v>
      </c>
      <c r="N740" t="s">
        <v>3459</v>
      </c>
      <c r="O740" t="s">
        <v>3459</v>
      </c>
      <c r="P740" t="s">
        <v>4017</v>
      </c>
      <c r="Q740" t="s">
        <v>11502</v>
      </c>
      <c r="R740" t="s">
        <v>3459</v>
      </c>
      <c r="S740" t="s">
        <v>9134</v>
      </c>
    </row>
    <row r="741" spans="1:19" x14ac:dyDescent="0.2">
      <c r="A741" t="s">
        <v>1880</v>
      </c>
      <c r="B741" t="s">
        <v>14359</v>
      </c>
      <c r="C741" t="s">
        <v>19428</v>
      </c>
      <c r="D741" t="str">
        <f>_xlfn.XLOOKUP(E741,pathways!$A$2:$A$31,pathways!$B$2:$B$31)</f>
        <v>Lipid metabolism</v>
      </c>
      <c r="E741" t="s">
        <v>3459</v>
      </c>
      <c r="F741" t="s">
        <v>5535</v>
      </c>
      <c r="G741" t="s">
        <v>14360</v>
      </c>
      <c r="H741" t="s">
        <v>14360</v>
      </c>
      <c r="I741" t="s">
        <v>8725</v>
      </c>
      <c r="J741" s="4" t="s">
        <v>14360</v>
      </c>
      <c r="L741" t="s">
        <v>1879</v>
      </c>
      <c r="M741" t="s">
        <v>15181</v>
      </c>
      <c r="N741" t="s">
        <v>3459</v>
      </c>
      <c r="O741" t="s">
        <v>14360</v>
      </c>
      <c r="P741" t="s">
        <v>5535</v>
      </c>
      <c r="Q741" t="s">
        <v>14360</v>
      </c>
      <c r="R741" t="s">
        <v>3459</v>
      </c>
      <c r="S741" t="s">
        <v>3560</v>
      </c>
    </row>
    <row r="742" spans="1:19" x14ac:dyDescent="0.2">
      <c r="A742" t="s">
        <v>2146</v>
      </c>
      <c r="B742" t="s">
        <v>14359</v>
      </c>
      <c r="C742" t="s">
        <v>19549</v>
      </c>
      <c r="D742" t="str">
        <f>_xlfn.XLOOKUP(E742,pathways!$A$2:$A$31,pathways!$B$2:$B$31)</f>
        <v>Lipid metabolism</v>
      </c>
      <c r="E742" t="s">
        <v>3459</v>
      </c>
      <c r="F742" t="s">
        <v>3873</v>
      </c>
      <c r="G742" t="s">
        <v>14360</v>
      </c>
      <c r="H742" t="s">
        <v>14360</v>
      </c>
      <c r="I742" t="s">
        <v>9625</v>
      </c>
      <c r="J742" s="4" t="s">
        <v>9625</v>
      </c>
      <c r="L742" t="s">
        <v>2145</v>
      </c>
      <c r="M742" t="s">
        <v>15439</v>
      </c>
      <c r="N742" t="s">
        <v>3459</v>
      </c>
      <c r="O742" t="s">
        <v>3459</v>
      </c>
      <c r="P742" t="s">
        <v>3873</v>
      </c>
      <c r="Q742" t="s">
        <v>3873</v>
      </c>
      <c r="R742" t="s">
        <v>3459</v>
      </c>
      <c r="S742" t="s">
        <v>3560</v>
      </c>
    </row>
    <row r="743" spans="1:19" x14ac:dyDescent="0.2">
      <c r="A743" t="s">
        <v>1447</v>
      </c>
      <c r="B743" t="s">
        <v>14359</v>
      </c>
      <c r="C743" t="s">
        <v>19294</v>
      </c>
      <c r="D743" t="str">
        <f>_xlfn.XLOOKUP(E743,pathways!$A$2:$A$31,pathways!$B$2:$B$31)</f>
        <v>Lipid metabolism</v>
      </c>
      <c r="E743" t="s">
        <v>3459</v>
      </c>
      <c r="F743" t="s">
        <v>3873</v>
      </c>
      <c r="G743" t="s">
        <v>14360</v>
      </c>
      <c r="H743" t="s">
        <v>14360</v>
      </c>
      <c r="I743" t="s">
        <v>6769</v>
      </c>
      <c r="J743" s="4" t="s">
        <v>6769</v>
      </c>
      <c r="L743" t="s">
        <v>1446</v>
      </c>
      <c r="M743" t="s">
        <v>14732</v>
      </c>
      <c r="N743" t="s">
        <v>3459</v>
      </c>
      <c r="O743" t="s">
        <v>3459</v>
      </c>
      <c r="P743" t="s">
        <v>3873</v>
      </c>
      <c r="Q743" t="s">
        <v>3873</v>
      </c>
      <c r="R743" t="s">
        <v>3459</v>
      </c>
      <c r="S743" t="s">
        <v>14360</v>
      </c>
    </row>
    <row r="744" spans="1:19" x14ac:dyDescent="0.2">
      <c r="A744" t="s">
        <v>1806</v>
      </c>
      <c r="B744" t="s">
        <v>14359</v>
      </c>
      <c r="C744" t="s">
        <v>19401</v>
      </c>
      <c r="D744" t="str">
        <f>_xlfn.XLOOKUP(E744,pathways!$A$2:$A$31,pathways!$B$2:$B$31)</f>
        <v>Lipid metabolism</v>
      </c>
      <c r="E744" t="s">
        <v>3459</v>
      </c>
      <c r="F744" t="s">
        <v>8397</v>
      </c>
      <c r="G744" t="s">
        <v>14360</v>
      </c>
      <c r="H744" t="s">
        <v>14360</v>
      </c>
      <c r="I744" t="s">
        <v>8405</v>
      </c>
      <c r="J744" s="4" t="s">
        <v>8405</v>
      </c>
      <c r="L744" t="s">
        <v>1805</v>
      </c>
      <c r="M744" t="s">
        <v>15105</v>
      </c>
      <c r="N744" t="s">
        <v>3459</v>
      </c>
      <c r="O744" t="s">
        <v>3459</v>
      </c>
      <c r="P744" t="s">
        <v>8397</v>
      </c>
      <c r="Q744" t="s">
        <v>11596</v>
      </c>
      <c r="R744" t="s">
        <v>3459</v>
      </c>
      <c r="S744" t="s">
        <v>3873</v>
      </c>
    </row>
    <row r="745" spans="1:19" x14ac:dyDescent="0.2">
      <c r="A745" t="s">
        <v>2137</v>
      </c>
      <c r="B745" t="s">
        <v>14359</v>
      </c>
      <c r="C745" t="s">
        <v>19544</v>
      </c>
      <c r="D745" t="str">
        <f>_xlfn.XLOOKUP(E745,pathways!$A$2:$A$31,pathways!$B$2:$B$31)</f>
        <v>Lipid metabolism</v>
      </c>
      <c r="E745" t="s">
        <v>3459</v>
      </c>
      <c r="F745" t="s">
        <v>3873</v>
      </c>
      <c r="G745" t="s">
        <v>14360</v>
      </c>
      <c r="H745" t="s">
        <v>14360</v>
      </c>
      <c r="I745" t="s">
        <v>9618</v>
      </c>
      <c r="J745" s="4" t="s">
        <v>12286</v>
      </c>
      <c r="L745" t="s">
        <v>2136</v>
      </c>
      <c r="M745" t="s">
        <v>15430</v>
      </c>
      <c r="N745" t="s">
        <v>3459</v>
      </c>
      <c r="O745" t="s">
        <v>3459</v>
      </c>
      <c r="P745" t="s">
        <v>3873</v>
      </c>
      <c r="Q745" t="s">
        <v>3873</v>
      </c>
      <c r="R745" t="s">
        <v>3459</v>
      </c>
      <c r="S745" t="s">
        <v>3873</v>
      </c>
    </row>
    <row r="746" spans="1:19" x14ac:dyDescent="0.2">
      <c r="A746" t="s">
        <v>1764</v>
      </c>
      <c r="B746" t="s">
        <v>14359</v>
      </c>
      <c r="C746" t="s">
        <v>19390</v>
      </c>
      <c r="D746" t="str">
        <f>_xlfn.XLOOKUP(E746,pathways!$A$2:$A$31,pathways!$B$2:$B$31)</f>
        <v>Lipid metabolism</v>
      </c>
      <c r="E746" t="s">
        <v>3459</v>
      </c>
      <c r="F746" t="s">
        <v>8397</v>
      </c>
      <c r="G746" t="s">
        <v>14360</v>
      </c>
      <c r="H746" t="s">
        <v>14360</v>
      </c>
      <c r="I746" t="s">
        <v>8400</v>
      </c>
      <c r="J746" s="4" t="s">
        <v>8400</v>
      </c>
      <c r="L746" t="s">
        <v>1763</v>
      </c>
      <c r="M746" t="s">
        <v>15061</v>
      </c>
      <c r="N746" t="s">
        <v>3459</v>
      </c>
      <c r="O746" t="s">
        <v>3459</v>
      </c>
      <c r="P746" t="s">
        <v>8397</v>
      </c>
      <c r="Q746" t="s">
        <v>11596</v>
      </c>
      <c r="R746" t="s">
        <v>3459</v>
      </c>
      <c r="S746" t="s">
        <v>3873</v>
      </c>
    </row>
    <row r="747" spans="1:19" x14ac:dyDescent="0.2">
      <c r="A747" t="s">
        <v>1284</v>
      </c>
      <c r="B747" t="s">
        <v>14359</v>
      </c>
      <c r="C747" t="s">
        <v>19239</v>
      </c>
      <c r="D747" t="str">
        <f>_xlfn.XLOOKUP(E747,pathways!$A$2:$A$31,pathways!$B$2:$B$31)</f>
        <v>Lipid metabolism</v>
      </c>
      <c r="E747" t="s">
        <v>3459</v>
      </c>
      <c r="F747" t="s">
        <v>5535</v>
      </c>
      <c r="G747" t="s">
        <v>14360</v>
      </c>
      <c r="H747" t="s">
        <v>14360</v>
      </c>
      <c r="I747" t="s">
        <v>6007</v>
      </c>
      <c r="J747" s="4" t="s">
        <v>6007</v>
      </c>
      <c r="L747" t="s">
        <v>1283</v>
      </c>
      <c r="M747" t="s">
        <v>14562</v>
      </c>
      <c r="N747" t="s">
        <v>3459</v>
      </c>
      <c r="O747" t="s">
        <v>3459</v>
      </c>
      <c r="P747" t="s">
        <v>5535</v>
      </c>
      <c r="Q747" t="s">
        <v>11596</v>
      </c>
      <c r="R747" t="s">
        <v>3459</v>
      </c>
      <c r="S747" t="s">
        <v>3687</v>
      </c>
    </row>
    <row r="748" spans="1:19" x14ac:dyDescent="0.2">
      <c r="A748" t="s">
        <v>1902</v>
      </c>
      <c r="B748" t="s">
        <v>14359</v>
      </c>
      <c r="C748" t="s">
        <v>19438</v>
      </c>
      <c r="D748" t="str">
        <f>_xlfn.XLOOKUP(E748,pathways!$A$2:$A$31,pathways!$B$2:$B$31)</f>
        <v>Lipid metabolism</v>
      </c>
      <c r="E748" t="s">
        <v>3459</v>
      </c>
      <c r="F748" t="s">
        <v>4059</v>
      </c>
      <c r="G748" t="s">
        <v>14360</v>
      </c>
      <c r="H748" t="s">
        <v>14360</v>
      </c>
      <c r="I748" t="s">
        <v>8839</v>
      </c>
      <c r="J748" s="4" t="s">
        <v>8839</v>
      </c>
      <c r="L748" t="s">
        <v>1901</v>
      </c>
      <c r="M748" t="s">
        <v>15203</v>
      </c>
      <c r="N748" t="s">
        <v>3459</v>
      </c>
      <c r="O748" t="s">
        <v>3459</v>
      </c>
      <c r="P748" t="s">
        <v>4059</v>
      </c>
      <c r="Q748" t="s">
        <v>11502</v>
      </c>
      <c r="R748" t="s">
        <v>3459</v>
      </c>
      <c r="S748" t="s">
        <v>3687</v>
      </c>
    </row>
    <row r="749" spans="1:19" x14ac:dyDescent="0.2">
      <c r="A749" t="s">
        <v>2379</v>
      </c>
      <c r="B749" t="s">
        <v>14359</v>
      </c>
      <c r="C749" t="s">
        <v>19630</v>
      </c>
      <c r="D749" t="str">
        <f>_xlfn.XLOOKUP(E749,pathways!$A$2:$A$31,pathways!$B$2:$B$31)</f>
        <v>Lipid metabolism</v>
      </c>
      <c r="E749" t="s">
        <v>3459</v>
      </c>
      <c r="F749" t="s">
        <v>4774</v>
      </c>
      <c r="G749" t="s">
        <v>4777</v>
      </c>
      <c r="H749" t="s">
        <v>14360</v>
      </c>
      <c r="I749" t="s">
        <v>4777</v>
      </c>
      <c r="J749" s="4" t="s">
        <v>14360</v>
      </c>
      <c r="L749" t="s">
        <v>2378</v>
      </c>
      <c r="M749" t="s">
        <v>15677</v>
      </c>
      <c r="N749" t="s">
        <v>3459</v>
      </c>
      <c r="O749" t="s">
        <v>14360</v>
      </c>
      <c r="P749" t="s">
        <v>4774</v>
      </c>
      <c r="Q749" t="s">
        <v>14360</v>
      </c>
      <c r="R749" t="s">
        <v>3459</v>
      </c>
      <c r="S749" t="s">
        <v>14360</v>
      </c>
    </row>
    <row r="750" spans="1:19" x14ac:dyDescent="0.2">
      <c r="A750" t="s">
        <v>14236</v>
      </c>
      <c r="B750" t="s">
        <v>14359</v>
      </c>
      <c r="C750" t="s">
        <v>20036</v>
      </c>
      <c r="D750" t="str">
        <f>_xlfn.XLOOKUP(E750,pathways!$A$2:$A$31,pathways!$B$2:$B$31)</f>
        <v>Lipid metabolism</v>
      </c>
      <c r="E750" t="s">
        <v>3459</v>
      </c>
      <c r="F750" t="s">
        <v>7792</v>
      </c>
      <c r="G750" t="s">
        <v>14360</v>
      </c>
      <c r="H750" t="s">
        <v>14360</v>
      </c>
      <c r="I750" t="s">
        <v>14360</v>
      </c>
      <c r="J750" s="4" t="s">
        <v>12292</v>
      </c>
      <c r="L750" t="s">
        <v>14360</v>
      </c>
      <c r="M750" t="s">
        <v>14360</v>
      </c>
      <c r="N750" t="s">
        <v>14360</v>
      </c>
      <c r="O750" t="s">
        <v>3459</v>
      </c>
      <c r="P750" t="s">
        <v>14360</v>
      </c>
      <c r="Q750" t="s">
        <v>7792</v>
      </c>
      <c r="R750" t="s">
        <v>14360</v>
      </c>
      <c r="S750" t="s">
        <v>5632</v>
      </c>
    </row>
    <row r="751" spans="1:19" x14ac:dyDescent="0.2">
      <c r="A751" t="s">
        <v>14237</v>
      </c>
      <c r="B751" t="s">
        <v>14359</v>
      </c>
      <c r="C751" t="s">
        <v>20037</v>
      </c>
      <c r="D751" t="str">
        <f>_xlfn.XLOOKUP(E751,pathways!$A$2:$A$31,pathways!$B$2:$B$31)</f>
        <v>Lipid metabolism</v>
      </c>
      <c r="E751" t="s">
        <v>3459</v>
      </c>
      <c r="F751" t="s">
        <v>7792</v>
      </c>
      <c r="G751" t="s">
        <v>14360</v>
      </c>
      <c r="H751" t="s">
        <v>14360</v>
      </c>
      <c r="I751" t="s">
        <v>14360</v>
      </c>
      <c r="J751" s="4" t="s">
        <v>12295</v>
      </c>
      <c r="L751" t="s">
        <v>14360</v>
      </c>
      <c r="M751" t="s">
        <v>14360</v>
      </c>
      <c r="N751" t="s">
        <v>14360</v>
      </c>
      <c r="O751" t="s">
        <v>3459</v>
      </c>
      <c r="P751" t="s">
        <v>14360</v>
      </c>
      <c r="Q751" t="s">
        <v>7792</v>
      </c>
      <c r="R751" t="s">
        <v>14360</v>
      </c>
      <c r="S751" t="s">
        <v>14360</v>
      </c>
    </row>
    <row r="752" spans="1:19" x14ac:dyDescent="0.2">
      <c r="A752" t="s">
        <v>14238</v>
      </c>
      <c r="B752" t="s">
        <v>14359</v>
      </c>
      <c r="C752" t="s">
        <v>20038</v>
      </c>
      <c r="D752" t="str">
        <f>_xlfn.XLOOKUP(E752,pathways!$A$2:$A$31,pathways!$B$2:$B$31)</f>
        <v>Lipid metabolism</v>
      </c>
      <c r="E752" t="s">
        <v>3459</v>
      </c>
      <c r="F752" t="s">
        <v>7792</v>
      </c>
      <c r="G752" t="s">
        <v>14360</v>
      </c>
      <c r="H752" t="s">
        <v>14360</v>
      </c>
      <c r="I752" t="s">
        <v>14360</v>
      </c>
      <c r="J752" s="4" t="s">
        <v>12297</v>
      </c>
      <c r="L752" t="s">
        <v>14360</v>
      </c>
      <c r="M752" t="s">
        <v>14360</v>
      </c>
      <c r="N752" t="s">
        <v>14360</v>
      </c>
      <c r="O752" t="s">
        <v>3459</v>
      </c>
      <c r="P752" t="s">
        <v>14360</v>
      </c>
      <c r="Q752" t="s">
        <v>7792</v>
      </c>
      <c r="R752" t="s">
        <v>14360</v>
      </c>
      <c r="S752" t="s">
        <v>3873</v>
      </c>
    </row>
    <row r="753" spans="1:19" x14ac:dyDescent="0.2">
      <c r="A753" t="s">
        <v>13907</v>
      </c>
      <c r="B753" t="s">
        <v>14359</v>
      </c>
      <c r="C753" t="s">
        <v>20039</v>
      </c>
      <c r="D753" t="str">
        <f>_xlfn.XLOOKUP(E753,pathways!$A$2:$A$31,pathways!$B$2:$B$31)</f>
        <v>Lipid metabolism</v>
      </c>
      <c r="E753" t="s">
        <v>3459</v>
      </c>
      <c r="F753" t="s">
        <v>7792</v>
      </c>
      <c r="G753" t="s">
        <v>14360</v>
      </c>
      <c r="H753" t="s">
        <v>14360</v>
      </c>
      <c r="I753" t="s">
        <v>7795</v>
      </c>
      <c r="J753" s="4" t="s">
        <v>7795</v>
      </c>
      <c r="L753" t="s">
        <v>14360</v>
      </c>
      <c r="M753" t="s">
        <v>14360</v>
      </c>
      <c r="N753" t="s">
        <v>3459</v>
      </c>
      <c r="O753" t="s">
        <v>3459</v>
      </c>
      <c r="P753" t="s">
        <v>7792</v>
      </c>
      <c r="Q753" t="s">
        <v>7792</v>
      </c>
      <c r="R753" t="s">
        <v>14360</v>
      </c>
      <c r="S753" t="s">
        <v>3560</v>
      </c>
    </row>
    <row r="754" spans="1:19" x14ac:dyDescent="0.2">
      <c r="A754" t="s">
        <v>1660</v>
      </c>
      <c r="B754" t="s">
        <v>14359</v>
      </c>
      <c r="C754" t="s">
        <v>19358</v>
      </c>
      <c r="D754" t="str">
        <f>_xlfn.XLOOKUP(E754,pathways!$A$2:$A$31,pathways!$B$2:$B$31)</f>
        <v>Lipid metabolism</v>
      </c>
      <c r="E754" t="s">
        <v>3459</v>
      </c>
      <c r="F754" t="s">
        <v>7792</v>
      </c>
      <c r="G754" t="s">
        <v>14360</v>
      </c>
      <c r="H754" t="s">
        <v>14360</v>
      </c>
      <c r="I754" t="s">
        <v>7802</v>
      </c>
      <c r="J754" s="4" t="s">
        <v>7802</v>
      </c>
      <c r="L754" t="s">
        <v>1659</v>
      </c>
      <c r="M754" t="s">
        <v>14949</v>
      </c>
      <c r="N754" t="s">
        <v>3459</v>
      </c>
      <c r="O754" t="s">
        <v>3459</v>
      </c>
      <c r="P754" t="s">
        <v>7792</v>
      </c>
      <c r="Q754" t="s">
        <v>7792</v>
      </c>
      <c r="R754" t="s">
        <v>3459</v>
      </c>
      <c r="S754" t="s">
        <v>14360</v>
      </c>
    </row>
    <row r="755" spans="1:19" x14ac:dyDescent="0.2">
      <c r="A755" t="s">
        <v>14239</v>
      </c>
      <c r="B755" t="s">
        <v>14359</v>
      </c>
      <c r="C755" t="s">
        <v>20040</v>
      </c>
      <c r="D755" t="str">
        <f>_xlfn.XLOOKUP(E755,pathways!$A$2:$A$31,pathways!$B$2:$B$31)</f>
        <v>Lipid metabolism</v>
      </c>
      <c r="E755" t="s">
        <v>3459</v>
      </c>
      <c r="F755" t="s">
        <v>7792</v>
      </c>
      <c r="G755" t="s">
        <v>14360</v>
      </c>
      <c r="H755" t="s">
        <v>14360</v>
      </c>
      <c r="I755" t="s">
        <v>14360</v>
      </c>
      <c r="J755" s="4" t="s">
        <v>12303</v>
      </c>
      <c r="L755" t="s">
        <v>14360</v>
      </c>
      <c r="M755" t="s">
        <v>14360</v>
      </c>
      <c r="N755" t="s">
        <v>14360</v>
      </c>
      <c r="O755" t="s">
        <v>3459</v>
      </c>
      <c r="P755" t="s">
        <v>14360</v>
      </c>
      <c r="Q755" t="s">
        <v>7792</v>
      </c>
      <c r="R755" t="s">
        <v>14360</v>
      </c>
      <c r="S755" t="s">
        <v>3873</v>
      </c>
    </row>
    <row r="756" spans="1:19" x14ac:dyDescent="0.2">
      <c r="A756" t="s">
        <v>13978</v>
      </c>
      <c r="B756" t="s">
        <v>14359</v>
      </c>
      <c r="C756" t="s">
        <v>20041</v>
      </c>
      <c r="D756" t="str">
        <f>_xlfn.XLOOKUP(E756,pathways!$A$2:$A$31,pathways!$B$2:$B$31)</f>
        <v>Lipid metabolism</v>
      </c>
      <c r="E756" t="s">
        <v>3459</v>
      </c>
      <c r="F756" t="s">
        <v>7792</v>
      </c>
      <c r="G756" t="s">
        <v>14360</v>
      </c>
      <c r="H756" t="s">
        <v>14360</v>
      </c>
      <c r="I756" t="s">
        <v>9271</v>
      </c>
      <c r="J756" s="4" t="s">
        <v>9271</v>
      </c>
      <c r="L756" t="s">
        <v>14360</v>
      </c>
      <c r="M756" t="s">
        <v>14360</v>
      </c>
      <c r="N756" t="s">
        <v>3459</v>
      </c>
      <c r="O756" t="s">
        <v>3459</v>
      </c>
      <c r="P756" t="s">
        <v>7792</v>
      </c>
      <c r="Q756" t="s">
        <v>7792</v>
      </c>
      <c r="R756" t="s">
        <v>14360</v>
      </c>
      <c r="S756" t="s">
        <v>4059</v>
      </c>
    </row>
    <row r="757" spans="1:19" x14ac:dyDescent="0.2">
      <c r="A757" t="s">
        <v>1390</v>
      </c>
      <c r="B757" t="s">
        <v>14359</v>
      </c>
      <c r="C757" t="s">
        <v>19270</v>
      </c>
      <c r="D757" t="str">
        <f>_xlfn.XLOOKUP(E757,pathways!$A$2:$A$31,pathways!$B$2:$B$31)</f>
        <v>Lipid metabolism</v>
      </c>
      <c r="E757" t="s">
        <v>3459</v>
      </c>
      <c r="F757" t="s">
        <v>6535</v>
      </c>
      <c r="G757" t="s">
        <v>14360</v>
      </c>
      <c r="H757" t="s">
        <v>14360</v>
      </c>
      <c r="I757" t="s">
        <v>6538</v>
      </c>
      <c r="J757" s="4" t="s">
        <v>6538</v>
      </c>
      <c r="L757" t="s">
        <v>1389</v>
      </c>
      <c r="M757" t="s">
        <v>14670</v>
      </c>
      <c r="N757" t="s">
        <v>3459</v>
      </c>
      <c r="O757" t="s">
        <v>3459</v>
      </c>
      <c r="P757" t="s">
        <v>6535</v>
      </c>
      <c r="Q757" t="s">
        <v>11596</v>
      </c>
      <c r="R757" t="s">
        <v>3459</v>
      </c>
      <c r="S757" t="s">
        <v>14360</v>
      </c>
    </row>
    <row r="758" spans="1:19" x14ac:dyDescent="0.2">
      <c r="A758" t="s">
        <v>1985</v>
      </c>
      <c r="B758" t="s">
        <v>14359</v>
      </c>
      <c r="C758" t="s">
        <v>19475</v>
      </c>
      <c r="D758" t="str">
        <f>_xlfn.XLOOKUP(E758,pathways!$A$2:$A$31,pathways!$B$2:$B$31)</f>
        <v>Lipid metabolism</v>
      </c>
      <c r="E758" t="s">
        <v>3459</v>
      </c>
      <c r="F758" t="s">
        <v>9134</v>
      </c>
      <c r="G758" t="s">
        <v>14360</v>
      </c>
      <c r="H758" t="s">
        <v>14360</v>
      </c>
      <c r="I758" t="s">
        <v>9180</v>
      </c>
      <c r="J758" s="4" t="s">
        <v>9180</v>
      </c>
      <c r="L758" t="s">
        <v>1984</v>
      </c>
      <c r="M758" t="s">
        <v>15285</v>
      </c>
      <c r="N758" t="s">
        <v>3459</v>
      </c>
      <c r="O758" t="s">
        <v>3459</v>
      </c>
      <c r="P758" t="s">
        <v>9134</v>
      </c>
      <c r="Q758" t="s">
        <v>9134</v>
      </c>
      <c r="R758" t="s">
        <v>3459</v>
      </c>
      <c r="S758" t="s">
        <v>5559</v>
      </c>
    </row>
    <row r="759" spans="1:19" x14ac:dyDescent="0.2">
      <c r="A759" t="s">
        <v>2553</v>
      </c>
      <c r="B759" t="s">
        <v>14359</v>
      </c>
      <c r="C759" t="s">
        <v>19691</v>
      </c>
      <c r="D759" t="str">
        <f>_xlfn.XLOOKUP(E759,pathways!$A$2:$A$31,pathways!$B$2:$B$31)</f>
        <v>Lipid metabolism</v>
      </c>
      <c r="E759" t="s">
        <v>3459</v>
      </c>
      <c r="F759" t="s">
        <v>4017</v>
      </c>
      <c r="G759" t="s">
        <v>14360</v>
      </c>
      <c r="H759" t="s">
        <v>14360</v>
      </c>
      <c r="I759" t="s">
        <v>4020</v>
      </c>
      <c r="J759" s="4" t="s">
        <v>4020</v>
      </c>
      <c r="L759" t="s">
        <v>2552</v>
      </c>
      <c r="M759" t="s">
        <v>15873</v>
      </c>
      <c r="N759" t="s">
        <v>3459</v>
      </c>
      <c r="O759" t="s">
        <v>3459</v>
      </c>
      <c r="P759" t="s">
        <v>4017</v>
      </c>
      <c r="Q759" t="s">
        <v>11502</v>
      </c>
      <c r="R759" t="s">
        <v>3459</v>
      </c>
      <c r="S759" t="s">
        <v>3864</v>
      </c>
    </row>
    <row r="760" spans="1:19" x14ac:dyDescent="0.2">
      <c r="A760" t="s">
        <v>2540</v>
      </c>
      <c r="B760" t="s">
        <v>14359</v>
      </c>
      <c r="C760" t="s">
        <v>19684</v>
      </c>
      <c r="D760" t="str">
        <f>_xlfn.XLOOKUP(E760,pathways!$A$2:$A$31,pathways!$B$2:$B$31)</f>
        <v>Lipid metabolism</v>
      </c>
      <c r="E760" t="s">
        <v>3459</v>
      </c>
      <c r="F760" t="s">
        <v>4059</v>
      </c>
      <c r="G760" t="s">
        <v>14360</v>
      </c>
      <c r="H760" t="s">
        <v>14360</v>
      </c>
      <c r="I760" t="s">
        <v>4062</v>
      </c>
      <c r="J760" s="4" t="s">
        <v>4062</v>
      </c>
      <c r="L760" t="s">
        <v>2539</v>
      </c>
      <c r="M760" t="s">
        <v>15855</v>
      </c>
      <c r="N760" t="s">
        <v>3459</v>
      </c>
      <c r="O760" t="s">
        <v>3459</v>
      </c>
      <c r="P760" t="s">
        <v>4059</v>
      </c>
      <c r="Q760" t="s">
        <v>11502</v>
      </c>
      <c r="R760" t="s">
        <v>3459</v>
      </c>
      <c r="S760" t="s">
        <v>4059</v>
      </c>
    </row>
    <row r="761" spans="1:19" x14ac:dyDescent="0.2">
      <c r="A761" t="s">
        <v>14240</v>
      </c>
      <c r="B761" t="s">
        <v>14359</v>
      </c>
      <c r="C761" t="s">
        <v>20048</v>
      </c>
      <c r="D761" t="str">
        <f>_xlfn.XLOOKUP(E761,pathways!$A$2:$A$31,pathways!$B$2:$B$31)</f>
        <v>Lipid metabolism</v>
      </c>
      <c r="E761" t="s">
        <v>3459</v>
      </c>
      <c r="F761" t="s">
        <v>7792</v>
      </c>
      <c r="G761" t="s">
        <v>14360</v>
      </c>
      <c r="H761" t="s">
        <v>14360</v>
      </c>
      <c r="I761" t="s">
        <v>14360</v>
      </c>
      <c r="J761" s="4" t="s">
        <v>12324</v>
      </c>
      <c r="L761" t="s">
        <v>14360</v>
      </c>
      <c r="M761" t="s">
        <v>14360</v>
      </c>
      <c r="N761" t="s">
        <v>14360</v>
      </c>
      <c r="O761" t="s">
        <v>3459</v>
      </c>
      <c r="P761" t="s">
        <v>14360</v>
      </c>
      <c r="Q761" t="s">
        <v>7792</v>
      </c>
      <c r="R761" t="s">
        <v>14360</v>
      </c>
      <c r="S761" t="s">
        <v>3864</v>
      </c>
    </row>
    <row r="762" spans="1:19" x14ac:dyDescent="0.2">
      <c r="A762" t="s">
        <v>14241</v>
      </c>
      <c r="B762" t="s">
        <v>14359</v>
      </c>
      <c r="C762" t="s">
        <v>20049</v>
      </c>
      <c r="D762" t="str">
        <f>_xlfn.XLOOKUP(E762,pathways!$A$2:$A$31,pathways!$B$2:$B$31)</f>
        <v>Lipid metabolism</v>
      </c>
      <c r="E762" t="s">
        <v>3459</v>
      </c>
      <c r="F762" t="s">
        <v>7792</v>
      </c>
      <c r="G762" t="s">
        <v>14360</v>
      </c>
      <c r="H762" t="s">
        <v>14360</v>
      </c>
      <c r="I762" t="s">
        <v>14360</v>
      </c>
      <c r="J762" s="4" t="s">
        <v>12326</v>
      </c>
      <c r="L762" t="s">
        <v>14360</v>
      </c>
      <c r="M762" t="s">
        <v>14360</v>
      </c>
      <c r="N762" t="s">
        <v>14360</v>
      </c>
      <c r="O762" t="s">
        <v>3459</v>
      </c>
      <c r="P762" t="s">
        <v>14360</v>
      </c>
      <c r="Q762" t="s">
        <v>7792</v>
      </c>
      <c r="R762" t="s">
        <v>14360</v>
      </c>
      <c r="S762" t="s">
        <v>4806</v>
      </c>
    </row>
    <row r="763" spans="1:19" x14ac:dyDescent="0.2">
      <c r="A763" t="s">
        <v>14242</v>
      </c>
      <c r="B763" t="s">
        <v>14359</v>
      </c>
      <c r="C763" t="s">
        <v>20050</v>
      </c>
      <c r="D763" t="str">
        <f>_xlfn.XLOOKUP(E763,pathways!$A$2:$A$31,pathways!$B$2:$B$31)</f>
        <v>Lipid metabolism</v>
      </c>
      <c r="E763" t="s">
        <v>3459</v>
      </c>
      <c r="F763" t="s">
        <v>7792</v>
      </c>
      <c r="G763" t="s">
        <v>14360</v>
      </c>
      <c r="H763" t="s">
        <v>14360</v>
      </c>
      <c r="I763" t="s">
        <v>14360</v>
      </c>
      <c r="J763" s="4" t="s">
        <v>12329</v>
      </c>
      <c r="L763" t="s">
        <v>14360</v>
      </c>
      <c r="M763" t="s">
        <v>14360</v>
      </c>
      <c r="N763" t="s">
        <v>14360</v>
      </c>
      <c r="O763" t="s">
        <v>3459</v>
      </c>
      <c r="P763" t="s">
        <v>14360</v>
      </c>
      <c r="Q763" t="s">
        <v>7792</v>
      </c>
      <c r="R763" t="s">
        <v>14360</v>
      </c>
      <c r="S763" t="s">
        <v>14360</v>
      </c>
    </row>
    <row r="764" spans="1:19" x14ac:dyDescent="0.2">
      <c r="A764" t="s">
        <v>2032</v>
      </c>
      <c r="B764" t="s">
        <v>14359</v>
      </c>
      <c r="C764" t="s">
        <v>19497</v>
      </c>
      <c r="D764" t="str">
        <f>_xlfn.XLOOKUP(E764,pathways!$A$2:$A$31,pathways!$B$2:$B$31)</f>
        <v>Lipid metabolism</v>
      </c>
      <c r="E764" t="s">
        <v>3459</v>
      </c>
      <c r="F764" t="s">
        <v>6535</v>
      </c>
      <c r="G764" t="s">
        <v>14360</v>
      </c>
      <c r="H764" t="s">
        <v>14360</v>
      </c>
      <c r="I764" t="s">
        <v>9237</v>
      </c>
      <c r="J764" s="4" t="s">
        <v>9237</v>
      </c>
      <c r="L764" t="s">
        <v>2031</v>
      </c>
      <c r="M764" t="s">
        <v>15335</v>
      </c>
      <c r="N764" t="s">
        <v>3459</v>
      </c>
      <c r="O764" t="s">
        <v>3459</v>
      </c>
      <c r="P764" t="s">
        <v>6535</v>
      </c>
      <c r="Q764" t="s">
        <v>11596</v>
      </c>
      <c r="R764" t="s">
        <v>3459</v>
      </c>
      <c r="S764" t="s">
        <v>3864</v>
      </c>
    </row>
    <row r="765" spans="1:19" x14ac:dyDescent="0.2">
      <c r="A765" t="s">
        <v>13975</v>
      </c>
      <c r="B765" t="s">
        <v>14359</v>
      </c>
      <c r="C765" t="s">
        <v>20051</v>
      </c>
      <c r="D765" t="str">
        <f>_xlfn.XLOOKUP(E765,pathways!$A$2:$A$31,pathways!$B$2:$B$31)</f>
        <v>Lipid metabolism</v>
      </c>
      <c r="E765" t="s">
        <v>3459</v>
      </c>
      <c r="F765" t="s">
        <v>9134</v>
      </c>
      <c r="G765" t="s">
        <v>14360</v>
      </c>
      <c r="H765" t="s">
        <v>14360</v>
      </c>
      <c r="I765" t="s">
        <v>9194</v>
      </c>
      <c r="J765" s="4" t="s">
        <v>14360</v>
      </c>
      <c r="L765" t="s">
        <v>14360</v>
      </c>
      <c r="M765" t="s">
        <v>14360</v>
      </c>
      <c r="N765" t="s">
        <v>3459</v>
      </c>
      <c r="O765" t="s">
        <v>14360</v>
      </c>
      <c r="P765" t="s">
        <v>9134</v>
      </c>
      <c r="Q765" t="s">
        <v>14360</v>
      </c>
      <c r="R765" t="s">
        <v>14360</v>
      </c>
      <c r="S765" t="s">
        <v>3864</v>
      </c>
    </row>
    <row r="766" spans="1:19" x14ac:dyDescent="0.2">
      <c r="A766" t="s">
        <v>1888</v>
      </c>
      <c r="B766" t="s">
        <v>14359</v>
      </c>
      <c r="C766" t="s">
        <v>19431</v>
      </c>
      <c r="D766" t="str">
        <f>_xlfn.XLOOKUP(E766,pathways!$A$2:$A$31,pathways!$B$2:$B$31)</f>
        <v>Lipid metabolism</v>
      </c>
      <c r="E766" t="s">
        <v>3459</v>
      </c>
      <c r="F766" t="s">
        <v>8860</v>
      </c>
      <c r="G766" t="s">
        <v>14360</v>
      </c>
      <c r="H766" t="s">
        <v>14360</v>
      </c>
      <c r="I766" t="s">
        <v>8863</v>
      </c>
      <c r="J766" s="4" t="s">
        <v>8863</v>
      </c>
      <c r="L766" t="s">
        <v>1887</v>
      </c>
      <c r="M766" t="s">
        <v>15189</v>
      </c>
      <c r="N766" t="s">
        <v>3459</v>
      </c>
      <c r="O766" t="s">
        <v>3459</v>
      </c>
      <c r="P766" t="s">
        <v>8860</v>
      </c>
      <c r="Q766" t="s">
        <v>8860</v>
      </c>
      <c r="R766" t="s">
        <v>3459</v>
      </c>
      <c r="S766" t="s">
        <v>14360</v>
      </c>
    </row>
    <row r="767" spans="1:19" x14ac:dyDescent="0.2">
      <c r="A767" t="s">
        <v>13801</v>
      </c>
      <c r="B767" t="s">
        <v>14359</v>
      </c>
      <c r="C767" t="s">
        <v>20052</v>
      </c>
      <c r="D767" t="str">
        <f>_xlfn.XLOOKUP(E767,pathways!$A$2:$A$31,pathways!$B$2:$B$31)</f>
        <v>Lipid metabolism</v>
      </c>
      <c r="E767" t="s">
        <v>3459</v>
      </c>
      <c r="F767" t="s">
        <v>4774</v>
      </c>
      <c r="G767" t="s">
        <v>14360</v>
      </c>
      <c r="H767" t="s">
        <v>14360</v>
      </c>
      <c r="I767" t="s">
        <v>4985</v>
      </c>
      <c r="J767" s="4" t="s">
        <v>14360</v>
      </c>
      <c r="L767" t="s">
        <v>14360</v>
      </c>
      <c r="M767" t="s">
        <v>14360</v>
      </c>
      <c r="N767" t="s">
        <v>3459</v>
      </c>
      <c r="O767" t="s">
        <v>14360</v>
      </c>
      <c r="P767" t="s">
        <v>4774</v>
      </c>
      <c r="Q767" t="s">
        <v>14360</v>
      </c>
      <c r="R767" t="s">
        <v>14360</v>
      </c>
      <c r="S767" t="s">
        <v>3498</v>
      </c>
    </row>
    <row r="768" spans="1:19" x14ac:dyDescent="0.2">
      <c r="A768" t="s">
        <v>1586</v>
      </c>
      <c r="B768" t="s">
        <v>14359</v>
      </c>
      <c r="C768" t="s">
        <v>19333</v>
      </c>
      <c r="D768" t="str">
        <f>_xlfn.XLOOKUP(E768,pathways!$A$2:$A$31,pathways!$B$2:$B$31)</f>
        <v>Lipid metabolism</v>
      </c>
      <c r="E768" t="s">
        <v>3459</v>
      </c>
      <c r="F768" t="s">
        <v>814</v>
      </c>
      <c r="G768" t="s">
        <v>14360</v>
      </c>
      <c r="H768" t="s">
        <v>14360</v>
      </c>
      <c r="I768" t="s">
        <v>7271</v>
      </c>
      <c r="J768" s="4" t="s">
        <v>7271</v>
      </c>
      <c r="L768" t="s">
        <v>1585</v>
      </c>
      <c r="M768" t="s">
        <v>14873</v>
      </c>
      <c r="N768" t="s">
        <v>3459</v>
      </c>
      <c r="O768" t="s">
        <v>3459</v>
      </c>
      <c r="P768" t="s">
        <v>814</v>
      </c>
      <c r="Q768" t="s">
        <v>814</v>
      </c>
      <c r="R768" t="s">
        <v>3459</v>
      </c>
      <c r="S768" t="s">
        <v>5559</v>
      </c>
    </row>
    <row r="769" spans="1:19" x14ac:dyDescent="0.2">
      <c r="A769" t="s">
        <v>14243</v>
      </c>
      <c r="B769" t="s">
        <v>14359</v>
      </c>
      <c r="C769" t="s">
        <v>20053</v>
      </c>
      <c r="D769" t="str">
        <f>_xlfn.XLOOKUP(E769,pathways!$A$2:$A$31,pathways!$B$2:$B$31)</f>
        <v>Lipid metabolism</v>
      </c>
      <c r="E769" t="s">
        <v>3459</v>
      </c>
      <c r="F769" t="s">
        <v>7792</v>
      </c>
      <c r="G769" t="s">
        <v>14360</v>
      </c>
      <c r="H769" t="s">
        <v>14360</v>
      </c>
      <c r="I769" t="s">
        <v>14360</v>
      </c>
      <c r="J769" s="4" t="s">
        <v>12334</v>
      </c>
      <c r="L769" t="s">
        <v>14360</v>
      </c>
      <c r="M769" t="s">
        <v>14360</v>
      </c>
      <c r="N769" t="s">
        <v>14360</v>
      </c>
      <c r="O769" t="s">
        <v>3459</v>
      </c>
      <c r="P769" t="s">
        <v>14360</v>
      </c>
      <c r="Q769" t="s">
        <v>7792</v>
      </c>
      <c r="R769" t="s">
        <v>14360</v>
      </c>
      <c r="S769" t="s">
        <v>3864</v>
      </c>
    </row>
    <row r="770" spans="1:19" x14ac:dyDescent="0.2">
      <c r="A770" t="s">
        <v>14244</v>
      </c>
      <c r="B770" t="s">
        <v>14359</v>
      </c>
      <c r="C770" t="s">
        <v>20054</v>
      </c>
      <c r="D770" t="str">
        <f>_xlfn.XLOOKUP(E770,pathways!$A$2:$A$31,pathways!$B$2:$B$31)</f>
        <v>Lipid metabolism</v>
      </c>
      <c r="E770" t="s">
        <v>3459</v>
      </c>
      <c r="F770" t="s">
        <v>7792</v>
      </c>
      <c r="G770" t="s">
        <v>14360</v>
      </c>
      <c r="H770" t="s">
        <v>14360</v>
      </c>
      <c r="I770" t="s">
        <v>14360</v>
      </c>
      <c r="J770" s="4" t="s">
        <v>12337</v>
      </c>
      <c r="L770" t="s">
        <v>14360</v>
      </c>
      <c r="M770" t="s">
        <v>14360</v>
      </c>
      <c r="N770" t="s">
        <v>14360</v>
      </c>
      <c r="O770" t="s">
        <v>3459</v>
      </c>
      <c r="P770" t="s">
        <v>14360</v>
      </c>
      <c r="Q770" t="s">
        <v>7792</v>
      </c>
      <c r="R770" t="s">
        <v>14360</v>
      </c>
      <c r="S770" t="s">
        <v>14360</v>
      </c>
    </row>
    <row r="771" spans="1:19" x14ac:dyDescent="0.2">
      <c r="A771" t="s">
        <v>14245</v>
      </c>
      <c r="B771" t="s">
        <v>14359</v>
      </c>
      <c r="C771" t="s">
        <v>20055</v>
      </c>
      <c r="D771" t="str">
        <f>_xlfn.XLOOKUP(E771,pathways!$A$2:$A$31,pathways!$B$2:$B$31)</f>
        <v>Lipid metabolism</v>
      </c>
      <c r="E771" t="s">
        <v>3459</v>
      </c>
      <c r="F771" t="s">
        <v>7792</v>
      </c>
      <c r="G771" t="s">
        <v>14360</v>
      </c>
      <c r="H771" t="s">
        <v>14360</v>
      </c>
      <c r="I771" t="s">
        <v>14360</v>
      </c>
      <c r="J771" s="4" t="s">
        <v>12339</v>
      </c>
      <c r="L771" t="s">
        <v>14360</v>
      </c>
      <c r="M771" t="s">
        <v>14360</v>
      </c>
      <c r="N771" t="s">
        <v>14360</v>
      </c>
      <c r="O771" t="s">
        <v>3459</v>
      </c>
      <c r="P771" t="s">
        <v>14360</v>
      </c>
      <c r="Q771" t="s">
        <v>7792</v>
      </c>
      <c r="R771" t="s">
        <v>14360</v>
      </c>
      <c r="S771" t="s">
        <v>14360</v>
      </c>
    </row>
    <row r="772" spans="1:19" x14ac:dyDescent="0.2">
      <c r="A772" t="s">
        <v>14246</v>
      </c>
      <c r="B772" t="s">
        <v>14359</v>
      </c>
      <c r="C772" t="s">
        <v>20056</v>
      </c>
      <c r="D772" t="str">
        <f>_xlfn.XLOOKUP(E772,pathways!$A$2:$A$31,pathways!$B$2:$B$31)</f>
        <v>Lipid metabolism</v>
      </c>
      <c r="E772" t="s">
        <v>3459</v>
      </c>
      <c r="F772" t="s">
        <v>7792</v>
      </c>
      <c r="G772" t="s">
        <v>14360</v>
      </c>
      <c r="H772" t="s">
        <v>14360</v>
      </c>
      <c r="I772" t="s">
        <v>14360</v>
      </c>
      <c r="J772" s="4" t="s">
        <v>12342</v>
      </c>
      <c r="L772" t="s">
        <v>14360</v>
      </c>
      <c r="M772" t="s">
        <v>14360</v>
      </c>
      <c r="N772" t="s">
        <v>14360</v>
      </c>
      <c r="O772" t="s">
        <v>3459</v>
      </c>
      <c r="P772" t="s">
        <v>14360</v>
      </c>
      <c r="Q772" t="s">
        <v>7792</v>
      </c>
      <c r="R772" t="s">
        <v>14360</v>
      </c>
      <c r="S772" t="s">
        <v>14360</v>
      </c>
    </row>
    <row r="773" spans="1:19" x14ac:dyDescent="0.2">
      <c r="A773" t="s">
        <v>14247</v>
      </c>
      <c r="B773" t="s">
        <v>14359</v>
      </c>
      <c r="C773" t="s">
        <v>20057</v>
      </c>
      <c r="D773" t="str">
        <f>_xlfn.XLOOKUP(E773,pathways!$A$2:$A$31,pathways!$B$2:$B$31)</f>
        <v>Lipid metabolism</v>
      </c>
      <c r="E773" t="s">
        <v>3459</v>
      </c>
      <c r="F773" t="s">
        <v>7792</v>
      </c>
      <c r="G773" t="s">
        <v>14360</v>
      </c>
      <c r="H773" t="s">
        <v>14360</v>
      </c>
      <c r="I773" t="s">
        <v>14360</v>
      </c>
      <c r="J773" s="4" t="s">
        <v>12345</v>
      </c>
      <c r="L773" t="s">
        <v>14360</v>
      </c>
      <c r="M773" t="s">
        <v>14360</v>
      </c>
      <c r="N773" t="s">
        <v>14360</v>
      </c>
      <c r="O773" t="s">
        <v>3459</v>
      </c>
      <c r="P773" t="s">
        <v>14360</v>
      </c>
      <c r="Q773" t="s">
        <v>7792</v>
      </c>
      <c r="R773" t="s">
        <v>14360</v>
      </c>
      <c r="S773" t="s">
        <v>14360</v>
      </c>
    </row>
    <row r="774" spans="1:19" x14ac:dyDescent="0.2">
      <c r="A774" t="s">
        <v>14248</v>
      </c>
      <c r="B774" t="s">
        <v>14359</v>
      </c>
      <c r="C774" t="s">
        <v>20058</v>
      </c>
      <c r="D774" t="str">
        <f>_xlfn.XLOOKUP(E774,pathways!$A$2:$A$31,pathways!$B$2:$B$31)</f>
        <v>Lipid metabolism</v>
      </c>
      <c r="E774" t="s">
        <v>3459</v>
      </c>
      <c r="F774" t="s">
        <v>7792</v>
      </c>
      <c r="G774" t="s">
        <v>14360</v>
      </c>
      <c r="H774" t="s">
        <v>14360</v>
      </c>
      <c r="I774" t="s">
        <v>14360</v>
      </c>
      <c r="J774" s="4" t="s">
        <v>12348</v>
      </c>
      <c r="L774" t="s">
        <v>14360</v>
      </c>
      <c r="M774" t="s">
        <v>14360</v>
      </c>
      <c r="N774" t="s">
        <v>14360</v>
      </c>
      <c r="O774" t="s">
        <v>3459</v>
      </c>
      <c r="P774" t="s">
        <v>14360</v>
      </c>
      <c r="Q774" t="s">
        <v>7792</v>
      </c>
      <c r="R774" t="s">
        <v>14360</v>
      </c>
      <c r="S774" t="s">
        <v>14360</v>
      </c>
    </row>
    <row r="775" spans="1:19" x14ac:dyDescent="0.2">
      <c r="A775" t="s">
        <v>14249</v>
      </c>
      <c r="B775" t="s">
        <v>14359</v>
      </c>
      <c r="C775" t="s">
        <v>20059</v>
      </c>
      <c r="D775" t="str">
        <f>_xlfn.XLOOKUP(E775,pathways!$A$2:$A$31,pathways!$B$2:$B$31)</f>
        <v>Lipid metabolism</v>
      </c>
      <c r="E775" t="s">
        <v>3459</v>
      </c>
      <c r="F775" t="s">
        <v>7792</v>
      </c>
      <c r="G775" t="s">
        <v>14360</v>
      </c>
      <c r="H775" t="s">
        <v>14360</v>
      </c>
      <c r="I775" t="s">
        <v>14360</v>
      </c>
      <c r="J775" s="4" t="s">
        <v>12350</v>
      </c>
      <c r="L775" t="s">
        <v>14360</v>
      </c>
      <c r="M775" t="s">
        <v>14360</v>
      </c>
      <c r="N775" t="s">
        <v>14360</v>
      </c>
      <c r="O775" t="s">
        <v>3459</v>
      </c>
      <c r="P775" t="s">
        <v>14360</v>
      </c>
      <c r="Q775" t="s">
        <v>7792</v>
      </c>
      <c r="R775" t="s">
        <v>14360</v>
      </c>
      <c r="S775" t="s">
        <v>14360</v>
      </c>
    </row>
    <row r="776" spans="1:19" x14ac:dyDescent="0.2">
      <c r="A776" t="s">
        <v>14250</v>
      </c>
      <c r="B776" t="s">
        <v>14359</v>
      </c>
      <c r="C776" t="s">
        <v>20060</v>
      </c>
      <c r="D776" t="str">
        <f>_xlfn.XLOOKUP(E776,pathways!$A$2:$A$31,pathways!$B$2:$B$31)</f>
        <v>Lipid metabolism</v>
      </c>
      <c r="E776" t="s">
        <v>3459</v>
      </c>
      <c r="F776" t="s">
        <v>7792</v>
      </c>
      <c r="G776" t="s">
        <v>14360</v>
      </c>
      <c r="H776" t="s">
        <v>14360</v>
      </c>
      <c r="I776" t="s">
        <v>14360</v>
      </c>
      <c r="J776" s="4" t="s">
        <v>12352</v>
      </c>
      <c r="L776" t="s">
        <v>14360</v>
      </c>
      <c r="M776" t="s">
        <v>14360</v>
      </c>
      <c r="N776" t="s">
        <v>14360</v>
      </c>
      <c r="O776" t="s">
        <v>3459</v>
      </c>
      <c r="P776" t="s">
        <v>14360</v>
      </c>
      <c r="Q776" t="s">
        <v>7792</v>
      </c>
      <c r="R776" t="s">
        <v>14360</v>
      </c>
      <c r="S776" t="s">
        <v>14360</v>
      </c>
    </row>
    <row r="777" spans="1:19" x14ac:dyDescent="0.2">
      <c r="A777" t="s">
        <v>14251</v>
      </c>
      <c r="B777" t="s">
        <v>14359</v>
      </c>
      <c r="C777" t="s">
        <v>20061</v>
      </c>
      <c r="D777" t="str">
        <f>_xlfn.XLOOKUP(E777,pathways!$A$2:$A$31,pathways!$B$2:$B$31)</f>
        <v>Lipid metabolism</v>
      </c>
      <c r="E777" t="s">
        <v>3459</v>
      </c>
      <c r="F777" t="s">
        <v>7792</v>
      </c>
      <c r="G777" t="s">
        <v>14360</v>
      </c>
      <c r="H777" t="s">
        <v>14360</v>
      </c>
      <c r="I777" t="s">
        <v>14360</v>
      </c>
      <c r="J777" s="4" t="s">
        <v>12355</v>
      </c>
      <c r="L777" t="s">
        <v>14360</v>
      </c>
      <c r="M777" t="s">
        <v>14360</v>
      </c>
      <c r="N777" t="s">
        <v>14360</v>
      </c>
      <c r="O777" t="s">
        <v>3459</v>
      </c>
      <c r="P777" t="s">
        <v>14360</v>
      </c>
      <c r="Q777" t="s">
        <v>7792</v>
      </c>
      <c r="R777" t="s">
        <v>14360</v>
      </c>
      <c r="S777" t="s">
        <v>14360</v>
      </c>
    </row>
    <row r="778" spans="1:19" x14ac:dyDescent="0.2">
      <c r="A778" t="s">
        <v>14252</v>
      </c>
      <c r="B778" t="s">
        <v>14359</v>
      </c>
      <c r="C778" t="s">
        <v>20062</v>
      </c>
      <c r="D778" t="str">
        <f>_xlfn.XLOOKUP(E778,pathways!$A$2:$A$31,pathways!$B$2:$B$31)</f>
        <v>Lipid metabolism</v>
      </c>
      <c r="E778" t="s">
        <v>3459</v>
      </c>
      <c r="F778" t="s">
        <v>7792</v>
      </c>
      <c r="G778" t="s">
        <v>14360</v>
      </c>
      <c r="H778" t="s">
        <v>14360</v>
      </c>
      <c r="I778" t="s">
        <v>14360</v>
      </c>
      <c r="J778" s="4" t="s">
        <v>12359</v>
      </c>
      <c r="L778" t="s">
        <v>14360</v>
      </c>
      <c r="M778" t="s">
        <v>14360</v>
      </c>
      <c r="N778" t="s">
        <v>14360</v>
      </c>
      <c r="O778" t="s">
        <v>3459</v>
      </c>
      <c r="P778" t="s">
        <v>14360</v>
      </c>
      <c r="Q778" t="s">
        <v>7792</v>
      </c>
      <c r="R778" t="s">
        <v>14360</v>
      </c>
      <c r="S778" t="s">
        <v>14360</v>
      </c>
    </row>
    <row r="779" spans="1:19" x14ac:dyDescent="0.2">
      <c r="A779" t="s">
        <v>14253</v>
      </c>
      <c r="B779" t="s">
        <v>14359</v>
      </c>
      <c r="C779" t="s">
        <v>20063</v>
      </c>
      <c r="D779" t="str">
        <f>_xlfn.XLOOKUP(E779,pathways!$A$2:$A$31,pathways!$B$2:$B$31)</f>
        <v>Lipid metabolism</v>
      </c>
      <c r="E779" t="s">
        <v>3459</v>
      </c>
      <c r="F779" t="s">
        <v>7792</v>
      </c>
      <c r="G779" t="s">
        <v>14360</v>
      </c>
      <c r="H779" t="s">
        <v>14360</v>
      </c>
      <c r="I779" t="s">
        <v>14360</v>
      </c>
      <c r="J779" s="4" t="s">
        <v>12361</v>
      </c>
      <c r="L779" t="s">
        <v>14360</v>
      </c>
      <c r="M779" t="s">
        <v>14360</v>
      </c>
      <c r="N779" t="s">
        <v>14360</v>
      </c>
      <c r="O779" t="s">
        <v>3459</v>
      </c>
      <c r="P779" t="s">
        <v>14360</v>
      </c>
      <c r="Q779" t="s">
        <v>7792</v>
      </c>
      <c r="R779" t="s">
        <v>14360</v>
      </c>
      <c r="S779" t="s">
        <v>14360</v>
      </c>
    </row>
    <row r="780" spans="1:19" x14ac:dyDescent="0.2">
      <c r="A780" t="s">
        <v>14254</v>
      </c>
      <c r="B780" t="s">
        <v>14359</v>
      </c>
      <c r="C780" t="s">
        <v>20064</v>
      </c>
      <c r="D780" t="str">
        <f>_xlfn.XLOOKUP(E780,pathways!$A$2:$A$31,pathways!$B$2:$B$31)</f>
        <v>Lipid metabolism</v>
      </c>
      <c r="E780" t="s">
        <v>3459</v>
      </c>
      <c r="F780" t="s">
        <v>7792</v>
      </c>
      <c r="G780" t="s">
        <v>14360</v>
      </c>
      <c r="H780" t="s">
        <v>14360</v>
      </c>
      <c r="I780" t="s">
        <v>14360</v>
      </c>
      <c r="J780" s="4" t="s">
        <v>12364</v>
      </c>
      <c r="L780" t="s">
        <v>14360</v>
      </c>
      <c r="M780" t="s">
        <v>14360</v>
      </c>
      <c r="N780" t="s">
        <v>14360</v>
      </c>
      <c r="O780" t="s">
        <v>3459</v>
      </c>
      <c r="P780" t="s">
        <v>14360</v>
      </c>
      <c r="Q780" t="s">
        <v>7792</v>
      </c>
      <c r="R780" t="s">
        <v>14360</v>
      </c>
      <c r="S780" t="s">
        <v>14360</v>
      </c>
    </row>
    <row r="781" spans="1:19" x14ac:dyDescent="0.2">
      <c r="A781" t="s">
        <v>14077</v>
      </c>
      <c r="B781" t="s">
        <v>14359</v>
      </c>
      <c r="C781" t="s">
        <v>19587</v>
      </c>
      <c r="D781" t="str">
        <f>_xlfn.XLOOKUP(E781,pathways!$A$2:$A$31,pathways!$B$2:$B$31)</f>
        <v>Lipid metabolism</v>
      </c>
      <c r="E781" t="s">
        <v>3459</v>
      </c>
      <c r="F781" t="s">
        <v>10101</v>
      </c>
      <c r="G781" t="s">
        <v>14360</v>
      </c>
      <c r="H781" t="s">
        <v>14360</v>
      </c>
      <c r="I781" t="s">
        <v>10104</v>
      </c>
      <c r="J781" s="4" t="s">
        <v>14360</v>
      </c>
      <c r="L781" t="s">
        <v>2270</v>
      </c>
      <c r="M781" t="s">
        <v>15567</v>
      </c>
      <c r="N781" t="s">
        <v>3459</v>
      </c>
      <c r="O781" t="s">
        <v>14360</v>
      </c>
      <c r="P781" t="s">
        <v>10101</v>
      </c>
      <c r="Q781" t="s">
        <v>14360</v>
      </c>
      <c r="R781" t="s">
        <v>3459</v>
      </c>
      <c r="S781" t="s">
        <v>14360</v>
      </c>
    </row>
    <row r="782" spans="1:19" x14ac:dyDescent="0.2">
      <c r="A782" t="s">
        <v>1183</v>
      </c>
      <c r="B782" t="s">
        <v>14359</v>
      </c>
      <c r="C782" t="s">
        <v>19205</v>
      </c>
      <c r="D782" t="str">
        <f>_xlfn.XLOOKUP(E782,pathways!$A$2:$A$31,pathways!$B$2:$B$31)</f>
        <v>Lipid metabolism</v>
      </c>
      <c r="E782" t="s">
        <v>3459</v>
      </c>
      <c r="F782" t="s">
        <v>5526</v>
      </c>
      <c r="G782" t="s">
        <v>14360</v>
      </c>
      <c r="H782" t="s">
        <v>14360</v>
      </c>
      <c r="I782" t="s">
        <v>5529</v>
      </c>
      <c r="J782" s="4" t="s">
        <v>5529</v>
      </c>
      <c r="L782" t="s">
        <v>1182</v>
      </c>
      <c r="M782" t="s">
        <v>14454</v>
      </c>
      <c r="N782" t="s">
        <v>3459</v>
      </c>
      <c r="O782" t="s">
        <v>3459</v>
      </c>
      <c r="P782" t="s">
        <v>5526</v>
      </c>
      <c r="Q782" t="s">
        <v>11596</v>
      </c>
      <c r="R782" t="s">
        <v>3459</v>
      </c>
      <c r="S782" t="s">
        <v>14360</v>
      </c>
    </row>
    <row r="783" spans="1:19" x14ac:dyDescent="0.2">
      <c r="A783" t="s">
        <v>1959</v>
      </c>
      <c r="B783" t="s">
        <v>14359</v>
      </c>
      <c r="C783" t="s">
        <v>19462</v>
      </c>
      <c r="D783" t="str">
        <f>_xlfn.XLOOKUP(E783,pathways!$A$2:$A$31,pathways!$B$2:$B$31)</f>
        <v>Lipid metabolism</v>
      </c>
      <c r="E783" t="s">
        <v>3459</v>
      </c>
      <c r="F783" t="s">
        <v>9134</v>
      </c>
      <c r="G783" t="s">
        <v>14360</v>
      </c>
      <c r="H783" t="s">
        <v>14360</v>
      </c>
      <c r="I783" t="s">
        <v>9137</v>
      </c>
      <c r="J783" s="4" t="s">
        <v>9137</v>
      </c>
      <c r="L783" t="s">
        <v>1958</v>
      </c>
      <c r="M783" t="s">
        <v>15259</v>
      </c>
      <c r="N783" t="s">
        <v>3459</v>
      </c>
      <c r="O783" t="s">
        <v>3459</v>
      </c>
      <c r="P783" t="s">
        <v>9134</v>
      </c>
      <c r="Q783" t="s">
        <v>9134</v>
      </c>
      <c r="R783" t="s">
        <v>3459</v>
      </c>
      <c r="S783" t="s">
        <v>14360</v>
      </c>
    </row>
    <row r="784" spans="1:19" x14ac:dyDescent="0.2">
      <c r="A784" t="s">
        <v>2653</v>
      </c>
      <c r="B784" t="s">
        <v>14359</v>
      </c>
      <c r="C784" t="s">
        <v>19738</v>
      </c>
      <c r="D784" t="str">
        <f>_xlfn.XLOOKUP(E784,pathways!$A$2:$A$31,pathways!$B$2:$B$31)</f>
        <v>Lipid metabolism</v>
      </c>
      <c r="E784" t="s">
        <v>3459</v>
      </c>
      <c r="F784" t="s">
        <v>4017</v>
      </c>
      <c r="G784" t="s">
        <v>14360</v>
      </c>
      <c r="H784" t="s">
        <v>14360</v>
      </c>
      <c r="I784" t="s">
        <v>4513</v>
      </c>
      <c r="J784" s="4" t="s">
        <v>4513</v>
      </c>
      <c r="L784" t="s">
        <v>2652</v>
      </c>
      <c r="M784" t="s">
        <v>15991</v>
      </c>
      <c r="N784" t="s">
        <v>3459</v>
      </c>
      <c r="O784" t="s">
        <v>3459</v>
      </c>
      <c r="P784" t="s">
        <v>4017</v>
      </c>
      <c r="Q784" t="s">
        <v>11502</v>
      </c>
      <c r="R784" t="s">
        <v>3459</v>
      </c>
      <c r="S784" t="s">
        <v>14360</v>
      </c>
    </row>
    <row r="785" spans="1:19" x14ac:dyDescent="0.2">
      <c r="A785" t="s">
        <v>2343</v>
      </c>
      <c r="B785" t="s">
        <v>14359</v>
      </c>
      <c r="C785" t="s">
        <v>19617</v>
      </c>
      <c r="D785" t="str">
        <f>_xlfn.XLOOKUP(E785,pathways!$A$2:$A$31,pathways!$B$2:$B$31)</f>
        <v>Lipid metabolism</v>
      </c>
      <c r="E785" t="s">
        <v>3459</v>
      </c>
      <c r="F785" t="s">
        <v>3758</v>
      </c>
      <c r="G785" t="s">
        <v>14360</v>
      </c>
      <c r="H785" t="s">
        <v>14360</v>
      </c>
      <c r="I785" t="s">
        <v>4585</v>
      </c>
      <c r="J785" s="4" t="s">
        <v>4585</v>
      </c>
      <c r="L785" t="s">
        <v>2342</v>
      </c>
      <c r="M785" t="s">
        <v>15641</v>
      </c>
      <c r="N785" t="s">
        <v>3459</v>
      </c>
      <c r="O785" t="s">
        <v>3459</v>
      </c>
      <c r="P785" t="s">
        <v>3758</v>
      </c>
      <c r="Q785" t="s">
        <v>3758</v>
      </c>
      <c r="R785" t="s">
        <v>3459</v>
      </c>
      <c r="S785" t="s">
        <v>14360</v>
      </c>
    </row>
    <row r="786" spans="1:19" x14ac:dyDescent="0.2">
      <c r="A786" t="s">
        <v>14078</v>
      </c>
      <c r="B786" t="s">
        <v>14359</v>
      </c>
      <c r="C786" t="s">
        <v>19584</v>
      </c>
      <c r="D786" t="str">
        <f>_xlfn.XLOOKUP(E786,pathways!$A$2:$A$31,pathways!$B$2:$B$31)</f>
        <v>Lipid metabolism</v>
      </c>
      <c r="E786" t="s">
        <v>3459</v>
      </c>
      <c r="F786" t="s">
        <v>4991</v>
      </c>
      <c r="G786" t="s">
        <v>14360</v>
      </c>
      <c r="H786" t="s">
        <v>14360</v>
      </c>
      <c r="I786" t="s">
        <v>10107</v>
      </c>
      <c r="J786" s="4" t="s">
        <v>14360</v>
      </c>
      <c r="L786" t="s">
        <v>2264</v>
      </c>
      <c r="M786" t="s">
        <v>15562</v>
      </c>
      <c r="N786" t="s">
        <v>3459</v>
      </c>
      <c r="O786" t="s">
        <v>14360</v>
      </c>
      <c r="P786" t="s">
        <v>4991</v>
      </c>
      <c r="Q786" t="s">
        <v>14360</v>
      </c>
      <c r="R786" t="s">
        <v>3459</v>
      </c>
      <c r="S786" t="s">
        <v>14360</v>
      </c>
    </row>
    <row r="787" spans="1:19" x14ac:dyDescent="0.2">
      <c r="A787" t="s">
        <v>13807</v>
      </c>
      <c r="B787" t="s">
        <v>14359</v>
      </c>
      <c r="C787" t="s">
        <v>20120</v>
      </c>
      <c r="D787" t="str">
        <f>_xlfn.XLOOKUP(E787,pathways!$A$2:$A$31,pathways!$B$2:$B$31)</f>
        <v>Lipid metabolism</v>
      </c>
      <c r="E787" t="s">
        <v>3459</v>
      </c>
      <c r="F787" t="s">
        <v>3873</v>
      </c>
      <c r="G787" t="s">
        <v>14360</v>
      </c>
      <c r="H787" t="s">
        <v>14360</v>
      </c>
      <c r="I787" t="s">
        <v>5241</v>
      </c>
      <c r="J787" s="4" t="s">
        <v>14360</v>
      </c>
      <c r="L787" t="s">
        <v>14360</v>
      </c>
      <c r="M787" t="s">
        <v>14360</v>
      </c>
      <c r="N787" t="s">
        <v>3459</v>
      </c>
      <c r="O787" t="s">
        <v>14360</v>
      </c>
      <c r="P787" t="s">
        <v>3873</v>
      </c>
      <c r="Q787" t="s">
        <v>14360</v>
      </c>
      <c r="R787" t="s">
        <v>14360</v>
      </c>
      <c r="S787" t="s">
        <v>3906</v>
      </c>
    </row>
    <row r="788" spans="1:19" x14ac:dyDescent="0.2">
      <c r="A788" t="s">
        <v>1665</v>
      </c>
      <c r="B788" t="s">
        <v>14359</v>
      </c>
      <c r="C788" t="s">
        <v>19361</v>
      </c>
      <c r="D788" t="str">
        <f>_xlfn.XLOOKUP(E788,pathways!$A$2:$A$31,pathways!$B$2:$B$31)</f>
        <v>Lipid metabolism</v>
      </c>
      <c r="E788" t="s">
        <v>3459</v>
      </c>
      <c r="F788" t="s">
        <v>7133</v>
      </c>
      <c r="G788" t="s">
        <v>14360</v>
      </c>
      <c r="H788" t="s">
        <v>14360</v>
      </c>
      <c r="I788" t="s">
        <v>7925</v>
      </c>
      <c r="J788" s="4" t="s">
        <v>7925</v>
      </c>
      <c r="L788" t="s">
        <v>1664</v>
      </c>
      <c r="M788" t="s">
        <v>14955</v>
      </c>
      <c r="N788" t="s">
        <v>3459</v>
      </c>
      <c r="O788" t="s">
        <v>3459</v>
      </c>
      <c r="P788" t="s">
        <v>7133</v>
      </c>
      <c r="Q788" t="s">
        <v>7133</v>
      </c>
      <c r="R788" t="s">
        <v>3459</v>
      </c>
    </row>
    <row r="789" spans="1:19" x14ac:dyDescent="0.2">
      <c r="A789" t="s">
        <v>13948</v>
      </c>
      <c r="B789" t="s">
        <v>14359</v>
      </c>
      <c r="C789" t="s">
        <v>20071</v>
      </c>
      <c r="D789" t="str">
        <f>_xlfn.XLOOKUP(E789,pathways!$A$2:$A$31,pathways!$B$2:$B$31)</f>
        <v>Lipid metabolism</v>
      </c>
      <c r="E789" t="s">
        <v>3459</v>
      </c>
      <c r="F789" t="s">
        <v>7133</v>
      </c>
      <c r="G789" t="s">
        <v>14360</v>
      </c>
      <c r="H789" t="s">
        <v>14360</v>
      </c>
      <c r="I789" t="s">
        <v>8492</v>
      </c>
      <c r="J789" s="4" t="s">
        <v>14360</v>
      </c>
      <c r="L789" t="s">
        <v>14360</v>
      </c>
      <c r="M789" t="s">
        <v>14360</v>
      </c>
      <c r="N789" t="s">
        <v>3459</v>
      </c>
      <c r="O789" t="s">
        <v>14360</v>
      </c>
      <c r="P789" t="s">
        <v>7133</v>
      </c>
      <c r="Q789" t="s">
        <v>14360</v>
      </c>
      <c r="R789" t="s">
        <v>14360</v>
      </c>
    </row>
    <row r="790" spans="1:19" x14ac:dyDescent="0.2">
      <c r="A790" t="s">
        <v>1517</v>
      </c>
      <c r="B790" t="s">
        <v>14359</v>
      </c>
      <c r="C790" t="s">
        <v>19316</v>
      </c>
      <c r="D790" t="str">
        <f>_xlfn.XLOOKUP(E790,pathways!$A$2:$A$31,pathways!$B$2:$B$31)</f>
        <v>Lipid metabolism</v>
      </c>
      <c r="E790" t="s">
        <v>3459</v>
      </c>
      <c r="F790" t="s">
        <v>7151</v>
      </c>
      <c r="G790" t="s">
        <v>14360</v>
      </c>
      <c r="H790" t="s">
        <v>14360</v>
      </c>
      <c r="I790" t="s">
        <v>7154</v>
      </c>
      <c r="J790" s="4" t="s">
        <v>7154</v>
      </c>
      <c r="L790" t="s">
        <v>1516</v>
      </c>
      <c r="M790" t="s">
        <v>14802</v>
      </c>
      <c r="N790" t="s">
        <v>3459</v>
      </c>
      <c r="O790" t="s">
        <v>3459</v>
      </c>
      <c r="P790" t="s">
        <v>7151</v>
      </c>
      <c r="Q790" t="s">
        <v>7151</v>
      </c>
      <c r="R790" t="s">
        <v>3459</v>
      </c>
    </row>
    <row r="791" spans="1:19" x14ac:dyDescent="0.2">
      <c r="A791" t="s">
        <v>1557</v>
      </c>
      <c r="B791" t="s">
        <v>14359</v>
      </c>
      <c r="C791" t="s">
        <v>19326</v>
      </c>
      <c r="D791" t="str">
        <f>_xlfn.XLOOKUP(E791,pathways!$A$2:$A$31,pathways!$B$2:$B$31)</f>
        <v>Lipid metabolism</v>
      </c>
      <c r="E791" t="s">
        <v>3459</v>
      </c>
      <c r="F791" t="s">
        <v>7151</v>
      </c>
      <c r="G791" t="s">
        <v>20442</v>
      </c>
      <c r="H791" t="s">
        <v>14360</v>
      </c>
      <c r="I791" t="s">
        <v>7226</v>
      </c>
      <c r="J791" s="4" t="s">
        <v>7226</v>
      </c>
      <c r="L791" t="s">
        <v>1556</v>
      </c>
      <c r="M791" t="s">
        <v>14843</v>
      </c>
      <c r="N791" t="s">
        <v>3459</v>
      </c>
      <c r="O791" t="s">
        <v>3459</v>
      </c>
      <c r="P791" t="s">
        <v>7151</v>
      </c>
      <c r="Q791" t="s">
        <v>7151</v>
      </c>
      <c r="R791" t="s">
        <v>3459</v>
      </c>
    </row>
    <row r="792" spans="1:19" x14ac:dyDescent="0.2">
      <c r="A792" t="s">
        <v>14071</v>
      </c>
      <c r="B792" t="s">
        <v>14359</v>
      </c>
      <c r="C792" t="s">
        <v>19588</v>
      </c>
      <c r="D792" t="str">
        <f>_xlfn.XLOOKUP(E792,pathways!$A$2:$A$31,pathways!$B$2:$B$31)</f>
        <v>Lipid metabolism</v>
      </c>
      <c r="E792" t="s">
        <v>3459</v>
      </c>
      <c r="F792" t="s">
        <v>7151</v>
      </c>
      <c r="G792" t="s">
        <v>14360</v>
      </c>
      <c r="H792" t="s">
        <v>14360</v>
      </c>
      <c r="I792" t="s">
        <v>10078</v>
      </c>
      <c r="J792" s="4" t="s">
        <v>14360</v>
      </c>
      <c r="L792" t="s">
        <v>2272</v>
      </c>
      <c r="M792" t="s">
        <v>15569</v>
      </c>
      <c r="N792" t="s">
        <v>3459</v>
      </c>
      <c r="O792" t="s">
        <v>14360</v>
      </c>
      <c r="P792" t="s">
        <v>7151</v>
      </c>
      <c r="Q792" t="s">
        <v>14360</v>
      </c>
      <c r="R792" t="s">
        <v>3459</v>
      </c>
    </row>
    <row r="793" spans="1:19" x14ac:dyDescent="0.2">
      <c r="A793" t="s">
        <v>14070</v>
      </c>
      <c r="B793" t="s">
        <v>14359</v>
      </c>
      <c r="C793" t="s">
        <v>19591</v>
      </c>
      <c r="D793" t="str">
        <f>_xlfn.XLOOKUP(E793,pathways!$A$2:$A$31,pathways!$B$2:$B$31)</f>
        <v>Lipid metabolism</v>
      </c>
      <c r="E793" t="s">
        <v>3459</v>
      </c>
      <c r="F793" t="s">
        <v>7151</v>
      </c>
      <c r="G793" t="s">
        <v>20443</v>
      </c>
      <c r="H793" t="s">
        <v>14360</v>
      </c>
      <c r="I793" t="s">
        <v>10074</v>
      </c>
      <c r="J793" s="4" t="s">
        <v>14360</v>
      </c>
      <c r="L793" t="s">
        <v>2278</v>
      </c>
      <c r="M793" t="s">
        <v>15575</v>
      </c>
      <c r="N793" t="s">
        <v>3459</v>
      </c>
      <c r="O793" t="s">
        <v>14360</v>
      </c>
      <c r="P793" t="s">
        <v>7151</v>
      </c>
      <c r="Q793" t="s">
        <v>14360</v>
      </c>
      <c r="R793" t="s">
        <v>3459</v>
      </c>
    </row>
    <row r="794" spans="1:19" x14ac:dyDescent="0.2">
      <c r="A794" t="s">
        <v>1581</v>
      </c>
      <c r="B794" t="s">
        <v>14359</v>
      </c>
      <c r="C794" t="s">
        <v>19332</v>
      </c>
      <c r="D794" t="str">
        <f>_xlfn.XLOOKUP(E794,pathways!$A$2:$A$31,pathways!$B$2:$B$31)</f>
        <v>Lipid metabolism</v>
      </c>
      <c r="E794" t="s">
        <v>3459</v>
      </c>
      <c r="F794" t="s">
        <v>7151</v>
      </c>
      <c r="G794" t="s">
        <v>14360</v>
      </c>
      <c r="H794" t="s">
        <v>14360</v>
      </c>
      <c r="I794" t="s">
        <v>7303</v>
      </c>
      <c r="J794" s="4" t="s">
        <v>7303</v>
      </c>
      <c r="L794" t="s">
        <v>1580</v>
      </c>
      <c r="M794" t="s">
        <v>14867</v>
      </c>
      <c r="N794" t="s">
        <v>3459</v>
      </c>
      <c r="O794" t="s">
        <v>3459</v>
      </c>
      <c r="P794" t="s">
        <v>7151</v>
      </c>
      <c r="Q794" t="s">
        <v>7151</v>
      </c>
      <c r="R794" t="s">
        <v>3459</v>
      </c>
    </row>
    <row r="795" spans="1:19" x14ac:dyDescent="0.2">
      <c r="A795" t="s">
        <v>2573</v>
      </c>
      <c r="B795" t="s">
        <v>14359</v>
      </c>
      <c r="C795" t="s">
        <v>19700</v>
      </c>
      <c r="D795" t="str">
        <f>_xlfn.XLOOKUP(E795,pathways!$A$2:$A$31,pathways!$B$2:$B$31)</f>
        <v>Lipid metabolism</v>
      </c>
      <c r="E795" t="s">
        <v>3459</v>
      </c>
      <c r="F795" t="s">
        <v>4101</v>
      </c>
      <c r="G795" t="s">
        <v>14360</v>
      </c>
      <c r="H795" t="s">
        <v>14360</v>
      </c>
      <c r="I795" t="s">
        <v>4104</v>
      </c>
      <c r="J795" s="4" t="s">
        <v>4104</v>
      </c>
      <c r="L795" t="s">
        <v>2572</v>
      </c>
      <c r="M795" t="s">
        <v>15897</v>
      </c>
      <c r="N795" t="s">
        <v>3459</v>
      </c>
      <c r="O795" t="s">
        <v>3459</v>
      </c>
      <c r="P795" t="s">
        <v>4101</v>
      </c>
      <c r="Q795" t="s">
        <v>4101</v>
      </c>
      <c r="R795" t="s">
        <v>3459</v>
      </c>
    </row>
    <row r="796" spans="1:19" x14ac:dyDescent="0.2">
      <c r="A796" t="s">
        <v>1262</v>
      </c>
      <c r="B796" t="s">
        <v>14359</v>
      </c>
      <c r="C796" t="s">
        <v>19230</v>
      </c>
      <c r="D796" t="str">
        <f>_xlfn.XLOOKUP(E796,pathways!$A$2:$A$31,pathways!$B$2:$B$31)</f>
        <v>Lipid metabolism</v>
      </c>
      <c r="E796" t="s">
        <v>3459</v>
      </c>
      <c r="F796" t="s">
        <v>5754</v>
      </c>
      <c r="G796" t="s">
        <v>14360</v>
      </c>
      <c r="H796" t="s">
        <v>14360</v>
      </c>
      <c r="I796" t="s">
        <v>5898</v>
      </c>
      <c r="J796" s="4" t="s">
        <v>5898</v>
      </c>
      <c r="L796" t="s">
        <v>1261</v>
      </c>
      <c r="M796" t="s">
        <v>14538</v>
      </c>
      <c r="N796" t="s">
        <v>3459</v>
      </c>
      <c r="O796" t="s">
        <v>3459</v>
      </c>
      <c r="P796" t="s">
        <v>5754</v>
      </c>
      <c r="Q796" t="s">
        <v>5754</v>
      </c>
      <c r="R796" t="s">
        <v>3459</v>
      </c>
    </row>
    <row r="797" spans="1:19" x14ac:dyDescent="0.2">
      <c r="A797" t="s">
        <v>1256</v>
      </c>
      <c r="B797" t="s">
        <v>14359</v>
      </c>
      <c r="C797" t="s">
        <v>19227</v>
      </c>
      <c r="D797" t="str">
        <f>_xlfn.XLOOKUP(E797,pathways!$A$2:$A$31,pathways!$B$2:$B$31)</f>
        <v>Lipid metabolism</v>
      </c>
      <c r="E797" t="s">
        <v>3459</v>
      </c>
      <c r="F797" t="s">
        <v>5754</v>
      </c>
      <c r="G797" t="s">
        <v>14360</v>
      </c>
      <c r="H797" t="s">
        <v>14360</v>
      </c>
      <c r="I797" t="s">
        <v>5882</v>
      </c>
      <c r="J797" s="4" t="s">
        <v>5882</v>
      </c>
      <c r="L797" t="s">
        <v>1255</v>
      </c>
      <c r="M797" t="s">
        <v>14532</v>
      </c>
      <c r="N797" t="s">
        <v>3459</v>
      </c>
      <c r="O797" t="s">
        <v>3459</v>
      </c>
      <c r="P797" t="s">
        <v>5754</v>
      </c>
      <c r="Q797" t="s">
        <v>5754</v>
      </c>
      <c r="R797" t="s">
        <v>3459</v>
      </c>
    </row>
    <row r="798" spans="1:19" x14ac:dyDescent="0.2">
      <c r="A798" t="s">
        <v>1280</v>
      </c>
      <c r="B798" t="s">
        <v>14359</v>
      </c>
      <c r="C798" t="s">
        <v>19237</v>
      </c>
      <c r="D798" t="str">
        <f>_xlfn.XLOOKUP(E798,pathways!$A$2:$A$31,pathways!$B$2:$B$31)</f>
        <v>Lipid metabolism</v>
      </c>
      <c r="E798" t="s">
        <v>3459</v>
      </c>
      <c r="F798" t="s">
        <v>3873</v>
      </c>
      <c r="G798" t="s">
        <v>5976</v>
      </c>
      <c r="H798" t="s">
        <v>14360</v>
      </c>
      <c r="I798" t="s">
        <v>5976</v>
      </c>
      <c r="J798" s="4" t="s">
        <v>5976</v>
      </c>
      <c r="L798" t="s">
        <v>1279</v>
      </c>
      <c r="M798" t="s">
        <v>14558</v>
      </c>
      <c r="N798" t="s">
        <v>3459</v>
      </c>
      <c r="O798" t="s">
        <v>3459</v>
      </c>
      <c r="P798" t="s">
        <v>3873</v>
      </c>
      <c r="Q798" t="s">
        <v>3873</v>
      </c>
      <c r="R798" t="s">
        <v>3459</v>
      </c>
    </row>
    <row r="799" spans="1:19" x14ac:dyDescent="0.2">
      <c r="A799" t="s">
        <v>2052</v>
      </c>
      <c r="B799" t="s">
        <v>14359</v>
      </c>
      <c r="C799" t="s">
        <v>19506</v>
      </c>
      <c r="D799" t="str">
        <f>_xlfn.XLOOKUP(E799,pathways!$A$2:$A$31,pathways!$B$2:$B$31)</f>
        <v>Lipid metabolism</v>
      </c>
      <c r="E799" t="s">
        <v>3459</v>
      </c>
      <c r="F799" t="s">
        <v>3836</v>
      </c>
      <c r="G799" t="s">
        <v>14360</v>
      </c>
      <c r="H799" t="s">
        <v>14360</v>
      </c>
      <c r="I799" t="s">
        <v>9337</v>
      </c>
      <c r="J799" s="4" t="s">
        <v>9337</v>
      </c>
      <c r="L799" t="s">
        <v>2051</v>
      </c>
      <c r="M799" t="s">
        <v>15353</v>
      </c>
      <c r="N799" t="s">
        <v>3459</v>
      </c>
      <c r="O799" t="s">
        <v>3459</v>
      </c>
      <c r="P799" t="s">
        <v>3836</v>
      </c>
      <c r="Q799" t="s">
        <v>3836</v>
      </c>
      <c r="R799" t="s">
        <v>3459</v>
      </c>
    </row>
    <row r="800" spans="1:19" x14ac:dyDescent="0.2">
      <c r="A800" t="s">
        <v>2515</v>
      </c>
      <c r="B800" t="s">
        <v>14359</v>
      </c>
      <c r="C800" t="s">
        <v>19672</v>
      </c>
      <c r="D800" t="str">
        <f>_xlfn.XLOOKUP(E800,pathways!$A$2:$A$31,pathways!$B$2:$B$31)</f>
        <v>Lipid metabolism</v>
      </c>
      <c r="E800" t="s">
        <v>3459</v>
      </c>
      <c r="F800" t="s">
        <v>3836</v>
      </c>
      <c r="G800" t="s">
        <v>14360</v>
      </c>
      <c r="H800" t="s">
        <v>14360</v>
      </c>
      <c r="I800" t="s">
        <v>3839</v>
      </c>
      <c r="J800" s="4" t="s">
        <v>3839</v>
      </c>
      <c r="L800" t="s">
        <v>2514</v>
      </c>
      <c r="M800" t="s">
        <v>15827</v>
      </c>
      <c r="N800" t="s">
        <v>3459</v>
      </c>
      <c r="O800" t="s">
        <v>3459</v>
      </c>
      <c r="P800" t="s">
        <v>3836</v>
      </c>
      <c r="Q800" t="s">
        <v>3836</v>
      </c>
      <c r="R800" t="s">
        <v>3459</v>
      </c>
    </row>
    <row r="801" spans="1:19" x14ac:dyDescent="0.2">
      <c r="A801" t="s">
        <v>1526</v>
      </c>
      <c r="B801" t="s">
        <v>14359</v>
      </c>
      <c r="C801" t="s">
        <v>19320</v>
      </c>
      <c r="D801" t="str">
        <f>_xlfn.XLOOKUP(E801,pathways!$A$2:$A$31,pathways!$B$2:$B$31)</f>
        <v>Lipid metabolism</v>
      </c>
      <c r="E801" t="s">
        <v>3459</v>
      </c>
      <c r="F801" t="s">
        <v>3836</v>
      </c>
      <c r="G801" t="s">
        <v>14360</v>
      </c>
      <c r="H801" t="s">
        <v>14360</v>
      </c>
      <c r="I801" t="s">
        <v>7076</v>
      </c>
      <c r="J801" s="4" t="s">
        <v>7076</v>
      </c>
      <c r="L801" t="s">
        <v>1525</v>
      </c>
      <c r="M801" t="s">
        <v>14812</v>
      </c>
      <c r="N801" t="s">
        <v>3459</v>
      </c>
      <c r="O801" t="s">
        <v>3459</v>
      </c>
      <c r="P801" t="s">
        <v>3836</v>
      </c>
      <c r="Q801" t="s">
        <v>3836</v>
      </c>
      <c r="R801" t="s">
        <v>3459</v>
      </c>
    </row>
    <row r="802" spans="1:19" x14ac:dyDescent="0.2">
      <c r="A802" t="s">
        <v>2144</v>
      </c>
      <c r="B802" t="s">
        <v>14359</v>
      </c>
      <c r="C802" t="s">
        <v>19548</v>
      </c>
      <c r="D802" t="str">
        <f>_xlfn.XLOOKUP(E802,pathways!$A$2:$A$31,pathways!$B$2:$B$31)</f>
        <v>Lipid metabolism</v>
      </c>
      <c r="E802" t="s">
        <v>3459</v>
      </c>
      <c r="F802" t="s">
        <v>814</v>
      </c>
      <c r="G802" t="s">
        <v>14360</v>
      </c>
      <c r="H802" t="s">
        <v>14360</v>
      </c>
      <c r="I802" t="s">
        <v>9707</v>
      </c>
      <c r="J802" s="4" t="s">
        <v>9707</v>
      </c>
      <c r="L802" t="s">
        <v>2143</v>
      </c>
      <c r="M802" t="s">
        <v>15438</v>
      </c>
      <c r="N802" t="s">
        <v>3459</v>
      </c>
      <c r="O802" t="s">
        <v>3459</v>
      </c>
      <c r="P802" t="s">
        <v>814</v>
      </c>
      <c r="Q802" t="s">
        <v>814</v>
      </c>
      <c r="R802" t="s">
        <v>3459</v>
      </c>
      <c r="S802" t="s">
        <v>14360</v>
      </c>
    </row>
    <row r="803" spans="1:19" x14ac:dyDescent="0.2">
      <c r="A803" t="s">
        <v>1855</v>
      </c>
      <c r="B803" t="s">
        <v>14359</v>
      </c>
      <c r="C803" t="s">
        <v>19416</v>
      </c>
      <c r="D803" t="str">
        <f>_xlfn.XLOOKUP(E803,pathways!$A$2:$A$31,pathways!$B$2:$B$31)</f>
        <v>Lipid metabolism</v>
      </c>
      <c r="E803" t="s">
        <v>3459</v>
      </c>
      <c r="F803" t="s">
        <v>814</v>
      </c>
      <c r="G803" t="s">
        <v>14360</v>
      </c>
      <c r="H803" t="s">
        <v>14360</v>
      </c>
      <c r="I803" t="s">
        <v>8616</v>
      </c>
      <c r="J803" s="4" t="s">
        <v>8616</v>
      </c>
      <c r="L803" t="s">
        <v>1854</v>
      </c>
      <c r="M803" t="s">
        <v>15155</v>
      </c>
      <c r="N803" t="s">
        <v>3459</v>
      </c>
      <c r="O803" t="s">
        <v>3459</v>
      </c>
      <c r="P803" t="s">
        <v>814</v>
      </c>
      <c r="Q803" t="s">
        <v>814</v>
      </c>
      <c r="R803" t="s">
        <v>3459</v>
      </c>
      <c r="S803" t="s">
        <v>14360</v>
      </c>
    </row>
    <row r="804" spans="1:19" x14ac:dyDescent="0.2">
      <c r="A804" t="s">
        <v>2062</v>
      </c>
      <c r="B804" t="s">
        <v>14359</v>
      </c>
      <c r="C804" t="s">
        <v>19511</v>
      </c>
      <c r="D804" t="str">
        <f>_xlfn.XLOOKUP(E804,pathways!$A$2:$A$31,pathways!$B$2:$B$31)</f>
        <v>Lipid metabolism</v>
      </c>
      <c r="E804" t="s">
        <v>3459</v>
      </c>
      <c r="F804" t="s">
        <v>814</v>
      </c>
      <c r="G804" t="s">
        <v>20447</v>
      </c>
      <c r="H804" t="s">
        <v>14360</v>
      </c>
      <c r="I804" t="s">
        <v>9445</v>
      </c>
      <c r="J804" s="4" t="s">
        <v>9445</v>
      </c>
      <c r="L804" t="s">
        <v>2061</v>
      </c>
      <c r="M804" t="s">
        <v>15360</v>
      </c>
      <c r="N804" t="s">
        <v>3459</v>
      </c>
      <c r="O804" t="s">
        <v>3459</v>
      </c>
      <c r="P804" t="s">
        <v>814</v>
      </c>
      <c r="Q804" t="s">
        <v>814</v>
      </c>
      <c r="R804" t="s">
        <v>3459</v>
      </c>
      <c r="S804" t="s">
        <v>14360</v>
      </c>
    </row>
    <row r="805" spans="1:19" x14ac:dyDescent="0.2">
      <c r="A805" t="s">
        <v>1930</v>
      </c>
      <c r="B805" t="s">
        <v>14359</v>
      </c>
      <c r="C805" t="s">
        <v>19449</v>
      </c>
      <c r="D805" t="str">
        <f>_xlfn.XLOOKUP(E805,pathways!$A$2:$A$31,pathways!$B$2:$B$31)</f>
        <v>Lipid metabolism</v>
      </c>
      <c r="E805" t="s">
        <v>3459</v>
      </c>
      <c r="F805" t="s">
        <v>8860</v>
      </c>
      <c r="G805" t="s">
        <v>14360</v>
      </c>
      <c r="H805" t="s">
        <v>14360</v>
      </c>
      <c r="I805" t="s">
        <v>9016</v>
      </c>
      <c r="J805" s="4" t="s">
        <v>9016</v>
      </c>
      <c r="L805" t="s">
        <v>1929</v>
      </c>
      <c r="M805" t="s">
        <v>15231</v>
      </c>
      <c r="N805" t="s">
        <v>3459</v>
      </c>
      <c r="O805" t="s">
        <v>3459</v>
      </c>
      <c r="P805" t="s">
        <v>8860</v>
      </c>
      <c r="Q805" t="s">
        <v>8860</v>
      </c>
      <c r="R805" t="s">
        <v>3459</v>
      </c>
      <c r="S805" t="s">
        <v>4293</v>
      </c>
    </row>
    <row r="806" spans="1:19" x14ac:dyDescent="0.2">
      <c r="A806" t="s">
        <v>2058</v>
      </c>
      <c r="B806" t="s">
        <v>14359</v>
      </c>
      <c r="C806" t="s">
        <v>19509</v>
      </c>
      <c r="D806" t="str">
        <f>_xlfn.XLOOKUP(E806,pathways!$A$2:$A$31,pathways!$B$2:$B$31)</f>
        <v>Lipid metabolism</v>
      </c>
      <c r="E806" t="s">
        <v>3459</v>
      </c>
      <c r="F806" t="s">
        <v>8860</v>
      </c>
      <c r="G806" t="s">
        <v>20431</v>
      </c>
      <c r="H806" t="s">
        <v>14360</v>
      </c>
      <c r="I806" t="s">
        <v>9417</v>
      </c>
      <c r="J806" s="4" t="s">
        <v>9417</v>
      </c>
      <c r="L806" t="s">
        <v>2057</v>
      </c>
      <c r="M806" t="s">
        <v>15358</v>
      </c>
      <c r="N806" t="s">
        <v>3459</v>
      </c>
      <c r="O806" t="s">
        <v>3459</v>
      </c>
      <c r="P806" t="s">
        <v>8860</v>
      </c>
      <c r="Q806" t="s">
        <v>8860</v>
      </c>
      <c r="R806" t="s">
        <v>3459</v>
      </c>
      <c r="S806" t="s">
        <v>3586</v>
      </c>
    </row>
    <row r="807" spans="1:19" x14ac:dyDescent="0.2">
      <c r="A807" t="s">
        <v>1717</v>
      </c>
      <c r="B807" t="s">
        <v>14359</v>
      </c>
      <c r="C807" t="s">
        <v>19378</v>
      </c>
      <c r="D807" t="str">
        <f>_xlfn.XLOOKUP(E807,pathways!$A$2:$A$31,pathways!$B$2:$B$31)</f>
        <v>Lipid metabolism</v>
      </c>
      <c r="E807" t="s">
        <v>3459</v>
      </c>
      <c r="F807" t="s">
        <v>814</v>
      </c>
      <c r="G807" t="s">
        <v>14360</v>
      </c>
      <c r="H807" t="s">
        <v>14360</v>
      </c>
      <c r="I807" t="s">
        <v>8193</v>
      </c>
      <c r="J807" s="4" t="s">
        <v>8193</v>
      </c>
      <c r="L807" t="s">
        <v>1716</v>
      </c>
      <c r="M807" t="s">
        <v>15011</v>
      </c>
      <c r="N807" t="s">
        <v>3459</v>
      </c>
      <c r="O807" t="s">
        <v>3459</v>
      </c>
      <c r="P807" t="s">
        <v>814</v>
      </c>
      <c r="Q807" t="s">
        <v>814</v>
      </c>
      <c r="R807" t="s">
        <v>3459</v>
      </c>
      <c r="S807" t="s">
        <v>14360</v>
      </c>
    </row>
    <row r="808" spans="1:19" x14ac:dyDescent="0.2">
      <c r="A808" t="s">
        <v>1912</v>
      </c>
      <c r="B808" t="s">
        <v>14359</v>
      </c>
      <c r="C808" t="s">
        <v>19441</v>
      </c>
      <c r="D808" t="str">
        <f>_xlfn.XLOOKUP(E808,pathways!$A$2:$A$31,pathways!$B$2:$B$31)</f>
        <v>Lipid metabolism</v>
      </c>
      <c r="E808" t="s">
        <v>3459</v>
      </c>
      <c r="F808" t="s">
        <v>814</v>
      </c>
      <c r="G808" t="s">
        <v>8813</v>
      </c>
      <c r="H808" t="s">
        <v>14360</v>
      </c>
      <c r="I808" t="s">
        <v>8813</v>
      </c>
      <c r="J808" s="4" t="s">
        <v>8813</v>
      </c>
      <c r="L808" t="s">
        <v>1911</v>
      </c>
      <c r="M808" t="s">
        <v>15213</v>
      </c>
      <c r="N808" t="s">
        <v>3459</v>
      </c>
      <c r="O808" t="s">
        <v>3459</v>
      </c>
      <c r="P808" t="s">
        <v>814</v>
      </c>
      <c r="Q808" t="s">
        <v>814</v>
      </c>
      <c r="R808" t="s">
        <v>3459</v>
      </c>
      <c r="S808" t="s">
        <v>14360</v>
      </c>
    </row>
    <row r="809" spans="1:19" x14ac:dyDescent="0.2">
      <c r="A809" t="s">
        <v>1590</v>
      </c>
      <c r="B809" t="s">
        <v>14359</v>
      </c>
      <c r="C809" t="s">
        <v>19335</v>
      </c>
      <c r="D809" t="str">
        <f>_xlfn.XLOOKUP(E809,pathways!$A$2:$A$31,pathways!$B$2:$B$31)</f>
        <v>Lipid metabolism</v>
      </c>
      <c r="E809" t="s">
        <v>3459</v>
      </c>
      <c r="F809" t="s">
        <v>814</v>
      </c>
      <c r="G809" t="s">
        <v>7264</v>
      </c>
      <c r="H809" t="s">
        <v>14360</v>
      </c>
      <c r="I809" t="s">
        <v>7264</v>
      </c>
      <c r="J809" s="4" t="s">
        <v>7264</v>
      </c>
      <c r="L809" t="s">
        <v>1589</v>
      </c>
      <c r="M809" t="s">
        <v>14877</v>
      </c>
      <c r="N809" t="s">
        <v>3459</v>
      </c>
      <c r="O809" t="s">
        <v>3459</v>
      </c>
      <c r="P809" t="s">
        <v>814</v>
      </c>
      <c r="Q809" t="s">
        <v>814</v>
      </c>
      <c r="R809" t="s">
        <v>3459</v>
      </c>
      <c r="S809" t="s">
        <v>14360</v>
      </c>
    </row>
    <row r="810" spans="1:19" x14ac:dyDescent="0.2">
      <c r="A810" t="s">
        <v>2074</v>
      </c>
      <c r="B810" t="s">
        <v>14359</v>
      </c>
      <c r="C810" t="s">
        <v>19517</v>
      </c>
      <c r="D810" t="str">
        <f>_xlfn.XLOOKUP(E810,pathways!$A$2:$A$31,pathways!$B$2:$B$31)</f>
        <v>Lipid metabolism</v>
      </c>
      <c r="E810" t="s">
        <v>3459</v>
      </c>
      <c r="F810" t="s">
        <v>814</v>
      </c>
      <c r="G810" t="s">
        <v>14360</v>
      </c>
      <c r="H810" t="s">
        <v>14360</v>
      </c>
      <c r="I810" t="s">
        <v>9421</v>
      </c>
      <c r="J810" s="4" t="s">
        <v>9421</v>
      </c>
      <c r="L810" t="s">
        <v>2073</v>
      </c>
      <c r="M810" t="s">
        <v>15368</v>
      </c>
      <c r="N810" t="s">
        <v>3459</v>
      </c>
      <c r="O810" t="s">
        <v>3459</v>
      </c>
      <c r="P810" t="s">
        <v>814</v>
      </c>
      <c r="Q810" t="s">
        <v>814</v>
      </c>
      <c r="R810" t="s">
        <v>3459</v>
      </c>
      <c r="S810" t="s">
        <v>4293</v>
      </c>
    </row>
    <row r="811" spans="1:19" x14ac:dyDescent="0.2">
      <c r="A811" t="s">
        <v>1823</v>
      </c>
      <c r="B811" t="s">
        <v>14359</v>
      </c>
      <c r="C811" t="s">
        <v>19409</v>
      </c>
      <c r="D811" t="str">
        <f>_xlfn.XLOOKUP(E811,pathways!$A$2:$A$31,pathways!$B$2:$B$31)</f>
        <v>Lipid metabolism</v>
      </c>
      <c r="E811" t="s">
        <v>3459</v>
      </c>
      <c r="F811" t="s">
        <v>814</v>
      </c>
      <c r="G811" t="s">
        <v>14360</v>
      </c>
      <c r="H811" t="s">
        <v>14360</v>
      </c>
      <c r="I811" t="s">
        <v>8581</v>
      </c>
      <c r="J811" s="4" t="s">
        <v>8581</v>
      </c>
      <c r="L811" t="s">
        <v>1822</v>
      </c>
      <c r="M811" t="s">
        <v>15123</v>
      </c>
      <c r="N811" t="s">
        <v>3459</v>
      </c>
      <c r="O811" t="s">
        <v>3459</v>
      </c>
      <c r="P811" t="s">
        <v>814</v>
      </c>
      <c r="Q811" t="s">
        <v>814</v>
      </c>
      <c r="R811" t="s">
        <v>3459</v>
      </c>
      <c r="S811" t="s">
        <v>4679</v>
      </c>
    </row>
    <row r="812" spans="1:19" x14ac:dyDescent="0.2">
      <c r="A812" t="s">
        <v>1813</v>
      </c>
      <c r="B812" t="s">
        <v>14359</v>
      </c>
      <c r="C812" t="s">
        <v>19405</v>
      </c>
      <c r="D812" t="str">
        <f>_xlfn.XLOOKUP(E812,pathways!$A$2:$A$31,pathways!$B$2:$B$31)</f>
        <v>Lipid metabolism</v>
      </c>
      <c r="E812" t="s">
        <v>3459</v>
      </c>
      <c r="F812" t="s">
        <v>814</v>
      </c>
      <c r="G812" t="s">
        <v>20444</v>
      </c>
      <c r="H812" t="s">
        <v>14360</v>
      </c>
      <c r="I812" t="s">
        <v>8587</v>
      </c>
      <c r="J812" s="4" t="s">
        <v>8587</v>
      </c>
      <c r="L812" t="s">
        <v>1812</v>
      </c>
      <c r="M812" t="s">
        <v>15113</v>
      </c>
      <c r="N812" t="s">
        <v>3459</v>
      </c>
      <c r="O812" t="s">
        <v>3459</v>
      </c>
      <c r="P812" t="s">
        <v>814</v>
      </c>
      <c r="Q812" t="s">
        <v>814</v>
      </c>
      <c r="R812" t="s">
        <v>3459</v>
      </c>
      <c r="S812" t="s">
        <v>4679</v>
      </c>
    </row>
    <row r="813" spans="1:19" x14ac:dyDescent="0.2">
      <c r="A813" t="s">
        <v>1811</v>
      </c>
      <c r="B813" t="s">
        <v>14359</v>
      </c>
      <c r="C813" t="s">
        <v>19404</v>
      </c>
      <c r="D813" t="str">
        <f>_xlfn.XLOOKUP(E813,pathways!$A$2:$A$31,pathways!$B$2:$B$31)</f>
        <v>Lipid metabolism</v>
      </c>
      <c r="E813" t="s">
        <v>3459</v>
      </c>
      <c r="F813" t="s">
        <v>814</v>
      </c>
      <c r="G813" t="s">
        <v>14360</v>
      </c>
      <c r="H813" t="s">
        <v>14360</v>
      </c>
      <c r="I813" t="s">
        <v>8592</v>
      </c>
      <c r="J813" s="4" t="s">
        <v>8592</v>
      </c>
      <c r="L813" t="s">
        <v>1810</v>
      </c>
      <c r="M813" t="s">
        <v>15111</v>
      </c>
      <c r="N813" t="s">
        <v>3459</v>
      </c>
      <c r="O813" t="s">
        <v>3459</v>
      </c>
      <c r="P813" t="s">
        <v>814</v>
      </c>
      <c r="Q813" t="s">
        <v>814</v>
      </c>
      <c r="R813" t="s">
        <v>3459</v>
      </c>
      <c r="S813" t="s">
        <v>3854</v>
      </c>
    </row>
    <row r="814" spans="1:19" x14ac:dyDescent="0.2">
      <c r="A814" t="s">
        <v>1924</v>
      </c>
      <c r="B814" t="s">
        <v>14359</v>
      </c>
      <c r="C814" t="s">
        <v>19446</v>
      </c>
      <c r="D814" t="str">
        <f>_xlfn.XLOOKUP(E814,pathways!$A$2:$A$31,pathways!$B$2:$B$31)</f>
        <v>Lipid metabolism</v>
      </c>
      <c r="E814" t="s">
        <v>3459</v>
      </c>
      <c r="F814" t="s">
        <v>814</v>
      </c>
      <c r="G814" t="s">
        <v>20451</v>
      </c>
      <c r="H814" t="s">
        <v>14360</v>
      </c>
      <c r="I814" t="s">
        <v>9006</v>
      </c>
      <c r="J814" s="4" t="s">
        <v>9006</v>
      </c>
      <c r="L814" t="s">
        <v>1923</v>
      </c>
      <c r="M814" t="s">
        <v>15225</v>
      </c>
      <c r="N814" t="s">
        <v>3459</v>
      </c>
      <c r="O814" t="s">
        <v>3459</v>
      </c>
      <c r="P814" t="s">
        <v>814</v>
      </c>
      <c r="Q814" t="s">
        <v>814</v>
      </c>
      <c r="R814" t="s">
        <v>3459</v>
      </c>
      <c r="S814" t="s">
        <v>3854</v>
      </c>
    </row>
    <row r="815" spans="1:19" x14ac:dyDescent="0.2">
      <c r="A815" t="s">
        <v>1841</v>
      </c>
      <c r="B815" t="s">
        <v>14359</v>
      </c>
      <c r="C815" t="s">
        <v>19412</v>
      </c>
      <c r="D815" t="str">
        <f>_xlfn.XLOOKUP(E815,pathways!$A$2:$A$31,pathways!$B$2:$B$31)</f>
        <v>Lipid metabolism</v>
      </c>
      <c r="E815" t="s">
        <v>3459</v>
      </c>
      <c r="F815" t="s">
        <v>814</v>
      </c>
      <c r="G815" t="s">
        <v>20450</v>
      </c>
      <c r="H815" t="s">
        <v>14360</v>
      </c>
      <c r="I815" t="s">
        <v>8601</v>
      </c>
      <c r="J815" s="4" t="s">
        <v>8601</v>
      </c>
      <c r="L815" t="s">
        <v>1840</v>
      </c>
      <c r="M815" t="s">
        <v>15142</v>
      </c>
      <c r="N815" t="s">
        <v>3459</v>
      </c>
      <c r="O815" t="s">
        <v>3459</v>
      </c>
      <c r="P815" t="s">
        <v>814</v>
      </c>
      <c r="Q815" t="s">
        <v>814</v>
      </c>
      <c r="R815" t="s">
        <v>3459</v>
      </c>
      <c r="S815" t="s">
        <v>3854</v>
      </c>
    </row>
    <row r="816" spans="1:19" x14ac:dyDescent="0.2">
      <c r="A816" t="s">
        <v>1847</v>
      </c>
      <c r="B816" t="s">
        <v>14359</v>
      </c>
      <c r="C816" t="s">
        <v>19414</v>
      </c>
      <c r="D816" t="str">
        <f>_xlfn.XLOOKUP(E816,pathways!$A$2:$A$31,pathways!$B$2:$B$31)</f>
        <v>Lipid metabolism</v>
      </c>
      <c r="E816" t="s">
        <v>3459</v>
      </c>
      <c r="F816" t="s">
        <v>814</v>
      </c>
      <c r="G816" t="s">
        <v>14360</v>
      </c>
      <c r="H816" t="s">
        <v>14360</v>
      </c>
      <c r="I816" t="s">
        <v>8606</v>
      </c>
      <c r="J816" s="4" t="s">
        <v>8606</v>
      </c>
      <c r="L816" t="s">
        <v>1846</v>
      </c>
      <c r="M816" t="s">
        <v>15148</v>
      </c>
      <c r="N816" t="s">
        <v>3459</v>
      </c>
      <c r="O816" t="s">
        <v>3459</v>
      </c>
      <c r="P816" t="s">
        <v>814</v>
      </c>
      <c r="Q816" t="s">
        <v>814</v>
      </c>
      <c r="R816" t="s">
        <v>3459</v>
      </c>
      <c r="S816" t="s">
        <v>3854</v>
      </c>
    </row>
    <row r="817" spans="1:19" x14ac:dyDescent="0.2">
      <c r="A817" t="s">
        <v>1768</v>
      </c>
      <c r="B817" t="s">
        <v>14359</v>
      </c>
      <c r="C817" t="s">
        <v>19391</v>
      </c>
      <c r="D817" t="str">
        <f>_xlfn.XLOOKUP(E817,pathways!$A$2:$A$31,pathways!$B$2:$B$31)</f>
        <v>Lipid metabolism</v>
      </c>
      <c r="E817" t="s">
        <v>3459</v>
      </c>
      <c r="F817" t="s">
        <v>814</v>
      </c>
      <c r="G817" t="s">
        <v>14360</v>
      </c>
      <c r="H817" t="s">
        <v>14360</v>
      </c>
      <c r="I817" t="s">
        <v>8392</v>
      </c>
      <c r="J817" s="4" t="s">
        <v>8392</v>
      </c>
      <c r="L817" t="s">
        <v>1767</v>
      </c>
      <c r="M817" t="s">
        <v>15065</v>
      </c>
      <c r="N817" t="s">
        <v>3459</v>
      </c>
      <c r="O817" t="s">
        <v>3459</v>
      </c>
      <c r="P817" t="s">
        <v>814</v>
      </c>
      <c r="Q817" t="s">
        <v>814</v>
      </c>
      <c r="R817" t="s">
        <v>3459</v>
      </c>
      <c r="S817" t="s">
        <v>3854</v>
      </c>
    </row>
    <row r="818" spans="1:19" x14ac:dyDescent="0.2">
      <c r="A818" t="s">
        <v>2079</v>
      </c>
      <c r="B818" t="s">
        <v>14359</v>
      </c>
      <c r="C818" t="s">
        <v>19520</v>
      </c>
      <c r="D818" t="str">
        <f>_xlfn.XLOOKUP(E818,pathways!$A$2:$A$31,pathways!$B$2:$B$31)</f>
        <v>Lipid metabolism</v>
      </c>
      <c r="E818" t="s">
        <v>3459</v>
      </c>
      <c r="F818" t="s">
        <v>814</v>
      </c>
      <c r="G818" t="s">
        <v>20449</v>
      </c>
      <c r="H818" t="s">
        <v>14360</v>
      </c>
      <c r="I818" t="s">
        <v>9440</v>
      </c>
      <c r="J818" s="4" t="s">
        <v>9440</v>
      </c>
      <c r="L818" t="s">
        <v>2078</v>
      </c>
      <c r="M818" t="s">
        <v>15373</v>
      </c>
      <c r="N818" t="s">
        <v>3459</v>
      </c>
      <c r="O818" t="s">
        <v>3459</v>
      </c>
      <c r="P818" t="s">
        <v>814</v>
      </c>
      <c r="Q818" t="s">
        <v>814</v>
      </c>
      <c r="R818" t="s">
        <v>3459</v>
      </c>
      <c r="S818" t="s">
        <v>3854</v>
      </c>
    </row>
    <row r="819" spans="1:19" x14ac:dyDescent="0.2">
      <c r="A819" t="s">
        <v>1774</v>
      </c>
      <c r="B819" t="s">
        <v>14359</v>
      </c>
      <c r="C819" t="s">
        <v>19393</v>
      </c>
      <c r="D819" t="str">
        <f>_xlfn.XLOOKUP(E819,pathways!$A$2:$A$31,pathways!$B$2:$B$31)</f>
        <v>Lipid metabolism</v>
      </c>
      <c r="E819" t="s">
        <v>3459</v>
      </c>
      <c r="F819" t="s">
        <v>814</v>
      </c>
      <c r="G819" t="s">
        <v>14360</v>
      </c>
      <c r="H819" t="s">
        <v>14360</v>
      </c>
      <c r="I819" t="s">
        <v>8388</v>
      </c>
      <c r="J819" s="4" t="s">
        <v>8388</v>
      </c>
      <c r="L819" t="s">
        <v>1773</v>
      </c>
      <c r="M819" t="s">
        <v>15071</v>
      </c>
      <c r="N819" t="s">
        <v>3459</v>
      </c>
      <c r="O819" t="s">
        <v>3459</v>
      </c>
      <c r="P819" t="s">
        <v>814</v>
      </c>
      <c r="Q819" t="s">
        <v>814</v>
      </c>
      <c r="R819" t="s">
        <v>3459</v>
      </c>
      <c r="S819" t="s">
        <v>3854</v>
      </c>
    </row>
    <row r="820" spans="1:19" x14ac:dyDescent="0.2">
      <c r="A820" t="s">
        <v>1720</v>
      </c>
      <c r="B820" t="s">
        <v>14359</v>
      </c>
      <c r="C820" t="s">
        <v>19379</v>
      </c>
      <c r="D820" t="str">
        <f>_xlfn.XLOOKUP(E820,pathways!$A$2:$A$31,pathways!$B$2:$B$31)</f>
        <v>Lipid metabolism</v>
      </c>
      <c r="E820" t="s">
        <v>3459</v>
      </c>
      <c r="F820" t="s">
        <v>814</v>
      </c>
      <c r="G820" t="s">
        <v>14360</v>
      </c>
      <c r="H820" t="s">
        <v>14360</v>
      </c>
      <c r="I820" t="s">
        <v>8199</v>
      </c>
      <c r="J820" s="4" t="s">
        <v>8199</v>
      </c>
      <c r="L820" t="s">
        <v>1719</v>
      </c>
      <c r="M820" t="s">
        <v>15015</v>
      </c>
      <c r="N820" t="s">
        <v>3459</v>
      </c>
      <c r="O820" t="s">
        <v>3459</v>
      </c>
      <c r="P820" t="s">
        <v>814</v>
      </c>
      <c r="Q820" t="s">
        <v>814</v>
      </c>
      <c r="R820" t="s">
        <v>3459</v>
      </c>
      <c r="S820" t="s">
        <v>3854</v>
      </c>
    </row>
    <row r="821" spans="1:19" x14ac:dyDescent="0.2">
      <c r="A821" t="s">
        <v>2068</v>
      </c>
      <c r="B821" t="s">
        <v>14359</v>
      </c>
      <c r="C821" t="s">
        <v>19514</v>
      </c>
      <c r="D821" t="str">
        <f>_xlfn.XLOOKUP(E821,pathways!$A$2:$A$31,pathways!$B$2:$B$31)</f>
        <v>Lipid metabolism</v>
      </c>
      <c r="E821" t="s">
        <v>3459</v>
      </c>
      <c r="F821" t="s">
        <v>814</v>
      </c>
      <c r="G821" t="s">
        <v>20445</v>
      </c>
      <c r="H821" t="s">
        <v>14360</v>
      </c>
      <c r="I821" t="s">
        <v>9424</v>
      </c>
      <c r="J821" s="4" t="s">
        <v>9424</v>
      </c>
      <c r="L821" t="s">
        <v>2067</v>
      </c>
      <c r="M821" t="s">
        <v>15364</v>
      </c>
      <c r="N821" t="s">
        <v>3459</v>
      </c>
      <c r="O821" t="s">
        <v>3459</v>
      </c>
      <c r="P821" t="s">
        <v>814</v>
      </c>
      <c r="Q821" t="s">
        <v>814</v>
      </c>
      <c r="R821" t="s">
        <v>3459</v>
      </c>
      <c r="S821" t="s">
        <v>3854</v>
      </c>
    </row>
    <row r="822" spans="1:19" x14ac:dyDescent="0.2">
      <c r="A822" t="s">
        <v>2070</v>
      </c>
      <c r="B822" t="s">
        <v>14359</v>
      </c>
      <c r="C822" t="s">
        <v>19515</v>
      </c>
      <c r="D822" t="str">
        <f>_xlfn.XLOOKUP(E822,pathways!$A$2:$A$31,pathways!$B$2:$B$31)</f>
        <v>Lipid metabolism</v>
      </c>
      <c r="E822" t="s">
        <v>3459</v>
      </c>
      <c r="F822" t="s">
        <v>814</v>
      </c>
      <c r="G822" t="s">
        <v>20446</v>
      </c>
      <c r="H822" t="s">
        <v>14360</v>
      </c>
      <c r="I822" t="s">
        <v>9432</v>
      </c>
      <c r="J822" s="4" t="s">
        <v>9432</v>
      </c>
      <c r="L822" t="s">
        <v>2069</v>
      </c>
      <c r="M822" t="s">
        <v>15365</v>
      </c>
      <c r="N822" t="s">
        <v>3459</v>
      </c>
      <c r="O822" t="s">
        <v>3459</v>
      </c>
      <c r="P822" t="s">
        <v>814</v>
      </c>
      <c r="Q822" t="s">
        <v>814</v>
      </c>
      <c r="R822" t="s">
        <v>3459</v>
      </c>
      <c r="S822" t="s">
        <v>3854</v>
      </c>
    </row>
    <row r="823" spans="1:19" x14ac:dyDescent="0.2">
      <c r="A823" t="s">
        <v>1884</v>
      </c>
      <c r="B823" t="s">
        <v>14359</v>
      </c>
      <c r="C823" t="s">
        <v>19429</v>
      </c>
      <c r="D823" t="str">
        <f>_xlfn.XLOOKUP(E823,pathways!$A$2:$A$31,pathways!$B$2:$B$31)</f>
        <v>Lipid metabolism</v>
      </c>
      <c r="E823" t="s">
        <v>3459</v>
      </c>
      <c r="F823" t="s">
        <v>814</v>
      </c>
      <c r="G823" t="s">
        <v>20448</v>
      </c>
      <c r="H823" t="s">
        <v>14360</v>
      </c>
      <c r="I823" t="s">
        <v>8873</v>
      </c>
      <c r="J823" s="4" t="s">
        <v>8873</v>
      </c>
      <c r="L823" t="s">
        <v>1883</v>
      </c>
      <c r="M823" t="s">
        <v>15185</v>
      </c>
      <c r="N823" t="s">
        <v>3459</v>
      </c>
      <c r="O823" t="s">
        <v>3459</v>
      </c>
      <c r="P823" t="s">
        <v>814</v>
      </c>
      <c r="Q823" t="s">
        <v>814</v>
      </c>
      <c r="R823" t="s">
        <v>3459</v>
      </c>
      <c r="S823" t="s">
        <v>14360</v>
      </c>
    </row>
    <row r="824" spans="1:19" x14ac:dyDescent="0.2">
      <c r="A824" t="s">
        <v>2064</v>
      </c>
      <c r="B824" t="s">
        <v>14359</v>
      </c>
      <c r="C824" t="s">
        <v>19512</v>
      </c>
      <c r="D824" t="str">
        <f>_xlfn.XLOOKUP(E824,pathways!$A$2:$A$31,pathways!$B$2:$B$31)</f>
        <v>Lipid metabolism</v>
      </c>
      <c r="E824" t="s">
        <v>3459</v>
      </c>
      <c r="F824" t="s">
        <v>814</v>
      </c>
      <c r="G824" t="s">
        <v>14360</v>
      </c>
      <c r="H824" t="s">
        <v>14360</v>
      </c>
      <c r="I824" t="s">
        <v>9436</v>
      </c>
      <c r="J824" s="4" t="s">
        <v>9436</v>
      </c>
      <c r="L824" t="s">
        <v>2063</v>
      </c>
      <c r="M824" t="s">
        <v>15361</v>
      </c>
      <c r="N824" t="s">
        <v>3459</v>
      </c>
      <c r="O824" t="s">
        <v>3459</v>
      </c>
      <c r="P824" t="s">
        <v>814</v>
      </c>
      <c r="Q824" t="s">
        <v>814</v>
      </c>
      <c r="R824" t="s">
        <v>3459</v>
      </c>
      <c r="S824" t="s">
        <v>3854</v>
      </c>
    </row>
    <row r="825" spans="1:19" x14ac:dyDescent="0.2">
      <c r="A825" t="s">
        <v>1898</v>
      </c>
      <c r="B825" t="s">
        <v>14359</v>
      </c>
      <c r="C825" t="s">
        <v>19436</v>
      </c>
      <c r="D825" t="str">
        <f>_xlfn.XLOOKUP(E825,pathways!$A$2:$A$31,pathways!$B$2:$B$31)</f>
        <v>Lipid metabolism</v>
      </c>
      <c r="E825" t="s">
        <v>3459</v>
      </c>
      <c r="F825" t="s">
        <v>814</v>
      </c>
      <c r="G825" t="s">
        <v>14360</v>
      </c>
      <c r="H825" t="s">
        <v>14360</v>
      </c>
      <c r="I825" t="s">
        <v>8878</v>
      </c>
      <c r="J825" s="4" t="s">
        <v>8878</v>
      </c>
      <c r="L825" t="s">
        <v>1897</v>
      </c>
      <c r="M825" t="s">
        <v>15199</v>
      </c>
      <c r="N825" t="s">
        <v>3459</v>
      </c>
      <c r="O825" t="s">
        <v>3459</v>
      </c>
      <c r="P825" t="s">
        <v>814</v>
      </c>
      <c r="Q825" t="s">
        <v>814</v>
      </c>
      <c r="R825" t="s">
        <v>3459</v>
      </c>
      <c r="S825" t="s">
        <v>3854</v>
      </c>
    </row>
    <row r="826" spans="1:19" x14ac:dyDescent="0.2">
      <c r="A826" t="s">
        <v>2060</v>
      </c>
      <c r="B826" t="s">
        <v>14359</v>
      </c>
      <c r="C826" t="s">
        <v>19510</v>
      </c>
      <c r="D826" t="str">
        <f>_xlfn.XLOOKUP(E826,pathways!$A$2:$A$31,pathways!$B$2:$B$31)</f>
        <v>Lipid metabolism</v>
      </c>
      <c r="E826" t="s">
        <v>3459</v>
      </c>
      <c r="F826" t="s">
        <v>814</v>
      </c>
      <c r="G826" t="s">
        <v>14360</v>
      </c>
      <c r="H826" t="s">
        <v>14360</v>
      </c>
      <c r="I826" t="s">
        <v>9428</v>
      </c>
      <c r="J826" s="4" t="s">
        <v>9428</v>
      </c>
      <c r="L826" t="s">
        <v>2059</v>
      </c>
      <c r="M826" t="s">
        <v>15359</v>
      </c>
      <c r="N826" t="s">
        <v>3459</v>
      </c>
      <c r="O826" t="s">
        <v>3459</v>
      </c>
      <c r="P826" t="s">
        <v>814</v>
      </c>
      <c r="Q826" t="s">
        <v>814</v>
      </c>
      <c r="R826" t="s">
        <v>3459</v>
      </c>
      <c r="S826" t="s">
        <v>3854</v>
      </c>
    </row>
    <row r="827" spans="1:19" x14ac:dyDescent="0.2">
      <c r="A827" t="s">
        <v>2534</v>
      </c>
      <c r="B827" t="s">
        <v>14359</v>
      </c>
      <c r="C827" t="s">
        <v>19681</v>
      </c>
      <c r="D827" t="str">
        <f>_xlfn.XLOOKUP(E827,pathways!$A$2:$A$31,pathways!$B$2:$B$31)</f>
        <v>Lipid metabolism</v>
      </c>
      <c r="E827" t="s">
        <v>3459</v>
      </c>
      <c r="F827" t="s">
        <v>3810</v>
      </c>
      <c r="G827" t="s">
        <v>14360</v>
      </c>
      <c r="H827" t="s">
        <v>14360</v>
      </c>
      <c r="I827" t="s">
        <v>3813</v>
      </c>
      <c r="J827" s="4" t="s">
        <v>3813</v>
      </c>
      <c r="L827" t="s">
        <v>2533</v>
      </c>
      <c r="M827" t="s">
        <v>15849</v>
      </c>
      <c r="N827" t="s">
        <v>3459</v>
      </c>
      <c r="O827" t="s">
        <v>3459</v>
      </c>
      <c r="P827" t="s">
        <v>3810</v>
      </c>
      <c r="Q827" t="s">
        <v>3810</v>
      </c>
      <c r="R827" t="s">
        <v>3459</v>
      </c>
      <c r="S827" t="s">
        <v>3854</v>
      </c>
    </row>
    <row r="828" spans="1:19" x14ac:dyDescent="0.2">
      <c r="A828" t="s">
        <v>1165</v>
      </c>
      <c r="B828" t="s">
        <v>14359</v>
      </c>
      <c r="C828" t="s">
        <v>19198</v>
      </c>
      <c r="D828" t="str">
        <f>_xlfn.XLOOKUP(E828,pathways!$A$2:$A$31,pathways!$B$2:$B$31)</f>
        <v>Lipid metabolism</v>
      </c>
      <c r="E828" t="s">
        <v>3459</v>
      </c>
      <c r="F828" t="s">
        <v>3810</v>
      </c>
      <c r="G828" t="s">
        <v>14360</v>
      </c>
      <c r="H828" t="s">
        <v>14360</v>
      </c>
      <c r="I828" t="s">
        <v>5435</v>
      </c>
      <c r="J828" s="4" t="s">
        <v>5435</v>
      </c>
      <c r="L828" t="s">
        <v>1164</v>
      </c>
      <c r="M828" t="s">
        <v>14436</v>
      </c>
      <c r="N828" t="s">
        <v>3459</v>
      </c>
      <c r="O828" t="s">
        <v>3459</v>
      </c>
      <c r="P828" t="s">
        <v>3810</v>
      </c>
      <c r="Q828" t="s">
        <v>3810</v>
      </c>
      <c r="R828" t="s">
        <v>3459</v>
      </c>
      <c r="S828" t="s">
        <v>4679</v>
      </c>
    </row>
    <row r="829" spans="1:19" x14ac:dyDescent="0.2">
      <c r="A829" t="s">
        <v>2542</v>
      </c>
      <c r="B829" t="s">
        <v>14359</v>
      </c>
      <c r="C829" t="s">
        <v>19685</v>
      </c>
      <c r="D829" t="str">
        <f>_xlfn.XLOOKUP(E829,pathways!$A$2:$A$31,pathways!$B$2:$B$31)</f>
        <v>Lipid metabolism</v>
      </c>
      <c r="E829" t="s">
        <v>3459</v>
      </c>
      <c r="F829" t="s">
        <v>4017</v>
      </c>
      <c r="G829" t="s">
        <v>14360</v>
      </c>
      <c r="H829" t="s">
        <v>14360</v>
      </c>
      <c r="I829" t="s">
        <v>4036</v>
      </c>
      <c r="J829" s="4" t="s">
        <v>4036</v>
      </c>
      <c r="L829" t="s">
        <v>2541</v>
      </c>
      <c r="M829" t="s">
        <v>15859</v>
      </c>
      <c r="N829" t="s">
        <v>3459</v>
      </c>
      <c r="O829" t="s">
        <v>3459</v>
      </c>
      <c r="P829" t="s">
        <v>4017</v>
      </c>
      <c r="Q829" t="s">
        <v>11502</v>
      </c>
      <c r="R829" t="s">
        <v>3459</v>
      </c>
      <c r="S829" t="s">
        <v>3687</v>
      </c>
    </row>
    <row r="830" spans="1:19" x14ac:dyDescent="0.2">
      <c r="A830" t="s">
        <v>1286</v>
      </c>
      <c r="B830" t="s">
        <v>14359</v>
      </c>
      <c r="C830" t="s">
        <v>19240</v>
      </c>
      <c r="D830" t="str">
        <f>_xlfn.XLOOKUP(E830,pathways!$A$2:$A$31,pathways!$B$2:$B$31)</f>
        <v>Lipid metabolism</v>
      </c>
      <c r="E830" t="s">
        <v>3459</v>
      </c>
      <c r="F830" t="s">
        <v>3560</v>
      </c>
      <c r="G830" t="s">
        <v>14360</v>
      </c>
      <c r="H830" t="s">
        <v>14360</v>
      </c>
      <c r="I830" t="s">
        <v>5992</v>
      </c>
      <c r="J830" s="4" t="s">
        <v>5992</v>
      </c>
      <c r="L830" t="s">
        <v>1285</v>
      </c>
      <c r="M830" t="s">
        <v>14564</v>
      </c>
      <c r="N830" t="s">
        <v>3459</v>
      </c>
      <c r="O830" t="s">
        <v>3459</v>
      </c>
      <c r="P830" t="s">
        <v>3560</v>
      </c>
      <c r="Q830" t="s">
        <v>11702</v>
      </c>
      <c r="R830" t="s">
        <v>3459</v>
      </c>
      <c r="S830" t="s">
        <v>14360</v>
      </c>
    </row>
    <row r="831" spans="1:19" x14ac:dyDescent="0.2">
      <c r="A831" t="s">
        <v>13877</v>
      </c>
      <c r="B831" t="s">
        <v>14359</v>
      </c>
      <c r="C831" t="s">
        <v>19902</v>
      </c>
      <c r="D831" t="str">
        <f>_xlfn.XLOOKUP(E831,pathways!$A$2:$A$31,pathways!$B$2:$B$31)</f>
        <v>Lipid metabolism</v>
      </c>
      <c r="E831" t="s">
        <v>3459</v>
      </c>
      <c r="F831" t="s">
        <v>4774</v>
      </c>
      <c r="G831" t="s">
        <v>14360</v>
      </c>
      <c r="H831" t="s">
        <v>14360</v>
      </c>
      <c r="I831" t="s">
        <v>7387</v>
      </c>
      <c r="J831" s="4" t="s">
        <v>14360</v>
      </c>
      <c r="L831" t="s">
        <v>14360</v>
      </c>
      <c r="M831" t="s">
        <v>14360</v>
      </c>
      <c r="N831" t="s">
        <v>3459</v>
      </c>
      <c r="O831" t="s">
        <v>14360</v>
      </c>
      <c r="P831" t="s">
        <v>4774</v>
      </c>
      <c r="Q831" t="s">
        <v>14360</v>
      </c>
      <c r="R831" t="s">
        <v>14360</v>
      </c>
      <c r="S831" t="s">
        <v>14360</v>
      </c>
    </row>
    <row r="832" spans="1:19" x14ac:dyDescent="0.2">
      <c r="A832" t="s">
        <v>2443</v>
      </c>
      <c r="B832" t="s">
        <v>14359</v>
      </c>
      <c r="C832" t="s">
        <v>19648</v>
      </c>
      <c r="D832" t="str">
        <f>_xlfn.XLOOKUP(E832,pathways!$A$2:$A$31,pathways!$B$2:$B$31)</f>
        <v>Lipid metabolism</v>
      </c>
      <c r="E832" t="s">
        <v>3459</v>
      </c>
      <c r="F832" t="s">
        <v>814</v>
      </c>
      <c r="G832" t="s">
        <v>14360</v>
      </c>
      <c r="H832" t="s">
        <v>14360</v>
      </c>
      <c r="I832" t="s">
        <v>5031</v>
      </c>
      <c r="J832" s="4" t="s">
        <v>5031</v>
      </c>
      <c r="L832" t="s">
        <v>2442</v>
      </c>
      <c r="M832" t="s">
        <v>15749</v>
      </c>
      <c r="N832" t="s">
        <v>3459</v>
      </c>
      <c r="O832" t="s">
        <v>3459</v>
      </c>
      <c r="P832" t="s">
        <v>814</v>
      </c>
      <c r="Q832" t="s">
        <v>814</v>
      </c>
      <c r="R832" t="s">
        <v>3459</v>
      </c>
      <c r="S832" t="s">
        <v>14360</v>
      </c>
    </row>
    <row r="833" spans="1:19" x14ac:dyDescent="0.2">
      <c r="A833" t="s">
        <v>14255</v>
      </c>
      <c r="B833" t="s">
        <v>14359</v>
      </c>
      <c r="C833" t="s">
        <v>20086</v>
      </c>
      <c r="D833" t="str">
        <f>_xlfn.XLOOKUP(E833,pathways!$A$2:$A$31,pathways!$B$2:$B$31)</f>
        <v>Lipid metabolism</v>
      </c>
      <c r="E833" t="s">
        <v>3459</v>
      </c>
      <c r="F833" t="s">
        <v>7792</v>
      </c>
      <c r="G833" t="s">
        <v>14360</v>
      </c>
      <c r="H833" t="s">
        <v>14360</v>
      </c>
      <c r="I833" t="s">
        <v>14360</v>
      </c>
      <c r="J833" s="4" t="s">
        <v>12499</v>
      </c>
      <c r="L833" t="s">
        <v>14360</v>
      </c>
      <c r="M833" t="s">
        <v>14360</v>
      </c>
      <c r="N833" t="s">
        <v>14360</v>
      </c>
      <c r="O833" t="s">
        <v>3459</v>
      </c>
      <c r="P833" t="s">
        <v>14360</v>
      </c>
      <c r="Q833" t="s">
        <v>7792</v>
      </c>
      <c r="R833" t="s">
        <v>14360</v>
      </c>
      <c r="S833" t="s">
        <v>3864</v>
      </c>
    </row>
    <row r="834" spans="1:19" x14ac:dyDescent="0.2">
      <c r="A834" t="s">
        <v>14256</v>
      </c>
      <c r="B834" t="s">
        <v>14359</v>
      </c>
      <c r="C834" t="s">
        <v>20087</v>
      </c>
      <c r="D834" t="str">
        <f>_xlfn.XLOOKUP(E834,pathways!$A$2:$A$31,pathways!$B$2:$B$31)</f>
        <v>Lipid metabolism</v>
      </c>
      <c r="E834" t="s">
        <v>3459</v>
      </c>
      <c r="F834" t="s">
        <v>7792</v>
      </c>
      <c r="G834" t="s">
        <v>14360</v>
      </c>
      <c r="H834" t="s">
        <v>14360</v>
      </c>
      <c r="I834" t="s">
        <v>14360</v>
      </c>
      <c r="J834" s="4" t="s">
        <v>12501</v>
      </c>
      <c r="L834" t="s">
        <v>14360</v>
      </c>
      <c r="M834" t="s">
        <v>14360</v>
      </c>
      <c r="N834" t="s">
        <v>14360</v>
      </c>
      <c r="O834" t="s">
        <v>3459</v>
      </c>
      <c r="P834" t="s">
        <v>14360</v>
      </c>
      <c r="Q834" t="s">
        <v>7792</v>
      </c>
      <c r="R834" t="s">
        <v>14360</v>
      </c>
      <c r="S834" t="s">
        <v>4084</v>
      </c>
    </row>
    <row r="835" spans="1:19" x14ac:dyDescent="0.2">
      <c r="A835" t="s">
        <v>1330</v>
      </c>
      <c r="B835" t="s">
        <v>14359</v>
      </c>
      <c r="C835" t="s">
        <v>19252</v>
      </c>
      <c r="D835" t="str">
        <f>_xlfn.XLOOKUP(E835,pathways!$A$2:$A$31,pathways!$B$2:$B$31)</f>
        <v>Lipid metabolism</v>
      </c>
      <c r="E835" t="s">
        <v>3459</v>
      </c>
      <c r="F835" t="s">
        <v>5526</v>
      </c>
      <c r="G835" t="s">
        <v>14360</v>
      </c>
      <c r="H835" t="s">
        <v>14360</v>
      </c>
      <c r="I835" t="s">
        <v>6296</v>
      </c>
      <c r="J835" s="4" t="s">
        <v>6296</v>
      </c>
      <c r="L835" t="s">
        <v>1329</v>
      </c>
      <c r="M835" t="s">
        <v>14608</v>
      </c>
      <c r="N835" t="s">
        <v>3459</v>
      </c>
      <c r="O835" t="s">
        <v>3459</v>
      </c>
      <c r="P835" t="s">
        <v>5526</v>
      </c>
      <c r="Q835" t="s">
        <v>11596</v>
      </c>
      <c r="R835" t="s">
        <v>3459</v>
      </c>
    </row>
    <row r="836" spans="1:19" x14ac:dyDescent="0.2">
      <c r="A836" t="s">
        <v>2038</v>
      </c>
      <c r="B836" t="s">
        <v>14359</v>
      </c>
      <c r="C836" t="s">
        <v>19499</v>
      </c>
      <c r="D836" t="str">
        <f>_xlfn.XLOOKUP(E836,pathways!$A$2:$A$31,pathways!$B$2:$B$31)</f>
        <v>Lipid metabolism</v>
      </c>
      <c r="E836" t="s">
        <v>3459</v>
      </c>
      <c r="F836" t="s">
        <v>9134</v>
      </c>
      <c r="G836" t="s">
        <v>14360</v>
      </c>
      <c r="H836" t="s">
        <v>14360</v>
      </c>
      <c r="I836" t="s">
        <v>9371</v>
      </c>
      <c r="J836" s="4" t="s">
        <v>9371</v>
      </c>
      <c r="L836" t="s">
        <v>2037</v>
      </c>
      <c r="M836" t="s">
        <v>15341</v>
      </c>
      <c r="N836" t="s">
        <v>3459</v>
      </c>
      <c r="O836" t="s">
        <v>3459</v>
      </c>
      <c r="P836" t="s">
        <v>9134</v>
      </c>
      <c r="Q836" t="s">
        <v>9134</v>
      </c>
      <c r="R836" t="s">
        <v>3459</v>
      </c>
      <c r="S836" t="s">
        <v>4806</v>
      </c>
    </row>
    <row r="837" spans="1:19" x14ac:dyDescent="0.2">
      <c r="A837" t="s">
        <v>1119</v>
      </c>
      <c r="B837" t="s">
        <v>14359</v>
      </c>
      <c r="C837" t="s">
        <v>19181</v>
      </c>
      <c r="D837" t="str">
        <f>_xlfn.XLOOKUP(E837,pathways!$A$2:$A$31,pathways!$B$2:$B$31)</f>
        <v>Lipid metabolism</v>
      </c>
      <c r="E837" t="s">
        <v>3459</v>
      </c>
      <c r="F837" t="s">
        <v>3873</v>
      </c>
      <c r="G837" t="s">
        <v>5185</v>
      </c>
      <c r="H837" t="s">
        <v>14360</v>
      </c>
      <c r="I837" t="s">
        <v>5185</v>
      </c>
      <c r="J837" s="4" t="s">
        <v>14360</v>
      </c>
      <c r="L837" t="s">
        <v>1118</v>
      </c>
      <c r="M837" t="s">
        <v>14388</v>
      </c>
      <c r="N837" t="s">
        <v>3459</v>
      </c>
      <c r="O837" t="s">
        <v>14360</v>
      </c>
      <c r="P837" t="s">
        <v>3873</v>
      </c>
      <c r="Q837" t="s">
        <v>14360</v>
      </c>
      <c r="R837" t="s">
        <v>3459</v>
      </c>
      <c r="S837" t="s">
        <v>14360</v>
      </c>
    </row>
    <row r="838" spans="1:19" x14ac:dyDescent="0.2">
      <c r="A838" t="s">
        <v>13958</v>
      </c>
      <c r="B838" t="s">
        <v>14359</v>
      </c>
      <c r="C838" t="s">
        <v>19901</v>
      </c>
      <c r="D838" t="str">
        <f>_xlfn.XLOOKUP(E838,pathways!$A$2:$A$31,pathways!$B$2:$B$31)</f>
        <v>Lipid metabolism</v>
      </c>
      <c r="E838" t="s">
        <v>3459</v>
      </c>
      <c r="F838" t="s">
        <v>8397</v>
      </c>
      <c r="G838" t="s">
        <v>14360</v>
      </c>
      <c r="H838" t="s">
        <v>14360</v>
      </c>
      <c r="I838" t="s">
        <v>8731</v>
      </c>
      <c r="J838" s="4" t="s">
        <v>14360</v>
      </c>
      <c r="L838" t="s">
        <v>14360</v>
      </c>
      <c r="M838" t="s">
        <v>14360</v>
      </c>
      <c r="N838" t="s">
        <v>3459</v>
      </c>
      <c r="O838" t="s">
        <v>14360</v>
      </c>
      <c r="P838" t="s">
        <v>8397</v>
      </c>
      <c r="Q838" t="s">
        <v>14360</v>
      </c>
      <c r="R838" t="s">
        <v>14360</v>
      </c>
      <c r="S838" t="s">
        <v>6580</v>
      </c>
    </row>
    <row r="839" spans="1:19" x14ac:dyDescent="0.2">
      <c r="A839" t="s">
        <v>1282</v>
      </c>
      <c r="B839" t="s">
        <v>14359</v>
      </c>
      <c r="C839" t="s">
        <v>19238</v>
      </c>
      <c r="D839" t="str">
        <f>_xlfn.XLOOKUP(E839,pathways!$A$2:$A$31,pathways!$B$2:$B$31)</f>
        <v>Lipid metabolism</v>
      </c>
      <c r="E839" t="s">
        <v>3459</v>
      </c>
      <c r="F839" t="s">
        <v>3516</v>
      </c>
      <c r="G839" t="s">
        <v>14360</v>
      </c>
      <c r="H839" t="s">
        <v>14360</v>
      </c>
      <c r="I839" t="s">
        <v>6015</v>
      </c>
      <c r="J839" s="4" t="s">
        <v>14360</v>
      </c>
      <c r="L839" t="s">
        <v>1281</v>
      </c>
      <c r="M839" t="s">
        <v>14560</v>
      </c>
      <c r="N839" t="s">
        <v>3459</v>
      </c>
      <c r="O839" t="s">
        <v>14360</v>
      </c>
      <c r="P839" t="s">
        <v>3516</v>
      </c>
      <c r="Q839" t="s">
        <v>14360</v>
      </c>
      <c r="R839" t="s">
        <v>3459</v>
      </c>
      <c r="S839" t="s">
        <v>14360</v>
      </c>
    </row>
    <row r="840" spans="1:19" x14ac:dyDescent="0.2">
      <c r="A840" t="s">
        <v>2447</v>
      </c>
      <c r="B840" t="s">
        <v>14359</v>
      </c>
      <c r="C840" t="s">
        <v>19649</v>
      </c>
      <c r="D840" t="str">
        <f>_xlfn.XLOOKUP(E840,pathways!$A$2:$A$31,pathways!$B$2:$B$31)</f>
        <v>Lipid metabolism</v>
      </c>
      <c r="E840" t="s">
        <v>3459</v>
      </c>
      <c r="F840" t="s">
        <v>3516</v>
      </c>
      <c r="G840" t="s">
        <v>14360</v>
      </c>
      <c r="H840" t="s">
        <v>14360</v>
      </c>
      <c r="I840" t="s">
        <v>5061</v>
      </c>
      <c r="J840" s="4" t="s">
        <v>5061</v>
      </c>
      <c r="L840" t="s">
        <v>2446</v>
      </c>
      <c r="M840" t="s">
        <v>15753</v>
      </c>
      <c r="N840" t="s">
        <v>3459</v>
      </c>
      <c r="O840" t="s">
        <v>3459</v>
      </c>
      <c r="P840" t="s">
        <v>3516</v>
      </c>
      <c r="Q840" t="s">
        <v>3516</v>
      </c>
      <c r="R840" t="s">
        <v>3459</v>
      </c>
      <c r="S840" t="s">
        <v>3864</v>
      </c>
    </row>
    <row r="841" spans="1:19" x14ac:dyDescent="0.2">
      <c r="A841" t="s">
        <v>14069</v>
      </c>
      <c r="B841" t="s">
        <v>14359</v>
      </c>
      <c r="C841" t="s">
        <v>19592</v>
      </c>
      <c r="D841" t="str">
        <f>_xlfn.XLOOKUP(E841,pathways!$A$2:$A$31,pathways!$B$2:$B$31)</f>
        <v>Lipid metabolism</v>
      </c>
      <c r="E841" t="s">
        <v>3459</v>
      </c>
      <c r="F841" t="s">
        <v>3819</v>
      </c>
      <c r="G841" t="s">
        <v>14360</v>
      </c>
      <c r="H841" t="s">
        <v>14360</v>
      </c>
      <c r="I841" t="s">
        <v>10064</v>
      </c>
      <c r="J841" s="4" t="s">
        <v>14360</v>
      </c>
      <c r="L841" t="s">
        <v>2280</v>
      </c>
      <c r="M841" t="s">
        <v>15577</v>
      </c>
      <c r="N841" t="s">
        <v>3459</v>
      </c>
      <c r="O841" t="s">
        <v>14360</v>
      </c>
      <c r="P841" t="s">
        <v>3819</v>
      </c>
      <c r="Q841" t="s">
        <v>14360</v>
      </c>
      <c r="R841" t="s">
        <v>3459</v>
      </c>
      <c r="S841" t="s">
        <v>3864</v>
      </c>
    </row>
    <row r="842" spans="1:19" x14ac:dyDescent="0.2">
      <c r="A842" t="s">
        <v>2439</v>
      </c>
      <c r="B842" t="s">
        <v>14359</v>
      </c>
      <c r="C842" t="s">
        <v>19646</v>
      </c>
      <c r="D842" t="str">
        <f>_xlfn.XLOOKUP(E842,pathways!$A$2:$A$31,pathways!$B$2:$B$31)</f>
        <v>Lipid metabolism</v>
      </c>
      <c r="E842" t="s">
        <v>3459</v>
      </c>
      <c r="F842" t="s">
        <v>3516</v>
      </c>
      <c r="G842" t="s">
        <v>14360</v>
      </c>
      <c r="H842" t="s">
        <v>14360</v>
      </c>
      <c r="I842" t="s">
        <v>5069</v>
      </c>
      <c r="J842" s="4" t="s">
        <v>5069</v>
      </c>
      <c r="L842" t="s">
        <v>2438</v>
      </c>
      <c r="M842" t="s">
        <v>15745</v>
      </c>
      <c r="N842" t="s">
        <v>3459</v>
      </c>
      <c r="O842" t="s">
        <v>3459</v>
      </c>
      <c r="P842" t="s">
        <v>3516</v>
      </c>
      <c r="Q842" t="s">
        <v>3516</v>
      </c>
      <c r="R842" t="s">
        <v>3459</v>
      </c>
      <c r="S842" t="s">
        <v>3864</v>
      </c>
    </row>
    <row r="843" spans="1:19" x14ac:dyDescent="0.2">
      <c r="A843" t="s">
        <v>1515</v>
      </c>
      <c r="B843" t="s">
        <v>14359</v>
      </c>
      <c r="C843" t="s">
        <v>19315</v>
      </c>
      <c r="D843" t="str">
        <f>_xlfn.XLOOKUP(E843,pathways!$A$2:$A$31,pathways!$B$2:$B$31)</f>
        <v>Lipid metabolism</v>
      </c>
      <c r="E843" t="s">
        <v>3459</v>
      </c>
      <c r="F843" t="s">
        <v>3819</v>
      </c>
      <c r="G843" t="s">
        <v>14360</v>
      </c>
      <c r="H843" t="s">
        <v>14360</v>
      </c>
      <c r="I843" t="s">
        <v>7144</v>
      </c>
      <c r="J843" s="4" t="s">
        <v>7144</v>
      </c>
      <c r="L843" t="s">
        <v>1514</v>
      </c>
      <c r="M843" t="s">
        <v>14800</v>
      </c>
      <c r="N843" t="s">
        <v>3459</v>
      </c>
      <c r="O843" t="s">
        <v>3459</v>
      </c>
      <c r="P843" t="s">
        <v>3819</v>
      </c>
      <c r="Q843" t="s">
        <v>3819</v>
      </c>
      <c r="R843" t="s">
        <v>3459</v>
      </c>
      <c r="S843" t="s">
        <v>4215</v>
      </c>
    </row>
    <row r="844" spans="1:19" x14ac:dyDescent="0.2">
      <c r="A844" t="s">
        <v>2441</v>
      </c>
      <c r="B844" t="s">
        <v>14359</v>
      </c>
      <c r="C844" t="s">
        <v>19647</v>
      </c>
      <c r="D844" t="str">
        <f>_xlfn.XLOOKUP(E844,pathways!$A$2:$A$31,pathways!$B$2:$B$31)</f>
        <v>Lipid metabolism</v>
      </c>
      <c r="E844" t="s">
        <v>3459</v>
      </c>
      <c r="F844" t="s">
        <v>3819</v>
      </c>
      <c r="G844" t="s">
        <v>14360</v>
      </c>
      <c r="H844" t="s">
        <v>14360</v>
      </c>
      <c r="I844" t="s">
        <v>5076</v>
      </c>
      <c r="J844" s="4" t="s">
        <v>5076</v>
      </c>
      <c r="L844" t="s">
        <v>2440</v>
      </c>
      <c r="M844" t="s">
        <v>15747</v>
      </c>
      <c r="N844" t="s">
        <v>3459</v>
      </c>
      <c r="O844" t="s">
        <v>3459</v>
      </c>
      <c r="P844" t="s">
        <v>3819</v>
      </c>
      <c r="Q844" t="s">
        <v>3819</v>
      </c>
      <c r="R844" t="s">
        <v>3459</v>
      </c>
      <c r="S844" t="s">
        <v>4215</v>
      </c>
    </row>
    <row r="845" spans="1:19" x14ac:dyDescent="0.2">
      <c r="A845" t="s">
        <v>13959</v>
      </c>
      <c r="B845" t="s">
        <v>14359</v>
      </c>
      <c r="C845" t="s">
        <v>19423</v>
      </c>
      <c r="D845" t="str">
        <f>_xlfn.XLOOKUP(E845,pathways!$A$2:$A$31,pathways!$B$2:$B$31)</f>
        <v>Lipid metabolism</v>
      </c>
      <c r="E845" t="s">
        <v>3459</v>
      </c>
      <c r="F845" t="s">
        <v>3819</v>
      </c>
      <c r="G845" t="s">
        <v>14360</v>
      </c>
      <c r="H845" t="s">
        <v>14360</v>
      </c>
      <c r="I845" t="s">
        <v>8743</v>
      </c>
      <c r="J845" s="4" t="s">
        <v>14360</v>
      </c>
      <c r="L845" t="s">
        <v>1867</v>
      </c>
      <c r="M845" t="s">
        <v>15168</v>
      </c>
      <c r="N845" t="s">
        <v>3459</v>
      </c>
      <c r="O845" t="s">
        <v>14360</v>
      </c>
      <c r="P845" t="s">
        <v>3819</v>
      </c>
      <c r="Q845" t="s">
        <v>14360</v>
      </c>
      <c r="R845" t="s">
        <v>3459</v>
      </c>
    </row>
    <row r="846" spans="1:19" x14ac:dyDescent="0.2">
      <c r="A846" t="s">
        <v>1455</v>
      </c>
      <c r="B846" t="s">
        <v>14359</v>
      </c>
      <c r="C846" t="s">
        <v>19298</v>
      </c>
      <c r="D846" t="str">
        <f>_xlfn.XLOOKUP(E846,pathways!$A$2:$A$31,pathways!$B$2:$B$31)</f>
        <v>Lipid metabolism</v>
      </c>
      <c r="E846" t="s">
        <v>3459</v>
      </c>
      <c r="F846" t="s">
        <v>3819</v>
      </c>
      <c r="G846" t="s">
        <v>14360</v>
      </c>
      <c r="H846" t="s">
        <v>14360</v>
      </c>
      <c r="I846" t="s">
        <v>6839</v>
      </c>
      <c r="J846" s="4" t="s">
        <v>6839</v>
      </c>
      <c r="L846" t="s">
        <v>1454</v>
      </c>
      <c r="M846" t="s">
        <v>14740</v>
      </c>
      <c r="N846" t="s">
        <v>3459</v>
      </c>
      <c r="O846" t="s">
        <v>3459</v>
      </c>
      <c r="P846" t="s">
        <v>3819</v>
      </c>
      <c r="Q846" t="s">
        <v>3819</v>
      </c>
      <c r="R846" t="s">
        <v>3459</v>
      </c>
      <c r="S846" t="s">
        <v>6580</v>
      </c>
    </row>
    <row r="847" spans="1:19" x14ac:dyDescent="0.2">
      <c r="A847" t="s">
        <v>13903</v>
      </c>
      <c r="B847" t="s">
        <v>14359</v>
      </c>
      <c r="C847" t="s">
        <v>20088</v>
      </c>
      <c r="D847" t="str">
        <f>_xlfn.XLOOKUP(E847,pathways!$A$2:$A$31,pathways!$B$2:$B$31)</f>
        <v>Lipid metabolism</v>
      </c>
      <c r="E847" t="s">
        <v>3459</v>
      </c>
      <c r="F847" t="s">
        <v>3819</v>
      </c>
      <c r="G847" t="s">
        <v>14360</v>
      </c>
      <c r="H847" t="s">
        <v>14360</v>
      </c>
      <c r="I847" t="s">
        <v>7745</v>
      </c>
      <c r="J847" s="4" t="s">
        <v>14360</v>
      </c>
      <c r="L847" t="s">
        <v>14360</v>
      </c>
      <c r="M847" t="s">
        <v>14360</v>
      </c>
      <c r="N847" t="s">
        <v>3459</v>
      </c>
      <c r="O847" t="s">
        <v>14360</v>
      </c>
      <c r="P847" t="s">
        <v>3819</v>
      </c>
      <c r="Q847" t="s">
        <v>14360</v>
      </c>
      <c r="R847" t="s">
        <v>14360</v>
      </c>
      <c r="S847" t="s">
        <v>6580</v>
      </c>
    </row>
    <row r="848" spans="1:19" x14ac:dyDescent="0.2">
      <c r="A848" t="s">
        <v>2275</v>
      </c>
      <c r="B848" t="s">
        <v>14359</v>
      </c>
      <c r="C848" t="s">
        <v>19589</v>
      </c>
      <c r="D848" t="str">
        <f>_xlfn.XLOOKUP(E848,pathways!$A$2:$A$31,pathways!$B$2:$B$31)</f>
        <v>Lipid metabolism</v>
      </c>
      <c r="E848" t="s">
        <v>3459</v>
      </c>
      <c r="F848" t="s">
        <v>3873</v>
      </c>
      <c r="G848" t="s">
        <v>14360</v>
      </c>
      <c r="H848" t="s">
        <v>14360</v>
      </c>
      <c r="I848" t="s">
        <v>10070</v>
      </c>
      <c r="J848" s="4" t="s">
        <v>14360</v>
      </c>
      <c r="L848" t="s">
        <v>2274</v>
      </c>
      <c r="M848" t="s">
        <v>15571</v>
      </c>
      <c r="N848" t="s">
        <v>3459</v>
      </c>
      <c r="O848" t="s">
        <v>14360</v>
      </c>
      <c r="P848" t="s">
        <v>3873</v>
      </c>
      <c r="Q848" t="s">
        <v>14360</v>
      </c>
      <c r="R848" t="s">
        <v>3459</v>
      </c>
      <c r="S848" t="s">
        <v>6580</v>
      </c>
    </row>
    <row r="849" spans="1:19" x14ac:dyDescent="0.2">
      <c r="A849" t="s">
        <v>14019</v>
      </c>
      <c r="B849" t="s">
        <v>14359</v>
      </c>
      <c r="C849" t="s">
        <v>19564</v>
      </c>
      <c r="D849" t="str">
        <f>_xlfn.XLOOKUP(E849,pathways!$A$2:$A$31,pathways!$B$2:$B$31)</f>
        <v>Lipid metabolism</v>
      </c>
      <c r="E849" t="s">
        <v>3459</v>
      </c>
      <c r="F849" t="s">
        <v>3560</v>
      </c>
      <c r="G849" t="s">
        <v>14360</v>
      </c>
      <c r="H849" t="s">
        <v>14360</v>
      </c>
      <c r="I849" t="s">
        <v>9710</v>
      </c>
      <c r="J849" s="4" t="s">
        <v>14360</v>
      </c>
      <c r="L849" t="s">
        <v>2174</v>
      </c>
      <c r="M849" t="s">
        <v>15472</v>
      </c>
      <c r="N849" t="s">
        <v>3459</v>
      </c>
      <c r="O849" t="s">
        <v>14360</v>
      </c>
      <c r="P849" t="s">
        <v>3560</v>
      </c>
      <c r="Q849" t="s">
        <v>14360</v>
      </c>
      <c r="R849" t="s">
        <v>3459</v>
      </c>
      <c r="S849" t="s">
        <v>6580</v>
      </c>
    </row>
    <row r="850" spans="1:19" x14ac:dyDescent="0.2">
      <c r="A850" t="s">
        <v>1449</v>
      </c>
      <c r="B850" t="s">
        <v>14359</v>
      </c>
      <c r="C850" t="s">
        <v>19295</v>
      </c>
      <c r="D850" t="str">
        <f>_xlfn.XLOOKUP(E850,pathways!$A$2:$A$31,pathways!$B$2:$B$31)</f>
        <v>Lipid metabolism</v>
      </c>
      <c r="E850" t="s">
        <v>3459</v>
      </c>
      <c r="F850" t="s">
        <v>3873</v>
      </c>
      <c r="G850" t="s">
        <v>6752</v>
      </c>
      <c r="H850" t="s">
        <v>14360</v>
      </c>
      <c r="I850" t="s">
        <v>6752</v>
      </c>
      <c r="J850" s="4" t="s">
        <v>6752</v>
      </c>
      <c r="L850" t="s">
        <v>1448</v>
      </c>
      <c r="M850" t="s">
        <v>14734</v>
      </c>
      <c r="N850" t="s">
        <v>3459</v>
      </c>
      <c r="O850" t="s">
        <v>3459</v>
      </c>
      <c r="P850" t="s">
        <v>3873</v>
      </c>
      <c r="Q850" t="s">
        <v>3873</v>
      </c>
      <c r="R850" t="s">
        <v>3459</v>
      </c>
      <c r="S850" t="s">
        <v>3873</v>
      </c>
    </row>
    <row r="851" spans="1:19" x14ac:dyDescent="0.2">
      <c r="A851" t="s">
        <v>14112</v>
      </c>
      <c r="B851" t="s">
        <v>14359</v>
      </c>
      <c r="C851" t="s">
        <v>19610</v>
      </c>
      <c r="D851" t="str">
        <f>_xlfn.XLOOKUP(E851,pathways!$A$2:$A$31,pathways!$B$2:$B$31)</f>
        <v>Lipid metabolism</v>
      </c>
      <c r="E851" t="s">
        <v>3459</v>
      </c>
      <c r="F851" t="s">
        <v>3768</v>
      </c>
      <c r="G851" t="s">
        <v>14360</v>
      </c>
      <c r="H851" t="s">
        <v>14360</v>
      </c>
      <c r="I851" t="s">
        <v>10245</v>
      </c>
      <c r="J851" s="4" t="s">
        <v>14360</v>
      </c>
      <c r="L851" t="s">
        <v>2319</v>
      </c>
      <c r="M851" t="s">
        <v>15621</v>
      </c>
      <c r="N851" t="s">
        <v>3459</v>
      </c>
      <c r="O851" t="s">
        <v>14360</v>
      </c>
      <c r="P851" t="s">
        <v>3768</v>
      </c>
      <c r="Q851" t="s">
        <v>14360</v>
      </c>
      <c r="R851" t="s">
        <v>3459</v>
      </c>
      <c r="S851" t="s">
        <v>3586</v>
      </c>
    </row>
    <row r="852" spans="1:19" x14ac:dyDescent="0.2">
      <c r="A852" t="s">
        <v>14046</v>
      </c>
      <c r="B852" t="s">
        <v>14359</v>
      </c>
      <c r="C852" t="s">
        <v>20089</v>
      </c>
      <c r="D852" t="str">
        <f>_xlfn.XLOOKUP(E852,pathways!$A$2:$A$31,pathways!$B$2:$B$31)</f>
        <v>Lipid metabolism</v>
      </c>
      <c r="E852" t="s">
        <v>3459</v>
      </c>
      <c r="F852" t="s">
        <v>3768</v>
      </c>
      <c r="G852" t="s">
        <v>14360</v>
      </c>
      <c r="H852" t="s">
        <v>14360</v>
      </c>
      <c r="I852" t="s">
        <v>9925</v>
      </c>
      <c r="J852" s="4" t="s">
        <v>14360</v>
      </c>
      <c r="L852" t="s">
        <v>14360</v>
      </c>
      <c r="M852" t="s">
        <v>14360</v>
      </c>
      <c r="N852" t="s">
        <v>3459</v>
      </c>
      <c r="O852" t="s">
        <v>14360</v>
      </c>
      <c r="P852" t="s">
        <v>3768</v>
      </c>
      <c r="Q852" t="s">
        <v>14360</v>
      </c>
      <c r="R852" t="s">
        <v>14360</v>
      </c>
      <c r="S852" t="s">
        <v>4084</v>
      </c>
    </row>
    <row r="853" spans="1:19" x14ac:dyDescent="0.2">
      <c r="A853" t="s">
        <v>14120</v>
      </c>
      <c r="B853" t="s">
        <v>14359</v>
      </c>
      <c r="C853" t="s">
        <v>20090</v>
      </c>
      <c r="D853" t="str">
        <f>_xlfn.XLOOKUP(E853,pathways!$A$2:$A$31,pathways!$B$2:$B$31)</f>
        <v>Lipid metabolism</v>
      </c>
      <c r="E853" t="s">
        <v>3459</v>
      </c>
      <c r="F853" t="s">
        <v>3768</v>
      </c>
      <c r="G853" t="s">
        <v>14360</v>
      </c>
      <c r="H853" t="s">
        <v>14360</v>
      </c>
      <c r="I853" t="s">
        <v>10267</v>
      </c>
      <c r="J853" s="4" t="s">
        <v>14360</v>
      </c>
      <c r="L853" t="s">
        <v>14360</v>
      </c>
      <c r="M853" t="s">
        <v>14360</v>
      </c>
      <c r="N853" t="s">
        <v>3459</v>
      </c>
      <c r="O853" t="s">
        <v>14360</v>
      </c>
      <c r="P853" t="s">
        <v>3768</v>
      </c>
      <c r="Q853" t="s">
        <v>14360</v>
      </c>
      <c r="R853" t="s">
        <v>14360</v>
      </c>
      <c r="S853" t="s">
        <v>4887</v>
      </c>
    </row>
    <row r="854" spans="1:19" x14ac:dyDescent="0.2">
      <c r="A854" t="s">
        <v>2128</v>
      </c>
      <c r="B854" t="s">
        <v>14359</v>
      </c>
      <c r="C854" t="s">
        <v>19540</v>
      </c>
      <c r="D854" t="str">
        <f>_xlfn.XLOOKUP(E854,pathways!$A$2:$A$31,pathways!$B$2:$B$31)</f>
        <v>Lipid metabolism</v>
      </c>
      <c r="E854" t="s">
        <v>3459</v>
      </c>
      <c r="F854" t="s">
        <v>4991</v>
      </c>
      <c r="G854" t="s">
        <v>14360</v>
      </c>
      <c r="H854" t="s">
        <v>14360</v>
      </c>
      <c r="I854" t="s">
        <v>9584</v>
      </c>
      <c r="J854" s="4" t="s">
        <v>14360</v>
      </c>
      <c r="L854" t="s">
        <v>2127</v>
      </c>
      <c r="M854" t="s">
        <v>15422</v>
      </c>
      <c r="N854" t="s">
        <v>3459</v>
      </c>
      <c r="O854" t="s">
        <v>14360</v>
      </c>
      <c r="P854" t="s">
        <v>4991</v>
      </c>
      <c r="Q854" t="s">
        <v>14360</v>
      </c>
      <c r="R854" t="s">
        <v>3459</v>
      </c>
    </row>
    <row r="855" spans="1:19" x14ac:dyDescent="0.2">
      <c r="A855" t="s">
        <v>1886</v>
      </c>
      <c r="B855" t="s">
        <v>14359</v>
      </c>
      <c r="C855" t="s">
        <v>19430</v>
      </c>
      <c r="D855" t="str">
        <f>_xlfn.XLOOKUP(E855,pathways!$A$2:$A$31,pathways!$B$2:$B$31)</f>
        <v>Lipid metabolism</v>
      </c>
      <c r="E855" t="s">
        <v>3459</v>
      </c>
      <c r="F855" t="s">
        <v>814</v>
      </c>
      <c r="G855" t="s">
        <v>20452</v>
      </c>
      <c r="H855" t="s">
        <v>14360</v>
      </c>
      <c r="I855" t="s">
        <v>8869</v>
      </c>
      <c r="J855" s="4" t="s">
        <v>8869</v>
      </c>
      <c r="L855" t="s">
        <v>1885</v>
      </c>
      <c r="M855" t="s">
        <v>15187</v>
      </c>
      <c r="N855" t="s">
        <v>3459</v>
      </c>
      <c r="O855" t="s">
        <v>3459</v>
      </c>
      <c r="P855" t="s">
        <v>814</v>
      </c>
      <c r="Q855" t="s">
        <v>814</v>
      </c>
      <c r="R855" t="s">
        <v>3459</v>
      </c>
      <c r="S855" t="s">
        <v>4887</v>
      </c>
    </row>
    <row r="856" spans="1:19" x14ac:dyDescent="0.2">
      <c r="A856" t="s">
        <v>13875</v>
      </c>
      <c r="B856" t="s">
        <v>14359</v>
      </c>
      <c r="C856" t="s">
        <v>19328</v>
      </c>
      <c r="D856" t="str">
        <f>_xlfn.XLOOKUP(E856,pathways!$A$2:$A$31,pathways!$B$2:$B$31)</f>
        <v>Lipid metabolism</v>
      </c>
      <c r="E856" t="s">
        <v>3459</v>
      </c>
      <c r="F856" t="s">
        <v>3873</v>
      </c>
      <c r="G856" t="s">
        <v>14360</v>
      </c>
      <c r="H856" t="s">
        <v>14360</v>
      </c>
      <c r="I856" t="s">
        <v>7355</v>
      </c>
      <c r="J856" s="4" t="s">
        <v>14360</v>
      </c>
      <c r="L856" t="s">
        <v>1568</v>
      </c>
      <c r="M856" t="s">
        <v>14855</v>
      </c>
      <c r="N856" t="s">
        <v>3459</v>
      </c>
      <c r="O856" t="s">
        <v>14360</v>
      </c>
      <c r="P856" t="s">
        <v>3873</v>
      </c>
      <c r="Q856" t="s">
        <v>14360</v>
      </c>
      <c r="R856" t="s">
        <v>3459</v>
      </c>
      <c r="S856" t="s">
        <v>3758</v>
      </c>
    </row>
    <row r="857" spans="1:19" x14ac:dyDescent="0.2">
      <c r="A857" t="s">
        <v>1670</v>
      </c>
      <c r="B857" t="s">
        <v>14359</v>
      </c>
      <c r="C857" t="s">
        <v>19364</v>
      </c>
      <c r="D857" t="str">
        <f>_xlfn.XLOOKUP(E857,pathways!$A$2:$A$31,pathways!$B$2:$B$31)</f>
        <v>Lipid metabolism</v>
      </c>
      <c r="E857" t="s">
        <v>3459</v>
      </c>
      <c r="F857" t="s">
        <v>3758</v>
      </c>
      <c r="G857" t="s">
        <v>7871</v>
      </c>
      <c r="H857" t="s">
        <v>14360</v>
      </c>
      <c r="I857" t="s">
        <v>7871</v>
      </c>
      <c r="J857" s="4" t="s">
        <v>7871</v>
      </c>
      <c r="L857" t="s">
        <v>1669</v>
      </c>
      <c r="M857" t="s">
        <v>14961</v>
      </c>
      <c r="N857" t="s">
        <v>3459</v>
      </c>
      <c r="O857" t="s">
        <v>3459</v>
      </c>
      <c r="P857" t="s">
        <v>3758</v>
      </c>
      <c r="Q857" t="s">
        <v>3758</v>
      </c>
      <c r="R857" t="s">
        <v>3459</v>
      </c>
      <c r="S857" t="s">
        <v>14360</v>
      </c>
    </row>
    <row r="858" spans="1:19" x14ac:dyDescent="0.2">
      <c r="A858" t="s">
        <v>13850</v>
      </c>
      <c r="B858" t="s">
        <v>14359</v>
      </c>
      <c r="C858" t="s">
        <v>19891</v>
      </c>
      <c r="D858" t="str">
        <f>_xlfn.XLOOKUP(E858,pathways!$A$2:$A$31,pathways!$B$2:$B$31)</f>
        <v>Lipid metabolism</v>
      </c>
      <c r="E858" t="s">
        <v>3459</v>
      </c>
      <c r="F858" t="s">
        <v>3873</v>
      </c>
      <c r="G858" t="s">
        <v>6777</v>
      </c>
      <c r="H858" t="s">
        <v>14360</v>
      </c>
      <c r="I858" t="s">
        <v>6777</v>
      </c>
      <c r="J858" s="4" t="s">
        <v>14360</v>
      </c>
      <c r="L858" t="s">
        <v>14360</v>
      </c>
      <c r="M858" t="s">
        <v>14360</v>
      </c>
      <c r="N858" t="s">
        <v>3459</v>
      </c>
      <c r="O858" t="s">
        <v>14360</v>
      </c>
      <c r="P858" t="s">
        <v>3873</v>
      </c>
      <c r="Q858" t="s">
        <v>14360</v>
      </c>
      <c r="R858" t="s">
        <v>14360</v>
      </c>
      <c r="S858" t="s">
        <v>3758</v>
      </c>
    </row>
    <row r="859" spans="1:19" x14ac:dyDescent="0.2">
      <c r="A859" t="s">
        <v>14075</v>
      </c>
      <c r="B859" t="s">
        <v>14359</v>
      </c>
      <c r="C859" t="s">
        <v>19586</v>
      </c>
      <c r="D859" t="str">
        <f>_xlfn.XLOOKUP(E859,pathways!$A$2:$A$31,pathways!$B$2:$B$31)</f>
        <v>Lipid metabolism</v>
      </c>
      <c r="E859" t="s">
        <v>3459</v>
      </c>
      <c r="F859" t="s">
        <v>6535</v>
      </c>
      <c r="G859" t="s">
        <v>14360</v>
      </c>
      <c r="H859" t="s">
        <v>14360</v>
      </c>
      <c r="I859" t="s">
        <v>10091</v>
      </c>
      <c r="J859" s="4" t="s">
        <v>14360</v>
      </c>
      <c r="L859" t="s">
        <v>2268</v>
      </c>
      <c r="M859" t="s">
        <v>15565</v>
      </c>
      <c r="N859" t="s">
        <v>3459</v>
      </c>
      <c r="O859" t="s">
        <v>14360</v>
      </c>
      <c r="P859" t="s">
        <v>6535</v>
      </c>
      <c r="Q859" t="s">
        <v>14360</v>
      </c>
      <c r="R859" t="s">
        <v>3459</v>
      </c>
      <c r="S859" t="s">
        <v>14360</v>
      </c>
    </row>
    <row r="860" spans="1:19" x14ac:dyDescent="0.2">
      <c r="A860" t="s">
        <v>2375</v>
      </c>
      <c r="B860" t="s">
        <v>14359</v>
      </c>
      <c r="C860" t="s">
        <v>19629</v>
      </c>
      <c r="D860" t="str">
        <f>_xlfn.XLOOKUP(E860,pathways!$A$2:$A$31,pathways!$B$2:$B$31)</f>
        <v>Lipid metabolism</v>
      </c>
      <c r="E860" t="s">
        <v>3459</v>
      </c>
      <c r="F860" t="s">
        <v>3819</v>
      </c>
      <c r="G860" t="s">
        <v>14360</v>
      </c>
      <c r="H860" t="s">
        <v>14360</v>
      </c>
      <c r="I860" t="s">
        <v>4759</v>
      </c>
      <c r="J860" s="4" t="s">
        <v>4759</v>
      </c>
      <c r="L860" t="s">
        <v>2374</v>
      </c>
      <c r="M860" t="s">
        <v>15673</v>
      </c>
      <c r="N860" t="s">
        <v>3459</v>
      </c>
      <c r="O860" t="s">
        <v>3459</v>
      </c>
      <c r="P860" t="s">
        <v>3819</v>
      </c>
      <c r="Q860" t="s">
        <v>3819</v>
      </c>
      <c r="R860" t="s">
        <v>3459</v>
      </c>
      <c r="S860" t="s">
        <v>3882</v>
      </c>
    </row>
    <row r="861" spans="1:19" x14ac:dyDescent="0.2">
      <c r="A861" t="s">
        <v>13790</v>
      </c>
      <c r="B861" t="s">
        <v>14359</v>
      </c>
      <c r="C861" t="s">
        <v>19889</v>
      </c>
      <c r="D861" t="str">
        <f>_xlfn.XLOOKUP(E861,pathways!$A$2:$A$31,pathways!$B$2:$B$31)</f>
        <v>Lipid metabolism</v>
      </c>
      <c r="E861" t="s">
        <v>3459</v>
      </c>
      <c r="F861" t="s">
        <v>4765</v>
      </c>
      <c r="G861" t="s">
        <v>14360</v>
      </c>
      <c r="H861" t="s">
        <v>14360</v>
      </c>
      <c r="I861" t="s">
        <v>4768</v>
      </c>
      <c r="J861" s="4" t="s">
        <v>14360</v>
      </c>
      <c r="L861" t="s">
        <v>14360</v>
      </c>
      <c r="M861" t="s">
        <v>14360</v>
      </c>
      <c r="N861" t="s">
        <v>3459</v>
      </c>
      <c r="O861" t="s">
        <v>14360</v>
      </c>
      <c r="P861" t="s">
        <v>4765</v>
      </c>
      <c r="Q861" t="s">
        <v>14360</v>
      </c>
      <c r="R861" t="s">
        <v>14360</v>
      </c>
    </row>
    <row r="862" spans="1:19" x14ac:dyDescent="0.2">
      <c r="A862" t="s">
        <v>2108</v>
      </c>
      <c r="B862" t="s">
        <v>14359</v>
      </c>
      <c r="C862" t="s">
        <v>19534</v>
      </c>
      <c r="D862" t="str">
        <f>_xlfn.XLOOKUP(E862,pathways!$A$2:$A$31,pathways!$B$2:$B$31)</f>
        <v>Lipid metabolism</v>
      </c>
      <c r="E862" t="s">
        <v>3459</v>
      </c>
      <c r="F862" t="s">
        <v>6535</v>
      </c>
      <c r="G862" t="s">
        <v>14360</v>
      </c>
      <c r="H862" t="s">
        <v>14360</v>
      </c>
      <c r="I862" t="s">
        <v>9487</v>
      </c>
      <c r="J862" s="4" t="s">
        <v>9487</v>
      </c>
      <c r="L862" t="s">
        <v>2107</v>
      </c>
      <c r="M862" t="s">
        <v>15401</v>
      </c>
      <c r="N862" t="s">
        <v>3459</v>
      </c>
      <c r="O862" t="s">
        <v>3459</v>
      </c>
      <c r="P862" t="s">
        <v>6535</v>
      </c>
      <c r="Q862" t="s">
        <v>11596</v>
      </c>
      <c r="R862" t="s">
        <v>3459</v>
      </c>
      <c r="S862" t="s">
        <v>6580</v>
      </c>
    </row>
    <row r="863" spans="1:19" x14ac:dyDescent="0.2">
      <c r="A863" t="s">
        <v>20145</v>
      </c>
      <c r="B863" t="s">
        <v>14359</v>
      </c>
      <c r="C863" t="s">
        <v>20196</v>
      </c>
      <c r="D863" t="str">
        <f>_xlfn.XLOOKUP(E863,pathways!$A$2:$A$31,pathways!$B$2:$B$31)</f>
        <v>Lipid metabolism</v>
      </c>
      <c r="E863" t="s">
        <v>3459</v>
      </c>
      <c r="F863" t="s">
        <v>20197</v>
      </c>
      <c r="G863" t="s">
        <v>14360</v>
      </c>
      <c r="H863" t="s">
        <v>14360</v>
      </c>
      <c r="J863" t="s">
        <v>20196</v>
      </c>
      <c r="S863" t="s">
        <v>6580</v>
      </c>
    </row>
    <row r="864" spans="1:19" x14ac:dyDescent="0.2">
      <c r="A864" t="s">
        <v>19105</v>
      </c>
      <c r="B864" t="s">
        <v>14359</v>
      </c>
      <c r="C864" t="s">
        <v>19272</v>
      </c>
      <c r="D864" t="str">
        <f>_xlfn.XLOOKUP(E864,pathways!$A$2:$A$31,pathways!$B$2:$B$31)</f>
        <v>Lipid metabolism</v>
      </c>
      <c r="E864" t="s">
        <v>3459</v>
      </c>
      <c r="F864" t="s">
        <v>20202</v>
      </c>
      <c r="G864" t="s">
        <v>14360</v>
      </c>
      <c r="H864" t="s">
        <v>14360</v>
      </c>
      <c r="J864" t="s">
        <v>19272</v>
      </c>
      <c r="S864" t="s">
        <v>3516</v>
      </c>
    </row>
    <row r="865" spans="1:19" x14ac:dyDescent="0.2">
      <c r="A865" t="s">
        <v>19101</v>
      </c>
      <c r="B865" t="s">
        <v>14359</v>
      </c>
      <c r="C865" t="s">
        <v>20204</v>
      </c>
      <c r="D865" t="str">
        <f>_xlfn.XLOOKUP(E865,pathways!$A$2:$A$31,pathways!$B$2:$B$31)</f>
        <v>Lipid metabolism</v>
      </c>
      <c r="E865" t="s">
        <v>3459</v>
      </c>
      <c r="F865" t="s">
        <v>20205</v>
      </c>
      <c r="G865" t="s">
        <v>14360</v>
      </c>
      <c r="H865" t="s">
        <v>14360</v>
      </c>
      <c r="J865" t="s">
        <v>20204</v>
      </c>
      <c r="S865" t="s">
        <v>3516</v>
      </c>
    </row>
    <row r="866" spans="1:19" x14ac:dyDescent="0.2">
      <c r="A866" t="s">
        <v>20157</v>
      </c>
      <c r="B866" t="s">
        <v>14359</v>
      </c>
      <c r="C866" t="s">
        <v>20209</v>
      </c>
      <c r="D866" t="str">
        <f>_xlfn.XLOOKUP(E866,pathways!$A$2:$A$31,pathways!$B$2:$B$31)</f>
        <v>Lipid metabolism</v>
      </c>
      <c r="E866" t="s">
        <v>3459</v>
      </c>
      <c r="F866" t="s">
        <v>20210</v>
      </c>
      <c r="G866" t="s">
        <v>14360</v>
      </c>
      <c r="H866" t="s">
        <v>14360</v>
      </c>
      <c r="J866" t="s">
        <v>20209</v>
      </c>
      <c r="S866" t="s">
        <v>3516</v>
      </c>
    </row>
    <row r="867" spans="1:19" x14ac:dyDescent="0.2">
      <c r="A867" t="s">
        <v>20155</v>
      </c>
      <c r="B867" t="s">
        <v>14359</v>
      </c>
      <c r="C867" t="s">
        <v>20211</v>
      </c>
      <c r="D867" t="str">
        <f>_xlfn.XLOOKUP(E867,pathways!$A$2:$A$31,pathways!$B$2:$B$31)</f>
        <v>Lipid metabolism</v>
      </c>
      <c r="E867" t="s">
        <v>3459</v>
      </c>
      <c r="F867" t="s">
        <v>20212</v>
      </c>
      <c r="G867" t="s">
        <v>14360</v>
      </c>
      <c r="H867" t="s">
        <v>14360</v>
      </c>
      <c r="J867" t="s">
        <v>20211</v>
      </c>
      <c r="S867" t="s">
        <v>3516</v>
      </c>
    </row>
    <row r="868" spans="1:19" x14ac:dyDescent="0.2">
      <c r="A868" t="s">
        <v>20135</v>
      </c>
      <c r="B868" t="s">
        <v>14359</v>
      </c>
      <c r="C868" t="s">
        <v>20213</v>
      </c>
      <c r="D868" t="str">
        <f>_xlfn.XLOOKUP(E868,pathways!$A$2:$A$31,pathways!$B$2:$B$31)</f>
        <v>Lipid metabolism</v>
      </c>
      <c r="E868" t="s">
        <v>3459</v>
      </c>
      <c r="F868" t="s">
        <v>20214</v>
      </c>
      <c r="G868" t="s">
        <v>14360</v>
      </c>
      <c r="H868" t="s">
        <v>14360</v>
      </c>
      <c r="J868" t="s">
        <v>20213</v>
      </c>
      <c r="S868" t="s">
        <v>3516</v>
      </c>
    </row>
    <row r="869" spans="1:19" x14ac:dyDescent="0.2">
      <c r="A869" t="s">
        <v>20138</v>
      </c>
      <c r="B869" t="s">
        <v>14359</v>
      </c>
      <c r="C869" t="s">
        <v>20215</v>
      </c>
      <c r="D869" t="str">
        <f>_xlfn.XLOOKUP(E869,pathways!$A$2:$A$31,pathways!$B$2:$B$31)</f>
        <v>Lipid metabolism</v>
      </c>
      <c r="E869" t="s">
        <v>3459</v>
      </c>
      <c r="F869" t="s">
        <v>20216</v>
      </c>
      <c r="G869" t="s">
        <v>14360</v>
      </c>
      <c r="H869" t="s">
        <v>14360</v>
      </c>
      <c r="J869" t="s">
        <v>20215</v>
      </c>
      <c r="S869" t="s">
        <v>3516</v>
      </c>
    </row>
    <row r="870" spans="1:19" x14ac:dyDescent="0.2">
      <c r="A870" t="s">
        <v>20137</v>
      </c>
      <c r="B870" t="s">
        <v>14359</v>
      </c>
      <c r="C870" t="s">
        <v>20217</v>
      </c>
      <c r="D870" t="str">
        <f>_xlfn.XLOOKUP(E870,pathways!$A$2:$A$31,pathways!$B$2:$B$31)</f>
        <v>Lipid metabolism</v>
      </c>
      <c r="E870" t="s">
        <v>3459</v>
      </c>
      <c r="F870" t="s">
        <v>20216</v>
      </c>
      <c r="G870" t="s">
        <v>14360</v>
      </c>
      <c r="H870" t="s">
        <v>14360</v>
      </c>
      <c r="J870" t="s">
        <v>20217</v>
      </c>
      <c r="S870" t="s">
        <v>3819</v>
      </c>
    </row>
    <row r="871" spans="1:19" x14ac:dyDescent="0.2">
      <c r="A871" t="s">
        <v>20136</v>
      </c>
      <c r="B871" t="s">
        <v>14359</v>
      </c>
      <c r="C871" t="s">
        <v>20218</v>
      </c>
      <c r="D871" t="str">
        <f>_xlfn.XLOOKUP(E871,pathways!$A$2:$A$31,pathways!$B$2:$B$31)</f>
        <v>Lipid metabolism</v>
      </c>
      <c r="E871" t="s">
        <v>3459</v>
      </c>
      <c r="F871" t="s">
        <v>20216</v>
      </c>
      <c r="G871" t="s">
        <v>14360</v>
      </c>
      <c r="H871" t="s">
        <v>14360</v>
      </c>
      <c r="J871" t="s">
        <v>20218</v>
      </c>
      <c r="S871" t="s">
        <v>3819</v>
      </c>
    </row>
    <row r="872" spans="1:19" x14ac:dyDescent="0.2">
      <c r="A872" t="s">
        <v>20132</v>
      </c>
      <c r="B872" t="s">
        <v>14359</v>
      </c>
      <c r="C872" t="s">
        <v>20219</v>
      </c>
      <c r="D872" t="str">
        <f>_xlfn.XLOOKUP(E872,pathways!$A$2:$A$31,pathways!$B$2:$B$31)</f>
        <v>Lipid metabolism</v>
      </c>
      <c r="E872" t="s">
        <v>3459</v>
      </c>
      <c r="F872" t="s">
        <v>20220</v>
      </c>
      <c r="G872" t="s">
        <v>14360</v>
      </c>
      <c r="H872" t="s">
        <v>14360</v>
      </c>
      <c r="J872" t="s">
        <v>20219</v>
      </c>
      <c r="S872" t="s">
        <v>3819</v>
      </c>
    </row>
    <row r="873" spans="1:19" x14ac:dyDescent="0.2">
      <c r="A873" t="s">
        <v>19114</v>
      </c>
      <c r="B873" t="s">
        <v>14359</v>
      </c>
      <c r="C873" t="s">
        <v>20221</v>
      </c>
      <c r="D873" t="str">
        <f>_xlfn.XLOOKUP(E873,pathways!$A$2:$A$31,pathways!$B$2:$B$31)</f>
        <v>Lipid metabolism</v>
      </c>
      <c r="E873" t="s">
        <v>3459</v>
      </c>
      <c r="F873" t="s">
        <v>20220</v>
      </c>
      <c r="G873" t="s">
        <v>14360</v>
      </c>
      <c r="H873" t="s">
        <v>14360</v>
      </c>
      <c r="J873" t="s">
        <v>20221</v>
      </c>
      <c r="S873" t="s">
        <v>3819</v>
      </c>
    </row>
    <row r="874" spans="1:19" x14ac:dyDescent="0.2">
      <c r="A874" t="s">
        <v>20133</v>
      </c>
      <c r="B874" t="s">
        <v>14359</v>
      </c>
      <c r="C874" t="s">
        <v>20222</v>
      </c>
      <c r="D874" t="str">
        <f>_xlfn.XLOOKUP(E874,pathways!$A$2:$A$31,pathways!$B$2:$B$31)</f>
        <v>Lipid metabolism</v>
      </c>
      <c r="E874" t="s">
        <v>3459</v>
      </c>
      <c r="F874" t="s">
        <v>20223</v>
      </c>
      <c r="G874" t="s">
        <v>14360</v>
      </c>
      <c r="H874" t="s">
        <v>14360</v>
      </c>
      <c r="J874" t="s">
        <v>20222</v>
      </c>
      <c r="S874" t="s">
        <v>3819</v>
      </c>
    </row>
    <row r="875" spans="1:19" x14ac:dyDescent="0.2">
      <c r="A875" t="s">
        <v>20134</v>
      </c>
      <c r="B875" t="s">
        <v>14359</v>
      </c>
      <c r="C875" t="s">
        <v>20226</v>
      </c>
      <c r="D875" t="str">
        <f>_xlfn.XLOOKUP(E875,pathways!$A$2:$A$31,pathways!$B$2:$B$31)</f>
        <v>Lipid metabolism</v>
      </c>
      <c r="E875" t="s">
        <v>3459</v>
      </c>
      <c r="F875" t="s">
        <v>20216</v>
      </c>
      <c r="G875" t="s">
        <v>14360</v>
      </c>
      <c r="H875" t="s">
        <v>14360</v>
      </c>
      <c r="J875" t="s">
        <v>20226</v>
      </c>
      <c r="S875" t="s">
        <v>3819</v>
      </c>
    </row>
    <row r="876" spans="1:19" x14ac:dyDescent="0.2">
      <c r="A876" t="s">
        <v>20140</v>
      </c>
      <c r="B876" t="s">
        <v>14359</v>
      </c>
      <c r="C876" t="s">
        <v>20227</v>
      </c>
      <c r="D876" t="str">
        <f>_xlfn.XLOOKUP(E876,pathways!$A$2:$A$31,pathways!$B$2:$B$31)</f>
        <v>Lipid metabolism</v>
      </c>
      <c r="E876" t="s">
        <v>3459</v>
      </c>
      <c r="F876" t="s">
        <v>20228</v>
      </c>
      <c r="G876" t="s">
        <v>14360</v>
      </c>
      <c r="H876" t="s">
        <v>14360</v>
      </c>
      <c r="J876" t="s">
        <v>20227</v>
      </c>
    </row>
    <row r="877" spans="1:19" x14ac:dyDescent="0.2">
      <c r="A877" t="s">
        <v>20148</v>
      </c>
      <c r="B877" t="s">
        <v>14359</v>
      </c>
      <c r="C877" t="s">
        <v>20229</v>
      </c>
      <c r="D877" t="str">
        <f>_xlfn.XLOOKUP(E877,pathways!$A$2:$A$31,pathways!$B$2:$B$31)</f>
        <v>Lipid metabolism</v>
      </c>
      <c r="E877" t="s">
        <v>3459</v>
      </c>
      <c r="F877" t="s">
        <v>20230</v>
      </c>
      <c r="G877" t="s">
        <v>14360</v>
      </c>
      <c r="H877" t="s">
        <v>14360</v>
      </c>
      <c r="J877" t="s">
        <v>20229</v>
      </c>
      <c r="S877" t="s">
        <v>7081</v>
      </c>
    </row>
    <row r="878" spans="1:19" x14ac:dyDescent="0.2">
      <c r="A878" t="s">
        <v>20144</v>
      </c>
      <c r="B878" t="s">
        <v>14359</v>
      </c>
      <c r="C878" t="s">
        <v>20232</v>
      </c>
      <c r="D878" t="str">
        <f>_xlfn.XLOOKUP(E878,pathways!$A$2:$A$31,pathways!$B$2:$B$31)</f>
        <v>Lipid metabolism</v>
      </c>
      <c r="E878" t="s">
        <v>3459</v>
      </c>
      <c r="F878" t="s">
        <v>20233</v>
      </c>
      <c r="G878" t="s">
        <v>14360</v>
      </c>
      <c r="H878" t="s">
        <v>14360</v>
      </c>
      <c r="J878" t="s">
        <v>20232</v>
      </c>
      <c r="S878" t="s">
        <v>7081</v>
      </c>
    </row>
    <row r="879" spans="1:19" x14ac:dyDescent="0.2">
      <c r="A879" t="s">
        <v>20142</v>
      </c>
      <c r="B879" t="s">
        <v>14359</v>
      </c>
      <c r="C879" t="s">
        <v>20234</v>
      </c>
      <c r="D879" t="str">
        <f>_xlfn.XLOOKUP(E879,pathways!$A$2:$A$31,pathways!$B$2:$B$31)</f>
        <v>Lipid metabolism</v>
      </c>
      <c r="E879" t="s">
        <v>3459</v>
      </c>
      <c r="F879" t="s">
        <v>20235</v>
      </c>
      <c r="G879" t="s">
        <v>14360</v>
      </c>
      <c r="H879" t="s">
        <v>14360</v>
      </c>
      <c r="J879" t="s">
        <v>20234</v>
      </c>
      <c r="S879" t="s">
        <v>7081</v>
      </c>
    </row>
    <row r="880" spans="1:19" x14ac:dyDescent="0.2">
      <c r="A880" t="s">
        <v>20141</v>
      </c>
      <c r="B880" t="s">
        <v>14359</v>
      </c>
      <c r="C880" t="s">
        <v>20236</v>
      </c>
      <c r="D880" t="str">
        <f>_xlfn.XLOOKUP(E880,pathways!$A$2:$A$31,pathways!$B$2:$B$31)</f>
        <v>Lipid metabolism</v>
      </c>
      <c r="E880" t="s">
        <v>3459</v>
      </c>
      <c r="G880" t="s">
        <v>14360</v>
      </c>
      <c r="H880" t="s">
        <v>14360</v>
      </c>
      <c r="J880" t="s">
        <v>20236</v>
      </c>
      <c r="S880" t="s">
        <v>7081</v>
      </c>
    </row>
    <row r="881" spans="1:19" x14ac:dyDescent="0.2">
      <c r="A881" t="s">
        <v>20146</v>
      </c>
      <c r="B881" t="s">
        <v>14359</v>
      </c>
      <c r="C881" t="s">
        <v>20237</v>
      </c>
      <c r="D881" t="str">
        <f>_xlfn.XLOOKUP(E881,pathways!$A$2:$A$31,pathways!$B$2:$B$31)</f>
        <v>Lipid metabolism</v>
      </c>
      <c r="E881" t="s">
        <v>3459</v>
      </c>
      <c r="G881" t="s">
        <v>14360</v>
      </c>
      <c r="H881" t="s">
        <v>14360</v>
      </c>
      <c r="J881" t="s">
        <v>20237</v>
      </c>
      <c r="S881" t="s">
        <v>7081</v>
      </c>
    </row>
    <row r="882" spans="1:19" x14ac:dyDescent="0.2">
      <c r="A882" t="s">
        <v>19120</v>
      </c>
      <c r="B882" t="s">
        <v>14359</v>
      </c>
      <c r="C882" t="s">
        <v>18578</v>
      </c>
      <c r="D882" t="str">
        <f>_xlfn.XLOOKUP(E882,pathways!$A$2:$A$31,pathways!$B$2:$B$31)</f>
        <v>Lipid metabolism</v>
      </c>
      <c r="E882" t="s">
        <v>3459</v>
      </c>
      <c r="G882" t="s">
        <v>14360</v>
      </c>
      <c r="H882" t="s">
        <v>14360</v>
      </c>
      <c r="J882" t="s">
        <v>18578</v>
      </c>
      <c r="S882" t="s">
        <v>7081</v>
      </c>
    </row>
    <row r="883" spans="1:19" x14ac:dyDescent="0.2">
      <c r="A883" t="s">
        <v>20149</v>
      </c>
      <c r="B883" t="s">
        <v>14359</v>
      </c>
      <c r="C883" t="s">
        <v>20239</v>
      </c>
      <c r="D883" t="str">
        <f>_xlfn.XLOOKUP(E883,pathways!$A$2:$A$31,pathways!$B$2:$B$31)</f>
        <v>Lipid metabolism</v>
      </c>
      <c r="E883" t="s">
        <v>3459</v>
      </c>
      <c r="G883" t="s">
        <v>14360</v>
      </c>
      <c r="H883" t="s">
        <v>14360</v>
      </c>
      <c r="J883" t="s">
        <v>20239</v>
      </c>
      <c r="S883" t="s">
        <v>7081</v>
      </c>
    </row>
    <row r="884" spans="1:19" x14ac:dyDescent="0.2">
      <c r="A884" t="s">
        <v>20150</v>
      </c>
      <c r="B884" t="s">
        <v>14359</v>
      </c>
      <c r="C884" t="s">
        <v>20240</v>
      </c>
      <c r="D884" t="str">
        <f>_xlfn.XLOOKUP(E884,pathways!$A$2:$A$31,pathways!$B$2:$B$31)</f>
        <v>Lipid metabolism</v>
      </c>
      <c r="E884" t="s">
        <v>3459</v>
      </c>
      <c r="G884" t="s">
        <v>14360</v>
      </c>
      <c r="H884" t="s">
        <v>14360</v>
      </c>
      <c r="J884" t="s">
        <v>20240</v>
      </c>
      <c r="S884" t="s">
        <v>3819</v>
      </c>
    </row>
    <row r="885" spans="1:19" x14ac:dyDescent="0.2">
      <c r="A885" t="s">
        <v>20154</v>
      </c>
      <c r="B885" t="s">
        <v>14359</v>
      </c>
      <c r="C885" t="s">
        <v>20242</v>
      </c>
      <c r="D885" t="str">
        <f>_xlfn.XLOOKUP(E885,pathways!$A$2:$A$31,pathways!$B$2:$B$31)</f>
        <v>Lipid metabolism</v>
      </c>
      <c r="E885" t="s">
        <v>3459</v>
      </c>
      <c r="G885" t="s">
        <v>14360</v>
      </c>
      <c r="H885" t="s">
        <v>14360</v>
      </c>
      <c r="J885" t="s">
        <v>20242</v>
      </c>
      <c r="S885" t="s">
        <v>3819</v>
      </c>
    </row>
    <row r="886" spans="1:19" x14ac:dyDescent="0.2">
      <c r="A886" t="s">
        <v>354</v>
      </c>
      <c r="B886" t="s">
        <v>14358</v>
      </c>
      <c r="C886" t="s">
        <v>353</v>
      </c>
      <c r="D886" t="str">
        <f>_xlfn.XLOOKUP(E886,pathways!$A$2:$A$31,pathways!$B$2:$B$31)</f>
        <v>Lipoproteins</v>
      </c>
      <c r="E886" t="s">
        <v>356</v>
      </c>
      <c r="F886" t="s">
        <v>356</v>
      </c>
      <c r="G886" t="s">
        <v>14360</v>
      </c>
      <c r="H886" t="s">
        <v>10648</v>
      </c>
      <c r="I886" t="s">
        <v>10648</v>
      </c>
      <c r="J886" s="4" t="s">
        <v>14360</v>
      </c>
      <c r="K886" t="s">
        <v>353</v>
      </c>
      <c r="L886" t="s">
        <v>14360</v>
      </c>
      <c r="M886" t="s">
        <v>14360</v>
      </c>
      <c r="N886" t="s">
        <v>356</v>
      </c>
      <c r="O886" t="s">
        <v>14360</v>
      </c>
      <c r="P886" t="s">
        <v>356</v>
      </c>
      <c r="Q886" t="s">
        <v>14360</v>
      </c>
      <c r="R886" t="s">
        <v>14360</v>
      </c>
      <c r="S886" t="s">
        <v>14360</v>
      </c>
    </row>
    <row r="887" spans="1:19" x14ac:dyDescent="0.2">
      <c r="A887" t="s">
        <v>375</v>
      </c>
      <c r="B887" t="s">
        <v>14358</v>
      </c>
      <c r="C887" t="s">
        <v>374</v>
      </c>
      <c r="D887" t="str">
        <f>_xlfn.XLOOKUP(E887,pathways!$A$2:$A$31,pathways!$B$2:$B$31)</f>
        <v>Lipoproteins</v>
      </c>
      <c r="E887" t="s">
        <v>356</v>
      </c>
      <c r="F887" t="s">
        <v>356</v>
      </c>
      <c r="G887" t="s">
        <v>14360</v>
      </c>
      <c r="H887" t="s">
        <v>10645</v>
      </c>
      <c r="I887" t="s">
        <v>10645</v>
      </c>
      <c r="J887" s="4" t="s">
        <v>14360</v>
      </c>
      <c r="K887" t="s">
        <v>374</v>
      </c>
      <c r="L887" t="s">
        <v>14360</v>
      </c>
      <c r="M887" t="s">
        <v>14360</v>
      </c>
      <c r="N887" t="s">
        <v>356</v>
      </c>
      <c r="O887" t="s">
        <v>14360</v>
      </c>
      <c r="P887" t="s">
        <v>356</v>
      </c>
      <c r="Q887" t="s">
        <v>14360</v>
      </c>
      <c r="R887" t="s">
        <v>14360</v>
      </c>
      <c r="S887" t="s">
        <v>14360</v>
      </c>
    </row>
    <row r="888" spans="1:19" x14ac:dyDescent="0.2">
      <c r="A888" t="s">
        <v>415</v>
      </c>
      <c r="B888" t="s">
        <v>14358</v>
      </c>
      <c r="C888" t="s">
        <v>414</v>
      </c>
      <c r="D888" t="str">
        <f>_xlfn.XLOOKUP(E888,pathways!$A$2:$A$31,pathways!$B$2:$B$31)</f>
        <v>Lipoproteins</v>
      </c>
      <c r="E888" t="s">
        <v>356</v>
      </c>
      <c r="F888" t="s">
        <v>356</v>
      </c>
      <c r="G888" t="s">
        <v>14360</v>
      </c>
      <c r="H888" t="s">
        <v>10642</v>
      </c>
      <c r="I888" t="s">
        <v>10642</v>
      </c>
      <c r="J888" s="4" t="s">
        <v>14360</v>
      </c>
      <c r="K888" t="s">
        <v>414</v>
      </c>
      <c r="L888" t="s">
        <v>14360</v>
      </c>
      <c r="M888" t="s">
        <v>14360</v>
      </c>
      <c r="N888" t="s">
        <v>356</v>
      </c>
      <c r="O888" t="s">
        <v>14360</v>
      </c>
      <c r="P888" t="s">
        <v>356</v>
      </c>
      <c r="Q888" t="s">
        <v>14360</v>
      </c>
      <c r="R888" t="s">
        <v>14360</v>
      </c>
      <c r="S888" t="s">
        <v>5082</v>
      </c>
    </row>
    <row r="889" spans="1:19" x14ac:dyDescent="0.2">
      <c r="A889" t="s">
        <v>837</v>
      </c>
      <c r="B889" t="s">
        <v>14358</v>
      </c>
      <c r="C889" t="s">
        <v>836</v>
      </c>
      <c r="D889" t="str">
        <f>_xlfn.XLOOKUP(E889,pathways!$A$2:$A$31,pathways!$B$2:$B$31)</f>
        <v>Lipoproteins</v>
      </c>
      <c r="E889" t="s">
        <v>356</v>
      </c>
      <c r="F889" t="s">
        <v>356</v>
      </c>
      <c r="G889" t="s">
        <v>14360</v>
      </c>
      <c r="H889" t="s">
        <v>10639</v>
      </c>
      <c r="I889" t="s">
        <v>10639</v>
      </c>
      <c r="J889" s="4" t="s">
        <v>14360</v>
      </c>
      <c r="K889" t="s">
        <v>836</v>
      </c>
      <c r="L889" t="s">
        <v>14360</v>
      </c>
      <c r="M889" t="s">
        <v>14360</v>
      </c>
      <c r="N889" t="s">
        <v>356</v>
      </c>
      <c r="O889" t="s">
        <v>14360</v>
      </c>
      <c r="P889" t="s">
        <v>356</v>
      </c>
      <c r="Q889" t="s">
        <v>14360</v>
      </c>
      <c r="R889" t="s">
        <v>14360</v>
      </c>
      <c r="S889" t="s">
        <v>3785</v>
      </c>
    </row>
    <row r="890" spans="1:19" x14ac:dyDescent="0.2">
      <c r="A890" t="s">
        <v>54</v>
      </c>
      <c r="B890" t="s">
        <v>14358</v>
      </c>
      <c r="C890" t="s">
        <v>53</v>
      </c>
      <c r="D890" t="str">
        <f>_xlfn.XLOOKUP(E890,pathways!$A$2:$A$31,pathways!$B$2:$B$31)</f>
        <v>Lipoproteins</v>
      </c>
      <c r="E890" t="s">
        <v>56</v>
      </c>
      <c r="F890" t="s">
        <v>56</v>
      </c>
      <c r="G890" t="s">
        <v>14360</v>
      </c>
      <c r="H890" t="s">
        <v>20715</v>
      </c>
      <c r="I890" t="s">
        <v>10657</v>
      </c>
      <c r="J890" s="4" t="s">
        <v>55</v>
      </c>
      <c r="K890" t="s">
        <v>52</v>
      </c>
      <c r="L890" t="s">
        <v>53</v>
      </c>
      <c r="M890" t="s">
        <v>16828</v>
      </c>
      <c r="N890" t="s">
        <v>56</v>
      </c>
      <c r="O890" t="s">
        <v>56</v>
      </c>
      <c r="P890" t="s">
        <v>56</v>
      </c>
      <c r="S890" t="s">
        <v>14360</v>
      </c>
    </row>
    <row r="891" spans="1:19" x14ac:dyDescent="0.2">
      <c r="A891" t="s">
        <v>60</v>
      </c>
      <c r="B891" t="s">
        <v>14358</v>
      </c>
      <c r="C891" t="s">
        <v>59</v>
      </c>
      <c r="D891" t="str">
        <f>_xlfn.XLOOKUP(E891,pathways!$A$2:$A$31,pathways!$B$2:$B$31)</f>
        <v>Lipoproteins</v>
      </c>
      <c r="E891" t="s">
        <v>56</v>
      </c>
      <c r="F891" t="s">
        <v>56</v>
      </c>
      <c r="G891" t="s">
        <v>14360</v>
      </c>
      <c r="H891" t="s">
        <v>20726</v>
      </c>
      <c r="I891" t="s">
        <v>10654</v>
      </c>
      <c r="J891" s="4" t="s">
        <v>61</v>
      </c>
      <c r="K891" t="s">
        <v>58</v>
      </c>
      <c r="L891" t="s">
        <v>59</v>
      </c>
      <c r="M891" t="s">
        <v>16861</v>
      </c>
      <c r="N891" t="s">
        <v>56</v>
      </c>
      <c r="O891" t="s">
        <v>56</v>
      </c>
      <c r="P891" t="s">
        <v>56</v>
      </c>
      <c r="S891" t="s">
        <v>14360</v>
      </c>
    </row>
    <row r="892" spans="1:19" x14ac:dyDescent="0.2">
      <c r="A892" t="s">
        <v>65</v>
      </c>
      <c r="B892" t="s">
        <v>14358</v>
      </c>
      <c r="C892" t="s">
        <v>64</v>
      </c>
      <c r="D892" t="str">
        <f>_xlfn.XLOOKUP(E892,pathways!$A$2:$A$31,pathways!$B$2:$B$31)</f>
        <v>Lipoproteins</v>
      </c>
      <c r="E892" t="s">
        <v>56</v>
      </c>
      <c r="F892" t="s">
        <v>56</v>
      </c>
      <c r="G892" t="s">
        <v>14360</v>
      </c>
      <c r="H892" t="s">
        <v>20739</v>
      </c>
      <c r="I892" t="s">
        <v>10651</v>
      </c>
      <c r="J892" s="4" t="s">
        <v>66</v>
      </c>
      <c r="K892" t="s">
        <v>63</v>
      </c>
      <c r="L892" t="s">
        <v>64</v>
      </c>
      <c r="M892" t="s">
        <v>17046</v>
      </c>
      <c r="N892" t="s">
        <v>56</v>
      </c>
      <c r="O892" t="s">
        <v>56</v>
      </c>
      <c r="P892" t="s">
        <v>56</v>
      </c>
      <c r="S892" t="s">
        <v>5600</v>
      </c>
    </row>
    <row r="893" spans="1:19" x14ac:dyDescent="0.2">
      <c r="A893" t="s">
        <v>224</v>
      </c>
      <c r="B893" t="s">
        <v>14358</v>
      </c>
      <c r="C893" t="s">
        <v>223</v>
      </c>
      <c r="D893" t="str">
        <f>_xlfn.XLOOKUP(E893,pathways!$A$2:$A$31,pathways!$B$2:$B$31)</f>
        <v>Lipoproteins</v>
      </c>
      <c r="E893" t="s">
        <v>72</v>
      </c>
      <c r="F893" t="s">
        <v>78</v>
      </c>
      <c r="G893" t="s">
        <v>14360</v>
      </c>
      <c r="H893" t="s">
        <v>11179</v>
      </c>
      <c r="I893" t="s">
        <v>10869</v>
      </c>
      <c r="J893" s="4" t="s">
        <v>13525</v>
      </c>
      <c r="K893" t="s">
        <v>222</v>
      </c>
      <c r="L893" t="s">
        <v>223</v>
      </c>
      <c r="M893" t="s">
        <v>16837</v>
      </c>
      <c r="N893" t="s">
        <v>72</v>
      </c>
      <c r="O893" t="s">
        <v>72</v>
      </c>
      <c r="P893" t="s">
        <v>78</v>
      </c>
      <c r="Q893" t="s">
        <v>78</v>
      </c>
    </row>
    <row r="894" spans="1:19" x14ac:dyDescent="0.2">
      <c r="A894" t="s">
        <v>228</v>
      </c>
      <c r="B894" t="s">
        <v>14358</v>
      </c>
      <c r="C894" t="s">
        <v>227</v>
      </c>
      <c r="D894" t="str">
        <f>_xlfn.XLOOKUP(E894,pathways!$A$2:$A$31,pathways!$B$2:$B$31)</f>
        <v>Lipoproteins</v>
      </c>
      <c r="E894" t="s">
        <v>72</v>
      </c>
      <c r="F894" t="s">
        <v>83</v>
      </c>
      <c r="G894" t="s">
        <v>14360</v>
      </c>
      <c r="H894" t="s">
        <v>11152</v>
      </c>
      <c r="I894" t="s">
        <v>10939</v>
      </c>
      <c r="J894" s="4" t="s">
        <v>13463</v>
      </c>
      <c r="K894" t="s">
        <v>226</v>
      </c>
      <c r="L894" t="s">
        <v>227</v>
      </c>
      <c r="M894" t="s">
        <v>16868</v>
      </c>
      <c r="N894" t="s">
        <v>72</v>
      </c>
      <c r="O894" t="s">
        <v>72</v>
      </c>
      <c r="P894" t="s">
        <v>83</v>
      </c>
      <c r="Q894" t="s">
        <v>83</v>
      </c>
    </row>
    <row r="895" spans="1:19" x14ac:dyDescent="0.2">
      <c r="A895" t="s">
        <v>232</v>
      </c>
      <c r="B895" t="s">
        <v>14358</v>
      </c>
      <c r="C895" t="s">
        <v>231</v>
      </c>
      <c r="D895" t="str">
        <f>_xlfn.XLOOKUP(E895,pathways!$A$2:$A$31,pathways!$B$2:$B$31)</f>
        <v>Lipoproteins</v>
      </c>
      <c r="E895" t="s">
        <v>72</v>
      </c>
      <c r="F895" t="s">
        <v>88</v>
      </c>
      <c r="G895" t="s">
        <v>14360</v>
      </c>
      <c r="H895" t="s">
        <v>11168</v>
      </c>
      <c r="I895" t="s">
        <v>10883</v>
      </c>
      <c r="J895" s="4" t="s">
        <v>13515</v>
      </c>
      <c r="K895" t="s">
        <v>230</v>
      </c>
      <c r="L895" t="s">
        <v>231</v>
      </c>
      <c r="M895" t="s">
        <v>16886</v>
      </c>
      <c r="N895" t="s">
        <v>72</v>
      </c>
      <c r="O895" t="s">
        <v>72</v>
      </c>
      <c r="P895" t="s">
        <v>88</v>
      </c>
      <c r="Q895" t="s">
        <v>88</v>
      </c>
      <c r="S895" t="s">
        <v>14360</v>
      </c>
    </row>
    <row r="896" spans="1:19" x14ac:dyDescent="0.2">
      <c r="A896" t="s">
        <v>236</v>
      </c>
      <c r="B896" t="s">
        <v>14358</v>
      </c>
      <c r="C896" t="s">
        <v>235</v>
      </c>
      <c r="D896" t="str">
        <f>_xlfn.XLOOKUP(E896,pathways!$A$2:$A$31,pathways!$B$2:$B$31)</f>
        <v>Lipoproteins</v>
      </c>
      <c r="E896" t="s">
        <v>72</v>
      </c>
      <c r="F896" t="s">
        <v>93</v>
      </c>
      <c r="G896" t="s">
        <v>14360</v>
      </c>
      <c r="H896" t="s">
        <v>11265</v>
      </c>
      <c r="I896" t="s">
        <v>10812</v>
      </c>
      <c r="J896" s="4" t="s">
        <v>13693</v>
      </c>
      <c r="K896" t="s">
        <v>234</v>
      </c>
      <c r="L896" t="s">
        <v>235</v>
      </c>
      <c r="M896" t="s">
        <v>16905</v>
      </c>
      <c r="N896" t="s">
        <v>72</v>
      </c>
      <c r="O896" t="s">
        <v>72</v>
      </c>
      <c r="P896" t="s">
        <v>93</v>
      </c>
      <c r="Q896" t="s">
        <v>93</v>
      </c>
      <c r="S896" t="s">
        <v>3560</v>
      </c>
    </row>
    <row r="897" spans="1:19" x14ac:dyDescent="0.2">
      <c r="A897" t="s">
        <v>244</v>
      </c>
      <c r="B897" t="s">
        <v>14358</v>
      </c>
      <c r="C897" t="s">
        <v>243</v>
      </c>
      <c r="D897" t="str">
        <f>_xlfn.XLOOKUP(E897,pathways!$A$2:$A$31,pathways!$B$2:$B$31)</f>
        <v>Lipoproteins</v>
      </c>
      <c r="E897" t="s">
        <v>72</v>
      </c>
      <c r="F897" t="s">
        <v>98</v>
      </c>
      <c r="G897" t="s">
        <v>14360</v>
      </c>
      <c r="H897" t="s">
        <v>11305</v>
      </c>
      <c r="I897" t="s">
        <v>10953</v>
      </c>
      <c r="J897" s="4" t="s">
        <v>13646</v>
      </c>
      <c r="K897" t="s">
        <v>242</v>
      </c>
      <c r="L897" t="s">
        <v>243</v>
      </c>
      <c r="M897" t="s">
        <v>16922</v>
      </c>
      <c r="N897" t="s">
        <v>72</v>
      </c>
      <c r="O897" t="s">
        <v>72</v>
      </c>
      <c r="P897" t="s">
        <v>98</v>
      </c>
      <c r="Q897" t="s">
        <v>98</v>
      </c>
      <c r="S897" t="s">
        <v>14360</v>
      </c>
    </row>
    <row r="898" spans="1:19" x14ac:dyDescent="0.2">
      <c r="A898" t="s">
        <v>248</v>
      </c>
      <c r="B898" t="s">
        <v>14358</v>
      </c>
      <c r="C898" t="s">
        <v>247</v>
      </c>
      <c r="D898" t="str">
        <f>_xlfn.XLOOKUP(E898,pathways!$A$2:$A$31,pathways!$B$2:$B$31)</f>
        <v>Lipoproteins</v>
      </c>
      <c r="E898" t="s">
        <v>72</v>
      </c>
      <c r="F898" t="s">
        <v>103</v>
      </c>
      <c r="G898" t="s">
        <v>14360</v>
      </c>
      <c r="H898" t="s">
        <v>11165</v>
      </c>
      <c r="I898" t="s">
        <v>10897</v>
      </c>
      <c r="J898" s="4" t="s">
        <v>13500</v>
      </c>
      <c r="K898" t="s">
        <v>246</v>
      </c>
      <c r="L898" t="s">
        <v>247</v>
      </c>
      <c r="M898" t="s">
        <v>16939</v>
      </c>
      <c r="N898" t="s">
        <v>72</v>
      </c>
      <c r="O898" t="s">
        <v>72</v>
      </c>
      <c r="P898" t="s">
        <v>103</v>
      </c>
      <c r="Q898" t="s">
        <v>103</v>
      </c>
      <c r="S898" t="s">
        <v>3873</v>
      </c>
    </row>
    <row r="899" spans="1:19" x14ac:dyDescent="0.2">
      <c r="A899" t="s">
        <v>252</v>
      </c>
      <c r="B899" t="s">
        <v>14358</v>
      </c>
      <c r="C899" t="s">
        <v>251</v>
      </c>
      <c r="D899" t="str">
        <f>_xlfn.XLOOKUP(E899,pathways!$A$2:$A$31,pathways!$B$2:$B$31)</f>
        <v>Lipoproteins</v>
      </c>
      <c r="E899" t="s">
        <v>72</v>
      </c>
      <c r="F899" t="s">
        <v>108</v>
      </c>
      <c r="G899" t="s">
        <v>14360</v>
      </c>
      <c r="H899" t="s">
        <v>11290</v>
      </c>
      <c r="I899" t="s">
        <v>10826</v>
      </c>
      <c r="J899" s="4" t="s">
        <v>13695</v>
      </c>
      <c r="K899" t="s">
        <v>250</v>
      </c>
      <c r="L899" t="s">
        <v>251</v>
      </c>
      <c r="M899" t="s">
        <v>16959</v>
      </c>
      <c r="N899" t="s">
        <v>72</v>
      </c>
      <c r="O899" t="s">
        <v>72</v>
      </c>
      <c r="P899" t="s">
        <v>108</v>
      </c>
      <c r="Q899" t="s">
        <v>108</v>
      </c>
      <c r="S899" t="s">
        <v>3560</v>
      </c>
    </row>
    <row r="900" spans="1:19" x14ac:dyDescent="0.2">
      <c r="A900" t="s">
        <v>256</v>
      </c>
      <c r="B900" t="s">
        <v>14358</v>
      </c>
      <c r="C900" t="s">
        <v>255</v>
      </c>
      <c r="D900" t="str">
        <f>_xlfn.XLOOKUP(E900,pathways!$A$2:$A$31,pathways!$B$2:$B$31)</f>
        <v>Lipoproteins</v>
      </c>
      <c r="E900" t="s">
        <v>72</v>
      </c>
      <c r="F900" t="s">
        <v>113</v>
      </c>
      <c r="G900" t="s">
        <v>14360</v>
      </c>
      <c r="H900" t="s">
        <v>11285</v>
      </c>
      <c r="I900" t="s">
        <v>10967</v>
      </c>
      <c r="J900" s="4" t="s">
        <v>13633</v>
      </c>
      <c r="K900" t="s">
        <v>254</v>
      </c>
      <c r="L900" t="s">
        <v>255</v>
      </c>
      <c r="M900" t="s">
        <v>16988</v>
      </c>
      <c r="N900" t="s">
        <v>72</v>
      </c>
      <c r="O900" t="s">
        <v>72</v>
      </c>
      <c r="P900" t="s">
        <v>113</v>
      </c>
      <c r="Q900" t="s">
        <v>113</v>
      </c>
      <c r="S900" t="s">
        <v>3873</v>
      </c>
    </row>
    <row r="901" spans="1:19" x14ac:dyDescent="0.2">
      <c r="A901" t="s">
        <v>260</v>
      </c>
      <c r="B901" t="s">
        <v>14358</v>
      </c>
      <c r="C901" t="s">
        <v>259</v>
      </c>
      <c r="D901" t="str">
        <f>_xlfn.XLOOKUP(E901,pathways!$A$2:$A$31,pathways!$B$2:$B$31)</f>
        <v>Lipoproteins</v>
      </c>
      <c r="E901" t="s">
        <v>72</v>
      </c>
      <c r="F901" t="s">
        <v>118</v>
      </c>
      <c r="G901" t="s">
        <v>14360</v>
      </c>
      <c r="H901" t="s">
        <v>11156</v>
      </c>
      <c r="I901" t="s">
        <v>10911</v>
      </c>
      <c r="J901" s="4" t="s">
        <v>13487</v>
      </c>
      <c r="K901" t="s">
        <v>258</v>
      </c>
      <c r="L901" t="s">
        <v>259</v>
      </c>
      <c r="M901" t="s">
        <v>17005</v>
      </c>
      <c r="N901" t="s">
        <v>72</v>
      </c>
      <c r="O901" t="s">
        <v>72</v>
      </c>
      <c r="P901" t="s">
        <v>118</v>
      </c>
      <c r="Q901" t="s">
        <v>118</v>
      </c>
      <c r="S901" t="s">
        <v>3873</v>
      </c>
    </row>
    <row r="902" spans="1:19" x14ac:dyDescent="0.2">
      <c r="A902" t="s">
        <v>264</v>
      </c>
      <c r="B902" t="s">
        <v>14358</v>
      </c>
      <c r="C902" t="s">
        <v>263</v>
      </c>
      <c r="D902" t="str">
        <f>_xlfn.XLOOKUP(E902,pathways!$A$2:$A$31,pathways!$B$2:$B$31)</f>
        <v>Lipoproteins</v>
      </c>
      <c r="E902" t="s">
        <v>72</v>
      </c>
      <c r="F902" t="s">
        <v>123</v>
      </c>
      <c r="G902" t="s">
        <v>14360</v>
      </c>
      <c r="H902" t="s">
        <v>11220</v>
      </c>
      <c r="I902" t="s">
        <v>10840</v>
      </c>
      <c r="J902" s="4" t="s">
        <v>13604</v>
      </c>
      <c r="K902" t="s">
        <v>262</v>
      </c>
      <c r="L902" t="s">
        <v>263</v>
      </c>
      <c r="M902" t="s">
        <v>17023</v>
      </c>
      <c r="N902" t="s">
        <v>72</v>
      </c>
      <c r="O902" t="s">
        <v>72</v>
      </c>
      <c r="P902" t="s">
        <v>123</v>
      </c>
      <c r="Q902" t="s">
        <v>123</v>
      </c>
      <c r="S902" t="s">
        <v>5535</v>
      </c>
    </row>
    <row r="903" spans="1:19" x14ac:dyDescent="0.2">
      <c r="A903" t="s">
        <v>268</v>
      </c>
      <c r="B903" t="s">
        <v>14358</v>
      </c>
      <c r="C903" t="s">
        <v>267</v>
      </c>
      <c r="D903" t="str">
        <f>_xlfn.XLOOKUP(E903,pathways!$A$2:$A$31,pathways!$B$2:$B$31)</f>
        <v>Lipoproteins</v>
      </c>
      <c r="E903" t="s">
        <v>72</v>
      </c>
      <c r="F903" t="s">
        <v>128</v>
      </c>
      <c r="G903" t="s">
        <v>14360</v>
      </c>
      <c r="H903" t="s">
        <v>11138</v>
      </c>
      <c r="I903" t="s">
        <v>10925</v>
      </c>
      <c r="J903" s="4" t="s">
        <v>13469</v>
      </c>
      <c r="K903" t="s">
        <v>266</v>
      </c>
      <c r="L903" t="s">
        <v>267</v>
      </c>
      <c r="M903" t="s">
        <v>17051</v>
      </c>
      <c r="N903" t="s">
        <v>72</v>
      </c>
      <c r="O903" t="s">
        <v>72</v>
      </c>
      <c r="P903" t="s">
        <v>128</v>
      </c>
      <c r="Q903" t="s">
        <v>128</v>
      </c>
      <c r="S903" t="s">
        <v>6878</v>
      </c>
    </row>
    <row r="904" spans="1:19" x14ac:dyDescent="0.2">
      <c r="A904" t="s">
        <v>272</v>
      </c>
      <c r="B904" t="s">
        <v>14358</v>
      </c>
      <c r="C904" t="s">
        <v>271</v>
      </c>
      <c r="D904" t="str">
        <f>_xlfn.XLOOKUP(E904,pathways!$A$2:$A$31,pathways!$B$2:$B$31)</f>
        <v>Lipoproteins</v>
      </c>
      <c r="E904" t="s">
        <v>72</v>
      </c>
      <c r="F904" t="s">
        <v>133</v>
      </c>
      <c r="G904" t="s">
        <v>14360</v>
      </c>
      <c r="H904" t="s">
        <v>11266</v>
      </c>
      <c r="I904" t="s">
        <v>10798</v>
      </c>
      <c r="J904" s="4" t="s">
        <v>13711</v>
      </c>
      <c r="K904" t="s">
        <v>270</v>
      </c>
      <c r="L904" t="s">
        <v>271</v>
      </c>
      <c r="M904" t="s">
        <v>17067</v>
      </c>
      <c r="N904" t="s">
        <v>72</v>
      </c>
      <c r="O904" t="s">
        <v>72</v>
      </c>
      <c r="P904" t="s">
        <v>133</v>
      </c>
      <c r="Q904" t="s">
        <v>133</v>
      </c>
      <c r="S904" t="s">
        <v>4991</v>
      </c>
    </row>
    <row r="905" spans="1:19" x14ac:dyDescent="0.2">
      <c r="A905" t="s">
        <v>276</v>
      </c>
      <c r="B905" t="s">
        <v>14358</v>
      </c>
      <c r="C905" t="s">
        <v>275</v>
      </c>
      <c r="D905" t="str">
        <f>_xlfn.XLOOKUP(E905,pathways!$A$2:$A$31,pathways!$B$2:$B$31)</f>
        <v>Lipoproteins</v>
      </c>
      <c r="E905" t="s">
        <v>72</v>
      </c>
      <c r="F905" t="s">
        <v>138</v>
      </c>
      <c r="G905" t="s">
        <v>14360</v>
      </c>
      <c r="H905" t="s">
        <v>11212</v>
      </c>
      <c r="I905" t="s">
        <v>10855</v>
      </c>
      <c r="J905" s="4" t="s">
        <v>13589</v>
      </c>
      <c r="K905" t="s">
        <v>274</v>
      </c>
      <c r="L905" t="s">
        <v>275</v>
      </c>
      <c r="M905" t="s">
        <v>17083</v>
      </c>
      <c r="N905" t="s">
        <v>72</v>
      </c>
      <c r="O905" t="s">
        <v>72</v>
      </c>
      <c r="P905" t="s">
        <v>138</v>
      </c>
      <c r="Q905" t="s">
        <v>13539</v>
      </c>
      <c r="S905" t="s">
        <v>5082</v>
      </c>
    </row>
    <row r="906" spans="1:19" x14ac:dyDescent="0.2">
      <c r="A906" t="s">
        <v>214</v>
      </c>
      <c r="B906" t="s">
        <v>14358</v>
      </c>
      <c r="C906" t="s">
        <v>19769</v>
      </c>
      <c r="D906" t="str">
        <f>_xlfn.XLOOKUP(E906,pathways!$A$2:$A$31,pathways!$B$2:$B$31)</f>
        <v>Lipoproteins</v>
      </c>
      <c r="E906" t="s">
        <v>72</v>
      </c>
      <c r="F906" t="s">
        <v>73</v>
      </c>
      <c r="G906" t="s">
        <v>14360</v>
      </c>
      <c r="H906" t="s">
        <v>11294</v>
      </c>
      <c r="I906" t="s">
        <v>10781</v>
      </c>
      <c r="J906" s="4" t="s">
        <v>13707</v>
      </c>
      <c r="K906" t="s">
        <v>212</v>
      </c>
      <c r="L906" t="s">
        <v>213</v>
      </c>
      <c r="M906" t="s">
        <v>17099</v>
      </c>
      <c r="N906" t="s">
        <v>72</v>
      </c>
      <c r="O906" t="s">
        <v>72</v>
      </c>
      <c r="P906" t="s">
        <v>73</v>
      </c>
      <c r="Q906" t="s">
        <v>13704</v>
      </c>
      <c r="S906" t="s">
        <v>3906</v>
      </c>
    </row>
    <row r="907" spans="1:19" x14ac:dyDescent="0.2">
      <c r="A907" t="s">
        <v>350</v>
      </c>
      <c r="B907" t="s">
        <v>14358</v>
      </c>
      <c r="C907" t="s">
        <v>349</v>
      </c>
      <c r="D907" t="str">
        <f>_xlfn.XLOOKUP(E907,pathways!$A$2:$A$31,pathways!$B$2:$B$31)</f>
        <v>Lipoproteins</v>
      </c>
      <c r="E907" t="s">
        <v>72</v>
      </c>
      <c r="F907" t="s">
        <v>73</v>
      </c>
      <c r="G907" t="s">
        <v>14360</v>
      </c>
      <c r="H907" t="s">
        <v>11275</v>
      </c>
      <c r="I907" t="s">
        <v>10770</v>
      </c>
      <c r="J907" s="4" t="s">
        <v>349</v>
      </c>
      <c r="K907" t="s">
        <v>348</v>
      </c>
      <c r="L907" t="s">
        <v>349</v>
      </c>
      <c r="M907" t="s">
        <v>17105</v>
      </c>
      <c r="N907" t="s">
        <v>72</v>
      </c>
      <c r="O907" t="s">
        <v>72</v>
      </c>
      <c r="P907" t="s">
        <v>73</v>
      </c>
      <c r="Q907" t="s">
        <v>13704</v>
      </c>
    </row>
    <row r="908" spans="1:19" x14ac:dyDescent="0.2">
      <c r="A908" t="s">
        <v>360</v>
      </c>
      <c r="B908" t="s">
        <v>14358</v>
      </c>
      <c r="C908" t="s">
        <v>359</v>
      </c>
      <c r="D908" t="str">
        <f>_xlfn.XLOOKUP(E908,pathways!$A$2:$A$31,pathways!$B$2:$B$31)</f>
        <v>Lipoproteins</v>
      </c>
      <c r="E908" t="s">
        <v>72</v>
      </c>
      <c r="F908" t="s">
        <v>78</v>
      </c>
      <c r="G908" t="s">
        <v>14360</v>
      </c>
      <c r="H908" t="s">
        <v>11184</v>
      </c>
      <c r="I908" t="s">
        <v>10861</v>
      </c>
      <c r="J908" s="4" t="s">
        <v>359</v>
      </c>
      <c r="K908" t="s">
        <v>358</v>
      </c>
      <c r="L908" t="s">
        <v>359</v>
      </c>
      <c r="M908" t="s">
        <v>16846</v>
      </c>
      <c r="N908" t="s">
        <v>72</v>
      </c>
      <c r="O908" t="s">
        <v>72</v>
      </c>
      <c r="P908" t="s">
        <v>78</v>
      </c>
      <c r="Q908" t="s">
        <v>78</v>
      </c>
      <c r="S908" t="s">
        <v>3864</v>
      </c>
    </row>
    <row r="909" spans="1:19" x14ac:dyDescent="0.2">
      <c r="A909" t="s">
        <v>364</v>
      </c>
      <c r="B909" t="s">
        <v>14358</v>
      </c>
      <c r="C909" t="s">
        <v>363</v>
      </c>
      <c r="D909" t="str">
        <f>_xlfn.XLOOKUP(E909,pathways!$A$2:$A$31,pathways!$B$2:$B$31)</f>
        <v>Lipoproteins</v>
      </c>
      <c r="E909" t="s">
        <v>72</v>
      </c>
      <c r="F909" t="s">
        <v>83</v>
      </c>
      <c r="G909" t="s">
        <v>14360</v>
      </c>
      <c r="H909" t="s">
        <v>11155</v>
      </c>
      <c r="I909" t="s">
        <v>10931</v>
      </c>
      <c r="J909" s="4" t="s">
        <v>363</v>
      </c>
      <c r="K909" t="s">
        <v>362</v>
      </c>
      <c r="L909" t="s">
        <v>363</v>
      </c>
      <c r="M909" t="s">
        <v>16876</v>
      </c>
      <c r="N909" t="s">
        <v>72</v>
      </c>
      <c r="O909" t="s">
        <v>72</v>
      </c>
      <c r="P909" t="s">
        <v>83</v>
      </c>
      <c r="Q909" t="s">
        <v>83</v>
      </c>
      <c r="S909" t="s">
        <v>3661</v>
      </c>
    </row>
    <row r="910" spans="1:19" x14ac:dyDescent="0.2">
      <c r="A910" t="s">
        <v>368</v>
      </c>
      <c r="B910" t="s">
        <v>14358</v>
      </c>
      <c r="C910" t="s">
        <v>367</v>
      </c>
      <c r="D910" t="str">
        <f>_xlfn.XLOOKUP(E910,pathways!$A$2:$A$31,pathways!$B$2:$B$31)</f>
        <v>Lipoproteins</v>
      </c>
      <c r="E910" t="s">
        <v>72</v>
      </c>
      <c r="F910" t="s">
        <v>88</v>
      </c>
      <c r="G910" t="s">
        <v>14360</v>
      </c>
      <c r="H910" t="s">
        <v>11181</v>
      </c>
      <c r="I910" t="s">
        <v>10875</v>
      </c>
      <c r="J910" s="4" t="s">
        <v>367</v>
      </c>
      <c r="K910" t="s">
        <v>366</v>
      </c>
      <c r="L910" t="s">
        <v>367</v>
      </c>
      <c r="M910" t="s">
        <v>16894</v>
      </c>
      <c r="N910" t="s">
        <v>72</v>
      </c>
      <c r="O910" t="s">
        <v>72</v>
      </c>
      <c r="P910" t="s">
        <v>88</v>
      </c>
      <c r="Q910" t="s">
        <v>88</v>
      </c>
      <c r="S910" t="s">
        <v>3661</v>
      </c>
    </row>
    <row r="911" spans="1:19" x14ac:dyDescent="0.2">
      <c r="A911" t="s">
        <v>372</v>
      </c>
      <c r="B911" t="s">
        <v>14358</v>
      </c>
      <c r="C911" t="s">
        <v>371</v>
      </c>
      <c r="D911" t="str">
        <f>_xlfn.XLOOKUP(E911,pathways!$A$2:$A$31,pathways!$B$2:$B$31)</f>
        <v>Lipoproteins</v>
      </c>
      <c r="E911" t="s">
        <v>72</v>
      </c>
      <c r="F911" t="s">
        <v>93</v>
      </c>
      <c r="G911" t="s">
        <v>14360</v>
      </c>
      <c r="H911" t="s">
        <v>11199</v>
      </c>
      <c r="I911" t="s">
        <v>10804</v>
      </c>
      <c r="J911" s="4" t="s">
        <v>371</v>
      </c>
      <c r="K911" t="s">
        <v>370</v>
      </c>
      <c r="L911" t="s">
        <v>371</v>
      </c>
      <c r="M911" t="s">
        <v>16913</v>
      </c>
      <c r="N911" t="s">
        <v>72</v>
      </c>
      <c r="O911" t="s">
        <v>72</v>
      </c>
      <c r="P911" t="s">
        <v>93</v>
      </c>
      <c r="Q911" t="s">
        <v>93</v>
      </c>
      <c r="S911" t="s">
        <v>3864</v>
      </c>
    </row>
    <row r="912" spans="1:19" x14ac:dyDescent="0.2">
      <c r="A912" t="s">
        <v>380</v>
      </c>
      <c r="B912" t="s">
        <v>14358</v>
      </c>
      <c r="C912" t="s">
        <v>379</v>
      </c>
      <c r="D912" t="str">
        <f>_xlfn.XLOOKUP(E912,pathways!$A$2:$A$31,pathways!$B$2:$B$31)</f>
        <v>Lipoproteins</v>
      </c>
      <c r="E912" t="s">
        <v>72</v>
      </c>
      <c r="F912" t="s">
        <v>98</v>
      </c>
      <c r="G912" t="s">
        <v>14360</v>
      </c>
      <c r="H912" t="s">
        <v>11283</v>
      </c>
      <c r="I912" t="s">
        <v>10945</v>
      </c>
      <c r="J912" s="4" t="s">
        <v>379</v>
      </c>
      <c r="K912" t="s">
        <v>378</v>
      </c>
      <c r="L912" t="s">
        <v>379</v>
      </c>
      <c r="M912" t="s">
        <v>16929</v>
      </c>
      <c r="N912" t="s">
        <v>72</v>
      </c>
      <c r="O912" t="s">
        <v>72</v>
      </c>
      <c r="P912" t="s">
        <v>98</v>
      </c>
      <c r="Q912" t="s">
        <v>98</v>
      </c>
      <c r="S912" t="s">
        <v>3906</v>
      </c>
    </row>
    <row r="913" spans="1:19" x14ac:dyDescent="0.2">
      <c r="A913" t="s">
        <v>384</v>
      </c>
      <c r="B913" t="s">
        <v>14358</v>
      </c>
      <c r="C913" t="s">
        <v>383</v>
      </c>
      <c r="D913" t="str">
        <f>_xlfn.XLOOKUP(E913,pathways!$A$2:$A$31,pathways!$B$2:$B$31)</f>
        <v>Lipoproteins</v>
      </c>
      <c r="E913" t="s">
        <v>72</v>
      </c>
      <c r="F913" t="s">
        <v>103</v>
      </c>
      <c r="G913" t="s">
        <v>14360</v>
      </c>
      <c r="H913" t="s">
        <v>11190</v>
      </c>
      <c r="I913" t="s">
        <v>10889</v>
      </c>
      <c r="J913" s="4" t="s">
        <v>383</v>
      </c>
      <c r="K913" t="s">
        <v>382</v>
      </c>
      <c r="L913" t="s">
        <v>383</v>
      </c>
      <c r="M913" t="s">
        <v>16947</v>
      </c>
      <c r="N913" t="s">
        <v>72</v>
      </c>
      <c r="O913" t="s">
        <v>72</v>
      </c>
      <c r="P913" t="s">
        <v>103</v>
      </c>
      <c r="Q913" t="s">
        <v>103</v>
      </c>
      <c r="S913" t="s">
        <v>14360</v>
      </c>
    </row>
    <row r="914" spans="1:19" x14ac:dyDescent="0.2">
      <c r="A914" t="s">
        <v>388</v>
      </c>
      <c r="B914" t="s">
        <v>14358</v>
      </c>
      <c r="C914" t="s">
        <v>387</v>
      </c>
      <c r="D914" t="str">
        <f>_xlfn.XLOOKUP(E914,pathways!$A$2:$A$31,pathways!$B$2:$B$31)</f>
        <v>Lipoproteins</v>
      </c>
      <c r="E914" t="s">
        <v>72</v>
      </c>
      <c r="F914" t="s">
        <v>108</v>
      </c>
      <c r="G914" t="s">
        <v>14360</v>
      </c>
      <c r="H914" t="s">
        <v>11240</v>
      </c>
      <c r="I914" t="s">
        <v>10818</v>
      </c>
      <c r="J914" s="4" t="s">
        <v>387</v>
      </c>
      <c r="K914" t="s">
        <v>386</v>
      </c>
      <c r="L914" t="s">
        <v>387</v>
      </c>
      <c r="M914" t="s">
        <v>16967</v>
      </c>
      <c r="N914" t="s">
        <v>72</v>
      </c>
      <c r="O914" t="s">
        <v>72</v>
      </c>
      <c r="P914" t="s">
        <v>108</v>
      </c>
      <c r="Q914" t="s">
        <v>108</v>
      </c>
      <c r="S914" t="s">
        <v>4142</v>
      </c>
    </row>
    <row r="915" spans="1:19" x14ac:dyDescent="0.2">
      <c r="A915" t="s">
        <v>392</v>
      </c>
      <c r="B915" t="s">
        <v>14358</v>
      </c>
      <c r="C915" t="s">
        <v>391</v>
      </c>
      <c r="D915" t="str">
        <f>_xlfn.XLOOKUP(E915,pathways!$A$2:$A$31,pathways!$B$2:$B$31)</f>
        <v>Lipoproteins</v>
      </c>
      <c r="E915" t="s">
        <v>72</v>
      </c>
      <c r="F915" t="s">
        <v>113</v>
      </c>
      <c r="G915" t="s">
        <v>14360</v>
      </c>
      <c r="H915" t="s">
        <v>11172</v>
      </c>
      <c r="I915" t="s">
        <v>10959</v>
      </c>
      <c r="J915" s="4" t="s">
        <v>391</v>
      </c>
      <c r="K915" t="s">
        <v>390</v>
      </c>
      <c r="L915" t="s">
        <v>391</v>
      </c>
      <c r="M915" t="s">
        <v>16995</v>
      </c>
      <c r="N915" t="s">
        <v>72</v>
      </c>
      <c r="O915" t="s">
        <v>72</v>
      </c>
      <c r="P915" t="s">
        <v>113</v>
      </c>
      <c r="Q915" t="s">
        <v>113</v>
      </c>
      <c r="S915" t="s">
        <v>3873</v>
      </c>
    </row>
    <row r="916" spans="1:19" x14ac:dyDescent="0.2">
      <c r="A916" t="s">
        <v>396</v>
      </c>
      <c r="B916" t="s">
        <v>14358</v>
      </c>
      <c r="C916" t="s">
        <v>395</v>
      </c>
      <c r="D916" t="str">
        <f>_xlfn.XLOOKUP(E916,pathways!$A$2:$A$31,pathways!$B$2:$B$31)</f>
        <v>Lipoproteins</v>
      </c>
      <c r="E916" t="s">
        <v>72</v>
      </c>
      <c r="F916" t="s">
        <v>118</v>
      </c>
      <c r="G916" t="s">
        <v>14360</v>
      </c>
      <c r="H916" t="s">
        <v>11192</v>
      </c>
      <c r="I916" t="s">
        <v>10903</v>
      </c>
      <c r="J916" s="4" t="s">
        <v>395</v>
      </c>
      <c r="K916" t="s">
        <v>394</v>
      </c>
      <c r="L916" t="s">
        <v>395</v>
      </c>
      <c r="M916" t="s">
        <v>17012</v>
      </c>
      <c r="N916" t="s">
        <v>72</v>
      </c>
      <c r="O916" t="s">
        <v>72</v>
      </c>
      <c r="P916" t="s">
        <v>118</v>
      </c>
      <c r="Q916" t="s">
        <v>118</v>
      </c>
      <c r="S916" t="s">
        <v>3586</v>
      </c>
    </row>
    <row r="917" spans="1:19" x14ac:dyDescent="0.2">
      <c r="A917" t="s">
        <v>400</v>
      </c>
      <c r="B917" t="s">
        <v>14358</v>
      </c>
      <c r="C917" t="s">
        <v>399</v>
      </c>
      <c r="D917" t="str">
        <f>_xlfn.XLOOKUP(E917,pathways!$A$2:$A$31,pathways!$B$2:$B$31)</f>
        <v>Lipoproteins</v>
      </c>
      <c r="E917" t="s">
        <v>72</v>
      </c>
      <c r="F917" t="s">
        <v>123</v>
      </c>
      <c r="G917" t="s">
        <v>14360</v>
      </c>
      <c r="H917" t="s">
        <v>11267</v>
      </c>
      <c r="I917" t="s">
        <v>10832</v>
      </c>
      <c r="J917" s="4" t="s">
        <v>399</v>
      </c>
      <c r="K917" t="s">
        <v>398</v>
      </c>
      <c r="L917" t="s">
        <v>399</v>
      </c>
      <c r="M917" t="s">
        <v>17030</v>
      </c>
      <c r="N917" t="s">
        <v>72</v>
      </c>
      <c r="O917" t="s">
        <v>72</v>
      </c>
      <c r="P917" t="s">
        <v>123</v>
      </c>
      <c r="Q917" t="s">
        <v>123</v>
      </c>
      <c r="S917" t="s">
        <v>3670</v>
      </c>
    </row>
    <row r="918" spans="1:19" x14ac:dyDescent="0.2">
      <c r="A918" t="s">
        <v>404</v>
      </c>
      <c r="B918" t="s">
        <v>14358</v>
      </c>
      <c r="C918" t="s">
        <v>403</v>
      </c>
      <c r="D918" t="str">
        <f>_xlfn.XLOOKUP(E918,pathways!$A$2:$A$31,pathways!$B$2:$B$31)</f>
        <v>Lipoproteins</v>
      </c>
      <c r="E918" t="s">
        <v>72</v>
      </c>
      <c r="F918" t="s">
        <v>128</v>
      </c>
      <c r="G918" t="s">
        <v>14360</v>
      </c>
      <c r="H918" t="s">
        <v>11132</v>
      </c>
      <c r="I918" t="s">
        <v>10917</v>
      </c>
      <c r="J918" s="4" t="s">
        <v>403</v>
      </c>
      <c r="K918" t="s">
        <v>402</v>
      </c>
      <c r="L918" t="s">
        <v>403</v>
      </c>
      <c r="M918" t="s">
        <v>17058</v>
      </c>
      <c r="N918" t="s">
        <v>72</v>
      </c>
      <c r="O918" t="s">
        <v>72</v>
      </c>
      <c r="P918" t="s">
        <v>128</v>
      </c>
      <c r="Q918" t="s">
        <v>128</v>
      </c>
      <c r="S918" t="s">
        <v>14360</v>
      </c>
    </row>
    <row r="919" spans="1:19" x14ac:dyDescent="0.2">
      <c r="A919" t="s">
        <v>408</v>
      </c>
      <c r="B919" t="s">
        <v>14358</v>
      </c>
      <c r="C919" t="s">
        <v>407</v>
      </c>
      <c r="D919" t="str">
        <f>_xlfn.XLOOKUP(E919,pathways!$A$2:$A$31,pathways!$B$2:$B$31)</f>
        <v>Lipoproteins</v>
      </c>
      <c r="E919" t="s">
        <v>72</v>
      </c>
      <c r="F919" t="s">
        <v>133</v>
      </c>
      <c r="G919" t="s">
        <v>14360</v>
      </c>
      <c r="H919" t="s">
        <v>11232</v>
      </c>
      <c r="I919" t="s">
        <v>10790</v>
      </c>
      <c r="J919" s="4" t="s">
        <v>407</v>
      </c>
      <c r="K919" t="s">
        <v>406</v>
      </c>
      <c r="L919" t="s">
        <v>407</v>
      </c>
      <c r="M919" t="s">
        <v>17074</v>
      </c>
      <c r="N919" t="s">
        <v>72</v>
      </c>
      <c r="O919" t="s">
        <v>72</v>
      </c>
      <c r="P919" t="s">
        <v>133</v>
      </c>
      <c r="Q919" t="s">
        <v>133</v>
      </c>
      <c r="S919" t="s">
        <v>14360</v>
      </c>
    </row>
    <row r="920" spans="1:19" x14ac:dyDescent="0.2">
      <c r="A920" t="s">
        <v>412</v>
      </c>
      <c r="B920" t="s">
        <v>14358</v>
      </c>
      <c r="C920" t="s">
        <v>411</v>
      </c>
      <c r="D920" t="str">
        <f>_xlfn.XLOOKUP(E920,pathways!$A$2:$A$31,pathways!$B$2:$B$31)</f>
        <v>Lipoproteins</v>
      </c>
      <c r="E920" t="s">
        <v>72</v>
      </c>
      <c r="F920" t="s">
        <v>138</v>
      </c>
      <c r="G920" t="s">
        <v>14360</v>
      </c>
      <c r="H920" t="s">
        <v>11258</v>
      </c>
      <c r="I920" t="s">
        <v>10846</v>
      </c>
      <c r="J920" s="4" t="s">
        <v>411</v>
      </c>
      <c r="K920" t="s">
        <v>410</v>
      </c>
      <c r="L920" t="s">
        <v>411</v>
      </c>
      <c r="M920" t="s">
        <v>17090</v>
      </c>
      <c r="N920" t="s">
        <v>72</v>
      </c>
      <c r="O920" t="s">
        <v>72</v>
      </c>
      <c r="P920" t="s">
        <v>138</v>
      </c>
      <c r="Q920" t="s">
        <v>13539</v>
      </c>
      <c r="S920" t="s">
        <v>814</v>
      </c>
    </row>
    <row r="921" spans="1:19" x14ac:dyDescent="0.2">
      <c r="A921" t="s">
        <v>441</v>
      </c>
      <c r="B921" t="s">
        <v>14358</v>
      </c>
      <c r="C921" t="s">
        <v>11215</v>
      </c>
      <c r="D921" t="str">
        <f>_xlfn.XLOOKUP(E921,pathways!$A$2:$A$31,pathways!$B$2:$B$31)</f>
        <v>Lipoproteins</v>
      </c>
      <c r="E921" t="s">
        <v>72</v>
      </c>
      <c r="F921" t="s">
        <v>73</v>
      </c>
      <c r="G921" t="s">
        <v>14360</v>
      </c>
      <c r="H921" t="s">
        <v>11216</v>
      </c>
      <c r="I921" t="s">
        <v>10784</v>
      </c>
      <c r="J921" s="4" t="s">
        <v>11215</v>
      </c>
      <c r="K921" t="s">
        <v>439</v>
      </c>
      <c r="L921" t="s">
        <v>440</v>
      </c>
      <c r="M921" t="s">
        <v>17102</v>
      </c>
      <c r="N921" t="s">
        <v>72</v>
      </c>
      <c r="O921" t="s">
        <v>72</v>
      </c>
      <c r="P921" t="s">
        <v>73</v>
      </c>
      <c r="Q921" t="s">
        <v>13704</v>
      </c>
      <c r="S921" t="s">
        <v>14360</v>
      </c>
    </row>
    <row r="922" spans="1:19" x14ac:dyDescent="0.2">
      <c r="A922" t="s">
        <v>450</v>
      </c>
      <c r="B922" t="s">
        <v>14358</v>
      </c>
      <c r="C922" t="s">
        <v>449</v>
      </c>
      <c r="D922" t="str">
        <f>_xlfn.XLOOKUP(E922,pathways!$A$2:$A$31,pathways!$B$2:$B$31)</f>
        <v>Lipoproteins</v>
      </c>
      <c r="E922" t="s">
        <v>72</v>
      </c>
      <c r="F922" t="s">
        <v>78</v>
      </c>
      <c r="G922" t="s">
        <v>14360</v>
      </c>
      <c r="H922" t="s">
        <v>11140</v>
      </c>
      <c r="I922" t="s">
        <v>10871</v>
      </c>
      <c r="J922" s="4" t="s">
        <v>449</v>
      </c>
      <c r="K922" t="s">
        <v>448</v>
      </c>
      <c r="L922" t="s">
        <v>449</v>
      </c>
      <c r="M922" t="s">
        <v>16840</v>
      </c>
      <c r="N922" t="s">
        <v>72</v>
      </c>
      <c r="O922" t="s">
        <v>72</v>
      </c>
      <c r="P922" t="s">
        <v>78</v>
      </c>
      <c r="Q922" t="s">
        <v>78</v>
      </c>
      <c r="S922" t="s">
        <v>3819</v>
      </c>
    </row>
    <row r="923" spans="1:19" x14ac:dyDescent="0.2">
      <c r="A923" t="s">
        <v>454</v>
      </c>
      <c r="B923" t="s">
        <v>14358</v>
      </c>
      <c r="C923" t="s">
        <v>453</v>
      </c>
      <c r="D923" t="str">
        <f>_xlfn.XLOOKUP(E923,pathways!$A$2:$A$31,pathways!$B$2:$B$31)</f>
        <v>Lipoproteins</v>
      </c>
      <c r="E923" t="s">
        <v>72</v>
      </c>
      <c r="F923" t="s">
        <v>83</v>
      </c>
      <c r="G923" t="s">
        <v>14360</v>
      </c>
      <c r="H923" t="s">
        <v>11141</v>
      </c>
      <c r="I923" t="s">
        <v>10941</v>
      </c>
      <c r="J923" s="4" t="s">
        <v>453</v>
      </c>
      <c r="K923" t="s">
        <v>452</v>
      </c>
      <c r="L923" t="s">
        <v>453</v>
      </c>
      <c r="M923" t="s">
        <v>16871</v>
      </c>
      <c r="N923" t="s">
        <v>72</v>
      </c>
      <c r="O923" t="s">
        <v>72</v>
      </c>
      <c r="P923" t="s">
        <v>83</v>
      </c>
      <c r="Q923" t="s">
        <v>83</v>
      </c>
      <c r="S923" t="s">
        <v>3603</v>
      </c>
    </row>
    <row r="924" spans="1:19" x14ac:dyDescent="0.2">
      <c r="A924" t="s">
        <v>458</v>
      </c>
      <c r="B924" t="s">
        <v>14358</v>
      </c>
      <c r="C924" t="s">
        <v>457</v>
      </c>
      <c r="D924" t="str">
        <f>_xlfn.XLOOKUP(E924,pathways!$A$2:$A$31,pathways!$B$2:$B$31)</f>
        <v>Lipoproteins</v>
      </c>
      <c r="E924" t="s">
        <v>72</v>
      </c>
      <c r="F924" t="s">
        <v>88</v>
      </c>
      <c r="G924" t="s">
        <v>14360</v>
      </c>
      <c r="H924" t="s">
        <v>11142</v>
      </c>
      <c r="I924" t="s">
        <v>10885</v>
      </c>
      <c r="J924" s="4" t="s">
        <v>457</v>
      </c>
      <c r="K924" t="s">
        <v>456</v>
      </c>
      <c r="L924" t="s">
        <v>457</v>
      </c>
      <c r="M924" t="s">
        <v>16889</v>
      </c>
      <c r="N924" t="s">
        <v>72</v>
      </c>
      <c r="O924" t="s">
        <v>72</v>
      </c>
      <c r="P924" t="s">
        <v>88</v>
      </c>
      <c r="Q924" t="s">
        <v>88</v>
      </c>
      <c r="S924" t="s">
        <v>14360</v>
      </c>
    </row>
    <row r="925" spans="1:19" x14ac:dyDescent="0.2">
      <c r="A925" t="s">
        <v>462</v>
      </c>
      <c r="B925" t="s">
        <v>14358</v>
      </c>
      <c r="C925" t="s">
        <v>461</v>
      </c>
      <c r="D925" t="str">
        <f>_xlfn.XLOOKUP(E925,pathways!$A$2:$A$31,pathways!$B$2:$B$31)</f>
        <v>Lipoproteins</v>
      </c>
      <c r="E925" t="s">
        <v>72</v>
      </c>
      <c r="F925" t="s">
        <v>93</v>
      </c>
      <c r="G925" t="s">
        <v>14360</v>
      </c>
      <c r="H925" t="s">
        <v>11210</v>
      </c>
      <c r="I925" t="s">
        <v>10814</v>
      </c>
      <c r="J925" s="4" t="s">
        <v>461</v>
      </c>
      <c r="K925" t="s">
        <v>460</v>
      </c>
      <c r="L925" t="s">
        <v>461</v>
      </c>
      <c r="M925" t="s">
        <v>16908</v>
      </c>
      <c r="N925" t="s">
        <v>72</v>
      </c>
      <c r="O925" t="s">
        <v>72</v>
      </c>
      <c r="P925" t="s">
        <v>93</v>
      </c>
      <c r="Q925" t="s">
        <v>93</v>
      </c>
      <c r="S925" t="s">
        <v>14360</v>
      </c>
    </row>
    <row r="926" spans="1:19" x14ac:dyDescent="0.2">
      <c r="A926" t="s">
        <v>470</v>
      </c>
      <c r="B926" t="s">
        <v>14358</v>
      </c>
      <c r="C926" t="s">
        <v>469</v>
      </c>
      <c r="D926" t="str">
        <f>_xlfn.XLOOKUP(E926,pathways!$A$2:$A$31,pathways!$B$2:$B$31)</f>
        <v>Lipoproteins</v>
      </c>
      <c r="E926" t="s">
        <v>72</v>
      </c>
      <c r="F926" t="s">
        <v>98</v>
      </c>
      <c r="G926" t="s">
        <v>14360</v>
      </c>
      <c r="H926" t="s">
        <v>11289</v>
      </c>
      <c r="I926" t="s">
        <v>10955</v>
      </c>
      <c r="J926" s="4" t="s">
        <v>469</v>
      </c>
      <c r="K926" t="s">
        <v>468</v>
      </c>
      <c r="L926" t="s">
        <v>469</v>
      </c>
      <c r="M926" t="s">
        <v>16924</v>
      </c>
      <c r="N926" t="s">
        <v>72</v>
      </c>
      <c r="O926" t="s">
        <v>72</v>
      </c>
      <c r="P926" t="s">
        <v>98</v>
      </c>
      <c r="Q926" t="s">
        <v>98</v>
      </c>
      <c r="S926" t="s">
        <v>14360</v>
      </c>
    </row>
    <row r="927" spans="1:19" x14ac:dyDescent="0.2">
      <c r="A927" t="s">
        <v>474</v>
      </c>
      <c r="B927" t="s">
        <v>14358</v>
      </c>
      <c r="C927" t="s">
        <v>473</v>
      </c>
      <c r="D927" t="str">
        <f>_xlfn.XLOOKUP(E927,pathways!$A$2:$A$31,pathways!$B$2:$B$31)</f>
        <v>Lipoproteins</v>
      </c>
      <c r="E927" t="s">
        <v>72</v>
      </c>
      <c r="F927" t="s">
        <v>103</v>
      </c>
      <c r="G927" t="s">
        <v>14360</v>
      </c>
      <c r="H927" t="s">
        <v>11189</v>
      </c>
      <c r="I927" t="s">
        <v>10899</v>
      </c>
      <c r="J927" s="4" t="s">
        <v>473</v>
      </c>
      <c r="K927" t="s">
        <v>472</v>
      </c>
      <c r="L927" t="s">
        <v>473</v>
      </c>
      <c r="M927" t="s">
        <v>16942</v>
      </c>
      <c r="N927" t="s">
        <v>72</v>
      </c>
      <c r="O927" t="s">
        <v>72</v>
      </c>
      <c r="P927" t="s">
        <v>103</v>
      </c>
      <c r="Q927" t="s">
        <v>103</v>
      </c>
      <c r="S927" t="s">
        <v>3906</v>
      </c>
    </row>
    <row r="928" spans="1:19" x14ac:dyDescent="0.2">
      <c r="A928" t="s">
        <v>478</v>
      </c>
      <c r="B928" t="s">
        <v>14358</v>
      </c>
      <c r="C928" t="s">
        <v>477</v>
      </c>
      <c r="D928" t="str">
        <f>_xlfn.XLOOKUP(E928,pathways!$A$2:$A$31,pathways!$B$2:$B$31)</f>
        <v>Lipoproteins</v>
      </c>
      <c r="E928" t="s">
        <v>72</v>
      </c>
      <c r="F928" t="s">
        <v>108</v>
      </c>
      <c r="G928" t="s">
        <v>14360</v>
      </c>
      <c r="H928" t="s">
        <v>11225</v>
      </c>
      <c r="I928" t="s">
        <v>10828</v>
      </c>
      <c r="J928" s="4" t="s">
        <v>477</v>
      </c>
      <c r="K928" t="s">
        <v>476</v>
      </c>
      <c r="L928" t="s">
        <v>477</v>
      </c>
      <c r="M928" t="s">
        <v>16962</v>
      </c>
      <c r="N928" t="s">
        <v>72</v>
      </c>
      <c r="O928" t="s">
        <v>72</v>
      </c>
      <c r="P928" t="s">
        <v>108</v>
      </c>
      <c r="Q928" t="s">
        <v>108</v>
      </c>
      <c r="S928" t="s">
        <v>3906</v>
      </c>
    </row>
    <row r="929" spans="1:19" x14ac:dyDescent="0.2">
      <c r="A929" t="s">
        <v>482</v>
      </c>
      <c r="B929" t="s">
        <v>14358</v>
      </c>
      <c r="C929" t="s">
        <v>481</v>
      </c>
      <c r="D929" t="str">
        <f>_xlfn.XLOOKUP(E929,pathways!$A$2:$A$31,pathways!$B$2:$B$31)</f>
        <v>Lipoproteins</v>
      </c>
      <c r="E929" t="s">
        <v>72</v>
      </c>
      <c r="F929" t="s">
        <v>113</v>
      </c>
      <c r="G929" t="s">
        <v>14360</v>
      </c>
      <c r="H929" t="s">
        <v>11139</v>
      </c>
      <c r="I929" t="s">
        <v>10969</v>
      </c>
      <c r="J929" s="4" t="s">
        <v>481</v>
      </c>
      <c r="K929" t="s">
        <v>480</v>
      </c>
      <c r="L929" t="s">
        <v>481</v>
      </c>
      <c r="M929" t="s">
        <v>16990</v>
      </c>
      <c r="N929" t="s">
        <v>72</v>
      </c>
      <c r="O929" t="s">
        <v>72</v>
      </c>
      <c r="P929" t="s">
        <v>113</v>
      </c>
      <c r="Q929" t="s">
        <v>113</v>
      </c>
      <c r="S929" t="s">
        <v>5632</v>
      </c>
    </row>
    <row r="930" spans="1:19" x14ac:dyDescent="0.2">
      <c r="A930" t="s">
        <v>486</v>
      </c>
      <c r="B930" t="s">
        <v>14358</v>
      </c>
      <c r="C930" t="s">
        <v>485</v>
      </c>
      <c r="D930" t="str">
        <f>_xlfn.XLOOKUP(E930,pathways!$A$2:$A$31,pathways!$B$2:$B$31)</f>
        <v>Lipoproteins</v>
      </c>
      <c r="E930" t="s">
        <v>72</v>
      </c>
      <c r="F930" t="s">
        <v>118</v>
      </c>
      <c r="G930" t="s">
        <v>14360</v>
      </c>
      <c r="H930" t="s">
        <v>11196</v>
      </c>
      <c r="I930" t="s">
        <v>10913</v>
      </c>
      <c r="J930" s="4" t="s">
        <v>485</v>
      </c>
      <c r="K930" t="s">
        <v>484</v>
      </c>
      <c r="L930" t="s">
        <v>485</v>
      </c>
      <c r="M930" t="s">
        <v>17007</v>
      </c>
      <c r="N930" t="s">
        <v>72</v>
      </c>
      <c r="O930" t="s">
        <v>72</v>
      </c>
      <c r="P930" t="s">
        <v>118</v>
      </c>
      <c r="Q930" t="s">
        <v>118</v>
      </c>
      <c r="S930" t="s">
        <v>14360</v>
      </c>
    </row>
    <row r="931" spans="1:19" x14ac:dyDescent="0.2">
      <c r="A931" t="s">
        <v>490</v>
      </c>
      <c r="B931" t="s">
        <v>14358</v>
      </c>
      <c r="C931" t="s">
        <v>489</v>
      </c>
      <c r="D931" t="str">
        <f>_xlfn.XLOOKUP(E931,pathways!$A$2:$A$31,pathways!$B$2:$B$31)</f>
        <v>Lipoproteins</v>
      </c>
      <c r="E931" t="s">
        <v>72</v>
      </c>
      <c r="F931" t="s">
        <v>123</v>
      </c>
      <c r="G931" t="s">
        <v>14360</v>
      </c>
      <c r="H931" t="s">
        <v>11268</v>
      </c>
      <c r="I931" t="s">
        <v>10842</v>
      </c>
      <c r="J931" s="4" t="s">
        <v>489</v>
      </c>
      <c r="K931" t="s">
        <v>488</v>
      </c>
      <c r="L931" t="s">
        <v>489</v>
      </c>
      <c r="M931" t="s">
        <v>17025</v>
      </c>
      <c r="N931" t="s">
        <v>72</v>
      </c>
      <c r="O931" t="s">
        <v>72</v>
      </c>
      <c r="P931" t="s">
        <v>123</v>
      </c>
      <c r="Q931" t="s">
        <v>123</v>
      </c>
      <c r="S931" t="s">
        <v>3470</v>
      </c>
    </row>
    <row r="932" spans="1:19" x14ac:dyDescent="0.2">
      <c r="A932" t="s">
        <v>494</v>
      </c>
      <c r="B932" t="s">
        <v>14358</v>
      </c>
      <c r="C932" t="s">
        <v>493</v>
      </c>
      <c r="D932" t="str">
        <f>_xlfn.XLOOKUP(E932,pathways!$A$2:$A$31,pathways!$B$2:$B$31)</f>
        <v>Lipoproteins</v>
      </c>
      <c r="E932" t="s">
        <v>72</v>
      </c>
      <c r="F932" t="s">
        <v>128</v>
      </c>
      <c r="G932" t="s">
        <v>14360</v>
      </c>
      <c r="H932" t="s">
        <v>11135</v>
      </c>
      <c r="I932" t="s">
        <v>10927</v>
      </c>
      <c r="J932" s="4" t="s">
        <v>493</v>
      </c>
      <c r="K932" t="s">
        <v>492</v>
      </c>
      <c r="L932" t="s">
        <v>493</v>
      </c>
      <c r="M932" t="s">
        <v>17053</v>
      </c>
      <c r="N932" t="s">
        <v>72</v>
      </c>
      <c r="O932" t="s">
        <v>72</v>
      </c>
      <c r="P932" t="s">
        <v>128</v>
      </c>
      <c r="Q932" t="s">
        <v>128</v>
      </c>
      <c r="S932" t="s">
        <v>3470</v>
      </c>
    </row>
    <row r="933" spans="1:19" x14ac:dyDescent="0.2">
      <c r="A933" t="s">
        <v>498</v>
      </c>
      <c r="B933" t="s">
        <v>14358</v>
      </c>
      <c r="C933" t="s">
        <v>497</v>
      </c>
      <c r="D933" t="str">
        <f>_xlfn.XLOOKUP(E933,pathways!$A$2:$A$31,pathways!$B$2:$B$31)</f>
        <v>Lipoproteins</v>
      </c>
      <c r="E933" t="s">
        <v>72</v>
      </c>
      <c r="F933" t="s">
        <v>133</v>
      </c>
      <c r="G933" t="s">
        <v>14360</v>
      </c>
      <c r="H933" t="s">
        <v>11269</v>
      </c>
      <c r="I933" t="s">
        <v>10800</v>
      </c>
      <c r="J933" s="4" t="s">
        <v>497</v>
      </c>
      <c r="K933" t="s">
        <v>496</v>
      </c>
      <c r="L933" t="s">
        <v>497</v>
      </c>
      <c r="M933" t="s">
        <v>17069</v>
      </c>
      <c r="N933" t="s">
        <v>72</v>
      </c>
      <c r="O933" t="s">
        <v>72</v>
      </c>
      <c r="P933" t="s">
        <v>133</v>
      </c>
      <c r="Q933" t="s">
        <v>133</v>
      </c>
      <c r="S933" t="s">
        <v>3470</v>
      </c>
    </row>
    <row r="934" spans="1:19" x14ac:dyDescent="0.2">
      <c r="A934" t="s">
        <v>502</v>
      </c>
      <c r="B934" t="s">
        <v>14358</v>
      </c>
      <c r="C934" t="s">
        <v>501</v>
      </c>
      <c r="D934" t="str">
        <f>_xlfn.XLOOKUP(E934,pathways!$A$2:$A$31,pathways!$B$2:$B$31)</f>
        <v>Lipoproteins</v>
      </c>
      <c r="E934" t="s">
        <v>72</v>
      </c>
      <c r="F934" t="s">
        <v>138</v>
      </c>
      <c r="G934" t="s">
        <v>14360</v>
      </c>
      <c r="H934" t="s">
        <v>11197</v>
      </c>
      <c r="I934" t="s">
        <v>10857</v>
      </c>
      <c r="J934" s="4" t="s">
        <v>501</v>
      </c>
      <c r="K934" t="s">
        <v>500</v>
      </c>
      <c r="L934" t="s">
        <v>501</v>
      </c>
      <c r="M934" t="s">
        <v>17085</v>
      </c>
      <c r="N934" t="s">
        <v>72</v>
      </c>
      <c r="O934" t="s">
        <v>72</v>
      </c>
      <c r="P934" t="s">
        <v>138</v>
      </c>
      <c r="Q934" t="s">
        <v>13539</v>
      </c>
      <c r="S934" t="s">
        <v>3470</v>
      </c>
    </row>
    <row r="935" spans="1:19" x14ac:dyDescent="0.2">
      <c r="A935" t="s">
        <v>664</v>
      </c>
      <c r="B935" t="s">
        <v>14358</v>
      </c>
      <c r="C935" t="s">
        <v>19771</v>
      </c>
      <c r="D935" t="str">
        <f>_xlfn.XLOOKUP(E935,pathways!$A$2:$A$31,pathways!$B$2:$B$31)</f>
        <v>Lipoproteins</v>
      </c>
      <c r="E935" t="s">
        <v>72</v>
      </c>
      <c r="F935" t="s">
        <v>73</v>
      </c>
      <c r="G935" t="s">
        <v>14360</v>
      </c>
      <c r="H935" t="s">
        <v>11237</v>
      </c>
      <c r="I935" t="s">
        <v>10776</v>
      </c>
      <c r="J935" s="4" t="s">
        <v>11236</v>
      </c>
      <c r="K935" t="s">
        <v>662</v>
      </c>
      <c r="L935" t="s">
        <v>663</v>
      </c>
      <c r="M935" t="s">
        <v>17106</v>
      </c>
      <c r="N935" t="s">
        <v>72</v>
      </c>
      <c r="O935" t="s">
        <v>72</v>
      </c>
      <c r="P935" t="s">
        <v>73</v>
      </c>
      <c r="Q935" t="s">
        <v>13704</v>
      </c>
      <c r="S935" t="s">
        <v>3470</v>
      </c>
    </row>
    <row r="936" spans="1:19" x14ac:dyDescent="0.2">
      <c r="A936" t="s">
        <v>672</v>
      </c>
      <c r="B936" t="s">
        <v>14358</v>
      </c>
      <c r="C936" t="s">
        <v>671</v>
      </c>
      <c r="D936" t="str">
        <f>_xlfn.XLOOKUP(E936,pathways!$A$2:$A$31,pathways!$B$2:$B$31)</f>
        <v>Lipoproteins</v>
      </c>
      <c r="E936" t="s">
        <v>72</v>
      </c>
      <c r="F936" t="s">
        <v>78</v>
      </c>
      <c r="G936" t="s">
        <v>14360</v>
      </c>
      <c r="H936" t="s">
        <v>11150</v>
      </c>
      <c r="I936" t="s">
        <v>10865</v>
      </c>
      <c r="J936" s="4" t="s">
        <v>671</v>
      </c>
      <c r="K936" t="s">
        <v>671</v>
      </c>
      <c r="L936" t="s">
        <v>671</v>
      </c>
      <c r="M936" t="s">
        <v>16847</v>
      </c>
      <c r="N936" t="s">
        <v>72</v>
      </c>
      <c r="O936" t="s">
        <v>72</v>
      </c>
      <c r="P936" t="s">
        <v>78</v>
      </c>
      <c r="Q936" t="s">
        <v>78</v>
      </c>
      <c r="S936" t="s">
        <v>3470</v>
      </c>
    </row>
    <row r="937" spans="1:19" x14ac:dyDescent="0.2">
      <c r="A937" t="s">
        <v>676</v>
      </c>
      <c r="B937" t="s">
        <v>14358</v>
      </c>
      <c r="C937" t="s">
        <v>675</v>
      </c>
      <c r="D937" t="str">
        <f>_xlfn.XLOOKUP(E937,pathways!$A$2:$A$31,pathways!$B$2:$B$31)</f>
        <v>Lipoproteins</v>
      </c>
      <c r="E937" t="s">
        <v>72</v>
      </c>
      <c r="F937" t="s">
        <v>83</v>
      </c>
      <c r="G937" t="s">
        <v>14360</v>
      </c>
      <c r="H937" t="s">
        <v>11176</v>
      </c>
      <c r="I937" t="s">
        <v>10935</v>
      </c>
      <c r="J937" s="4" t="s">
        <v>675</v>
      </c>
      <c r="K937" t="s">
        <v>674</v>
      </c>
      <c r="L937" t="s">
        <v>675</v>
      </c>
      <c r="M937" t="s">
        <v>16877</v>
      </c>
      <c r="N937" t="s">
        <v>72</v>
      </c>
      <c r="O937" t="s">
        <v>72</v>
      </c>
      <c r="P937" t="s">
        <v>83</v>
      </c>
      <c r="Q937" t="s">
        <v>83</v>
      </c>
      <c r="S937" t="s">
        <v>3470</v>
      </c>
    </row>
    <row r="938" spans="1:19" x14ac:dyDescent="0.2">
      <c r="A938" t="s">
        <v>680</v>
      </c>
      <c r="B938" t="s">
        <v>14358</v>
      </c>
      <c r="C938" t="s">
        <v>679</v>
      </c>
      <c r="D938" t="str">
        <f>_xlfn.XLOOKUP(E938,pathways!$A$2:$A$31,pathways!$B$2:$B$31)</f>
        <v>Lipoproteins</v>
      </c>
      <c r="E938" t="s">
        <v>72</v>
      </c>
      <c r="F938" t="s">
        <v>88</v>
      </c>
      <c r="G938" t="s">
        <v>14360</v>
      </c>
      <c r="H938" t="s">
        <v>11169</v>
      </c>
      <c r="I938" t="s">
        <v>10879</v>
      </c>
      <c r="J938" s="4" t="s">
        <v>679</v>
      </c>
      <c r="K938" t="s">
        <v>678</v>
      </c>
      <c r="L938" t="s">
        <v>679</v>
      </c>
      <c r="M938" t="s">
        <v>16895</v>
      </c>
      <c r="N938" t="s">
        <v>72</v>
      </c>
      <c r="O938" t="s">
        <v>72</v>
      </c>
      <c r="P938" t="s">
        <v>88</v>
      </c>
      <c r="Q938" t="s">
        <v>88</v>
      </c>
      <c r="S938" t="s">
        <v>3543</v>
      </c>
    </row>
    <row r="939" spans="1:19" x14ac:dyDescent="0.2">
      <c r="A939" t="s">
        <v>684</v>
      </c>
      <c r="B939" t="s">
        <v>14358</v>
      </c>
      <c r="C939" t="s">
        <v>683</v>
      </c>
      <c r="D939" t="str">
        <f>_xlfn.XLOOKUP(E939,pathways!$A$2:$A$31,pathways!$B$2:$B$31)</f>
        <v>Lipoproteins</v>
      </c>
      <c r="E939" t="s">
        <v>72</v>
      </c>
      <c r="F939" t="s">
        <v>93</v>
      </c>
      <c r="G939" t="s">
        <v>14360</v>
      </c>
      <c r="H939" t="s">
        <v>11229</v>
      </c>
      <c r="I939" t="s">
        <v>10808</v>
      </c>
      <c r="J939" s="4" t="s">
        <v>683</v>
      </c>
      <c r="K939" t="s">
        <v>682</v>
      </c>
      <c r="L939" t="s">
        <v>683</v>
      </c>
      <c r="M939" t="s">
        <v>16914</v>
      </c>
      <c r="N939" t="s">
        <v>72</v>
      </c>
      <c r="O939" t="s">
        <v>72</v>
      </c>
      <c r="P939" t="s">
        <v>93</v>
      </c>
      <c r="Q939" t="s">
        <v>93</v>
      </c>
      <c r="S939" t="s">
        <v>3498</v>
      </c>
    </row>
    <row r="940" spans="1:19" x14ac:dyDescent="0.2">
      <c r="A940" t="s">
        <v>691</v>
      </c>
      <c r="B940" t="s">
        <v>14358</v>
      </c>
      <c r="C940" t="s">
        <v>690</v>
      </c>
      <c r="D940" t="str">
        <f>_xlfn.XLOOKUP(E940,pathways!$A$2:$A$31,pathways!$B$2:$B$31)</f>
        <v>Lipoproteins</v>
      </c>
      <c r="E940" t="s">
        <v>72</v>
      </c>
      <c r="F940" t="s">
        <v>98</v>
      </c>
      <c r="G940" t="s">
        <v>14360</v>
      </c>
      <c r="H940" t="s">
        <v>11273</v>
      </c>
      <c r="I940" t="s">
        <v>10949</v>
      </c>
      <c r="J940" s="4" t="s">
        <v>690</v>
      </c>
      <c r="K940" t="s">
        <v>689</v>
      </c>
      <c r="L940" t="s">
        <v>690</v>
      </c>
      <c r="M940" t="s">
        <v>16930</v>
      </c>
      <c r="N940" t="s">
        <v>72</v>
      </c>
      <c r="O940" t="s">
        <v>72</v>
      </c>
      <c r="P940" t="s">
        <v>98</v>
      </c>
      <c r="Q940" t="s">
        <v>98</v>
      </c>
      <c r="S940" t="s">
        <v>3498</v>
      </c>
    </row>
    <row r="941" spans="1:19" x14ac:dyDescent="0.2">
      <c r="A941" t="s">
        <v>695</v>
      </c>
      <c r="B941" t="s">
        <v>14358</v>
      </c>
      <c r="C941" t="s">
        <v>694</v>
      </c>
      <c r="D941" t="str">
        <f>_xlfn.XLOOKUP(E941,pathways!$A$2:$A$31,pathways!$B$2:$B$31)</f>
        <v>Lipoproteins</v>
      </c>
      <c r="E941" t="s">
        <v>72</v>
      </c>
      <c r="F941" t="s">
        <v>103</v>
      </c>
      <c r="G941" t="s">
        <v>14360</v>
      </c>
      <c r="H941" t="s">
        <v>11207</v>
      </c>
      <c r="I941" t="s">
        <v>10893</v>
      </c>
      <c r="J941" s="4" t="s">
        <v>694</v>
      </c>
      <c r="K941" t="s">
        <v>693</v>
      </c>
      <c r="L941" t="s">
        <v>694</v>
      </c>
      <c r="M941" t="s">
        <v>16948</v>
      </c>
      <c r="N941" t="s">
        <v>72</v>
      </c>
      <c r="O941" t="s">
        <v>72</v>
      </c>
      <c r="P941" t="s">
        <v>103</v>
      </c>
      <c r="Q941" t="s">
        <v>103</v>
      </c>
      <c r="S941" t="s">
        <v>14360</v>
      </c>
    </row>
    <row r="942" spans="1:19" x14ac:dyDescent="0.2">
      <c r="A942" t="s">
        <v>699</v>
      </c>
      <c r="B942" t="s">
        <v>14358</v>
      </c>
      <c r="C942" t="s">
        <v>698</v>
      </c>
      <c r="D942" t="str">
        <f>_xlfn.XLOOKUP(E942,pathways!$A$2:$A$31,pathways!$B$2:$B$31)</f>
        <v>Lipoproteins</v>
      </c>
      <c r="E942" t="s">
        <v>72</v>
      </c>
      <c r="F942" t="s">
        <v>108</v>
      </c>
      <c r="G942" t="s">
        <v>14360</v>
      </c>
      <c r="H942" t="s">
        <v>11247</v>
      </c>
      <c r="I942" t="s">
        <v>10822</v>
      </c>
      <c r="J942" s="4" t="s">
        <v>698</v>
      </c>
      <c r="K942" t="s">
        <v>697</v>
      </c>
      <c r="L942" t="s">
        <v>698</v>
      </c>
      <c r="M942" t="s">
        <v>16968</v>
      </c>
      <c r="N942" t="s">
        <v>72</v>
      </c>
      <c r="O942" t="s">
        <v>72</v>
      </c>
      <c r="P942" t="s">
        <v>108</v>
      </c>
      <c r="Q942" t="s">
        <v>108</v>
      </c>
      <c r="S942" t="s">
        <v>3498</v>
      </c>
    </row>
    <row r="943" spans="1:19" x14ac:dyDescent="0.2">
      <c r="A943" t="s">
        <v>703</v>
      </c>
      <c r="B943" t="s">
        <v>14358</v>
      </c>
      <c r="C943" t="s">
        <v>702</v>
      </c>
      <c r="D943" t="str">
        <f>_xlfn.XLOOKUP(E943,pathways!$A$2:$A$31,pathways!$B$2:$B$31)</f>
        <v>Lipoproteins</v>
      </c>
      <c r="E943" t="s">
        <v>72</v>
      </c>
      <c r="F943" t="s">
        <v>113</v>
      </c>
      <c r="G943" t="s">
        <v>14360</v>
      </c>
      <c r="H943" t="s">
        <v>11131</v>
      </c>
      <c r="I943" t="s">
        <v>10963</v>
      </c>
      <c r="J943" s="4" t="s">
        <v>702</v>
      </c>
      <c r="K943" t="s">
        <v>701</v>
      </c>
      <c r="L943" t="s">
        <v>702</v>
      </c>
      <c r="M943" t="s">
        <v>16996</v>
      </c>
      <c r="N943" t="s">
        <v>72</v>
      </c>
      <c r="O943" t="s">
        <v>72</v>
      </c>
      <c r="P943" t="s">
        <v>113</v>
      </c>
      <c r="Q943" t="s">
        <v>113</v>
      </c>
    </row>
    <row r="944" spans="1:19" x14ac:dyDescent="0.2">
      <c r="A944" t="s">
        <v>707</v>
      </c>
      <c r="B944" t="s">
        <v>14358</v>
      </c>
      <c r="C944" t="s">
        <v>706</v>
      </c>
      <c r="D944" t="str">
        <f>_xlfn.XLOOKUP(E944,pathways!$A$2:$A$31,pathways!$B$2:$B$31)</f>
        <v>Lipoproteins</v>
      </c>
      <c r="E944" t="s">
        <v>72</v>
      </c>
      <c r="F944" t="s">
        <v>118</v>
      </c>
      <c r="G944" t="s">
        <v>14360</v>
      </c>
      <c r="H944" t="s">
        <v>11224</v>
      </c>
      <c r="I944" t="s">
        <v>10907</v>
      </c>
      <c r="J944" s="4" t="s">
        <v>706</v>
      </c>
      <c r="K944" t="s">
        <v>705</v>
      </c>
      <c r="L944" t="s">
        <v>706</v>
      </c>
      <c r="M944" t="s">
        <v>17013</v>
      </c>
      <c r="N944" t="s">
        <v>72</v>
      </c>
      <c r="O944" t="s">
        <v>72</v>
      </c>
      <c r="P944" t="s">
        <v>118</v>
      </c>
      <c r="Q944" t="s">
        <v>118</v>
      </c>
      <c r="S944" t="s">
        <v>14360</v>
      </c>
    </row>
    <row r="945" spans="1:19" x14ac:dyDescent="0.2">
      <c r="A945" t="s">
        <v>711</v>
      </c>
      <c r="B945" t="s">
        <v>14358</v>
      </c>
      <c r="C945" t="s">
        <v>710</v>
      </c>
      <c r="D945" t="str">
        <f>_xlfn.XLOOKUP(E945,pathways!$A$2:$A$31,pathways!$B$2:$B$31)</f>
        <v>Lipoproteins</v>
      </c>
      <c r="E945" t="s">
        <v>72</v>
      </c>
      <c r="F945" t="s">
        <v>123</v>
      </c>
      <c r="G945" t="s">
        <v>14360</v>
      </c>
      <c r="H945" t="s">
        <v>11252</v>
      </c>
      <c r="I945" t="s">
        <v>10836</v>
      </c>
      <c r="J945" s="4" t="s">
        <v>710</v>
      </c>
      <c r="K945" t="s">
        <v>709</v>
      </c>
      <c r="L945" t="s">
        <v>710</v>
      </c>
      <c r="M945" t="s">
        <v>17031</v>
      </c>
      <c r="N945" t="s">
        <v>72</v>
      </c>
      <c r="O945" t="s">
        <v>72</v>
      </c>
      <c r="P945" t="s">
        <v>123</v>
      </c>
      <c r="Q945" t="s">
        <v>123</v>
      </c>
      <c r="S945" t="s">
        <v>3819</v>
      </c>
    </row>
    <row r="946" spans="1:19" x14ac:dyDescent="0.2">
      <c r="A946" t="s">
        <v>715</v>
      </c>
      <c r="B946" t="s">
        <v>14358</v>
      </c>
      <c r="C946" t="s">
        <v>714</v>
      </c>
      <c r="D946" t="str">
        <f>_xlfn.XLOOKUP(E946,pathways!$A$2:$A$31,pathways!$B$2:$B$31)</f>
        <v>Lipoproteins</v>
      </c>
      <c r="E946" t="s">
        <v>72</v>
      </c>
      <c r="F946" t="s">
        <v>128</v>
      </c>
      <c r="G946" t="s">
        <v>14360</v>
      </c>
      <c r="H946" t="s">
        <v>11125</v>
      </c>
      <c r="I946" t="s">
        <v>10921</v>
      </c>
      <c r="J946" s="4" t="s">
        <v>714</v>
      </c>
      <c r="K946" t="s">
        <v>713</v>
      </c>
      <c r="L946" t="s">
        <v>714</v>
      </c>
      <c r="M946" t="s">
        <v>17059</v>
      </c>
      <c r="N946" t="s">
        <v>72</v>
      </c>
      <c r="O946" t="s">
        <v>72</v>
      </c>
      <c r="P946" t="s">
        <v>128</v>
      </c>
      <c r="Q946" t="s">
        <v>128</v>
      </c>
      <c r="S946" t="s">
        <v>14360</v>
      </c>
    </row>
    <row r="947" spans="1:19" x14ac:dyDescent="0.2">
      <c r="A947" t="s">
        <v>719</v>
      </c>
      <c r="B947" t="s">
        <v>14358</v>
      </c>
      <c r="C947" t="s">
        <v>718</v>
      </c>
      <c r="D947" t="str">
        <f>_xlfn.XLOOKUP(E947,pathways!$A$2:$A$31,pathways!$B$2:$B$31)</f>
        <v>Lipoproteins</v>
      </c>
      <c r="E947" t="s">
        <v>72</v>
      </c>
      <c r="F947" t="s">
        <v>133</v>
      </c>
      <c r="G947" t="s">
        <v>14360</v>
      </c>
      <c r="H947" t="s">
        <v>11257</v>
      </c>
      <c r="I947" t="s">
        <v>10794</v>
      </c>
      <c r="J947" s="4" t="s">
        <v>718</v>
      </c>
      <c r="K947" t="s">
        <v>717</v>
      </c>
      <c r="L947" t="s">
        <v>718</v>
      </c>
      <c r="M947" t="s">
        <v>17075</v>
      </c>
      <c r="N947" t="s">
        <v>72</v>
      </c>
      <c r="O947" t="s">
        <v>72</v>
      </c>
      <c r="P947" t="s">
        <v>133</v>
      </c>
      <c r="Q947" t="s">
        <v>133</v>
      </c>
      <c r="S947" t="s">
        <v>3498</v>
      </c>
    </row>
    <row r="948" spans="1:19" x14ac:dyDescent="0.2">
      <c r="A948" t="s">
        <v>723</v>
      </c>
      <c r="B948" t="s">
        <v>14358</v>
      </c>
      <c r="C948" t="s">
        <v>722</v>
      </c>
      <c r="D948" t="str">
        <f>_xlfn.XLOOKUP(E948,pathways!$A$2:$A$31,pathways!$B$2:$B$31)</f>
        <v>Lipoproteins</v>
      </c>
      <c r="E948" t="s">
        <v>72</v>
      </c>
      <c r="F948" t="s">
        <v>138</v>
      </c>
      <c r="G948" t="s">
        <v>14360</v>
      </c>
      <c r="H948" t="s">
        <v>11188</v>
      </c>
      <c r="I948" t="s">
        <v>10850</v>
      </c>
      <c r="J948" s="4" t="s">
        <v>722</v>
      </c>
      <c r="K948" t="s">
        <v>721</v>
      </c>
      <c r="L948" t="s">
        <v>722</v>
      </c>
      <c r="M948" t="s">
        <v>17091</v>
      </c>
      <c r="N948" t="s">
        <v>72</v>
      </c>
      <c r="O948" t="s">
        <v>72</v>
      </c>
      <c r="P948" t="s">
        <v>138</v>
      </c>
      <c r="Q948" t="s">
        <v>13539</v>
      </c>
      <c r="S948" t="s">
        <v>3498</v>
      </c>
    </row>
    <row r="949" spans="1:19" x14ac:dyDescent="0.2">
      <c r="A949" t="s">
        <v>70</v>
      </c>
      <c r="B949" t="s">
        <v>14358</v>
      </c>
      <c r="C949" t="s">
        <v>11295</v>
      </c>
      <c r="D949" t="str">
        <f>_xlfn.XLOOKUP(E949,pathways!$A$2:$A$31,pathways!$B$2:$B$31)</f>
        <v>Lipoproteins</v>
      </c>
      <c r="E949" t="s">
        <v>72</v>
      </c>
      <c r="F949" t="s">
        <v>73</v>
      </c>
      <c r="G949" t="s">
        <v>14360</v>
      </c>
      <c r="H949" t="s">
        <v>11296</v>
      </c>
      <c r="I949" t="s">
        <v>10779</v>
      </c>
      <c r="J949" s="4" t="s">
        <v>13738</v>
      </c>
      <c r="K949" t="s">
        <v>68</v>
      </c>
      <c r="L949" t="s">
        <v>69</v>
      </c>
      <c r="M949" t="s">
        <v>17096</v>
      </c>
      <c r="N949" t="s">
        <v>72</v>
      </c>
      <c r="O949" t="s">
        <v>72</v>
      </c>
      <c r="P949" t="s">
        <v>73</v>
      </c>
      <c r="Q949" t="s">
        <v>13704</v>
      </c>
      <c r="S949" t="s">
        <v>14360</v>
      </c>
    </row>
    <row r="950" spans="1:19" x14ac:dyDescent="0.2">
      <c r="A950" t="s">
        <v>77</v>
      </c>
      <c r="B950" t="s">
        <v>14358</v>
      </c>
      <c r="C950" t="s">
        <v>76</v>
      </c>
      <c r="D950" t="str">
        <f>_xlfn.XLOOKUP(E950,pathways!$A$2:$A$31,pathways!$B$2:$B$31)</f>
        <v>Lipoproteins</v>
      </c>
      <c r="E950" t="s">
        <v>72</v>
      </c>
      <c r="F950" t="s">
        <v>78</v>
      </c>
      <c r="G950" t="s">
        <v>14360</v>
      </c>
      <c r="H950" t="s">
        <v>11161</v>
      </c>
      <c r="I950" t="s">
        <v>10867</v>
      </c>
      <c r="J950" s="4" t="s">
        <v>75</v>
      </c>
      <c r="K950" t="s">
        <v>75</v>
      </c>
      <c r="L950" t="s">
        <v>76</v>
      </c>
      <c r="M950" t="s">
        <v>16832</v>
      </c>
      <c r="N950" t="s">
        <v>72</v>
      </c>
      <c r="O950" t="s">
        <v>72</v>
      </c>
      <c r="P950" t="s">
        <v>78</v>
      </c>
      <c r="Q950" t="s">
        <v>78</v>
      </c>
      <c r="S950" t="s">
        <v>3470</v>
      </c>
    </row>
    <row r="951" spans="1:19" x14ac:dyDescent="0.2">
      <c r="A951" t="s">
        <v>82</v>
      </c>
      <c r="B951" t="s">
        <v>14358</v>
      </c>
      <c r="C951" t="s">
        <v>81</v>
      </c>
      <c r="D951" t="str">
        <f>_xlfn.XLOOKUP(E951,pathways!$A$2:$A$31,pathways!$B$2:$B$31)</f>
        <v>Lipoproteins</v>
      </c>
      <c r="E951" t="s">
        <v>72</v>
      </c>
      <c r="F951" t="s">
        <v>83</v>
      </c>
      <c r="G951" t="s">
        <v>14360</v>
      </c>
      <c r="H951" t="s">
        <v>11148</v>
      </c>
      <c r="I951" t="s">
        <v>10937</v>
      </c>
      <c r="J951" s="4" t="s">
        <v>13458</v>
      </c>
      <c r="K951" t="s">
        <v>80</v>
      </c>
      <c r="L951" t="s">
        <v>81</v>
      </c>
      <c r="M951" t="s">
        <v>16865</v>
      </c>
      <c r="N951" t="s">
        <v>72</v>
      </c>
      <c r="O951" t="s">
        <v>72</v>
      </c>
      <c r="P951" t="s">
        <v>83</v>
      </c>
      <c r="Q951" t="s">
        <v>83</v>
      </c>
      <c r="S951" t="s">
        <v>3470</v>
      </c>
    </row>
    <row r="952" spans="1:19" x14ac:dyDescent="0.2">
      <c r="A952" t="s">
        <v>87</v>
      </c>
      <c r="B952" t="s">
        <v>14358</v>
      </c>
      <c r="C952" t="s">
        <v>86</v>
      </c>
      <c r="D952" t="str">
        <f>_xlfn.XLOOKUP(E952,pathways!$A$2:$A$31,pathways!$B$2:$B$31)</f>
        <v>Lipoproteins</v>
      </c>
      <c r="E952" t="s">
        <v>72</v>
      </c>
      <c r="F952" t="s">
        <v>88</v>
      </c>
      <c r="G952" t="s">
        <v>14360</v>
      </c>
      <c r="H952" t="s">
        <v>11157</v>
      </c>
      <c r="I952" t="s">
        <v>10881</v>
      </c>
      <c r="J952" s="4" t="s">
        <v>13485</v>
      </c>
      <c r="K952" t="s">
        <v>85</v>
      </c>
      <c r="L952" t="s">
        <v>86</v>
      </c>
      <c r="M952" t="s">
        <v>16883</v>
      </c>
      <c r="N952" t="s">
        <v>72</v>
      </c>
      <c r="O952" t="s">
        <v>72</v>
      </c>
      <c r="P952" t="s">
        <v>88</v>
      </c>
      <c r="Q952" t="s">
        <v>88</v>
      </c>
      <c r="S952" t="s">
        <v>14360</v>
      </c>
    </row>
    <row r="953" spans="1:19" x14ac:dyDescent="0.2">
      <c r="A953" t="s">
        <v>92</v>
      </c>
      <c r="B953" t="s">
        <v>14358</v>
      </c>
      <c r="C953" t="s">
        <v>91</v>
      </c>
      <c r="D953" t="str">
        <f>_xlfn.XLOOKUP(E953,pathways!$A$2:$A$31,pathways!$B$2:$B$31)</f>
        <v>Lipoproteins</v>
      </c>
      <c r="E953" t="s">
        <v>72</v>
      </c>
      <c r="F953" t="s">
        <v>93</v>
      </c>
      <c r="G953" t="s">
        <v>14360</v>
      </c>
      <c r="H953" t="s">
        <v>11234</v>
      </c>
      <c r="I953" t="s">
        <v>10810</v>
      </c>
      <c r="J953" s="4" t="s">
        <v>13679</v>
      </c>
      <c r="K953" t="s">
        <v>90</v>
      </c>
      <c r="L953" t="s">
        <v>91</v>
      </c>
      <c r="M953" t="s">
        <v>16901</v>
      </c>
      <c r="N953" t="s">
        <v>72</v>
      </c>
      <c r="O953" t="s">
        <v>72</v>
      </c>
      <c r="P953" t="s">
        <v>93</v>
      </c>
      <c r="Q953" t="s">
        <v>93</v>
      </c>
      <c r="S953" t="s">
        <v>4084</v>
      </c>
    </row>
    <row r="954" spans="1:19" x14ac:dyDescent="0.2">
      <c r="A954" t="s">
        <v>97</v>
      </c>
      <c r="B954" t="s">
        <v>14358</v>
      </c>
      <c r="C954" t="s">
        <v>11302</v>
      </c>
      <c r="D954" t="str">
        <f>_xlfn.XLOOKUP(E954,pathways!$A$2:$A$31,pathways!$B$2:$B$31)</f>
        <v>Lipoproteins</v>
      </c>
      <c r="E954" t="s">
        <v>72</v>
      </c>
      <c r="F954" t="s">
        <v>98</v>
      </c>
      <c r="G954" t="s">
        <v>14360</v>
      </c>
      <c r="H954" t="s">
        <v>11303</v>
      </c>
      <c r="I954" t="s">
        <v>10951</v>
      </c>
      <c r="J954" s="4" t="s">
        <v>13649</v>
      </c>
      <c r="K954" t="s">
        <v>95</v>
      </c>
      <c r="L954" t="s">
        <v>96</v>
      </c>
      <c r="M954" t="s">
        <v>16920</v>
      </c>
      <c r="N954" t="s">
        <v>72</v>
      </c>
      <c r="O954" t="s">
        <v>72</v>
      </c>
      <c r="P954" t="s">
        <v>98</v>
      </c>
      <c r="Q954" t="s">
        <v>98</v>
      </c>
    </row>
    <row r="955" spans="1:19" x14ac:dyDescent="0.2">
      <c r="A955" t="s">
        <v>102</v>
      </c>
      <c r="B955" t="s">
        <v>14358</v>
      </c>
      <c r="C955" t="s">
        <v>101</v>
      </c>
      <c r="D955" t="str">
        <f>_xlfn.XLOOKUP(E955,pathways!$A$2:$A$31,pathways!$B$2:$B$31)</f>
        <v>Lipoproteins</v>
      </c>
      <c r="E955" t="s">
        <v>72</v>
      </c>
      <c r="F955" t="s">
        <v>103</v>
      </c>
      <c r="G955" t="s">
        <v>14360</v>
      </c>
      <c r="H955" t="s">
        <v>11164</v>
      </c>
      <c r="I955" t="s">
        <v>10895</v>
      </c>
      <c r="J955" s="4" t="s">
        <v>13505</v>
      </c>
      <c r="K955" t="s">
        <v>100</v>
      </c>
      <c r="L955" t="s">
        <v>101</v>
      </c>
      <c r="M955" t="s">
        <v>16936</v>
      </c>
      <c r="N955" t="s">
        <v>72</v>
      </c>
      <c r="O955" t="s">
        <v>72</v>
      </c>
      <c r="P955" t="s">
        <v>103</v>
      </c>
      <c r="Q955" t="s">
        <v>103</v>
      </c>
      <c r="S955" t="s">
        <v>14360</v>
      </c>
    </row>
    <row r="956" spans="1:19" x14ac:dyDescent="0.2">
      <c r="A956" t="s">
        <v>107</v>
      </c>
      <c r="B956" t="s">
        <v>14358</v>
      </c>
      <c r="C956" t="s">
        <v>106</v>
      </c>
      <c r="D956" t="str">
        <f>_xlfn.XLOOKUP(E956,pathways!$A$2:$A$31,pathways!$B$2:$B$31)</f>
        <v>Lipoproteins</v>
      </c>
      <c r="E956" t="s">
        <v>72</v>
      </c>
      <c r="F956" t="s">
        <v>108</v>
      </c>
      <c r="G956" t="s">
        <v>14360</v>
      </c>
      <c r="H956" t="s">
        <v>11282</v>
      </c>
      <c r="I956" t="s">
        <v>10824</v>
      </c>
      <c r="J956" s="4" t="s">
        <v>13741</v>
      </c>
      <c r="K956" t="s">
        <v>105</v>
      </c>
      <c r="L956" t="s">
        <v>106</v>
      </c>
      <c r="M956" t="s">
        <v>16956</v>
      </c>
      <c r="N956" t="s">
        <v>72</v>
      </c>
      <c r="O956" t="s">
        <v>72</v>
      </c>
      <c r="P956" t="s">
        <v>108</v>
      </c>
      <c r="Q956" t="s">
        <v>108</v>
      </c>
      <c r="S956" t="s">
        <v>14360</v>
      </c>
    </row>
    <row r="957" spans="1:19" x14ac:dyDescent="0.2">
      <c r="A957" t="s">
        <v>112</v>
      </c>
      <c r="B957" t="s">
        <v>14358</v>
      </c>
      <c r="C957" t="s">
        <v>11299</v>
      </c>
      <c r="D957" t="str">
        <f>_xlfn.XLOOKUP(E957,pathways!$A$2:$A$31,pathways!$B$2:$B$31)</f>
        <v>Lipoproteins</v>
      </c>
      <c r="E957" t="s">
        <v>72</v>
      </c>
      <c r="F957" t="s">
        <v>113</v>
      </c>
      <c r="G957" t="s">
        <v>14360</v>
      </c>
      <c r="H957" t="s">
        <v>11300</v>
      </c>
      <c r="I957" t="s">
        <v>10965</v>
      </c>
      <c r="J957" s="4" t="s">
        <v>13671</v>
      </c>
      <c r="K957" t="s">
        <v>110</v>
      </c>
      <c r="L957" t="s">
        <v>111</v>
      </c>
      <c r="M957" t="s">
        <v>16986</v>
      </c>
      <c r="N957" t="s">
        <v>72</v>
      </c>
      <c r="O957" t="s">
        <v>72</v>
      </c>
      <c r="P957" t="s">
        <v>113</v>
      </c>
      <c r="Q957" t="s">
        <v>113</v>
      </c>
      <c r="S957" t="s">
        <v>9027</v>
      </c>
    </row>
    <row r="958" spans="1:19" x14ac:dyDescent="0.2">
      <c r="A958" t="s">
        <v>117</v>
      </c>
      <c r="B958" t="s">
        <v>14358</v>
      </c>
      <c r="C958" t="s">
        <v>116</v>
      </c>
      <c r="D958" t="str">
        <f>_xlfn.XLOOKUP(E958,pathways!$A$2:$A$31,pathways!$B$2:$B$31)</f>
        <v>Lipoproteins</v>
      </c>
      <c r="E958" t="s">
        <v>72</v>
      </c>
      <c r="F958" t="s">
        <v>118</v>
      </c>
      <c r="G958" t="s">
        <v>14360</v>
      </c>
      <c r="H958" t="s">
        <v>11171</v>
      </c>
      <c r="I958" t="s">
        <v>10909</v>
      </c>
      <c r="J958" s="4" t="s">
        <v>13498</v>
      </c>
      <c r="K958" t="s">
        <v>115</v>
      </c>
      <c r="L958" t="s">
        <v>116</v>
      </c>
      <c r="M958" t="s">
        <v>17002</v>
      </c>
      <c r="N958" t="s">
        <v>72</v>
      </c>
      <c r="O958" t="s">
        <v>72</v>
      </c>
      <c r="P958" t="s">
        <v>118</v>
      </c>
      <c r="Q958" t="s">
        <v>118</v>
      </c>
      <c r="S958" t="s">
        <v>9027</v>
      </c>
    </row>
    <row r="959" spans="1:19" x14ac:dyDescent="0.2">
      <c r="A959" t="s">
        <v>122</v>
      </c>
      <c r="B959" t="s">
        <v>14358</v>
      </c>
      <c r="C959" t="s">
        <v>121</v>
      </c>
      <c r="D959" t="str">
        <f>_xlfn.XLOOKUP(E959,pathways!$A$2:$A$31,pathways!$B$2:$B$31)</f>
        <v>Lipoproteins</v>
      </c>
      <c r="E959" t="s">
        <v>72</v>
      </c>
      <c r="F959" t="s">
        <v>123</v>
      </c>
      <c r="G959" t="s">
        <v>14360</v>
      </c>
      <c r="H959" t="s">
        <v>11281</v>
      </c>
      <c r="I959" t="s">
        <v>10838</v>
      </c>
      <c r="J959" s="4" t="s">
        <v>13651</v>
      </c>
      <c r="K959" t="s">
        <v>120</v>
      </c>
      <c r="L959" t="s">
        <v>121</v>
      </c>
      <c r="M959" t="s">
        <v>17020</v>
      </c>
      <c r="N959" t="s">
        <v>72</v>
      </c>
      <c r="O959" t="s">
        <v>72</v>
      </c>
      <c r="P959" t="s">
        <v>123</v>
      </c>
      <c r="Q959" t="s">
        <v>123</v>
      </c>
      <c r="S959" t="s">
        <v>14360</v>
      </c>
    </row>
    <row r="960" spans="1:19" x14ac:dyDescent="0.2">
      <c r="A960" t="s">
        <v>127</v>
      </c>
      <c r="B960" t="s">
        <v>14358</v>
      </c>
      <c r="C960" t="s">
        <v>11136</v>
      </c>
      <c r="D960" t="str">
        <f>_xlfn.XLOOKUP(E960,pathways!$A$2:$A$31,pathways!$B$2:$B$31)</f>
        <v>Lipoproteins</v>
      </c>
      <c r="E960" t="s">
        <v>72</v>
      </c>
      <c r="F960" t="s">
        <v>128</v>
      </c>
      <c r="G960" t="s">
        <v>14360</v>
      </c>
      <c r="H960" t="s">
        <v>11137</v>
      </c>
      <c r="I960" t="s">
        <v>10923</v>
      </c>
      <c r="J960" s="4" t="s">
        <v>13461</v>
      </c>
      <c r="K960" t="s">
        <v>125</v>
      </c>
      <c r="L960" t="s">
        <v>126</v>
      </c>
      <c r="M960" t="s">
        <v>17049</v>
      </c>
      <c r="N960" t="s">
        <v>72</v>
      </c>
      <c r="O960" t="s">
        <v>72</v>
      </c>
      <c r="P960" t="s">
        <v>128</v>
      </c>
      <c r="Q960" t="s">
        <v>128</v>
      </c>
      <c r="S960" t="s">
        <v>3603</v>
      </c>
    </row>
    <row r="961" spans="1:19" x14ac:dyDescent="0.2">
      <c r="A961" t="s">
        <v>132</v>
      </c>
      <c r="B961" t="s">
        <v>14358</v>
      </c>
      <c r="C961" t="s">
        <v>131</v>
      </c>
      <c r="D961" t="str">
        <f>_xlfn.XLOOKUP(E961,pathways!$A$2:$A$31,pathways!$B$2:$B$31)</f>
        <v>Lipoproteins</v>
      </c>
      <c r="E961" t="s">
        <v>72</v>
      </c>
      <c r="F961" t="s">
        <v>133</v>
      </c>
      <c r="G961" t="s">
        <v>14360</v>
      </c>
      <c r="H961" t="s">
        <v>11253</v>
      </c>
      <c r="I961" t="s">
        <v>10796</v>
      </c>
      <c r="J961" s="4" t="s">
        <v>13713</v>
      </c>
      <c r="K961" t="s">
        <v>130</v>
      </c>
      <c r="L961" t="s">
        <v>131</v>
      </c>
      <c r="M961" t="s">
        <v>17065</v>
      </c>
      <c r="N961" t="s">
        <v>72</v>
      </c>
      <c r="O961" t="s">
        <v>72</v>
      </c>
      <c r="P961" t="s">
        <v>133</v>
      </c>
      <c r="Q961" t="s">
        <v>133</v>
      </c>
      <c r="S961" t="s">
        <v>3569</v>
      </c>
    </row>
    <row r="962" spans="1:19" x14ac:dyDescent="0.2">
      <c r="A962" t="s">
        <v>137</v>
      </c>
      <c r="B962" t="s">
        <v>14358</v>
      </c>
      <c r="C962" t="s">
        <v>136</v>
      </c>
      <c r="D962" t="str">
        <f>_xlfn.XLOOKUP(E962,pathways!$A$2:$A$31,pathways!$B$2:$B$31)</f>
        <v>Lipoproteins</v>
      </c>
      <c r="E962" t="s">
        <v>72</v>
      </c>
      <c r="F962" t="s">
        <v>138</v>
      </c>
      <c r="G962" t="s">
        <v>14360</v>
      </c>
      <c r="H962" t="s">
        <v>11203</v>
      </c>
      <c r="I962" t="s">
        <v>10853</v>
      </c>
      <c r="J962" s="4" t="s">
        <v>13583</v>
      </c>
      <c r="K962" t="s">
        <v>135</v>
      </c>
      <c r="L962" t="s">
        <v>136</v>
      </c>
      <c r="M962" t="s">
        <v>17080</v>
      </c>
      <c r="N962" t="s">
        <v>72</v>
      </c>
      <c r="O962" t="s">
        <v>72</v>
      </c>
      <c r="P962" t="s">
        <v>138</v>
      </c>
      <c r="Q962" t="s">
        <v>13539</v>
      </c>
      <c r="S962" t="s">
        <v>5535</v>
      </c>
    </row>
    <row r="963" spans="1:19" x14ac:dyDescent="0.2">
      <c r="A963" t="s">
        <v>856</v>
      </c>
      <c r="B963" t="s">
        <v>14358</v>
      </c>
      <c r="C963" t="s">
        <v>19770</v>
      </c>
      <c r="D963" t="str">
        <f>_xlfn.XLOOKUP(E963,pathways!$A$2:$A$31,pathways!$B$2:$B$31)</f>
        <v>Lipoproteins</v>
      </c>
      <c r="E963" t="s">
        <v>72</v>
      </c>
      <c r="F963" t="s">
        <v>73</v>
      </c>
      <c r="G963" t="s">
        <v>14360</v>
      </c>
      <c r="H963" t="s">
        <v>11249</v>
      </c>
      <c r="I963" t="s">
        <v>10773</v>
      </c>
      <c r="J963" s="4" t="s">
        <v>11248</v>
      </c>
      <c r="K963" t="s">
        <v>854</v>
      </c>
      <c r="L963" t="s">
        <v>855</v>
      </c>
      <c r="M963" t="s">
        <v>17104</v>
      </c>
      <c r="N963" t="s">
        <v>72</v>
      </c>
      <c r="O963" t="s">
        <v>72</v>
      </c>
      <c r="P963" t="s">
        <v>73</v>
      </c>
      <c r="Q963" t="s">
        <v>13704</v>
      </c>
    </row>
    <row r="964" spans="1:19" x14ac:dyDescent="0.2">
      <c r="A964" t="s">
        <v>893</v>
      </c>
      <c r="B964" t="s">
        <v>14358</v>
      </c>
      <c r="C964" t="s">
        <v>19764</v>
      </c>
      <c r="D964" t="str">
        <f>_xlfn.XLOOKUP(E964,pathways!$A$2:$A$31,pathways!$B$2:$B$31)</f>
        <v>Lipoproteins</v>
      </c>
      <c r="E964" t="s">
        <v>72</v>
      </c>
      <c r="F964" t="s">
        <v>103</v>
      </c>
      <c r="G964" t="s">
        <v>14360</v>
      </c>
      <c r="H964" t="s">
        <v>11186</v>
      </c>
      <c r="I964" t="s">
        <v>10891</v>
      </c>
      <c r="J964" s="4" t="s">
        <v>11185</v>
      </c>
      <c r="K964" t="s">
        <v>891</v>
      </c>
      <c r="L964" t="s">
        <v>892</v>
      </c>
      <c r="M964" t="s">
        <v>16945</v>
      </c>
      <c r="N964" t="s">
        <v>72</v>
      </c>
      <c r="O964" t="s">
        <v>72</v>
      </c>
      <c r="P964" t="s">
        <v>103</v>
      </c>
      <c r="Q964" t="s">
        <v>103</v>
      </c>
    </row>
    <row r="965" spans="1:19" x14ac:dyDescent="0.2">
      <c r="A965" t="s">
        <v>865</v>
      </c>
      <c r="B965" t="s">
        <v>14358</v>
      </c>
      <c r="C965" t="s">
        <v>864</v>
      </c>
      <c r="D965" t="str">
        <f>_xlfn.XLOOKUP(E965,pathways!$A$2:$A$31,pathways!$B$2:$B$31)</f>
        <v>Lipoproteins</v>
      </c>
      <c r="E965" t="s">
        <v>72</v>
      </c>
      <c r="F965" t="s">
        <v>78</v>
      </c>
      <c r="G965" t="s">
        <v>14360</v>
      </c>
      <c r="H965" t="s">
        <v>11178</v>
      </c>
      <c r="I965" t="s">
        <v>10863</v>
      </c>
      <c r="J965" s="4" t="s">
        <v>864</v>
      </c>
      <c r="K965" t="s">
        <v>863</v>
      </c>
      <c r="L965" t="s">
        <v>864</v>
      </c>
      <c r="M965" t="s">
        <v>16844</v>
      </c>
      <c r="N965" t="s">
        <v>72</v>
      </c>
      <c r="O965" t="s">
        <v>72</v>
      </c>
      <c r="P965" t="s">
        <v>78</v>
      </c>
      <c r="Q965" t="s">
        <v>78</v>
      </c>
      <c r="S965" t="s">
        <v>3498</v>
      </c>
    </row>
    <row r="966" spans="1:19" x14ac:dyDescent="0.2">
      <c r="A966" t="s">
        <v>869</v>
      </c>
      <c r="B966" t="s">
        <v>14358</v>
      </c>
      <c r="C966" t="s">
        <v>868</v>
      </c>
      <c r="D966" t="str">
        <f>_xlfn.XLOOKUP(E966,pathways!$A$2:$A$31,pathways!$B$2:$B$31)</f>
        <v>Lipoproteins</v>
      </c>
      <c r="E966" t="s">
        <v>72</v>
      </c>
      <c r="F966" t="s">
        <v>83</v>
      </c>
      <c r="G966" t="s">
        <v>14360</v>
      </c>
      <c r="H966" t="s">
        <v>11151</v>
      </c>
      <c r="I966" t="s">
        <v>10933</v>
      </c>
      <c r="J966" s="4" t="s">
        <v>868</v>
      </c>
      <c r="K966" t="s">
        <v>867</v>
      </c>
      <c r="L966" t="s">
        <v>868</v>
      </c>
      <c r="M966" t="s">
        <v>16874</v>
      </c>
      <c r="N966" t="s">
        <v>72</v>
      </c>
      <c r="O966" t="s">
        <v>72</v>
      </c>
      <c r="P966" t="s">
        <v>83</v>
      </c>
      <c r="Q966" t="s">
        <v>83</v>
      </c>
    </row>
    <row r="967" spans="1:19" x14ac:dyDescent="0.2">
      <c r="A967" t="s">
        <v>873</v>
      </c>
      <c r="B967" t="s">
        <v>14358</v>
      </c>
      <c r="C967" t="s">
        <v>872</v>
      </c>
      <c r="D967" t="str">
        <f>_xlfn.XLOOKUP(E967,pathways!$A$2:$A$31,pathways!$B$2:$B$31)</f>
        <v>Lipoproteins</v>
      </c>
      <c r="E967" t="s">
        <v>72</v>
      </c>
      <c r="F967" t="s">
        <v>88</v>
      </c>
      <c r="G967" t="s">
        <v>14360</v>
      </c>
      <c r="H967" t="s">
        <v>11175</v>
      </c>
      <c r="I967" t="s">
        <v>10877</v>
      </c>
      <c r="J967" s="4" t="s">
        <v>872</v>
      </c>
      <c r="K967" t="s">
        <v>871</v>
      </c>
      <c r="L967" t="s">
        <v>872</v>
      </c>
      <c r="M967" t="s">
        <v>16892</v>
      </c>
      <c r="N967" t="s">
        <v>72</v>
      </c>
      <c r="O967" t="s">
        <v>72</v>
      </c>
      <c r="P967" t="s">
        <v>88</v>
      </c>
      <c r="Q967" t="s">
        <v>88</v>
      </c>
      <c r="S967" t="s">
        <v>14360</v>
      </c>
    </row>
    <row r="968" spans="1:19" x14ac:dyDescent="0.2">
      <c r="A968" t="s">
        <v>877</v>
      </c>
      <c r="B968" t="s">
        <v>14358</v>
      </c>
      <c r="C968" t="s">
        <v>876</v>
      </c>
      <c r="D968" t="str">
        <f>_xlfn.XLOOKUP(E968,pathways!$A$2:$A$31,pathways!$B$2:$B$31)</f>
        <v>Lipoproteins</v>
      </c>
      <c r="E968" t="s">
        <v>72</v>
      </c>
      <c r="F968" t="s">
        <v>93</v>
      </c>
      <c r="G968" t="s">
        <v>14360</v>
      </c>
      <c r="H968" t="s">
        <v>11214</v>
      </c>
      <c r="I968" t="s">
        <v>10806</v>
      </c>
      <c r="J968" s="4" t="s">
        <v>876</v>
      </c>
      <c r="K968" t="s">
        <v>875</v>
      </c>
      <c r="L968" t="s">
        <v>876</v>
      </c>
      <c r="M968" t="s">
        <v>16911</v>
      </c>
      <c r="N968" t="s">
        <v>72</v>
      </c>
      <c r="O968" t="s">
        <v>72</v>
      </c>
      <c r="P968" t="s">
        <v>93</v>
      </c>
      <c r="Q968" t="s">
        <v>93</v>
      </c>
      <c r="S968" t="s">
        <v>814</v>
      </c>
    </row>
    <row r="969" spans="1:19" x14ac:dyDescent="0.2">
      <c r="A969" t="s">
        <v>889</v>
      </c>
      <c r="B969" t="s">
        <v>14358</v>
      </c>
      <c r="C969" t="s">
        <v>888</v>
      </c>
      <c r="D969" t="str">
        <f>_xlfn.XLOOKUP(E969,pathways!$A$2:$A$31,pathways!$B$2:$B$31)</f>
        <v>Lipoproteins</v>
      </c>
      <c r="E969" t="s">
        <v>72</v>
      </c>
      <c r="F969" t="s">
        <v>98</v>
      </c>
      <c r="G969" t="s">
        <v>14360</v>
      </c>
      <c r="H969" t="s">
        <v>11284</v>
      </c>
      <c r="I969" t="s">
        <v>10947</v>
      </c>
      <c r="J969" s="4" t="s">
        <v>888</v>
      </c>
      <c r="K969" t="s">
        <v>887</v>
      </c>
      <c r="L969" t="s">
        <v>888</v>
      </c>
      <c r="M969" t="s">
        <v>16927</v>
      </c>
      <c r="N969" t="s">
        <v>72</v>
      </c>
      <c r="O969" t="s">
        <v>72</v>
      </c>
      <c r="P969" t="s">
        <v>98</v>
      </c>
      <c r="Q969" t="s">
        <v>98</v>
      </c>
      <c r="S969" t="s">
        <v>5526</v>
      </c>
    </row>
    <row r="970" spans="1:19" x14ac:dyDescent="0.2">
      <c r="A970" t="s">
        <v>897</v>
      </c>
      <c r="B970" t="s">
        <v>14358</v>
      </c>
      <c r="C970" t="s">
        <v>896</v>
      </c>
      <c r="D970" t="str">
        <f>_xlfn.XLOOKUP(E970,pathways!$A$2:$A$31,pathways!$B$2:$B$31)</f>
        <v>Lipoproteins</v>
      </c>
      <c r="E970" t="s">
        <v>72</v>
      </c>
      <c r="F970" t="s">
        <v>108</v>
      </c>
      <c r="G970" t="s">
        <v>14360</v>
      </c>
      <c r="H970" t="s">
        <v>11242</v>
      </c>
      <c r="I970" t="s">
        <v>10820</v>
      </c>
      <c r="J970" s="4" t="s">
        <v>896</v>
      </c>
      <c r="K970" t="s">
        <v>895</v>
      </c>
      <c r="L970" t="s">
        <v>896</v>
      </c>
      <c r="M970" t="s">
        <v>16965</v>
      </c>
      <c r="N970" t="s">
        <v>72</v>
      </c>
      <c r="O970" t="s">
        <v>72</v>
      </c>
      <c r="P970" t="s">
        <v>108</v>
      </c>
      <c r="Q970" t="s">
        <v>108</v>
      </c>
      <c r="S970" t="s">
        <v>3560</v>
      </c>
    </row>
    <row r="971" spans="1:19" x14ac:dyDescent="0.2">
      <c r="A971" t="s">
        <v>901</v>
      </c>
      <c r="B971" t="s">
        <v>14358</v>
      </c>
      <c r="C971" t="s">
        <v>900</v>
      </c>
      <c r="D971" t="str">
        <f>_xlfn.XLOOKUP(E971,pathways!$A$2:$A$31,pathways!$B$2:$B$31)</f>
        <v>Lipoproteins</v>
      </c>
      <c r="E971" t="s">
        <v>72</v>
      </c>
      <c r="F971" t="s">
        <v>113</v>
      </c>
      <c r="G971" t="s">
        <v>14360</v>
      </c>
      <c r="H971" t="s">
        <v>11180</v>
      </c>
      <c r="I971" t="s">
        <v>10961</v>
      </c>
      <c r="J971" s="4" t="s">
        <v>900</v>
      </c>
      <c r="K971" t="s">
        <v>899</v>
      </c>
      <c r="L971" t="s">
        <v>900</v>
      </c>
      <c r="M971" t="s">
        <v>16993</v>
      </c>
      <c r="N971" t="s">
        <v>72</v>
      </c>
      <c r="O971" t="s">
        <v>72</v>
      </c>
      <c r="P971" t="s">
        <v>113</v>
      </c>
      <c r="Q971" t="s">
        <v>113</v>
      </c>
    </row>
    <row r="972" spans="1:19" x14ac:dyDescent="0.2">
      <c r="A972" t="s">
        <v>905</v>
      </c>
      <c r="B972" t="s">
        <v>14358</v>
      </c>
      <c r="C972" t="s">
        <v>904</v>
      </c>
      <c r="D972" t="str">
        <f>_xlfn.XLOOKUP(E972,pathways!$A$2:$A$31,pathways!$B$2:$B$31)</f>
        <v>Lipoproteins</v>
      </c>
      <c r="E972" t="s">
        <v>72</v>
      </c>
      <c r="F972" t="s">
        <v>118</v>
      </c>
      <c r="G972" t="s">
        <v>14360</v>
      </c>
      <c r="H972" t="s">
        <v>11191</v>
      </c>
      <c r="I972" t="s">
        <v>10905</v>
      </c>
      <c r="J972" s="4" t="s">
        <v>904</v>
      </c>
      <c r="K972" t="s">
        <v>903</v>
      </c>
      <c r="L972" t="s">
        <v>904</v>
      </c>
      <c r="M972" t="s">
        <v>17010</v>
      </c>
      <c r="N972" t="s">
        <v>72</v>
      </c>
      <c r="O972" t="s">
        <v>72</v>
      </c>
      <c r="P972" t="s">
        <v>118</v>
      </c>
      <c r="Q972" t="s">
        <v>118</v>
      </c>
      <c r="S972" t="s">
        <v>3560</v>
      </c>
    </row>
    <row r="973" spans="1:19" x14ac:dyDescent="0.2">
      <c r="A973" t="s">
        <v>909</v>
      </c>
      <c r="B973" t="s">
        <v>14358</v>
      </c>
      <c r="C973" t="s">
        <v>908</v>
      </c>
      <c r="D973" t="str">
        <f>_xlfn.XLOOKUP(E973,pathways!$A$2:$A$31,pathways!$B$2:$B$31)</f>
        <v>Lipoproteins</v>
      </c>
      <c r="E973" t="s">
        <v>72</v>
      </c>
      <c r="F973" t="s">
        <v>123</v>
      </c>
      <c r="G973" t="s">
        <v>14360</v>
      </c>
      <c r="H973" t="s">
        <v>11274</v>
      </c>
      <c r="I973" t="s">
        <v>10834</v>
      </c>
      <c r="J973" s="4" t="s">
        <v>908</v>
      </c>
      <c r="K973" t="s">
        <v>907</v>
      </c>
      <c r="L973" t="s">
        <v>908</v>
      </c>
      <c r="M973" t="s">
        <v>17028</v>
      </c>
      <c r="N973" t="s">
        <v>72</v>
      </c>
      <c r="O973" t="s">
        <v>72</v>
      </c>
      <c r="P973" t="s">
        <v>123</v>
      </c>
      <c r="Q973" t="s">
        <v>123</v>
      </c>
      <c r="S973" t="s">
        <v>7821</v>
      </c>
    </row>
    <row r="974" spans="1:19" x14ac:dyDescent="0.2">
      <c r="A974" t="s">
        <v>913</v>
      </c>
      <c r="B974" t="s">
        <v>14358</v>
      </c>
      <c r="C974" t="s">
        <v>912</v>
      </c>
      <c r="D974" t="str">
        <f>_xlfn.XLOOKUP(E974,pathways!$A$2:$A$31,pathways!$B$2:$B$31)</f>
        <v>Lipoproteins</v>
      </c>
      <c r="E974" t="s">
        <v>72</v>
      </c>
      <c r="F974" t="s">
        <v>128</v>
      </c>
      <c r="G974" t="s">
        <v>14360</v>
      </c>
      <c r="H974" t="s">
        <v>11126</v>
      </c>
      <c r="I974" t="s">
        <v>10919</v>
      </c>
      <c r="J974" s="4" t="s">
        <v>912</v>
      </c>
      <c r="K974" t="s">
        <v>911</v>
      </c>
      <c r="L974" t="s">
        <v>912</v>
      </c>
      <c r="M974" t="s">
        <v>17056</v>
      </c>
      <c r="N974" t="s">
        <v>72</v>
      </c>
      <c r="O974" t="s">
        <v>72</v>
      </c>
      <c r="P974" t="s">
        <v>128</v>
      </c>
      <c r="Q974" t="s">
        <v>128</v>
      </c>
      <c r="S974" t="s">
        <v>4774</v>
      </c>
    </row>
    <row r="975" spans="1:19" x14ac:dyDescent="0.2">
      <c r="A975" t="s">
        <v>917</v>
      </c>
      <c r="B975" t="s">
        <v>14358</v>
      </c>
      <c r="C975" t="s">
        <v>916</v>
      </c>
      <c r="D975" t="str">
        <f>_xlfn.XLOOKUP(E975,pathways!$A$2:$A$31,pathways!$B$2:$B$31)</f>
        <v>Lipoproteins</v>
      </c>
      <c r="E975" t="s">
        <v>72</v>
      </c>
      <c r="F975" t="s">
        <v>133</v>
      </c>
      <c r="G975" t="s">
        <v>14360</v>
      </c>
      <c r="H975" t="s">
        <v>11235</v>
      </c>
      <c r="I975" t="s">
        <v>10792</v>
      </c>
      <c r="J975" s="4" t="s">
        <v>916</v>
      </c>
      <c r="K975" t="s">
        <v>915</v>
      </c>
      <c r="L975" t="s">
        <v>916</v>
      </c>
      <c r="M975" t="s">
        <v>17072</v>
      </c>
      <c r="N975" t="s">
        <v>72</v>
      </c>
      <c r="O975" t="s">
        <v>72</v>
      </c>
      <c r="P975" t="s">
        <v>133</v>
      </c>
      <c r="Q975" t="s">
        <v>133</v>
      </c>
      <c r="S975" t="s">
        <v>14360</v>
      </c>
    </row>
    <row r="976" spans="1:19" x14ac:dyDescent="0.2">
      <c r="A976" t="s">
        <v>921</v>
      </c>
      <c r="B976" t="s">
        <v>14358</v>
      </c>
      <c r="C976" t="s">
        <v>920</v>
      </c>
      <c r="D976" t="str">
        <f>_xlfn.XLOOKUP(E976,pathways!$A$2:$A$31,pathways!$B$2:$B$31)</f>
        <v>Lipoproteins</v>
      </c>
      <c r="E976" t="s">
        <v>72</v>
      </c>
      <c r="F976" t="s">
        <v>138</v>
      </c>
      <c r="G976" t="s">
        <v>14360</v>
      </c>
      <c r="H976" t="s">
        <v>11241</v>
      </c>
      <c r="I976" t="s">
        <v>10848</v>
      </c>
      <c r="J976" s="4" t="s">
        <v>920</v>
      </c>
      <c r="K976" t="s">
        <v>919</v>
      </c>
      <c r="L976" t="s">
        <v>920</v>
      </c>
      <c r="M976" t="s">
        <v>17088</v>
      </c>
      <c r="N976" t="s">
        <v>72</v>
      </c>
      <c r="O976" t="s">
        <v>72</v>
      </c>
      <c r="P976" t="s">
        <v>138</v>
      </c>
      <c r="Q976" t="s">
        <v>13539</v>
      </c>
      <c r="S976" t="s">
        <v>7821</v>
      </c>
    </row>
    <row r="977" spans="1:19" x14ac:dyDescent="0.2">
      <c r="A977" t="s">
        <v>939</v>
      </c>
      <c r="B977" t="s">
        <v>14358</v>
      </c>
      <c r="C977" t="s">
        <v>19772</v>
      </c>
      <c r="D977" t="str">
        <f>_xlfn.XLOOKUP(E977,pathways!$A$2:$A$31,pathways!$B$2:$B$31)</f>
        <v>Lipoproteins</v>
      </c>
      <c r="E977" t="s">
        <v>72</v>
      </c>
      <c r="F977" t="s">
        <v>73</v>
      </c>
      <c r="G977" t="s">
        <v>14360</v>
      </c>
      <c r="H977" t="s">
        <v>11262</v>
      </c>
      <c r="I977" t="s">
        <v>10787</v>
      </c>
      <c r="J977" s="4" t="s">
        <v>11261</v>
      </c>
      <c r="K977" t="s">
        <v>937</v>
      </c>
      <c r="L977" t="s">
        <v>938</v>
      </c>
      <c r="M977" t="s">
        <v>17108</v>
      </c>
      <c r="N977" t="s">
        <v>72</v>
      </c>
      <c r="O977" t="s">
        <v>72</v>
      </c>
      <c r="P977" t="s">
        <v>73</v>
      </c>
      <c r="Q977" t="s">
        <v>13704</v>
      </c>
      <c r="S977" t="s">
        <v>9134</v>
      </c>
    </row>
    <row r="978" spans="1:19" x14ac:dyDescent="0.2">
      <c r="A978" t="s">
        <v>948</v>
      </c>
      <c r="B978" t="s">
        <v>14358</v>
      </c>
      <c r="C978" t="s">
        <v>947</v>
      </c>
      <c r="D978" t="str">
        <f>_xlfn.XLOOKUP(E978,pathways!$A$2:$A$31,pathways!$B$2:$B$31)</f>
        <v>Lipoproteins</v>
      </c>
      <c r="E978" t="s">
        <v>72</v>
      </c>
      <c r="F978" t="s">
        <v>78</v>
      </c>
      <c r="G978" t="s">
        <v>14360</v>
      </c>
      <c r="H978" t="s">
        <v>11271</v>
      </c>
      <c r="I978" t="s">
        <v>10873</v>
      </c>
      <c r="J978" s="4" t="s">
        <v>947</v>
      </c>
      <c r="K978" t="s">
        <v>947</v>
      </c>
      <c r="L978" t="s">
        <v>947</v>
      </c>
      <c r="M978" t="s">
        <v>16851</v>
      </c>
      <c r="N978" t="s">
        <v>72</v>
      </c>
      <c r="O978" t="s">
        <v>72</v>
      </c>
      <c r="P978" t="s">
        <v>78</v>
      </c>
      <c r="Q978" t="s">
        <v>78</v>
      </c>
      <c r="S978" t="s">
        <v>3819</v>
      </c>
    </row>
    <row r="979" spans="1:19" x14ac:dyDescent="0.2">
      <c r="A979" t="s">
        <v>952</v>
      </c>
      <c r="B979" t="s">
        <v>14358</v>
      </c>
      <c r="C979" t="s">
        <v>951</v>
      </c>
      <c r="D979" t="str">
        <f>_xlfn.XLOOKUP(E979,pathways!$A$2:$A$31,pathways!$B$2:$B$31)</f>
        <v>Lipoproteins</v>
      </c>
      <c r="E979" t="s">
        <v>72</v>
      </c>
      <c r="F979" t="s">
        <v>83</v>
      </c>
      <c r="G979" t="s">
        <v>14360</v>
      </c>
      <c r="H979" t="s">
        <v>11228</v>
      </c>
      <c r="I979" t="s">
        <v>10943</v>
      </c>
      <c r="J979" s="4" t="s">
        <v>951</v>
      </c>
      <c r="K979" t="s">
        <v>950</v>
      </c>
      <c r="L979" t="s">
        <v>951</v>
      </c>
      <c r="M979" t="s">
        <v>16880</v>
      </c>
      <c r="N979" t="s">
        <v>72</v>
      </c>
      <c r="O979" t="s">
        <v>72</v>
      </c>
      <c r="P979" t="s">
        <v>83</v>
      </c>
      <c r="Q979" t="s">
        <v>83</v>
      </c>
      <c r="S979" t="s">
        <v>14360</v>
      </c>
    </row>
    <row r="980" spans="1:19" x14ac:dyDescent="0.2">
      <c r="A980" t="s">
        <v>956</v>
      </c>
      <c r="B980" t="s">
        <v>14358</v>
      </c>
      <c r="C980" t="s">
        <v>955</v>
      </c>
      <c r="D980" t="str">
        <f>_xlfn.XLOOKUP(E980,pathways!$A$2:$A$31,pathways!$B$2:$B$31)</f>
        <v>Lipoproteins</v>
      </c>
      <c r="E980" t="s">
        <v>72</v>
      </c>
      <c r="F980" t="s">
        <v>88</v>
      </c>
      <c r="G980" t="s">
        <v>14360</v>
      </c>
      <c r="H980" t="s">
        <v>11298</v>
      </c>
      <c r="I980" t="s">
        <v>10887</v>
      </c>
      <c r="J980" s="4" t="s">
        <v>955</v>
      </c>
      <c r="K980" t="s">
        <v>954</v>
      </c>
      <c r="L980" t="s">
        <v>955</v>
      </c>
      <c r="M980" t="s">
        <v>16898</v>
      </c>
      <c r="N980" t="s">
        <v>72</v>
      </c>
      <c r="O980" t="s">
        <v>72</v>
      </c>
      <c r="P980" t="s">
        <v>88</v>
      </c>
      <c r="Q980" t="s">
        <v>88</v>
      </c>
      <c r="S980" t="s">
        <v>14360</v>
      </c>
    </row>
    <row r="981" spans="1:19" x14ac:dyDescent="0.2">
      <c r="A981" t="s">
        <v>960</v>
      </c>
      <c r="B981" t="s">
        <v>14358</v>
      </c>
      <c r="C981" t="s">
        <v>959</v>
      </c>
      <c r="D981" t="str">
        <f>_xlfn.XLOOKUP(E981,pathways!$A$2:$A$31,pathways!$B$2:$B$31)</f>
        <v>Lipoproteins</v>
      </c>
      <c r="E981" t="s">
        <v>72</v>
      </c>
      <c r="F981" t="s">
        <v>93</v>
      </c>
      <c r="G981" t="s">
        <v>14360</v>
      </c>
      <c r="H981" t="s">
        <v>11205</v>
      </c>
      <c r="I981" t="s">
        <v>10816</v>
      </c>
      <c r="J981" s="4" t="s">
        <v>959</v>
      </c>
      <c r="K981" t="s">
        <v>958</v>
      </c>
      <c r="L981" t="s">
        <v>959</v>
      </c>
      <c r="M981" t="s">
        <v>16917</v>
      </c>
      <c r="N981" t="s">
        <v>72</v>
      </c>
      <c r="O981" t="s">
        <v>72</v>
      </c>
      <c r="P981" t="s">
        <v>93</v>
      </c>
      <c r="Q981" t="s">
        <v>93</v>
      </c>
      <c r="S981" t="s">
        <v>3586</v>
      </c>
    </row>
    <row r="982" spans="1:19" x14ac:dyDescent="0.2">
      <c r="A982" t="s">
        <v>969</v>
      </c>
      <c r="B982" t="s">
        <v>14358</v>
      </c>
      <c r="C982" t="s">
        <v>968</v>
      </c>
      <c r="D982" t="str">
        <f>_xlfn.XLOOKUP(E982,pathways!$A$2:$A$31,pathways!$B$2:$B$31)</f>
        <v>Lipoproteins</v>
      </c>
      <c r="E982" t="s">
        <v>72</v>
      </c>
      <c r="F982" t="s">
        <v>98</v>
      </c>
      <c r="G982" t="s">
        <v>14360</v>
      </c>
      <c r="H982" t="s">
        <v>11231</v>
      </c>
      <c r="I982" t="s">
        <v>10957</v>
      </c>
      <c r="J982" s="4" t="s">
        <v>968</v>
      </c>
      <c r="K982" t="s">
        <v>967</v>
      </c>
      <c r="L982" t="s">
        <v>968</v>
      </c>
      <c r="M982" t="s">
        <v>16933</v>
      </c>
      <c r="N982" t="s">
        <v>72</v>
      </c>
      <c r="O982" t="s">
        <v>72</v>
      </c>
      <c r="P982" t="s">
        <v>98</v>
      </c>
      <c r="Q982" t="s">
        <v>98</v>
      </c>
      <c r="S982" t="s">
        <v>14360</v>
      </c>
    </row>
    <row r="983" spans="1:19" x14ac:dyDescent="0.2">
      <c r="A983" t="s">
        <v>973</v>
      </c>
      <c r="B983" t="s">
        <v>14358</v>
      </c>
      <c r="C983" t="s">
        <v>972</v>
      </c>
      <c r="D983" t="str">
        <f>_xlfn.XLOOKUP(E983,pathways!$A$2:$A$31,pathways!$B$2:$B$31)</f>
        <v>Lipoproteins</v>
      </c>
      <c r="E983" t="s">
        <v>72</v>
      </c>
      <c r="F983" t="s">
        <v>103</v>
      </c>
      <c r="G983" t="s">
        <v>14360</v>
      </c>
      <c r="H983" t="s">
        <v>11301</v>
      </c>
      <c r="I983" t="s">
        <v>10901</v>
      </c>
      <c r="J983" s="4" t="s">
        <v>972</v>
      </c>
      <c r="K983" t="s">
        <v>971</v>
      </c>
      <c r="L983" t="s">
        <v>972</v>
      </c>
      <c r="M983" t="s">
        <v>16951</v>
      </c>
      <c r="N983" t="s">
        <v>72</v>
      </c>
      <c r="O983" t="s">
        <v>72</v>
      </c>
      <c r="P983" t="s">
        <v>103</v>
      </c>
      <c r="Q983" t="s">
        <v>103</v>
      </c>
      <c r="S983" t="s">
        <v>3480</v>
      </c>
    </row>
    <row r="984" spans="1:19" x14ac:dyDescent="0.2">
      <c r="A984" t="s">
        <v>977</v>
      </c>
      <c r="B984" t="s">
        <v>14358</v>
      </c>
      <c r="C984" t="s">
        <v>976</v>
      </c>
      <c r="D984" t="str">
        <f>_xlfn.XLOOKUP(E984,pathways!$A$2:$A$31,pathways!$B$2:$B$31)</f>
        <v>Lipoproteins</v>
      </c>
      <c r="E984" t="s">
        <v>72</v>
      </c>
      <c r="F984" t="s">
        <v>108</v>
      </c>
      <c r="G984" t="s">
        <v>14360</v>
      </c>
      <c r="H984" t="s">
        <v>11211</v>
      </c>
      <c r="I984" t="s">
        <v>10830</v>
      </c>
      <c r="J984" s="4" t="s">
        <v>976</v>
      </c>
      <c r="K984" t="s">
        <v>975</v>
      </c>
      <c r="L984" t="s">
        <v>976</v>
      </c>
      <c r="M984" t="s">
        <v>16970</v>
      </c>
      <c r="N984" t="s">
        <v>72</v>
      </c>
      <c r="O984" t="s">
        <v>72</v>
      </c>
      <c r="P984" t="s">
        <v>108</v>
      </c>
      <c r="Q984" t="s">
        <v>108</v>
      </c>
      <c r="S984" t="s">
        <v>3873</v>
      </c>
    </row>
    <row r="985" spans="1:19" x14ac:dyDescent="0.2">
      <c r="A985" t="s">
        <v>981</v>
      </c>
      <c r="B985" t="s">
        <v>14358</v>
      </c>
      <c r="C985" t="s">
        <v>980</v>
      </c>
      <c r="D985" t="str">
        <f>_xlfn.XLOOKUP(E985,pathways!$A$2:$A$31,pathways!$B$2:$B$31)</f>
        <v>Lipoproteins</v>
      </c>
      <c r="E985" t="s">
        <v>72</v>
      </c>
      <c r="F985" t="s">
        <v>113</v>
      </c>
      <c r="G985" t="s">
        <v>14360</v>
      </c>
      <c r="H985" t="s">
        <v>11134</v>
      </c>
      <c r="I985" t="s">
        <v>10971</v>
      </c>
      <c r="J985" s="4" t="s">
        <v>980</v>
      </c>
      <c r="K985" t="s">
        <v>979</v>
      </c>
      <c r="L985" t="s">
        <v>980</v>
      </c>
      <c r="M985" t="s">
        <v>16999</v>
      </c>
      <c r="N985" t="s">
        <v>72</v>
      </c>
      <c r="O985" t="s">
        <v>72</v>
      </c>
      <c r="P985" t="s">
        <v>113</v>
      </c>
      <c r="Q985" t="s">
        <v>113</v>
      </c>
      <c r="S985" t="s">
        <v>14360</v>
      </c>
    </row>
    <row r="986" spans="1:19" x14ac:dyDescent="0.2">
      <c r="A986" t="s">
        <v>985</v>
      </c>
      <c r="B986" t="s">
        <v>14358</v>
      </c>
      <c r="C986" t="s">
        <v>984</v>
      </c>
      <c r="D986" t="str">
        <f>_xlfn.XLOOKUP(E986,pathways!$A$2:$A$31,pathways!$B$2:$B$31)</f>
        <v>Lipoproteins</v>
      </c>
      <c r="E986" t="s">
        <v>72</v>
      </c>
      <c r="F986" t="s">
        <v>118</v>
      </c>
      <c r="G986" t="s">
        <v>14360</v>
      </c>
      <c r="H986" t="s">
        <v>11297</v>
      </c>
      <c r="I986" t="s">
        <v>10915</v>
      </c>
      <c r="J986" s="4" t="s">
        <v>984</v>
      </c>
      <c r="K986" t="s">
        <v>983</v>
      </c>
      <c r="L986" t="s">
        <v>984</v>
      </c>
      <c r="M986" t="s">
        <v>17016</v>
      </c>
      <c r="N986" t="s">
        <v>72</v>
      </c>
      <c r="O986" t="s">
        <v>72</v>
      </c>
      <c r="P986" t="s">
        <v>118</v>
      </c>
      <c r="Q986" t="s">
        <v>118</v>
      </c>
      <c r="S986" t="s">
        <v>4437</v>
      </c>
    </row>
    <row r="987" spans="1:19" x14ac:dyDescent="0.2">
      <c r="A987" t="s">
        <v>989</v>
      </c>
      <c r="B987" t="s">
        <v>14358</v>
      </c>
      <c r="C987" t="s">
        <v>988</v>
      </c>
      <c r="D987" t="str">
        <f>_xlfn.XLOOKUP(E987,pathways!$A$2:$A$31,pathways!$B$2:$B$31)</f>
        <v>Lipoproteins</v>
      </c>
      <c r="E987" t="s">
        <v>72</v>
      </c>
      <c r="F987" t="s">
        <v>123</v>
      </c>
      <c r="G987" t="s">
        <v>14360</v>
      </c>
      <c r="H987" t="s">
        <v>11204</v>
      </c>
      <c r="I987" t="s">
        <v>10844</v>
      </c>
      <c r="J987" s="4" t="s">
        <v>988</v>
      </c>
      <c r="K987" t="s">
        <v>987</v>
      </c>
      <c r="L987" t="s">
        <v>988</v>
      </c>
      <c r="M987" t="s">
        <v>17033</v>
      </c>
      <c r="N987" t="s">
        <v>72</v>
      </c>
      <c r="O987" t="s">
        <v>72</v>
      </c>
      <c r="P987" t="s">
        <v>123</v>
      </c>
      <c r="Q987" t="s">
        <v>123</v>
      </c>
      <c r="S987" t="s">
        <v>4293</v>
      </c>
    </row>
    <row r="988" spans="1:19" x14ac:dyDescent="0.2">
      <c r="A988" t="s">
        <v>993</v>
      </c>
      <c r="B988" t="s">
        <v>14358</v>
      </c>
      <c r="C988" t="s">
        <v>992</v>
      </c>
      <c r="D988" t="str">
        <f>_xlfn.XLOOKUP(E988,pathways!$A$2:$A$31,pathways!$B$2:$B$31)</f>
        <v>Lipoproteins</v>
      </c>
      <c r="E988" t="s">
        <v>72</v>
      </c>
      <c r="F988" t="s">
        <v>128</v>
      </c>
      <c r="G988" t="s">
        <v>14360</v>
      </c>
      <c r="H988" t="s">
        <v>11255</v>
      </c>
      <c r="I988" t="s">
        <v>10929</v>
      </c>
      <c r="J988" s="4" t="s">
        <v>992</v>
      </c>
      <c r="K988" t="s">
        <v>991</v>
      </c>
      <c r="L988" t="s">
        <v>992</v>
      </c>
      <c r="M988" t="s">
        <v>17062</v>
      </c>
      <c r="N988" t="s">
        <v>72</v>
      </c>
      <c r="O988" t="s">
        <v>72</v>
      </c>
      <c r="P988" t="s">
        <v>128</v>
      </c>
      <c r="Q988" t="s">
        <v>128</v>
      </c>
      <c r="S988" t="s">
        <v>3864</v>
      </c>
    </row>
    <row r="989" spans="1:19" x14ac:dyDescent="0.2">
      <c r="A989" t="s">
        <v>997</v>
      </c>
      <c r="B989" t="s">
        <v>14358</v>
      </c>
      <c r="C989" t="s">
        <v>996</v>
      </c>
      <c r="D989" t="str">
        <f>_xlfn.XLOOKUP(E989,pathways!$A$2:$A$31,pathways!$B$2:$B$31)</f>
        <v>Lipoproteins</v>
      </c>
      <c r="E989" t="s">
        <v>72</v>
      </c>
      <c r="F989" t="s">
        <v>133</v>
      </c>
      <c r="G989" t="s">
        <v>14360</v>
      </c>
      <c r="H989" t="s">
        <v>11217</v>
      </c>
      <c r="I989" t="s">
        <v>10802</v>
      </c>
      <c r="J989" s="4" t="s">
        <v>996</v>
      </c>
      <c r="K989" t="s">
        <v>995</v>
      </c>
      <c r="L989" t="s">
        <v>996</v>
      </c>
      <c r="M989" t="s">
        <v>17077</v>
      </c>
      <c r="N989" t="s">
        <v>72</v>
      </c>
      <c r="O989" t="s">
        <v>72</v>
      </c>
      <c r="P989" t="s">
        <v>133</v>
      </c>
      <c r="Q989" t="s">
        <v>133</v>
      </c>
      <c r="S989" t="s">
        <v>4293</v>
      </c>
    </row>
    <row r="990" spans="1:19" x14ac:dyDescent="0.2">
      <c r="A990" t="s">
        <v>1001</v>
      </c>
      <c r="B990" t="s">
        <v>14358</v>
      </c>
      <c r="C990" t="s">
        <v>1000</v>
      </c>
      <c r="D990" t="str">
        <f>_xlfn.XLOOKUP(E990,pathways!$A$2:$A$31,pathways!$B$2:$B$31)</f>
        <v>Lipoproteins</v>
      </c>
      <c r="E990" t="s">
        <v>72</v>
      </c>
      <c r="F990" t="s">
        <v>138</v>
      </c>
      <c r="G990" t="s">
        <v>14360</v>
      </c>
      <c r="H990" t="s">
        <v>11219</v>
      </c>
      <c r="I990" t="s">
        <v>10859</v>
      </c>
      <c r="J990" s="4" t="s">
        <v>1000</v>
      </c>
      <c r="K990" t="s">
        <v>999</v>
      </c>
      <c r="L990" t="s">
        <v>1000</v>
      </c>
      <c r="M990" t="s">
        <v>17093</v>
      </c>
      <c r="N990" t="s">
        <v>72</v>
      </c>
      <c r="O990" t="s">
        <v>72</v>
      </c>
      <c r="P990" t="s">
        <v>138</v>
      </c>
      <c r="Q990" t="s">
        <v>13539</v>
      </c>
      <c r="S990" t="s">
        <v>4017</v>
      </c>
    </row>
    <row r="991" spans="1:19" x14ac:dyDescent="0.2">
      <c r="A991" t="s">
        <v>284</v>
      </c>
      <c r="B991" t="s">
        <v>14358</v>
      </c>
      <c r="C991" t="s">
        <v>283</v>
      </c>
      <c r="D991" t="str">
        <f>_xlfn.XLOOKUP(E991,pathways!$A$2:$A$31,pathways!$B$2:$B$31)</f>
        <v>Lipoproteins</v>
      </c>
      <c r="E991" t="s">
        <v>144</v>
      </c>
      <c r="F991" t="s">
        <v>145</v>
      </c>
      <c r="G991" t="s">
        <v>14360</v>
      </c>
      <c r="H991" t="s">
        <v>13596</v>
      </c>
      <c r="I991" t="s">
        <v>10979</v>
      </c>
      <c r="J991" s="4" t="s">
        <v>283</v>
      </c>
      <c r="K991" t="s">
        <v>282</v>
      </c>
      <c r="L991" t="s">
        <v>283</v>
      </c>
      <c r="M991" t="s">
        <v>17101</v>
      </c>
      <c r="N991" t="s">
        <v>144</v>
      </c>
      <c r="O991" t="s">
        <v>13435</v>
      </c>
      <c r="P991" t="s">
        <v>145</v>
      </c>
      <c r="Q991" t="s">
        <v>13555</v>
      </c>
      <c r="S991" t="s">
        <v>5526</v>
      </c>
    </row>
    <row r="992" spans="1:19" x14ac:dyDescent="0.2">
      <c r="A992" t="s">
        <v>288</v>
      </c>
      <c r="B992" t="s">
        <v>14358</v>
      </c>
      <c r="C992" t="s">
        <v>287</v>
      </c>
      <c r="D992" t="str">
        <f>_xlfn.XLOOKUP(E992,pathways!$A$2:$A$31,pathways!$B$2:$B$31)</f>
        <v>Lipoproteins</v>
      </c>
      <c r="E992" t="s">
        <v>144</v>
      </c>
      <c r="F992" t="s">
        <v>150</v>
      </c>
      <c r="G992" t="s">
        <v>14360</v>
      </c>
      <c r="H992" t="s">
        <v>13584</v>
      </c>
      <c r="I992" t="s">
        <v>11042</v>
      </c>
      <c r="J992" s="4" t="s">
        <v>287</v>
      </c>
      <c r="K992" t="s">
        <v>286</v>
      </c>
      <c r="L992" t="s">
        <v>287</v>
      </c>
      <c r="M992" t="s">
        <v>16838</v>
      </c>
      <c r="N992" t="s">
        <v>144</v>
      </c>
      <c r="O992" t="s">
        <v>13435</v>
      </c>
      <c r="P992" t="s">
        <v>150</v>
      </c>
      <c r="Q992" t="s">
        <v>150</v>
      </c>
      <c r="S992" t="s">
        <v>14360</v>
      </c>
    </row>
    <row r="993" spans="1:19" x14ac:dyDescent="0.2">
      <c r="A993" t="s">
        <v>292</v>
      </c>
      <c r="B993" t="s">
        <v>14358</v>
      </c>
      <c r="C993" t="s">
        <v>291</v>
      </c>
      <c r="D993" t="str">
        <f>_xlfn.XLOOKUP(E993,pathways!$A$2:$A$31,pathways!$B$2:$B$31)</f>
        <v>Lipoproteins</v>
      </c>
      <c r="E993" t="s">
        <v>144</v>
      </c>
      <c r="F993" t="s">
        <v>155</v>
      </c>
      <c r="G993" t="s">
        <v>14360</v>
      </c>
      <c r="H993" t="s">
        <v>13598</v>
      </c>
      <c r="I993" t="s">
        <v>11092</v>
      </c>
      <c r="J993" s="4" t="s">
        <v>291</v>
      </c>
      <c r="K993" t="s">
        <v>290</v>
      </c>
      <c r="L993" t="s">
        <v>291</v>
      </c>
      <c r="M993" t="s">
        <v>16870</v>
      </c>
      <c r="N993" t="s">
        <v>144</v>
      </c>
      <c r="O993" t="s">
        <v>13435</v>
      </c>
      <c r="P993" t="s">
        <v>155</v>
      </c>
      <c r="Q993" t="s">
        <v>155</v>
      </c>
      <c r="S993" t="s">
        <v>14360</v>
      </c>
    </row>
    <row r="994" spans="1:19" x14ac:dyDescent="0.2">
      <c r="A994" t="s">
        <v>296</v>
      </c>
      <c r="B994" t="s">
        <v>14358</v>
      </c>
      <c r="C994" t="s">
        <v>295</v>
      </c>
      <c r="D994" t="str">
        <f>_xlfn.XLOOKUP(E994,pathways!$A$2:$A$31,pathways!$B$2:$B$31)</f>
        <v>Lipoproteins</v>
      </c>
      <c r="E994" t="s">
        <v>144</v>
      </c>
      <c r="F994" t="s">
        <v>160</v>
      </c>
      <c r="G994" t="s">
        <v>14360</v>
      </c>
      <c r="H994" t="s">
        <v>13564</v>
      </c>
      <c r="I994" t="s">
        <v>11052</v>
      </c>
      <c r="J994" s="4" t="s">
        <v>295</v>
      </c>
      <c r="K994" t="s">
        <v>294</v>
      </c>
      <c r="L994" t="s">
        <v>295</v>
      </c>
      <c r="M994" t="s">
        <v>16888</v>
      </c>
      <c r="N994" t="s">
        <v>144</v>
      </c>
      <c r="O994" t="s">
        <v>13435</v>
      </c>
      <c r="P994" t="s">
        <v>160</v>
      </c>
      <c r="Q994" t="s">
        <v>160</v>
      </c>
      <c r="S994" t="s">
        <v>6580</v>
      </c>
    </row>
    <row r="995" spans="1:19" x14ac:dyDescent="0.2">
      <c r="A995" t="s">
        <v>300</v>
      </c>
      <c r="B995" t="s">
        <v>14358</v>
      </c>
      <c r="C995" t="s">
        <v>299</v>
      </c>
      <c r="D995" t="str">
        <f>_xlfn.XLOOKUP(E995,pathways!$A$2:$A$31,pathways!$B$2:$B$31)</f>
        <v>Lipoproteins</v>
      </c>
      <c r="E995" t="s">
        <v>144</v>
      </c>
      <c r="F995" t="s">
        <v>165</v>
      </c>
      <c r="G995" t="s">
        <v>14360</v>
      </c>
      <c r="H995" t="s">
        <v>13590</v>
      </c>
      <c r="I995" t="s">
        <v>11002</v>
      </c>
      <c r="J995" s="4" t="s">
        <v>299</v>
      </c>
      <c r="K995" t="s">
        <v>298</v>
      </c>
      <c r="L995" t="s">
        <v>299</v>
      </c>
      <c r="M995" t="s">
        <v>16907</v>
      </c>
      <c r="N995" t="s">
        <v>144</v>
      </c>
      <c r="O995" t="s">
        <v>13435</v>
      </c>
      <c r="P995" t="s">
        <v>165</v>
      </c>
      <c r="Q995" t="s">
        <v>165</v>
      </c>
      <c r="S995" t="s">
        <v>14360</v>
      </c>
    </row>
    <row r="996" spans="1:19" x14ac:dyDescent="0.2">
      <c r="A996" t="s">
        <v>304</v>
      </c>
      <c r="B996" t="s">
        <v>14358</v>
      </c>
      <c r="C996" t="s">
        <v>303</v>
      </c>
      <c r="D996" t="str">
        <f>_xlfn.XLOOKUP(E996,pathways!$A$2:$A$31,pathways!$B$2:$B$31)</f>
        <v>Lipoproteins</v>
      </c>
      <c r="E996" t="s">
        <v>144</v>
      </c>
      <c r="F996" t="s">
        <v>170</v>
      </c>
      <c r="G996" t="s">
        <v>14360</v>
      </c>
      <c r="H996" t="s">
        <v>13549</v>
      </c>
      <c r="I996" t="s">
        <v>11102</v>
      </c>
      <c r="J996" s="4" t="s">
        <v>303</v>
      </c>
      <c r="K996" t="s">
        <v>302</v>
      </c>
      <c r="L996" t="s">
        <v>303</v>
      </c>
      <c r="M996" t="s">
        <v>16923</v>
      </c>
      <c r="N996" t="s">
        <v>144</v>
      </c>
      <c r="O996" t="s">
        <v>13435</v>
      </c>
      <c r="P996" t="s">
        <v>170</v>
      </c>
      <c r="Q996" t="s">
        <v>170</v>
      </c>
      <c r="S996" t="s">
        <v>3603</v>
      </c>
    </row>
    <row r="997" spans="1:19" x14ac:dyDescent="0.2">
      <c r="A997" t="s">
        <v>308</v>
      </c>
      <c r="B997" t="s">
        <v>14358</v>
      </c>
      <c r="C997" t="s">
        <v>307</v>
      </c>
      <c r="D997" t="str">
        <f>_xlfn.XLOOKUP(E997,pathways!$A$2:$A$31,pathways!$B$2:$B$31)</f>
        <v>Lipoproteins</v>
      </c>
      <c r="E997" t="s">
        <v>144</v>
      </c>
      <c r="F997" t="s">
        <v>175</v>
      </c>
      <c r="G997" t="s">
        <v>14360</v>
      </c>
      <c r="H997" t="s">
        <v>13543</v>
      </c>
      <c r="I997" t="s">
        <v>11062</v>
      </c>
      <c r="J997" s="4" t="s">
        <v>307</v>
      </c>
      <c r="K997" t="s">
        <v>306</v>
      </c>
      <c r="L997" t="s">
        <v>307</v>
      </c>
      <c r="M997" t="s">
        <v>16941</v>
      </c>
      <c r="N997" t="s">
        <v>144</v>
      </c>
      <c r="O997" t="s">
        <v>13435</v>
      </c>
      <c r="P997" t="s">
        <v>175</v>
      </c>
      <c r="Q997" t="s">
        <v>175</v>
      </c>
      <c r="S997" t="s">
        <v>3603</v>
      </c>
    </row>
    <row r="998" spans="1:19" x14ac:dyDescent="0.2">
      <c r="A998" t="s">
        <v>312</v>
      </c>
      <c r="B998" t="s">
        <v>14358</v>
      </c>
      <c r="C998" t="s">
        <v>311</v>
      </c>
      <c r="D998" t="str">
        <f>_xlfn.XLOOKUP(E998,pathways!$A$2:$A$31,pathways!$B$2:$B$31)</f>
        <v>Lipoproteins</v>
      </c>
      <c r="E998" t="s">
        <v>144</v>
      </c>
      <c r="F998" t="s">
        <v>180</v>
      </c>
      <c r="G998" t="s">
        <v>14360</v>
      </c>
      <c r="H998" t="s">
        <v>13464</v>
      </c>
      <c r="I998" t="s">
        <v>11012</v>
      </c>
      <c r="J998" s="4" t="s">
        <v>311</v>
      </c>
      <c r="K998" t="s">
        <v>310</v>
      </c>
      <c r="L998" t="s">
        <v>311</v>
      </c>
      <c r="M998" t="s">
        <v>16961</v>
      </c>
      <c r="N998" t="s">
        <v>144</v>
      </c>
      <c r="O998" t="s">
        <v>13435</v>
      </c>
      <c r="P998" t="s">
        <v>180</v>
      </c>
      <c r="Q998" t="s">
        <v>180</v>
      </c>
      <c r="S998" t="s">
        <v>3603</v>
      </c>
    </row>
    <row r="999" spans="1:19" x14ac:dyDescent="0.2">
      <c r="A999" t="s">
        <v>316</v>
      </c>
      <c r="B999" t="s">
        <v>14358</v>
      </c>
      <c r="C999" t="s">
        <v>315</v>
      </c>
      <c r="D999" t="str">
        <f>_xlfn.XLOOKUP(E999,pathways!$A$2:$A$31,pathways!$B$2:$B$31)</f>
        <v>Lipoproteins</v>
      </c>
      <c r="E999" t="s">
        <v>144</v>
      </c>
      <c r="F999" t="s">
        <v>185</v>
      </c>
      <c r="G999" t="s">
        <v>14360</v>
      </c>
      <c r="H999" t="s">
        <v>13502</v>
      </c>
      <c r="I999" t="s">
        <v>11112</v>
      </c>
      <c r="J999" s="4" t="s">
        <v>315</v>
      </c>
      <c r="K999" t="s">
        <v>314</v>
      </c>
      <c r="L999" t="s">
        <v>315</v>
      </c>
      <c r="M999" t="s">
        <v>16989</v>
      </c>
      <c r="N999" t="s">
        <v>144</v>
      </c>
      <c r="O999" t="s">
        <v>13435</v>
      </c>
      <c r="P999" t="s">
        <v>185</v>
      </c>
      <c r="Q999" t="s">
        <v>185</v>
      </c>
      <c r="S999" t="s">
        <v>3864</v>
      </c>
    </row>
    <row r="1000" spans="1:19" x14ac:dyDescent="0.2">
      <c r="A1000" t="s">
        <v>320</v>
      </c>
      <c r="B1000" t="s">
        <v>14358</v>
      </c>
      <c r="C1000" t="s">
        <v>319</v>
      </c>
      <c r="D1000" t="str">
        <f>_xlfn.XLOOKUP(E1000,pathways!$A$2:$A$31,pathways!$B$2:$B$31)</f>
        <v>Lipoproteins</v>
      </c>
      <c r="E1000" t="s">
        <v>144</v>
      </c>
      <c r="F1000" t="s">
        <v>190</v>
      </c>
      <c r="G1000" t="s">
        <v>14360</v>
      </c>
      <c r="H1000" t="s">
        <v>13531</v>
      </c>
      <c r="I1000" t="s">
        <v>11072</v>
      </c>
      <c r="J1000" s="4" t="s">
        <v>319</v>
      </c>
      <c r="K1000" t="s">
        <v>318</v>
      </c>
      <c r="L1000" t="s">
        <v>319</v>
      </c>
      <c r="M1000" t="s">
        <v>17006</v>
      </c>
      <c r="N1000" t="s">
        <v>144</v>
      </c>
      <c r="O1000" t="s">
        <v>13435</v>
      </c>
      <c r="P1000" t="s">
        <v>190</v>
      </c>
      <c r="Q1000" t="s">
        <v>190</v>
      </c>
      <c r="S1000" t="s">
        <v>3864</v>
      </c>
    </row>
    <row r="1001" spans="1:19" x14ac:dyDescent="0.2">
      <c r="A1001" t="s">
        <v>324</v>
      </c>
      <c r="B1001" t="s">
        <v>14358</v>
      </c>
      <c r="C1001" t="s">
        <v>323</v>
      </c>
      <c r="D1001" t="str">
        <f>_xlfn.XLOOKUP(E1001,pathways!$A$2:$A$31,pathways!$B$2:$B$31)</f>
        <v>Lipoproteins</v>
      </c>
      <c r="E1001" t="s">
        <v>144</v>
      </c>
      <c r="F1001" t="s">
        <v>195</v>
      </c>
      <c r="G1001" t="s">
        <v>14360</v>
      </c>
      <c r="H1001" t="s">
        <v>13443</v>
      </c>
      <c r="I1001" t="s">
        <v>11022</v>
      </c>
      <c r="J1001" s="4" t="s">
        <v>323</v>
      </c>
      <c r="K1001" t="s">
        <v>322</v>
      </c>
      <c r="L1001" t="s">
        <v>323</v>
      </c>
      <c r="M1001" t="s">
        <v>17024</v>
      </c>
      <c r="N1001" t="s">
        <v>144</v>
      </c>
      <c r="O1001" t="s">
        <v>13435</v>
      </c>
      <c r="P1001" t="s">
        <v>195</v>
      </c>
      <c r="Q1001" t="s">
        <v>195</v>
      </c>
      <c r="S1001" t="s">
        <v>5082</v>
      </c>
    </row>
    <row r="1002" spans="1:19" x14ac:dyDescent="0.2">
      <c r="A1002" t="s">
        <v>328</v>
      </c>
      <c r="B1002" t="s">
        <v>14358</v>
      </c>
      <c r="C1002" t="s">
        <v>327</v>
      </c>
      <c r="D1002" t="str">
        <f>_xlfn.XLOOKUP(E1002,pathways!$A$2:$A$31,pathways!$B$2:$B$31)</f>
        <v>Lipoproteins</v>
      </c>
      <c r="E1002" t="s">
        <v>144</v>
      </c>
      <c r="F1002" t="s">
        <v>200</v>
      </c>
      <c r="G1002" t="s">
        <v>14360</v>
      </c>
      <c r="H1002" t="s">
        <v>13611</v>
      </c>
      <c r="I1002" t="s">
        <v>11082</v>
      </c>
      <c r="J1002" s="4" t="s">
        <v>327</v>
      </c>
      <c r="K1002" t="s">
        <v>326</v>
      </c>
      <c r="L1002" t="s">
        <v>327</v>
      </c>
      <c r="M1002" t="s">
        <v>17052</v>
      </c>
      <c r="N1002" t="s">
        <v>144</v>
      </c>
      <c r="O1002" t="s">
        <v>13435</v>
      </c>
      <c r="P1002" t="s">
        <v>200</v>
      </c>
      <c r="Q1002" t="s">
        <v>200</v>
      </c>
      <c r="S1002" t="s">
        <v>14360</v>
      </c>
    </row>
    <row r="1003" spans="1:19" x14ac:dyDescent="0.2">
      <c r="A1003" t="s">
        <v>332</v>
      </c>
      <c r="B1003" t="s">
        <v>14358</v>
      </c>
      <c r="C1003" t="s">
        <v>331</v>
      </c>
      <c r="D1003" t="str">
        <f>_xlfn.XLOOKUP(E1003,pathways!$A$2:$A$31,pathways!$B$2:$B$31)</f>
        <v>Lipoproteins</v>
      </c>
      <c r="E1003" t="s">
        <v>144</v>
      </c>
      <c r="F1003" t="s">
        <v>205</v>
      </c>
      <c r="G1003" t="s">
        <v>14360</v>
      </c>
      <c r="H1003" t="s">
        <v>13634</v>
      </c>
      <c r="I1003" t="s">
        <v>10991</v>
      </c>
      <c r="J1003" s="4" t="s">
        <v>331</v>
      </c>
      <c r="K1003" t="s">
        <v>330</v>
      </c>
      <c r="L1003" t="s">
        <v>331</v>
      </c>
      <c r="M1003" t="s">
        <v>17068</v>
      </c>
      <c r="N1003" t="s">
        <v>144</v>
      </c>
      <c r="O1003" t="s">
        <v>13435</v>
      </c>
      <c r="P1003" t="s">
        <v>205</v>
      </c>
      <c r="Q1003" t="s">
        <v>205</v>
      </c>
      <c r="S1003" t="s">
        <v>14360</v>
      </c>
    </row>
    <row r="1004" spans="1:19" x14ac:dyDescent="0.2">
      <c r="A1004" t="s">
        <v>336</v>
      </c>
      <c r="B1004" t="s">
        <v>14358</v>
      </c>
      <c r="C1004" t="s">
        <v>335</v>
      </c>
      <c r="D1004" t="str">
        <f>_xlfn.XLOOKUP(E1004,pathways!$A$2:$A$31,pathways!$B$2:$B$31)</f>
        <v>Lipoproteins</v>
      </c>
      <c r="E1004" t="s">
        <v>144</v>
      </c>
      <c r="F1004" t="s">
        <v>210</v>
      </c>
      <c r="G1004" t="s">
        <v>14360</v>
      </c>
      <c r="H1004" t="s">
        <v>13586</v>
      </c>
      <c r="I1004" t="s">
        <v>11032</v>
      </c>
      <c r="J1004" s="4" t="s">
        <v>335</v>
      </c>
      <c r="K1004" t="s">
        <v>334</v>
      </c>
      <c r="L1004" t="s">
        <v>335</v>
      </c>
      <c r="M1004" t="s">
        <v>17084</v>
      </c>
      <c r="N1004" t="s">
        <v>144</v>
      </c>
      <c r="O1004" t="s">
        <v>13435</v>
      </c>
      <c r="P1004" t="s">
        <v>210</v>
      </c>
      <c r="Q1004" t="s">
        <v>13436</v>
      </c>
      <c r="S1004" t="s">
        <v>3498</v>
      </c>
    </row>
    <row r="1005" spans="1:19" x14ac:dyDescent="0.2">
      <c r="A1005" t="s">
        <v>510</v>
      </c>
      <c r="B1005" t="s">
        <v>14358</v>
      </c>
      <c r="C1005" t="s">
        <v>509</v>
      </c>
      <c r="D1005" t="str">
        <f>_xlfn.XLOOKUP(E1005,pathways!$A$2:$A$31,pathways!$B$2:$B$31)</f>
        <v>Lipoproteins</v>
      </c>
      <c r="E1005" t="s">
        <v>144</v>
      </c>
      <c r="F1005" t="s">
        <v>145</v>
      </c>
      <c r="G1005" t="s">
        <v>14360</v>
      </c>
      <c r="H1005" t="s">
        <v>13553</v>
      </c>
      <c r="I1005" t="s">
        <v>10982</v>
      </c>
      <c r="J1005" s="4" t="s">
        <v>509</v>
      </c>
      <c r="K1005" t="s">
        <v>508</v>
      </c>
      <c r="L1005" t="s">
        <v>509</v>
      </c>
      <c r="M1005" t="s">
        <v>17103</v>
      </c>
      <c r="N1005" t="s">
        <v>144</v>
      </c>
      <c r="O1005" t="s">
        <v>13435</v>
      </c>
      <c r="P1005" t="s">
        <v>145</v>
      </c>
      <c r="Q1005" t="s">
        <v>13555</v>
      </c>
      <c r="S1005" t="s">
        <v>14360</v>
      </c>
    </row>
    <row r="1006" spans="1:19" x14ac:dyDescent="0.2">
      <c r="A1006" t="s">
        <v>514</v>
      </c>
      <c r="B1006" t="s">
        <v>14358</v>
      </c>
      <c r="C1006" t="s">
        <v>513</v>
      </c>
      <c r="D1006" t="str">
        <f>_xlfn.XLOOKUP(E1006,pathways!$A$2:$A$31,pathways!$B$2:$B$31)</f>
        <v>Lipoproteins</v>
      </c>
      <c r="E1006" t="s">
        <v>144</v>
      </c>
      <c r="F1006" t="s">
        <v>150</v>
      </c>
      <c r="G1006" t="s">
        <v>14360</v>
      </c>
      <c r="H1006" t="s">
        <v>13451</v>
      </c>
      <c r="I1006" t="s">
        <v>11044</v>
      </c>
      <c r="J1006" s="4" t="s">
        <v>513</v>
      </c>
      <c r="K1006" t="s">
        <v>512</v>
      </c>
      <c r="L1006" t="s">
        <v>513</v>
      </c>
      <c r="M1006" t="s">
        <v>16842</v>
      </c>
      <c r="N1006" t="s">
        <v>144</v>
      </c>
      <c r="O1006" t="s">
        <v>13435</v>
      </c>
      <c r="P1006" t="s">
        <v>150</v>
      </c>
      <c r="Q1006" t="s">
        <v>150</v>
      </c>
      <c r="S1006" t="s">
        <v>14360</v>
      </c>
    </row>
    <row r="1007" spans="1:19" x14ac:dyDescent="0.2">
      <c r="A1007" t="s">
        <v>518</v>
      </c>
      <c r="B1007" t="s">
        <v>14358</v>
      </c>
      <c r="C1007" t="s">
        <v>517</v>
      </c>
      <c r="D1007" t="str">
        <f>_xlfn.XLOOKUP(E1007,pathways!$A$2:$A$31,pathways!$B$2:$B$31)</f>
        <v>Lipoproteins</v>
      </c>
      <c r="E1007" t="s">
        <v>144</v>
      </c>
      <c r="F1007" t="s">
        <v>155</v>
      </c>
      <c r="G1007" t="s">
        <v>14360</v>
      </c>
      <c r="H1007" t="s">
        <v>13516</v>
      </c>
      <c r="I1007" t="s">
        <v>11094</v>
      </c>
      <c r="J1007" s="4" t="s">
        <v>517</v>
      </c>
      <c r="K1007" t="s">
        <v>516</v>
      </c>
      <c r="L1007" t="s">
        <v>517</v>
      </c>
      <c r="M1007" t="s">
        <v>16873</v>
      </c>
      <c r="N1007" t="s">
        <v>144</v>
      </c>
      <c r="O1007" t="s">
        <v>13435</v>
      </c>
      <c r="P1007" t="s">
        <v>155</v>
      </c>
      <c r="Q1007" t="s">
        <v>155</v>
      </c>
      <c r="S1007" t="s">
        <v>14360</v>
      </c>
    </row>
    <row r="1008" spans="1:19" x14ac:dyDescent="0.2">
      <c r="A1008" t="s">
        <v>522</v>
      </c>
      <c r="B1008" t="s">
        <v>14358</v>
      </c>
      <c r="C1008" t="s">
        <v>521</v>
      </c>
      <c r="D1008" t="str">
        <f>_xlfn.XLOOKUP(E1008,pathways!$A$2:$A$31,pathways!$B$2:$B$31)</f>
        <v>Lipoproteins</v>
      </c>
      <c r="E1008" t="s">
        <v>144</v>
      </c>
      <c r="F1008" t="s">
        <v>160</v>
      </c>
      <c r="G1008" t="s">
        <v>14360</v>
      </c>
      <c r="H1008" t="s">
        <v>13666</v>
      </c>
      <c r="I1008" t="s">
        <v>11054</v>
      </c>
      <c r="J1008" s="4" t="s">
        <v>521</v>
      </c>
      <c r="K1008" t="s">
        <v>520</v>
      </c>
      <c r="L1008" t="s">
        <v>521</v>
      </c>
      <c r="M1008" t="s">
        <v>16891</v>
      </c>
      <c r="N1008" t="s">
        <v>144</v>
      </c>
      <c r="O1008" t="s">
        <v>13435</v>
      </c>
      <c r="P1008" t="s">
        <v>160</v>
      </c>
      <c r="Q1008" t="s">
        <v>160</v>
      </c>
    </row>
    <row r="1009" spans="1:19" x14ac:dyDescent="0.2">
      <c r="A1009" t="s">
        <v>526</v>
      </c>
      <c r="B1009" t="s">
        <v>14358</v>
      </c>
      <c r="C1009" t="s">
        <v>525</v>
      </c>
      <c r="D1009" t="str">
        <f>_xlfn.XLOOKUP(E1009,pathways!$A$2:$A$31,pathways!$B$2:$B$31)</f>
        <v>Lipoproteins</v>
      </c>
      <c r="E1009" t="s">
        <v>144</v>
      </c>
      <c r="F1009" t="s">
        <v>165</v>
      </c>
      <c r="G1009" t="s">
        <v>14360</v>
      </c>
      <c r="H1009" t="s">
        <v>13623</v>
      </c>
      <c r="I1009" t="s">
        <v>11004</v>
      </c>
      <c r="J1009" s="4" t="s">
        <v>525</v>
      </c>
      <c r="K1009" t="s">
        <v>524</v>
      </c>
      <c r="L1009" t="s">
        <v>525</v>
      </c>
      <c r="M1009" t="s">
        <v>16910</v>
      </c>
      <c r="N1009" t="s">
        <v>144</v>
      </c>
      <c r="O1009" t="s">
        <v>13435</v>
      </c>
      <c r="P1009" t="s">
        <v>165</v>
      </c>
      <c r="Q1009" t="s">
        <v>165</v>
      </c>
      <c r="S1009" t="s">
        <v>14360</v>
      </c>
    </row>
    <row r="1010" spans="1:19" x14ac:dyDescent="0.2">
      <c r="A1010" t="s">
        <v>530</v>
      </c>
      <c r="B1010" t="s">
        <v>14358</v>
      </c>
      <c r="C1010" t="s">
        <v>529</v>
      </c>
      <c r="D1010" t="str">
        <f>_xlfn.XLOOKUP(E1010,pathways!$A$2:$A$31,pathways!$B$2:$B$31)</f>
        <v>Lipoproteins</v>
      </c>
      <c r="E1010" t="s">
        <v>144</v>
      </c>
      <c r="F1010" t="s">
        <v>170</v>
      </c>
      <c r="G1010" t="s">
        <v>14360</v>
      </c>
      <c r="H1010" t="s">
        <v>13641</v>
      </c>
      <c r="I1010" t="s">
        <v>11104</v>
      </c>
      <c r="J1010" s="4" t="s">
        <v>529</v>
      </c>
      <c r="K1010" t="s">
        <v>528</v>
      </c>
      <c r="L1010" t="s">
        <v>529</v>
      </c>
      <c r="M1010" t="s">
        <v>16926</v>
      </c>
      <c r="N1010" t="s">
        <v>144</v>
      </c>
      <c r="O1010" t="s">
        <v>13435</v>
      </c>
      <c r="P1010" t="s">
        <v>170</v>
      </c>
      <c r="Q1010" t="s">
        <v>170</v>
      </c>
      <c r="S1010" t="s">
        <v>14360</v>
      </c>
    </row>
    <row r="1011" spans="1:19" x14ac:dyDescent="0.2">
      <c r="A1011" t="s">
        <v>534</v>
      </c>
      <c r="B1011" t="s">
        <v>14358</v>
      </c>
      <c r="C1011" t="s">
        <v>533</v>
      </c>
      <c r="D1011" t="str">
        <f>_xlfn.XLOOKUP(E1011,pathways!$A$2:$A$31,pathways!$B$2:$B$31)</f>
        <v>Lipoproteins</v>
      </c>
      <c r="E1011" t="s">
        <v>144</v>
      </c>
      <c r="F1011" t="s">
        <v>175</v>
      </c>
      <c r="G1011" t="s">
        <v>14360</v>
      </c>
      <c r="H1011" t="s">
        <v>13606</v>
      </c>
      <c r="I1011" t="s">
        <v>11064</v>
      </c>
      <c r="J1011" s="4" t="s">
        <v>533</v>
      </c>
      <c r="K1011" t="s">
        <v>532</v>
      </c>
      <c r="L1011" t="s">
        <v>533</v>
      </c>
      <c r="M1011" t="s">
        <v>16944</v>
      </c>
      <c r="N1011" t="s">
        <v>144</v>
      </c>
      <c r="O1011" t="s">
        <v>13435</v>
      </c>
      <c r="P1011" t="s">
        <v>175</v>
      </c>
      <c r="Q1011" t="s">
        <v>175</v>
      </c>
      <c r="S1011" t="s">
        <v>3937</v>
      </c>
    </row>
    <row r="1012" spans="1:19" x14ac:dyDescent="0.2">
      <c r="A1012" t="s">
        <v>538</v>
      </c>
      <c r="B1012" t="s">
        <v>14358</v>
      </c>
      <c r="C1012" t="s">
        <v>537</v>
      </c>
      <c r="D1012" t="str">
        <f>_xlfn.XLOOKUP(E1012,pathways!$A$2:$A$31,pathways!$B$2:$B$31)</f>
        <v>Lipoproteins</v>
      </c>
      <c r="E1012" t="s">
        <v>144</v>
      </c>
      <c r="F1012" t="s">
        <v>180</v>
      </c>
      <c r="G1012" t="s">
        <v>14360</v>
      </c>
      <c r="H1012" t="s">
        <v>13560</v>
      </c>
      <c r="I1012" t="s">
        <v>11014</v>
      </c>
      <c r="J1012" s="4" t="s">
        <v>537</v>
      </c>
      <c r="K1012" t="s">
        <v>536</v>
      </c>
      <c r="L1012" t="s">
        <v>537</v>
      </c>
      <c r="M1012" t="s">
        <v>16964</v>
      </c>
      <c r="N1012" t="s">
        <v>144</v>
      </c>
      <c r="O1012" t="s">
        <v>13435</v>
      </c>
      <c r="P1012" t="s">
        <v>180</v>
      </c>
      <c r="Q1012" t="s">
        <v>180</v>
      </c>
      <c r="S1012" t="s">
        <v>4017</v>
      </c>
    </row>
    <row r="1013" spans="1:19" x14ac:dyDescent="0.2">
      <c r="A1013" t="s">
        <v>542</v>
      </c>
      <c r="B1013" t="s">
        <v>14358</v>
      </c>
      <c r="C1013" t="s">
        <v>541</v>
      </c>
      <c r="D1013" t="str">
        <f>_xlfn.XLOOKUP(E1013,pathways!$A$2:$A$31,pathways!$B$2:$B$31)</f>
        <v>Lipoproteins</v>
      </c>
      <c r="E1013" t="s">
        <v>144</v>
      </c>
      <c r="F1013" t="s">
        <v>185</v>
      </c>
      <c r="G1013" t="s">
        <v>14360</v>
      </c>
      <c r="H1013" t="s">
        <v>13562</v>
      </c>
      <c r="I1013" t="s">
        <v>11114</v>
      </c>
      <c r="J1013" s="4" t="s">
        <v>541</v>
      </c>
      <c r="K1013" t="s">
        <v>540</v>
      </c>
      <c r="L1013" t="s">
        <v>541</v>
      </c>
      <c r="M1013" t="s">
        <v>16992</v>
      </c>
      <c r="N1013" t="s">
        <v>144</v>
      </c>
      <c r="O1013" t="s">
        <v>13435</v>
      </c>
      <c r="P1013" t="s">
        <v>185</v>
      </c>
      <c r="Q1013" t="s">
        <v>185</v>
      </c>
      <c r="S1013" t="s">
        <v>4059</v>
      </c>
    </row>
    <row r="1014" spans="1:19" x14ac:dyDescent="0.2">
      <c r="A1014" t="s">
        <v>546</v>
      </c>
      <c r="B1014" t="s">
        <v>14358</v>
      </c>
      <c r="C1014" t="s">
        <v>545</v>
      </c>
      <c r="D1014" t="str">
        <f>_xlfn.XLOOKUP(E1014,pathways!$A$2:$A$31,pathways!$B$2:$B$31)</f>
        <v>Lipoproteins</v>
      </c>
      <c r="E1014" t="s">
        <v>144</v>
      </c>
      <c r="F1014" t="s">
        <v>190</v>
      </c>
      <c r="G1014" t="s">
        <v>14360</v>
      </c>
      <c r="H1014" t="s">
        <v>13600</v>
      </c>
      <c r="I1014" t="s">
        <v>11074</v>
      </c>
      <c r="J1014" s="4" t="s">
        <v>545</v>
      </c>
      <c r="K1014" t="s">
        <v>544</v>
      </c>
      <c r="L1014" t="s">
        <v>545</v>
      </c>
      <c r="M1014" t="s">
        <v>17009</v>
      </c>
      <c r="N1014" t="s">
        <v>144</v>
      </c>
      <c r="O1014" t="s">
        <v>13435</v>
      </c>
      <c r="P1014" t="s">
        <v>190</v>
      </c>
      <c r="Q1014" t="s">
        <v>190</v>
      </c>
      <c r="S1014" t="s">
        <v>6535</v>
      </c>
    </row>
    <row r="1015" spans="1:19" x14ac:dyDescent="0.2">
      <c r="A1015" t="s">
        <v>550</v>
      </c>
      <c r="B1015" t="s">
        <v>14358</v>
      </c>
      <c r="C1015" t="s">
        <v>549</v>
      </c>
      <c r="D1015" t="str">
        <f>_xlfn.XLOOKUP(E1015,pathways!$A$2:$A$31,pathways!$B$2:$B$31)</f>
        <v>Lipoproteins</v>
      </c>
      <c r="E1015" t="s">
        <v>144</v>
      </c>
      <c r="F1015" t="s">
        <v>195</v>
      </c>
      <c r="G1015" t="s">
        <v>14360</v>
      </c>
      <c r="H1015" t="s">
        <v>13699</v>
      </c>
      <c r="I1015" t="s">
        <v>11024</v>
      </c>
      <c r="J1015" s="4" t="s">
        <v>549</v>
      </c>
      <c r="K1015" t="s">
        <v>548</v>
      </c>
      <c r="L1015" t="s">
        <v>549</v>
      </c>
      <c r="M1015" t="s">
        <v>17027</v>
      </c>
      <c r="N1015" t="s">
        <v>144</v>
      </c>
      <c r="O1015" t="s">
        <v>13435</v>
      </c>
      <c r="P1015" t="s">
        <v>195</v>
      </c>
      <c r="Q1015" t="s">
        <v>195</v>
      </c>
      <c r="S1015" t="s">
        <v>8860</v>
      </c>
    </row>
    <row r="1016" spans="1:19" x14ac:dyDescent="0.2">
      <c r="A1016" t="s">
        <v>554</v>
      </c>
      <c r="B1016" t="s">
        <v>14358</v>
      </c>
      <c r="C1016" t="s">
        <v>553</v>
      </c>
      <c r="D1016" t="str">
        <f>_xlfn.XLOOKUP(E1016,pathways!$A$2:$A$31,pathways!$B$2:$B$31)</f>
        <v>Lipoproteins</v>
      </c>
      <c r="E1016" t="s">
        <v>144</v>
      </c>
      <c r="F1016" t="s">
        <v>200</v>
      </c>
      <c r="G1016" t="s">
        <v>14360</v>
      </c>
      <c r="H1016" t="s">
        <v>13732</v>
      </c>
      <c r="I1016" t="s">
        <v>11084</v>
      </c>
      <c r="J1016" s="4" t="s">
        <v>553</v>
      </c>
      <c r="K1016" t="s">
        <v>552</v>
      </c>
      <c r="L1016" t="s">
        <v>553</v>
      </c>
      <c r="M1016" t="s">
        <v>17055</v>
      </c>
      <c r="N1016" t="s">
        <v>144</v>
      </c>
      <c r="O1016" t="s">
        <v>13435</v>
      </c>
      <c r="P1016" t="s">
        <v>200</v>
      </c>
      <c r="Q1016" t="s">
        <v>200</v>
      </c>
      <c r="S1016" t="s">
        <v>5526</v>
      </c>
    </row>
    <row r="1017" spans="1:19" x14ac:dyDescent="0.2">
      <c r="A1017" t="s">
        <v>558</v>
      </c>
      <c r="B1017" t="s">
        <v>14358</v>
      </c>
      <c r="C1017" t="s">
        <v>557</v>
      </c>
      <c r="D1017" t="str">
        <f>_xlfn.XLOOKUP(E1017,pathways!$A$2:$A$31,pathways!$B$2:$B$31)</f>
        <v>Lipoproteins</v>
      </c>
      <c r="E1017" t="s">
        <v>144</v>
      </c>
      <c r="F1017" t="s">
        <v>205</v>
      </c>
      <c r="G1017" t="s">
        <v>14360</v>
      </c>
      <c r="H1017" t="s">
        <v>13660</v>
      </c>
      <c r="I1017" t="s">
        <v>10993</v>
      </c>
      <c r="J1017" s="4" t="s">
        <v>557</v>
      </c>
      <c r="K1017" t="s">
        <v>556</v>
      </c>
      <c r="L1017" t="s">
        <v>557</v>
      </c>
      <c r="M1017" t="s">
        <v>17071</v>
      </c>
      <c r="N1017" t="s">
        <v>144</v>
      </c>
      <c r="O1017" t="s">
        <v>13435</v>
      </c>
      <c r="P1017" t="s">
        <v>205</v>
      </c>
      <c r="Q1017" t="s">
        <v>205</v>
      </c>
      <c r="S1017" t="s">
        <v>14360</v>
      </c>
    </row>
    <row r="1018" spans="1:19" x14ac:dyDescent="0.2">
      <c r="A1018" t="s">
        <v>562</v>
      </c>
      <c r="B1018" t="s">
        <v>14358</v>
      </c>
      <c r="C1018" t="s">
        <v>561</v>
      </c>
      <c r="D1018" t="str">
        <f>_xlfn.XLOOKUP(E1018,pathways!$A$2:$A$31,pathways!$B$2:$B$31)</f>
        <v>Lipoproteins</v>
      </c>
      <c r="E1018" t="s">
        <v>144</v>
      </c>
      <c r="F1018" t="s">
        <v>210</v>
      </c>
      <c r="G1018" t="s">
        <v>14360</v>
      </c>
      <c r="H1018" t="s">
        <v>13453</v>
      </c>
      <c r="I1018" t="s">
        <v>11034</v>
      </c>
      <c r="J1018" s="4" t="s">
        <v>561</v>
      </c>
      <c r="K1018" t="s">
        <v>560</v>
      </c>
      <c r="L1018" t="s">
        <v>561</v>
      </c>
      <c r="M1018" t="s">
        <v>17087</v>
      </c>
      <c r="N1018" t="s">
        <v>144</v>
      </c>
      <c r="O1018" t="s">
        <v>13435</v>
      </c>
      <c r="P1018" t="s">
        <v>210</v>
      </c>
      <c r="Q1018" t="s">
        <v>13436</v>
      </c>
      <c r="S1018" t="s">
        <v>14360</v>
      </c>
    </row>
    <row r="1019" spans="1:19" x14ac:dyDescent="0.2">
      <c r="A1019" t="s">
        <v>730</v>
      </c>
      <c r="B1019" t="s">
        <v>14358</v>
      </c>
      <c r="C1019" t="s">
        <v>729</v>
      </c>
      <c r="D1019" t="str">
        <f>_xlfn.XLOOKUP(E1019,pathways!$A$2:$A$31,pathways!$B$2:$B$31)</f>
        <v>Lipoproteins</v>
      </c>
      <c r="E1019" t="s">
        <v>144</v>
      </c>
      <c r="F1019" t="s">
        <v>145</v>
      </c>
      <c r="G1019" t="s">
        <v>14360</v>
      </c>
      <c r="H1019" t="s">
        <v>13685</v>
      </c>
      <c r="I1019" t="s">
        <v>10973</v>
      </c>
      <c r="J1019" s="4" t="s">
        <v>729</v>
      </c>
      <c r="K1019" t="s">
        <v>728</v>
      </c>
      <c r="L1019" t="s">
        <v>729</v>
      </c>
      <c r="M1019" t="s">
        <v>17107</v>
      </c>
      <c r="N1019" t="s">
        <v>144</v>
      </c>
      <c r="O1019" t="s">
        <v>13435</v>
      </c>
      <c r="P1019" t="s">
        <v>145</v>
      </c>
      <c r="Q1019" t="s">
        <v>13555</v>
      </c>
      <c r="S1019" t="s">
        <v>3906</v>
      </c>
    </row>
    <row r="1020" spans="1:19" x14ac:dyDescent="0.2">
      <c r="A1020" t="s">
        <v>734</v>
      </c>
      <c r="B1020" t="s">
        <v>14358</v>
      </c>
      <c r="C1020" t="s">
        <v>733</v>
      </c>
      <c r="D1020" t="str">
        <f>_xlfn.XLOOKUP(E1020,pathways!$A$2:$A$31,pathways!$B$2:$B$31)</f>
        <v>Lipoproteins</v>
      </c>
      <c r="E1020" t="s">
        <v>144</v>
      </c>
      <c r="F1020" t="s">
        <v>150</v>
      </c>
      <c r="G1020" t="s">
        <v>14360</v>
      </c>
      <c r="H1020" t="s">
        <v>13681</v>
      </c>
      <c r="I1020" t="s">
        <v>11038</v>
      </c>
      <c r="J1020" s="4" t="s">
        <v>733</v>
      </c>
      <c r="K1020" t="s">
        <v>732</v>
      </c>
      <c r="L1020" t="s">
        <v>733</v>
      </c>
      <c r="M1020" t="s">
        <v>16849</v>
      </c>
      <c r="N1020" t="s">
        <v>144</v>
      </c>
      <c r="O1020" t="s">
        <v>13435</v>
      </c>
      <c r="P1020" t="s">
        <v>150</v>
      </c>
      <c r="Q1020" t="s">
        <v>150</v>
      </c>
      <c r="S1020" t="s">
        <v>3586</v>
      </c>
    </row>
    <row r="1021" spans="1:19" x14ac:dyDescent="0.2">
      <c r="A1021" t="s">
        <v>738</v>
      </c>
      <c r="B1021" t="s">
        <v>14358</v>
      </c>
      <c r="C1021" t="s">
        <v>737</v>
      </c>
      <c r="D1021" t="str">
        <f>_xlfn.XLOOKUP(E1021,pathways!$A$2:$A$31,pathways!$B$2:$B$31)</f>
        <v>Lipoproteins</v>
      </c>
      <c r="E1021" t="s">
        <v>144</v>
      </c>
      <c r="F1021" t="s">
        <v>155</v>
      </c>
      <c r="G1021" t="s">
        <v>14360</v>
      </c>
      <c r="H1021" t="s">
        <v>13580</v>
      </c>
      <c r="I1021" t="s">
        <v>11088</v>
      </c>
      <c r="J1021" s="4" t="s">
        <v>737</v>
      </c>
      <c r="K1021" t="s">
        <v>736</v>
      </c>
      <c r="L1021" t="s">
        <v>737</v>
      </c>
      <c r="M1021" t="s">
        <v>16879</v>
      </c>
      <c r="N1021" t="s">
        <v>144</v>
      </c>
      <c r="O1021" t="s">
        <v>13435</v>
      </c>
      <c r="P1021" t="s">
        <v>155</v>
      </c>
      <c r="Q1021" t="s">
        <v>155</v>
      </c>
      <c r="S1021" t="s">
        <v>8139</v>
      </c>
    </row>
    <row r="1022" spans="1:19" x14ac:dyDescent="0.2">
      <c r="A1022" t="s">
        <v>742</v>
      </c>
      <c r="B1022" t="s">
        <v>14358</v>
      </c>
      <c r="C1022" t="s">
        <v>741</v>
      </c>
      <c r="D1022" t="str">
        <f>_xlfn.XLOOKUP(E1022,pathways!$A$2:$A$31,pathways!$B$2:$B$31)</f>
        <v>Lipoproteins</v>
      </c>
      <c r="E1022" t="s">
        <v>144</v>
      </c>
      <c r="F1022" t="s">
        <v>160</v>
      </c>
      <c r="G1022" t="s">
        <v>14360</v>
      </c>
      <c r="H1022" t="s">
        <v>13594</v>
      </c>
      <c r="I1022" t="s">
        <v>11048</v>
      </c>
      <c r="J1022" s="4" t="s">
        <v>741</v>
      </c>
      <c r="K1022" t="s">
        <v>740</v>
      </c>
      <c r="L1022" t="s">
        <v>741</v>
      </c>
      <c r="M1022" t="s">
        <v>16897</v>
      </c>
      <c r="N1022" t="s">
        <v>144</v>
      </c>
      <c r="O1022" t="s">
        <v>13435</v>
      </c>
      <c r="P1022" t="s">
        <v>160</v>
      </c>
      <c r="Q1022" t="s">
        <v>160</v>
      </c>
      <c r="S1022" t="s">
        <v>3906</v>
      </c>
    </row>
    <row r="1023" spans="1:19" x14ac:dyDescent="0.2">
      <c r="A1023" t="s">
        <v>746</v>
      </c>
      <c r="B1023" t="s">
        <v>14358</v>
      </c>
      <c r="C1023" t="s">
        <v>745</v>
      </c>
      <c r="D1023" t="str">
        <f>_xlfn.XLOOKUP(E1023,pathways!$A$2:$A$31,pathways!$B$2:$B$31)</f>
        <v>Lipoproteins</v>
      </c>
      <c r="E1023" t="s">
        <v>144</v>
      </c>
      <c r="F1023" t="s">
        <v>165</v>
      </c>
      <c r="G1023" t="s">
        <v>14360</v>
      </c>
      <c r="H1023" t="s">
        <v>13714</v>
      </c>
      <c r="I1023" t="s">
        <v>10998</v>
      </c>
      <c r="J1023" s="4" t="s">
        <v>745</v>
      </c>
      <c r="K1023" t="s">
        <v>744</v>
      </c>
      <c r="L1023" t="s">
        <v>745</v>
      </c>
      <c r="M1023" t="s">
        <v>16916</v>
      </c>
      <c r="N1023" t="s">
        <v>144</v>
      </c>
      <c r="O1023" t="s">
        <v>13435</v>
      </c>
      <c r="P1023" t="s">
        <v>165</v>
      </c>
      <c r="Q1023" t="s">
        <v>165</v>
      </c>
      <c r="S1023" t="s">
        <v>4215</v>
      </c>
    </row>
    <row r="1024" spans="1:19" x14ac:dyDescent="0.2">
      <c r="A1024" t="s">
        <v>750</v>
      </c>
      <c r="B1024" t="s">
        <v>14358</v>
      </c>
      <c r="C1024" t="s">
        <v>749</v>
      </c>
      <c r="D1024" t="str">
        <f>_xlfn.XLOOKUP(E1024,pathways!$A$2:$A$31,pathways!$B$2:$B$31)</f>
        <v>Lipoproteins</v>
      </c>
      <c r="E1024" t="s">
        <v>144</v>
      </c>
      <c r="F1024" t="s">
        <v>170</v>
      </c>
      <c r="G1024" t="s">
        <v>14360</v>
      </c>
      <c r="H1024" t="s">
        <v>13518</v>
      </c>
      <c r="I1024" t="s">
        <v>11098</v>
      </c>
      <c r="J1024" s="4" t="s">
        <v>749</v>
      </c>
      <c r="K1024" t="s">
        <v>748</v>
      </c>
      <c r="L1024" t="s">
        <v>749</v>
      </c>
      <c r="M1024" t="s">
        <v>16932</v>
      </c>
      <c r="N1024" t="s">
        <v>144</v>
      </c>
      <c r="O1024" t="s">
        <v>13435</v>
      </c>
      <c r="P1024" t="s">
        <v>170</v>
      </c>
      <c r="Q1024" t="s">
        <v>170</v>
      </c>
      <c r="S1024" t="s">
        <v>3705</v>
      </c>
    </row>
    <row r="1025" spans="1:19" x14ac:dyDescent="0.2">
      <c r="A1025" t="s">
        <v>754</v>
      </c>
      <c r="B1025" t="s">
        <v>14358</v>
      </c>
      <c r="C1025" t="s">
        <v>753</v>
      </c>
      <c r="D1025" t="str">
        <f>_xlfn.XLOOKUP(E1025,pathways!$A$2:$A$31,pathways!$B$2:$B$31)</f>
        <v>Lipoproteins</v>
      </c>
      <c r="E1025" t="s">
        <v>144</v>
      </c>
      <c r="F1025" t="s">
        <v>175</v>
      </c>
      <c r="G1025" t="s">
        <v>14360</v>
      </c>
      <c r="H1025" t="s">
        <v>13556</v>
      </c>
      <c r="I1025" t="s">
        <v>11058</v>
      </c>
      <c r="J1025" s="4" t="s">
        <v>753</v>
      </c>
      <c r="K1025" t="s">
        <v>752</v>
      </c>
      <c r="L1025" t="s">
        <v>753</v>
      </c>
      <c r="M1025" t="s">
        <v>16950</v>
      </c>
      <c r="N1025" t="s">
        <v>144</v>
      </c>
      <c r="O1025" t="s">
        <v>13435</v>
      </c>
      <c r="P1025" t="s">
        <v>175</v>
      </c>
      <c r="Q1025" t="s">
        <v>175</v>
      </c>
      <c r="S1025" t="s">
        <v>3437</v>
      </c>
    </row>
    <row r="1026" spans="1:19" x14ac:dyDescent="0.2">
      <c r="A1026" t="s">
        <v>758</v>
      </c>
      <c r="B1026" t="s">
        <v>14358</v>
      </c>
      <c r="C1026" t="s">
        <v>757</v>
      </c>
      <c r="D1026" t="str">
        <f>_xlfn.XLOOKUP(E1026,pathways!$A$2:$A$31,pathways!$B$2:$B$31)</f>
        <v>Lipoproteins</v>
      </c>
      <c r="E1026" t="s">
        <v>144</v>
      </c>
      <c r="F1026" t="s">
        <v>180</v>
      </c>
      <c r="G1026" t="s">
        <v>14360</v>
      </c>
      <c r="H1026" t="s">
        <v>13629</v>
      </c>
      <c r="I1026" t="s">
        <v>11008</v>
      </c>
      <c r="J1026" s="4" t="s">
        <v>757</v>
      </c>
      <c r="K1026" t="s">
        <v>756</v>
      </c>
      <c r="L1026" t="s">
        <v>757</v>
      </c>
      <c r="M1026" t="s">
        <v>16969</v>
      </c>
      <c r="N1026" t="s">
        <v>144</v>
      </c>
      <c r="O1026" t="s">
        <v>13435</v>
      </c>
      <c r="P1026" t="s">
        <v>180</v>
      </c>
      <c r="Q1026" t="s">
        <v>180</v>
      </c>
      <c r="S1026" t="s">
        <v>3670</v>
      </c>
    </row>
    <row r="1027" spans="1:19" x14ac:dyDescent="0.2">
      <c r="A1027" t="s">
        <v>762</v>
      </c>
      <c r="B1027" t="s">
        <v>14358</v>
      </c>
      <c r="C1027" t="s">
        <v>761</v>
      </c>
      <c r="D1027" t="str">
        <f>_xlfn.XLOOKUP(E1027,pathways!$A$2:$A$31,pathways!$B$2:$B$31)</f>
        <v>Lipoproteins</v>
      </c>
      <c r="E1027" t="s">
        <v>144</v>
      </c>
      <c r="F1027" t="s">
        <v>185</v>
      </c>
      <c r="G1027" t="s">
        <v>14360</v>
      </c>
      <c r="H1027" t="s">
        <v>13540</v>
      </c>
      <c r="I1027" t="s">
        <v>11108</v>
      </c>
      <c r="J1027" s="4" t="s">
        <v>761</v>
      </c>
      <c r="K1027" t="s">
        <v>760</v>
      </c>
      <c r="L1027" t="s">
        <v>761</v>
      </c>
      <c r="M1027" t="s">
        <v>16998</v>
      </c>
      <c r="N1027" t="s">
        <v>144</v>
      </c>
      <c r="O1027" t="s">
        <v>13435</v>
      </c>
      <c r="P1027" t="s">
        <v>185</v>
      </c>
      <c r="Q1027" t="s">
        <v>185</v>
      </c>
      <c r="S1027" t="s">
        <v>3864</v>
      </c>
    </row>
    <row r="1028" spans="1:19" x14ac:dyDescent="0.2">
      <c r="A1028" t="s">
        <v>766</v>
      </c>
      <c r="B1028" t="s">
        <v>14358</v>
      </c>
      <c r="C1028" t="s">
        <v>765</v>
      </c>
      <c r="D1028" t="str">
        <f>_xlfn.XLOOKUP(E1028,pathways!$A$2:$A$31,pathways!$B$2:$B$31)</f>
        <v>Lipoproteins</v>
      </c>
      <c r="E1028" t="s">
        <v>144</v>
      </c>
      <c r="F1028" t="s">
        <v>190</v>
      </c>
      <c r="G1028" t="s">
        <v>14360</v>
      </c>
      <c r="H1028" t="s">
        <v>13551</v>
      </c>
      <c r="I1028" t="s">
        <v>11068</v>
      </c>
      <c r="J1028" s="4" t="s">
        <v>765</v>
      </c>
      <c r="K1028" t="s">
        <v>764</v>
      </c>
      <c r="L1028" t="s">
        <v>765</v>
      </c>
      <c r="M1028" t="s">
        <v>17015</v>
      </c>
      <c r="N1028" t="s">
        <v>144</v>
      </c>
      <c r="O1028" t="s">
        <v>13435</v>
      </c>
      <c r="P1028" t="s">
        <v>190</v>
      </c>
      <c r="Q1028" t="s">
        <v>190</v>
      </c>
      <c r="S1028" t="s">
        <v>3661</v>
      </c>
    </row>
    <row r="1029" spans="1:19" x14ac:dyDescent="0.2">
      <c r="A1029" t="s">
        <v>770</v>
      </c>
      <c r="B1029" t="s">
        <v>14358</v>
      </c>
      <c r="C1029" t="s">
        <v>769</v>
      </c>
      <c r="D1029" t="str">
        <f>_xlfn.XLOOKUP(E1029,pathways!$A$2:$A$31,pathways!$B$2:$B$31)</f>
        <v>Lipoproteins</v>
      </c>
      <c r="E1029" t="s">
        <v>144</v>
      </c>
      <c r="F1029" t="s">
        <v>195</v>
      </c>
      <c r="G1029" t="s">
        <v>14360</v>
      </c>
      <c r="H1029" t="s">
        <v>13652</v>
      </c>
      <c r="I1029" t="s">
        <v>11018</v>
      </c>
      <c r="J1029" s="4" t="s">
        <v>769</v>
      </c>
      <c r="K1029" t="s">
        <v>768</v>
      </c>
      <c r="L1029" t="s">
        <v>769</v>
      </c>
      <c r="M1029" t="s">
        <v>17032</v>
      </c>
      <c r="N1029" t="s">
        <v>144</v>
      </c>
      <c r="O1029" t="s">
        <v>13435</v>
      </c>
      <c r="P1029" t="s">
        <v>195</v>
      </c>
      <c r="Q1029" t="s">
        <v>195</v>
      </c>
      <c r="S1029" t="s">
        <v>3670</v>
      </c>
    </row>
    <row r="1030" spans="1:19" x14ac:dyDescent="0.2">
      <c r="A1030" t="s">
        <v>774</v>
      </c>
      <c r="B1030" t="s">
        <v>14358</v>
      </c>
      <c r="C1030" t="s">
        <v>773</v>
      </c>
      <c r="D1030" t="str">
        <f>_xlfn.XLOOKUP(E1030,pathways!$A$2:$A$31,pathways!$B$2:$B$31)</f>
        <v>Lipoproteins</v>
      </c>
      <c r="E1030" t="s">
        <v>144</v>
      </c>
      <c r="F1030" t="s">
        <v>200</v>
      </c>
      <c r="G1030" t="s">
        <v>14360</v>
      </c>
      <c r="H1030" t="s">
        <v>13608</v>
      </c>
      <c r="I1030" t="s">
        <v>11078</v>
      </c>
      <c r="J1030" s="4" t="s">
        <v>773</v>
      </c>
      <c r="K1030" t="s">
        <v>772</v>
      </c>
      <c r="L1030" t="s">
        <v>773</v>
      </c>
      <c r="M1030" t="s">
        <v>17061</v>
      </c>
      <c r="N1030" t="s">
        <v>144</v>
      </c>
      <c r="O1030" t="s">
        <v>13435</v>
      </c>
      <c r="P1030" t="s">
        <v>200</v>
      </c>
      <c r="Q1030" t="s">
        <v>200</v>
      </c>
      <c r="S1030" t="s">
        <v>3670</v>
      </c>
    </row>
    <row r="1031" spans="1:19" x14ac:dyDescent="0.2">
      <c r="A1031" t="s">
        <v>778</v>
      </c>
      <c r="B1031" t="s">
        <v>14358</v>
      </c>
      <c r="C1031" t="s">
        <v>777</v>
      </c>
      <c r="D1031" t="str">
        <f>_xlfn.XLOOKUP(E1031,pathways!$A$2:$A$31,pathways!$B$2:$B$31)</f>
        <v>Lipoproteins</v>
      </c>
      <c r="E1031" t="s">
        <v>144</v>
      </c>
      <c r="F1031" t="s">
        <v>205</v>
      </c>
      <c r="G1031" t="s">
        <v>14360</v>
      </c>
      <c r="H1031" t="s">
        <v>13620</v>
      </c>
      <c r="I1031" t="s">
        <v>10987</v>
      </c>
      <c r="J1031" s="4" t="s">
        <v>777</v>
      </c>
      <c r="K1031" t="s">
        <v>776</v>
      </c>
      <c r="L1031" t="s">
        <v>777</v>
      </c>
      <c r="M1031" t="s">
        <v>17076</v>
      </c>
      <c r="N1031" t="s">
        <v>144</v>
      </c>
      <c r="O1031" t="s">
        <v>13435</v>
      </c>
      <c r="P1031" t="s">
        <v>205</v>
      </c>
      <c r="Q1031" t="s">
        <v>205</v>
      </c>
      <c r="S1031" t="s">
        <v>3906</v>
      </c>
    </row>
    <row r="1032" spans="1:19" x14ac:dyDescent="0.2">
      <c r="A1032" t="s">
        <v>782</v>
      </c>
      <c r="B1032" t="s">
        <v>14358</v>
      </c>
      <c r="C1032" t="s">
        <v>781</v>
      </c>
      <c r="D1032" t="str">
        <f>_xlfn.XLOOKUP(E1032,pathways!$A$2:$A$31,pathways!$B$2:$B$31)</f>
        <v>Lipoproteins</v>
      </c>
      <c r="E1032" t="s">
        <v>144</v>
      </c>
      <c r="F1032" t="s">
        <v>210</v>
      </c>
      <c r="G1032" t="s">
        <v>14360</v>
      </c>
      <c r="H1032" t="s">
        <v>13437</v>
      </c>
      <c r="I1032" t="s">
        <v>11028</v>
      </c>
      <c r="J1032" s="4" t="s">
        <v>781</v>
      </c>
      <c r="K1032" t="s">
        <v>780</v>
      </c>
      <c r="L1032" t="s">
        <v>781</v>
      </c>
      <c r="M1032" t="s">
        <v>17092</v>
      </c>
      <c r="N1032" t="s">
        <v>144</v>
      </c>
      <c r="O1032" t="s">
        <v>13435</v>
      </c>
      <c r="P1032" t="s">
        <v>210</v>
      </c>
      <c r="Q1032" t="s">
        <v>13436</v>
      </c>
      <c r="S1032" t="s">
        <v>3661</v>
      </c>
    </row>
    <row r="1033" spans="1:19" x14ac:dyDescent="0.2">
      <c r="A1033" t="s">
        <v>142</v>
      </c>
      <c r="B1033" t="s">
        <v>14358</v>
      </c>
      <c r="C1033" t="s">
        <v>141</v>
      </c>
      <c r="D1033" t="str">
        <f>_xlfn.XLOOKUP(E1033,pathways!$A$2:$A$31,pathways!$B$2:$B$31)</f>
        <v>Lipoproteins</v>
      </c>
      <c r="E1033" t="s">
        <v>144</v>
      </c>
      <c r="F1033" t="s">
        <v>145</v>
      </c>
      <c r="G1033" t="s">
        <v>14360</v>
      </c>
      <c r="H1033" t="s">
        <v>13689</v>
      </c>
      <c r="I1033" t="s">
        <v>10976</v>
      </c>
      <c r="J1033" s="4" t="s">
        <v>13691</v>
      </c>
      <c r="K1033" t="s">
        <v>140</v>
      </c>
      <c r="L1033" t="s">
        <v>141</v>
      </c>
      <c r="M1033" t="s">
        <v>17098</v>
      </c>
      <c r="N1033" t="s">
        <v>144</v>
      </c>
      <c r="O1033" t="s">
        <v>13435</v>
      </c>
      <c r="P1033" t="s">
        <v>145</v>
      </c>
      <c r="Q1033" t="s">
        <v>13555</v>
      </c>
      <c r="S1033" t="s">
        <v>4806</v>
      </c>
    </row>
    <row r="1034" spans="1:19" x14ac:dyDescent="0.2">
      <c r="A1034" t="s">
        <v>149</v>
      </c>
      <c r="B1034" t="s">
        <v>14358</v>
      </c>
      <c r="C1034" t="s">
        <v>148</v>
      </c>
      <c r="D1034" t="str">
        <f>_xlfn.XLOOKUP(E1034,pathways!$A$2:$A$31,pathways!$B$2:$B$31)</f>
        <v>Lipoproteins</v>
      </c>
      <c r="E1034" t="s">
        <v>144</v>
      </c>
      <c r="F1034" t="s">
        <v>150</v>
      </c>
      <c r="G1034" t="s">
        <v>14360</v>
      </c>
      <c r="H1034" t="s">
        <v>13507</v>
      </c>
      <c r="I1034" t="s">
        <v>11040</v>
      </c>
      <c r="J1034" s="4" t="s">
        <v>13509</v>
      </c>
      <c r="K1034" t="s">
        <v>147</v>
      </c>
      <c r="L1034" t="s">
        <v>148</v>
      </c>
      <c r="M1034" t="s">
        <v>16834</v>
      </c>
      <c r="N1034" t="s">
        <v>144</v>
      </c>
      <c r="O1034" t="s">
        <v>13435</v>
      </c>
      <c r="P1034" t="s">
        <v>150</v>
      </c>
      <c r="Q1034" t="s">
        <v>150</v>
      </c>
      <c r="S1034" t="s">
        <v>4806</v>
      </c>
    </row>
    <row r="1035" spans="1:19" x14ac:dyDescent="0.2">
      <c r="A1035" t="s">
        <v>154</v>
      </c>
      <c r="B1035" t="s">
        <v>14358</v>
      </c>
      <c r="C1035" t="s">
        <v>153</v>
      </c>
      <c r="D1035" t="str">
        <f>_xlfn.XLOOKUP(E1035,pathways!$A$2:$A$31,pathways!$B$2:$B$31)</f>
        <v>Lipoproteins</v>
      </c>
      <c r="E1035" t="s">
        <v>144</v>
      </c>
      <c r="F1035" t="s">
        <v>155</v>
      </c>
      <c r="G1035" t="s">
        <v>14360</v>
      </c>
      <c r="H1035" t="s">
        <v>13566</v>
      </c>
      <c r="I1035" t="s">
        <v>11090</v>
      </c>
      <c r="J1035" s="4" t="s">
        <v>13568</v>
      </c>
      <c r="K1035" t="s">
        <v>152</v>
      </c>
      <c r="L1035" t="s">
        <v>153</v>
      </c>
      <c r="M1035" t="s">
        <v>16867</v>
      </c>
      <c r="N1035" t="s">
        <v>144</v>
      </c>
      <c r="O1035" t="s">
        <v>13435</v>
      </c>
      <c r="P1035" t="s">
        <v>155</v>
      </c>
      <c r="Q1035" t="s">
        <v>155</v>
      </c>
      <c r="S1035" t="s">
        <v>4215</v>
      </c>
    </row>
    <row r="1036" spans="1:19" x14ac:dyDescent="0.2">
      <c r="A1036" t="s">
        <v>159</v>
      </c>
      <c r="B1036" t="s">
        <v>14358</v>
      </c>
      <c r="C1036" t="s">
        <v>158</v>
      </c>
      <c r="D1036" t="str">
        <f>_xlfn.XLOOKUP(E1036,pathways!$A$2:$A$31,pathways!$B$2:$B$31)</f>
        <v>Lipoproteins</v>
      </c>
      <c r="E1036" t="s">
        <v>144</v>
      </c>
      <c r="F1036" t="s">
        <v>160</v>
      </c>
      <c r="G1036" t="s">
        <v>14360</v>
      </c>
      <c r="H1036" t="s">
        <v>13521</v>
      </c>
      <c r="I1036" t="s">
        <v>11050</v>
      </c>
      <c r="J1036" s="4" t="s">
        <v>13523</v>
      </c>
      <c r="K1036" t="s">
        <v>157</v>
      </c>
      <c r="L1036" t="s">
        <v>158</v>
      </c>
      <c r="M1036" t="s">
        <v>16885</v>
      </c>
      <c r="N1036" t="s">
        <v>144</v>
      </c>
      <c r="O1036" t="s">
        <v>13435</v>
      </c>
      <c r="P1036" t="s">
        <v>160</v>
      </c>
      <c r="Q1036" t="s">
        <v>160</v>
      </c>
      <c r="S1036" t="s">
        <v>4215</v>
      </c>
    </row>
    <row r="1037" spans="1:19" x14ac:dyDescent="0.2">
      <c r="A1037" t="s">
        <v>164</v>
      </c>
      <c r="B1037" t="s">
        <v>14358</v>
      </c>
      <c r="C1037" t="s">
        <v>163</v>
      </c>
      <c r="D1037" t="str">
        <f>_xlfn.XLOOKUP(E1037,pathways!$A$2:$A$31,pathways!$B$2:$B$31)</f>
        <v>Lipoproteins</v>
      </c>
      <c r="E1037" t="s">
        <v>144</v>
      </c>
      <c r="F1037" t="s">
        <v>165</v>
      </c>
      <c r="G1037" t="s">
        <v>14360</v>
      </c>
      <c r="H1037" t="s">
        <v>13745</v>
      </c>
      <c r="I1037" t="s">
        <v>11000</v>
      </c>
      <c r="J1037" s="4" t="s">
        <v>13747</v>
      </c>
      <c r="K1037" t="s">
        <v>162</v>
      </c>
      <c r="L1037" t="s">
        <v>163</v>
      </c>
      <c r="M1037" t="s">
        <v>16903</v>
      </c>
      <c r="N1037" t="s">
        <v>144</v>
      </c>
      <c r="O1037" t="s">
        <v>13435</v>
      </c>
      <c r="P1037" t="s">
        <v>165</v>
      </c>
      <c r="Q1037" t="s">
        <v>165</v>
      </c>
      <c r="S1037" t="s">
        <v>3882</v>
      </c>
    </row>
    <row r="1038" spans="1:19" x14ac:dyDescent="0.2">
      <c r="A1038" t="s">
        <v>169</v>
      </c>
      <c r="B1038" t="s">
        <v>14358</v>
      </c>
      <c r="C1038" t="s">
        <v>168</v>
      </c>
      <c r="D1038" t="str">
        <f>_xlfn.XLOOKUP(E1038,pathways!$A$2:$A$31,pathways!$B$2:$B$31)</f>
        <v>Lipoproteins</v>
      </c>
      <c r="E1038" t="s">
        <v>144</v>
      </c>
      <c r="F1038" t="s">
        <v>170</v>
      </c>
      <c r="G1038" t="s">
        <v>14360</v>
      </c>
      <c r="H1038" t="s">
        <v>13546</v>
      </c>
      <c r="I1038" t="s">
        <v>11100</v>
      </c>
      <c r="J1038" s="4" t="s">
        <v>13548</v>
      </c>
      <c r="K1038" t="s">
        <v>167</v>
      </c>
      <c r="L1038" t="s">
        <v>168</v>
      </c>
      <c r="M1038" t="s">
        <v>16921</v>
      </c>
      <c r="N1038" t="s">
        <v>144</v>
      </c>
      <c r="O1038" t="s">
        <v>13435</v>
      </c>
      <c r="P1038" t="s">
        <v>170</v>
      </c>
      <c r="Q1038" t="s">
        <v>170</v>
      </c>
      <c r="S1038" t="s">
        <v>3906</v>
      </c>
    </row>
    <row r="1039" spans="1:19" x14ac:dyDescent="0.2">
      <c r="A1039" t="s">
        <v>174</v>
      </c>
      <c r="B1039" t="s">
        <v>14358</v>
      </c>
      <c r="C1039" t="s">
        <v>173</v>
      </c>
      <c r="D1039" t="str">
        <f>_xlfn.XLOOKUP(E1039,pathways!$A$2:$A$31,pathways!$B$2:$B$31)</f>
        <v>Lipoproteins</v>
      </c>
      <c r="E1039" t="s">
        <v>144</v>
      </c>
      <c r="F1039" t="s">
        <v>175</v>
      </c>
      <c r="G1039" t="s">
        <v>14360</v>
      </c>
      <c r="H1039" t="s">
        <v>13527</v>
      </c>
      <c r="I1039" t="s">
        <v>11060</v>
      </c>
      <c r="J1039" s="4" t="s">
        <v>13529</v>
      </c>
      <c r="K1039" t="s">
        <v>172</v>
      </c>
      <c r="L1039" t="s">
        <v>173</v>
      </c>
      <c r="M1039" t="s">
        <v>16938</v>
      </c>
      <c r="N1039" t="s">
        <v>144</v>
      </c>
      <c r="O1039" t="s">
        <v>13435</v>
      </c>
      <c r="P1039" t="s">
        <v>175</v>
      </c>
      <c r="Q1039" t="s">
        <v>175</v>
      </c>
      <c r="S1039" t="s">
        <v>3498</v>
      </c>
    </row>
    <row r="1040" spans="1:19" x14ac:dyDescent="0.2">
      <c r="A1040" t="s">
        <v>179</v>
      </c>
      <c r="B1040" t="s">
        <v>14358</v>
      </c>
      <c r="C1040" t="s">
        <v>178</v>
      </c>
      <c r="D1040" t="str">
        <f>_xlfn.XLOOKUP(E1040,pathways!$A$2:$A$31,pathways!$B$2:$B$31)</f>
        <v>Lipoproteins</v>
      </c>
      <c r="E1040" t="s">
        <v>144</v>
      </c>
      <c r="F1040" t="s">
        <v>180</v>
      </c>
      <c r="G1040" t="s">
        <v>14360</v>
      </c>
      <c r="H1040" t="s">
        <v>13577</v>
      </c>
      <c r="I1040" t="s">
        <v>11010</v>
      </c>
      <c r="J1040" s="4" t="s">
        <v>13579</v>
      </c>
      <c r="K1040" t="s">
        <v>177</v>
      </c>
      <c r="L1040" t="s">
        <v>178</v>
      </c>
      <c r="M1040" t="s">
        <v>16958</v>
      </c>
      <c r="N1040" t="s">
        <v>144</v>
      </c>
      <c r="O1040" t="s">
        <v>13435</v>
      </c>
      <c r="P1040" t="s">
        <v>180</v>
      </c>
      <c r="Q1040" t="s">
        <v>180</v>
      </c>
      <c r="S1040" t="s">
        <v>3470</v>
      </c>
    </row>
    <row r="1041" spans="1:19" x14ac:dyDescent="0.2">
      <c r="A1041" t="s">
        <v>184</v>
      </c>
      <c r="B1041" t="s">
        <v>14358</v>
      </c>
      <c r="C1041" t="s">
        <v>183</v>
      </c>
      <c r="D1041" t="str">
        <f>_xlfn.XLOOKUP(E1041,pathways!$A$2:$A$31,pathways!$B$2:$B$31)</f>
        <v>Lipoproteins</v>
      </c>
      <c r="E1041" t="s">
        <v>144</v>
      </c>
      <c r="F1041" t="s">
        <v>185</v>
      </c>
      <c r="G1041" t="s">
        <v>14360</v>
      </c>
      <c r="H1041" t="s">
        <v>13488</v>
      </c>
      <c r="I1041" t="s">
        <v>11110</v>
      </c>
      <c r="J1041" s="4" t="s">
        <v>13490</v>
      </c>
      <c r="K1041" t="s">
        <v>182</v>
      </c>
      <c r="L1041" t="s">
        <v>183</v>
      </c>
      <c r="M1041" t="s">
        <v>16987</v>
      </c>
      <c r="N1041" t="s">
        <v>144</v>
      </c>
      <c r="O1041" t="s">
        <v>13435</v>
      </c>
      <c r="P1041" t="s">
        <v>185</v>
      </c>
      <c r="Q1041" t="s">
        <v>185</v>
      </c>
      <c r="S1041" t="s">
        <v>3498</v>
      </c>
    </row>
    <row r="1042" spans="1:19" x14ac:dyDescent="0.2">
      <c r="A1042" t="s">
        <v>189</v>
      </c>
      <c r="B1042" t="s">
        <v>14358</v>
      </c>
      <c r="C1042" t="s">
        <v>188</v>
      </c>
      <c r="D1042" t="str">
        <f>_xlfn.XLOOKUP(E1042,pathways!$A$2:$A$31,pathways!$B$2:$B$31)</f>
        <v>Lipoproteins</v>
      </c>
      <c r="E1042" t="s">
        <v>144</v>
      </c>
      <c r="F1042" t="s">
        <v>190</v>
      </c>
      <c r="G1042" t="s">
        <v>14360</v>
      </c>
      <c r="H1042" t="s">
        <v>13510</v>
      </c>
      <c r="I1042" t="s">
        <v>11070</v>
      </c>
      <c r="J1042" s="4" t="s">
        <v>13512</v>
      </c>
      <c r="K1042" t="s">
        <v>187</v>
      </c>
      <c r="L1042" t="s">
        <v>188</v>
      </c>
      <c r="M1042" t="s">
        <v>17004</v>
      </c>
      <c r="N1042" t="s">
        <v>144</v>
      </c>
      <c r="O1042" t="s">
        <v>13435</v>
      </c>
      <c r="P1042" t="s">
        <v>190</v>
      </c>
      <c r="Q1042" t="s">
        <v>190</v>
      </c>
      <c r="S1042" t="s">
        <v>3603</v>
      </c>
    </row>
    <row r="1043" spans="1:19" x14ac:dyDescent="0.2">
      <c r="A1043" t="s">
        <v>194</v>
      </c>
      <c r="B1043" t="s">
        <v>14358</v>
      </c>
      <c r="C1043" t="s">
        <v>193</v>
      </c>
      <c r="D1043" t="str">
        <f>_xlfn.XLOOKUP(E1043,pathways!$A$2:$A$31,pathways!$B$2:$B$31)</f>
        <v>Lipoproteins</v>
      </c>
      <c r="E1043" t="s">
        <v>144</v>
      </c>
      <c r="F1043" t="s">
        <v>195</v>
      </c>
      <c r="G1043" t="s">
        <v>14360</v>
      </c>
      <c r="H1043" t="s">
        <v>13446</v>
      </c>
      <c r="I1043" t="s">
        <v>11020</v>
      </c>
      <c r="J1043" s="4" t="s">
        <v>13448</v>
      </c>
      <c r="K1043" t="s">
        <v>192</v>
      </c>
      <c r="L1043" t="s">
        <v>193</v>
      </c>
      <c r="M1043" t="s">
        <v>17022</v>
      </c>
      <c r="N1043" t="s">
        <v>144</v>
      </c>
      <c r="O1043" t="s">
        <v>13435</v>
      </c>
      <c r="P1043" t="s">
        <v>195</v>
      </c>
      <c r="Q1043" t="s">
        <v>195</v>
      </c>
      <c r="S1043" t="s">
        <v>4806</v>
      </c>
    </row>
    <row r="1044" spans="1:19" x14ac:dyDescent="0.2">
      <c r="A1044" t="s">
        <v>199</v>
      </c>
      <c r="B1044" t="s">
        <v>14358</v>
      </c>
      <c r="C1044" t="s">
        <v>198</v>
      </c>
      <c r="D1044" t="str">
        <f>_xlfn.XLOOKUP(E1044,pathways!$A$2:$A$31,pathways!$B$2:$B$31)</f>
        <v>Lipoproteins</v>
      </c>
      <c r="E1044" t="s">
        <v>144</v>
      </c>
      <c r="F1044" t="s">
        <v>200</v>
      </c>
      <c r="G1044" t="s">
        <v>14360</v>
      </c>
      <c r="H1044" t="s">
        <v>13625</v>
      </c>
      <c r="I1044" t="s">
        <v>11080</v>
      </c>
      <c r="J1044" s="4" t="s">
        <v>13627</v>
      </c>
      <c r="K1044" t="s">
        <v>197</v>
      </c>
      <c r="L1044" t="s">
        <v>198</v>
      </c>
      <c r="M1044" t="s">
        <v>17050</v>
      </c>
      <c r="N1044" t="s">
        <v>144</v>
      </c>
      <c r="O1044" t="s">
        <v>13435</v>
      </c>
      <c r="P1044" t="s">
        <v>200</v>
      </c>
      <c r="Q1044" t="s">
        <v>200</v>
      </c>
      <c r="S1044" t="s">
        <v>3524</v>
      </c>
    </row>
    <row r="1045" spans="1:19" x14ac:dyDescent="0.2">
      <c r="A1045" t="s">
        <v>204</v>
      </c>
      <c r="B1045" t="s">
        <v>14358</v>
      </c>
      <c r="C1045" t="s">
        <v>203</v>
      </c>
      <c r="D1045" t="str">
        <f>_xlfn.XLOOKUP(E1045,pathways!$A$2:$A$31,pathways!$B$2:$B$31)</f>
        <v>Lipoproteins</v>
      </c>
      <c r="E1045" t="s">
        <v>144</v>
      </c>
      <c r="F1045" t="s">
        <v>205</v>
      </c>
      <c r="G1045" t="s">
        <v>14360</v>
      </c>
      <c r="H1045" t="s">
        <v>13636</v>
      </c>
      <c r="I1045" t="s">
        <v>10989</v>
      </c>
      <c r="J1045" s="4" t="s">
        <v>13638</v>
      </c>
      <c r="K1045" t="s">
        <v>202</v>
      </c>
      <c r="L1045" t="s">
        <v>203</v>
      </c>
      <c r="M1045" t="s">
        <v>17066</v>
      </c>
      <c r="N1045" t="s">
        <v>144</v>
      </c>
      <c r="O1045" t="s">
        <v>13435</v>
      </c>
      <c r="P1045" t="s">
        <v>205</v>
      </c>
      <c r="Q1045" t="s">
        <v>205</v>
      </c>
      <c r="S1045" t="s">
        <v>3661</v>
      </c>
    </row>
    <row r="1046" spans="1:19" x14ac:dyDescent="0.2">
      <c r="A1046" t="s">
        <v>209</v>
      </c>
      <c r="B1046" t="s">
        <v>14358</v>
      </c>
      <c r="C1046" t="s">
        <v>208</v>
      </c>
      <c r="D1046" t="str">
        <f>_xlfn.XLOOKUP(E1046,pathways!$A$2:$A$31,pathways!$B$2:$B$31)</f>
        <v>Lipoproteins</v>
      </c>
      <c r="E1046" t="s">
        <v>144</v>
      </c>
      <c r="F1046" t="s">
        <v>210</v>
      </c>
      <c r="G1046" t="s">
        <v>14360</v>
      </c>
      <c r="H1046" t="s">
        <v>13491</v>
      </c>
      <c r="I1046" t="s">
        <v>11030</v>
      </c>
      <c r="J1046" s="4" t="s">
        <v>13493</v>
      </c>
      <c r="K1046" t="s">
        <v>207</v>
      </c>
      <c r="L1046" t="s">
        <v>208</v>
      </c>
      <c r="M1046" t="s">
        <v>17082</v>
      </c>
      <c r="N1046" t="s">
        <v>144</v>
      </c>
      <c r="O1046" t="s">
        <v>13435</v>
      </c>
      <c r="P1046" t="s">
        <v>210</v>
      </c>
      <c r="Q1046" t="s">
        <v>13436</v>
      </c>
      <c r="S1046" t="s">
        <v>3437</v>
      </c>
    </row>
    <row r="1047" spans="1:19" x14ac:dyDescent="0.2">
      <c r="A1047" t="s">
        <v>1015</v>
      </c>
      <c r="B1047" t="s">
        <v>14358</v>
      </c>
      <c r="C1047" t="s">
        <v>1014</v>
      </c>
      <c r="D1047" t="str">
        <f>_xlfn.XLOOKUP(E1047,pathways!$A$2:$A$31,pathways!$B$2:$B$31)</f>
        <v>Lipoproteins</v>
      </c>
      <c r="E1047" t="s">
        <v>144</v>
      </c>
      <c r="F1047" t="s">
        <v>145</v>
      </c>
      <c r="G1047" t="s">
        <v>14360</v>
      </c>
      <c r="H1047" t="s">
        <v>13727</v>
      </c>
      <c r="I1047" t="s">
        <v>10985</v>
      </c>
      <c r="J1047" s="4" t="s">
        <v>1014</v>
      </c>
      <c r="K1047" t="s">
        <v>1013</v>
      </c>
      <c r="L1047" t="s">
        <v>1014</v>
      </c>
      <c r="M1047" t="s">
        <v>17109</v>
      </c>
      <c r="N1047" t="s">
        <v>144</v>
      </c>
      <c r="O1047" t="s">
        <v>13435</v>
      </c>
      <c r="P1047" t="s">
        <v>145</v>
      </c>
      <c r="Q1047" t="s">
        <v>13555</v>
      </c>
      <c r="S1047" t="s">
        <v>3882</v>
      </c>
    </row>
    <row r="1048" spans="1:19" x14ac:dyDescent="0.2">
      <c r="A1048" t="s">
        <v>1019</v>
      </c>
      <c r="B1048" t="s">
        <v>14358</v>
      </c>
      <c r="C1048" t="s">
        <v>1018</v>
      </c>
      <c r="D1048" t="str">
        <f>_xlfn.XLOOKUP(E1048,pathways!$A$2:$A$31,pathways!$B$2:$B$31)</f>
        <v>Lipoproteins</v>
      </c>
      <c r="E1048" t="s">
        <v>144</v>
      </c>
      <c r="F1048" t="s">
        <v>150</v>
      </c>
      <c r="G1048" t="s">
        <v>14360</v>
      </c>
      <c r="H1048" t="s">
        <v>13449</v>
      </c>
      <c r="I1048" t="s">
        <v>11046</v>
      </c>
      <c r="J1048" s="4" t="s">
        <v>1018</v>
      </c>
      <c r="K1048" t="s">
        <v>1017</v>
      </c>
      <c r="L1048" t="s">
        <v>1018</v>
      </c>
      <c r="M1048" t="s">
        <v>16853</v>
      </c>
      <c r="N1048" t="s">
        <v>144</v>
      </c>
      <c r="O1048" t="s">
        <v>13435</v>
      </c>
      <c r="P1048" t="s">
        <v>150</v>
      </c>
      <c r="Q1048" t="s">
        <v>150</v>
      </c>
      <c r="S1048" t="s">
        <v>3603</v>
      </c>
    </row>
    <row r="1049" spans="1:19" x14ac:dyDescent="0.2">
      <c r="A1049" t="s">
        <v>1023</v>
      </c>
      <c r="B1049" t="s">
        <v>14358</v>
      </c>
      <c r="C1049" t="s">
        <v>1022</v>
      </c>
      <c r="D1049" t="str">
        <f>_xlfn.XLOOKUP(E1049,pathways!$A$2:$A$31,pathways!$B$2:$B$31)</f>
        <v>Lipoproteins</v>
      </c>
      <c r="E1049" t="s">
        <v>144</v>
      </c>
      <c r="F1049" t="s">
        <v>155</v>
      </c>
      <c r="G1049" t="s">
        <v>14360</v>
      </c>
      <c r="H1049" t="s">
        <v>13674</v>
      </c>
      <c r="I1049" t="s">
        <v>11096</v>
      </c>
      <c r="J1049" s="4" t="s">
        <v>1022</v>
      </c>
      <c r="K1049" t="s">
        <v>1021</v>
      </c>
      <c r="L1049" t="s">
        <v>1022</v>
      </c>
      <c r="M1049" t="s">
        <v>16882</v>
      </c>
      <c r="N1049" t="s">
        <v>144</v>
      </c>
      <c r="O1049" t="s">
        <v>13435</v>
      </c>
      <c r="P1049" t="s">
        <v>155</v>
      </c>
      <c r="Q1049" t="s">
        <v>155</v>
      </c>
      <c r="S1049" t="s">
        <v>14360</v>
      </c>
    </row>
    <row r="1050" spans="1:19" x14ac:dyDescent="0.2">
      <c r="A1050" t="s">
        <v>1027</v>
      </c>
      <c r="B1050" t="s">
        <v>14358</v>
      </c>
      <c r="C1050" t="s">
        <v>1026</v>
      </c>
      <c r="D1050" t="str">
        <f>_xlfn.XLOOKUP(E1050,pathways!$A$2:$A$31,pathways!$B$2:$B$31)</f>
        <v>Lipoproteins</v>
      </c>
      <c r="E1050" t="s">
        <v>144</v>
      </c>
      <c r="F1050" t="s">
        <v>160</v>
      </c>
      <c r="G1050" t="s">
        <v>14360</v>
      </c>
      <c r="H1050" t="s">
        <v>13470</v>
      </c>
      <c r="I1050" t="s">
        <v>11056</v>
      </c>
      <c r="J1050" s="4" t="s">
        <v>1026</v>
      </c>
      <c r="K1050" t="s">
        <v>1025</v>
      </c>
      <c r="L1050" t="s">
        <v>1026</v>
      </c>
      <c r="M1050" t="s">
        <v>16900</v>
      </c>
      <c r="N1050" t="s">
        <v>144</v>
      </c>
      <c r="O1050" t="s">
        <v>13435</v>
      </c>
      <c r="P1050" t="s">
        <v>160</v>
      </c>
      <c r="Q1050" t="s">
        <v>160</v>
      </c>
      <c r="S1050" t="s">
        <v>3882</v>
      </c>
    </row>
    <row r="1051" spans="1:19" x14ac:dyDescent="0.2">
      <c r="A1051" t="s">
        <v>1031</v>
      </c>
      <c r="B1051" t="s">
        <v>14358</v>
      </c>
      <c r="C1051" t="s">
        <v>1030</v>
      </c>
      <c r="D1051" t="str">
        <f>_xlfn.XLOOKUP(E1051,pathways!$A$2:$A$31,pathways!$B$2:$B$31)</f>
        <v>Lipoproteins</v>
      </c>
      <c r="E1051" t="s">
        <v>144</v>
      </c>
      <c r="F1051" t="s">
        <v>165</v>
      </c>
      <c r="G1051" t="s">
        <v>14360</v>
      </c>
      <c r="H1051" t="s">
        <v>13730</v>
      </c>
      <c r="I1051" t="s">
        <v>11006</v>
      </c>
      <c r="J1051" s="4" t="s">
        <v>1030</v>
      </c>
      <c r="K1051" t="s">
        <v>1029</v>
      </c>
      <c r="L1051" t="s">
        <v>1030</v>
      </c>
      <c r="M1051" t="s">
        <v>16919</v>
      </c>
      <c r="N1051" t="s">
        <v>144</v>
      </c>
      <c r="O1051" t="s">
        <v>13435</v>
      </c>
      <c r="P1051" t="s">
        <v>165</v>
      </c>
      <c r="Q1051" t="s">
        <v>165</v>
      </c>
      <c r="S1051" t="s">
        <v>14360</v>
      </c>
    </row>
    <row r="1052" spans="1:19" x14ac:dyDescent="0.2">
      <c r="A1052" t="s">
        <v>1035</v>
      </c>
      <c r="B1052" t="s">
        <v>14358</v>
      </c>
      <c r="C1052" t="s">
        <v>1034</v>
      </c>
      <c r="D1052" t="str">
        <f>_xlfn.XLOOKUP(E1052,pathways!$A$2:$A$31,pathways!$B$2:$B$31)</f>
        <v>Lipoproteins</v>
      </c>
      <c r="E1052" t="s">
        <v>144</v>
      </c>
      <c r="F1052" t="s">
        <v>170</v>
      </c>
      <c r="G1052" t="s">
        <v>14360</v>
      </c>
      <c r="H1052" t="s">
        <v>13618</v>
      </c>
      <c r="I1052" t="s">
        <v>11106</v>
      </c>
      <c r="J1052" s="4" t="s">
        <v>1034</v>
      </c>
      <c r="K1052" t="s">
        <v>1033</v>
      </c>
      <c r="L1052" t="s">
        <v>1034</v>
      </c>
      <c r="M1052" t="s">
        <v>16935</v>
      </c>
      <c r="N1052" t="s">
        <v>144</v>
      </c>
      <c r="O1052" t="s">
        <v>13435</v>
      </c>
      <c r="P1052" t="s">
        <v>170</v>
      </c>
      <c r="Q1052" t="s">
        <v>170</v>
      </c>
      <c r="S1052" t="s">
        <v>3687</v>
      </c>
    </row>
    <row r="1053" spans="1:19" x14ac:dyDescent="0.2">
      <c r="A1053" t="s">
        <v>1039</v>
      </c>
      <c r="B1053" t="s">
        <v>14358</v>
      </c>
      <c r="C1053" t="s">
        <v>1038</v>
      </c>
      <c r="D1053" t="str">
        <f>_xlfn.XLOOKUP(E1053,pathways!$A$2:$A$31,pathways!$B$2:$B$31)</f>
        <v>Lipoproteins</v>
      </c>
      <c r="E1053" t="s">
        <v>144</v>
      </c>
      <c r="F1053" t="s">
        <v>175</v>
      </c>
      <c r="G1053" t="s">
        <v>14360</v>
      </c>
      <c r="H1053" t="s">
        <v>13478</v>
      </c>
      <c r="I1053" t="s">
        <v>11066</v>
      </c>
      <c r="J1053" s="4" t="s">
        <v>1038</v>
      </c>
      <c r="K1053" t="s">
        <v>1037</v>
      </c>
      <c r="L1053" t="s">
        <v>1038</v>
      </c>
      <c r="M1053" t="s">
        <v>16953</v>
      </c>
      <c r="N1053" t="s">
        <v>144</v>
      </c>
      <c r="O1053" t="s">
        <v>13435</v>
      </c>
      <c r="P1053" t="s">
        <v>175</v>
      </c>
      <c r="Q1053" t="s">
        <v>175</v>
      </c>
      <c r="S1053" t="s">
        <v>3498</v>
      </c>
    </row>
    <row r="1054" spans="1:19" x14ac:dyDescent="0.2">
      <c r="A1054" t="s">
        <v>1043</v>
      </c>
      <c r="B1054" t="s">
        <v>14358</v>
      </c>
      <c r="C1054" t="s">
        <v>1042</v>
      </c>
      <c r="D1054" t="str">
        <f>_xlfn.XLOOKUP(E1054,pathways!$A$2:$A$31,pathways!$B$2:$B$31)</f>
        <v>Lipoproteins</v>
      </c>
      <c r="E1054" t="s">
        <v>144</v>
      </c>
      <c r="F1054" t="s">
        <v>180</v>
      </c>
      <c r="G1054" t="s">
        <v>14360</v>
      </c>
      <c r="H1054" t="s">
        <v>13558</v>
      </c>
      <c r="I1054" t="s">
        <v>11016</v>
      </c>
      <c r="J1054" s="4" t="s">
        <v>1042</v>
      </c>
      <c r="K1054" t="s">
        <v>1041</v>
      </c>
      <c r="L1054" t="s">
        <v>1042</v>
      </c>
      <c r="M1054" t="s">
        <v>16972</v>
      </c>
      <c r="N1054" t="s">
        <v>144</v>
      </c>
      <c r="O1054" t="s">
        <v>13435</v>
      </c>
      <c r="P1054" t="s">
        <v>180</v>
      </c>
      <c r="Q1054" t="s">
        <v>180</v>
      </c>
      <c r="S1054" t="s">
        <v>14360</v>
      </c>
    </row>
    <row r="1055" spans="1:19" x14ac:dyDescent="0.2">
      <c r="A1055" t="s">
        <v>1047</v>
      </c>
      <c r="B1055" t="s">
        <v>14358</v>
      </c>
      <c r="C1055" t="s">
        <v>1046</v>
      </c>
      <c r="D1055" t="str">
        <f>_xlfn.XLOOKUP(E1055,pathways!$A$2:$A$31,pathways!$B$2:$B$31)</f>
        <v>Lipoproteins</v>
      </c>
      <c r="E1055" t="s">
        <v>144</v>
      </c>
      <c r="F1055" t="s">
        <v>185</v>
      </c>
      <c r="G1055" t="s">
        <v>14360</v>
      </c>
      <c r="H1055" t="s">
        <v>13573</v>
      </c>
      <c r="I1055" t="s">
        <v>11116</v>
      </c>
      <c r="J1055" s="4" t="s">
        <v>1046</v>
      </c>
      <c r="K1055" t="s">
        <v>1045</v>
      </c>
      <c r="L1055" t="s">
        <v>1046</v>
      </c>
      <c r="M1055" t="s">
        <v>17001</v>
      </c>
      <c r="N1055" t="s">
        <v>144</v>
      </c>
      <c r="O1055" t="s">
        <v>13435</v>
      </c>
      <c r="P1055" t="s">
        <v>185</v>
      </c>
      <c r="Q1055" t="s">
        <v>185</v>
      </c>
      <c r="S1055" t="s">
        <v>3670</v>
      </c>
    </row>
    <row r="1056" spans="1:19" x14ac:dyDescent="0.2">
      <c r="A1056" t="s">
        <v>1051</v>
      </c>
      <c r="B1056" t="s">
        <v>14358</v>
      </c>
      <c r="C1056" t="s">
        <v>1050</v>
      </c>
      <c r="D1056" t="str">
        <f>_xlfn.XLOOKUP(E1056,pathways!$A$2:$A$31,pathways!$B$2:$B$31)</f>
        <v>Lipoproteins</v>
      </c>
      <c r="E1056" t="s">
        <v>144</v>
      </c>
      <c r="F1056" t="s">
        <v>190</v>
      </c>
      <c r="G1056" t="s">
        <v>14360</v>
      </c>
      <c r="H1056" t="s">
        <v>13455</v>
      </c>
      <c r="I1056" t="s">
        <v>11076</v>
      </c>
      <c r="J1056" s="4" t="s">
        <v>1050</v>
      </c>
      <c r="K1056" t="s">
        <v>1049</v>
      </c>
      <c r="L1056" t="s">
        <v>1050</v>
      </c>
      <c r="M1056" t="s">
        <v>17018</v>
      </c>
      <c r="N1056" t="s">
        <v>144</v>
      </c>
      <c r="O1056" t="s">
        <v>13435</v>
      </c>
      <c r="P1056" t="s">
        <v>190</v>
      </c>
      <c r="Q1056" t="s">
        <v>190</v>
      </c>
      <c r="S1056" t="s">
        <v>3661</v>
      </c>
    </row>
    <row r="1057" spans="1:19" x14ac:dyDescent="0.2">
      <c r="A1057" t="s">
        <v>1055</v>
      </c>
      <c r="B1057" t="s">
        <v>14358</v>
      </c>
      <c r="C1057" t="s">
        <v>1054</v>
      </c>
      <c r="D1057" t="str">
        <f>_xlfn.XLOOKUP(E1057,pathways!$A$2:$A$31,pathways!$B$2:$B$31)</f>
        <v>Lipoproteins</v>
      </c>
      <c r="E1057" t="s">
        <v>144</v>
      </c>
      <c r="F1057" t="s">
        <v>195</v>
      </c>
      <c r="G1057" t="s">
        <v>14360</v>
      </c>
      <c r="H1057" t="s">
        <v>13441</v>
      </c>
      <c r="I1057" t="s">
        <v>11026</v>
      </c>
      <c r="J1057" s="4" t="s">
        <v>1054</v>
      </c>
      <c r="K1057" t="s">
        <v>1053</v>
      </c>
      <c r="L1057" t="s">
        <v>1054</v>
      </c>
      <c r="M1057" t="s">
        <v>17035</v>
      </c>
      <c r="N1057" t="s">
        <v>144</v>
      </c>
      <c r="O1057" t="s">
        <v>13435</v>
      </c>
      <c r="P1057" t="s">
        <v>195</v>
      </c>
      <c r="Q1057" t="s">
        <v>195</v>
      </c>
      <c r="S1057" t="s">
        <v>14360</v>
      </c>
    </row>
    <row r="1058" spans="1:19" x14ac:dyDescent="0.2">
      <c r="A1058" t="s">
        <v>1059</v>
      </c>
      <c r="B1058" t="s">
        <v>14358</v>
      </c>
      <c r="C1058" t="s">
        <v>1058</v>
      </c>
      <c r="D1058" t="str">
        <f>_xlfn.XLOOKUP(E1058,pathways!$A$2:$A$31,pathways!$B$2:$B$31)</f>
        <v>Lipoproteins</v>
      </c>
      <c r="E1058" t="s">
        <v>144</v>
      </c>
      <c r="F1058" t="s">
        <v>200</v>
      </c>
      <c r="G1058" t="s">
        <v>14360</v>
      </c>
      <c r="H1058" t="s">
        <v>13613</v>
      </c>
      <c r="I1058" t="s">
        <v>11086</v>
      </c>
      <c r="J1058" s="4" t="s">
        <v>1058</v>
      </c>
      <c r="K1058" t="s">
        <v>1057</v>
      </c>
      <c r="L1058" t="s">
        <v>1058</v>
      </c>
      <c r="M1058" t="s">
        <v>17064</v>
      </c>
      <c r="N1058" t="s">
        <v>144</v>
      </c>
      <c r="O1058" t="s">
        <v>13435</v>
      </c>
      <c r="P1058" t="s">
        <v>200</v>
      </c>
      <c r="Q1058" t="s">
        <v>200</v>
      </c>
      <c r="S1058" t="s">
        <v>14360</v>
      </c>
    </row>
    <row r="1059" spans="1:19" x14ac:dyDescent="0.2">
      <c r="A1059" t="s">
        <v>1063</v>
      </c>
      <c r="B1059" t="s">
        <v>14358</v>
      </c>
      <c r="C1059" t="s">
        <v>1062</v>
      </c>
      <c r="D1059" t="str">
        <f>_xlfn.XLOOKUP(E1059,pathways!$A$2:$A$31,pathways!$B$2:$B$31)</f>
        <v>Lipoproteins</v>
      </c>
      <c r="E1059" t="s">
        <v>144</v>
      </c>
      <c r="F1059" t="s">
        <v>205</v>
      </c>
      <c r="G1059" t="s">
        <v>14360</v>
      </c>
      <c r="H1059" t="s">
        <v>13616</v>
      </c>
      <c r="I1059" t="s">
        <v>10995</v>
      </c>
      <c r="J1059" s="4" t="s">
        <v>1062</v>
      </c>
      <c r="K1059" t="s">
        <v>1061</v>
      </c>
      <c r="L1059" t="s">
        <v>1062</v>
      </c>
      <c r="M1059" t="s">
        <v>17079</v>
      </c>
      <c r="N1059" t="s">
        <v>144</v>
      </c>
      <c r="O1059" t="s">
        <v>13435</v>
      </c>
      <c r="P1059" t="s">
        <v>205</v>
      </c>
      <c r="Q1059" t="s">
        <v>205</v>
      </c>
      <c r="S1059" t="s">
        <v>3470</v>
      </c>
    </row>
    <row r="1060" spans="1:19" x14ac:dyDescent="0.2">
      <c r="A1060" t="s">
        <v>1067</v>
      </c>
      <c r="B1060" t="s">
        <v>14358</v>
      </c>
      <c r="C1060" t="s">
        <v>1066</v>
      </c>
      <c r="D1060" t="str">
        <f>_xlfn.XLOOKUP(E1060,pathways!$A$2:$A$31,pathways!$B$2:$B$31)</f>
        <v>Lipoproteins</v>
      </c>
      <c r="E1060" t="s">
        <v>144</v>
      </c>
      <c r="F1060" t="s">
        <v>210</v>
      </c>
      <c r="G1060" t="s">
        <v>14360</v>
      </c>
      <c r="H1060" t="s">
        <v>13433</v>
      </c>
      <c r="I1060" t="s">
        <v>11036</v>
      </c>
      <c r="J1060" s="4" t="s">
        <v>1066</v>
      </c>
      <c r="K1060" t="s">
        <v>1065</v>
      </c>
      <c r="L1060" t="s">
        <v>1066</v>
      </c>
      <c r="M1060" t="s">
        <v>17095</v>
      </c>
      <c r="N1060" t="s">
        <v>144</v>
      </c>
      <c r="O1060" t="s">
        <v>13435</v>
      </c>
      <c r="P1060" t="s">
        <v>210</v>
      </c>
      <c r="Q1060" t="s">
        <v>13436</v>
      </c>
      <c r="S1060" t="s">
        <v>3603</v>
      </c>
    </row>
    <row r="1061" spans="1:19" x14ac:dyDescent="0.2">
      <c r="A1061" t="s">
        <v>2581</v>
      </c>
      <c r="B1061" t="s">
        <v>14359</v>
      </c>
      <c r="C1061" t="s">
        <v>4201</v>
      </c>
      <c r="D1061" t="str">
        <f>_xlfn.XLOOKUP(E1061,pathways!$A$2:$A$31,pathways!$B$2:$B$31)</f>
        <v>Nucleotide metabolism</v>
      </c>
      <c r="E1061" t="s">
        <v>3533</v>
      </c>
      <c r="F1061" t="s">
        <v>3705</v>
      </c>
      <c r="G1061" t="s">
        <v>4201</v>
      </c>
      <c r="H1061" t="s">
        <v>14360</v>
      </c>
      <c r="I1061" t="s">
        <v>4201</v>
      </c>
      <c r="J1061" s="4" t="s">
        <v>4201</v>
      </c>
      <c r="L1061" t="s">
        <v>2580</v>
      </c>
      <c r="M1061" t="s">
        <v>15905</v>
      </c>
      <c r="N1061" t="s">
        <v>3533</v>
      </c>
      <c r="O1061" t="s">
        <v>3533</v>
      </c>
      <c r="P1061" t="s">
        <v>3705</v>
      </c>
      <c r="Q1061" t="s">
        <v>3705</v>
      </c>
      <c r="R1061" t="s">
        <v>3533</v>
      </c>
      <c r="S1061" t="s">
        <v>3687</v>
      </c>
    </row>
    <row r="1062" spans="1:19" x14ac:dyDescent="0.2">
      <c r="A1062" t="s">
        <v>3081</v>
      </c>
      <c r="B1062" t="s">
        <v>14359</v>
      </c>
      <c r="C1062" t="s">
        <v>19750</v>
      </c>
      <c r="D1062" t="str">
        <f>_xlfn.XLOOKUP(E1062,pathways!$A$2:$A$31,pathways!$B$2:$B$31)</f>
        <v>Nucleotide metabolism</v>
      </c>
      <c r="E1062" t="s">
        <v>3533</v>
      </c>
      <c r="F1062" t="s">
        <v>4356</v>
      </c>
      <c r="G1062" t="s">
        <v>9253</v>
      </c>
      <c r="H1062" t="s">
        <v>14360</v>
      </c>
      <c r="I1062" t="s">
        <v>9253</v>
      </c>
      <c r="J1062" s="4" t="s">
        <v>14360</v>
      </c>
      <c r="L1062" t="s">
        <v>3080</v>
      </c>
      <c r="M1062" t="s">
        <v>16438</v>
      </c>
      <c r="N1062" t="s">
        <v>3533</v>
      </c>
      <c r="O1062" t="s">
        <v>14360</v>
      </c>
      <c r="P1062" t="s">
        <v>4356</v>
      </c>
      <c r="Q1062" t="s">
        <v>14360</v>
      </c>
      <c r="R1062" t="s">
        <v>3533</v>
      </c>
      <c r="S1062" t="s">
        <v>14360</v>
      </c>
    </row>
    <row r="1063" spans="1:19" x14ac:dyDescent="0.2">
      <c r="A1063" t="s">
        <v>3083</v>
      </c>
      <c r="B1063" t="s">
        <v>14359</v>
      </c>
      <c r="C1063" t="s">
        <v>19751</v>
      </c>
      <c r="D1063" t="str">
        <f>_xlfn.XLOOKUP(E1063,pathways!$A$2:$A$31,pathways!$B$2:$B$31)</f>
        <v>Nucleotide metabolism</v>
      </c>
      <c r="E1063" t="s">
        <v>3533</v>
      </c>
      <c r="F1063" t="s">
        <v>3705</v>
      </c>
      <c r="G1063" t="s">
        <v>14360</v>
      </c>
      <c r="H1063" t="s">
        <v>14360</v>
      </c>
      <c r="I1063" t="s">
        <v>9259</v>
      </c>
      <c r="J1063" s="4" t="s">
        <v>9259</v>
      </c>
      <c r="L1063" t="s">
        <v>3082</v>
      </c>
      <c r="M1063" t="s">
        <v>16440</v>
      </c>
      <c r="N1063" t="s">
        <v>3533</v>
      </c>
      <c r="O1063" t="s">
        <v>3533</v>
      </c>
      <c r="P1063" t="s">
        <v>3705</v>
      </c>
      <c r="Q1063" t="s">
        <v>3705</v>
      </c>
      <c r="R1063" t="s">
        <v>3533</v>
      </c>
      <c r="S1063" t="s">
        <v>14360</v>
      </c>
    </row>
    <row r="1064" spans="1:19" x14ac:dyDescent="0.2">
      <c r="A1064" t="s">
        <v>13840</v>
      </c>
      <c r="B1064" t="s">
        <v>14359</v>
      </c>
      <c r="C1064" t="s">
        <v>19266</v>
      </c>
      <c r="D1064" t="str">
        <f>_xlfn.XLOOKUP(E1064,pathways!$A$2:$A$31,pathways!$B$2:$B$31)</f>
        <v>Nucleotide metabolism</v>
      </c>
      <c r="E1064" t="s">
        <v>3533</v>
      </c>
      <c r="F1064" t="s">
        <v>3705</v>
      </c>
      <c r="G1064" t="s">
        <v>19266</v>
      </c>
      <c r="H1064" t="s">
        <v>14360</v>
      </c>
      <c r="I1064" t="s">
        <v>6447</v>
      </c>
      <c r="J1064" s="4" t="s">
        <v>14360</v>
      </c>
      <c r="L1064" t="s">
        <v>1373</v>
      </c>
      <c r="M1064" t="s">
        <v>14654</v>
      </c>
      <c r="N1064" t="s">
        <v>3533</v>
      </c>
      <c r="O1064" t="s">
        <v>14360</v>
      </c>
      <c r="P1064" t="s">
        <v>3705</v>
      </c>
      <c r="Q1064" t="s">
        <v>14360</v>
      </c>
      <c r="R1064" t="s">
        <v>3533</v>
      </c>
      <c r="S1064" t="s">
        <v>14360</v>
      </c>
    </row>
    <row r="1065" spans="1:19" x14ac:dyDescent="0.2">
      <c r="A1065" t="s">
        <v>2399</v>
      </c>
      <c r="B1065" t="s">
        <v>14359</v>
      </c>
      <c r="C1065" t="s">
        <v>4714</v>
      </c>
      <c r="D1065" t="str">
        <f>_xlfn.XLOOKUP(E1065,pathways!$A$2:$A$31,pathways!$B$2:$B$31)</f>
        <v>Nucleotide metabolism</v>
      </c>
      <c r="E1065" t="s">
        <v>3533</v>
      </c>
      <c r="F1065" t="s">
        <v>3534</v>
      </c>
      <c r="G1065" t="s">
        <v>4714</v>
      </c>
      <c r="H1065" t="s">
        <v>14360</v>
      </c>
      <c r="I1065" t="s">
        <v>4714</v>
      </c>
      <c r="J1065" s="4" t="s">
        <v>4714</v>
      </c>
      <c r="L1065" t="s">
        <v>2398</v>
      </c>
      <c r="M1065" t="s">
        <v>15699</v>
      </c>
      <c r="N1065" t="s">
        <v>3533</v>
      </c>
      <c r="O1065" t="s">
        <v>3533</v>
      </c>
      <c r="P1065" t="s">
        <v>3534</v>
      </c>
      <c r="Q1065" t="s">
        <v>3534</v>
      </c>
      <c r="R1065" t="s">
        <v>3533</v>
      </c>
      <c r="S1065" t="s">
        <v>14360</v>
      </c>
    </row>
    <row r="1066" spans="1:19" x14ac:dyDescent="0.2">
      <c r="A1066" t="s">
        <v>2347</v>
      </c>
      <c r="B1066" t="s">
        <v>14359</v>
      </c>
      <c r="C1066" t="s">
        <v>4602</v>
      </c>
      <c r="D1066" t="str">
        <f>_xlfn.XLOOKUP(E1066,pathways!$A$2:$A$31,pathways!$B$2:$B$31)</f>
        <v>Nucleotide metabolism</v>
      </c>
      <c r="E1066" t="s">
        <v>3533</v>
      </c>
      <c r="F1066" t="s">
        <v>3705</v>
      </c>
      <c r="G1066" t="s">
        <v>14360</v>
      </c>
      <c r="H1066" t="s">
        <v>14360</v>
      </c>
      <c r="I1066" t="s">
        <v>4602</v>
      </c>
      <c r="J1066" s="4" t="s">
        <v>4602</v>
      </c>
      <c r="L1066" t="s">
        <v>2346</v>
      </c>
      <c r="M1066" t="s">
        <v>15645</v>
      </c>
      <c r="N1066" t="s">
        <v>3533</v>
      </c>
      <c r="O1066" t="s">
        <v>3533</v>
      </c>
      <c r="P1066" t="s">
        <v>3705</v>
      </c>
      <c r="Q1066" t="s">
        <v>3705</v>
      </c>
      <c r="R1066" t="s">
        <v>3533</v>
      </c>
      <c r="S1066" t="s">
        <v>14360</v>
      </c>
    </row>
    <row r="1067" spans="1:19" x14ac:dyDescent="0.2">
      <c r="A1067" t="s">
        <v>1404</v>
      </c>
      <c r="B1067" t="s">
        <v>14359</v>
      </c>
      <c r="C1067" t="s">
        <v>6484</v>
      </c>
      <c r="D1067" t="str">
        <f>_xlfn.XLOOKUP(E1067,pathways!$A$2:$A$31,pathways!$B$2:$B$31)</f>
        <v>Nucleotide metabolism</v>
      </c>
      <c r="E1067" t="s">
        <v>3533</v>
      </c>
      <c r="F1067" t="s">
        <v>3705</v>
      </c>
      <c r="G1067" t="s">
        <v>14360</v>
      </c>
      <c r="H1067" t="s">
        <v>14360</v>
      </c>
      <c r="I1067" t="s">
        <v>6484</v>
      </c>
      <c r="J1067" s="4" t="s">
        <v>6484</v>
      </c>
      <c r="L1067" t="s">
        <v>1403</v>
      </c>
      <c r="M1067" t="s">
        <v>14688</v>
      </c>
      <c r="N1067" t="s">
        <v>3533</v>
      </c>
      <c r="O1067" t="s">
        <v>3533</v>
      </c>
      <c r="P1067" t="s">
        <v>3705</v>
      </c>
      <c r="Q1067" t="s">
        <v>3705</v>
      </c>
      <c r="R1067" t="s">
        <v>3533</v>
      </c>
      <c r="S1067" t="s">
        <v>14360</v>
      </c>
    </row>
    <row r="1068" spans="1:19" x14ac:dyDescent="0.2">
      <c r="A1068" t="s">
        <v>2451</v>
      </c>
      <c r="B1068" t="s">
        <v>14359</v>
      </c>
      <c r="C1068" t="s">
        <v>3537</v>
      </c>
      <c r="D1068" t="str">
        <f>_xlfn.XLOOKUP(E1068,pathways!$A$2:$A$31,pathways!$B$2:$B$31)</f>
        <v>Nucleotide metabolism</v>
      </c>
      <c r="E1068" t="s">
        <v>3533</v>
      </c>
      <c r="F1068" t="s">
        <v>3534</v>
      </c>
      <c r="G1068" t="s">
        <v>3537</v>
      </c>
      <c r="H1068" t="s">
        <v>14360</v>
      </c>
      <c r="I1068" t="s">
        <v>3537</v>
      </c>
      <c r="J1068" s="4" t="s">
        <v>3537</v>
      </c>
      <c r="L1068" t="s">
        <v>2450</v>
      </c>
      <c r="M1068" t="s">
        <v>15757</v>
      </c>
      <c r="N1068" t="s">
        <v>3533</v>
      </c>
      <c r="O1068" t="s">
        <v>3533</v>
      </c>
      <c r="P1068" t="s">
        <v>3534</v>
      </c>
      <c r="Q1068" t="s">
        <v>3534</v>
      </c>
      <c r="R1068" t="s">
        <v>3533</v>
      </c>
      <c r="S1068" t="s">
        <v>14360</v>
      </c>
    </row>
    <row r="1069" spans="1:19" x14ac:dyDescent="0.2">
      <c r="A1069" t="s">
        <v>13789</v>
      </c>
      <c r="B1069" t="s">
        <v>14359</v>
      </c>
      <c r="C1069" t="s">
        <v>4736</v>
      </c>
      <c r="D1069" t="str">
        <f>_xlfn.XLOOKUP(E1069,pathways!$A$2:$A$31,pathways!$B$2:$B$31)</f>
        <v>Nucleotide metabolism</v>
      </c>
      <c r="E1069" t="s">
        <v>3533</v>
      </c>
      <c r="F1069" t="s">
        <v>3705</v>
      </c>
      <c r="G1069" t="s">
        <v>14360</v>
      </c>
      <c r="H1069" t="s">
        <v>14360</v>
      </c>
      <c r="I1069" t="s">
        <v>4736</v>
      </c>
      <c r="J1069" s="4" t="s">
        <v>4736</v>
      </c>
      <c r="L1069" t="s">
        <v>14360</v>
      </c>
      <c r="M1069" t="s">
        <v>14360</v>
      </c>
      <c r="N1069" t="s">
        <v>3533</v>
      </c>
      <c r="O1069" t="s">
        <v>3533</v>
      </c>
      <c r="P1069" t="s">
        <v>3705</v>
      </c>
      <c r="Q1069" t="s">
        <v>3705</v>
      </c>
      <c r="R1069" t="s">
        <v>14360</v>
      </c>
      <c r="S1069" t="s">
        <v>3661</v>
      </c>
    </row>
    <row r="1070" spans="1:19" x14ac:dyDescent="0.2">
      <c r="A1070" t="s">
        <v>1376</v>
      </c>
      <c r="B1070" t="s">
        <v>14359</v>
      </c>
      <c r="C1070" t="s">
        <v>6440</v>
      </c>
      <c r="D1070" t="str">
        <f>_xlfn.XLOOKUP(E1070,pathways!$A$2:$A$31,pathways!$B$2:$B$31)</f>
        <v>Nucleotide metabolism</v>
      </c>
      <c r="E1070" t="s">
        <v>3533</v>
      </c>
      <c r="F1070" t="s">
        <v>3705</v>
      </c>
      <c r="G1070" t="s">
        <v>6440</v>
      </c>
      <c r="H1070" t="s">
        <v>14360</v>
      </c>
      <c r="I1070" t="s">
        <v>6440</v>
      </c>
      <c r="J1070" s="4" t="s">
        <v>6440</v>
      </c>
      <c r="L1070" t="s">
        <v>1375</v>
      </c>
      <c r="M1070" t="s">
        <v>14656</v>
      </c>
      <c r="N1070" t="s">
        <v>3533</v>
      </c>
      <c r="O1070" t="s">
        <v>3533</v>
      </c>
      <c r="P1070" t="s">
        <v>3705</v>
      </c>
      <c r="Q1070" t="s">
        <v>3705</v>
      </c>
      <c r="R1070" t="s">
        <v>3533</v>
      </c>
      <c r="S1070" t="s">
        <v>14360</v>
      </c>
    </row>
    <row r="1071" spans="1:19" x14ac:dyDescent="0.2">
      <c r="A1071" t="s">
        <v>1384</v>
      </c>
      <c r="B1071" t="s">
        <v>14359</v>
      </c>
      <c r="C1071" t="s">
        <v>6498</v>
      </c>
      <c r="D1071" t="str">
        <f>_xlfn.XLOOKUP(E1071,pathways!$A$2:$A$31,pathways!$B$2:$B$31)</f>
        <v>Nucleotide metabolism</v>
      </c>
      <c r="E1071" t="s">
        <v>3533</v>
      </c>
      <c r="F1071" t="s">
        <v>4656</v>
      </c>
      <c r="G1071" t="s">
        <v>6498</v>
      </c>
      <c r="H1071" t="s">
        <v>14360</v>
      </c>
      <c r="I1071" t="s">
        <v>6498</v>
      </c>
      <c r="J1071" s="4" t="s">
        <v>6498</v>
      </c>
      <c r="L1071" t="s">
        <v>1383</v>
      </c>
      <c r="M1071" t="s">
        <v>14664</v>
      </c>
      <c r="N1071" t="s">
        <v>3533</v>
      </c>
      <c r="O1071" t="s">
        <v>3533</v>
      </c>
      <c r="P1071" t="s">
        <v>4656</v>
      </c>
      <c r="Q1071" t="s">
        <v>4656</v>
      </c>
      <c r="R1071" t="s">
        <v>3533</v>
      </c>
      <c r="S1071" t="s">
        <v>3661</v>
      </c>
    </row>
    <row r="1072" spans="1:19" x14ac:dyDescent="0.2">
      <c r="A1072" t="s">
        <v>13782</v>
      </c>
      <c r="B1072" t="s">
        <v>14359</v>
      </c>
      <c r="C1072" t="s">
        <v>19908</v>
      </c>
      <c r="D1072" t="str">
        <f>_xlfn.XLOOKUP(E1072,pathways!$A$2:$A$31,pathways!$B$2:$B$31)</f>
        <v>Nucleotide metabolism</v>
      </c>
      <c r="E1072" t="s">
        <v>3533</v>
      </c>
      <c r="F1072" t="s">
        <v>3620</v>
      </c>
      <c r="G1072" t="s">
        <v>4392</v>
      </c>
      <c r="H1072" t="s">
        <v>14360</v>
      </c>
      <c r="I1072" t="s">
        <v>4392</v>
      </c>
      <c r="J1072" s="4" t="s">
        <v>4392</v>
      </c>
      <c r="L1072" t="s">
        <v>14360</v>
      </c>
      <c r="M1072" t="s">
        <v>14360</v>
      </c>
      <c r="N1072" t="s">
        <v>3533</v>
      </c>
      <c r="O1072" t="s">
        <v>3533</v>
      </c>
      <c r="P1072" t="s">
        <v>3620</v>
      </c>
      <c r="Q1072" t="s">
        <v>3620</v>
      </c>
      <c r="R1072" t="s">
        <v>14360</v>
      </c>
      <c r="S1072" t="s">
        <v>3603</v>
      </c>
    </row>
    <row r="1073" spans="1:19" x14ac:dyDescent="0.2">
      <c r="A1073" t="s">
        <v>13775</v>
      </c>
      <c r="B1073" t="s">
        <v>14359</v>
      </c>
      <c r="C1073" t="s">
        <v>19909</v>
      </c>
      <c r="D1073" t="str">
        <f>_xlfn.XLOOKUP(E1073,pathways!$A$2:$A$31,pathways!$B$2:$B$31)</f>
        <v>Nucleotide metabolism</v>
      </c>
      <c r="E1073" t="s">
        <v>3533</v>
      </c>
      <c r="F1073" t="s">
        <v>3620</v>
      </c>
      <c r="G1073" t="s">
        <v>14360</v>
      </c>
      <c r="H1073" t="s">
        <v>14360</v>
      </c>
      <c r="I1073" t="s">
        <v>4271</v>
      </c>
      <c r="J1073" s="4" t="s">
        <v>14360</v>
      </c>
      <c r="L1073" t="s">
        <v>14360</v>
      </c>
      <c r="M1073" t="s">
        <v>14360</v>
      </c>
      <c r="N1073" t="s">
        <v>3533</v>
      </c>
      <c r="O1073" t="s">
        <v>14360</v>
      </c>
      <c r="P1073" t="s">
        <v>3620</v>
      </c>
      <c r="Q1073" t="s">
        <v>14360</v>
      </c>
      <c r="R1073" t="s">
        <v>14360</v>
      </c>
      <c r="S1073" t="s">
        <v>14360</v>
      </c>
    </row>
    <row r="1074" spans="1:19" x14ac:dyDescent="0.2">
      <c r="A1074" t="s">
        <v>2484</v>
      </c>
      <c r="B1074" t="s">
        <v>14359</v>
      </c>
      <c r="C1074" t="s">
        <v>19659</v>
      </c>
      <c r="D1074" t="str">
        <f>_xlfn.XLOOKUP(E1074,pathways!$A$2:$A$31,pathways!$B$2:$B$31)</f>
        <v>Nucleotide metabolism</v>
      </c>
      <c r="E1074" t="s">
        <v>3533</v>
      </c>
      <c r="F1074" t="s">
        <v>3620</v>
      </c>
      <c r="G1074" t="s">
        <v>14360</v>
      </c>
      <c r="H1074" t="s">
        <v>14360</v>
      </c>
      <c r="I1074" t="s">
        <v>3623</v>
      </c>
      <c r="J1074" s="4" t="s">
        <v>14360</v>
      </c>
      <c r="L1074" t="s">
        <v>2483</v>
      </c>
      <c r="M1074" t="s">
        <v>15791</v>
      </c>
      <c r="N1074" t="s">
        <v>3533</v>
      </c>
      <c r="O1074" t="s">
        <v>14360</v>
      </c>
      <c r="P1074" t="s">
        <v>3620</v>
      </c>
      <c r="Q1074" t="s">
        <v>14360</v>
      </c>
      <c r="R1074" t="s">
        <v>3533</v>
      </c>
      <c r="S1074" t="s">
        <v>4774</v>
      </c>
    </row>
    <row r="1075" spans="1:19" x14ac:dyDescent="0.2">
      <c r="A1075" t="s">
        <v>2353</v>
      </c>
      <c r="B1075" t="s">
        <v>14359</v>
      </c>
      <c r="C1075" t="s">
        <v>19621</v>
      </c>
      <c r="D1075" t="str">
        <f>_xlfn.XLOOKUP(E1075,pathways!$A$2:$A$31,pathways!$B$2:$B$31)</f>
        <v>Nucleotide metabolism</v>
      </c>
      <c r="E1075" t="s">
        <v>3533</v>
      </c>
      <c r="F1075" t="s">
        <v>3543</v>
      </c>
      <c r="G1075" t="s">
        <v>4530</v>
      </c>
      <c r="H1075" t="s">
        <v>14360</v>
      </c>
      <c r="I1075" t="s">
        <v>4530</v>
      </c>
      <c r="J1075" s="4" t="s">
        <v>4530</v>
      </c>
      <c r="L1075" t="s">
        <v>2352</v>
      </c>
      <c r="M1075" t="s">
        <v>15651</v>
      </c>
      <c r="N1075" t="s">
        <v>3533</v>
      </c>
      <c r="O1075" t="s">
        <v>3533</v>
      </c>
      <c r="P1075" t="s">
        <v>3543</v>
      </c>
      <c r="Q1075" t="s">
        <v>3543</v>
      </c>
      <c r="R1075" t="s">
        <v>3533</v>
      </c>
      <c r="S1075" t="s">
        <v>4774</v>
      </c>
    </row>
    <row r="1076" spans="1:19" x14ac:dyDescent="0.2">
      <c r="A1076" t="s">
        <v>2607</v>
      </c>
      <c r="B1076" t="s">
        <v>14359</v>
      </c>
      <c r="C1076" t="s">
        <v>19717</v>
      </c>
      <c r="D1076" t="str">
        <f>_xlfn.XLOOKUP(E1076,pathways!$A$2:$A$31,pathways!$B$2:$B$31)</f>
        <v>Nucleotide metabolism</v>
      </c>
      <c r="E1076" t="s">
        <v>3533</v>
      </c>
      <c r="F1076" t="s">
        <v>4356</v>
      </c>
      <c r="G1076" t="s">
        <v>4359</v>
      </c>
      <c r="H1076" t="s">
        <v>14360</v>
      </c>
      <c r="I1076" t="s">
        <v>4359</v>
      </c>
      <c r="J1076" s="4" t="s">
        <v>4359</v>
      </c>
      <c r="L1076" t="s">
        <v>2606</v>
      </c>
      <c r="M1076" t="s">
        <v>15936</v>
      </c>
      <c r="N1076" t="s">
        <v>3533</v>
      </c>
      <c r="O1076" t="s">
        <v>3533</v>
      </c>
      <c r="P1076" t="s">
        <v>4356</v>
      </c>
      <c r="Q1076" t="s">
        <v>4356</v>
      </c>
      <c r="R1076" t="s">
        <v>3533</v>
      </c>
      <c r="S1076" t="s">
        <v>4998</v>
      </c>
    </row>
    <row r="1077" spans="1:19" x14ac:dyDescent="0.2">
      <c r="A1077" t="s">
        <v>13783</v>
      </c>
      <c r="B1077" t="s">
        <v>14359</v>
      </c>
      <c r="C1077" t="s">
        <v>19719</v>
      </c>
      <c r="D1077" t="str">
        <f>_xlfn.XLOOKUP(E1077,pathways!$A$2:$A$31,pathways!$B$2:$B$31)</f>
        <v>Nucleotide metabolism</v>
      </c>
      <c r="E1077" t="s">
        <v>3533</v>
      </c>
      <c r="F1077" t="s">
        <v>4356</v>
      </c>
      <c r="G1077" t="s">
        <v>14360</v>
      </c>
      <c r="H1077" t="s">
        <v>14360</v>
      </c>
      <c r="I1077" t="s">
        <v>4400</v>
      </c>
      <c r="J1077" s="4" t="s">
        <v>14360</v>
      </c>
      <c r="L1077" t="s">
        <v>2610</v>
      </c>
      <c r="M1077" t="s">
        <v>15944</v>
      </c>
      <c r="N1077" t="s">
        <v>3533</v>
      </c>
      <c r="O1077" t="s">
        <v>14360</v>
      </c>
      <c r="P1077" t="s">
        <v>4356</v>
      </c>
      <c r="Q1077" t="s">
        <v>14360</v>
      </c>
      <c r="R1077" t="s">
        <v>3533</v>
      </c>
      <c r="S1077" t="s">
        <v>4463</v>
      </c>
    </row>
    <row r="1078" spans="1:19" x14ac:dyDescent="0.2">
      <c r="A1078" t="s">
        <v>2627</v>
      </c>
      <c r="B1078" t="s">
        <v>14359</v>
      </c>
      <c r="C1078" t="s">
        <v>19727</v>
      </c>
      <c r="D1078" t="str">
        <f>_xlfn.XLOOKUP(E1078,pathways!$A$2:$A$31,pathways!$B$2:$B$31)</f>
        <v>Nucleotide metabolism</v>
      </c>
      <c r="E1078" t="s">
        <v>3533</v>
      </c>
      <c r="F1078" t="s">
        <v>4050</v>
      </c>
      <c r="G1078" t="s">
        <v>4473</v>
      </c>
      <c r="H1078" t="s">
        <v>14360</v>
      </c>
      <c r="I1078" t="s">
        <v>4473</v>
      </c>
      <c r="J1078" s="4" t="s">
        <v>4473</v>
      </c>
      <c r="L1078" t="s">
        <v>2626</v>
      </c>
      <c r="M1078" t="s">
        <v>15965</v>
      </c>
      <c r="N1078" t="s">
        <v>3533</v>
      </c>
      <c r="O1078" t="s">
        <v>3533</v>
      </c>
      <c r="P1078" t="s">
        <v>4050</v>
      </c>
      <c r="Q1078" t="s">
        <v>4050</v>
      </c>
      <c r="R1078" t="s">
        <v>3533</v>
      </c>
      <c r="S1078" t="s">
        <v>4998</v>
      </c>
    </row>
    <row r="1079" spans="1:19" x14ac:dyDescent="0.2">
      <c r="A1079" t="s">
        <v>13786</v>
      </c>
      <c r="B1079" t="s">
        <v>14359</v>
      </c>
      <c r="C1079" t="s">
        <v>19986</v>
      </c>
      <c r="D1079" t="str">
        <f>_xlfn.XLOOKUP(E1079,pathways!$A$2:$A$31,pathways!$B$2:$B$31)</f>
        <v>Nucleotide metabolism</v>
      </c>
      <c r="E1079" t="s">
        <v>3533</v>
      </c>
      <c r="F1079" t="s">
        <v>4656</v>
      </c>
      <c r="G1079" t="s">
        <v>14360</v>
      </c>
      <c r="H1079" t="s">
        <v>14360</v>
      </c>
      <c r="I1079" t="s">
        <v>4659</v>
      </c>
      <c r="J1079" s="4" t="s">
        <v>4659</v>
      </c>
      <c r="L1079" t="s">
        <v>14360</v>
      </c>
      <c r="M1079" t="s">
        <v>14360</v>
      </c>
      <c r="N1079" t="s">
        <v>3533</v>
      </c>
      <c r="O1079" t="s">
        <v>3533</v>
      </c>
      <c r="P1079" t="s">
        <v>4656</v>
      </c>
      <c r="Q1079" t="s">
        <v>4656</v>
      </c>
      <c r="R1079" t="s">
        <v>14360</v>
      </c>
      <c r="S1079" t="s">
        <v>4991</v>
      </c>
    </row>
    <row r="1080" spans="1:19" x14ac:dyDescent="0.2">
      <c r="A1080" t="s">
        <v>13752</v>
      </c>
      <c r="B1080" t="s">
        <v>14359</v>
      </c>
      <c r="C1080" t="s">
        <v>19993</v>
      </c>
      <c r="D1080" t="str">
        <f>_xlfn.XLOOKUP(E1080,pathways!$A$2:$A$31,pathways!$B$2:$B$31)</f>
        <v>Nucleotide metabolism</v>
      </c>
      <c r="E1080" t="s">
        <v>3533</v>
      </c>
      <c r="F1080" t="s">
        <v>3543</v>
      </c>
      <c r="G1080" t="s">
        <v>14360</v>
      </c>
      <c r="H1080" t="s">
        <v>14360</v>
      </c>
      <c r="I1080" t="s">
        <v>3546</v>
      </c>
      <c r="J1080" s="4" t="s">
        <v>3546</v>
      </c>
      <c r="L1080" t="s">
        <v>14360</v>
      </c>
      <c r="M1080" t="s">
        <v>14360</v>
      </c>
      <c r="N1080" t="s">
        <v>3533</v>
      </c>
      <c r="O1080" t="s">
        <v>3533</v>
      </c>
      <c r="P1080" t="s">
        <v>3543</v>
      </c>
      <c r="Q1080" t="s">
        <v>3543</v>
      </c>
      <c r="R1080" t="s">
        <v>14360</v>
      </c>
      <c r="S1080" t="s">
        <v>14360</v>
      </c>
    </row>
    <row r="1081" spans="1:19" x14ac:dyDescent="0.2">
      <c r="A1081" t="s">
        <v>2550</v>
      </c>
      <c r="B1081" t="s">
        <v>14359</v>
      </c>
      <c r="C1081" t="s">
        <v>19689</v>
      </c>
      <c r="D1081" t="str">
        <f>_xlfn.XLOOKUP(E1081,pathways!$A$2:$A$31,pathways!$B$2:$B$31)</f>
        <v>Nucleotide metabolism</v>
      </c>
      <c r="E1081" t="s">
        <v>3533</v>
      </c>
      <c r="F1081" t="s">
        <v>3543</v>
      </c>
      <c r="G1081" t="s">
        <v>14360</v>
      </c>
      <c r="H1081" t="s">
        <v>14360</v>
      </c>
      <c r="I1081" t="s">
        <v>3931</v>
      </c>
      <c r="J1081" s="4" t="s">
        <v>3931</v>
      </c>
      <c r="L1081" t="s">
        <v>2549</v>
      </c>
      <c r="M1081" t="s">
        <v>15867</v>
      </c>
      <c r="N1081" t="s">
        <v>3533</v>
      </c>
      <c r="O1081" t="s">
        <v>3533</v>
      </c>
      <c r="P1081" t="s">
        <v>3543</v>
      </c>
      <c r="Q1081" t="s">
        <v>3543</v>
      </c>
      <c r="R1081" t="s">
        <v>3533</v>
      </c>
      <c r="S1081" t="s">
        <v>14360</v>
      </c>
    </row>
    <row r="1082" spans="1:19" x14ac:dyDescent="0.2">
      <c r="A1082" t="s">
        <v>13863</v>
      </c>
      <c r="B1082" t="s">
        <v>14359</v>
      </c>
      <c r="C1082" t="s">
        <v>20017</v>
      </c>
      <c r="D1082" t="str">
        <f>_xlfn.XLOOKUP(E1082,pathways!$A$2:$A$31,pathways!$B$2:$B$31)</f>
        <v>Nucleotide metabolism</v>
      </c>
      <c r="E1082" t="s">
        <v>3533</v>
      </c>
      <c r="F1082" t="s">
        <v>7008</v>
      </c>
      <c r="G1082" t="s">
        <v>14360</v>
      </c>
      <c r="H1082" t="s">
        <v>14360</v>
      </c>
      <c r="I1082" t="s">
        <v>7011</v>
      </c>
      <c r="J1082" s="4" t="s">
        <v>14360</v>
      </c>
      <c r="L1082" t="s">
        <v>14360</v>
      </c>
      <c r="M1082" t="s">
        <v>14360</v>
      </c>
      <c r="N1082" t="s">
        <v>3533</v>
      </c>
      <c r="O1082" t="s">
        <v>14360</v>
      </c>
      <c r="P1082" t="s">
        <v>7008</v>
      </c>
      <c r="Q1082" t="s">
        <v>14360</v>
      </c>
      <c r="R1082" t="s">
        <v>14360</v>
      </c>
      <c r="S1082" t="s">
        <v>4998</v>
      </c>
    </row>
    <row r="1083" spans="1:19" x14ac:dyDescent="0.2">
      <c r="A1083" t="s">
        <v>2405</v>
      </c>
      <c r="B1083" t="s">
        <v>14359</v>
      </c>
      <c r="C1083" t="s">
        <v>4880</v>
      </c>
      <c r="D1083" t="str">
        <f>_xlfn.XLOOKUP(E1083,pathways!$A$2:$A$31,pathways!$B$2:$B$31)</f>
        <v>Nucleotide metabolism</v>
      </c>
      <c r="E1083" t="s">
        <v>3533</v>
      </c>
      <c r="F1083" t="s">
        <v>3620</v>
      </c>
      <c r="G1083" t="s">
        <v>4880</v>
      </c>
      <c r="H1083" t="s">
        <v>14360</v>
      </c>
      <c r="I1083" t="s">
        <v>4880</v>
      </c>
      <c r="J1083" s="4" t="s">
        <v>4880</v>
      </c>
      <c r="L1083" t="s">
        <v>2404</v>
      </c>
      <c r="M1083" t="s">
        <v>15705</v>
      </c>
      <c r="N1083" t="s">
        <v>3533</v>
      </c>
      <c r="O1083" t="s">
        <v>3533</v>
      </c>
      <c r="P1083" t="s">
        <v>3620</v>
      </c>
      <c r="Q1083" t="s">
        <v>3620</v>
      </c>
      <c r="R1083" t="s">
        <v>3533</v>
      </c>
      <c r="S1083" t="s">
        <v>4463</v>
      </c>
    </row>
    <row r="1084" spans="1:19" x14ac:dyDescent="0.2">
      <c r="A1084" t="s">
        <v>1364</v>
      </c>
      <c r="B1084" t="s">
        <v>14359</v>
      </c>
      <c r="C1084" t="s">
        <v>6389</v>
      </c>
      <c r="D1084" t="str">
        <f>_xlfn.XLOOKUP(E1084,pathways!$A$2:$A$31,pathways!$B$2:$B$31)</f>
        <v>Nucleotide metabolism</v>
      </c>
      <c r="E1084" t="s">
        <v>3533</v>
      </c>
      <c r="F1084" t="s">
        <v>3543</v>
      </c>
      <c r="G1084" t="s">
        <v>6389</v>
      </c>
      <c r="H1084" t="s">
        <v>14360</v>
      </c>
      <c r="I1084" t="s">
        <v>6389</v>
      </c>
      <c r="J1084" s="4" t="s">
        <v>6389</v>
      </c>
      <c r="L1084" t="s">
        <v>1363</v>
      </c>
      <c r="M1084" t="s">
        <v>14644</v>
      </c>
      <c r="N1084" t="s">
        <v>3533</v>
      </c>
      <c r="O1084" t="s">
        <v>3533</v>
      </c>
      <c r="P1084" t="s">
        <v>3543</v>
      </c>
      <c r="Q1084" t="s">
        <v>3543</v>
      </c>
      <c r="R1084" t="s">
        <v>3533</v>
      </c>
      <c r="S1084" t="s">
        <v>4998</v>
      </c>
    </row>
    <row r="1085" spans="1:19" x14ac:dyDescent="0.2">
      <c r="A1085" t="s">
        <v>1370</v>
      </c>
      <c r="B1085" t="s">
        <v>14359</v>
      </c>
      <c r="C1085" t="s">
        <v>19265</v>
      </c>
      <c r="D1085" t="str">
        <f>_xlfn.XLOOKUP(E1085,pathways!$A$2:$A$31,pathways!$B$2:$B$31)</f>
        <v>Nucleotide metabolism</v>
      </c>
      <c r="E1085" t="s">
        <v>3533</v>
      </c>
      <c r="F1085" t="s">
        <v>4656</v>
      </c>
      <c r="G1085" t="s">
        <v>6396</v>
      </c>
      <c r="H1085" t="s">
        <v>14360</v>
      </c>
      <c r="I1085" t="s">
        <v>6396</v>
      </c>
      <c r="J1085" s="4" t="s">
        <v>6396</v>
      </c>
      <c r="L1085" t="s">
        <v>1369</v>
      </c>
      <c r="M1085" t="s">
        <v>14650</v>
      </c>
      <c r="N1085" t="s">
        <v>3533</v>
      </c>
      <c r="O1085" t="s">
        <v>3533</v>
      </c>
      <c r="P1085" t="s">
        <v>4656</v>
      </c>
      <c r="Q1085" t="s">
        <v>4656</v>
      </c>
      <c r="R1085" t="s">
        <v>3533</v>
      </c>
      <c r="S1085" t="s">
        <v>14360</v>
      </c>
    </row>
    <row r="1086" spans="1:19" x14ac:dyDescent="0.2">
      <c r="A1086" t="s">
        <v>1358</v>
      </c>
      <c r="B1086" t="s">
        <v>14359</v>
      </c>
      <c r="C1086" t="s">
        <v>6403</v>
      </c>
      <c r="D1086" t="str">
        <f>_xlfn.XLOOKUP(E1086,pathways!$A$2:$A$31,pathways!$B$2:$B$31)</f>
        <v>Nucleotide metabolism</v>
      </c>
      <c r="E1086" t="s">
        <v>3533</v>
      </c>
      <c r="F1086" t="s">
        <v>4356</v>
      </c>
      <c r="G1086" t="s">
        <v>14360</v>
      </c>
      <c r="H1086" t="s">
        <v>14360</v>
      </c>
      <c r="I1086" t="s">
        <v>6403</v>
      </c>
      <c r="J1086" s="4" t="s">
        <v>6403</v>
      </c>
      <c r="L1086" t="s">
        <v>1357</v>
      </c>
      <c r="M1086" t="s">
        <v>14638</v>
      </c>
      <c r="N1086" t="s">
        <v>3533</v>
      </c>
      <c r="O1086" t="s">
        <v>3533</v>
      </c>
      <c r="P1086" t="s">
        <v>4356</v>
      </c>
      <c r="Q1086" t="s">
        <v>4356</v>
      </c>
      <c r="R1086" t="s">
        <v>3533</v>
      </c>
      <c r="S1086" t="s">
        <v>14360</v>
      </c>
    </row>
    <row r="1087" spans="1:19" x14ac:dyDescent="0.2">
      <c r="A1087" t="s">
        <v>1366</v>
      </c>
      <c r="B1087" t="s">
        <v>14359</v>
      </c>
      <c r="C1087" t="s">
        <v>6410</v>
      </c>
      <c r="D1087" t="str">
        <f>_xlfn.XLOOKUP(E1087,pathways!$A$2:$A$31,pathways!$B$2:$B$31)</f>
        <v>Nucleotide metabolism</v>
      </c>
      <c r="E1087" t="s">
        <v>3533</v>
      </c>
      <c r="F1087" t="s">
        <v>3620</v>
      </c>
      <c r="G1087" t="s">
        <v>6410</v>
      </c>
      <c r="H1087" t="s">
        <v>14360</v>
      </c>
      <c r="I1087" t="s">
        <v>6410</v>
      </c>
      <c r="J1087" s="4" t="s">
        <v>6410</v>
      </c>
      <c r="L1087" t="s">
        <v>1365</v>
      </c>
      <c r="M1087" t="s">
        <v>14646</v>
      </c>
      <c r="N1087" t="s">
        <v>3533</v>
      </c>
      <c r="O1087" t="s">
        <v>3533</v>
      </c>
      <c r="P1087" t="s">
        <v>3620</v>
      </c>
      <c r="Q1087" t="s">
        <v>3620</v>
      </c>
      <c r="R1087" t="s">
        <v>3533</v>
      </c>
      <c r="S1087" t="s">
        <v>14360</v>
      </c>
    </row>
    <row r="1088" spans="1:19" x14ac:dyDescent="0.2">
      <c r="A1088" t="s">
        <v>13753</v>
      </c>
      <c r="B1088" t="s">
        <v>14359</v>
      </c>
      <c r="C1088" t="s">
        <v>3640</v>
      </c>
      <c r="D1088" t="str">
        <f>_xlfn.XLOOKUP(E1088,pathways!$A$2:$A$31,pathways!$B$2:$B$31)</f>
        <v>Nucleotide metabolism</v>
      </c>
      <c r="E1088" t="s">
        <v>3533</v>
      </c>
      <c r="F1088" t="s">
        <v>3620</v>
      </c>
      <c r="G1088" t="s">
        <v>14360</v>
      </c>
      <c r="H1088" t="s">
        <v>14360</v>
      </c>
      <c r="I1088" t="s">
        <v>3640</v>
      </c>
      <c r="J1088" s="4" t="s">
        <v>14360</v>
      </c>
      <c r="L1088" t="s">
        <v>14360</v>
      </c>
      <c r="M1088" t="s">
        <v>14360</v>
      </c>
      <c r="N1088" t="s">
        <v>3533</v>
      </c>
      <c r="O1088" t="s">
        <v>14360</v>
      </c>
      <c r="P1088" t="s">
        <v>3620</v>
      </c>
      <c r="Q1088" t="s">
        <v>14360</v>
      </c>
      <c r="R1088" t="s">
        <v>14360</v>
      </c>
      <c r="S1088" t="s">
        <v>14360</v>
      </c>
    </row>
    <row r="1089" spans="1:19" x14ac:dyDescent="0.2">
      <c r="A1089" t="s">
        <v>13855</v>
      </c>
      <c r="B1089" t="s">
        <v>14359</v>
      </c>
      <c r="C1089" t="s">
        <v>6855</v>
      </c>
      <c r="D1089" t="str">
        <f>_xlfn.XLOOKUP(E1089,pathways!$A$2:$A$31,pathways!$B$2:$B$31)</f>
        <v>Nucleotide metabolism</v>
      </c>
      <c r="E1089" t="s">
        <v>3533</v>
      </c>
      <c r="F1089" t="s">
        <v>3620</v>
      </c>
      <c r="G1089" t="s">
        <v>14360</v>
      </c>
      <c r="H1089" t="s">
        <v>14360</v>
      </c>
      <c r="I1089" t="s">
        <v>6855</v>
      </c>
      <c r="J1089" s="4" t="s">
        <v>6855</v>
      </c>
      <c r="L1089" t="s">
        <v>14360</v>
      </c>
      <c r="M1089" t="s">
        <v>14360</v>
      </c>
      <c r="N1089" t="s">
        <v>3533</v>
      </c>
      <c r="O1089" t="s">
        <v>3533</v>
      </c>
      <c r="P1089" t="s">
        <v>3620</v>
      </c>
      <c r="Q1089" t="s">
        <v>3620</v>
      </c>
      <c r="R1089" t="s">
        <v>14360</v>
      </c>
      <c r="S1089" t="s">
        <v>3670</v>
      </c>
    </row>
    <row r="1090" spans="1:19" x14ac:dyDescent="0.2">
      <c r="A1090" t="s">
        <v>2546</v>
      </c>
      <c r="B1090" t="s">
        <v>14359</v>
      </c>
      <c r="C1090" t="s">
        <v>19687</v>
      </c>
      <c r="D1090" t="str">
        <f>_xlfn.XLOOKUP(E1090,pathways!$A$2:$A$31,pathways!$B$2:$B$31)</f>
        <v>Nucleotide metabolism</v>
      </c>
      <c r="E1090" t="s">
        <v>3533</v>
      </c>
      <c r="F1090" t="s">
        <v>4050</v>
      </c>
      <c r="G1090" t="s">
        <v>4053</v>
      </c>
      <c r="H1090" t="s">
        <v>14360</v>
      </c>
      <c r="I1090" t="s">
        <v>4053</v>
      </c>
      <c r="J1090" s="4" t="s">
        <v>4053</v>
      </c>
      <c r="L1090" t="s">
        <v>2545</v>
      </c>
      <c r="M1090" t="s">
        <v>15863</v>
      </c>
      <c r="N1090" t="s">
        <v>3533</v>
      </c>
      <c r="O1090" t="s">
        <v>3533</v>
      </c>
      <c r="P1090" t="s">
        <v>4050</v>
      </c>
      <c r="Q1090" t="s">
        <v>4050</v>
      </c>
      <c r="R1090" t="s">
        <v>3533</v>
      </c>
      <c r="S1090" t="s">
        <v>3586</v>
      </c>
    </row>
    <row r="1091" spans="1:19" x14ac:dyDescent="0.2">
      <c r="A1091" t="s">
        <v>3056</v>
      </c>
      <c r="B1091" t="s">
        <v>14359</v>
      </c>
      <c r="C1091" t="s">
        <v>19742</v>
      </c>
      <c r="D1091" t="str">
        <f>_xlfn.XLOOKUP(E1091,pathways!$A$2:$A$31,pathways!$B$2:$B$31)</f>
        <v>Nucleotide metabolism</v>
      </c>
      <c r="E1091" t="s">
        <v>3533</v>
      </c>
      <c r="F1091" t="s">
        <v>4050</v>
      </c>
      <c r="G1091" t="s">
        <v>6417</v>
      </c>
      <c r="H1091" t="s">
        <v>14360</v>
      </c>
      <c r="I1091" t="s">
        <v>6417</v>
      </c>
      <c r="J1091" s="4" t="s">
        <v>6417</v>
      </c>
      <c r="L1091" t="s">
        <v>3055</v>
      </c>
      <c r="M1091" t="s">
        <v>16414</v>
      </c>
      <c r="N1091" t="s">
        <v>3533</v>
      </c>
      <c r="O1091" t="s">
        <v>3533</v>
      </c>
      <c r="P1091" t="s">
        <v>4050</v>
      </c>
      <c r="Q1091" t="s">
        <v>4050</v>
      </c>
      <c r="R1091" t="s">
        <v>3533</v>
      </c>
      <c r="S1091" t="s">
        <v>3661</v>
      </c>
    </row>
    <row r="1092" spans="1:19" x14ac:dyDescent="0.2">
      <c r="A1092" t="s">
        <v>2625</v>
      </c>
      <c r="B1092" t="s">
        <v>14359</v>
      </c>
      <c r="C1092" t="s">
        <v>19726</v>
      </c>
      <c r="D1092" t="str">
        <f>_xlfn.XLOOKUP(E1092,pathways!$A$2:$A$31,pathways!$B$2:$B$31)</f>
        <v>Nucleotide metabolism</v>
      </c>
      <c r="E1092" t="s">
        <v>3533</v>
      </c>
      <c r="F1092" t="s">
        <v>3705</v>
      </c>
      <c r="G1092" t="s">
        <v>4335</v>
      </c>
      <c r="H1092" t="s">
        <v>14360</v>
      </c>
      <c r="I1092" t="s">
        <v>4335</v>
      </c>
      <c r="J1092" s="4" t="s">
        <v>4335</v>
      </c>
      <c r="L1092" t="s">
        <v>2624</v>
      </c>
      <c r="M1092" t="s">
        <v>15963</v>
      </c>
      <c r="N1092" t="s">
        <v>3533</v>
      </c>
      <c r="O1092" t="s">
        <v>3533</v>
      </c>
      <c r="P1092" t="s">
        <v>3705</v>
      </c>
      <c r="Q1092" t="s">
        <v>3705</v>
      </c>
      <c r="R1092" t="s">
        <v>3533</v>
      </c>
      <c r="S1092" t="s">
        <v>3449</v>
      </c>
    </row>
    <row r="1093" spans="1:19" x14ac:dyDescent="0.2">
      <c r="A1093" t="s">
        <v>13780</v>
      </c>
      <c r="B1093" t="s">
        <v>14359</v>
      </c>
      <c r="C1093" t="s">
        <v>19890</v>
      </c>
      <c r="D1093" t="str">
        <f>_xlfn.XLOOKUP(E1093,pathways!$A$2:$A$31,pathways!$B$2:$B$31)</f>
        <v>Nucleotide metabolism</v>
      </c>
      <c r="E1093" t="s">
        <v>3533</v>
      </c>
      <c r="F1093" t="s">
        <v>3705</v>
      </c>
      <c r="G1093" t="s">
        <v>14360</v>
      </c>
      <c r="H1093" t="s">
        <v>14360</v>
      </c>
      <c r="I1093" t="s">
        <v>4350</v>
      </c>
      <c r="J1093" s="4" t="s">
        <v>4350</v>
      </c>
      <c r="L1093" t="s">
        <v>14360</v>
      </c>
      <c r="M1093" t="s">
        <v>14360</v>
      </c>
      <c r="N1093" t="s">
        <v>3533</v>
      </c>
      <c r="O1093" t="s">
        <v>3533</v>
      </c>
      <c r="P1093" t="s">
        <v>3705</v>
      </c>
      <c r="Q1093" t="s">
        <v>3705</v>
      </c>
      <c r="R1093" t="s">
        <v>14360</v>
      </c>
      <c r="S1093" t="s">
        <v>3620</v>
      </c>
    </row>
    <row r="1094" spans="1:19" x14ac:dyDescent="0.2">
      <c r="A1094" t="s">
        <v>2393</v>
      </c>
      <c r="B1094" t="s">
        <v>14359</v>
      </c>
      <c r="C1094" t="s">
        <v>19634</v>
      </c>
      <c r="D1094" t="str">
        <f>_xlfn.XLOOKUP(E1094,pathways!$A$2:$A$31,pathways!$B$2:$B$31)</f>
        <v>Nucleotide metabolism</v>
      </c>
      <c r="E1094" t="s">
        <v>3533</v>
      </c>
      <c r="F1094" t="s">
        <v>3543</v>
      </c>
      <c r="G1094" t="s">
        <v>14360</v>
      </c>
      <c r="H1094" t="s">
        <v>14360</v>
      </c>
      <c r="I1094" t="s">
        <v>4752</v>
      </c>
      <c r="J1094" s="4" t="s">
        <v>4752</v>
      </c>
      <c r="L1094" t="s">
        <v>2392</v>
      </c>
      <c r="M1094" t="s">
        <v>15693</v>
      </c>
      <c r="N1094" t="s">
        <v>3533</v>
      </c>
      <c r="O1094" t="s">
        <v>3533</v>
      </c>
      <c r="P1094" t="s">
        <v>3543</v>
      </c>
      <c r="Q1094" t="s">
        <v>3543</v>
      </c>
      <c r="R1094" t="s">
        <v>3533</v>
      </c>
      <c r="S1094" t="s">
        <v>3543</v>
      </c>
    </row>
    <row r="1095" spans="1:19" x14ac:dyDescent="0.2">
      <c r="A1095" t="s">
        <v>2571</v>
      </c>
      <c r="B1095" t="s">
        <v>14359</v>
      </c>
      <c r="C1095" t="s">
        <v>19699</v>
      </c>
      <c r="D1095" t="str">
        <f>_xlfn.XLOOKUP(E1095,pathways!$A$2:$A$31,pathways!$B$2:$B$31)</f>
        <v>Nucleotide metabolism</v>
      </c>
      <c r="E1095" t="s">
        <v>3533</v>
      </c>
      <c r="F1095" t="s">
        <v>3705</v>
      </c>
      <c r="G1095" t="s">
        <v>4193</v>
      </c>
      <c r="H1095" t="s">
        <v>14360</v>
      </c>
      <c r="I1095" t="s">
        <v>4193</v>
      </c>
      <c r="J1095" s="4" t="s">
        <v>4193</v>
      </c>
      <c r="L1095" t="s">
        <v>2570</v>
      </c>
      <c r="M1095" t="s">
        <v>15893</v>
      </c>
      <c r="N1095" t="s">
        <v>3533</v>
      </c>
      <c r="O1095" t="s">
        <v>3533</v>
      </c>
      <c r="P1095" t="s">
        <v>3705</v>
      </c>
      <c r="Q1095" t="s">
        <v>3705</v>
      </c>
      <c r="R1095" t="s">
        <v>3533</v>
      </c>
      <c r="S1095" t="s">
        <v>3586</v>
      </c>
    </row>
    <row r="1096" spans="1:19" x14ac:dyDescent="0.2">
      <c r="A1096" t="s">
        <v>2351</v>
      </c>
      <c r="B1096" t="s">
        <v>14359</v>
      </c>
      <c r="C1096" t="s">
        <v>19620</v>
      </c>
      <c r="D1096" t="str">
        <f>_xlfn.XLOOKUP(E1096,pathways!$A$2:$A$31,pathways!$B$2:$B$31)</f>
        <v>Nucleotide metabolism</v>
      </c>
      <c r="E1096" t="s">
        <v>3533</v>
      </c>
      <c r="F1096" t="s">
        <v>3543</v>
      </c>
      <c r="G1096" t="s">
        <v>14360</v>
      </c>
      <c r="H1096" t="s">
        <v>14360</v>
      </c>
      <c r="I1096" t="s">
        <v>4538</v>
      </c>
      <c r="J1096" s="4" t="s">
        <v>4538</v>
      </c>
      <c r="L1096" t="s">
        <v>2350</v>
      </c>
      <c r="M1096" t="s">
        <v>15649</v>
      </c>
      <c r="N1096" t="s">
        <v>3533</v>
      </c>
      <c r="O1096" t="s">
        <v>3533</v>
      </c>
      <c r="P1096" t="s">
        <v>3543</v>
      </c>
      <c r="Q1096" t="s">
        <v>3543</v>
      </c>
      <c r="R1096" t="s">
        <v>3533</v>
      </c>
      <c r="S1096" t="s">
        <v>3586</v>
      </c>
    </row>
    <row r="1097" spans="1:19" x14ac:dyDescent="0.2">
      <c r="A1097" t="s">
        <v>14257</v>
      </c>
      <c r="B1097" t="s">
        <v>14359</v>
      </c>
      <c r="C1097" t="s">
        <v>19881</v>
      </c>
      <c r="D1097" t="str">
        <f>_xlfn.XLOOKUP(E1097,pathways!$A$2:$A$31,pathways!$B$2:$B$31)</f>
        <v>Nucleotide metabolism</v>
      </c>
      <c r="E1097" t="s">
        <v>3533</v>
      </c>
      <c r="F1097" t="s">
        <v>3543</v>
      </c>
      <c r="G1097" t="s">
        <v>14360</v>
      </c>
      <c r="H1097" t="s">
        <v>14360</v>
      </c>
      <c r="I1097" t="s">
        <v>14360</v>
      </c>
      <c r="J1097" s="4" t="s">
        <v>12572</v>
      </c>
      <c r="L1097" t="s">
        <v>14360</v>
      </c>
      <c r="M1097" t="s">
        <v>14360</v>
      </c>
      <c r="N1097" t="s">
        <v>14360</v>
      </c>
      <c r="O1097" t="s">
        <v>3533</v>
      </c>
      <c r="P1097" t="s">
        <v>14360</v>
      </c>
      <c r="Q1097" t="s">
        <v>3543</v>
      </c>
      <c r="R1097" t="s">
        <v>14360</v>
      </c>
      <c r="S1097" t="s">
        <v>4656</v>
      </c>
    </row>
    <row r="1098" spans="1:19" x14ac:dyDescent="0.2">
      <c r="A1098" t="s">
        <v>19094</v>
      </c>
      <c r="B1098" t="s">
        <v>14359</v>
      </c>
      <c r="C1098" t="s">
        <v>20198</v>
      </c>
      <c r="D1098" t="str">
        <f>_xlfn.XLOOKUP(E1098,pathways!$A$2:$A$31,pathways!$B$2:$B$31)</f>
        <v>Nucleotide metabolism</v>
      </c>
      <c r="E1098" t="s">
        <v>3533</v>
      </c>
      <c r="F1098" t="s">
        <v>20199</v>
      </c>
      <c r="G1098" t="s">
        <v>14360</v>
      </c>
      <c r="H1098" t="s">
        <v>14360</v>
      </c>
      <c r="J1098" t="s">
        <v>20198</v>
      </c>
      <c r="S1098" t="s">
        <v>3661</v>
      </c>
    </row>
    <row r="1099" spans="1:19" x14ac:dyDescent="0.2">
      <c r="A1099" t="s">
        <v>20156</v>
      </c>
      <c r="B1099" t="s">
        <v>14359</v>
      </c>
      <c r="C1099" t="s">
        <v>20208</v>
      </c>
      <c r="D1099" t="str">
        <f>_xlfn.XLOOKUP(E1099,pathways!$A$2:$A$31,pathways!$B$2:$B$31)</f>
        <v>Nucleotide metabolism</v>
      </c>
      <c r="E1099" t="s">
        <v>3533</v>
      </c>
      <c r="G1099" t="s">
        <v>14360</v>
      </c>
      <c r="H1099" t="s">
        <v>14360</v>
      </c>
      <c r="J1099" t="s">
        <v>20208</v>
      </c>
      <c r="S1099" t="s">
        <v>4356</v>
      </c>
    </row>
    <row r="1100" spans="1:19" x14ac:dyDescent="0.2">
      <c r="A1100" t="s">
        <v>655</v>
      </c>
      <c r="B1100" t="s">
        <v>14358</v>
      </c>
      <c r="C1100" t="s">
        <v>19766</v>
      </c>
      <c r="D1100" t="str">
        <f>_xlfn.XLOOKUP(E1100,pathways!$A$2:$A$31,pathways!$B$2:$B$31)</f>
        <v>Lipid metabolism</v>
      </c>
      <c r="E1100" t="s">
        <v>656</v>
      </c>
      <c r="F1100" t="s">
        <v>656</v>
      </c>
      <c r="G1100" t="s">
        <v>14360</v>
      </c>
      <c r="H1100" t="s">
        <v>653</v>
      </c>
      <c r="I1100" t="s">
        <v>10669</v>
      </c>
      <c r="J1100" s="4" t="s">
        <v>653</v>
      </c>
      <c r="K1100" t="s">
        <v>653</v>
      </c>
      <c r="L1100" t="s">
        <v>654</v>
      </c>
      <c r="M1100" t="s">
        <v>16973</v>
      </c>
      <c r="N1100" t="s">
        <v>656</v>
      </c>
      <c r="O1100" t="s">
        <v>656</v>
      </c>
      <c r="P1100" t="s">
        <v>656</v>
      </c>
      <c r="S1100" t="s">
        <v>3586</v>
      </c>
    </row>
    <row r="1101" spans="1:19" x14ac:dyDescent="0.2">
      <c r="A1101" t="s">
        <v>816</v>
      </c>
      <c r="B1101" t="s">
        <v>14358</v>
      </c>
      <c r="C1101" t="s">
        <v>814</v>
      </c>
      <c r="D1101" t="str">
        <f>_xlfn.XLOOKUP(E1101,pathways!$A$2:$A$31,pathways!$B$2:$B$31)</f>
        <v>Lipid metabolism</v>
      </c>
      <c r="E1101" t="s">
        <v>656</v>
      </c>
      <c r="F1101" t="s">
        <v>656</v>
      </c>
      <c r="G1101" t="s">
        <v>14360</v>
      </c>
      <c r="H1101" t="s">
        <v>814</v>
      </c>
      <c r="I1101" t="s">
        <v>814</v>
      </c>
      <c r="J1101" s="4" t="s">
        <v>814</v>
      </c>
      <c r="K1101" t="s">
        <v>814</v>
      </c>
      <c r="L1101" t="s">
        <v>815</v>
      </c>
      <c r="M1101" t="s">
        <v>17019</v>
      </c>
      <c r="N1101" t="s">
        <v>656</v>
      </c>
      <c r="O1101" t="s">
        <v>656</v>
      </c>
      <c r="P1101" t="s">
        <v>656</v>
      </c>
      <c r="S1101" t="s">
        <v>3620</v>
      </c>
    </row>
    <row r="1102" spans="1:19" x14ac:dyDescent="0.2">
      <c r="A1102" t="s">
        <v>829</v>
      </c>
      <c r="B1102" t="s">
        <v>14358</v>
      </c>
      <c r="C1102" t="s">
        <v>830</v>
      </c>
      <c r="D1102" t="str">
        <f>_xlfn.XLOOKUP(E1102,pathways!$A$2:$A$31,pathways!$B$2:$B$31)</f>
        <v>Lipid metabolism</v>
      </c>
      <c r="E1102" t="s">
        <v>656</v>
      </c>
      <c r="F1102" t="s">
        <v>656</v>
      </c>
      <c r="G1102" t="s">
        <v>14360</v>
      </c>
      <c r="H1102" t="s">
        <v>830</v>
      </c>
      <c r="I1102" t="s">
        <v>10666</v>
      </c>
      <c r="J1102" s="4" t="s">
        <v>830</v>
      </c>
      <c r="K1102" t="s">
        <v>827</v>
      </c>
      <c r="L1102" t="s">
        <v>828</v>
      </c>
      <c r="M1102" t="s">
        <v>17038</v>
      </c>
      <c r="N1102" t="s">
        <v>656</v>
      </c>
      <c r="O1102" t="s">
        <v>656</v>
      </c>
      <c r="P1102" t="s">
        <v>656</v>
      </c>
      <c r="S1102" t="s">
        <v>14360</v>
      </c>
    </row>
    <row r="1103" spans="1:19" x14ac:dyDescent="0.2">
      <c r="A1103" t="s">
        <v>660</v>
      </c>
      <c r="B1103" t="s">
        <v>14358</v>
      </c>
      <c r="C1103" t="s">
        <v>11263</v>
      </c>
      <c r="D1103" t="str">
        <f>_xlfn.XLOOKUP(E1103,pathways!$A$2:$A$31,pathways!$B$2:$B$31)</f>
        <v>Lipid metabolism</v>
      </c>
      <c r="E1103" t="s">
        <v>656</v>
      </c>
      <c r="F1103" t="s">
        <v>656</v>
      </c>
      <c r="G1103" t="s">
        <v>14360</v>
      </c>
      <c r="H1103" t="s">
        <v>658</v>
      </c>
      <c r="I1103" t="s">
        <v>10660</v>
      </c>
      <c r="J1103" s="4" t="s">
        <v>658</v>
      </c>
      <c r="K1103" t="s">
        <v>658</v>
      </c>
      <c r="L1103" t="s">
        <v>659</v>
      </c>
      <c r="M1103" t="s">
        <v>17040</v>
      </c>
      <c r="N1103" t="s">
        <v>656</v>
      </c>
      <c r="O1103" t="s">
        <v>656</v>
      </c>
      <c r="P1103" t="s">
        <v>656</v>
      </c>
      <c r="S1103" t="s">
        <v>3586</v>
      </c>
    </row>
    <row r="1104" spans="1:19" x14ac:dyDescent="0.2">
      <c r="A1104" t="s">
        <v>14105</v>
      </c>
      <c r="B1104" t="s">
        <v>14359</v>
      </c>
      <c r="C1104" t="s">
        <v>19615</v>
      </c>
      <c r="D1104" t="str">
        <f>_xlfn.XLOOKUP(E1104,pathways!$A$2:$A$31,pathways!$B$2:$B$31)</f>
        <v>Xenobiotics/other</v>
      </c>
      <c r="E1104" t="s">
        <v>6580</v>
      </c>
      <c r="F1104" t="s">
        <v>6580</v>
      </c>
      <c r="G1104" t="s">
        <v>14360</v>
      </c>
      <c r="H1104" t="s">
        <v>14360</v>
      </c>
      <c r="I1104" t="s">
        <v>10236</v>
      </c>
      <c r="J1104" s="4" t="s">
        <v>14360</v>
      </c>
      <c r="L1104" t="s">
        <v>2335</v>
      </c>
      <c r="M1104" t="s">
        <v>15635</v>
      </c>
      <c r="N1104" t="s">
        <v>6580</v>
      </c>
      <c r="O1104" t="s">
        <v>14360</v>
      </c>
      <c r="P1104" t="s">
        <v>6580</v>
      </c>
      <c r="Q1104" t="s">
        <v>14360</v>
      </c>
      <c r="R1104" t="s">
        <v>6580</v>
      </c>
      <c r="S1104" t="s">
        <v>14360</v>
      </c>
    </row>
    <row r="1105" spans="1:19" x14ac:dyDescent="0.2">
      <c r="A1105" t="s">
        <v>14106</v>
      </c>
      <c r="B1105" t="s">
        <v>14359</v>
      </c>
      <c r="C1105" t="s">
        <v>19614</v>
      </c>
      <c r="D1105" t="str">
        <f>_xlfn.XLOOKUP(E1105,pathways!$A$2:$A$31,pathways!$B$2:$B$31)</f>
        <v>Xenobiotics/other</v>
      </c>
      <c r="E1105" t="s">
        <v>6580</v>
      </c>
      <c r="F1105" t="s">
        <v>6580</v>
      </c>
      <c r="G1105" t="s">
        <v>14360</v>
      </c>
      <c r="H1105" t="s">
        <v>14360</v>
      </c>
      <c r="I1105" t="s">
        <v>10237</v>
      </c>
      <c r="J1105" s="4" t="s">
        <v>14360</v>
      </c>
      <c r="L1105" t="s">
        <v>2332</v>
      </c>
      <c r="M1105" t="s">
        <v>15632</v>
      </c>
      <c r="N1105" t="s">
        <v>6580</v>
      </c>
      <c r="O1105" t="s">
        <v>14360</v>
      </c>
      <c r="P1105" t="s">
        <v>6580</v>
      </c>
      <c r="Q1105" t="s">
        <v>14360</v>
      </c>
      <c r="R1105" t="s">
        <v>6580</v>
      </c>
      <c r="S1105" t="s">
        <v>3586</v>
      </c>
    </row>
    <row r="1106" spans="1:19" x14ac:dyDescent="0.2">
      <c r="A1106" t="s">
        <v>14113</v>
      </c>
      <c r="B1106" t="s">
        <v>14359</v>
      </c>
      <c r="C1106" t="s">
        <v>19612</v>
      </c>
      <c r="D1106" t="str">
        <f>_xlfn.XLOOKUP(E1106,pathways!$A$2:$A$31,pathways!$B$2:$B$31)</f>
        <v>Xenobiotics/other</v>
      </c>
      <c r="E1106" t="s">
        <v>6580</v>
      </c>
      <c r="F1106" t="s">
        <v>6580</v>
      </c>
      <c r="G1106" t="s">
        <v>14360</v>
      </c>
      <c r="H1106" t="s">
        <v>14360</v>
      </c>
      <c r="I1106" t="s">
        <v>10246</v>
      </c>
      <c r="J1106" s="4" t="s">
        <v>14360</v>
      </c>
      <c r="L1106" t="s">
        <v>2326</v>
      </c>
      <c r="M1106" t="s">
        <v>15627</v>
      </c>
      <c r="N1106" t="s">
        <v>6580</v>
      </c>
      <c r="O1106" t="s">
        <v>14360</v>
      </c>
      <c r="P1106" t="s">
        <v>6580</v>
      </c>
      <c r="Q1106" t="s">
        <v>14360</v>
      </c>
      <c r="R1106" t="s">
        <v>6580</v>
      </c>
      <c r="S1106" t="s">
        <v>3586</v>
      </c>
    </row>
    <row r="1107" spans="1:19" x14ac:dyDescent="0.2">
      <c r="A1107" t="s">
        <v>14114</v>
      </c>
      <c r="B1107" t="s">
        <v>14359</v>
      </c>
      <c r="C1107" t="s">
        <v>19608</v>
      </c>
      <c r="D1107" t="str">
        <f>_xlfn.XLOOKUP(E1107,pathways!$A$2:$A$31,pathways!$B$2:$B$31)</f>
        <v>Xenobiotics/other</v>
      </c>
      <c r="E1107" t="s">
        <v>6580</v>
      </c>
      <c r="F1107" t="s">
        <v>6580</v>
      </c>
      <c r="G1107" t="s">
        <v>14360</v>
      </c>
      <c r="H1107" t="s">
        <v>14360</v>
      </c>
      <c r="I1107" t="s">
        <v>10247</v>
      </c>
      <c r="J1107" s="4" t="s">
        <v>14360</v>
      </c>
      <c r="L1107" t="s">
        <v>2316</v>
      </c>
      <c r="M1107" t="s">
        <v>15619</v>
      </c>
      <c r="N1107" t="s">
        <v>6580</v>
      </c>
      <c r="O1107" t="s">
        <v>14360</v>
      </c>
      <c r="P1107" t="s">
        <v>6580</v>
      </c>
      <c r="Q1107" t="s">
        <v>14360</v>
      </c>
      <c r="R1107" t="s">
        <v>6580</v>
      </c>
      <c r="S1107" t="s">
        <v>14360</v>
      </c>
    </row>
    <row r="1108" spans="1:19" x14ac:dyDescent="0.2">
      <c r="A1108" t="s">
        <v>14107</v>
      </c>
      <c r="B1108" t="s">
        <v>14359</v>
      </c>
      <c r="C1108" t="s">
        <v>19754</v>
      </c>
      <c r="D1108" t="str">
        <f>_xlfn.XLOOKUP(E1108,pathways!$A$2:$A$31,pathways!$B$2:$B$31)</f>
        <v>Xenobiotics/other</v>
      </c>
      <c r="E1108" t="s">
        <v>6580</v>
      </c>
      <c r="F1108" t="s">
        <v>6580</v>
      </c>
      <c r="G1108" t="s">
        <v>14360</v>
      </c>
      <c r="H1108" t="s">
        <v>14360</v>
      </c>
      <c r="I1108" t="s">
        <v>10238</v>
      </c>
      <c r="J1108" s="4" t="s">
        <v>14360</v>
      </c>
      <c r="L1108" t="s">
        <v>3093</v>
      </c>
      <c r="M1108" t="s">
        <v>16451</v>
      </c>
      <c r="N1108" t="s">
        <v>6580</v>
      </c>
      <c r="O1108" t="s">
        <v>14360</v>
      </c>
      <c r="P1108" t="s">
        <v>6580</v>
      </c>
      <c r="Q1108" t="s">
        <v>14360</v>
      </c>
      <c r="R1108" t="s">
        <v>6580</v>
      </c>
      <c r="S1108" t="s">
        <v>14360</v>
      </c>
    </row>
    <row r="1109" spans="1:19" x14ac:dyDescent="0.2">
      <c r="A1109" t="s">
        <v>14108</v>
      </c>
      <c r="B1109" t="s">
        <v>14359</v>
      </c>
      <c r="C1109" t="s">
        <v>19755</v>
      </c>
      <c r="D1109" t="str">
        <f>_xlfn.XLOOKUP(E1109,pathways!$A$2:$A$31,pathways!$B$2:$B$31)</f>
        <v>Xenobiotics/other</v>
      </c>
      <c r="E1109" t="s">
        <v>6580</v>
      </c>
      <c r="F1109" t="s">
        <v>6580</v>
      </c>
      <c r="G1109" t="s">
        <v>14360</v>
      </c>
      <c r="H1109" t="s">
        <v>14360</v>
      </c>
      <c r="I1109" t="s">
        <v>10239</v>
      </c>
      <c r="J1109" s="4" t="s">
        <v>14360</v>
      </c>
      <c r="L1109" t="s">
        <v>3094</v>
      </c>
      <c r="M1109" t="s">
        <v>16452</v>
      </c>
      <c r="N1109" t="s">
        <v>6580</v>
      </c>
      <c r="O1109" t="s">
        <v>14360</v>
      </c>
      <c r="P1109" t="s">
        <v>6580</v>
      </c>
      <c r="Q1109" t="s">
        <v>14360</v>
      </c>
      <c r="R1109" t="s">
        <v>6580</v>
      </c>
      <c r="S1109" t="s">
        <v>14360</v>
      </c>
    </row>
    <row r="1110" spans="1:19" x14ac:dyDescent="0.2">
      <c r="A1110" t="s">
        <v>14109</v>
      </c>
      <c r="B1110" t="s">
        <v>14359</v>
      </c>
      <c r="C1110" t="s">
        <v>19756</v>
      </c>
      <c r="D1110" t="str">
        <f>_xlfn.XLOOKUP(E1110,pathways!$A$2:$A$31,pathways!$B$2:$B$31)</f>
        <v>Xenobiotics/other</v>
      </c>
      <c r="E1110" t="s">
        <v>6580</v>
      </c>
      <c r="F1110" t="s">
        <v>6580</v>
      </c>
      <c r="G1110" t="s">
        <v>14360</v>
      </c>
      <c r="H1110" t="s">
        <v>14360</v>
      </c>
      <c r="I1110" t="s">
        <v>10240</v>
      </c>
      <c r="J1110" s="4" t="s">
        <v>14360</v>
      </c>
      <c r="L1110" t="s">
        <v>3095</v>
      </c>
      <c r="M1110" t="s">
        <v>16453</v>
      </c>
      <c r="N1110" t="s">
        <v>6580</v>
      </c>
      <c r="O1110" t="s">
        <v>14360</v>
      </c>
      <c r="P1110" t="s">
        <v>6580</v>
      </c>
      <c r="Q1110" t="s">
        <v>14360</v>
      </c>
      <c r="R1110" t="s">
        <v>6580</v>
      </c>
      <c r="S1110" t="s">
        <v>14360</v>
      </c>
    </row>
    <row r="1111" spans="1:19" x14ac:dyDescent="0.2">
      <c r="A1111" t="s">
        <v>14110</v>
      </c>
      <c r="B1111" t="s">
        <v>14359</v>
      </c>
      <c r="C1111" t="s">
        <v>19611</v>
      </c>
      <c r="D1111" t="str">
        <f>_xlfn.XLOOKUP(E1111,pathways!$A$2:$A$31,pathways!$B$2:$B$31)</f>
        <v>Xenobiotics/other</v>
      </c>
      <c r="E1111" t="s">
        <v>6580</v>
      </c>
      <c r="F1111" t="s">
        <v>6580</v>
      </c>
      <c r="G1111" t="s">
        <v>14360</v>
      </c>
      <c r="H1111" t="s">
        <v>14360</v>
      </c>
      <c r="I1111" t="s">
        <v>10241</v>
      </c>
      <c r="J1111" s="4" t="s">
        <v>14360</v>
      </c>
      <c r="L1111" t="s">
        <v>2323</v>
      </c>
      <c r="M1111" t="s">
        <v>15624</v>
      </c>
      <c r="N1111" t="s">
        <v>6580</v>
      </c>
      <c r="O1111" t="s">
        <v>14360</v>
      </c>
      <c r="P1111" t="s">
        <v>6580</v>
      </c>
      <c r="Q1111" t="s">
        <v>14360</v>
      </c>
      <c r="R1111" t="s">
        <v>6580</v>
      </c>
      <c r="S1111" t="s">
        <v>6535</v>
      </c>
    </row>
    <row r="1112" spans="1:19" x14ac:dyDescent="0.2">
      <c r="A1112" t="s">
        <v>14111</v>
      </c>
      <c r="B1112" t="s">
        <v>14359</v>
      </c>
      <c r="C1112" t="s">
        <v>19607</v>
      </c>
      <c r="D1112" t="str">
        <f>_xlfn.XLOOKUP(E1112,pathways!$A$2:$A$31,pathways!$B$2:$B$31)</f>
        <v>Xenobiotics/other</v>
      </c>
      <c r="E1112" t="s">
        <v>6580</v>
      </c>
      <c r="F1112" t="s">
        <v>6580</v>
      </c>
      <c r="G1112" t="s">
        <v>14360</v>
      </c>
      <c r="H1112" t="s">
        <v>14360</v>
      </c>
      <c r="I1112" t="s">
        <v>10242</v>
      </c>
      <c r="J1112" s="4" t="s">
        <v>14360</v>
      </c>
      <c r="L1112" t="s">
        <v>2315</v>
      </c>
      <c r="M1112" t="s">
        <v>15617</v>
      </c>
      <c r="N1112" t="s">
        <v>6580</v>
      </c>
      <c r="O1112" t="s">
        <v>14360</v>
      </c>
      <c r="P1112" t="s">
        <v>6580</v>
      </c>
      <c r="Q1112" t="s">
        <v>14360</v>
      </c>
      <c r="R1112" t="s">
        <v>6580</v>
      </c>
      <c r="S1112" t="s">
        <v>3449</v>
      </c>
    </row>
    <row r="1113" spans="1:19" x14ac:dyDescent="0.2">
      <c r="A1113" t="s">
        <v>2295</v>
      </c>
      <c r="B1113" t="s">
        <v>14359</v>
      </c>
      <c r="C1113" t="s">
        <v>19600</v>
      </c>
      <c r="D1113" t="str">
        <f>_xlfn.XLOOKUP(E1113,pathways!$A$2:$A$31,pathways!$B$2:$B$31)</f>
        <v>Xenobiotics/other</v>
      </c>
      <c r="E1113" t="s">
        <v>6580</v>
      </c>
      <c r="F1113" t="s">
        <v>6580</v>
      </c>
      <c r="G1113" t="s">
        <v>14360</v>
      </c>
      <c r="H1113" t="s">
        <v>14360</v>
      </c>
      <c r="I1113" t="s">
        <v>10169</v>
      </c>
      <c r="J1113" s="4" t="s">
        <v>14360</v>
      </c>
      <c r="L1113" t="s">
        <v>2294</v>
      </c>
      <c r="M1113" t="s">
        <v>15592</v>
      </c>
      <c r="N1113" t="s">
        <v>6580</v>
      </c>
      <c r="O1113" t="s">
        <v>14360</v>
      </c>
      <c r="P1113" t="s">
        <v>6580</v>
      </c>
      <c r="Q1113" t="s">
        <v>14360</v>
      </c>
      <c r="R1113" t="s">
        <v>6580</v>
      </c>
      <c r="S1113" t="s">
        <v>3560</v>
      </c>
    </row>
    <row r="1114" spans="1:19" x14ac:dyDescent="0.2">
      <c r="A1114" t="s">
        <v>14091</v>
      </c>
      <c r="B1114" t="s">
        <v>14359</v>
      </c>
      <c r="C1114" t="s">
        <v>19598</v>
      </c>
      <c r="D1114" t="str">
        <f>_xlfn.XLOOKUP(E1114,pathways!$A$2:$A$31,pathways!$B$2:$B$31)</f>
        <v>Xenobiotics/other</v>
      </c>
      <c r="E1114" t="s">
        <v>6580</v>
      </c>
      <c r="F1114" t="s">
        <v>6580</v>
      </c>
      <c r="G1114" t="s">
        <v>20453</v>
      </c>
      <c r="H1114" t="s">
        <v>14360</v>
      </c>
      <c r="I1114" t="s">
        <v>10177</v>
      </c>
      <c r="J1114" s="4" t="s">
        <v>14360</v>
      </c>
      <c r="L1114" t="s">
        <v>2290</v>
      </c>
      <c r="M1114" t="s">
        <v>15588</v>
      </c>
      <c r="N1114" t="s">
        <v>6580</v>
      </c>
      <c r="O1114" t="s">
        <v>14360</v>
      </c>
      <c r="P1114" t="s">
        <v>6580</v>
      </c>
      <c r="Q1114" t="s">
        <v>14360</v>
      </c>
      <c r="R1114" t="s">
        <v>6580</v>
      </c>
      <c r="S1114" t="s">
        <v>4017</v>
      </c>
    </row>
    <row r="1115" spans="1:19" x14ac:dyDescent="0.2">
      <c r="A1115" t="s">
        <v>14089</v>
      </c>
      <c r="B1115" t="s">
        <v>14359</v>
      </c>
      <c r="C1115" t="s">
        <v>20100</v>
      </c>
      <c r="D1115" t="str">
        <f>_xlfn.XLOOKUP(E1115,pathways!$A$2:$A$31,pathways!$B$2:$B$31)</f>
        <v>Xenobiotics/other</v>
      </c>
      <c r="E1115" t="s">
        <v>6580</v>
      </c>
      <c r="F1115" t="s">
        <v>6580</v>
      </c>
      <c r="G1115" t="s">
        <v>14360</v>
      </c>
      <c r="H1115" t="s">
        <v>14360</v>
      </c>
      <c r="I1115" t="s">
        <v>10170</v>
      </c>
      <c r="J1115" s="4" t="s">
        <v>14360</v>
      </c>
      <c r="L1115" t="s">
        <v>14360</v>
      </c>
      <c r="M1115" t="s">
        <v>14360</v>
      </c>
      <c r="N1115" t="s">
        <v>6580</v>
      </c>
      <c r="O1115" t="s">
        <v>14360</v>
      </c>
      <c r="P1115" t="s">
        <v>6580</v>
      </c>
      <c r="Q1115" t="s">
        <v>14360</v>
      </c>
      <c r="R1115" t="s">
        <v>14360</v>
      </c>
      <c r="S1115" t="s">
        <v>5535</v>
      </c>
    </row>
    <row r="1116" spans="1:19" x14ac:dyDescent="0.2">
      <c r="A1116" t="s">
        <v>14094</v>
      </c>
      <c r="B1116" t="s">
        <v>14359</v>
      </c>
      <c r="C1116" t="s">
        <v>10185</v>
      </c>
      <c r="D1116" t="str">
        <f>_xlfn.XLOOKUP(E1116,pathways!$A$2:$A$31,pathways!$B$2:$B$31)</f>
        <v>Xenobiotics/other</v>
      </c>
      <c r="E1116" t="s">
        <v>6580</v>
      </c>
      <c r="F1116" t="s">
        <v>6580</v>
      </c>
      <c r="G1116" t="s">
        <v>14360</v>
      </c>
      <c r="H1116" t="s">
        <v>14360</v>
      </c>
      <c r="I1116" t="s">
        <v>10185</v>
      </c>
      <c r="J1116" s="4" t="s">
        <v>14360</v>
      </c>
      <c r="L1116" t="s">
        <v>14360</v>
      </c>
      <c r="M1116" t="s">
        <v>14360</v>
      </c>
      <c r="N1116" t="s">
        <v>6580</v>
      </c>
      <c r="O1116" t="s">
        <v>14360</v>
      </c>
      <c r="P1116" t="s">
        <v>6580</v>
      </c>
      <c r="Q1116" t="s">
        <v>14360</v>
      </c>
      <c r="R1116" t="s">
        <v>14360</v>
      </c>
      <c r="S1116" t="s">
        <v>14360</v>
      </c>
    </row>
    <row r="1117" spans="1:19" x14ac:dyDescent="0.2">
      <c r="A1117" t="s">
        <v>14005</v>
      </c>
      <c r="B1117" t="s">
        <v>14359</v>
      </c>
      <c r="C1117" t="s">
        <v>20113</v>
      </c>
      <c r="D1117" t="str">
        <f>_xlfn.XLOOKUP(E1117,pathways!$A$2:$A$31,pathways!$B$2:$B$31)</f>
        <v>Xenobiotics/other</v>
      </c>
      <c r="E1117" t="s">
        <v>6580</v>
      </c>
      <c r="F1117" t="s">
        <v>6580</v>
      </c>
      <c r="G1117" t="s">
        <v>14360</v>
      </c>
      <c r="H1117" t="s">
        <v>14360</v>
      </c>
      <c r="I1117" t="s">
        <v>9626</v>
      </c>
      <c r="J1117" s="4" t="s">
        <v>14360</v>
      </c>
      <c r="L1117" t="s">
        <v>14360</v>
      </c>
      <c r="M1117" t="s">
        <v>14360</v>
      </c>
      <c r="N1117" t="s">
        <v>6580</v>
      </c>
      <c r="O1117" t="s">
        <v>14360</v>
      </c>
      <c r="P1117" t="s">
        <v>6580</v>
      </c>
      <c r="Q1117" t="s">
        <v>14360</v>
      </c>
      <c r="R1117" t="s">
        <v>14360</v>
      </c>
      <c r="S1117" t="s">
        <v>5082</v>
      </c>
    </row>
    <row r="1118" spans="1:19" x14ac:dyDescent="0.2">
      <c r="A1118" t="s">
        <v>2159</v>
      </c>
      <c r="B1118" t="s">
        <v>14359</v>
      </c>
      <c r="C1118" t="s">
        <v>19557</v>
      </c>
      <c r="D1118" t="str">
        <f>_xlfn.XLOOKUP(E1118,pathways!$A$2:$A$31,pathways!$B$2:$B$31)</f>
        <v>Xenobiotics/other</v>
      </c>
      <c r="E1118" t="s">
        <v>6580</v>
      </c>
      <c r="F1118" t="s">
        <v>6580</v>
      </c>
      <c r="G1118" t="s">
        <v>14360</v>
      </c>
      <c r="H1118" t="s">
        <v>14360</v>
      </c>
      <c r="I1118" t="s">
        <v>9636</v>
      </c>
      <c r="J1118" s="4" t="s">
        <v>9636</v>
      </c>
      <c r="L1118" t="s">
        <v>2158</v>
      </c>
      <c r="M1118" t="s">
        <v>15455</v>
      </c>
      <c r="N1118" t="s">
        <v>6580</v>
      </c>
      <c r="O1118" t="s">
        <v>6580</v>
      </c>
      <c r="P1118" t="s">
        <v>6580</v>
      </c>
      <c r="Q1118" t="s">
        <v>6580</v>
      </c>
      <c r="R1118" t="s">
        <v>6580</v>
      </c>
      <c r="S1118" t="s">
        <v>14360</v>
      </c>
    </row>
    <row r="1119" spans="1:19" x14ac:dyDescent="0.2">
      <c r="A1119" t="s">
        <v>14008</v>
      </c>
      <c r="B1119" t="s">
        <v>14359</v>
      </c>
      <c r="C1119" t="s">
        <v>20114</v>
      </c>
      <c r="D1119" t="str">
        <f>_xlfn.XLOOKUP(E1119,pathways!$A$2:$A$31,pathways!$B$2:$B$31)</f>
        <v>Xenobiotics/other</v>
      </c>
      <c r="E1119" t="s">
        <v>6580</v>
      </c>
      <c r="F1119" t="s">
        <v>6580</v>
      </c>
      <c r="G1119" t="s">
        <v>14360</v>
      </c>
      <c r="H1119" t="s">
        <v>14360</v>
      </c>
      <c r="I1119" t="s">
        <v>9637</v>
      </c>
      <c r="J1119" s="4" t="s">
        <v>14360</v>
      </c>
      <c r="L1119" t="s">
        <v>14360</v>
      </c>
      <c r="M1119" t="s">
        <v>14360</v>
      </c>
      <c r="N1119" t="s">
        <v>6580</v>
      </c>
      <c r="O1119" t="s">
        <v>14360</v>
      </c>
      <c r="P1119" t="s">
        <v>6580</v>
      </c>
      <c r="Q1119" t="s">
        <v>14360</v>
      </c>
      <c r="R1119" t="s">
        <v>14360</v>
      </c>
      <c r="S1119" t="s">
        <v>14360</v>
      </c>
    </row>
    <row r="1120" spans="1:19" x14ac:dyDescent="0.2">
      <c r="A1120" t="s">
        <v>2156</v>
      </c>
      <c r="B1120" t="s">
        <v>14359</v>
      </c>
      <c r="C1120" t="s">
        <v>19555</v>
      </c>
      <c r="D1120" t="str">
        <f>_xlfn.XLOOKUP(E1120,pathways!$A$2:$A$31,pathways!$B$2:$B$31)</f>
        <v>Xenobiotics/other</v>
      </c>
      <c r="E1120" t="s">
        <v>6580</v>
      </c>
      <c r="F1120" t="s">
        <v>6580</v>
      </c>
      <c r="G1120" t="s">
        <v>20455</v>
      </c>
      <c r="H1120" t="s">
        <v>14360</v>
      </c>
      <c r="I1120" t="s">
        <v>9691</v>
      </c>
      <c r="J1120" s="4" t="s">
        <v>14360</v>
      </c>
      <c r="L1120" t="s">
        <v>2155</v>
      </c>
      <c r="M1120" t="s">
        <v>15451</v>
      </c>
      <c r="N1120" t="s">
        <v>6580</v>
      </c>
      <c r="O1120" t="s">
        <v>14360</v>
      </c>
      <c r="P1120" t="s">
        <v>6580</v>
      </c>
      <c r="Q1120" t="s">
        <v>14360</v>
      </c>
      <c r="R1120" t="s">
        <v>6580</v>
      </c>
      <c r="S1120" t="s">
        <v>14360</v>
      </c>
    </row>
    <row r="1121" spans="1:19" x14ac:dyDescent="0.2">
      <c r="A1121" t="s">
        <v>2151</v>
      </c>
      <c r="B1121" t="s">
        <v>14359</v>
      </c>
      <c r="C1121" t="s">
        <v>19552</v>
      </c>
      <c r="D1121" t="str">
        <f>_xlfn.XLOOKUP(E1121,pathways!$A$2:$A$31,pathways!$B$2:$B$31)</f>
        <v>Xenobiotics/other</v>
      </c>
      <c r="E1121" t="s">
        <v>6580</v>
      </c>
      <c r="F1121" t="s">
        <v>6580</v>
      </c>
      <c r="G1121" t="s">
        <v>20456</v>
      </c>
      <c r="H1121" t="s">
        <v>14360</v>
      </c>
      <c r="I1121" t="s">
        <v>9692</v>
      </c>
      <c r="J1121" s="4" t="s">
        <v>14360</v>
      </c>
      <c r="L1121" t="s">
        <v>2150</v>
      </c>
      <c r="M1121" t="s">
        <v>15445</v>
      </c>
      <c r="N1121" t="s">
        <v>6580</v>
      </c>
      <c r="O1121" t="s">
        <v>14360</v>
      </c>
      <c r="P1121" t="s">
        <v>6580</v>
      </c>
      <c r="Q1121" t="s">
        <v>14360</v>
      </c>
      <c r="R1121" t="s">
        <v>6580</v>
      </c>
      <c r="S1121" t="s">
        <v>5632</v>
      </c>
    </row>
    <row r="1122" spans="1:19" x14ac:dyDescent="0.2">
      <c r="A1122" t="s">
        <v>14016</v>
      </c>
      <c r="B1122" t="s">
        <v>14359</v>
      </c>
      <c r="C1122" t="s">
        <v>19546</v>
      </c>
      <c r="D1122" t="str">
        <f>_xlfn.XLOOKUP(E1122,pathways!$A$2:$A$31,pathways!$B$2:$B$31)</f>
        <v>Xenobiotics/other</v>
      </c>
      <c r="E1122" t="s">
        <v>6580</v>
      </c>
      <c r="F1122" t="s">
        <v>6580</v>
      </c>
      <c r="G1122" t="s">
        <v>14360</v>
      </c>
      <c r="H1122" t="s">
        <v>14360</v>
      </c>
      <c r="I1122" t="s">
        <v>9690</v>
      </c>
      <c r="J1122" s="4" t="s">
        <v>14360</v>
      </c>
      <c r="L1122" t="s">
        <v>2140</v>
      </c>
      <c r="M1122" t="s">
        <v>15434</v>
      </c>
      <c r="N1122" t="s">
        <v>6580</v>
      </c>
      <c r="O1122" t="s">
        <v>14360</v>
      </c>
      <c r="P1122" t="s">
        <v>6580</v>
      </c>
      <c r="Q1122" t="s">
        <v>14360</v>
      </c>
      <c r="R1122" t="s">
        <v>6580</v>
      </c>
      <c r="S1122" t="s">
        <v>3873</v>
      </c>
    </row>
    <row r="1123" spans="1:19" x14ac:dyDescent="0.2">
      <c r="A1123" t="s">
        <v>13847</v>
      </c>
      <c r="B1123" t="s">
        <v>14359</v>
      </c>
      <c r="C1123" t="s">
        <v>19276</v>
      </c>
      <c r="D1123" t="str">
        <f>_xlfn.XLOOKUP(E1123,pathways!$A$2:$A$31,pathways!$B$2:$B$31)</f>
        <v>Xenobiotics/other</v>
      </c>
      <c r="E1123" t="s">
        <v>6580</v>
      </c>
      <c r="F1123" t="s">
        <v>6580</v>
      </c>
      <c r="G1123" t="s">
        <v>14360</v>
      </c>
      <c r="H1123" t="s">
        <v>14360</v>
      </c>
      <c r="I1123" t="s">
        <v>6583</v>
      </c>
      <c r="J1123" s="4" t="s">
        <v>12414</v>
      </c>
      <c r="L1123" t="s">
        <v>1402</v>
      </c>
      <c r="M1123" t="s">
        <v>14686</v>
      </c>
      <c r="N1123" t="s">
        <v>6580</v>
      </c>
      <c r="O1123" t="s">
        <v>3436</v>
      </c>
      <c r="P1123" t="s">
        <v>6580</v>
      </c>
      <c r="Q1123" t="s">
        <v>4215</v>
      </c>
      <c r="R1123" t="s">
        <v>6580</v>
      </c>
      <c r="S1123" t="s">
        <v>3873</v>
      </c>
    </row>
    <row r="1124" spans="1:19" x14ac:dyDescent="0.2">
      <c r="A1124" t="s">
        <v>2165</v>
      </c>
      <c r="B1124" t="s">
        <v>14359</v>
      </c>
      <c r="C1124" t="s">
        <v>19561</v>
      </c>
      <c r="D1124" t="str">
        <f>_xlfn.XLOOKUP(E1124,pathways!$A$2:$A$31,pathways!$B$2:$B$31)</f>
        <v>Xenobiotics/other</v>
      </c>
      <c r="E1124" t="s">
        <v>6580</v>
      </c>
      <c r="F1124" t="s">
        <v>6580</v>
      </c>
      <c r="G1124" t="s">
        <v>14360</v>
      </c>
      <c r="H1124" t="s">
        <v>14360</v>
      </c>
      <c r="I1124" t="s">
        <v>9688</v>
      </c>
      <c r="J1124" s="4" t="s">
        <v>14360</v>
      </c>
      <c r="L1124" t="s">
        <v>2164</v>
      </c>
      <c r="M1124" t="s">
        <v>15462</v>
      </c>
      <c r="N1124" t="s">
        <v>6580</v>
      </c>
      <c r="O1124" t="s">
        <v>14360</v>
      </c>
      <c r="P1124" t="s">
        <v>6580</v>
      </c>
      <c r="Q1124" t="s">
        <v>14360</v>
      </c>
      <c r="R1124" t="s">
        <v>6580</v>
      </c>
      <c r="S1124" t="s">
        <v>8397</v>
      </c>
    </row>
    <row r="1125" spans="1:19" x14ac:dyDescent="0.2">
      <c r="A1125" t="s">
        <v>2154</v>
      </c>
      <c r="B1125" t="s">
        <v>14359</v>
      </c>
      <c r="C1125" t="s">
        <v>19554</v>
      </c>
      <c r="D1125" t="str">
        <f>_xlfn.XLOOKUP(E1125,pathways!$A$2:$A$31,pathways!$B$2:$B$31)</f>
        <v>Xenobiotics/other</v>
      </c>
      <c r="E1125" t="s">
        <v>6580</v>
      </c>
      <c r="F1125" t="s">
        <v>6580</v>
      </c>
      <c r="G1125" t="s">
        <v>14360</v>
      </c>
      <c r="H1125" t="s">
        <v>14360</v>
      </c>
      <c r="I1125" t="s">
        <v>9689</v>
      </c>
      <c r="J1125" s="4" t="s">
        <v>9689</v>
      </c>
      <c r="L1125" t="s">
        <v>2153</v>
      </c>
      <c r="M1125" t="s">
        <v>15449</v>
      </c>
      <c r="N1125" t="s">
        <v>6580</v>
      </c>
      <c r="O1125" t="s">
        <v>6580</v>
      </c>
      <c r="P1125" t="s">
        <v>6580</v>
      </c>
      <c r="Q1125" t="s">
        <v>6580</v>
      </c>
      <c r="R1125" t="s">
        <v>6580</v>
      </c>
      <c r="S1125" t="s">
        <v>3873</v>
      </c>
    </row>
    <row r="1126" spans="1:19" x14ac:dyDescent="0.2">
      <c r="A1126" t="s">
        <v>14082</v>
      </c>
      <c r="B1126" t="s">
        <v>14359</v>
      </c>
      <c r="C1126" t="s">
        <v>19604</v>
      </c>
      <c r="D1126" t="str">
        <f>_xlfn.XLOOKUP(E1126,pathways!$A$2:$A$31,pathways!$B$2:$B$31)</f>
        <v>Xenobiotics/other</v>
      </c>
      <c r="E1126" t="s">
        <v>6580</v>
      </c>
      <c r="F1126" t="s">
        <v>6580</v>
      </c>
      <c r="G1126" t="s">
        <v>14360</v>
      </c>
      <c r="H1126" t="s">
        <v>14360</v>
      </c>
      <c r="I1126" t="s">
        <v>10129</v>
      </c>
      <c r="J1126" s="4" t="s">
        <v>14360</v>
      </c>
      <c r="L1126" t="s">
        <v>2303</v>
      </c>
      <c r="M1126" t="s">
        <v>15604</v>
      </c>
      <c r="N1126" t="s">
        <v>6580</v>
      </c>
      <c r="O1126" t="s">
        <v>14360</v>
      </c>
      <c r="P1126" t="s">
        <v>6580</v>
      </c>
      <c r="Q1126" t="s">
        <v>14360</v>
      </c>
      <c r="R1126" t="s">
        <v>6580</v>
      </c>
      <c r="S1126" t="s">
        <v>8397</v>
      </c>
    </row>
    <row r="1127" spans="1:19" x14ac:dyDescent="0.2">
      <c r="A1127" t="s">
        <v>2308</v>
      </c>
      <c r="B1127" t="s">
        <v>14359</v>
      </c>
      <c r="C1127" t="s">
        <v>19605</v>
      </c>
      <c r="D1127" t="str">
        <f>_xlfn.XLOOKUP(E1127,pathways!$A$2:$A$31,pathways!$B$2:$B$31)</f>
        <v>Xenobiotics/other</v>
      </c>
      <c r="E1127" t="s">
        <v>6580</v>
      </c>
      <c r="F1127" t="s">
        <v>6580</v>
      </c>
      <c r="G1127" t="s">
        <v>20454</v>
      </c>
      <c r="H1127" t="s">
        <v>14360</v>
      </c>
      <c r="I1127" t="s">
        <v>10145</v>
      </c>
      <c r="J1127" s="4" t="s">
        <v>14360</v>
      </c>
      <c r="L1127" t="s">
        <v>2307</v>
      </c>
      <c r="M1127" t="s">
        <v>15608</v>
      </c>
      <c r="N1127" t="s">
        <v>6580</v>
      </c>
      <c r="O1127" t="s">
        <v>14360</v>
      </c>
      <c r="P1127" t="s">
        <v>6580</v>
      </c>
      <c r="Q1127" t="s">
        <v>14360</v>
      </c>
      <c r="R1127" t="s">
        <v>6580</v>
      </c>
      <c r="S1127" t="s">
        <v>5535</v>
      </c>
    </row>
    <row r="1128" spans="1:19" x14ac:dyDescent="0.2">
      <c r="A1128" t="s">
        <v>20147</v>
      </c>
      <c r="B1128" t="s">
        <v>14359</v>
      </c>
      <c r="C1128" t="s">
        <v>20238</v>
      </c>
      <c r="D1128" t="str">
        <f>_xlfn.XLOOKUP(E1128,pathways!$A$2:$A$31,pathways!$B$2:$B$31)</f>
        <v>Xenobiotics/other</v>
      </c>
      <c r="E1128" t="s">
        <v>6580</v>
      </c>
      <c r="G1128" t="s">
        <v>14360</v>
      </c>
      <c r="H1128" t="s">
        <v>14360</v>
      </c>
      <c r="J1128" t="s">
        <v>20238</v>
      </c>
      <c r="S1128" t="s">
        <v>4059</v>
      </c>
    </row>
    <row r="1129" spans="1:19" x14ac:dyDescent="0.2">
      <c r="A1129" t="s">
        <v>2024</v>
      </c>
      <c r="B1129" t="s">
        <v>14359</v>
      </c>
      <c r="C1129" t="s">
        <v>9243</v>
      </c>
      <c r="D1129" t="str">
        <f>_xlfn.XLOOKUP(E1129,pathways!$A$2:$A$31,pathways!$B$2:$B$31)</f>
        <v>Amino acid metabolism</v>
      </c>
      <c r="E1129" t="s">
        <v>3853</v>
      </c>
      <c r="F1129" t="s">
        <v>6422</v>
      </c>
      <c r="G1129" t="s">
        <v>9243</v>
      </c>
      <c r="H1129" t="s">
        <v>14360</v>
      </c>
      <c r="I1129" t="s">
        <v>9243</v>
      </c>
      <c r="J1129" s="4" t="s">
        <v>14360</v>
      </c>
      <c r="L1129" t="s">
        <v>2023</v>
      </c>
      <c r="M1129" t="s">
        <v>15327</v>
      </c>
      <c r="N1129" t="s">
        <v>3853</v>
      </c>
      <c r="O1129" t="s">
        <v>14360</v>
      </c>
      <c r="P1129" t="s">
        <v>6422</v>
      </c>
      <c r="Q1129" t="s">
        <v>14360</v>
      </c>
      <c r="R1129" t="s">
        <v>3853</v>
      </c>
      <c r="S1129" t="s">
        <v>4774</v>
      </c>
    </row>
    <row r="1130" spans="1:19" x14ac:dyDescent="0.2">
      <c r="A1130" t="s">
        <v>13829</v>
      </c>
      <c r="B1130" t="s">
        <v>14359</v>
      </c>
      <c r="C1130" t="s">
        <v>19923</v>
      </c>
      <c r="D1130" t="str">
        <f>_xlfn.XLOOKUP(E1130,pathways!$A$2:$A$31,pathways!$B$2:$B$31)</f>
        <v>Amino acid metabolism</v>
      </c>
      <c r="E1130" t="s">
        <v>3853</v>
      </c>
      <c r="F1130" t="s">
        <v>6147</v>
      </c>
      <c r="G1130" t="s">
        <v>14360</v>
      </c>
      <c r="H1130" t="s">
        <v>14360</v>
      </c>
      <c r="I1130" t="s">
        <v>6150</v>
      </c>
      <c r="J1130" s="4" t="s">
        <v>14360</v>
      </c>
      <c r="L1130" t="s">
        <v>14360</v>
      </c>
      <c r="M1130" t="s">
        <v>14360</v>
      </c>
      <c r="N1130" t="s">
        <v>3853</v>
      </c>
      <c r="O1130" t="s">
        <v>14360</v>
      </c>
      <c r="P1130" t="s">
        <v>6147</v>
      </c>
      <c r="Q1130" t="s">
        <v>14360</v>
      </c>
      <c r="R1130" t="s">
        <v>14360</v>
      </c>
      <c r="S1130" t="s">
        <v>14360</v>
      </c>
    </row>
    <row r="1131" spans="1:19" x14ac:dyDescent="0.2">
      <c r="A1131" t="s">
        <v>13865</v>
      </c>
      <c r="B1131" t="s">
        <v>14359</v>
      </c>
      <c r="C1131" t="s">
        <v>19943</v>
      </c>
      <c r="D1131" t="str">
        <f>_xlfn.XLOOKUP(E1131,pathways!$A$2:$A$31,pathways!$B$2:$B$31)</f>
        <v>Amino acid metabolism</v>
      </c>
      <c r="E1131" t="s">
        <v>3853</v>
      </c>
      <c r="F1131" t="s">
        <v>5381</v>
      </c>
      <c r="G1131" t="s">
        <v>14360</v>
      </c>
      <c r="H1131" t="s">
        <v>14360</v>
      </c>
      <c r="I1131" t="s">
        <v>7087</v>
      </c>
      <c r="J1131" s="4" t="s">
        <v>14360</v>
      </c>
      <c r="L1131" t="s">
        <v>14360</v>
      </c>
      <c r="M1131" t="s">
        <v>14360</v>
      </c>
      <c r="N1131" t="s">
        <v>3853</v>
      </c>
      <c r="O1131" t="s">
        <v>14360</v>
      </c>
      <c r="P1131" t="s">
        <v>5381</v>
      </c>
      <c r="Q1131" t="s">
        <v>14360</v>
      </c>
      <c r="R1131" t="s">
        <v>14360</v>
      </c>
      <c r="S1131" t="s">
        <v>7792</v>
      </c>
    </row>
    <row r="1132" spans="1:19" x14ac:dyDescent="0.2">
      <c r="A1132" t="s">
        <v>14052</v>
      </c>
      <c r="B1132" t="s">
        <v>14359</v>
      </c>
      <c r="C1132" t="s">
        <v>20102</v>
      </c>
      <c r="D1132" t="str">
        <f>_xlfn.XLOOKUP(E1132,pathways!$A$2:$A$31,pathways!$B$2:$B$31)</f>
        <v>Amino acid metabolism</v>
      </c>
      <c r="E1132" t="s">
        <v>3853</v>
      </c>
      <c r="F1132" t="s">
        <v>6236</v>
      </c>
      <c r="G1132" t="s">
        <v>14360</v>
      </c>
      <c r="H1132" t="s">
        <v>14360</v>
      </c>
      <c r="I1132" t="s">
        <v>9966</v>
      </c>
      <c r="J1132" s="4" t="s">
        <v>14360</v>
      </c>
      <c r="L1132" t="s">
        <v>14360</v>
      </c>
      <c r="M1132" t="s">
        <v>14360</v>
      </c>
      <c r="N1132" t="s">
        <v>3853</v>
      </c>
      <c r="O1132" t="s">
        <v>14360</v>
      </c>
      <c r="P1132" t="s">
        <v>6236</v>
      </c>
      <c r="Q1132" t="s">
        <v>14360</v>
      </c>
      <c r="R1132" t="s">
        <v>14360</v>
      </c>
      <c r="S1132" t="s">
        <v>14360</v>
      </c>
    </row>
    <row r="1133" spans="1:19" x14ac:dyDescent="0.2">
      <c r="A1133" t="s">
        <v>14051</v>
      </c>
      <c r="B1133" t="s">
        <v>14359</v>
      </c>
      <c r="C1133" t="s">
        <v>20103</v>
      </c>
      <c r="D1133" t="str">
        <f>_xlfn.XLOOKUP(E1133,pathways!$A$2:$A$31,pathways!$B$2:$B$31)</f>
        <v>Amino acid metabolism</v>
      </c>
      <c r="E1133" t="s">
        <v>3853</v>
      </c>
      <c r="F1133" t="s">
        <v>6236</v>
      </c>
      <c r="G1133" t="s">
        <v>14360</v>
      </c>
      <c r="H1133" t="s">
        <v>14360</v>
      </c>
      <c r="I1133" t="s">
        <v>9962</v>
      </c>
      <c r="J1133" s="4" t="s">
        <v>14360</v>
      </c>
      <c r="L1133" t="s">
        <v>14360</v>
      </c>
      <c r="M1133" t="s">
        <v>14360</v>
      </c>
      <c r="N1133" t="s">
        <v>3853</v>
      </c>
      <c r="O1133" t="s">
        <v>14360</v>
      </c>
      <c r="P1133" t="s">
        <v>6236</v>
      </c>
      <c r="Q1133" t="s">
        <v>14360</v>
      </c>
      <c r="R1133" t="s">
        <v>14360</v>
      </c>
      <c r="S1133" t="s">
        <v>6535</v>
      </c>
    </row>
    <row r="1134" spans="1:19" x14ac:dyDescent="0.2">
      <c r="A1134" t="s">
        <v>14053</v>
      </c>
      <c r="B1134" t="s">
        <v>14359</v>
      </c>
      <c r="C1134" t="s">
        <v>20104</v>
      </c>
      <c r="D1134" t="str">
        <f>_xlfn.XLOOKUP(E1134,pathways!$A$2:$A$31,pathways!$B$2:$B$31)</f>
        <v>Amino acid metabolism</v>
      </c>
      <c r="E1134" t="s">
        <v>3853</v>
      </c>
      <c r="F1134" t="s">
        <v>6236</v>
      </c>
      <c r="G1134" t="s">
        <v>14360</v>
      </c>
      <c r="H1134" t="s">
        <v>14360</v>
      </c>
      <c r="I1134" t="s">
        <v>9969</v>
      </c>
      <c r="J1134" s="4" t="s">
        <v>14360</v>
      </c>
      <c r="L1134" t="s">
        <v>14360</v>
      </c>
      <c r="M1134" t="s">
        <v>14360</v>
      </c>
      <c r="N1134" t="s">
        <v>3853</v>
      </c>
      <c r="O1134" t="s">
        <v>14360</v>
      </c>
      <c r="P1134" t="s">
        <v>6236</v>
      </c>
      <c r="Q1134" t="s">
        <v>14360</v>
      </c>
      <c r="R1134" t="s">
        <v>14360</v>
      </c>
      <c r="S1134" t="s">
        <v>9134</v>
      </c>
    </row>
    <row r="1135" spans="1:19" x14ac:dyDescent="0.2">
      <c r="A1135" t="s">
        <v>14054</v>
      </c>
      <c r="B1135" t="s">
        <v>14359</v>
      </c>
      <c r="C1135" t="s">
        <v>20105</v>
      </c>
      <c r="D1135" t="str">
        <f>_xlfn.XLOOKUP(E1135,pathways!$A$2:$A$31,pathways!$B$2:$B$31)</f>
        <v>Amino acid metabolism</v>
      </c>
      <c r="E1135" t="s">
        <v>3853</v>
      </c>
      <c r="F1135" t="s">
        <v>6236</v>
      </c>
      <c r="G1135" t="s">
        <v>14360</v>
      </c>
      <c r="H1135" t="s">
        <v>14360</v>
      </c>
      <c r="I1135" t="s">
        <v>9972</v>
      </c>
      <c r="J1135" s="4" t="s">
        <v>14360</v>
      </c>
      <c r="L1135" t="s">
        <v>14360</v>
      </c>
      <c r="M1135" t="s">
        <v>14360</v>
      </c>
      <c r="N1135" t="s">
        <v>3853</v>
      </c>
      <c r="O1135" t="s">
        <v>14360</v>
      </c>
      <c r="P1135" t="s">
        <v>6236</v>
      </c>
      <c r="Q1135" t="s">
        <v>14360</v>
      </c>
      <c r="R1135" t="s">
        <v>14360</v>
      </c>
      <c r="S1135" t="s">
        <v>14360</v>
      </c>
    </row>
    <row r="1136" spans="1:19" x14ac:dyDescent="0.2">
      <c r="A1136" t="s">
        <v>14017</v>
      </c>
      <c r="B1136" t="s">
        <v>14359</v>
      </c>
      <c r="C1136" t="s">
        <v>11913</v>
      </c>
      <c r="D1136" t="str">
        <f>_xlfn.XLOOKUP(E1136,pathways!$A$2:$A$31,pathways!$B$2:$B$31)</f>
        <v>Amino acid metabolism</v>
      </c>
      <c r="E1136" t="s">
        <v>3853</v>
      </c>
      <c r="F1136" t="s">
        <v>6236</v>
      </c>
      <c r="G1136" t="s">
        <v>14360</v>
      </c>
      <c r="H1136" t="s">
        <v>14360</v>
      </c>
      <c r="I1136" t="s">
        <v>9701</v>
      </c>
      <c r="J1136" s="4" t="s">
        <v>11913</v>
      </c>
      <c r="L1136" t="s">
        <v>14360</v>
      </c>
      <c r="M1136" t="s">
        <v>14360</v>
      </c>
      <c r="N1136" t="s">
        <v>3853</v>
      </c>
      <c r="O1136" t="s">
        <v>3853</v>
      </c>
      <c r="P1136" t="s">
        <v>6236</v>
      </c>
      <c r="Q1136" t="s">
        <v>6236</v>
      </c>
      <c r="R1136" t="s">
        <v>14360</v>
      </c>
    </row>
    <row r="1137" spans="1:19" x14ac:dyDescent="0.2">
      <c r="A1137" t="s">
        <v>14018</v>
      </c>
      <c r="B1137" t="s">
        <v>14359</v>
      </c>
      <c r="C1137" t="s">
        <v>11915</v>
      </c>
      <c r="D1137" t="str">
        <f>_xlfn.XLOOKUP(E1137,pathways!$A$2:$A$31,pathways!$B$2:$B$31)</f>
        <v>Amino acid metabolism</v>
      </c>
      <c r="E1137" t="s">
        <v>3853</v>
      </c>
      <c r="F1137" t="s">
        <v>6236</v>
      </c>
      <c r="G1137" t="s">
        <v>14360</v>
      </c>
      <c r="H1137" t="s">
        <v>14360</v>
      </c>
      <c r="I1137" t="s">
        <v>9704</v>
      </c>
      <c r="J1137" s="4" t="s">
        <v>11915</v>
      </c>
      <c r="L1137" t="s">
        <v>14360</v>
      </c>
      <c r="M1137" t="s">
        <v>14360</v>
      </c>
      <c r="N1137" t="s">
        <v>3853</v>
      </c>
      <c r="O1137" t="s">
        <v>3853</v>
      </c>
      <c r="P1137" t="s">
        <v>6236</v>
      </c>
      <c r="Q1137" t="s">
        <v>6236</v>
      </c>
      <c r="R1137" t="s">
        <v>14360</v>
      </c>
    </row>
    <row r="1138" spans="1:19" x14ac:dyDescent="0.2">
      <c r="A1138" t="s">
        <v>14055</v>
      </c>
      <c r="B1138" t="s">
        <v>14359</v>
      </c>
      <c r="C1138" t="s">
        <v>20106</v>
      </c>
      <c r="D1138" t="str">
        <f>_xlfn.XLOOKUP(E1138,pathways!$A$2:$A$31,pathways!$B$2:$B$31)</f>
        <v>Amino acid metabolism</v>
      </c>
      <c r="E1138" t="s">
        <v>3853</v>
      </c>
      <c r="F1138" t="s">
        <v>6236</v>
      </c>
      <c r="G1138" t="s">
        <v>14360</v>
      </c>
      <c r="H1138" t="s">
        <v>14360</v>
      </c>
      <c r="I1138" t="s">
        <v>9975</v>
      </c>
      <c r="J1138" s="4" t="s">
        <v>14360</v>
      </c>
      <c r="L1138" t="s">
        <v>14360</v>
      </c>
      <c r="M1138" t="s">
        <v>14360</v>
      </c>
      <c r="N1138" t="s">
        <v>3853</v>
      </c>
      <c r="O1138" t="s">
        <v>14360</v>
      </c>
      <c r="P1138" t="s">
        <v>6236</v>
      </c>
      <c r="Q1138" t="s">
        <v>14360</v>
      </c>
      <c r="R1138" t="s">
        <v>14360</v>
      </c>
      <c r="S1138" t="s">
        <v>14360</v>
      </c>
    </row>
    <row r="1139" spans="1:19" x14ac:dyDescent="0.2">
      <c r="A1139" t="s">
        <v>13834</v>
      </c>
      <c r="B1139" t="s">
        <v>14359</v>
      </c>
      <c r="C1139" t="s">
        <v>11917</v>
      </c>
      <c r="D1139" t="str">
        <f>_xlfn.XLOOKUP(E1139,pathways!$A$2:$A$31,pathways!$B$2:$B$31)</f>
        <v>Amino acid metabolism</v>
      </c>
      <c r="E1139" t="s">
        <v>3853</v>
      </c>
      <c r="F1139" t="s">
        <v>6236</v>
      </c>
      <c r="G1139" t="s">
        <v>14360</v>
      </c>
      <c r="H1139" t="s">
        <v>14360</v>
      </c>
      <c r="I1139" t="s">
        <v>6245</v>
      </c>
      <c r="J1139" s="4" t="s">
        <v>11917</v>
      </c>
      <c r="L1139" t="s">
        <v>14360</v>
      </c>
      <c r="M1139" t="s">
        <v>14360</v>
      </c>
      <c r="N1139" t="s">
        <v>3853</v>
      </c>
      <c r="O1139" t="s">
        <v>3853</v>
      </c>
      <c r="P1139" t="s">
        <v>6236</v>
      </c>
      <c r="Q1139" t="s">
        <v>6236</v>
      </c>
      <c r="R1139" t="s">
        <v>14360</v>
      </c>
      <c r="S1139" t="s">
        <v>14360</v>
      </c>
    </row>
    <row r="1140" spans="1:19" x14ac:dyDescent="0.2">
      <c r="A1140" t="s">
        <v>13835</v>
      </c>
      <c r="B1140" t="s">
        <v>14359</v>
      </c>
      <c r="C1140" t="s">
        <v>20107</v>
      </c>
      <c r="D1140" t="str">
        <f>_xlfn.XLOOKUP(E1140,pathways!$A$2:$A$31,pathways!$B$2:$B$31)</f>
        <v>Amino acid metabolism</v>
      </c>
      <c r="E1140" t="s">
        <v>3853</v>
      </c>
      <c r="F1140" t="s">
        <v>6236</v>
      </c>
      <c r="G1140" t="s">
        <v>14360</v>
      </c>
      <c r="H1140" t="s">
        <v>14360</v>
      </c>
      <c r="I1140" t="s">
        <v>6250</v>
      </c>
      <c r="J1140" s="4" t="s">
        <v>14360</v>
      </c>
      <c r="L1140" t="s">
        <v>14360</v>
      </c>
      <c r="M1140" t="s">
        <v>14360</v>
      </c>
      <c r="N1140" t="s">
        <v>3853</v>
      </c>
      <c r="O1140" t="s">
        <v>14360</v>
      </c>
      <c r="P1140" t="s">
        <v>6236</v>
      </c>
      <c r="Q1140" t="s">
        <v>14360</v>
      </c>
      <c r="R1140" t="s">
        <v>14360</v>
      </c>
      <c r="S1140" t="s">
        <v>3661</v>
      </c>
    </row>
    <row r="1141" spans="1:19" x14ac:dyDescent="0.2">
      <c r="A1141" t="s">
        <v>13833</v>
      </c>
      <c r="B1141" t="s">
        <v>14359</v>
      </c>
      <c r="C1141" t="s">
        <v>20108</v>
      </c>
      <c r="D1141" t="str">
        <f>_xlfn.XLOOKUP(E1141,pathways!$A$2:$A$31,pathways!$B$2:$B$31)</f>
        <v>Amino acid metabolism</v>
      </c>
      <c r="E1141" t="s">
        <v>3853</v>
      </c>
      <c r="F1141" t="s">
        <v>6236</v>
      </c>
      <c r="G1141" t="s">
        <v>14360</v>
      </c>
      <c r="H1141" t="s">
        <v>14360</v>
      </c>
      <c r="I1141" t="s">
        <v>6239</v>
      </c>
      <c r="J1141" s="4" t="s">
        <v>14360</v>
      </c>
      <c r="L1141" t="s">
        <v>14360</v>
      </c>
      <c r="M1141" t="s">
        <v>14360</v>
      </c>
      <c r="N1141" t="s">
        <v>3853</v>
      </c>
      <c r="O1141" t="s">
        <v>14360</v>
      </c>
      <c r="P1141" t="s">
        <v>6236</v>
      </c>
      <c r="Q1141" t="s">
        <v>14360</v>
      </c>
      <c r="R1141" t="s">
        <v>14360</v>
      </c>
      <c r="S1141" t="s">
        <v>4050</v>
      </c>
    </row>
    <row r="1142" spans="1:19" x14ac:dyDescent="0.2">
      <c r="A1142" t="s">
        <v>14060</v>
      </c>
      <c r="B1142" t="s">
        <v>14359</v>
      </c>
      <c r="C1142" t="s">
        <v>20109</v>
      </c>
      <c r="D1142" t="str">
        <f>_xlfn.XLOOKUP(E1142,pathways!$A$2:$A$31,pathways!$B$2:$B$31)</f>
        <v>Amino acid metabolism</v>
      </c>
      <c r="E1142" t="s">
        <v>3853</v>
      </c>
      <c r="F1142" t="s">
        <v>6236</v>
      </c>
      <c r="G1142" t="s">
        <v>14360</v>
      </c>
      <c r="H1142" t="s">
        <v>14360</v>
      </c>
      <c r="I1142" t="s">
        <v>10000</v>
      </c>
      <c r="J1142" s="4" t="s">
        <v>14360</v>
      </c>
      <c r="L1142" t="s">
        <v>14360</v>
      </c>
      <c r="M1142" t="s">
        <v>14360</v>
      </c>
      <c r="N1142" t="s">
        <v>3853</v>
      </c>
      <c r="O1142" t="s">
        <v>14360</v>
      </c>
      <c r="P1142" t="s">
        <v>6236</v>
      </c>
      <c r="Q1142" t="s">
        <v>14360</v>
      </c>
      <c r="R1142" t="s">
        <v>14360</v>
      </c>
      <c r="S1142" t="s">
        <v>4050</v>
      </c>
    </row>
    <row r="1143" spans="1:19" x14ac:dyDescent="0.2">
      <c r="A1143" t="s">
        <v>14059</v>
      </c>
      <c r="B1143" t="s">
        <v>14359</v>
      </c>
      <c r="C1143" t="s">
        <v>20110</v>
      </c>
      <c r="D1143" t="str">
        <f>_xlfn.XLOOKUP(E1143,pathways!$A$2:$A$31,pathways!$B$2:$B$31)</f>
        <v>Amino acid metabolism</v>
      </c>
      <c r="E1143" t="s">
        <v>3853</v>
      </c>
      <c r="F1143" t="s">
        <v>6236</v>
      </c>
      <c r="G1143" t="s">
        <v>14360</v>
      </c>
      <c r="H1143" t="s">
        <v>14360</v>
      </c>
      <c r="I1143" t="s">
        <v>9996</v>
      </c>
      <c r="J1143" s="4" t="s">
        <v>14360</v>
      </c>
      <c r="L1143" t="s">
        <v>14360</v>
      </c>
      <c r="M1143" t="s">
        <v>14360</v>
      </c>
      <c r="N1143" t="s">
        <v>3853</v>
      </c>
      <c r="O1143" t="s">
        <v>14360</v>
      </c>
      <c r="P1143" t="s">
        <v>6236</v>
      </c>
      <c r="Q1143" t="s">
        <v>14360</v>
      </c>
      <c r="R1143" t="s">
        <v>14360</v>
      </c>
      <c r="S1143" t="s">
        <v>5600</v>
      </c>
    </row>
    <row r="1144" spans="1:19" x14ac:dyDescent="0.2">
      <c r="A1144" t="s">
        <v>14057</v>
      </c>
      <c r="B1144" t="s">
        <v>14359</v>
      </c>
      <c r="C1144" t="s">
        <v>20111</v>
      </c>
      <c r="D1144" t="str">
        <f>_xlfn.XLOOKUP(E1144,pathways!$A$2:$A$31,pathways!$B$2:$B$31)</f>
        <v>Amino acid metabolism</v>
      </c>
      <c r="E1144" t="s">
        <v>3853</v>
      </c>
      <c r="F1144" t="s">
        <v>6236</v>
      </c>
      <c r="G1144" t="s">
        <v>14360</v>
      </c>
      <c r="H1144" t="s">
        <v>14360</v>
      </c>
      <c r="I1144" t="s">
        <v>9986</v>
      </c>
      <c r="J1144" s="4" t="s">
        <v>14360</v>
      </c>
      <c r="L1144" t="s">
        <v>14360</v>
      </c>
      <c r="M1144" t="s">
        <v>14360</v>
      </c>
      <c r="N1144" t="s">
        <v>3853</v>
      </c>
      <c r="O1144" t="s">
        <v>14360</v>
      </c>
      <c r="P1144" t="s">
        <v>6236</v>
      </c>
      <c r="Q1144" t="s">
        <v>14360</v>
      </c>
      <c r="R1144" t="s">
        <v>14360</v>
      </c>
      <c r="S1144" t="s">
        <v>14360</v>
      </c>
    </row>
    <row r="1145" spans="1:19" x14ac:dyDescent="0.2">
      <c r="A1145" t="s">
        <v>14061</v>
      </c>
      <c r="B1145" t="s">
        <v>14359</v>
      </c>
      <c r="C1145" t="s">
        <v>20112</v>
      </c>
      <c r="D1145" t="str">
        <f>_xlfn.XLOOKUP(E1145,pathways!$A$2:$A$31,pathways!$B$2:$B$31)</f>
        <v>Amino acid metabolism</v>
      </c>
      <c r="E1145" t="s">
        <v>3853</v>
      </c>
      <c r="F1145" t="s">
        <v>6236</v>
      </c>
      <c r="G1145" t="s">
        <v>14360</v>
      </c>
      <c r="H1145" t="s">
        <v>14360</v>
      </c>
      <c r="I1145" t="s">
        <v>10003</v>
      </c>
      <c r="J1145" s="4" t="s">
        <v>14360</v>
      </c>
      <c r="L1145" t="s">
        <v>14360</v>
      </c>
      <c r="M1145" t="s">
        <v>14360</v>
      </c>
      <c r="N1145" t="s">
        <v>3853</v>
      </c>
      <c r="O1145" t="s">
        <v>14360</v>
      </c>
      <c r="P1145" t="s">
        <v>6236</v>
      </c>
      <c r="Q1145" t="s">
        <v>14360</v>
      </c>
      <c r="R1145" t="s">
        <v>14360</v>
      </c>
      <c r="S1145" t="s">
        <v>14360</v>
      </c>
    </row>
    <row r="1146" spans="1:19" x14ac:dyDescent="0.2">
      <c r="A1146" t="s">
        <v>2026</v>
      </c>
      <c r="B1146" t="s">
        <v>14359</v>
      </c>
      <c r="C1146" t="s">
        <v>19494</v>
      </c>
      <c r="D1146" t="str">
        <f>_xlfn.XLOOKUP(E1146,pathways!$A$2:$A$31,pathways!$B$2:$B$31)</f>
        <v>Amino acid metabolism</v>
      </c>
      <c r="E1146" t="s">
        <v>3853</v>
      </c>
      <c r="F1146" t="s">
        <v>3854</v>
      </c>
      <c r="G1146" t="s">
        <v>9266</v>
      </c>
      <c r="H1146" t="s">
        <v>14360</v>
      </c>
      <c r="I1146" t="s">
        <v>9266</v>
      </c>
      <c r="J1146" s="4" t="s">
        <v>9266</v>
      </c>
      <c r="L1146" t="s">
        <v>2025</v>
      </c>
      <c r="M1146" t="s">
        <v>15329</v>
      </c>
      <c r="N1146" t="s">
        <v>3853</v>
      </c>
      <c r="O1146" t="s">
        <v>3853</v>
      </c>
      <c r="P1146" t="s">
        <v>3854</v>
      </c>
      <c r="Q1146" t="s">
        <v>3854</v>
      </c>
      <c r="R1146" t="s">
        <v>3853</v>
      </c>
      <c r="S1146" t="s">
        <v>3687</v>
      </c>
    </row>
    <row r="1147" spans="1:19" x14ac:dyDescent="0.2">
      <c r="A1147" t="s">
        <v>14224</v>
      </c>
      <c r="B1147" t="s">
        <v>14359</v>
      </c>
      <c r="C1147" t="s">
        <v>19974</v>
      </c>
      <c r="D1147" t="str">
        <f>_xlfn.XLOOKUP(E1147,pathways!$A$2:$A$31,pathways!$B$2:$B$31)</f>
        <v>Amino acid metabolism</v>
      </c>
      <c r="E1147" t="s">
        <v>3853</v>
      </c>
      <c r="F1147" t="s">
        <v>3854</v>
      </c>
      <c r="G1147" t="s">
        <v>14360</v>
      </c>
      <c r="H1147" t="s">
        <v>14360</v>
      </c>
      <c r="I1147" t="s">
        <v>14360</v>
      </c>
      <c r="J1147" s="4" t="s">
        <v>11926</v>
      </c>
      <c r="L1147" t="s">
        <v>14360</v>
      </c>
      <c r="M1147" t="s">
        <v>14360</v>
      </c>
      <c r="N1147" t="s">
        <v>14360</v>
      </c>
      <c r="O1147" t="s">
        <v>3853</v>
      </c>
      <c r="P1147" t="s">
        <v>14360</v>
      </c>
      <c r="Q1147" t="s">
        <v>3854</v>
      </c>
      <c r="R1147" t="s">
        <v>14360</v>
      </c>
      <c r="S1147" t="s">
        <v>5082</v>
      </c>
    </row>
    <row r="1148" spans="1:19" x14ac:dyDescent="0.2">
      <c r="A1148" t="s">
        <v>1505</v>
      </c>
      <c r="B1148" t="s">
        <v>14359</v>
      </c>
      <c r="C1148" t="s">
        <v>19313</v>
      </c>
      <c r="D1148" t="str">
        <f>_xlfn.XLOOKUP(E1148,pathways!$A$2:$A$31,pathways!$B$2:$B$31)</f>
        <v>Amino acid metabolism</v>
      </c>
      <c r="E1148" t="s">
        <v>3853</v>
      </c>
      <c r="F1148" t="s">
        <v>3854</v>
      </c>
      <c r="G1148" t="s">
        <v>14360</v>
      </c>
      <c r="H1148" t="s">
        <v>14360</v>
      </c>
      <c r="I1148" t="s">
        <v>7032</v>
      </c>
      <c r="J1148" s="4" t="s">
        <v>7032</v>
      </c>
      <c r="L1148" t="s">
        <v>1504</v>
      </c>
      <c r="M1148" t="s">
        <v>14790</v>
      </c>
      <c r="N1148" t="s">
        <v>3853</v>
      </c>
      <c r="O1148" t="s">
        <v>3853</v>
      </c>
      <c r="P1148" t="s">
        <v>3854</v>
      </c>
      <c r="Q1148" t="s">
        <v>3854</v>
      </c>
      <c r="R1148" t="s">
        <v>3853</v>
      </c>
      <c r="S1148" t="s">
        <v>4017</v>
      </c>
    </row>
    <row r="1149" spans="1:19" x14ac:dyDescent="0.2">
      <c r="A1149" t="s">
        <v>2171</v>
      </c>
      <c r="B1149" t="s">
        <v>14359</v>
      </c>
      <c r="C1149" t="s">
        <v>19563</v>
      </c>
      <c r="D1149" t="str">
        <f>_xlfn.XLOOKUP(E1149,pathways!$A$2:$A$31,pathways!$B$2:$B$31)</f>
        <v>Amino acid metabolism</v>
      </c>
      <c r="E1149" t="s">
        <v>3853</v>
      </c>
      <c r="F1149" t="s">
        <v>3854</v>
      </c>
      <c r="G1149" t="s">
        <v>14360</v>
      </c>
      <c r="H1149" t="s">
        <v>14360</v>
      </c>
      <c r="I1149" t="s">
        <v>9687</v>
      </c>
      <c r="J1149" s="4" t="s">
        <v>14360</v>
      </c>
      <c r="L1149" t="s">
        <v>2170</v>
      </c>
      <c r="M1149" t="s">
        <v>15468</v>
      </c>
      <c r="N1149" t="s">
        <v>3853</v>
      </c>
      <c r="O1149" t="s">
        <v>14360</v>
      </c>
      <c r="P1149" t="s">
        <v>3854</v>
      </c>
      <c r="Q1149" t="s">
        <v>14360</v>
      </c>
      <c r="R1149" t="s">
        <v>3853</v>
      </c>
      <c r="S1149" t="s">
        <v>4059</v>
      </c>
    </row>
    <row r="1150" spans="1:19" x14ac:dyDescent="0.2">
      <c r="A1150" t="s">
        <v>2517</v>
      </c>
      <c r="B1150" t="s">
        <v>14359</v>
      </c>
      <c r="C1150" t="s">
        <v>19673</v>
      </c>
      <c r="D1150" t="str">
        <f>_xlfn.XLOOKUP(E1150,pathways!$A$2:$A$31,pathways!$B$2:$B$31)</f>
        <v>Amino acid metabolism</v>
      </c>
      <c r="E1150" t="s">
        <v>3853</v>
      </c>
      <c r="F1150" t="s">
        <v>3854</v>
      </c>
      <c r="G1150" t="s">
        <v>14360</v>
      </c>
      <c r="H1150" t="s">
        <v>14360</v>
      </c>
      <c r="I1150" t="s">
        <v>3857</v>
      </c>
      <c r="J1150" s="4" t="s">
        <v>14360</v>
      </c>
      <c r="L1150" t="s">
        <v>2516</v>
      </c>
      <c r="M1150" t="s">
        <v>15829</v>
      </c>
      <c r="N1150" t="s">
        <v>3853</v>
      </c>
      <c r="O1150" t="s">
        <v>14360</v>
      </c>
      <c r="P1150" t="s">
        <v>3854</v>
      </c>
      <c r="Q1150" t="s">
        <v>14360</v>
      </c>
      <c r="R1150" t="s">
        <v>3853</v>
      </c>
      <c r="S1150" t="s">
        <v>6535</v>
      </c>
    </row>
    <row r="1151" spans="1:19" x14ac:dyDescent="0.2">
      <c r="A1151" t="s">
        <v>2383</v>
      </c>
      <c r="B1151" t="s">
        <v>14359</v>
      </c>
      <c r="C1151" t="s">
        <v>19631</v>
      </c>
      <c r="D1151" t="str">
        <f>_xlfn.XLOOKUP(E1151,pathways!$A$2:$A$31,pathways!$B$2:$B$31)</f>
        <v>Amino acid metabolism</v>
      </c>
      <c r="E1151" t="s">
        <v>3853</v>
      </c>
      <c r="F1151" t="s">
        <v>3854</v>
      </c>
      <c r="G1151" t="s">
        <v>4784</v>
      </c>
      <c r="H1151" t="s">
        <v>14360</v>
      </c>
      <c r="I1151" t="s">
        <v>4784</v>
      </c>
      <c r="J1151" s="4" t="s">
        <v>4784</v>
      </c>
      <c r="L1151" t="s">
        <v>2382</v>
      </c>
      <c r="M1151" t="s">
        <v>15681</v>
      </c>
      <c r="N1151" t="s">
        <v>3853</v>
      </c>
      <c r="O1151" t="s">
        <v>3853</v>
      </c>
      <c r="P1151" t="s">
        <v>3854</v>
      </c>
      <c r="Q1151" t="s">
        <v>3854</v>
      </c>
      <c r="R1151" t="s">
        <v>3853</v>
      </c>
      <c r="S1151" t="s">
        <v>14360</v>
      </c>
    </row>
    <row r="1152" spans="1:19" x14ac:dyDescent="0.2">
      <c r="A1152" t="s">
        <v>1326</v>
      </c>
      <c r="B1152" t="s">
        <v>14359</v>
      </c>
      <c r="C1152" t="s">
        <v>19251</v>
      </c>
      <c r="D1152" t="str">
        <f>_xlfn.XLOOKUP(E1152,pathways!$A$2:$A$31,pathways!$B$2:$B$31)</f>
        <v>Amino acid metabolism</v>
      </c>
      <c r="E1152" t="s">
        <v>3853</v>
      </c>
      <c r="F1152" t="s">
        <v>3854</v>
      </c>
      <c r="G1152" t="s">
        <v>14360</v>
      </c>
      <c r="H1152" t="s">
        <v>14360</v>
      </c>
      <c r="I1152" t="s">
        <v>6166</v>
      </c>
      <c r="J1152" s="4" t="s">
        <v>6166</v>
      </c>
      <c r="L1152" t="s">
        <v>1325</v>
      </c>
      <c r="M1152" t="s">
        <v>14604</v>
      </c>
      <c r="N1152" t="s">
        <v>3853</v>
      </c>
      <c r="O1152" t="s">
        <v>3853</v>
      </c>
      <c r="P1152" t="s">
        <v>3854</v>
      </c>
      <c r="Q1152" t="s">
        <v>3854</v>
      </c>
      <c r="R1152" t="s">
        <v>3853</v>
      </c>
      <c r="S1152" t="s">
        <v>8860</v>
      </c>
    </row>
    <row r="1153" spans="1:19" x14ac:dyDescent="0.2">
      <c r="A1153" t="s">
        <v>2409</v>
      </c>
      <c r="B1153" t="s">
        <v>14359</v>
      </c>
      <c r="C1153" t="s">
        <v>19636</v>
      </c>
      <c r="D1153" t="str">
        <f>_xlfn.XLOOKUP(E1153,pathways!$A$2:$A$31,pathways!$B$2:$B$31)</f>
        <v>Amino acid metabolism</v>
      </c>
      <c r="E1153" t="s">
        <v>3853</v>
      </c>
      <c r="F1153" t="s">
        <v>3854</v>
      </c>
      <c r="G1153" t="s">
        <v>14360</v>
      </c>
      <c r="H1153" t="s">
        <v>14360</v>
      </c>
      <c r="I1153" t="s">
        <v>4864</v>
      </c>
      <c r="J1153" s="4" t="s">
        <v>4864</v>
      </c>
      <c r="L1153" t="s">
        <v>2408</v>
      </c>
      <c r="M1153" t="s">
        <v>15709</v>
      </c>
      <c r="N1153" t="s">
        <v>3853</v>
      </c>
      <c r="O1153" t="s">
        <v>3853</v>
      </c>
      <c r="P1153" t="s">
        <v>3854</v>
      </c>
      <c r="Q1153" t="s">
        <v>3854</v>
      </c>
      <c r="R1153" t="s">
        <v>3853</v>
      </c>
      <c r="S1153" t="s">
        <v>14360</v>
      </c>
    </row>
    <row r="1154" spans="1:19" x14ac:dyDescent="0.2">
      <c r="A1154" t="s">
        <v>1392</v>
      </c>
      <c r="B1154" t="s">
        <v>14359</v>
      </c>
      <c r="C1154" t="s">
        <v>19271</v>
      </c>
      <c r="D1154" t="str">
        <f>_xlfn.XLOOKUP(E1154,pathways!$A$2:$A$31,pathways!$B$2:$B$31)</f>
        <v>Amino acid metabolism</v>
      </c>
      <c r="E1154" t="s">
        <v>3853</v>
      </c>
      <c r="F1154" t="s">
        <v>3854</v>
      </c>
      <c r="G1154" t="s">
        <v>14360</v>
      </c>
      <c r="H1154" t="s">
        <v>14360</v>
      </c>
      <c r="I1154" t="s">
        <v>6531</v>
      </c>
      <c r="J1154" s="4" t="s">
        <v>6531</v>
      </c>
      <c r="L1154" t="s">
        <v>1391</v>
      </c>
      <c r="M1154" t="s">
        <v>14672</v>
      </c>
      <c r="N1154" t="s">
        <v>3853</v>
      </c>
      <c r="O1154" t="s">
        <v>3853</v>
      </c>
      <c r="P1154" t="s">
        <v>3854</v>
      </c>
      <c r="Q1154" t="s">
        <v>3854</v>
      </c>
      <c r="R1154" t="s">
        <v>3853</v>
      </c>
      <c r="S1154" t="s">
        <v>814</v>
      </c>
    </row>
    <row r="1155" spans="1:19" x14ac:dyDescent="0.2">
      <c r="A1155" t="s">
        <v>2426</v>
      </c>
      <c r="B1155" t="s">
        <v>14359</v>
      </c>
      <c r="C1155" t="s">
        <v>19644</v>
      </c>
      <c r="D1155" t="str">
        <f>_xlfn.XLOOKUP(E1155,pathways!$A$2:$A$31,pathways!$B$2:$B$31)</f>
        <v>Amino acid metabolism</v>
      </c>
      <c r="E1155" t="s">
        <v>3853</v>
      </c>
      <c r="F1155" t="s">
        <v>3854</v>
      </c>
      <c r="G1155" t="s">
        <v>14360</v>
      </c>
      <c r="H1155" t="s">
        <v>14360</v>
      </c>
      <c r="I1155" t="s">
        <v>4921</v>
      </c>
      <c r="J1155" s="4" t="s">
        <v>4921</v>
      </c>
      <c r="L1155" t="s">
        <v>2425</v>
      </c>
      <c r="M1155" t="s">
        <v>15731</v>
      </c>
      <c r="N1155" t="s">
        <v>3853</v>
      </c>
      <c r="O1155" t="s">
        <v>3853</v>
      </c>
      <c r="P1155" t="s">
        <v>3854</v>
      </c>
      <c r="Q1155" t="s">
        <v>3854</v>
      </c>
      <c r="R1155" t="s">
        <v>3853</v>
      </c>
      <c r="S1155" t="s">
        <v>10101</v>
      </c>
    </row>
    <row r="1156" spans="1:19" x14ac:dyDescent="0.2">
      <c r="A1156" t="s">
        <v>1345</v>
      </c>
      <c r="B1156" t="s">
        <v>14359</v>
      </c>
      <c r="C1156" t="s">
        <v>19260</v>
      </c>
      <c r="D1156" t="str">
        <f>_xlfn.XLOOKUP(E1156,pathways!$A$2:$A$31,pathways!$B$2:$B$31)</f>
        <v>Amino acid metabolism</v>
      </c>
      <c r="E1156" t="s">
        <v>3853</v>
      </c>
      <c r="F1156" t="s">
        <v>3854</v>
      </c>
      <c r="G1156" t="s">
        <v>6201</v>
      </c>
      <c r="H1156" t="s">
        <v>14360</v>
      </c>
      <c r="I1156" t="s">
        <v>6201</v>
      </c>
      <c r="J1156" s="4" t="s">
        <v>6201</v>
      </c>
      <c r="L1156" t="s">
        <v>1344</v>
      </c>
      <c r="M1156" t="s">
        <v>14624</v>
      </c>
      <c r="N1156" t="s">
        <v>3853</v>
      </c>
      <c r="O1156" t="s">
        <v>3853</v>
      </c>
      <c r="P1156" t="s">
        <v>3854</v>
      </c>
      <c r="Q1156" t="s">
        <v>3854</v>
      </c>
      <c r="R1156" t="s">
        <v>3853</v>
      </c>
      <c r="S1156" t="s">
        <v>5526</v>
      </c>
    </row>
    <row r="1157" spans="1:19" x14ac:dyDescent="0.2">
      <c r="A1157" t="s">
        <v>13810</v>
      </c>
      <c r="B1157" t="s">
        <v>14359</v>
      </c>
      <c r="C1157" t="s">
        <v>19975</v>
      </c>
      <c r="D1157" t="str">
        <f>_xlfn.XLOOKUP(E1157,pathways!$A$2:$A$31,pathways!$B$2:$B$31)</f>
        <v>Amino acid metabolism</v>
      </c>
      <c r="E1157" t="s">
        <v>3853</v>
      </c>
      <c r="F1157" t="s">
        <v>3854</v>
      </c>
      <c r="G1157" t="s">
        <v>5391</v>
      </c>
      <c r="H1157" t="s">
        <v>14360</v>
      </c>
      <c r="I1157" t="s">
        <v>5391</v>
      </c>
      <c r="J1157" s="4" t="s">
        <v>5391</v>
      </c>
      <c r="L1157" t="s">
        <v>14360</v>
      </c>
      <c r="M1157" t="s">
        <v>14360</v>
      </c>
      <c r="N1157" t="s">
        <v>3853</v>
      </c>
      <c r="O1157" t="s">
        <v>3853</v>
      </c>
      <c r="P1157" t="s">
        <v>3854</v>
      </c>
      <c r="Q1157" t="s">
        <v>3854</v>
      </c>
      <c r="R1157" t="s">
        <v>14360</v>
      </c>
      <c r="S1157" t="s">
        <v>9134</v>
      </c>
    </row>
    <row r="1158" spans="1:19" x14ac:dyDescent="0.2">
      <c r="A1158" t="s">
        <v>1342</v>
      </c>
      <c r="B1158" t="s">
        <v>14359</v>
      </c>
      <c r="C1158" t="s">
        <v>19258</v>
      </c>
      <c r="D1158" t="str">
        <f>_xlfn.XLOOKUP(E1158,pathways!$A$2:$A$31,pathways!$B$2:$B$31)</f>
        <v>Amino acid metabolism</v>
      </c>
      <c r="E1158" t="s">
        <v>3853</v>
      </c>
      <c r="F1158" t="s">
        <v>3854</v>
      </c>
      <c r="G1158" t="s">
        <v>14360</v>
      </c>
      <c r="H1158" t="s">
        <v>14360</v>
      </c>
      <c r="I1158" t="s">
        <v>6208</v>
      </c>
      <c r="J1158" s="4" t="s">
        <v>6208</v>
      </c>
      <c r="L1158" t="s">
        <v>1341</v>
      </c>
      <c r="M1158" t="s">
        <v>14620</v>
      </c>
      <c r="N1158" t="s">
        <v>3853</v>
      </c>
      <c r="O1158" t="s">
        <v>3853</v>
      </c>
      <c r="P1158" t="s">
        <v>3854</v>
      </c>
      <c r="Q1158" t="s">
        <v>3854</v>
      </c>
      <c r="R1158" t="s">
        <v>3853</v>
      </c>
      <c r="S1158" t="s">
        <v>4568</v>
      </c>
    </row>
    <row r="1159" spans="1:19" x14ac:dyDescent="0.2">
      <c r="A1159" t="s">
        <v>1349</v>
      </c>
      <c r="B1159" t="s">
        <v>14359</v>
      </c>
      <c r="C1159" t="s">
        <v>19262</v>
      </c>
      <c r="D1159" t="str">
        <f>_xlfn.XLOOKUP(E1159,pathways!$A$2:$A$31,pathways!$B$2:$B$31)</f>
        <v>Amino acid metabolism</v>
      </c>
      <c r="E1159" t="s">
        <v>3853</v>
      </c>
      <c r="F1159" t="s">
        <v>3854</v>
      </c>
      <c r="G1159" t="s">
        <v>14360</v>
      </c>
      <c r="H1159" t="s">
        <v>14360</v>
      </c>
      <c r="I1159" t="s">
        <v>6173</v>
      </c>
      <c r="J1159" s="4" t="s">
        <v>14360</v>
      </c>
      <c r="L1159" t="s">
        <v>1348</v>
      </c>
      <c r="M1159" t="s">
        <v>14628</v>
      </c>
      <c r="N1159" t="s">
        <v>3853</v>
      </c>
      <c r="O1159" t="s">
        <v>14360</v>
      </c>
      <c r="P1159" t="s">
        <v>3854</v>
      </c>
      <c r="Q1159" t="s">
        <v>14360</v>
      </c>
      <c r="R1159" t="s">
        <v>3853</v>
      </c>
      <c r="S1159" t="s">
        <v>14360</v>
      </c>
    </row>
    <row r="1160" spans="1:19" x14ac:dyDescent="0.2">
      <c r="A1160" t="s">
        <v>2371</v>
      </c>
      <c r="B1160" t="s">
        <v>14359</v>
      </c>
      <c r="C1160" t="s">
        <v>19627</v>
      </c>
      <c r="D1160" t="str">
        <f>_xlfn.XLOOKUP(E1160,pathways!$A$2:$A$31,pathways!$B$2:$B$31)</f>
        <v>Amino acid metabolism</v>
      </c>
      <c r="E1160" t="s">
        <v>3853</v>
      </c>
      <c r="F1160" t="s">
        <v>3854</v>
      </c>
      <c r="G1160" t="s">
        <v>14360</v>
      </c>
      <c r="H1160" t="s">
        <v>14360</v>
      </c>
      <c r="I1160" t="s">
        <v>4667</v>
      </c>
      <c r="J1160" s="4" t="s">
        <v>4667</v>
      </c>
      <c r="L1160" t="s">
        <v>2370</v>
      </c>
      <c r="M1160" t="s">
        <v>15669</v>
      </c>
      <c r="N1160" t="s">
        <v>3853</v>
      </c>
      <c r="O1160" t="s">
        <v>3853</v>
      </c>
      <c r="P1160" t="s">
        <v>3854</v>
      </c>
      <c r="Q1160" t="s">
        <v>3854</v>
      </c>
      <c r="R1160" t="s">
        <v>3853</v>
      </c>
      <c r="S1160" t="s">
        <v>4568</v>
      </c>
    </row>
    <row r="1161" spans="1:19" x14ac:dyDescent="0.2">
      <c r="A1161" t="s">
        <v>1252</v>
      </c>
      <c r="B1161" t="s">
        <v>14359</v>
      </c>
      <c r="C1161" t="s">
        <v>19226</v>
      </c>
      <c r="D1161" t="str">
        <f>_xlfn.XLOOKUP(E1161,pathways!$A$2:$A$31,pathways!$B$2:$B$31)</f>
        <v>Amino acid metabolism</v>
      </c>
      <c r="E1161" t="s">
        <v>3853</v>
      </c>
      <c r="F1161" t="s">
        <v>3854</v>
      </c>
      <c r="G1161" t="s">
        <v>5876</v>
      </c>
      <c r="H1161" t="s">
        <v>14360</v>
      </c>
      <c r="I1161" t="s">
        <v>5876</v>
      </c>
      <c r="J1161" s="4" t="s">
        <v>5876</v>
      </c>
      <c r="L1161" t="s">
        <v>1251</v>
      </c>
      <c r="M1161" t="s">
        <v>14528</v>
      </c>
      <c r="N1161" t="s">
        <v>3853</v>
      </c>
      <c r="O1161" t="s">
        <v>3853</v>
      </c>
      <c r="P1161" t="s">
        <v>3854</v>
      </c>
      <c r="Q1161" t="s">
        <v>3854</v>
      </c>
      <c r="R1161" t="s">
        <v>3853</v>
      </c>
      <c r="S1161" t="s">
        <v>4373</v>
      </c>
    </row>
    <row r="1162" spans="1:19" x14ac:dyDescent="0.2">
      <c r="A1162" t="s">
        <v>14073</v>
      </c>
      <c r="B1162" t="s">
        <v>14359</v>
      </c>
      <c r="C1162" t="s">
        <v>19978</v>
      </c>
      <c r="D1162" t="str">
        <f>_xlfn.XLOOKUP(E1162,pathways!$A$2:$A$31,pathways!$B$2:$B$31)</f>
        <v>Amino acid metabolism</v>
      </c>
      <c r="E1162" t="s">
        <v>3853</v>
      </c>
      <c r="F1162" t="s">
        <v>6147</v>
      </c>
      <c r="G1162" t="s">
        <v>14360</v>
      </c>
      <c r="H1162" t="s">
        <v>14360</v>
      </c>
      <c r="I1162" t="s">
        <v>10084</v>
      </c>
      <c r="J1162" s="4" t="s">
        <v>14360</v>
      </c>
      <c r="L1162" t="s">
        <v>14360</v>
      </c>
      <c r="M1162" t="s">
        <v>14360</v>
      </c>
      <c r="N1162" t="s">
        <v>3853</v>
      </c>
      <c r="O1162" t="s">
        <v>14360</v>
      </c>
      <c r="P1162" t="s">
        <v>6147</v>
      </c>
      <c r="Q1162" t="s">
        <v>14360</v>
      </c>
      <c r="R1162" t="s">
        <v>14360</v>
      </c>
      <c r="S1162" t="s">
        <v>14360</v>
      </c>
    </row>
    <row r="1163" spans="1:19" x14ac:dyDescent="0.2">
      <c r="A1163" t="s">
        <v>13809</v>
      </c>
      <c r="B1163" t="s">
        <v>14359</v>
      </c>
      <c r="C1163" t="s">
        <v>19984</v>
      </c>
      <c r="D1163" t="str">
        <f>_xlfn.XLOOKUP(E1163,pathways!$A$2:$A$31,pathways!$B$2:$B$31)</f>
        <v>Amino acid metabolism</v>
      </c>
      <c r="E1163" t="s">
        <v>3853</v>
      </c>
      <c r="F1163" t="s">
        <v>5381</v>
      </c>
      <c r="G1163" t="s">
        <v>14360</v>
      </c>
      <c r="H1163" t="s">
        <v>14360</v>
      </c>
      <c r="I1163" t="s">
        <v>5384</v>
      </c>
      <c r="J1163" s="4" t="s">
        <v>5384</v>
      </c>
      <c r="L1163" t="s">
        <v>14360</v>
      </c>
      <c r="M1163" t="s">
        <v>14360</v>
      </c>
      <c r="N1163" t="s">
        <v>3853</v>
      </c>
      <c r="O1163" t="s">
        <v>3853</v>
      </c>
      <c r="P1163" t="s">
        <v>5381</v>
      </c>
      <c r="Q1163" t="s">
        <v>5381</v>
      </c>
      <c r="R1163" t="s">
        <v>14360</v>
      </c>
    </row>
    <row r="1164" spans="1:19" x14ac:dyDescent="0.2">
      <c r="A1164" t="s">
        <v>13909</v>
      </c>
      <c r="B1164" t="s">
        <v>14359</v>
      </c>
      <c r="C1164" t="s">
        <v>19998</v>
      </c>
      <c r="D1164" t="str">
        <f>_xlfn.XLOOKUP(E1164,pathways!$A$2:$A$31,pathways!$B$2:$B$31)</f>
        <v>Amino acid metabolism</v>
      </c>
      <c r="E1164" t="s">
        <v>3853</v>
      </c>
      <c r="F1164" t="s">
        <v>5381</v>
      </c>
      <c r="G1164" t="s">
        <v>14360</v>
      </c>
      <c r="H1164" t="s">
        <v>14360</v>
      </c>
      <c r="I1164" t="s">
        <v>7831</v>
      </c>
      <c r="J1164" s="4" t="s">
        <v>7831</v>
      </c>
      <c r="L1164" t="s">
        <v>14360</v>
      </c>
      <c r="M1164" t="s">
        <v>14360</v>
      </c>
      <c r="N1164" t="s">
        <v>3853</v>
      </c>
      <c r="O1164" t="s">
        <v>3853</v>
      </c>
      <c r="P1164" t="s">
        <v>5381</v>
      </c>
      <c r="Q1164" t="s">
        <v>5381</v>
      </c>
      <c r="R1164" t="s">
        <v>14360</v>
      </c>
    </row>
    <row r="1165" spans="1:19" x14ac:dyDescent="0.2">
      <c r="A1165" t="s">
        <v>13910</v>
      </c>
      <c r="B1165" t="s">
        <v>14359</v>
      </c>
      <c r="C1165" t="s">
        <v>20003</v>
      </c>
      <c r="D1165" t="str">
        <f>_xlfn.XLOOKUP(E1165,pathways!$A$2:$A$31,pathways!$B$2:$B$31)</f>
        <v>Amino acid metabolism</v>
      </c>
      <c r="E1165" t="s">
        <v>3853</v>
      </c>
      <c r="F1165" t="s">
        <v>5381</v>
      </c>
      <c r="G1165" t="s">
        <v>14360</v>
      </c>
      <c r="H1165" t="s">
        <v>14360</v>
      </c>
      <c r="I1165" t="s">
        <v>7838</v>
      </c>
      <c r="J1165" s="4" t="s">
        <v>14360</v>
      </c>
      <c r="L1165" t="s">
        <v>14360</v>
      </c>
      <c r="M1165" t="s">
        <v>14360</v>
      </c>
      <c r="N1165" t="s">
        <v>3853</v>
      </c>
      <c r="O1165" t="s">
        <v>14360</v>
      </c>
      <c r="P1165" t="s">
        <v>5381</v>
      </c>
      <c r="Q1165" t="s">
        <v>14360</v>
      </c>
      <c r="R1165" t="s">
        <v>14360</v>
      </c>
    </row>
    <row r="1166" spans="1:19" x14ac:dyDescent="0.2">
      <c r="A1166" t="s">
        <v>14227</v>
      </c>
      <c r="B1166" t="s">
        <v>14359</v>
      </c>
      <c r="C1166" t="s">
        <v>20004</v>
      </c>
      <c r="D1166" t="str">
        <f>_xlfn.XLOOKUP(E1166,pathways!$A$2:$A$31,pathways!$B$2:$B$31)</f>
        <v>Amino acid metabolism</v>
      </c>
      <c r="E1166" t="s">
        <v>3853</v>
      </c>
      <c r="F1166" t="s">
        <v>5381</v>
      </c>
      <c r="G1166" t="s">
        <v>14360</v>
      </c>
      <c r="H1166" t="s">
        <v>14360</v>
      </c>
      <c r="I1166" t="s">
        <v>14360</v>
      </c>
      <c r="J1166" s="4" t="s">
        <v>12094</v>
      </c>
      <c r="L1166" t="s">
        <v>14360</v>
      </c>
      <c r="M1166" t="s">
        <v>14360</v>
      </c>
      <c r="N1166" t="s">
        <v>14360</v>
      </c>
      <c r="O1166" t="s">
        <v>3853</v>
      </c>
      <c r="P1166" t="s">
        <v>14360</v>
      </c>
      <c r="Q1166" t="s">
        <v>5381</v>
      </c>
      <c r="R1166" t="s">
        <v>14360</v>
      </c>
    </row>
    <row r="1167" spans="1:19" x14ac:dyDescent="0.2">
      <c r="A1167" t="s">
        <v>14118</v>
      </c>
      <c r="B1167" t="s">
        <v>14359</v>
      </c>
      <c r="C1167" t="s">
        <v>10260</v>
      </c>
      <c r="D1167" t="str">
        <f>_xlfn.XLOOKUP(E1167,pathways!$A$2:$A$31,pathways!$B$2:$B$31)</f>
        <v>Amino acid metabolism</v>
      </c>
      <c r="E1167" t="s">
        <v>3853</v>
      </c>
      <c r="F1167" t="s">
        <v>10257</v>
      </c>
      <c r="G1167" t="s">
        <v>14360</v>
      </c>
      <c r="H1167" t="s">
        <v>14360</v>
      </c>
      <c r="I1167" t="s">
        <v>10260</v>
      </c>
      <c r="J1167" s="4" t="s">
        <v>14360</v>
      </c>
      <c r="L1167" t="s">
        <v>14360</v>
      </c>
      <c r="M1167" t="s">
        <v>14360</v>
      </c>
      <c r="N1167" t="s">
        <v>3853</v>
      </c>
      <c r="O1167" t="s">
        <v>14360</v>
      </c>
      <c r="P1167" t="s">
        <v>10257</v>
      </c>
      <c r="Q1167" t="s">
        <v>14360</v>
      </c>
      <c r="R1167" t="s">
        <v>14360</v>
      </c>
    </row>
    <row r="1168" spans="1:19" x14ac:dyDescent="0.2">
      <c r="A1168" t="s">
        <v>1808</v>
      </c>
      <c r="B1168" t="s">
        <v>14359</v>
      </c>
      <c r="C1168" t="s">
        <v>19402</v>
      </c>
      <c r="D1168" t="str">
        <f>_xlfn.XLOOKUP(E1168,pathways!$A$2:$A$31,pathways!$B$2:$B$31)</f>
        <v>Amino acid metabolism</v>
      </c>
      <c r="E1168" t="s">
        <v>3853</v>
      </c>
      <c r="F1168" t="s">
        <v>6422</v>
      </c>
      <c r="G1168" t="s">
        <v>14360</v>
      </c>
      <c r="H1168" t="s">
        <v>14360</v>
      </c>
      <c r="I1168" t="s">
        <v>8454</v>
      </c>
      <c r="J1168" s="4" t="s">
        <v>14360</v>
      </c>
      <c r="L1168" t="s">
        <v>1807</v>
      </c>
      <c r="M1168" t="s">
        <v>15107</v>
      </c>
      <c r="N1168" t="s">
        <v>3853</v>
      </c>
      <c r="O1168" t="s">
        <v>14360</v>
      </c>
      <c r="P1168" t="s">
        <v>6422</v>
      </c>
      <c r="Q1168" t="s">
        <v>14360</v>
      </c>
      <c r="R1168" t="s">
        <v>3853</v>
      </c>
    </row>
    <row r="1169" spans="1:19" x14ac:dyDescent="0.2">
      <c r="A1169" t="s">
        <v>1955</v>
      </c>
      <c r="B1169" t="s">
        <v>14359</v>
      </c>
      <c r="C1169" t="s">
        <v>19460</v>
      </c>
      <c r="D1169" t="str">
        <f>_xlfn.XLOOKUP(E1169,pathways!$A$2:$A$31,pathways!$B$2:$B$31)</f>
        <v>Amino acid metabolism</v>
      </c>
      <c r="E1169" t="s">
        <v>3853</v>
      </c>
      <c r="F1169" t="s">
        <v>6422</v>
      </c>
      <c r="G1169" t="s">
        <v>9054</v>
      </c>
      <c r="H1169" t="s">
        <v>14360</v>
      </c>
      <c r="I1169" t="s">
        <v>9054</v>
      </c>
      <c r="J1169" s="4" t="s">
        <v>9054</v>
      </c>
      <c r="L1169" t="s">
        <v>1954</v>
      </c>
      <c r="M1169" t="s">
        <v>15255</v>
      </c>
      <c r="N1169" t="s">
        <v>3853</v>
      </c>
      <c r="O1169" t="s">
        <v>3853</v>
      </c>
      <c r="P1169" t="s">
        <v>6422</v>
      </c>
      <c r="Q1169" t="s">
        <v>6422</v>
      </c>
      <c r="R1169" t="s">
        <v>3853</v>
      </c>
    </row>
    <row r="1170" spans="1:19" x14ac:dyDescent="0.2">
      <c r="A1170" t="s">
        <v>1378</v>
      </c>
      <c r="B1170" t="s">
        <v>14359</v>
      </c>
      <c r="C1170" t="s">
        <v>19267</v>
      </c>
      <c r="D1170" t="str">
        <f>_xlfn.XLOOKUP(E1170,pathways!$A$2:$A$31,pathways!$B$2:$B$31)</f>
        <v>Amino acid metabolism</v>
      </c>
      <c r="E1170" t="s">
        <v>3853</v>
      </c>
      <c r="F1170" t="s">
        <v>6422</v>
      </c>
      <c r="G1170" t="s">
        <v>6425</v>
      </c>
      <c r="H1170" t="s">
        <v>14360</v>
      </c>
      <c r="I1170" t="s">
        <v>6425</v>
      </c>
      <c r="J1170" s="4" t="s">
        <v>6425</v>
      </c>
      <c r="L1170" t="s">
        <v>1377</v>
      </c>
      <c r="M1170" t="s">
        <v>14658</v>
      </c>
      <c r="N1170" t="s">
        <v>3853</v>
      </c>
      <c r="O1170" t="s">
        <v>3853</v>
      </c>
      <c r="P1170" t="s">
        <v>6422</v>
      </c>
      <c r="Q1170" t="s">
        <v>6422</v>
      </c>
      <c r="R1170" t="s">
        <v>3853</v>
      </c>
    </row>
    <row r="1171" spans="1:19" x14ac:dyDescent="0.2">
      <c r="A1171" t="s">
        <v>13918</v>
      </c>
      <c r="B1171" t="s">
        <v>14359</v>
      </c>
      <c r="C1171" t="s">
        <v>20068</v>
      </c>
      <c r="D1171" t="str">
        <f>_xlfn.XLOOKUP(E1171,pathways!$A$2:$A$31,pathways!$B$2:$B$31)</f>
        <v>Amino acid metabolism</v>
      </c>
      <c r="E1171" t="s">
        <v>3853</v>
      </c>
      <c r="F1171" t="s">
        <v>5381</v>
      </c>
      <c r="G1171" t="s">
        <v>14360</v>
      </c>
      <c r="H1171" t="s">
        <v>14360</v>
      </c>
      <c r="I1171" t="s">
        <v>7940</v>
      </c>
      <c r="J1171" s="4" t="s">
        <v>14360</v>
      </c>
      <c r="L1171" t="s">
        <v>14360</v>
      </c>
      <c r="M1171" t="s">
        <v>14360</v>
      </c>
      <c r="N1171" t="s">
        <v>3853</v>
      </c>
      <c r="O1171" t="s">
        <v>14360</v>
      </c>
      <c r="P1171" t="s">
        <v>5381</v>
      </c>
      <c r="Q1171" t="s">
        <v>14360</v>
      </c>
      <c r="R1171" t="s">
        <v>14360</v>
      </c>
    </row>
    <row r="1172" spans="1:19" x14ac:dyDescent="0.2">
      <c r="A1172" t="s">
        <v>1674</v>
      </c>
      <c r="B1172" t="s">
        <v>14359</v>
      </c>
      <c r="C1172" t="s">
        <v>19366</v>
      </c>
      <c r="D1172" t="str">
        <f>_xlfn.XLOOKUP(E1172,pathways!$A$2:$A$31,pathways!$B$2:$B$31)</f>
        <v>Amino acid metabolism</v>
      </c>
      <c r="E1172" t="s">
        <v>3853</v>
      </c>
      <c r="F1172" t="s">
        <v>5381</v>
      </c>
      <c r="G1172" t="s">
        <v>14360</v>
      </c>
      <c r="H1172" t="s">
        <v>14360</v>
      </c>
      <c r="I1172" t="s">
        <v>7961</v>
      </c>
      <c r="J1172" s="4" t="s">
        <v>14360</v>
      </c>
      <c r="L1172" t="s">
        <v>1673</v>
      </c>
      <c r="M1172" t="s">
        <v>14965</v>
      </c>
      <c r="N1172" t="s">
        <v>3853</v>
      </c>
      <c r="O1172" t="s">
        <v>14360</v>
      </c>
      <c r="P1172" t="s">
        <v>5381</v>
      </c>
      <c r="Q1172" t="s">
        <v>14360</v>
      </c>
      <c r="R1172" t="s">
        <v>3853</v>
      </c>
    </row>
    <row r="1173" spans="1:19" x14ac:dyDescent="0.2">
      <c r="A1173" t="s">
        <v>13825</v>
      </c>
      <c r="B1173" t="s">
        <v>14359</v>
      </c>
      <c r="C1173" t="s">
        <v>20091</v>
      </c>
      <c r="D1173" t="str">
        <f>_xlfn.XLOOKUP(E1173,pathways!$A$2:$A$31,pathways!$B$2:$B$31)</f>
        <v>Amino acid metabolism</v>
      </c>
      <c r="E1173" t="s">
        <v>3853</v>
      </c>
      <c r="F1173" t="s">
        <v>5381</v>
      </c>
      <c r="G1173" t="s">
        <v>5869</v>
      </c>
      <c r="H1173" t="s">
        <v>14360</v>
      </c>
      <c r="I1173" t="s">
        <v>5869</v>
      </c>
      <c r="J1173" s="4" t="s">
        <v>5869</v>
      </c>
      <c r="L1173" t="s">
        <v>14360</v>
      </c>
      <c r="M1173" t="s">
        <v>14360</v>
      </c>
      <c r="N1173" t="s">
        <v>3853</v>
      </c>
      <c r="O1173" t="s">
        <v>3853</v>
      </c>
      <c r="P1173" t="s">
        <v>5381</v>
      </c>
      <c r="Q1173" t="s">
        <v>5381</v>
      </c>
      <c r="R1173" t="s">
        <v>14360</v>
      </c>
    </row>
    <row r="1174" spans="1:19" x14ac:dyDescent="0.2">
      <c r="A1174" t="s">
        <v>13919</v>
      </c>
      <c r="B1174" t="s">
        <v>14359</v>
      </c>
      <c r="C1174" t="s">
        <v>19887</v>
      </c>
      <c r="D1174" t="str">
        <f>_xlfn.XLOOKUP(E1174,pathways!$A$2:$A$31,pathways!$B$2:$B$31)</f>
        <v>Amino acid metabolism</v>
      </c>
      <c r="E1174" t="s">
        <v>3853</v>
      </c>
      <c r="F1174" t="s">
        <v>5381</v>
      </c>
      <c r="G1174" t="s">
        <v>14360</v>
      </c>
      <c r="H1174" t="s">
        <v>14360</v>
      </c>
      <c r="I1174" t="s">
        <v>7947</v>
      </c>
      <c r="J1174" s="4" t="s">
        <v>14360</v>
      </c>
      <c r="L1174" t="s">
        <v>14360</v>
      </c>
      <c r="M1174" t="s">
        <v>14360</v>
      </c>
      <c r="N1174" t="s">
        <v>3853</v>
      </c>
      <c r="O1174" t="s">
        <v>14360</v>
      </c>
      <c r="P1174" t="s">
        <v>5381</v>
      </c>
      <c r="Q1174" t="s">
        <v>14360</v>
      </c>
      <c r="R1174" t="s">
        <v>14360</v>
      </c>
    </row>
    <row r="1175" spans="1:19" x14ac:dyDescent="0.2">
      <c r="A1175" t="s">
        <v>13920</v>
      </c>
      <c r="B1175" t="s">
        <v>14359</v>
      </c>
      <c r="C1175" t="s">
        <v>19888</v>
      </c>
      <c r="D1175" t="str">
        <f>_xlfn.XLOOKUP(E1175,pathways!$A$2:$A$31,pathways!$B$2:$B$31)</f>
        <v>Amino acid metabolism</v>
      </c>
      <c r="E1175" t="s">
        <v>3853</v>
      </c>
      <c r="F1175" t="s">
        <v>5381</v>
      </c>
      <c r="G1175" t="s">
        <v>14360</v>
      </c>
      <c r="H1175" t="s">
        <v>14360</v>
      </c>
      <c r="I1175" t="s">
        <v>7954</v>
      </c>
      <c r="J1175" s="4" t="s">
        <v>7954</v>
      </c>
      <c r="L1175" t="s">
        <v>14360</v>
      </c>
      <c r="M1175" t="s">
        <v>14360</v>
      </c>
      <c r="N1175" t="s">
        <v>3853</v>
      </c>
      <c r="O1175" t="s">
        <v>3853</v>
      </c>
      <c r="P1175" t="s">
        <v>5381</v>
      </c>
      <c r="Q1175" t="s">
        <v>5381</v>
      </c>
      <c r="R1175" t="s">
        <v>14360</v>
      </c>
    </row>
    <row r="1176" spans="1:19" x14ac:dyDescent="0.2">
      <c r="A1176" t="s">
        <v>669</v>
      </c>
      <c r="B1176" t="s">
        <v>14358</v>
      </c>
      <c r="C1176" t="s">
        <v>668</v>
      </c>
      <c r="D1176" t="s">
        <v>20125</v>
      </c>
      <c r="E1176" t="s">
        <v>665</v>
      </c>
      <c r="F1176" t="s">
        <v>665</v>
      </c>
      <c r="G1176" t="s">
        <v>14360</v>
      </c>
      <c r="H1176" t="s">
        <v>10600</v>
      </c>
      <c r="I1176" t="s">
        <v>10600</v>
      </c>
      <c r="J1176" s="4" t="s">
        <v>14360</v>
      </c>
      <c r="K1176" t="s">
        <v>668</v>
      </c>
      <c r="L1176" t="s">
        <v>14360</v>
      </c>
      <c r="M1176" t="s">
        <v>14360</v>
      </c>
      <c r="N1176" t="s">
        <v>665</v>
      </c>
      <c r="O1176" t="s">
        <v>14360</v>
      </c>
      <c r="P1176" t="s">
        <v>665</v>
      </c>
      <c r="Q1176" t="s">
        <v>14360</v>
      </c>
      <c r="R1176" t="s">
        <v>14360</v>
      </c>
    </row>
    <row r="1177" spans="1:19" x14ac:dyDescent="0.2">
      <c r="A1177" t="s">
        <v>687</v>
      </c>
      <c r="B1177" t="s">
        <v>14358</v>
      </c>
      <c r="C1177" t="s">
        <v>686</v>
      </c>
      <c r="D1177" t="s">
        <v>20125</v>
      </c>
      <c r="E1177" t="s">
        <v>665</v>
      </c>
      <c r="F1177" t="s">
        <v>665</v>
      </c>
      <c r="G1177" t="s">
        <v>14360</v>
      </c>
      <c r="H1177" t="s">
        <v>10597</v>
      </c>
      <c r="I1177" t="s">
        <v>10597</v>
      </c>
      <c r="J1177" s="4" t="s">
        <v>14360</v>
      </c>
      <c r="K1177" t="s">
        <v>686</v>
      </c>
      <c r="L1177" t="s">
        <v>14360</v>
      </c>
      <c r="M1177" t="s">
        <v>14360</v>
      </c>
      <c r="N1177" t="s">
        <v>665</v>
      </c>
      <c r="O1177" t="s">
        <v>14360</v>
      </c>
      <c r="P1177" t="s">
        <v>665</v>
      </c>
      <c r="Q1177" t="s">
        <v>14360</v>
      </c>
      <c r="R1177" t="s">
        <v>14360</v>
      </c>
    </row>
    <row r="1178" spans="1:19" x14ac:dyDescent="0.2">
      <c r="A1178" t="s">
        <v>726</v>
      </c>
      <c r="B1178" t="s">
        <v>14358</v>
      </c>
      <c r="C1178" t="s">
        <v>19880</v>
      </c>
      <c r="D1178" t="s">
        <v>20125</v>
      </c>
      <c r="E1178" t="s">
        <v>665</v>
      </c>
      <c r="F1178" t="s">
        <v>665</v>
      </c>
      <c r="G1178" t="s">
        <v>14360</v>
      </c>
      <c r="H1178" t="s">
        <v>10594</v>
      </c>
      <c r="I1178" t="s">
        <v>10594</v>
      </c>
      <c r="J1178" s="4" t="s">
        <v>14360</v>
      </c>
      <c r="K1178" t="s">
        <v>725</v>
      </c>
      <c r="L1178" t="s">
        <v>14360</v>
      </c>
      <c r="M1178" t="s">
        <v>14360</v>
      </c>
      <c r="N1178" t="s">
        <v>665</v>
      </c>
      <c r="O1178" t="s">
        <v>14360</v>
      </c>
      <c r="P1178" t="s">
        <v>665</v>
      </c>
      <c r="Q1178" t="s">
        <v>14360</v>
      </c>
      <c r="R1178" t="s">
        <v>14360</v>
      </c>
      <c r="S1178" t="s">
        <v>4017</v>
      </c>
    </row>
    <row r="1179" spans="1:19" x14ac:dyDescent="0.2">
      <c r="A1179" t="s">
        <v>928</v>
      </c>
      <c r="B1179" t="s">
        <v>14358</v>
      </c>
      <c r="C1179" t="s">
        <v>927</v>
      </c>
      <c r="D1179" t="s">
        <v>20125</v>
      </c>
      <c r="E1179" t="s">
        <v>665</v>
      </c>
      <c r="F1179" t="s">
        <v>665</v>
      </c>
      <c r="G1179" t="s">
        <v>14360</v>
      </c>
      <c r="H1179" t="s">
        <v>10591</v>
      </c>
      <c r="I1179" t="s">
        <v>10591</v>
      </c>
      <c r="J1179" s="4" t="s">
        <v>14360</v>
      </c>
      <c r="K1179" t="s">
        <v>927</v>
      </c>
      <c r="L1179" t="s">
        <v>14360</v>
      </c>
      <c r="M1179" t="s">
        <v>14360</v>
      </c>
      <c r="N1179" t="s">
        <v>665</v>
      </c>
      <c r="O1179" t="s">
        <v>14360</v>
      </c>
      <c r="P1179" t="s">
        <v>665</v>
      </c>
      <c r="Q1179" t="s">
        <v>14360</v>
      </c>
      <c r="R1179" t="s">
        <v>14360</v>
      </c>
      <c r="S1179" t="s">
        <v>4017</v>
      </c>
    </row>
    <row r="1180" spans="1:19" x14ac:dyDescent="0.2">
      <c r="A1180" t="s">
        <v>860</v>
      </c>
      <c r="B1180" t="s">
        <v>14358</v>
      </c>
      <c r="C1180" t="s">
        <v>859</v>
      </c>
      <c r="D1180" t="s">
        <v>20125</v>
      </c>
      <c r="E1180" t="s">
        <v>857</v>
      </c>
      <c r="F1180" t="s">
        <v>857</v>
      </c>
      <c r="G1180" t="s">
        <v>14360</v>
      </c>
      <c r="H1180" t="s">
        <v>10636</v>
      </c>
      <c r="I1180" t="s">
        <v>10636</v>
      </c>
      <c r="J1180" s="4" t="s">
        <v>14360</v>
      </c>
      <c r="K1180" t="s">
        <v>859</v>
      </c>
      <c r="L1180" t="s">
        <v>14360</v>
      </c>
      <c r="M1180" t="s">
        <v>14360</v>
      </c>
      <c r="N1180" t="s">
        <v>857</v>
      </c>
      <c r="O1180" t="s">
        <v>14360</v>
      </c>
      <c r="P1180" t="s">
        <v>857</v>
      </c>
      <c r="Q1180" t="s">
        <v>14360</v>
      </c>
      <c r="R1180" t="s">
        <v>14360</v>
      </c>
      <c r="S1180" t="s">
        <v>6580</v>
      </c>
    </row>
    <row r="1181" spans="1:19" x14ac:dyDescent="0.2">
      <c r="A1181" t="s">
        <v>880</v>
      </c>
      <c r="B1181" t="s">
        <v>14358</v>
      </c>
      <c r="C1181" t="s">
        <v>879</v>
      </c>
      <c r="D1181" t="s">
        <v>20125</v>
      </c>
      <c r="E1181" t="s">
        <v>857</v>
      </c>
      <c r="F1181" t="s">
        <v>857</v>
      </c>
      <c r="G1181" t="s">
        <v>14360</v>
      </c>
      <c r="H1181" t="s">
        <v>10633</v>
      </c>
      <c r="I1181" t="s">
        <v>10633</v>
      </c>
      <c r="J1181" s="4" t="s">
        <v>14360</v>
      </c>
      <c r="K1181" t="s">
        <v>879</v>
      </c>
      <c r="L1181" t="s">
        <v>14360</v>
      </c>
      <c r="M1181" t="s">
        <v>14360</v>
      </c>
      <c r="N1181" t="s">
        <v>857</v>
      </c>
      <c r="O1181" t="s">
        <v>14360</v>
      </c>
      <c r="P1181" t="s">
        <v>857</v>
      </c>
      <c r="Q1181" t="s">
        <v>14360</v>
      </c>
      <c r="R1181" t="s">
        <v>14360</v>
      </c>
      <c r="S1181" t="s">
        <v>14360</v>
      </c>
    </row>
    <row r="1182" spans="1:19" x14ac:dyDescent="0.2">
      <c r="A1182" t="s">
        <v>884</v>
      </c>
      <c r="B1182" t="s">
        <v>14358</v>
      </c>
      <c r="C1182" t="s">
        <v>883</v>
      </c>
      <c r="D1182" t="s">
        <v>20125</v>
      </c>
      <c r="E1182" t="s">
        <v>857</v>
      </c>
      <c r="F1182" t="s">
        <v>857</v>
      </c>
      <c r="G1182" t="s">
        <v>14360</v>
      </c>
      <c r="H1182" t="s">
        <v>10627</v>
      </c>
      <c r="I1182" t="s">
        <v>10627</v>
      </c>
      <c r="J1182" s="4" t="s">
        <v>14360</v>
      </c>
      <c r="K1182" t="s">
        <v>883</v>
      </c>
      <c r="L1182" t="s">
        <v>14360</v>
      </c>
      <c r="M1182" t="s">
        <v>14360</v>
      </c>
      <c r="N1182" t="s">
        <v>857</v>
      </c>
      <c r="O1182" t="s">
        <v>14360</v>
      </c>
      <c r="P1182" t="s">
        <v>857</v>
      </c>
      <c r="Q1182" t="s">
        <v>14360</v>
      </c>
      <c r="R1182" t="s">
        <v>14360</v>
      </c>
      <c r="S1182" t="s">
        <v>14360</v>
      </c>
    </row>
    <row r="1183" spans="1:19" x14ac:dyDescent="0.2">
      <c r="A1183" t="s">
        <v>924</v>
      </c>
      <c r="B1183" t="s">
        <v>14358</v>
      </c>
      <c r="C1183" t="s">
        <v>923</v>
      </c>
      <c r="D1183" t="s">
        <v>20125</v>
      </c>
      <c r="E1183" t="s">
        <v>857</v>
      </c>
      <c r="F1183" t="s">
        <v>857</v>
      </c>
      <c r="G1183" t="s">
        <v>14360</v>
      </c>
      <c r="H1183" t="s">
        <v>10630</v>
      </c>
      <c r="I1183" t="s">
        <v>10630</v>
      </c>
      <c r="J1183" s="4" t="s">
        <v>14360</v>
      </c>
      <c r="K1183" t="s">
        <v>923</v>
      </c>
      <c r="L1183" t="s">
        <v>14360</v>
      </c>
      <c r="M1183" t="s">
        <v>14360</v>
      </c>
      <c r="N1183" t="s">
        <v>857</v>
      </c>
      <c r="O1183" t="s">
        <v>14360</v>
      </c>
      <c r="P1183" t="s">
        <v>857</v>
      </c>
      <c r="Q1183" t="s">
        <v>14360</v>
      </c>
      <c r="R1183" t="s">
        <v>14360</v>
      </c>
      <c r="S1183" t="s">
        <v>5632</v>
      </c>
    </row>
    <row r="1184" spans="1:19" x14ac:dyDescent="0.2">
      <c r="A1184" t="s">
        <v>933</v>
      </c>
      <c r="B1184" t="s">
        <v>14358</v>
      </c>
      <c r="C1184" t="s">
        <v>19767</v>
      </c>
      <c r="D1184" t="str">
        <f>_xlfn.XLOOKUP(E1184,pathways!$A$2:$A$31,pathways!$B$2:$B$31)</f>
        <v>Lipid metabolism</v>
      </c>
      <c r="E1184" t="s">
        <v>935</v>
      </c>
      <c r="F1184" t="s">
        <v>935</v>
      </c>
      <c r="G1184" t="s">
        <v>14360</v>
      </c>
      <c r="H1184" t="s">
        <v>934</v>
      </c>
      <c r="I1184" t="s">
        <v>10579</v>
      </c>
      <c r="J1184" s="4" t="s">
        <v>934</v>
      </c>
      <c r="K1184" t="s">
        <v>931</v>
      </c>
      <c r="L1184" t="s">
        <v>932</v>
      </c>
      <c r="M1184" t="s">
        <v>16982</v>
      </c>
      <c r="N1184" t="s">
        <v>935</v>
      </c>
      <c r="O1184" t="s">
        <v>935</v>
      </c>
      <c r="P1184" t="s">
        <v>935</v>
      </c>
      <c r="S1184" t="s">
        <v>5632</v>
      </c>
    </row>
    <row r="1185" spans="1:19" x14ac:dyDescent="0.2">
      <c r="A1185" t="s">
        <v>2645</v>
      </c>
      <c r="B1185" t="s">
        <v>14359</v>
      </c>
      <c r="C1185" t="s">
        <v>10296</v>
      </c>
      <c r="D1185" t="str">
        <f>_xlfn.XLOOKUP(E1185,pathways!$A$2:$A$31,pathways!$B$2:$B$31)</f>
        <v>Unknown</v>
      </c>
      <c r="E1185" t="s">
        <v>18840</v>
      </c>
      <c r="F1185" t="s">
        <v>18840</v>
      </c>
      <c r="G1185" t="s">
        <v>20677</v>
      </c>
      <c r="H1185" t="s">
        <v>14360</v>
      </c>
      <c r="I1185" t="s">
        <v>10296</v>
      </c>
      <c r="J1185" s="4" t="s">
        <v>12580</v>
      </c>
      <c r="L1185" t="s">
        <v>2644</v>
      </c>
      <c r="M1185" t="s">
        <v>15983</v>
      </c>
      <c r="R1185" t="s">
        <v>18840</v>
      </c>
      <c r="S1185" t="s">
        <v>3687</v>
      </c>
    </row>
    <row r="1186" spans="1:19" x14ac:dyDescent="0.2">
      <c r="A1186" t="s">
        <v>2255</v>
      </c>
      <c r="B1186" t="s">
        <v>14359</v>
      </c>
      <c r="C1186" t="s">
        <v>20321</v>
      </c>
      <c r="D1186" t="str">
        <f>_xlfn.XLOOKUP(E1186,pathways!$A$2:$A$31,pathways!$B$2:$B$31)</f>
        <v>Unknown</v>
      </c>
      <c r="E1186" t="s">
        <v>18840</v>
      </c>
      <c r="F1186" t="s">
        <v>4373</v>
      </c>
      <c r="G1186" t="s">
        <v>14360</v>
      </c>
      <c r="H1186" t="s">
        <v>14360</v>
      </c>
      <c r="I1186" t="s">
        <v>14360</v>
      </c>
      <c r="J1186" s="4" t="s">
        <v>12582</v>
      </c>
      <c r="L1186" t="s">
        <v>14360</v>
      </c>
      <c r="M1186" t="s">
        <v>14360</v>
      </c>
      <c r="N1186" t="s">
        <v>14360</v>
      </c>
      <c r="P1186" t="s">
        <v>14360</v>
      </c>
      <c r="R1186" t="s">
        <v>14360</v>
      </c>
      <c r="S1186" t="s">
        <v>3687</v>
      </c>
    </row>
    <row r="1187" spans="1:19" x14ac:dyDescent="0.2">
      <c r="A1187" t="s">
        <v>2661</v>
      </c>
      <c r="B1187" t="s">
        <v>14359</v>
      </c>
      <c r="C1187" t="s">
        <v>10297</v>
      </c>
      <c r="D1187" t="str">
        <f>_xlfn.XLOOKUP(E1187,pathways!$A$2:$A$31,pathways!$B$2:$B$31)</f>
        <v>Unknown</v>
      </c>
      <c r="E1187" t="s">
        <v>18840</v>
      </c>
      <c r="F1187" t="s">
        <v>4373</v>
      </c>
      <c r="G1187" t="s">
        <v>14360</v>
      </c>
      <c r="H1187" t="s">
        <v>14360</v>
      </c>
      <c r="I1187" t="s">
        <v>10297</v>
      </c>
      <c r="J1187" s="4" t="s">
        <v>14360</v>
      </c>
      <c r="L1187" t="s">
        <v>2660</v>
      </c>
      <c r="M1187" t="s">
        <v>15999</v>
      </c>
      <c r="O1187" t="s">
        <v>14360</v>
      </c>
      <c r="Q1187" t="s">
        <v>14360</v>
      </c>
      <c r="R1187" t="s">
        <v>18840</v>
      </c>
      <c r="S1187" t="s">
        <v>3687</v>
      </c>
    </row>
    <row r="1188" spans="1:19" x14ac:dyDescent="0.2">
      <c r="A1188" t="s">
        <v>14258</v>
      </c>
      <c r="B1188" t="s">
        <v>14359</v>
      </c>
      <c r="C1188" t="s">
        <v>20322</v>
      </c>
      <c r="D1188" t="str">
        <f>_xlfn.XLOOKUP(E1188,pathways!$A$2:$A$31,pathways!$B$2:$B$31)</f>
        <v>Unknown</v>
      </c>
      <c r="E1188" t="s">
        <v>18840</v>
      </c>
      <c r="F1188" t="s">
        <v>5632</v>
      </c>
      <c r="G1188" t="s">
        <v>20690</v>
      </c>
      <c r="H1188" t="s">
        <v>14360</v>
      </c>
      <c r="I1188" t="s">
        <v>14360</v>
      </c>
      <c r="J1188" s="4" t="s">
        <v>12584</v>
      </c>
      <c r="L1188" t="s">
        <v>14360</v>
      </c>
      <c r="M1188" t="s">
        <v>14360</v>
      </c>
      <c r="N1188" t="s">
        <v>14360</v>
      </c>
      <c r="P1188" t="s">
        <v>14360</v>
      </c>
      <c r="R1188" t="s">
        <v>14360</v>
      </c>
      <c r="S1188" t="s">
        <v>3524</v>
      </c>
    </row>
    <row r="1189" spans="1:19" x14ac:dyDescent="0.2">
      <c r="A1189" t="s">
        <v>2663</v>
      </c>
      <c r="B1189" t="s">
        <v>14359</v>
      </c>
      <c r="C1189" t="s">
        <v>10298</v>
      </c>
      <c r="D1189" t="str">
        <f>_xlfn.XLOOKUP(E1189,pathways!$A$2:$A$31,pathways!$B$2:$B$31)</f>
        <v>Unknown</v>
      </c>
      <c r="E1189" t="s">
        <v>18840</v>
      </c>
      <c r="F1189" t="s">
        <v>5600</v>
      </c>
      <c r="G1189" t="s">
        <v>20667</v>
      </c>
      <c r="H1189" t="s">
        <v>14360</v>
      </c>
      <c r="I1189" t="s">
        <v>10298</v>
      </c>
      <c r="J1189" s="4" t="s">
        <v>12586</v>
      </c>
      <c r="L1189" t="s">
        <v>2662</v>
      </c>
      <c r="M1189" t="s">
        <v>16001</v>
      </c>
      <c r="R1189" t="s">
        <v>18840</v>
      </c>
      <c r="S1189" t="s">
        <v>6422</v>
      </c>
    </row>
    <row r="1190" spans="1:19" x14ac:dyDescent="0.2">
      <c r="A1190" t="s">
        <v>2651</v>
      </c>
      <c r="B1190" t="s">
        <v>14359</v>
      </c>
      <c r="C1190" t="s">
        <v>10299</v>
      </c>
      <c r="D1190" t="str">
        <f>_xlfn.XLOOKUP(E1190,pathways!$A$2:$A$31,pathways!$B$2:$B$31)</f>
        <v>Unknown</v>
      </c>
      <c r="E1190" t="s">
        <v>18840</v>
      </c>
      <c r="F1190" t="s">
        <v>3882</v>
      </c>
      <c r="G1190" t="s">
        <v>20521</v>
      </c>
      <c r="H1190" t="s">
        <v>14360</v>
      </c>
      <c r="I1190" t="s">
        <v>10299</v>
      </c>
      <c r="J1190" s="4" t="s">
        <v>12588</v>
      </c>
      <c r="L1190" t="s">
        <v>2650</v>
      </c>
      <c r="M1190" t="s">
        <v>15989</v>
      </c>
      <c r="R1190" t="s">
        <v>18840</v>
      </c>
      <c r="S1190" t="s">
        <v>6422</v>
      </c>
    </row>
    <row r="1191" spans="1:19" x14ac:dyDescent="0.2">
      <c r="A1191" t="s">
        <v>2655</v>
      </c>
      <c r="B1191" t="s">
        <v>14359</v>
      </c>
      <c r="C1191" t="s">
        <v>10300</v>
      </c>
      <c r="D1191" t="str">
        <f>_xlfn.XLOOKUP(E1191,pathways!$A$2:$A$31,pathways!$B$2:$B$31)</f>
        <v>Unknown</v>
      </c>
      <c r="E1191" t="s">
        <v>18840</v>
      </c>
      <c r="F1191" t="s">
        <v>18840</v>
      </c>
      <c r="G1191" t="s">
        <v>20495</v>
      </c>
      <c r="H1191" t="s">
        <v>14360</v>
      </c>
      <c r="I1191" t="s">
        <v>10300</v>
      </c>
      <c r="J1191" s="4" t="s">
        <v>12590</v>
      </c>
      <c r="L1191" t="s">
        <v>2654</v>
      </c>
      <c r="M1191" t="s">
        <v>15993</v>
      </c>
      <c r="R1191" t="s">
        <v>18840</v>
      </c>
      <c r="S1191" t="s">
        <v>6422</v>
      </c>
    </row>
    <row r="1192" spans="1:19" x14ac:dyDescent="0.2">
      <c r="A1192" t="s">
        <v>2659</v>
      </c>
      <c r="B1192" t="s">
        <v>14359</v>
      </c>
      <c r="C1192" t="s">
        <v>10301</v>
      </c>
      <c r="D1192" t="str">
        <f>_xlfn.XLOOKUP(E1192,pathways!$A$2:$A$31,pathways!$B$2:$B$31)</f>
        <v>Unknown</v>
      </c>
      <c r="E1192" t="s">
        <v>18840</v>
      </c>
      <c r="F1192" t="s">
        <v>3864</v>
      </c>
      <c r="G1192" t="s">
        <v>20466</v>
      </c>
      <c r="H1192" t="s">
        <v>14360</v>
      </c>
      <c r="I1192" t="s">
        <v>10301</v>
      </c>
      <c r="J1192" s="4" t="s">
        <v>12592</v>
      </c>
      <c r="L1192" t="s">
        <v>2658</v>
      </c>
      <c r="M1192" t="s">
        <v>15997</v>
      </c>
      <c r="R1192" t="s">
        <v>18840</v>
      </c>
      <c r="S1192" t="s">
        <v>3524</v>
      </c>
    </row>
    <row r="1193" spans="1:19" x14ac:dyDescent="0.2">
      <c r="A1193" t="s">
        <v>14124</v>
      </c>
      <c r="B1193" t="s">
        <v>14359</v>
      </c>
      <c r="C1193" t="s">
        <v>10302</v>
      </c>
      <c r="D1193" t="str">
        <f>_xlfn.XLOOKUP(E1193,pathways!$A$2:$A$31,pathways!$B$2:$B$31)</f>
        <v>Unknown</v>
      </c>
      <c r="E1193" t="s">
        <v>18840</v>
      </c>
      <c r="F1193" t="s">
        <v>3687</v>
      </c>
      <c r="G1193" t="s">
        <v>14360</v>
      </c>
      <c r="H1193" t="s">
        <v>14360</v>
      </c>
      <c r="I1193" t="s">
        <v>10302</v>
      </c>
      <c r="J1193" s="4" t="s">
        <v>12594</v>
      </c>
      <c r="L1193" t="s">
        <v>14360</v>
      </c>
      <c r="M1193" t="s">
        <v>14360</v>
      </c>
      <c r="R1193" t="s">
        <v>14360</v>
      </c>
    </row>
    <row r="1194" spans="1:19" x14ac:dyDescent="0.2">
      <c r="A1194" t="s">
        <v>2681</v>
      </c>
      <c r="B1194" t="s">
        <v>14359</v>
      </c>
      <c r="C1194" t="s">
        <v>10303</v>
      </c>
      <c r="D1194" t="str">
        <f>_xlfn.XLOOKUP(E1194,pathways!$A$2:$A$31,pathways!$B$2:$B$31)</f>
        <v>Unknown</v>
      </c>
      <c r="E1194" t="s">
        <v>18840</v>
      </c>
      <c r="F1194" t="s">
        <v>3498</v>
      </c>
      <c r="G1194" t="s">
        <v>14360</v>
      </c>
      <c r="H1194" t="s">
        <v>14360</v>
      </c>
      <c r="I1194" t="s">
        <v>10303</v>
      </c>
      <c r="J1194" s="4" t="s">
        <v>12596</v>
      </c>
      <c r="L1194" t="s">
        <v>14360</v>
      </c>
      <c r="M1194" t="s">
        <v>14360</v>
      </c>
      <c r="R1194" t="s">
        <v>14360</v>
      </c>
      <c r="S1194" t="s">
        <v>14360</v>
      </c>
    </row>
    <row r="1195" spans="1:19" x14ac:dyDescent="0.2">
      <c r="A1195" t="s">
        <v>14125</v>
      </c>
      <c r="B1195" t="s">
        <v>14359</v>
      </c>
      <c r="C1195" t="s">
        <v>10304</v>
      </c>
      <c r="D1195" t="str">
        <f>_xlfn.XLOOKUP(E1195,pathways!$A$2:$A$31,pathways!$B$2:$B$31)</f>
        <v>Unknown</v>
      </c>
      <c r="E1195" t="s">
        <v>18840</v>
      </c>
      <c r="F1195" t="s">
        <v>18840</v>
      </c>
      <c r="G1195" t="s">
        <v>20532</v>
      </c>
      <c r="H1195" t="s">
        <v>14360</v>
      </c>
      <c r="I1195" t="s">
        <v>10304</v>
      </c>
      <c r="J1195" s="4" t="s">
        <v>14360</v>
      </c>
      <c r="L1195" t="s">
        <v>14360</v>
      </c>
      <c r="M1195" t="s">
        <v>14360</v>
      </c>
      <c r="O1195" t="s">
        <v>14360</v>
      </c>
      <c r="Q1195" t="s">
        <v>14360</v>
      </c>
      <c r="R1195" t="s">
        <v>14360</v>
      </c>
      <c r="S1195" t="s">
        <v>3524</v>
      </c>
    </row>
    <row r="1196" spans="1:19" x14ac:dyDescent="0.2">
      <c r="A1196" t="s">
        <v>1569</v>
      </c>
      <c r="B1196" t="s">
        <v>14359</v>
      </c>
      <c r="C1196" t="s">
        <v>20323</v>
      </c>
      <c r="D1196" t="str">
        <f>_xlfn.XLOOKUP(E1196,pathways!$A$2:$A$31,pathways!$B$2:$B$31)</f>
        <v>Unknown</v>
      </c>
      <c r="E1196" t="s">
        <v>18840</v>
      </c>
      <c r="F1196" t="s">
        <v>18840</v>
      </c>
      <c r="G1196" t="s">
        <v>14360</v>
      </c>
      <c r="H1196" t="s">
        <v>14360</v>
      </c>
      <c r="I1196" t="s">
        <v>14360</v>
      </c>
      <c r="J1196" s="4" t="s">
        <v>12598</v>
      </c>
      <c r="L1196" t="s">
        <v>14360</v>
      </c>
      <c r="M1196" t="s">
        <v>14360</v>
      </c>
      <c r="N1196" t="s">
        <v>14360</v>
      </c>
      <c r="P1196" t="s">
        <v>14360</v>
      </c>
      <c r="R1196" t="s">
        <v>14360</v>
      </c>
      <c r="S1196" t="s">
        <v>3524</v>
      </c>
    </row>
    <row r="1197" spans="1:19" x14ac:dyDescent="0.2">
      <c r="A1197" t="s">
        <v>2273</v>
      </c>
      <c r="B1197" t="s">
        <v>14359</v>
      </c>
      <c r="C1197" t="s">
        <v>20324</v>
      </c>
      <c r="D1197" t="str">
        <f>_xlfn.XLOOKUP(E1197,pathways!$A$2:$A$31,pathways!$B$2:$B$31)</f>
        <v>Unknown</v>
      </c>
      <c r="E1197" t="s">
        <v>18840</v>
      </c>
      <c r="F1197" t="s">
        <v>18840</v>
      </c>
      <c r="G1197" t="s">
        <v>14360</v>
      </c>
      <c r="H1197" t="s">
        <v>14360</v>
      </c>
      <c r="I1197" t="s">
        <v>14360</v>
      </c>
      <c r="J1197" s="4" t="s">
        <v>12600</v>
      </c>
      <c r="L1197" t="s">
        <v>14360</v>
      </c>
      <c r="M1197" t="s">
        <v>14360</v>
      </c>
      <c r="N1197" t="s">
        <v>14360</v>
      </c>
      <c r="P1197" t="s">
        <v>14360</v>
      </c>
      <c r="R1197" t="s">
        <v>14360</v>
      </c>
      <c r="S1197" t="s">
        <v>4075</v>
      </c>
    </row>
    <row r="1198" spans="1:19" x14ac:dyDescent="0.2">
      <c r="A1198" t="s">
        <v>14259</v>
      </c>
      <c r="B1198" t="s">
        <v>14359</v>
      </c>
      <c r="C1198" t="s">
        <v>20325</v>
      </c>
      <c r="D1198" t="str">
        <f>_xlfn.XLOOKUP(E1198,pathways!$A$2:$A$31,pathways!$B$2:$B$31)</f>
        <v>Unknown</v>
      </c>
      <c r="E1198" t="s">
        <v>18840</v>
      </c>
      <c r="F1198" t="s">
        <v>18840</v>
      </c>
      <c r="G1198" t="s">
        <v>20675</v>
      </c>
      <c r="H1198" t="s">
        <v>14360</v>
      </c>
      <c r="I1198" t="s">
        <v>14360</v>
      </c>
      <c r="J1198" s="4" t="s">
        <v>12602</v>
      </c>
      <c r="L1198" t="s">
        <v>14360</v>
      </c>
      <c r="M1198" t="s">
        <v>14360</v>
      </c>
      <c r="N1198" t="s">
        <v>14360</v>
      </c>
      <c r="P1198" t="s">
        <v>14360</v>
      </c>
      <c r="R1198" t="s">
        <v>14360</v>
      </c>
    </row>
    <row r="1199" spans="1:19" x14ac:dyDescent="0.2">
      <c r="A1199" t="s">
        <v>14260</v>
      </c>
      <c r="B1199" t="s">
        <v>14359</v>
      </c>
      <c r="C1199" t="s">
        <v>20326</v>
      </c>
      <c r="D1199" t="str">
        <f>_xlfn.XLOOKUP(E1199,pathways!$A$2:$A$31,pathways!$B$2:$B$31)</f>
        <v>Unknown</v>
      </c>
      <c r="E1199" t="s">
        <v>18840</v>
      </c>
      <c r="F1199" t="s">
        <v>18840</v>
      </c>
      <c r="G1199" t="s">
        <v>20648</v>
      </c>
      <c r="H1199" t="s">
        <v>14360</v>
      </c>
      <c r="I1199" t="s">
        <v>14360</v>
      </c>
      <c r="J1199" s="4" t="s">
        <v>12604</v>
      </c>
      <c r="L1199" t="s">
        <v>14360</v>
      </c>
      <c r="M1199" t="s">
        <v>14360</v>
      </c>
      <c r="N1199" t="s">
        <v>14360</v>
      </c>
      <c r="P1199" t="s">
        <v>14360</v>
      </c>
      <c r="R1199" t="s">
        <v>14360</v>
      </c>
      <c r="S1199" t="s">
        <v>14360</v>
      </c>
    </row>
    <row r="1200" spans="1:19" x14ac:dyDescent="0.2">
      <c r="A1200" t="s">
        <v>2687</v>
      </c>
      <c r="B1200" t="s">
        <v>14359</v>
      </c>
      <c r="C1200" t="s">
        <v>10305</v>
      </c>
      <c r="D1200" t="str">
        <f>_xlfn.XLOOKUP(E1200,pathways!$A$2:$A$31,pathways!$B$2:$B$31)</f>
        <v>Unknown</v>
      </c>
      <c r="E1200" t="s">
        <v>18840</v>
      </c>
      <c r="F1200" t="s">
        <v>18840</v>
      </c>
      <c r="G1200" t="s">
        <v>20497</v>
      </c>
      <c r="H1200" t="s">
        <v>14360</v>
      </c>
      <c r="I1200" t="s">
        <v>10305</v>
      </c>
      <c r="J1200" s="4" t="s">
        <v>12606</v>
      </c>
      <c r="L1200" t="s">
        <v>2686</v>
      </c>
      <c r="M1200" t="s">
        <v>16025</v>
      </c>
      <c r="R1200" t="s">
        <v>18840</v>
      </c>
      <c r="S1200" t="s">
        <v>3758</v>
      </c>
    </row>
    <row r="1201" spans="1:19" x14ac:dyDescent="0.2">
      <c r="A1201" t="s">
        <v>2679</v>
      </c>
      <c r="B1201" t="s">
        <v>14359</v>
      </c>
      <c r="C1201" t="s">
        <v>10306</v>
      </c>
      <c r="D1201" t="str">
        <f>_xlfn.XLOOKUP(E1201,pathways!$A$2:$A$31,pathways!$B$2:$B$31)</f>
        <v>Unknown</v>
      </c>
      <c r="E1201" t="s">
        <v>18840</v>
      </c>
      <c r="F1201" t="s">
        <v>18840</v>
      </c>
      <c r="G1201" t="s">
        <v>20555</v>
      </c>
      <c r="H1201" t="s">
        <v>14360</v>
      </c>
      <c r="I1201" t="s">
        <v>10306</v>
      </c>
      <c r="J1201" s="4" t="s">
        <v>12608</v>
      </c>
      <c r="L1201" t="s">
        <v>2678</v>
      </c>
      <c r="M1201" t="s">
        <v>16017</v>
      </c>
      <c r="R1201" t="s">
        <v>18840</v>
      </c>
    </row>
    <row r="1202" spans="1:19" x14ac:dyDescent="0.2">
      <c r="A1202" t="s">
        <v>2665</v>
      </c>
      <c r="B1202" t="s">
        <v>14359</v>
      </c>
      <c r="C1202" t="s">
        <v>10307</v>
      </c>
      <c r="D1202" t="str">
        <f>_xlfn.XLOOKUP(E1202,pathways!$A$2:$A$31,pathways!$B$2:$B$31)</f>
        <v>Unknown</v>
      </c>
      <c r="E1202" t="s">
        <v>18840</v>
      </c>
      <c r="F1202" t="s">
        <v>18840</v>
      </c>
      <c r="G1202" t="s">
        <v>20565</v>
      </c>
      <c r="H1202" t="s">
        <v>14360</v>
      </c>
      <c r="I1202" t="s">
        <v>10307</v>
      </c>
      <c r="J1202" s="4" t="s">
        <v>12610</v>
      </c>
      <c r="L1202" t="s">
        <v>2664</v>
      </c>
      <c r="M1202" t="s">
        <v>16003</v>
      </c>
      <c r="R1202" t="s">
        <v>18840</v>
      </c>
    </row>
    <row r="1203" spans="1:19" x14ac:dyDescent="0.2">
      <c r="A1203" t="s">
        <v>2677</v>
      </c>
      <c r="B1203" t="s">
        <v>14359</v>
      </c>
      <c r="C1203" t="s">
        <v>10308</v>
      </c>
      <c r="D1203" t="str">
        <f>_xlfn.XLOOKUP(E1203,pathways!$A$2:$A$31,pathways!$B$2:$B$31)</f>
        <v>Unknown</v>
      </c>
      <c r="E1203" t="s">
        <v>18840</v>
      </c>
      <c r="F1203" t="s">
        <v>18840</v>
      </c>
      <c r="G1203" t="s">
        <v>20633</v>
      </c>
      <c r="H1203" t="s">
        <v>14360</v>
      </c>
      <c r="I1203" t="s">
        <v>10308</v>
      </c>
      <c r="J1203" s="4" t="s">
        <v>12612</v>
      </c>
      <c r="L1203" t="s">
        <v>2676</v>
      </c>
      <c r="M1203" t="s">
        <v>16015</v>
      </c>
      <c r="R1203" t="s">
        <v>18840</v>
      </c>
    </row>
    <row r="1204" spans="1:19" x14ac:dyDescent="0.2">
      <c r="A1204" t="s">
        <v>3091</v>
      </c>
      <c r="B1204" t="s">
        <v>14359</v>
      </c>
      <c r="C1204" t="s">
        <v>20327</v>
      </c>
      <c r="D1204" t="str">
        <f>_xlfn.XLOOKUP(E1204,pathways!$A$2:$A$31,pathways!$B$2:$B$31)</f>
        <v>Unknown</v>
      </c>
      <c r="E1204" t="s">
        <v>18840</v>
      </c>
      <c r="F1204" t="s">
        <v>18840</v>
      </c>
      <c r="G1204" t="s">
        <v>14360</v>
      </c>
      <c r="H1204" t="s">
        <v>14360</v>
      </c>
      <c r="I1204" t="s">
        <v>14360</v>
      </c>
      <c r="J1204" s="4" t="s">
        <v>12614</v>
      </c>
      <c r="L1204" t="s">
        <v>14360</v>
      </c>
      <c r="M1204" t="s">
        <v>14360</v>
      </c>
      <c r="N1204" t="s">
        <v>14360</v>
      </c>
      <c r="P1204" t="s">
        <v>14360</v>
      </c>
      <c r="R1204" t="s">
        <v>14360</v>
      </c>
    </row>
    <row r="1205" spans="1:19" x14ac:dyDescent="0.2">
      <c r="A1205" t="s">
        <v>14261</v>
      </c>
      <c r="B1205" t="s">
        <v>14359</v>
      </c>
      <c r="C1205" t="s">
        <v>20328</v>
      </c>
      <c r="D1205" t="str">
        <f>_xlfn.XLOOKUP(E1205,pathways!$A$2:$A$31,pathways!$B$2:$B$31)</f>
        <v>Unknown</v>
      </c>
      <c r="E1205" t="s">
        <v>18840</v>
      </c>
      <c r="F1205" t="s">
        <v>18840</v>
      </c>
      <c r="G1205" t="s">
        <v>20689</v>
      </c>
      <c r="H1205" t="s">
        <v>14360</v>
      </c>
      <c r="I1205" t="s">
        <v>14360</v>
      </c>
      <c r="J1205" s="4" t="s">
        <v>12616</v>
      </c>
      <c r="L1205" t="s">
        <v>14360</v>
      </c>
      <c r="M1205" t="s">
        <v>14360</v>
      </c>
      <c r="N1205" t="s">
        <v>14360</v>
      </c>
      <c r="P1205" t="s">
        <v>14360</v>
      </c>
      <c r="R1205" t="s">
        <v>14360</v>
      </c>
    </row>
    <row r="1206" spans="1:19" x14ac:dyDescent="0.2">
      <c r="A1206" t="s">
        <v>14262</v>
      </c>
      <c r="B1206" t="s">
        <v>14359</v>
      </c>
      <c r="C1206" t="s">
        <v>20329</v>
      </c>
      <c r="D1206" t="str">
        <f>_xlfn.XLOOKUP(E1206,pathways!$A$2:$A$31,pathways!$B$2:$B$31)</f>
        <v>Unknown</v>
      </c>
      <c r="E1206" t="s">
        <v>18840</v>
      </c>
      <c r="F1206" t="s">
        <v>18840</v>
      </c>
      <c r="G1206" t="s">
        <v>20676</v>
      </c>
      <c r="H1206" t="s">
        <v>14360</v>
      </c>
      <c r="I1206" t="s">
        <v>14360</v>
      </c>
      <c r="J1206" s="4" t="s">
        <v>12618</v>
      </c>
      <c r="L1206" t="s">
        <v>14360</v>
      </c>
      <c r="M1206" t="s">
        <v>14360</v>
      </c>
      <c r="N1206" t="s">
        <v>14360</v>
      </c>
      <c r="P1206" t="s">
        <v>14360</v>
      </c>
      <c r="R1206" t="s">
        <v>14360</v>
      </c>
    </row>
    <row r="1207" spans="1:19" x14ac:dyDescent="0.2">
      <c r="A1207" t="s">
        <v>2285</v>
      </c>
      <c r="B1207" t="s">
        <v>14359</v>
      </c>
      <c r="C1207" t="s">
        <v>20330</v>
      </c>
      <c r="D1207" t="str">
        <f>_xlfn.XLOOKUP(E1207,pathways!$A$2:$A$31,pathways!$B$2:$B$31)</f>
        <v>Unknown</v>
      </c>
      <c r="E1207" t="s">
        <v>18840</v>
      </c>
      <c r="F1207" t="s">
        <v>18840</v>
      </c>
      <c r="G1207" t="s">
        <v>14360</v>
      </c>
      <c r="H1207" t="s">
        <v>14360</v>
      </c>
      <c r="I1207" t="s">
        <v>14360</v>
      </c>
      <c r="J1207" s="4" t="s">
        <v>12620</v>
      </c>
      <c r="L1207" t="s">
        <v>14360</v>
      </c>
      <c r="M1207" t="s">
        <v>14360</v>
      </c>
      <c r="N1207" t="s">
        <v>14360</v>
      </c>
      <c r="P1207" t="s">
        <v>14360</v>
      </c>
      <c r="R1207" t="s">
        <v>14360</v>
      </c>
    </row>
    <row r="1208" spans="1:19" x14ac:dyDescent="0.2">
      <c r="A1208" t="s">
        <v>2263</v>
      </c>
      <c r="B1208" t="s">
        <v>14359</v>
      </c>
      <c r="C1208" t="s">
        <v>20331</v>
      </c>
      <c r="D1208" t="str">
        <f>_xlfn.XLOOKUP(E1208,pathways!$A$2:$A$31,pathways!$B$2:$B$31)</f>
        <v>Unknown</v>
      </c>
      <c r="E1208" t="s">
        <v>18840</v>
      </c>
      <c r="F1208" t="s">
        <v>18840</v>
      </c>
      <c r="G1208" t="s">
        <v>14360</v>
      </c>
      <c r="H1208" t="s">
        <v>14360</v>
      </c>
      <c r="I1208" t="s">
        <v>14360</v>
      </c>
      <c r="J1208" s="4" t="s">
        <v>12622</v>
      </c>
      <c r="L1208" t="s">
        <v>14360</v>
      </c>
      <c r="M1208" t="s">
        <v>14360</v>
      </c>
      <c r="N1208" t="s">
        <v>14360</v>
      </c>
      <c r="P1208" t="s">
        <v>14360</v>
      </c>
      <c r="R1208" t="s">
        <v>14360</v>
      </c>
    </row>
    <row r="1209" spans="1:19" x14ac:dyDescent="0.2">
      <c r="A1209" t="s">
        <v>2671</v>
      </c>
      <c r="B1209" t="s">
        <v>14359</v>
      </c>
      <c r="C1209" t="s">
        <v>10309</v>
      </c>
      <c r="D1209" t="str">
        <f>_xlfn.XLOOKUP(E1209,pathways!$A$2:$A$31,pathways!$B$2:$B$31)</f>
        <v>Unknown</v>
      </c>
      <c r="E1209" t="s">
        <v>18840</v>
      </c>
      <c r="F1209" t="s">
        <v>18840</v>
      </c>
      <c r="G1209" t="s">
        <v>14360</v>
      </c>
      <c r="H1209" t="s">
        <v>14360</v>
      </c>
      <c r="I1209" t="s">
        <v>10309</v>
      </c>
      <c r="J1209" s="4" t="s">
        <v>14360</v>
      </c>
      <c r="L1209" t="s">
        <v>2670</v>
      </c>
      <c r="M1209" t="s">
        <v>16009</v>
      </c>
      <c r="O1209" t="s">
        <v>14360</v>
      </c>
      <c r="Q1209" t="s">
        <v>14360</v>
      </c>
      <c r="R1209" t="s">
        <v>18840</v>
      </c>
    </row>
    <row r="1210" spans="1:19" x14ac:dyDescent="0.2">
      <c r="A1210" t="s">
        <v>2669</v>
      </c>
      <c r="B1210" t="s">
        <v>14359</v>
      </c>
      <c r="C1210" t="s">
        <v>10310</v>
      </c>
      <c r="D1210" t="str">
        <f>_xlfn.XLOOKUP(E1210,pathways!$A$2:$A$31,pathways!$B$2:$B$31)</f>
        <v>Unknown</v>
      </c>
      <c r="E1210" t="s">
        <v>18840</v>
      </c>
      <c r="F1210" t="s">
        <v>18840</v>
      </c>
      <c r="G1210" t="s">
        <v>20640</v>
      </c>
      <c r="H1210" t="s">
        <v>14360</v>
      </c>
      <c r="I1210" t="s">
        <v>10310</v>
      </c>
      <c r="J1210" s="4" t="s">
        <v>12624</v>
      </c>
      <c r="L1210" t="s">
        <v>2668</v>
      </c>
      <c r="M1210" t="s">
        <v>16007</v>
      </c>
      <c r="R1210" t="s">
        <v>18840</v>
      </c>
    </row>
    <row r="1211" spans="1:19" x14ac:dyDescent="0.2">
      <c r="A1211" t="s">
        <v>2685</v>
      </c>
      <c r="B1211" t="s">
        <v>14359</v>
      </c>
      <c r="C1211" t="s">
        <v>10311</v>
      </c>
      <c r="D1211" t="str">
        <f>_xlfn.XLOOKUP(E1211,pathways!$A$2:$A$31,pathways!$B$2:$B$31)</f>
        <v>Unknown</v>
      </c>
      <c r="E1211" t="s">
        <v>18840</v>
      </c>
      <c r="F1211" t="s">
        <v>18840</v>
      </c>
      <c r="G1211" t="s">
        <v>20655</v>
      </c>
      <c r="H1211" t="s">
        <v>14360</v>
      </c>
      <c r="I1211" t="s">
        <v>10311</v>
      </c>
      <c r="J1211" s="4" t="s">
        <v>12626</v>
      </c>
      <c r="L1211" t="s">
        <v>2684</v>
      </c>
      <c r="M1211" t="s">
        <v>16023</v>
      </c>
      <c r="R1211" t="s">
        <v>18840</v>
      </c>
    </row>
    <row r="1212" spans="1:19" x14ac:dyDescent="0.2">
      <c r="A1212" t="s">
        <v>14263</v>
      </c>
      <c r="B1212" t="s">
        <v>14359</v>
      </c>
      <c r="C1212" t="s">
        <v>20332</v>
      </c>
      <c r="D1212" t="str">
        <f>_xlfn.XLOOKUP(E1212,pathways!$A$2:$A$31,pathways!$B$2:$B$31)</f>
        <v>Unknown</v>
      </c>
      <c r="E1212" t="s">
        <v>18840</v>
      </c>
      <c r="F1212" t="s">
        <v>18840</v>
      </c>
      <c r="G1212" t="s">
        <v>14360</v>
      </c>
      <c r="H1212" t="s">
        <v>14360</v>
      </c>
      <c r="I1212" t="s">
        <v>14360</v>
      </c>
      <c r="J1212" s="4" t="s">
        <v>12628</v>
      </c>
      <c r="L1212" t="s">
        <v>14360</v>
      </c>
      <c r="M1212" t="s">
        <v>14360</v>
      </c>
      <c r="N1212" t="s">
        <v>14360</v>
      </c>
      <c r="P1212" t="s">
        <v>14360</v>
      </c>
      <c r="R1212" t="s">
        <v>14360</v>
      </c>
    </row>
    <row r="1213" spans="1:19" x14ac:dyDescent="0.2">
      <c r="A1213" t="s">
        <v>2691</v>
      </c>
      <c r="B1213" t="s">
        <v>14359</v>
      </c>
      <c r="C1213" t="s">
        <v>10312</v>
      </c>
      <c r="D1213" t="str">
        <f>_xlfn.XLOOKUP(E1213,pathways!$A$2:$A$31,pathways!$B$2:$B$31)</f>
        <v>Unknown</v>
      </c>
      <c r="E1213" t="s">
        <v>18840</v>
      </c>
      <c r="F1213" t="s">
        <v>18840</v>
      </c>
      <c r="G1213" t="s">
        <v>20586</v>
      </c>
      <c r="H1213" t="s">
        <v>14360</v>
      </c>
      <c r="I1213" t="s">
        <v>10312</v>
      </c>
      <c r="J1213" s="4" t="s">
        <v>14360</v>
      </c>
      <c r="L1213" t="s">
        <v>2690</v>
      </c>
      <c r="M1213" t="s">
        <v>16029</v>
      </c>
      <c r="O1213" t="s">
        <v>14360</v>
      </c>
      <c r="Q1213" t="s">
        <v>14360</v>
      </c>
      <c r="R1213" t="s">
        <v>18840</v>
      </c>
    </row>
    <row r="1214" spans="1:19" x14ac:dyDescent="0.2">
      <c r="A1214" t="s">
        <v>2675</v>
      </c>
      <c r="B1214" t="s">
        <v>14359</v>
      </c>
      <c r="C1214" t="s">
        <v>10313</v>
      </c>
      <c r="D1214" t="str">
        <f>_xlfn.XLOOKUP(E1214,pathways!$A$2:$A$31,pathways!$B$2:$B$31)</f>
        <v>Unknown</v>
      </c>
      <c r="E1214" t="s">
        <v>18840</v>
      </c>
      <c r="F1214" t="s">
        <v>18840</v>
      </c>
      <c r="G1214" t="s">
        <v>14360</v>
      </c>
      <c r="H1214" t="s">
        <v>14360</v>
      </c>
      <c r="I1214" t="s">
        <v>10313</v>
      </c>
      <c r="J1214" s="4" t="s">
        <v>14360</v>
      </c>
      <c r="L1214" t="s">
        <v>2674</v>
      </c>
      <c r="M1214" t="s">
        <v>16013</v>
      </c>
      <c r="O1214" t="s">
        <v>14360</v>
      </c>
      <c r="Q1214" t="s">
        <v>14360</v>
      </c>
      <c r="R1214" t="s">
        <v>18840</v>
      </c>
    </row>
    <row r="1215" spans="1:19" x14ac:dyDescent="0.2">
      <c r="A1215" t="s">
        <v>2667</v>
      </c>
      <c r="B1215" t="s">
        <v>14359</v>
      </c>
      <c r="C1215" t="s">
        <v>10314</v>
      </c>
      <c r="D1215" t="str">
        <f>_xlfn.XLOOKUP(E1215,pathways!$A$2:$A$31,pathways!$B$2:$B$31)</f>
        <v>Unknown</v>
      </c>
      <c r="E1215" t="s">
        <v>18840</v>
      </c>
      <c r="F1215" t="s">
        <v>18840</v>
      </c>
      <c r="G1215" t="s">
        <v>14360</v>
      </c>
      <c r="H1215" t="s">
        <v>14360</v>
      </c>
      <c r="I1215" t="s">
        <v>10314</v>
      </c>
      <c r="J1215" s="4" t="s">
        <v>12630</v>
      </c>
      <c r="L1215" t="s">
        <v>2666</v>
      </c>
      <c r="M1215" t="s">
        <v>16005</v>
      </c>
      <c r="R1215" t="s">
        <v>18840</v>
      </c>
    </row>
    <row r="1216" spans="1:19" x14ac:dyDescent="0.2">
      <c r="A1216" t="s">
        <v>2683</v>
      </c>
      <c r="B1216" t="s">
        <v>14359</v>
      </c>
      <c r="C1216" t="s">
        <v>10315</v>
      </c>
      <c r="D1216" t="str">
        <f>_xlfn.XLOOKUP(E1216,pathways!$A$2:$A$31,pathways!$B$2:$B$31)</f>
        <v>Unknown</v>
      </c>
      <c r="E1216" t="s">
        <v>18840</v>
      </c>
      <c r="F1216" t="s">
        <v>18840</v>
      </c>
      <c r="G1216" t="s">
        <v>20635</v>
      </c>
      <c r="H1216" t="s">
        <v>14360</v>
      </c>
      <c r="I1216" t="s">
        <v>10315</v>
      </c>
      <c r="J1216" s="4" t="s">
        <v>12632</v>
      </c>
      <c r="L1216" t="s">
        <v>2682</v>
      </c>
      <c r="M1216" t="s">
        <v>16021</v>
      </c>
      <c r="R1216" t="s">
        <v>18840</v>
      </c>
      <c r="S1216" t="s">
        <v>14360</v>
      </c>
    </row>
    <row r="1217" spans="1:19" x14ac:dyDescent="0.2">
      <c r="A1217" t="s">
        <v>2673</v>
      </c>
      <c r="B1217" t="s">
        <v>14359</v>
      </c>
      <c r="C1217" t="s">
        <v>10316</v>
      </c>
      <c r="D1217" t="str">
        <f>_xlfn.XLOOKUP(E1217,pathways!$A$2:$A$31,pathways!$B$2:$B$31)</f>
        <v>Unknown</v>
      </c>
      <c r="E1217" t="s">
        <v>18840</v>
      </c>
      <c r="F1217" t="s">
        <v>18840</v>
      </c>
      <c r="G1217" t="s">
        <v>20564</v>
      </c>
      <c r="H1217" t="s">
        <v>14360</v>
      </c>
      <c r="I1217" t="s">
        <v>10316</v>
      </c>
      <c r="J1217" s="4" t="s">
        <v>14360</v>
      </c>
      <c r="L1217" t="s">
        <v>2672</v>
      </c>
      <c r="M1217" t="s">
        <v>16011</v>
      </c>
      <c r="O1217" t="s">
        <v>14360</v>
      </c>
      <c r="Q1217" t="s">
        <v>14360</v>
      </c>
      <c r="R1217" t="s">
        <v>18840</v>
      </c>
      <c r="S1217" t="s">
        <v>14360</v>
      </c>
    </row>
    <row r="1218" spans="1:19" x14ac:dyDescent="0.2">
      <c r="A1218" t="s">
        <v>2689</v>
      </c>
      <c r="B1218" t="s">
        <v>14359</v>
      </c>
      <c r="C1218" t="s">
        <v>10317</v>
      </c>
      <c r="D1218" t="str">
        <f>_xlfn.XLOOKUP(E1218,pathways!$A$2:$A$31,pathways!$B$2:$B$31)</f>
        <v>Unknown</v>
      </c>
      <c r="E1218" t="s">
        <v>18840</v>
      </c>
      <c r="F1218" t="s">
        <v>18840</v>
      </c>
      <c r="G1218" t="s">
        <v>14360</v>
      </c>
      <c r="H1218" t="s">
        <v>14360</v>
      </c>
      <c r="I1218" t="s">
        <v>10317</v>
      </c>
      <c r="J1218" s="4" t="s">
        <v>14360</v>
      </c>
      <c r="L1218" t="s">
        <v>2688</v>
      </c>
      <c r="M1218" t="s">
        <v>16027</v>
      </c>
      <c r="O1218" t="s">
        <v>14360</v>
      </c>
      <c r="Q1218" t="s">
        <v>14360</v>
      </c>
      <c r="R1218" t="s">
        <v>18840</v>
      </c>
      <c r="S1218" t="s">
        <v>14360</v>
      </c>
    </row>
    <row r="1219" spans="1:19" x14ac:dyDescent="0.2">
      <c r="A1219" t="s">
        <v>2712</v>
      </c>
      <c r="B1219" t="s">
        <v>14359</v>
      </c>
      <c r="C1219" t="s">
        <v>10318</v>
      </c>
      <c r="D1219" t="str">
        <f>_xlfn.XLOOKUP(E1219,pathways!$A$2:$A$31,pathways!$B$2:$B$31)</f>
        <v>Unknown</v>
      </c>
      <c r="E1219" t="s">
        <v>18840</v>
      </c>
      <c r="F1219" t="s">
        <v>18840</v>
      </c>
      <c r="G1219" t="s">
        <v>20461</v>
      </c>
      <c r="H1219" t="s">
        <v>14360</v>
      </c>
      <c r="I1219" t="s">
        <v>10318</v>
      </c>
      <c r="J1219" s="4" t="s">
        <v>12634</v>
      </c>
      <c r="L1219" t="s">
        <v>2711</v>
      </c>
      <c r="M1219" t="s">
        <v>16051</v>
      </c>
      <c r="R1219" t="s">
        <v>18840</v>
      </c>
      <c r="S1219" t="s">
        <v>3864</v>
      </c>
    </row>
    <row r="1220" spans="1:19" x14ac:dyDescent="0.2">
      <c r="A1220" t="s">
        <v>2725</v>
      </c>
      <c r="B1220" t="s">
        <v>14359</v>
      </c>
      <c r="C1220" t="s">
        <v>17111</v>
      </c>
      <c r="D1220" t="str">
        <f>_xlfn.XLOOKUP(E1220,pathways!$A$2:$A$31,pathways!$B$2:$B$31)</f>
        <v>Unknown</v>
      </c>
      <c r="E1220" t="s">
        <v>18840</v>
      </c>
      <c r="F1220" t="s">
        <v>18840</v>
      </c>
      <c r="G1220" t="s">
        <v>20484</v>
      </c>
      <c r="H1220" t="s">
        <v>14360</v>
      </c>
      <c r="I1220" t="s">
        <v>14360</v>
      </c>
      <c r="J1220" s="4" t="s">
        <v>12636</v>
      </c>
      <c r="L1220" t="s">
        <v>2724</v>
      </c>
      <c r="M1220" t="s">
        <v>16065</v>
      </c>
      <c r="N1220" t="s">
        <v>14360</v>
      </c>
      <c r="P1220" t="s">
        <v>14360</v>
      </c>
      <c r="R1220" t="s">
        <v>18840</v>
      </c>
      <c r="S1220" t="s">
        <v>3470</v>
      </c>
    </row>
    <row r="1221" spans="1:19" x14ac:dyDescent="0.2">
      <c r="A1221" t="s">
        <v>2723</v>
      </c>
      <c r="B1221" t="s">
        <v>14359</v>
      </c>
      <c r="C1221" t="s">
        <v>10319</v>
      </c>
      <c r="D1221" t="str">
        <f>_xlfn.XLOOKUP(E1221,pathways!$A$2:$A$31,pathways!$B$2:$B$31)</f>
        <v>Unknown</v>
      </c>
      <c r="E1221" t="s">
        <v>18840</v>
      </c>
      <c r="F1221" t="s">
        <v>18840</v>
      </c>
      <c r="G1221" t="s">
        <v>14360</v>
      </c>
      <c r="H1221" t="s">
        <v>14360</v>
      </c>
      <c r="I1221" t="s">
        <v>10319</v>
      </c>
      <c r="J1221" s="4" t="s">
        <v>14360</v>
      </c>
      <c r="L1221" t="s">
        <v>2722</v>
      </c>
      <c r="M1221" t="s">
        <v>16063</v>
      </c>
      <c r="O1221" t="s">
        <v>14360</v>
      </c>
      <c r="Q1221" t="s">
        <v>14360</v>
      </c>
      <c r="R1221" t="s">
        <v>18840</v>
      </c>
      <c r="S1221" t="s">
        <v>4991</v>
      </c>
    </row>
    <row r="1222" spans="1:19" x14ac:dyDescent="0.2">
      <c r="A1222" t="s">
        <v>14264</v>
      </c>
      <c r="B1222" t="s">
        <v>14359</v>
      </c>
      <c r="C1222" t="s">
        <v>20333</v>
      </c>
      <c r="D1222" t="str">
        <f>_xlfn.XLOOKUP(E1222,pathways!$A$2:$A$31,pathways!$B$2:$B$31)</f>
        <v>Unknown</v>
      </c>
      <c r="E1222" t="s">
        <v>18840</v>
      </c>
      <c r="F1222" t="s">
        <v>18840</v>
      </c>
      <c r="G1222" t="s">
        <v>14360</v>
      </c>
      <c r="H1222" t="s">
        <v>14360</v>
      </c>
      <c r="I1222" t="s">
        <v>14360</v>
      </c>
      <c r="J1222" s="4" t="s">
        <v>12638</v>
      </c>
      <c r="L1222" t="s">
        <v>14360</v>
      </c>
      <c r="M1222" t="s">
        <v>14360</v>
      </c>
      <c r="N1222" t="s">
        <v>14360</v>
      </c>
      <c r="P1222" t="s">
        <v>14360</v>
      </c>
      <c r="R1222" t="s">
        <v>14360</v>
      </c>
      <c r="S1222" t="s">
        <v>14360</v>
      </c>
    </row>
    <row r="1223" spans="1:19" x14ac:dyDescent="0.2">
      <c r="A1223" t="s">
        <v>2719</v>
      </c>
      <c r="B1223" t="s">
        <v>14359</v>
      </c>
      <c r="C1223" t="s">
        <v>10320</v>
      </c>
      <c r="D1223" t="str">
        <f>_xlfn.XLOOKUP(E1223,pathways!$A$2:$A$31,pathways!$B$2:$B$31)</f>
        <v>Unknown</v>
      </c>
      <c r="E1223" t="s">
        <v>18840</v>
      </c>
      <c r="F1223" t="s">
        <v>18840</v>
      </c>
      <c r="G1223" t="s">
        <v>20559</v>
      </c>
      <c r="H1223" t="s">
        <v>14360</v>
      </c>
      <c r="I1223" t="s">
        <v>10320</v>
      </c>
      <c r="J1223" s="4" t="s">
        <v>12640</v>
      </c>
      <c r="L1223" t="s">
        <v>2718</v>
      </c>
      <c r="M1223" t="s">
        <v>16059</v>
      </c>
      <c r="R1223" t="s">
        <v>18840</v>
      </c>
      <c r="S1223" t="s">
        <v>14360</v>
      </c>
    </row>
    <row r="1224" spans="1:19" x14ac:dyDescent="0.2">
      <c r="A1224" t="s">
        <v>2304</v>
      </c>
      <c r="B1224" t="s">
        <v>14359</v>
      </c>
      <c r="C1224" t="s">
        <v>20334</v>
      </c>
      <c r="D1224" t="str">
        <f>_xlfn.XLOOKUP(E1224,pathways!$A$2:$A$31,pathways!$B$2:$B$31)</f>
        <v>Unknown</v>
      </c>
      <c r="E1224" t="s">
        <v>18840</v>
      </c>
      <c r="F1224" t="s">
        <v>18840</v>
      </c>
      <c r="G1224" t="s">
        <v>14360</v>
      </c>
      <c r="H1224" t="s">
        <v>14360</v>
      </c>
      <c r="I1224" t="s">
        <v>14360</v>
      </c>
      <c r="J1224" s="4" t="s">
        <v>12642</v>
      </c>
      <c r="L1224" t="s">
        <v>14360</v>
      </c>
      <c r="M1224" t="s">
        <v>14360</v>
      </c>
      <c r="N1224" t="s">
        <v>14360</v>
      </c>
      <c r="P1224" t="s">
        <v>14360</v>
      </c>
      <c r="R1224" t="s">
        <v>14360</v>
      </c>
      <c r="S1224" t="s">
        <v>3586</v>
      </c>
    </row>
    <row r="1225" spans="1:19" x14ac:dyDescent="0.2">
      <c r="A1225" t="s">
        <v>14126</v>
      </c>
      <c r="B1225" t="s">
        <v>14359</v>
      </c>
      <c r="C1225" t="s">
        <v>10321</v>
      </c>
      <c r="D1225" t="str">
        <f>_xlfn.XLOOKUP(E1225,pathways!$A$2:$A$31,pathways!$B$2:$B$31)</f>
        <v>Unknown</v>
      </c>
      <c r="E1225" t="s">
        <v>18840</v>
      </c>
      <c r="F1225" t="s">
        <v>18840</v>
      </c>
      <c r="G1225" t="s">
        <v>20489</v>
      </c>
      <c r="H1225" t="s">
        <v>14360</v>
      </c>
      <c r="I1225" t="s">
        <v>10321</v>
      </c>
      <c r="J1225" s="4" t="s">
        <v>14360</v>
      </c>
      <c r="L1225" t="s">
        <v>14360</v>
      </c>
      <c r="M1225" t="s">
        <v>14360</v>
      </c>
      <c r="O1225" t="s">
        <v>14360</v>
      </c>
      <c r="Q1225" t="s">
        <v>14360</v>
      </c>
      <c r="R1225" t="s">
        <v>14360</v>
      </c>
      <c r="S1225" t="s">
        <v>3864</v>
      </c>
    </row>
    <row r="1226" spans="1:19" x14ac:dyDescent="0.2">
      <c r="A1226" t="s">
        <v>2709</v>
      </c>
      <c r="B1226" t="s">
        <v>14359</v>
      </c>
      <c r="C1226" t="s">
        <v>10322</v>
      </c>
      <c r="D1226" t="str">
        <f>_xlfn.XLOOKUP(E1226,pathways!$A$2:$A$31,pathways!$B$2:$B$31)</f>
        <v>Unknown</v>
      </c>
      <c r="E1226" t="s">
        <v>18840</v>
      </c>
      <c r="F1226" t="s">
        <v>18840</v>
      </c>
      <c r="G1226" t="s">
        <v>20475</v>
      </c>
      <c r="H1226" t="s">
        <v>14360</v>
      </c>
      <c r="I1226" t="s">
        <v>10322</v>
      </c>
      <c r="J1226" s="4" t="s">
        <v>12644</v>
      </c>
      <c r="L1226" t="s">
        <v>2708</v>
      </c>
      <c r="M1226" t="s">
        <v>16047</v>
      </c>
      <c r="R1226" t="s">
        <v>18840</v>
      </c>
      <c r="S1226" t="s">
        <v>14360</v>
      </c>
    </row>
    <row r="1227" spans="1:19" x14ac:dyDescent="0.2">
      <c r="A1227" t="s">
        <v>2717</v>
      </c>
      <c r="B1227" t="s">
        <v>14359</v>
      </c>
      <c r="C1227" t="s">
        <v>10323</v>
      </c>
      <c r="D1227" t="str">
        <f>_xlfn.XLOOKUP(E1227,pathways!$A$2:$A$31,pathways!$B$2:$B$31)</f>
        <v>Unknown</v>
      </c>
      <c r="E1227" t="s">
        <v>18840</v>
      </c>
      <c r="F1227" t="s">
        <v>18840</v>
      </c>
      <c r="G1227" t="s">
        <v>20531</v>
      </c>
      <c r="H1227" t="s">
        <v>14360</v>
      </c>
      <c r="I1227" t="s">
        <v>10323</v>
      </c>
      <c r="J1227" s="4" t="s">
        <v>12646</v>
      </c>
      <c r="L1227" t="s">
        <v>2716</v>
      </c>
      <c r="M1227" t="s">
        <v>16057</v>
      </c>
      <c r="R1227" t="s">
        <v>18840</v>
      </c>
      <c r="S1227" t="s">
        <v>7133</v>
      </c>
    </row>
    <row r="1228" spans="1:19" x14ac:dyDescent="0.2">
      <c r="A1228" t="s">
        <v>2701</v>
      </c>
      <c r="B1228" t="s">
        <v>14359</v>
      </c>
      <c r="C1228" t="s">
        <v>10324</v>
      </c>
      <c r="D1228" t="str">
        <f>_xlfn.XLOOKUP(E1228,pathways!$A$2:$A$31,pathways!$B$2:$B$31)</f>
        <v>Unknown</v>
      </c>
      <c r="E1228" t="s">
        <v>18840</v>
      </c>
      <c r="F1228" t="s">
        <v>18840</v>
      </c>
      <c r="G1228" t="s">
        <v>20595</v>
      </c>
      <c r="H1228" t="s">
        <v>14360</v>
      </c>
      <c r="I1228" t="s">
        <v>10324</v>
      </c>
      <c r="J1228" s="4" t="s">
        <v>12648</v>
      </c>
      <c r="L1228" t="s">
        <v>14360</v>
      </c>
      <c r="M1228" t="s">
        <v>14360</v>
      </c>
      <c r="R1228" t="s">
        <v>14360</v>
      </c>
      <c r="S1228" t="s">
        <v>14360</v>
      </c>
    </row>
    <row r="1229" spans="1:19" x14ac:dyDescent="0.2">
      <c r="A1229" t="s">
        <v>14265</v>
      </c>
      <c r="B1229" t="s">
        <v>14359</v>
      </c>
      <c r="C1229" t="s">
        <v>20335</v>
      </c>
      <c r="D1229" t="str">
        <f>_xlfn.XLOOKUP(E1229,pathways!$A$2:$A$31,pathways!$B$2:$B$31)</f>
        <v>Unknown</v>
      </c>
      <c r="E1229" t="s">
        <v>18840</v>
      </c>
      <c r="F1229" t="s">
        <v>18840</v>
      </c>
      <c r="G1229" t="s">
        <v>14360</v>
      </c>
      <c r="H1229" t="s">
        <v>14360</v>
      </c>
      <c r="I1229" t="s">
        <v>14360</v>
      </c>
      <c r="J1229" s="4" t="s">
        <v>12650</v>
      </c>
      <c r="L1229" t="s">
        <v>14360</v>
      </c>
      <c r="M1229" t="s">
        <v>14360</v>
      </c>
      <c r="N1229" t="s">
        <v>14360</v>
      </c>
      <c r="P1229" t="s">
        <v>14360</v>
      </c>
      <c r="R1229" t="s">
        <v>14360</v>
      </c>
      <c r="S1229" t="s">
        <v>7151</v>
      </c>
    </row>
    <row r="1230" spans="1:19" x14ac:dyDescent="0.2">
      <c r="A1230" t="s">
        <v>2693</v>
      </c>
      <c r="B1230" t="s">
        <v>14359</v>
      </c>
      <c r="C1230" t="s">
        <v>17114</v>
      </c>
      <c r="D1230" t="str">
        <f>_xlfn.XLOOKUP(E1230,pathways!$A$2:$A$31,pathways!$B$2:$B$31)</f>
        <v>Unknown</v>
      </c>
      <c r="E1230" t="s">
        <v>18840</v>
      </c>
      <c r="F1230" t="s">
        <v>18840</v>
      </c>
      <c r="G1230" t="s">
        <v>14360</v>
      </c>
      <c r="H1230" t="s">
        <v>14360</v>
      </c>
      <c r="I1230" t="s">
        <v>14360</v>
      </c>
      <c r="J1230" s="4" t="s">
        <v>12652</v>
      </c>
      <c r="L1230" t="s">
        <v>2692</v>
      </c>
      <c r="M1230" t="s">
        <v>16031</v>
      </c>
      <c r="N1230" t="s">
        <v>14360</v>
      </c>
      <c r="P1230" t="s">
        <v>14360</v>
      </c>
      <c r="R1230" t="s">
        <v>18840</v>
      </c>
      <c r="S1230" t="s">
        <v>7151</v>
      </c>
    </row>
    <row r="1231" spans="1:19" x14ac:dyDescent="0.2">
      <c r="A1231" t="s">
        <v>2265</v>
      </c>
      <c r="B1231" t="s">
        <v>14359</v>
      </c>
      <c r="C1231" t="s">
        <v>20336</v>
      </c>
      <c r="D1231" t="str">
        <f>_xlfn.XLOOKUP(E1231,pathways!$A$2:$A$31,pathways!$B$2:$B$31)</f>
        <v>Unknown</v>
      </c>
      <c r="E1231" t="s">
        <v>18840</v>
      </c>
      <c r="F1231" t="s">
        <v>18840</v>
      </c>
      <c r="G1231" t="s">
        <v>14360</v>
      </c>
      <c r="H1231" t="s">
        <v>14360</v>
      </c>
      <c r="I1231" t="s">
        <v>14360</v>
      </c>
      <c r="J1231" s="4" t="s">
        <v>12654</v>
      </c>
      <c r="L1231" t="s">
        <v>14360</v>
      </c>
      <c r="M1231" t="s">
        <v>14360</v>
      </c>
      <c r="N1231" t="s">
        <v>14360</v>
      </c>
      <c r="P1231" t="s">
        <v>14360</v>
      </c>
      <c r="R1231" t="s">
        <v>14360</v>
      </c>
      <c r="S1231" t="s">
        <v>7151</v>
      </c>
    </row>
    <row r="1232" spans="1:19" x14ac:dyDescent="0.2">
      <c r="A1232" t="s">
        <v>2703</v>
      </c>
      <c r="B1232" t="s">
        <v>14359</v>
      </c>
      <c r="C1232" t="s">
        <v>10325</v>
      </c>
      <c r="D1232" t="str">
        <f>_xlfn.XLOOKUP(E1232,pathways!$A$2:$A$31,pathways!$B$2:$B$31)</f>
        <v>Unknown</v>
      </c>
      <c r="E1232" t="s">
        <v>18840</v>
      </c>
      <c r="F1232" t="s">
        <v>18840</v>
      </c>
      <c r="G1232" t="s">
        <v>20530</v>
      </c>
      <c r="H1232" t="s">
        <v>14360</v>
      </c>
      <c r="I1232" t="s">
        <v>10325</v>
      </c>
      <c r="J1232" s="4" t="s">
        <v>14360</v>
      </c>
      <c r="L1232" t="s">
        <v>2702</v>
      </c>
      <c r="M1232" t="s">
        <v>16041</v>
      </c>
      <c r="O1232" t="s">
        <v>14360</v>
      </c>
      <c r="Q1232" t="s">
        <v>14360</v>
      </c>
      <c r="R1232" t="s">
        <v>18840</v>
      </c>
      <c r="S1232" t="s">
        <v>7151</v>
      </c>
    </row>
    <row r="1233" spans="1:19" x14ac:dyDescent="0.2">
      <c r="A1233" t="s">
        <v>14266</v>
      </c>
      <c r="B1233" t="s">
        <v>14359</v>
      </c>
      <c r="C1233" t="s">
        <v>20337</v>
      </c>
      <c r="D1233" t="str">
        <f>_xlfn.XLOOKUP(E1233,pathways!$A$2:$A$31,pathways!$B$2:$B$31)</f>
        <v>Unknown</v>
      </c>
      <c r="E1233" t="s">
        <v>18840</v>
      </c>
      <c r="F1233" t="s">
        <v>18840</v>
      </c>
      <c r="G1233" t="s">
        <v>14360</v>
      </c>
      <c r="H1233" t="s">
        <v>14360</v>
      </c>
      <c r="I1233" t="s">
        <v>14360</v>
      </c>
      <c r="J1233" s="4" t="s">
        <v>12656</v>
      </c>
      <c r="L1233" t="s">
        <v>14360</v>
      </c>
      <c r="M1233" t="s">
        <v>14360</v>
      </c>
      <c r="N1233" t="s">
        <v>14360</v>
      </c>
      <c r="P1233" t="s">
        <v>14360</v>
      </c>
      <c r="R1233" t="s">
        <v>14360</v>
      </c>
      <c r="S1233" t="s">
        <v>7151</v>
      </c>
    </row>
    <row r="1234" spans="1:19" x14ac:dyDescent="0.2">
      <c r="A1234" t="s">
        <v>2238</v>
      </c>
      <c r="B1234" t="s">
        <v>14359</v>
      </c>
      <c r="C1234" t="s">
        <v>20338</v>
      </c>
      <c r="D1234" t="str">
        <f>_xlfn.XLOOKUP(E1234,pathways!$A$2:$A$31,pathways!$B$2:$B$31)</f>
        <v>Unknown</v>
      </c>
      <c r="E1234" t="s">
        <v>18840</v>
      </c>
      <c r="F1234" t="s">
        <v>18840</v>
      </c>
      <c r="G1234" t="s">
        <v>14360</v>
      </c>
      <c r="H1234" t="s">
        <v>14360</v>
      </c>
      <c r="I1234" t="s">
        <v>14360</v>
      </c>
      <c r="J1234" s="4" t="s">
        <v>12658</v>
      </c>
      <c r="L1234" t="s">
        <v>14360</v>
      </c>
      <c r="M1234" t="s">
        <v>14360</v>
      </c>
      <c r="N1234" t="s">
        <v>14360</v>
      </c>
      <c r="P1234" t="s">
        <v>14360</v>
      </c>
      <c r="R1234" t="s">
        <v>14360</v>
      </c>
      <c r="S1234" t="s">
        <v>4101</v>
      </c>
    </row>
    <row r="1235" spans="1:19" x14ac:dyDescent="0.2">
      <c r="A1235" t="s">
        <v>2705</v>
      </c>
      <c r="B1235" t="s">
        <v>14359</v>
      </c>
      <c r="C1235" t="s">
        <v>10326</v>
      </c>
      <c r="D1235" t="str">
        <f>_xlfn.XLOOKUP(E1235,pathways!$A$2:$A$31,pathways!$B$2:$B$31)</f>
        <v>Unknown</v>
      </c>
      <c r="E1235" t="s">
        <v>18840</v>
      </c>
      <c r="F1235" t="s">
        <v>18840</v>
      </c>
      <c r="G1235" t="s">
        <v>20623</v>
      </c>
      <c r="H1235" t="s">
        <v>14360</v>
      </c>
      <c r="I1235" t="s">
        <v>10326</v>
      </c>
      <c r="J1235" s="4" t="s">
        <v>12660</v>
      </c>
      <c r="L1235" t="s">
        <v>2704</v>
      </c>
      <c r="M1235" t="s">
        <v>16043</v>
      </c>
      <c r="R1235" t="s">
        <v>18840</v>
      </c>
      <c r="S1235" t="s">
        <v>3661</v>
      </c>
    </row>
    <row r="1236" spans="1:19" x14ac:dyDescent="0.2">
      <c r="A1236" t="s">
        <v>2695</v>
      </c>
      <c r="B1236" t="s">
        <v>14359</v>
      </c>
      <c r="C1236" t="s">
        <v>10327</v>
      </c>
      <c r="D1236" t="str">
        <f>_xlfn.XLOOKUP(E1236,pathways!$A$2:$A$31,pathways!$B$2:$B$31)</f>
        <v>Unknown</v>
      </c>
      <c r="E1236" t="s">
        <v>18840</v>
      </c>
      <c r="F1236" t="s">
        <v>18840</v>
      </c>
      <c r="G1236" t="s">
        <v>14360</v>
      </c>
      <c r="H1236" t="s">
        <v>14360</v>
      </c>
      <c r="I1236" t="s">
        <v>10327</v>
      </c>
      <c r="J1236" s="4" t="s">
        <v>14360</v>
      </c>
      <c r="L1236" t="s">
        <v>2694</v>
      </c>
      <c r="M1236" t="s">
        <v>16033</v>
      </c>
      <c r="O1236" t="s">
        <v>14360</v>
      </c>
      <c r="Q1236" t="s">
        <v>14360</v>
      </c>
      <c r="R1236" t="s">
        <v>18840</v>
      </c>
      <c r="S1236" t="s">
        <v>14360</v>
      </c>
    </row>
    <row r="1237" spans="1:19" x14ac:dyDescent="0.2">
      <c r="A1237" t="s">
        <v>2228</v>
      </c>
      <c r="B1237" t="s">
        <v>14359</v>
      </c>
      <c r="C1237" t="s">
        <v>20339</v>
      </c>
      <c r="D1237" t="str">
        <f>_xlfn.XLOOKUP(E1237,pathways!$A$2:$A$31,pathways!$B$2:$B$31)</f>
        <v>Unknown</v>
      </c>
      <c r="E1237" t="s">
        <v>18840</v>
      </c>
      <c r="F1237" t="s">
        <v>18840</v>
      </c>
      <c r="G1237" t="s">
        <v>14360</v>
      </c>
      <c r="H1237" t="s">
        <v>14360</v>
      </c>
      <c r="I1237" t="s">
        <v>14360</v>
      </c>
      <c r="J1237" s="4" t="s">
        <v>12662</v>
      </c>
      <c r="L1237" t="s">
        <v>14360</v>
      </c>
      <c r="M1237" t="s">
        <v>14360</v>
      </c>
      <c r="N1237" t="s">
        <v>14360</v>
      </c>
      <c r="P1237" t="s">
        <v>14360</v>
      </c>
      <c r="R1237" t="s">
        <v>14360</v>
      </c>
      <c r="S1237" t="s">
        <v>3661</v>
      </c>
    </row>
    <row r="1238" spans="1:19" x14ac:dyDescent="0.2">
      <c r="A1238" t="s">
        <v>14127</v>
      </c>
      <c r="B1238" t="s">
        <v>14359</v>
      </c>
      <c r="C1238" t="s">
        <v>10328</v>
      </c>
      <c r="D1238" t="str">
        <f>_xlfn.XLOOKUP(E1238,pathways!$A$2:$A$31,pathways!$B$2:$B$31)</f>
        <v>Unknown</v>
      </c>
      <c r="E1238" t="s">
        <v>18840</v>
      </c>
      <c r="F1238" t="s">
        <v>18840</v>
      </c>
      <c r="G1238" t="s">
        <v>14360</v>
      </c>
      <c r="H1238" t="s">
        <v>14360</v>
      </c>
      <c r="I1238" t="s">
        <v>10328</v>
      </c>
      <c r="J1238" s="4" t="s">
        <v>14360</v>
      </c>
      <c r="L1238" t="s">
        <v>2710</v>
      </c>
      <c r="M1238" t="s">
        <v>16049</v>
      </c>
      <c r="O1238" t="s">
        <v>14360</v>
      </c>
      <c r="Q1238" t="s">
        <v>14360</v>
      </c>
      <c r="R1238" t="s">
        <v>18840</v>
      </c>
      <c r="S1238" t="s">
        <v>5381</v>
      </c>
    </row>
    <row r="1239" spans="1:19" x14ac:dyDescent="0.2">
      <c r="A1239" t="s">
        <v>2697</v>
      </c>
      <c r="B1239" t="s">
        <v>14359</v>
      </c>
      <c r="C1239" t="s">
        <v>10329</v>
      </c>
      <c r="D1239" t="str">
        <f>_xlfn.XLOOKUP(E1239,pathways!$A$2:$A$31,pathways!$B$2:$B$31)</f>
        <v>Unknown</v>
      </c>
      <c r="E1239" t="s">
        <v>18840</v>
      </c>
      <c r="F1239" t="s">
        <v>4991</v>
      </c>
      <c r="G1239" t="s">
        <v>20572</v>
      </c>
      <c r="H1239" t="s">
        <v>14360</v>
      </c>
      <c r="I1239" t="s">
        <v>10329</v>
      </c>
      <c r="J1239" s="4" t="s">
        <v>14360</v>
      </c>
      <c r="L1239" t="s">
        <v>2696</v>
      </c>
      <c r="M1239" t="s">
        <v>16035</v>
      </c>
      <c r="O1239" t="s">
        <v>14360</v>
      </c>
      <c r="Q1239" t="s">
        <v>14360</v>
      </c>
      <c r="R1239" t="s">
        <v>18840</v>
      </c>
      <c r="S1239" t="s">
        <v>5754</v>
      </c>
    </row>
    <row r="1240" spans="1:19" x14ac:dyDescent="0.2">
      <c r="A1240" t="s">
        <v>2707</v>
      </c>
      <c r="B1240" t="s">
        <v>14359</v>
      </c>
      <c r="C1240" t="s">
        <v>10330</v>
      </c>
      <c r="D1240" t="str">
        <f>_xlfn.XLOOKUP(E1240,pathways!$A$2:$A$31,pathways!$B$2:$B$31)</f>
        <v>Unknown</v>
      </c>
      <c r="E1240" t="s">
        <v>18840</v>
      </c>
      <c r="F1240" t="s">
        <v>3864</v>
      </c>
      <c r="G1240" t="s">
        <v>14360</v>
      </c>
      <c r="H1240" t="s">
        <v>14360</v>
      </c>
      <c r="I1240" t="s">
        <v>10330</v>
      </c>
      <c r="J1240" s="4" t="s">
        <v>14360</v>
      </c>
      <c r="L1240" t="s">
        <v>2706</v>
      </c>
      <c r="M1240" t="s">
        <v>16045</v>
      </c>
      <c r="O1240" t="s">
        <v>14360</v>
      </c>
      <c r="Q1240" t="s">
        <v>14360</v>
      </c>
      <c r="R1240" t="s">
        <v>18840</v>
      </c>
      <c r="S1240" t="s">
        <v>5754</v>
      </c>
    </row>
    <row r="1241" spans="1:19" x14ac:dyDescent="0.2">
      <c r="A1241" t="s">
        <v>2715</v>
      </c>
      <c r="B1241" t="s">
        <v>14359</v>
      </c>
      <c r="C1241" t="s">
        <v>10331</v>
      </c>
      <c r="D1241" t="str">
        <f>_xlfn.XLOOKUP(E1241,pathways!$A$2:$A$31,pathways!$B$2:$B$31)</f>
        <v>Unknown</v>
      </c>
      <c r="E1241" t="s">
        <v>18840</v>
      </c>
      <c r="F1241" t="s">
        <v>3661</v>
      </c>
      <c r="G1241" t="s">
        <v>14360</v>
      </c>
      <c r="H1241" t="s">
        <v>14360</v>
      </c>
      <c r="I1241" t="s">
        <v>10331</v>
      </c>
      <c r="J1241" s="4" t="s">
        <v>14360</v>
      </c>
      <c r="L1241" t="s">
        <v>2714</v>
      </c>
      <c r="M1241" t="s">
        <v>16055</v>
      </c>
      <c r="O1241" t="s">
        <v>14360</v>
      </c>
      <c r="Q1241" t="s">
        <v>14360</v>
      </c>
      <c r="R1241" t="s">
        <v>18840</v>
      </c>
      <c r="S1241" t="s">
        <v>14360</v>
      </c>
    </row>
    <row r="1242" spans="1:19" x14ac:dyDescent="0.2">
      <c r="A1242" t="s">
        <v>2699</v>
      </c>
      <c r="B1242" t="s">
        <v>14359</v>
      </c>
      <c r="C1242" t="s">
        <v>10332</v>
      </c>
      <c r="D1242" t="str">
        <f>_xlfn.XLOOKUP(E1242,pathways!$A$2:$A$31,pathways!$B$2:$B$31)</f>
        <v>Unknown</v>
      </c>
      <c r="E1242" t="s">
        <v>18840</v>
      </c>
      <c r="F1242" t="s">
        <v>3906</v>
      </c>
      <c r="G1242" t="s">
        <v>20687</v>
      </c>
      <c r="H1242" t="s">
        <v>14360</v>
      </c>
      <c r="I1242" t="s">
        <v>10332</v>
      </c>
      <c r="J1242" s="4" t="s">
        <v>14360</v>
      </c>
      <c r="L1242" t="s">
        <v>2698</v>
      </c>
      <c r="M1242" t="s">
        <v>16037</v>
      </c>
      <c r="O1242" t="s">
        <v>14360</v>
      </c>
      <c r="Q1242" t="s">
        <v>14360</v>
      </c>
      <c r="R1242" t="s">
        <v>18840</v>
      </c>
      <c r="S1242" t="s">
        <v>5082</v>
      </c>
    </row>
    <row r="1243" spans="1:19" x14ac:dyDescent="0.2">
      <c r="A1243" t="s">
        <v>2721</v>
      </c>
      <c r="B1243" t="s">
        <v>14359</v>
      </c>
      <c r="C1243" t="s">
        <v>10333</v>
      </c>
      <c r="D1243" t="str">
        <f>_xlfn.XLOOKUP(E1243,pathways!$A$2:$A$31,pathways!$B$2:$B$31)</f>
        <v>Unknown</v>
      </c>
      <c r="E1243" t="s">
        <v>18840</v>
      </c>
      <c r="F1243" t="s">
        <v>18840</v>
      </c>
      <c r="G1243" t="s">
        <v>20500</v>
      </c>
      <c r="H1243" t="s">
        <v>14360</v>
      </c>
      <c r="I1243" t="s">
        <v>10333</v>
      </c>
      <c r="J1243" s="4" t="s">
        <v>12664</v>
      </c>
      <c r="L1243" t="s">
        <v>2720</v>
      </c>
      <c r="M1243" t="s">
        <v>16061</v>
      </c>
      <c r="R1243" t="s">
        <v>18840</v>
      </c>
      <c r="S1243" t="s">
        <v>3705</v>
      </c>
    </row>
    <row r="1244" spans="1:19" x14ac:dyDescent="0.2">
      <c r="A1244" t="s">
        <v>2175</v>
      </c>
      <c r="B1244" t="s">
        <v>14359</v>
      </c>
      <c r="C1244" t="s">
        <v>20340</v>
      </c>
      <c r="D1244" t="str">
        <f>_xlfn.XLOOKUP(E1244,pathways!$A$2:$A$31,pathways!$B$2:$B$31)</f>
        <v>Unknown</v>
      </c>
      <c r="E1244" t="s">
        <v>18840</v>
      </c>
      <c r="F1244" t="s">
        <v>18840</v>
      </c>
      <c r="G1244" t="s">
        <v>14360</v>
      </c>
      <c r="H1244" t="s">
        <v>14360</v>
      </c>
      <c r="I1244" t="s">
        <v>14360</v>
      </c>
      <c r="J1244" s="4" t="s">
        <v>12666</v>
      </c>
      <c r="L1244" t="s">
        <v>14360</v>
      </c>
      <c r="M1244" t="s">
        <v>14360</v>
      </c>
      <c r="N1244" t="s">
        <v>14360</v>
      </c>
      <c r="P1244" t="s">
        <v>14360</v>
      </c>
      <c r="R1244" t="s">
        <v>14360</v>
      </c>
    </row>
    <row r="1245" spans="1:19" x14ac:dyDescent="0.2">
      <c r="A1245" t="s">
        <v>14128</v>
      </c>
      <c r="B1245" t="s">
        <v>14359</v>
      </c>
      <c r="C1245" t="s">
        <v>10334</v>
      </c>
      <c r="D1245" t="str">
        <f>_xlfn.XLOOKUP(E1245,pathways!$A$2:$A$31,pathways!$B$2:$B$31)</f>
        <v>Unknown</v>
      </c>
      <c r="E1245" t="s">
        <v>18840</v>
      </c>
      <c r="F1245" t="s">
        <v>814</v>
      </c>
      <c r="G1245" t="s">
        <v>14360</v>
      </c>
      <c r="H1245" t="s">
        <v>14360</v>
      </c>
      <c r="I1245" t="s">
        <v>10334</v>
      </c>
      <c r="J1245" s="4" t="s">
        <v>14360</v>
      </c>
      <c r="L1245" t="s">
        <v>14360</v>
      </c>
      <c r="M1245" t="s">
        <v>14360</v>
      </c>
      <c r="O1245" t="s">
        <v>14360</v>
      </c>
      <c r="Q1245" t="s">
        <v>14360</v>
      </c>
      <c r="R1245" t="s">
        <v>14360</v>
      </c>
      <c r="S1245" t="s">
        <v>5858</v>
      </c>
    </row>
    <row r="1246" spans="1:19" x14ac:dyDescent="0.2">
      <c r="A1246" t="s">
        <v>14267</v>
      </c>
      <c r="B1246" t="s">
        <v>14359</v>
      </c>
      <c r="C1246" t="s">
        <v>20341</v>
      </c>
      <c r="D1246" t="str">
        <f>_xlfn.XLOOKUP(E1246,pathways!$A$2:$A$31,pathways!$B$2:$B$31)</f>
        <v>Unknown</v>
      </c>
      <c r="E1246" t="s">
        <v>18840</v>
      </c>
      <c r="F1246" t="s">
        <v>3873</v>
      </c>
      <c r="G1246" t="s">
        <v>14360</v>
      </c>
      <c r="H1246" t="s">
        <v>14360</v>
      </c>
      <c r="I1246" t="s">
        <v>14360</v>
      </c>
      <c r="J1246" s="4" t="s">
        <v>12668</v>
      </c>
      <c r="L1246" t="s">
        <v>14360</v>
      </c>
      <c r="M1246" t="s">
        <v>14360</v>
      </c>
      <c r="N1246" t="s">
        <v>14360</v>
      </c>
      <c r="P1246" t="s">
        <v>14360</v>
      </c>
      <c r="R1246" t="s">
        <v>14360</v>
      </c>
      <c r="S1246" t="s">
        <v>3864</v>
      </c>
    </row>
    <row r="1247" spans="1:19" x14ac:dyDescent="0.2">
      <c r="A1247" t="s">
        <v>2727</v>
      </c>
      <c r="B1247" t="s">
        <v>14359</v>
      </c>
      <c r="C1247" t="s">
        <v>10335</v>
      </c>
      <c r="D1247" t="str">
        <f>_xlfn.XLOOKUP(E1247,pathways!$A$2:$A$31,pathways!$B$2:$B$31)</f>
        <v>Unknown</v>
      </c>
      <c r="E1247" t="s">
        <v>18840</v>
      </c>
      <c r="F1247" t="s">
        <v>18840</v>
      </c>
      <c r="G1247" t="s">
        <v>20496</v>
      </c>
      <c r="H1247" t="s">
        <v>14360</v>
      </c>
      <c r="I1247" t="s">
        <v>10335</v>
      </c>
      <c r="J1247" s="4" t="s">
        <v>12670</v>
      </c>
      <c r="L1247" t="s">
        <v>2726</v>
      </c>
      <c r="M1247" t="s">
        <v>16067</v>
      </c>
      <c r="R1247" t="s">
        <v>18840</v>
      </c>
      <c r="S1247" t="s">
        <v>4084</v>
      </c>
    </row>
    <row r="1248" spans="1:19" x14ac:dyDescent="0.2">
      <c r="A1248" t="s">
        <v>14268</v>
      </c>
      <c r="B1248" t="s">
        <v>14359</v>
      </c>
      <c r="C1248" t="s">
        <v>20342</v>
      </c>
      <c r="D1248" t="str">
        <f>_xlfn.XLOOKUP(E1248,pathways!$A$2:$A$31,pathways!$B$2:$B$31)</f>
        <v>Unknown</v>
      </c>
      <c r="E1248" t="s">
        <v>18840</v>
      </c>
      <c r="F1248" t="s">
        <v>18840</v>
      </c>
      <c r="G1248" t="s">
        <v>14360</v>
      </c>
      <c r="H1248" t="s">
        <v>14360</v>
      </c>
      <c r="I1248" t="s">
        <v>14360</v>
      </c>
      <c r="J1248" s="4" t="s">
        <v>12672</v>
      </c>
      <c r="L1248" t="s">
        <v>14360</v>
      </c>
      <c r="M1248" t="s">
        <v>14360</v>
      </c>
      <c r="N1248" t="s">
        <v>14360</v>
      </c>
      <c r="P1248" t="s">
        <v>14360</v>
      </c>
      <c r="R1248" t="s">
        <v>14360</v>
      </c>
    </row>
    <row r="1249" spans="1:19" x14ac:dyDescent="0.2">
      <c r="A1249" t="s">
        <v>2334</v>
      </c>
      <c r="B1249" t="s">
        <v>14359</v>
      </c>
      <c r="C1249" t="s">
        <v>20343</v>
      </c>
      <c r="D1249" t="str">
        <f>_xlfn.XLOOKUP(E1249,pathways!$A$2:$A$31,pathways!$B$2:$B$31)</f>
        <v>Unknown</v>
      </c>
      <c r="E1249" t="s">
        <v>18840</v>
      </c>
      <c r="F1249" t="s">
        <v>18840</v>
      </c>
      <c r="G1249" t="s">
        <v>20624</v>
      </c>
      <c r="H1249" t="s">
        <v>14360</v>
      </c>
      <c r="I1249" t="s">
        <v>14360</v>
      </c>
      <c r="J1249" s="4" t="s">
        <v>12674</v>
      </c>
      <c r="L1249" t="s">
        <v>14360</v>
      </c>
      <c r="M1249" t="s">
        <v>14360</v>
      </c>
      <c r="N1249" t="s">
        <v>14360</v>
      </c>
      <c r="P1249" t="s">
        <v>14360</v>
      </c>
      <c r="R1249" t="s">
        <v>14360</v>
      </c>
      <c r="S1249" t="s">
        <v>14360</v>
      </c>
    </row>
    <row r="1250" spans="1:19" x14ac:dyDescent="0.2">
      <c r="A1250" t="s">
        <v>2748</v>
      </c>
      <c r="B1250" t="s">
        <v>14359</v>
      </c>
      <c r="C1250" t="s">
        <v>10336</v>
      </c>
      <c r="D1250" t="str">
        <f>_xlfn.XLOOKUP(E1250,pathways!$A$2:$A$31,pathways!$B$2:$B$31)</f>
        <v>Unknown</v>
      </c>
      <c r="E1250" t="s">
        <v>18840</v>
      </c>
      <c r="F1250" t="s">
        <v>18840</v>
      </c>
      <c r="G1250" t="s">
        <v>20593</v>
      </c>
      <c r="H1250" t="s">
        <v>14360</v>
      </c>
      <c r="I1250" t="s">
        <v>10336</v>
      </c>
      <c r="J1250" s="4" t="s">
        <v>12676</v>
      </c>
      <c r="L1250" t="s">
        <v>2747</v>
      </c>
      <c r="M1250" t="s">
        <v>16094</v>
      </c>
      <c r="R1250" t="s">
        <v>18840</v>
      </c>
      <c r="S1250" t="s">
        <v>3864</v>
      </c>
    </row>
    <row r="1251" spans="1:19" x14ac:dyDescent="0.2">
      <c r="A1251" t="s">
        <v>2750</v>
      </c>
      <c r="B1251" t="s">
        <v>14359</v>
      </c>
      <c r="C1251" t="s">
        <v>10337</v>
      </c>
      <c r="D1251" t="str">
        <f>_xlfn.XLOOKUP(E1251,pathways!$A$2:$A$31,pathways!$B$2:$B$31)</f>
        <v>Unknown</v>
      </c>
      <c r="E1251" t="s">
        <v>18840</v>
      </c>
      <c r="F1251" t="s">
        <v>18840</v>
      </c>
      <c r="G1251" t="s">
        <v>20536</v>
      </c>
      <c r="H1251" t="s">
        <v>14360</v>
      </c>
      <c r="I1251" t="s">
        <v>14360</v>
      </c>
      <c r="J1251" s="4" t="s">
        <v>12678</v>
      </c>
      <c r="L1251" t="s">
        <v>14360</v>
      </c>
      <c r="M1251" t="s">
        <v>16096</v>
      </c>
      <c r="N1251" t="s">
        <v>14360</v>
      </c>
      <c r="P1251" t="s">
        <v>14360</v>
      </c>
      <c r="R1251" t="s">
        <v>14360</v>
      </c>
      <c r="S1251" t="s">
        <v>14360</v>
      </c>
    </row>
    <row r="1252" spans="1:19" x14ac:dyDescent="0.2">
      <c r="A1252" t="s">
        <v>14129</v>
      </c>
      <c r="B1252" t="s">
        <v>14359</v>
      </c>
      <c r="C1252" t="s">
        <v>10337</v>
      </c>
      <c r="D1252" t="str">
        <f>_xlfn.XLOOKUP(E1252,pathways!$A$2:$A$31,pathways!$B$2:$B$31)</f>
        <v>Unknown</v>
      </c>
      <c r="E1252" t="s">
        <v>18840</v>
      </c>
      <c r="F1252" t="s">
        <v>18840</v>
      </c>
      <c r="G1252" t="s">
        <v>20536</v>
      </c>
      <c r="H1252" t="s">
        <v>14360</v>
      </c>
      <c r="I1252" t="s">
        <v>10337</v>
      </c>
      <c r="J1252" s="4" t="s">
        <v>14360</v>
      </c>
      <c r="L1252" t="s">
        <v>2749</v>
      </c>
      <c r="M1252" t="s">
        <v>16096</v>
      </c>
      <c r="O1252" t="s">
        <v>14360</v>
      </c>
      <c r="Q1252" t="s">
        <v>14360</v>
      </c>
      <c r="R1252" t="s">
        <v>18840</v>
      </c>
      <c r="S1252" t="s">
        <v>3449</v>
      </c>
    </row>
    <row r="1253" spans="1:19" x14ac:dyDescent="0.2">
      <c r="A1253" t="s">
        <v>14130</v>
      </c>
      <c r="B1253" t="s">
        <v>14359</v>
      </c>
      <c r="C1253" t="s">
        <v>10338</v>
      </c>
      <c r="D1253" t="str">
        <f>_xlfn.XLOOKUP(E1253,pathways!$A$2:$A$31,pathways!$B$2:$B$31)</f>
        <v>Unknown</v>
      </c>
      <c r="E1253" t="s">
        <v>18840</v>
      </c>
      <c r="F1253" t="s">
        <v>18840</v>
      </c>
      <c r="G1253" t="s">
        <v>14360</v>
      </c>
      <c r="H1253" t="s">
        <v>14360</v>
      </c>
      <c r="I1253" t="s">
        <v>10338</v>
      </c>
      <c r="J1253" s="4" t="s">
        <v>14360</v>
      </c>
      <c r="L1253" t="s">
        <v>14360</v>
      </c>
      <c r="M1253" t="s">
        <v>14360</v>
      </c>
      <c r="O1253" t="s">
        <v>14360</v>
      </c>
      <c r="Q1253" t="s">
        <v>14360</v>
      </c>
      <c r="R1253" t="s">
        <v>14360</v>
      </c>
      <c r="S1253" t="s">
        <v>14360</v>
      </c>
    </row>
    <row r="1254" spans="1:19" x14ac:dyDescent="0.2">
      <c r="A1254" t="s">
        <v>14131</v>
      </c>
      <c r="B1254" t="s">
        <v>14359</v>
      </c>
      <c r="C1254" t="s">
        <v>10339</v>
      </c>
      <c r="D1254" t="str">
        <f>_xlfn.XLOOKUP(E1254,pathways!$A$2:$A$31,pathways!$B$2:$B$31)</f>
        <v>Unknown</v>
      </c>
      <c r="E1254" t="s">
        <v>18840</v>
      </c>
      <c r="F1254" t="s">
        <v>18840</v>
      </c>
      <c r="G1254" t="s">
        <v>14360</v>
      </c>
      <c r="H1254" t="s">
        <v>14360</v>
      </c>
      <c r="I1254" t="s">
        <v>10339</v>
      </c>
      <c r="J1254" s="4" t="s">
        <v>14360</v>
      </c>
      <c r="L1254" t="s">
        <v>2732</v>
      </c>
      <c r="M1254" t="s">
        <v>16075</v>
      </c>
      <c r="O1254" t="s">
        <v>14360</v>
      </c>
      <c r="Q1254" t="s">
        <v>14360</v>
      </c>
      <c r="R1254" t="s">
        <v>18840</v>
      </c>
      <c r="S1254" t="s">
        <v>14360</v>
      </c>
    </row>
    <row r="1255" spans="1:19" x14ac:dyDescent="0.2">
      <c r="A1255" t="s">
        <v>2736</v>
      </c>
      <c r="B1255" t="s">
        <v>14359</v>
      </c>
      <c r="C1255" t="s">
        <v>10340</v>
      </c>
      <c r="D1255" t="str">
        <f>_xlfn.XLOOKUP(E1255,pathways!$A$2:$A$31,pathways!$B$2:$B$31)</f>
        <v>Unknown</v>
      </c>
      <c r="E1255" t="s">
        <v>18840</v>
      </c>
      <c r="F1255" t="s">
        <v>18840</v>
      </c>
      <c r="G1255" t="s">
        <v>20514</v>
      </c>
      <c r="H1255" t="s">
        <v>14360</v>
      </c>
      <c r="I1255" t="s">
        <v>10340</v>
      </c>
      <c r="J1255" s="4" t="s">
        <v>14360</v>
      </c>
      <c r="L1255" t="s">
        <v>2735</v>
      </c>
      <c r="M1255" t="s">
        <v>16080</v>
      </c>
      <c r="O1255" t="s">
        <v>14360</v>
      </c>
      <c r="Q1255" t="s">
        <v>14360</v>
      </c>
      <c r="R1255" t="s">
        <v>18840</v>
      </c>
    </row>
    <row r="1256" spans="1:19" x14ac:dyDescent="0.2">
      <c r="A1256" t="s">
        <v>14269</v>
      </c>
      <c r="B1256" t="s">
        <v>14359</v>
      </c>
      <c r="C1256" t="s">
        <v>20344</v>
      </c>
      <c r="D1256" t="str">
        <f>_xlfn.XLOOKUP(E1256,pathways!$A$2:$A$31,pathways!$B$2:$B$31)</f>
        <v>Unknown</v>
      </c>
      <c r="E1256" t="s">
        <v>18840</v>
      </c>
      <c r="F1256" t="s">
        <v>18840</v>
      </c>
      <c r="G1256" t="s">
        <v>20659</v>
      </c>
      <c r="H1256" t="s">
        <v>14360</v>
      </c>
      <c r="I1256" t="s">
        <v>14360</v>
      </c>
      <c r="J1256" s="4" t="s">
        <v>12680</v>
      </c>
      <c r="L1256" t="s">
        <v>14360</v>
      </c>
      <c r="M1256" t="s">
        <v>14360</v>
      </c>
      <c r="N1256" t="s">
        <v>14360</v>
      </c>
      <c r="P1256" t="s">
        <v>14360</v>
      </c>
      <c r="R1256" t="s">
        <v>14360</v>
      </c>
    </row>
    <row r="1257" spans="1:19" x14ac:dyDescent="0.2">
      <c r="A1257" t="s">
        <v>2738</v>
      </c>
      <c r="B1257" t="s">
        <v>14359</v>
      </c>
      <c r="C1257" t="s">
        <v>10341</v>
      </c>
      <c r="D1257" t="str">
        <f>_xlfn.XLOOKUP(E1257,pathways!$A$2:$A$31,pathways!$B$2:$B$31)</f>
        <v>Unknown</v>
      </c>
      <c r="E1257" t="s">
        <v>18840</v>
      </c>
      <c r="F1257" t="s">
        <v>18840</v>
      </c>
      <c r="G1257" t="s">
        <v>20553</v>
      </c>
      <c r="H1257" t="s">
        <v>14360</v>
      </c>
      <c r="I1257" t="s">
        <v>10341</v>
      </c>
      <c r="J1257" s="4" t="s">
        <v>12682</v>
      </c>
      <c r="L1257" t="s">
        <v>2737</v>
      </c>
      <c r="M1257" t="s">
        <v>16082</v>
      </c>
      <c r="R1257" t="s">
        <v>18840</v>
      </c>
    </row>
    <row r="1258" spans="1:19" x14ac:dyDescent="0.2">
      <c r="A1258" t="s">
        <v>14132</v>
      </c>
      <c r="B1258" t="s">
        <v>14359</v>
      </c>
      <c r="C1258" t="s">
        <v>10342</v>
      </c>
      <c r="D1258" t="str">
        <f>_xlfn.XLOOKUP(E1258,pathways!$A$2:$A$31,pathways!$B$2:$B$31)</f>
        <v>Unknown</v>
      </c>
      <c r="E1258" t="s">
        <v>18840</v>
      </c>
      <c r="F1258" t="s">
        <v>18840</v>
      </c>
      <c r="G1258" t="s">
        <v>14360</v>
      </c>
      <c r="H1258" t="s">
        <v>14360</v>
      </c>
      <c r="I1258" t="s">
        <v>10342</v>
      </c>
      <c r="J1258" s="4" t="s">
        <v>14360</v>
      </c>
      <c r="L1258" t="s">
        <v>2731</v>
      </c>
      <c r="M1258" t="s">
        <v>16073</v>
      </c>
      <c r="O1258" t="s">
        <v>14360</v>
      </c>
      <c r="Q1258" t="s">
        <v>14360</v>
      </c>
      <c r="R1258" t="s">
        <v>18840</v>
      </c>
    </row>
    <row r="1259" spans="1:19" x14ac:dyDescent="0.2">
      <c r="A1259" t="s">
        <v>14270</v>
      </c>
      <c r="B1259" t="s">
        <v>14359</v>
      </c>
      <c r="C1259" t="s">
        <v>20345</v>
      </c>
      <c r="D1259" t="str">
        <f>_xlfn.XLOOKUP(E1259,pathways!$A$2:$A$31,pathways!$B$2:$B$31)</f>
        <v>Unknown</v>
      </c>
      <c r="E1259" t="s">
        <v>18840</v>
      </c>
      <c r="F1259" t="s">
        <v>18840</v>
      </c>
      <c r="G1259" t="s">
        <v>14360</v>
      </c>
      <c r="H1259" t="s">
        <v>14360</v>
      </c>
      <c r="I1259" t="s">
        <v>14360</v>
      </c>
      <c r="J1259" s="4" t="s">
        <v>12684</v>
      </c>
      <c r="L1259" t="s">
        <v>14360</v>
      </c>
      <c r="M1259" t="s">
        <v>14360</v>
      </c>
      <c r="N1259" t="s">
        <v>14360</v>
      </c>
      <c r="P1259" t="s">
        <v>14360</v>
      </c>
      <c r="R1259" t="s">
        <v>14360</v>
      </c>
    </row>
    <row r="1260" spans="1:19" x14ac:dyDescent="0.2">
      <c r="A1260" t="s">
        <v>2730</v>
      </c>
      <c r="B1260" t="s">
        <v>14359</v>
      </c>
      <c r="C1260" t="s">
        <v>10343</v>
      </c>
      <c r="D1260" t="str">
        <f>_xlfn.XLOOKUP(E1260,pathways!$A$2:$A$31,pathways!$B$2:$B$31)</f>
        <v>Unknown</v>
      </c>
      <c r="E1260" t="s">
        <v>18840</v>
      </c>
      <c r="F1260" t="s">
        <v>18840</v>
      </c>
      <c r="G1260" t="s">
        <v>14360</v>
      </c>
      <c r="H1260" t="s">
        <v>14360</v>
      </c>
      <c r="I1260" t="s">
        <v>10343</v>
      </c>
      <c r="J1260" s="4" t="s">
        <v>14360</v>
      </c>
      <c r="L1260" t="s">
        <v>2729</v>
      </c>
      <c r="M1260" t="s">
        <v>16071</v>
      </c>
      <c r="O1260" t="s">
        <v>14360</v>
      </c>
      <c r="Q1260" t="s">
        <v>14360</v>
      </c>
      <c r="R1260" t="s">
        <v>18840</v>
      </c>
    </row>
    <row r="1261" spans="1:19" x14ac:dyDescent="0.2">
      <c r="A1261" t="s">
        <v>3104</v>
      </c>
      <c r="B1261" t="s">
        <v>14359</v>
      </c>
      <c r="C1261" t="s">
        <v>10344</v>
      </c>
      <c r="D1261" t="str">
        <f>_xlfn.XLOOKUP(E1261,pathways!$A$2:$A$31,pathways!$B$2:$B$31)</f>
        <v>Unknown</v>
      </c>
      <c r="E1261" t="s">
        <v>18840</v>
      </c>
      <c r="F1261" t="s">
        <v>3449</v>
      </c>
      <c r="G1261" t="s">
        <v>20590</v>
      </c>
      <c r="H1261" t="s">
        <v>14360</v>
      </c>
      <c r="I1261" t="s">
        <v>10344</v>
      </c>
      <c r="J1261" s="4" t="s">
        <v>12686</v>
      </c>
      <c r="L1261" t="s">
        <v>3103</v>
      </c>
      <c r="M1261" t="s">
        <v>16463</v>
      </c>
      <c r="R1261" t="s">
        <v>18840</v>
      </c>
    </row>
    <row r="1262" spans="1:19" x14ac:dyDescent="0.2">
      <c r="A1262" t="s">
        <v>2743</v>
      </c>
      <c r="B1262" t="s">
        <v>14359</v>
      </c>
      <c r="C1262" t="s">
        <v>10345</v>
      </c>
      <c r="D1262" t="str">
        <f>_xlfn.XLOOKUP(E1262,pathways!$A$2:$A$31,pathways!$B$2:$B$31)</f>
        <v>Unknown</v>
      </c>
      <c r="E1262" t="s">
        <v>18840</v>
      </c>
      <c r="F1262" t="s">
        <v>18840</v>
      </c>
      <c r="G1262" t="s">
        <v>20488</v>
      </c>
      <c r="H1262" t="s">
        <v>14360</v>
      </c>
      <c r="I1262" t="s">
        <v>10345</v>
      </c>
      <c r="J1262" s="4" t="s">
        <v>14360</v>
      </c>
      <c r="L1262" t="s">
        <v>2742</v>
      </c>
      <c r="M1262" t="s">
        <v>16088</v>
      </c>
      <c r="O1262" t="s">
        <v>14360</v>
      </c>
      <c r="Q1262" t="s">
        <v>14360</v>
      </c>
      <c r="R1262" t="s">
        <v>18840</v>
      </c>
    </row>
    <row r="1263" spans="1:19" x14ac:dyDescent="0.2">
      <c r="A1263" t="s">
        <v>14133</v>
      </c>
      <c r="B1263" t="s">
        <v>14359</v>
      </c>
      <c r="C1263" t="s">
        <v>10346</v>
      </c>
      <c r="D1263" t="str">
        <f>_xlfn.XLOOKUP(E1263,pathways!$A$2:$A$31,pathways!$B$2:$B$31)</f>
        <v>Unknown</v>
      </c>
      <c r="E1263" t="s">
        <v>18840</v>
      </c>
      <c r="F1263" t="s">
        <v>3758</v>
      </c>
      <c r="G1263" t="s">
        <v>14360</v>
      </c>
      <c r="H1263" t="s">
        <v>14360</v>
      </c>
      <c r="I1263" t="s">
        <v>10346</v>
      </c>
      <c r="J1263" s="4" t="s">
        <v>14360</v>
      </c>
      <c r="L1263" t="s">
        <v>2733</v>
      </c>
      <c r="M1263" t="s">
        <v>16076</v>
      </c>
      <c r="O1263" t="s">
        <v>14360</v>
      </c>
      <c r="Q1263" t="s">
        <v>14360</v>
      </c>
      <c r="R1263" t="s">
        <v>18840</v>
      </c>
    </row>
    <row r="1264" spans="1:19" x14ac:dyDescent="0.2">
      <c r="A1264" t="s">
        <v>2745</v>
      </c>
      <c r="B1264" t="s">
        <v>14359</v>
      </c>
      <c r="C1264" t="s">
        <v>10347</v>
      </c>
      <c r="D1264" t="str">
        <f>_xlfn.XLOOKUP(E1264,pathways!$A$2:$A$31,pathways!$B$2:$B$31)</f>
        <v>Unknown</v>
      </c>
      <c r="E1264" t="s">
        <v>18840</v>
      </c>
      <c r="F1264" t="s">
        <v>3470</v>
      </c>
      <c r="G1264" t="s">
        <v>20652</v>
      </c>
      <c r="H1264" t="s">
        <v>14360</v>
      </c>
      <c r="I1264" t="s">
        <v>10347</v>
      </c>
      <c r="J1264" s="4" t="s">
        <v>12688</v>
      </c>
      <c r="L1264" t="s">
        <v>2744</v>
      </c>
      <c r="M1264" t="s">
        <v>16090</v>
      </c>
      <c r="R1264" t="s">
        <v>18840</v>
      </c>
    </row>
    <row r="1265" spans="1:18" x14ac:dyDescent="0.2">
      <c r="A1265" t="s">
        <v>2740</v>
      </c>
      <c r="B1265" t="s">
        <v>14359</v>
      </c>
      <c r="C1265" t="s">
        <v>10348</v>
      </c>
      <c r="D1265" t="str">
        <f>_xlfn.XLOOKUP(E1265,pathways!$A$2:$A$31,pathways!$B$2:$B$31)</f>
        <v>Unknown</v>
      </c>
      <c r="E1265" t="s">
        <v>18840</v>
      </c>
      <c r="F1265" t="s">
        <v>3470</v>
      </c>
      <c r="G1265" t="s">
        <v>14360</v>
      </c>
      <c r="H1265" t="s">
        <v>14360</v>
      </c>
      <c r="I1265" t="s">
        <v>10348</v>
      </c>
      <c r="J1265" s="4" t="s">
        <v>14360</v>
      </c>
      <c r="L1265" t="s">
        <v>2739</v>
      </c>
      <c r="M1265" t="s">
        <v>16084</v>
      </c>
      <c r="O1265" t="s">
        <v>14360</v>
      </c>
      <c r="Q1265" t="s">
        <v>14360</v>
      </c>
      <c r="R1265" t="s">
        <v>18840</v>
      </c>
    </row>
    <row r="1266" spans="1:18" x14ac:dyDescent="0.2">
      <c r="A1266" t="s">
        <v>2765</v>
      </c>
      <c r="B1266" t="s">
        <v>14359</v>
      </c>
      <c r="C1266" t="s">
        <v>10349</v>
      </c>
      <c r="D1266" t="str">
        <f>_xlfn.XLOOKUP(E1266,pathways!$A$2:$A$31,pathways!$B$2:$B$31)</f>
        <v>Unknown</v>
      </c>
      <c r="E1266" t="s">
        <v>18840</v>
      </c>
      <c r="F1266" t="s">
        <v>3687</v>
      </c>
      <c r="G1266" t="s">
        <v>14360</v>
      </c>
      <c r="H1266" t="s">
        <v>14360</v>
      </c>
      <c r="I1266" t="s">
        <v>10349</v>
      </c>
      <c r="J1266" s="4" t="s">
        <v>14360</v>
      </c>
      <c r="L1266" t="s">
        <v>2764</v>
      </c>
      <c r="M1266" t="s">
        <v>16112</v>
      </c>
      <c r="O1266" t="s">
        <v>14360</v>
      </c>
      <c r="Q1266" t="s">
        <v>14360</v>
      </c>
      <c r="R1266" t="s">
        <v>18840</v>
      </c>
    </row>
    <row r="1267" spans="1:18" x14ac:dyDescent="0.2">
      <c r="A1267" t="s">
        <v>2774</v>
      </c>
      <c r="B1267" t="s">
        <v>14359</v>
      </c>
      <c r="C1267" t="s">
        <v>10350</v>
      </c>
      <c r="D1267" t="str">
        <f>_xlfn.XLOOKUP(E1267,pathways!$A$2:$A$31,pathways!$B$2:$B$31)</f>
        <v>Unknown</v>
      </c>
      <c r="E1267" t="s">
        <v>18840</v>
      </c>
      <c r="F1267" t="s">
        <v>3687</v>
      </c>
      <c r="G1267" t="s">
        <v>20615</v>
      </c>
      <c r="H1267" t="s">
        <v>14360</v>
      </c>
      <c r="I1267" t="s">
        <v>10350</v>
      </c>
      <c r="J1267" s="4" t="s">
        <v>12690</v>
      </c>
      <c r="L1267" t="s">
        <v>2773</v>
      </c>
      <c r="M1267" t="s">
        <v>16122</v>
      </c>
      <c r="R1267" t="s">
        <v>18840</v>
      </c>
    </row>
    <row r="1268" spans="1:18" x14ac:dyDescent="0.2">
      <c r="A1268" t="s">
        <v>2226</v>
      </c>
      <c r="B1268" t="s">
        <v>14359</v>
      </c>
      <c r="C1268" t="s">
        <v>20346</v>
      </c>
      <c r="D1268" t="str">
        <f>_xlfn.XLOOKUP(E1268,pathways!$A$2:$A$31,pathways!$B$2:$B$31)</f>
        <v>Unknown</v>
      </c>
      <c r="E1268" t="s">
        <v>18840</v>
      </c>
      <c r="F1268" t="s">
        <v>18840</v>
      </c>
      <c r="G1268" t="s">
        <v>14360</v>
      </c>
      <c r="H1268" t="s">
        <v>14360</v>
      </c>
      <c r="I1268" t="s">
        <v>14360</v>
      </c>
      <c r="J1268" s="4" t="s">
        <v>12692</v>
      </c>
      <c r="L1268" t="s">
        <v>14360</v>
      </c>
      <c r="M1268" t="s">
        <v>14360</v>
      </c>
      <c r="N1268" t="s">
        <v>14360</v>
      </c>
      <c r="P1268" t="s">
        <v>14360</v>
      </c>
      <c r="R1268" t="s">
        <v>14360</v>
      </c>
    </row>
    <row r="1269" spans="1:18" x14ac:dyDescent="0.2">
      <c r="A1269" t="s">
        <v>2761</v>
      </c>
      <c r="B1269" t="s">
        <v>14359</v>
      </c>
      <c r="C1269" t="s">
        <v>10351</v>
      </c>
      <c r="D1269" t="str">
        <f>_xlfn.XLOOKUP(E1269,pathways!$A$2:$A$31,pathways!$B$2:$B$31)</f>
        <v>Unknown</v>
      </c>
      <c r="E1269" t="s">
        <v>18840</v>
      </c>
      <c r="F1269" t="s">
        <v>3864</v>
      </c>
      <c r="G1269" t="s">
        <v>20506</v>
      </c>
      <c r="H1269" t="s">
        <v>14360</v>
      </c>
      <c r="I1269" t="s">
        <v>10351</v>
      </c>
      <c r="J1269" s="4" t="s">
        <v>12694</v>
      </c>
      <c r="L1269" t="s">
        <v>2760</v>
      </c>
      <c r="M1269" t="s">
        <v>16108</v>
      </c>
      <c r="R1269" t="s">
        <v>18840</v>
      </c>
    </row>
    <row r="1270" spans="1:18" x14ac:dyDescent="0.2">
      <c r="A1270" t="s">
        <v>14271</v>
      </c>
      <c r="B1270" t="s">
        <v>14359</v>
      </c>
      <c r="C1270" t="s">
        <v>17112</v>
      </c>
      <c r="D1270" t="str">
        <f>_xlfn.XLOOKUP(E1270,pathways!$A$2:$A$31,pathways!$B$2:$B$31)</f>
        <v>Unknown</v>
      </c>
      <c r="E1270" t="s">
        <v>18840</v>
      </c>
      <c r="F1270" t="s">
        <v>18840</v>
      </c>
      <c r="G1270" t="s">
        <v>20678</v>
      </c>
      <c r="H1270" t="s">
        <v>14360</v>
      </c>
      <c r="I1270" t="s">
        <v>14360</v>
      </c>
      <c r="J1270" s="4" t="s">
        <v>12696</v>
      </c>
      <c r="L1270" t="s">
        <v>2759</v>
      </c>
      <c r="M1270" t="s">
        <v>16106</v>
      </c>
      <c r="N1270" t="s">
        <v>14360</v>
      </c>
      <c r="P1270" t="s">
        <v>14360</v>
      </c>
      <c r="R1270" t="s">
        <v>18840</v>
      </c>
    </row>
    <row r="1271" spans="1:18" x14ac:dyDescent="0.2">
      <c r="A1271" t="s">
        <v>2758</v>
      </c>
      <c r="B1271" t="s">
        <v>14359</v>
      </c>
      <c r="C1271" t="s">
        <v>10352</v>
      </c>
      <c r="D1271" t="str">
        <f>_xlfn.XLOOKUP(E1271,pathways!$A$2:$A$31,pathways!$B$2:$B$31)</f>
        <v>Unknown</v>
      </c>
      <c r="E1271" t="s">
        <v>18840</v>
      </c>
      <c r="F1271" t="s">
        <v>6535</v>
      </c>
      <c r="G1271" t="s">
        <v>20670</v>
      </c>
      <c r="H1271" t="s">
        <v>14360</v>
      </c>
      <c r="I1271" t="s">
        <v>10352</v>
      </c>
      <c r="J1271" s="4" t="s">
        <v>12698</v>
      </c>
      <c r="L1271" t="s">
        <v>2757</v>
      </c>
      <c r="M1271" t="s">
        <v>16104</v>
      </c>
      <c r="R1271" t="s">
        <v>18840</v>
      </c>
    </row>
    <row r="1272" spans="1:18" x14ac:dyDescent="0.2">
      <c r="A1272" t="s">
        <v>2752</v>
      </c>
      <c r="B1272" t="s">
        <v>14359</v>
      </c>
      <c r="C1272" t="s">
        <v>10353</v>
      </c>
      <c r="D1272" t="str">
        <f>_xlfn.XLOOKUP(E1272,pathways!$A$2:$A$31,pathways!$B$2:$B$31)</f>
        <v>Unknown</v>
      </c>
      <c r="E1272" t="s">
        <v>18840</v>
      </c>
      <c r="F1272" t="s">
        <v>18840</v>
      </c>
      <c r="G1272" t="s">
        <v>20478</v>
      </c>
      <c r="H1272" t="s">
        <v>14360</v>
      </c>
      <c r="I1272" t="s">
        <v>10353</v>
      </c>
      <c r="J1272" s="4" t="s">
        <v>12700</v>
      </c>
      <c r="L1272" t="s">
        <v>2751</v>
      </c>
      <c r="M1272" t="s">
        <v>16098</v>
      </c>
      <c r="R1272" t="s">
        <v>18840</v>
      </c>
    </row>
    <row r="1273" spans="1:18" x14ac:dyDescent="0.2">
      <c r="A1273" t="s">
        <v>3106</v>
      </c>
      <c r="B1273" t="s">
        <v>14359</v>
      </c>
      <c r="C1273" t="s">
        <v>10354</v>
      </c>
      <c r="D1273" t="str">
        <f>_xlfn.XLOOKUP(E1273,pathways!$A$2:$A$31,pathways!$B$2:$B$31)</f>
        <v>Unknown</v>
      </c>
      <c r="E1273" t="s">
        <v>18840</v>
      </c>
      <c r="F1273" t="s">
        <v>3543</v>
      </c>
      <c r="G1273" t="s">
        <v>20662</v>
      </c>
      <c r="H1273" t="s">
        <v>14360</v>
      </c>
      <c r="I1273" t="s">
        <v>10354</v>
      </c>
      <c r="J1273" s="4" t="s">
        <v>12702</v>
      </c>
      <c r="L1273" t="s">
        <v>3105</v>
      </c>
      <c r="M1273" t="s">
        <v>16465</v>
      </c>
      <c r="R1273" t="s">
        <v>18840</v>
      </c>
    </row>
    <row r="1274" spans="1:18" x14ac:dyDescent="0.2">
      <c r="A1274" t="s">
        <v>2756</v>
      </c>
      <c r="B1274" t="s">
        <v>14359</v>
      </c>
      <c r="C1274" t="s">
        <v>10355</v>
      </c>
      <c r="D1274" t="str">
        <f>_xlfn.XLOOKUP(E1274,pathways!$A$2:$A$31,pathways!$B$2:$B$31)</f>
        <v>Unknown</v>
      </c>
      <c r="E1274" t="s">
        <v>18840</v>
      </c>
      <c r="F1274" t="s">
        <v>3661</v>
      </c>
      <c r="G1274" t="s">
        <v>20469</v>
      </c>
      <c r="H1274" t="s">
        <v>14360</v>
      </c>
      <c r="I1274" t="s">
        <v>10355</v>
      </c>
      <c r="J1274" s="4" t="s">
        <v>14360</v>
      </c>
      <c r="L1274" t="s">
        <v>2755</v>
      </c>
      <c r="M1274" t="s">
        <v>16102</v>
      </c>
      <c r="O1274" t="s">
        <v>14360</v>
      </c>
      <c r="Q1274" t="s">
        <v>14360</v>
      </c>
      <c r="R1274" t="s">
        <v>18840</v>
      </c>
    </row>
    <row r="1275" spans="1:18" x14ac:dyDescent="0.2">
      <c r="A1275" t="s">
        <v>2763</v>
      </c>
      <c r="B1275" t="s">
        <v>14359</v>
      </c>
      <c r="C1275" t="s">
        <v>10356</v>
      </c>
      <c r="D1275" t="str">
        <f>_xlfn.XLOOKUP(E1275,pathways!$A$2:$A$31,pathways!$B$2:$B$31)</f>
        <v>Unknown</v>
      </c>
      <c r="E1275" t="s">
        <v>18840</v>
      </c>
      <c r="F1275" t="s">
        <v>3705</v>
      </c>
      <c r="G1275" t="s">
        <v>20614</v>
      </c>
      <c r="H1275" t="s">
        <v>14360</v>
      </c>
      <c r="I1275" t="s">
        <v>10356</v>
      </c>
      <c r="J1275" s="4" t="s">
        <v>12704</v>
      </c>
      <c r="L1275" t="s">
        <v>2762</v>
      </c>
      <c r="M1275" t="s">
        <v>16110</v>
      </c>
      <c r="R1275" t="s">
        <v>18840</v>
      </c>
    </row>
    <row r="1276" spans="1:18" x14ac:dyDescent="0.2">
      <c r="A1276" t="s">
        <v>2754</v>
      </c>
      <c r="B1276" t="s">
        <v>14359</v>
      </c>
      <c r="C1276" t="s">
        <v>10357</v>
      </c>
      <c r="D1276" t="str">
        <f>_xlfn.XLOOKUP(E1276,pathways!$A$2:$A$31,pathways!$B$2:$B$31)</f>
        <v>Unknown</v>
      </c>
      <c r="E1276" t="s">
        <v>18840</v>
      </c>
      <c r="F1276" t="s">
        <v>3819</v>
      </c>
      <c r="G1276" t="s">
        <v>20571</v>
      </c>
      <c r="H1276" t="s">
        <v>14360</v>
      </c>
      <c r="I1276" t="s">
        <v>10357</v>
      </c>
      <c r="J1276" s="4" t="s">
        <v>12706</v>
      </c>
      <c r="L1276" t="s">
        <v>2753</v>
      </c>
      <c r="M1276" t="s">
        <v>16100</v>
      </c>
      <c r="R1276" t="s">
        <v>18840</v>
      </c>
    </row>
    <row r="1277" spans="1:18" x14ac:dyDescent="0.2">
      <c r="A1277" t="s">
        <v>14272</v>
      </c>
      <c r="B1277" t="s">
        <v>14359</v>
      </c>
      <c r="C1277" t="s">
        <v>20347</v>
      </c>
      <c r="D1277" t="str">
        <f>_xlfn.XLOOKUP(E1277,pathways!$A$2:$A$31,pathways!$B$2:$B$31)</f>
        <v>Unknown</v>
      </c>
      <c r="E1277" t="s">
        <v>18840</v>
      </c>
      <c r="F1277" t="s">
        <v>18840</v>
      </c>
      <c r="G1277" t="s">
        <v>14360</v>
      </c>
      <c r="H1277" t="s">
        <v>14360</v>
      </c>
      <c r="I1277" t="s">
        <v>14360</v>
      </c>
      <c r="J1277" s="4" t="s">
        <v>12708</v>
      </c>
      <c r="L1277" t="s">
        <v>14360</v>
      </c>
      <c r="M1277" t="s">
        <v>14360</v>
      </c>
      <c r="N1277" t="s">
        <v>14360</v>
      </c>
      <c r="P1277" t="s">
        <v>14360</v>
      </c>
      <c r="R1277" t="s">
        <v>14360</v>
      </c>
    </row>
    <row r="1278" spans="1:18" x14ac:dyDescent="0.2">
      <c r="A1278" t="s">
        <v>14134</v>
      </c>
      <c r="B1278" t="s">
        <v>14359</v>
      </c>
      <c r="C1278" t="s">
        <v>10358</v>
      </c>
      <c r="D1278" t="str">
        <f>_xlfn.XLOOKUP(E1278,pathways!$A$2:$A$31,pathways!$B$2:$B$31)</f>
        <v>Unknown</v>
      </c>
      <c r="E1278" t="s">
        <v>18840</v>
      </c>
      <c r="F1278" t="s">
        <v>3498</v>
      </c>
      <c r="G1278" t="s">
        <v>14360</v>
      </c>
      <c r="H1278" t="s">
        <v>14360</v>
      </c>
      <c r="I1278" t="s">
        <v>10358</v>
      </c>
      <c r="J1278" s="4" t="s">
        <v>14360</v>
      </c>
      <c r="L1278" t="s">
        <v>14360</v>
      </c>
      <c r="M1278" t="s">
        <v>14360</v>
      </c>
      <c r="O1278" t="s">
        <v>14360</v>
      </c>
      <c r="Q1278" t="s">
        <v>14360</v>
      </c>
      <c r="R1278" t="s">
        <v>14360</v>
      </c>
    </row>
    <row r="1279" spans="1:18" x14ac:dyDescent="0.2">
      <c r="A1279" t="s">
        <v>2772</v>
      </c>
      <c r="B1279" t="s">
        <v>14359</v>
      </c>
      <c r="C1279" t="s">
        <v>10359</v>
      </c>
      <c r="D1279" t="str">
        <f>_xlfn.XLOOKUP(E1279,pathways!$A$2:$A$31,pathways!$B$2:$B$31)</f>
        <v>Unknown</v>
      </c>
      <c r="E1279" t="s">
        <v>18840</v>
      </c>
      <c r="F1279" t="s">
        <v>18840</v>
      </c>
      <c r="G1279" t="s">
        <v>14360</v>
      </c>
      <c r="H1279" t="s">
        <v>14360</v>
      </c>
      <c r="I1279" t="s">
        <v>10359</v>
      </c>
      <c r="J1279" s="4" t="s">
        <v>12710</v>
      </c>
      <c r="L1279" t="s">
        <v>2771</v>
      </c>
      <c r="M1279" t="s">
        <v>16120</v>
      </c>
      <c r="R1279" t="s">
        <v>18840</v>
      </c>
    </row>
    <row r="1280" spans="1:18" x14ac:dyDescent="0.2">
      <c r="A1280" t="s">
        <v>2767</v>
      </c>
      <c r="B1280" t="s">
        <v>14359</v>
      </c>
      <c r="C1280" t="s">
        <v>17115</v>
      </c>
      <c r="D1280" t="str">
        <f>_xlfn.XLOOKUP(E1280,pathways!$A$2:$A$31,pathways!$B$2:$B$31)</f>
        <v>Unknown</v>
      </c>
      <c r="E1280" t="s">
        <v>18840</v>
      </c>
      <c r="F1280" t="s">
        <v>18840</v>
      </c>
      <c r="G1280" t="s">
        <v>20625</v>
      </c>
      <c r="H1280" t="s">
        <v>14360</v>
      </c>
      <c r="I1280" t="s">
        <v>14360</v>
      </c>
      <c r="J1280" s="4" t="s">
        <v>12712</v>
      </c>
      <c r="L1280" t="s">
        <v>2766</v>
      </c>
      <c r="M1280" t="s">
        <v>16114</v>
      </c>
      <c r="N1280" t="s">
        <v>14360</v>
      </c>
      <c r="P1280" t="s">
        <v>14360</v>
      </c>
      <c r="R1280" t="s">
        <v>18840</v>
      </c>
    </row>
    <row r="1281" spans="1:18" x14ac:dyDescent="0.2">
      <c r="A1281" t="s">
        <v>14273</v>
      </c>
      <c r="B1281" t="s">
        <v>14359</v>
      </c>
      <c r="C1281" t="s">
        <v>20348</v>
      </c>
      <c r="D1281" t="str">
        <f>_xlfn.XLOOKUP(E1281,pathways!$A$2:$A$31,pathways!$B$2:$B$31)</f>
        <v>Unknown</v>
      </c>
      <c r="E1281" t="s">
        <v>18840</v>
      </c>
      <c r="F1281" t="s">
        <v>18840</v>
      </c>
      <c r="G1281" t="s">
        <v>14360</v>
      </c>
      <c r="H1281" t="s">
        <v>14360</v>
      </c>
      <c r="I1281" t="s">
        <v>14360</v>
      </c>
      <c r="J1281" s="4" t="s">
        <v>12714</v>
      </c>
      <c r="L1281" t="s">
        <v>14360</v>
      </c>
      <c r="M1281" t="s">
        <v>14360</v>
      </c>
      <c r="N1281" t="s">
        <v>14360</v>
      </c>
      <c r="P1281" t="s">
        <v>14360</v>
      </c>
      <c r="R1281" t="s">
        <v>14360</v>
      </c>
    </row>
    <row r="1282" spans="1:18" x14ac:dyDescent="0.2">
      <c r="A1282" t="s">
        <v>14274</v>
      </c>
      <c r="B1282" t="s">
        <v>14359</v>
      </c>
      <c r="C1282" t="s">
        <v>20349</v>
      </c>
      <c r="D1282" t="str">
        <f>_xlfn.XLOOKUP(E1282,pathways!$A$2:$A$31,pathways!$B$2:$B$31)</f>
        <v>Unknown</v>
      </c>
      <c r="E1282" t="s">
        <v>18840</v>
      </c>
      <c r="F1282" t="s">
        <v>18840</v>
      </c>
      <c r="G1282" t="s">
        <v>20535</v>
      </c>
      <c r="H1282" t="s">
        <v>14360</v>
      </c>
      <c r="I1282" t="s">
        <v>14360</v>
      </c>
      <c r="J1282" s="4" t="s">
        <v>12716</v>
      </c>
      <c r="L1282" t="s">
        <v>14360</v>
      </c>
      <c r="M1282" t="s">
        <v>14360</v>
      </c>
      <c r="N1282" t="s">
        <v>14360</v>
      </c>
      <c r="P1282" t="s">
        <v>14360</v>
      </c>
      <c r="R1282" t="s">
        <v>14360</v>
      </c>
    </row>
    <row r="1283" spans="1:18" x14ac:dyDescent="0.2">
      <c r="A1283" t="s">
        <v>2770</v>
      </c>
      <c r="B1283" t="s">
        <v>14359</v>
      </c>
      <c r="C1283" t="s">
        <v>10360</v>
      </c>
      <c r="D1283" t="str">
        <f>_xlfn.XLOOKUP(E1283,pathways!$A$2:$A$31,pathways!$B$2:$B$31)</f>
        <v>Unknown</v>
      </c>
      <c r="E1283" t="s">
        <v>18840</v>
      </c>
      <c r="F1283" t="s">
        <v>3687</v>
      </c>
      <c r="G1283" t="s">
        <v>20504</v>
      </c>
      <c r="H1283" t="s">
        <v>14360</v>
      </c>
      <c r="I1283" t="s">
        <v>10360</v>
      </c>
      <c r="J1283" s="4" t="s">
        <v>14360</v>
      </c>
      <c r="L1283" t="s">
        <v>2769</v>
      </c>
      <c r="M1283" t="s">
        <v>16118</v>
      </c>
      <c r="O1283" t="s">
        <v>14360</v>
      </c>
      <c r="Q1283" t="s">
        <v>14360</v>
      </c>
      <c r="R1283" t="s">
        <v>18840</v>
      </c>
    </row>
    <row r="1284" spans="1:18" x14ac:dyDescent="0.2">
      <c r="A1284" t="s">
        <v>2780</v>
      </c>
      <c r="B1284" t="s">
        <v>14359</v>
      </c>
      <c r="C1284" t="s">
        <v>10361</v>
      </c>
      <c r="D1284" t="str">
        <f>_xlfn.XLOOKUP(E1284,pathways!$A$2:$A$31,pathways!$B$2:$B$31)</f>
        <v>Unknown</v>
      </c>
      <c r="E1284" t="s">
        <v>18840</v>
      </c>
      <c r="F1284" t="s">
        <v>3864</v>
      </c>
      <c r="G1284" t="s">
        <v>20599</v>
      </c>
      <c r="H1284" t="s">
        <v>14360</v>
      </c>
      <c r="I1284" t="s">
        <v>10361</v>
      </c>
      <c r="J1284" s="4" t="s">
        <v>12718</v>
      </c>
      <c r="L1284" t="s">
        <v>2779</v>
      </c>
      <c r="M1284" t="s">
        <v>16130</v>
      </c>
      <c r="R1284" t="s">
        <v>18840</v>
      </c>
    </row>
    <row r="1285" spans="1:18" x14ac:dyDescent="0.2">
      <c r="A1285" t="s">
        <v>2778</v>
      </c>
      <c r="B1285" t="s">
        <v>14359</v>
      </c>
      <c r="C1285" t="s">
        <v>10362</v>
      </c>
      <c r="D1285" t="str">
        <f>_xlfn.XLOOKUP(E1285,pathways!$A$2:$A$31,pathways!$B$2:$B$31)</f>
        <v>Unknown</v>
      </c>
      <c r="E1285" t="s">
        <v>18840</v>
      </c>
      <c r="F1285" t="s">
        <v>3687</v>
      </c>
      <c r="G1285" t="s">
        <v>20511</v>
      </c>
      <c r="H1285" t="s">
        <v>14360</v>
      </c>
      <c r="I1285" t="s">
        <v>10362</v>
      </c>
      <c r="J1285" s="4" t="s">
        <v>12720</v>
      </c>
      <c r="L1285" t="s">
        <v>2777</v>
      </c>
      <c r="M1285" t="s">
        <v>16128</v>
      </c>
      <c r="R1285" t="s">
        <v>18840</v>
      </c>
    </row>
    <row r="1286" spans="1:18" x14ac:dyDescent="0.2">
      <c r="A1286" t="s">
        <v>1868</v>
      </c>
      <c r="B1286" t="s">
        <v>14359</v>
      </c>
      <c r="C1286" t="s">
        <v>20350</v>
      </c>
      <c r="D1286" t="str">
        <f>_xlfn.XLOOKUP(E1286,pathways!$A$2:$A$31,pathways!$B$2:$B$31)</f>
        <v>Unknown</v>
      </c>
      <c r="E1286" t="s">
        <v>18840</v>
      </c>
      <c r="F1286" t="s">
        <v>18840</v>
      </c>
      <c r="G1286" t="s">
        <v>14360</v>
      </c>
      <c r="H1286" t="s">
        <v>14360</v>
      </c>
      <c r="I1286" t="s">
        <v>14360</v>
      </c>
      <c r="J1286" s="4" t="s">
        <v>12722</v>
      </c>
      <c r="L1286" t="s">
        <v>14360</v>
      </c>
      <c r="M1286" t="s">
        <v>14360</v>
      </c>
      <c r="N1286" t="s">
        <v>14360</v>
      </c>
      <c r="P1286" t="s">
        <v>14360</v>
      </c>
      <c r="R1286" t="s">
        <v>14360</v>
      </c>
    </row>
    <row r="1287" spans="1:18" x14ac:dyDescent="0.2">
      <c r="A1287" t="s">
        <v>2281</v>
      </c>
      <c r="B1287" t="s">
        <v>14359</v>
      </c>
      <c r="C1287" t="s">
        <v>20351</v>
      </c>
      <c r="D1287" t="str">
        <f>_xlfn.XLOOKUP(E1287,pathways!$A$2:$A$31,pathways!$B$2:$B$31)</f>
        <v>Unknown</v>
      </c>
      <c r="E1287" t="s">
        <v>18840</v>
      </c>
      <c r="F1287" t="s">
        <v>18840</v>
      </c>
      <c r="G1287" t="s">
        <v>14360</v>
      </c>
      <c r="H1287" t="s">
        <v>14360</v>
      </c>
      <c r="I1287" t="s">
        <v>14360</v>
      </c>
      <c r="J1287" s="4" t="s">
        <v>12724</v>
      </c>
      <c r="L1287" t="s">
        <v>14360</v>
      </c>
      <c r="M1287" t="s">
        <v>14360</v>
      </c>
      <c r="N1287" t="s">
        <v>14360</v>
      </c>
      <c r="P1287" t="s">
        <v>14360</v>
      </c>
      <c r="R1287" t="s">
        <v>14360</v>
      </c>
    </row>
    <row r="1288" spans="1:18" x14ac:dyDescent="0.2">
      <c r="A1288" t="s">
        <v>1634</v>
      </c>
      <c r="B1288" t="s">
        <v>14359</v>
      </c>
      <c r="C1288" t="s">
        <v>20352</v>
      </c>
      <c r="D1288" t="str">
        <f>_xlfn.XLOOKUP(E1288,pathways!$A$2:$A$31,pathways!$B$2:$B$31)</f>
        <v>Unknown</v>
      </c>
      <c r="E1288" t="s">
        <v>18840</v>
      </c>
      <c r="F1288" t="s">
        <v>18840</v>
      </c>
      <c r="G1288" t="s">
        <v>14360</v>
      </c>
      <c r="H1288" t="s">
        <v>14360</v>
      </c>
      <c r="I1288" t="s">
        <v>14360</v>
      </c>
      <c r="J1288" s="4" t="s">
        <v>12726</v>
      </c>
      <c r="L1288" t="s">
        <v>14360</v>
      </c>
      <c r="M1288" t="s">
        <v>14360</v>
      </c>
      <c r="N1288" t="s">
        <v>14360</v>
      </c>
      <c r="P1288" t="s">
        <v>14360</v>
      </c>
      <c r="R1288" t="s">
        <v>14360</v>
      </c>
    </row>
    <row r="1289" spans="1:18" x14ac:dyDescent="0.2">
      <c r="A1289" t="s">
        <v>2804</v>
      </c>
      <c r="B1289" t="s">
        <v>14359</v>
      </c>
      <c r="C1289" t="s">
        <v>10363</v>
      </c>
      <c r="D1289" t="str">
        <f>_xlfn.XLOOKUP(E1289,pathways!$A$2:$A$31,pathways!$B$2:$B$31)</f>
        <v>Unknown</v>
      </c>
      <c r="E1289" t="s">
        <v>18840</v>
      </c>
      <c r="F1289" t="s">
        <v>18840</v>
      </c>
      <c r="G1289" t="s">
        <v>20650</v>
      </c>
      <c r="H1289" t="s">
        <v>14360</v>
      </c>
      <c r="I1289" t="s">
        <v>10363</v>
      </c>
      <c r="J1289" s="4" t="s">
        <v>12728</v>
      </c>
      <c r="L1289" t="s">
        <v>2803</v>
      </c>
      <c r="M1289" t="s">
        <v>16152</v>
      </c>
      <c r="R1289" t="s">
        <v>18840</v>
      </c>
    </row>
    <row r="1290" spans="1:18" x14ac:dyDescent="0.2">
      <c r="A1290" t="s">
        <v>14135</v>
      </c>
      <c r="B1290" t="s">
        <v>14359</v>
      </c>
      <c r="C1290" t="s">
        <v>10364</v>
      </c>
      <c r="D1290" t="str">
        <f>_xlfn.XLOOKUP(E1290,pathways!$A$2:$A$31,pathways!$B$2:$B$31)</f>
        <v>Unknown</v>
      </c>
      <c r="E1290" t="s">
        <v>18840</v>
      </c>
      <c r="F1290" t="s">
        <v>18840</v>
      </c>
      <c r="G1290" t="s">
        <v>20520</v>
      </c>
      <c r="H1290" t="s">
        <v>14360</v>
      </c>
      <c r="I1290" t="s">
        <v>10364</v>
      </c>
      <c r="J1290" s="4" t="s">
        <v>14360</v>
      </c>
      <c r="L1290" t="s">
        <v>14360</v>
      </c>
      <c r="M1290" t="s">
        <v>14360</v>
      </c>
      <c r="O1290" t="s">
        <v>14360</v>
      </c>
      <c r="Q1290" t="s">
        <v>14360</v>
      </c>
      <c r="R1290" t="s">
        <v>14360</v>
      </c>
    </row>
    <row r="1291" spans="1:18" x14ac:dyDescent="0.2">
      <c r="A1291" t="s">
        <v>14136</v>
      </c>
      <c r="B1291" t="s">
        <v>14359</v>
      </c>
      <c r="C1291" t="s">
        <v>10365</v>
      </c>
      <c r="D1291" t="str">
        <f>_xlfn.XLOOKUP(E1291,pathways!$A$2:$A$31,pathways!$B$2:$B$31)</f>
        <v>Unknown</v>
      </c>
      <c r="E1291" t="s">
        <v>18840</v>
      </c>
      <c r="F1291" t="s">
        <v>18840</v>
      </c>
      <c r="G1291" t="s">
        <v>20668</v>
      </c>
      <c r="H1291" t="s">
        <v>14360</v>
      </c>
      <c r="I1291" t="s">
        <v>10365</v>
      </c>
      <c r="J1291" s="4" t="s">
        <v>12730</v>
      </c>
      <c r="L1291" t="s">
        <v>14360</v>
      </c>
      <c r="M1291" t="s">
        <v>14360</v>
      </c>
      <c r="R1291" t="s">
        <v>14360</v>
      </c>
    </row>
    <row r="1292" spans="1:18" x14ac:dyDescent="0.2">
      <c r="A1292" t="s">
        <v>2806</v>
      </c>
      <c r="B1292" t="s">
        <v>14359</v>
      </c>
      <c r="C1292" t="s">
        <v>10366</v>
      </c>
      <c r="D1292" t="str">
        <f>_xlfn.XLOOKUP(E1292,pathways!$A$2:$A$31,pathways!$B$2:$B$31)</f>
        <v>Unknown</v>
      </c>
      <c r="E1292" t="s">
        <v>18840</v>
      </c>
      <c r="F1292" t="s">
        <v>18840</v>
      </c>
      <c r="G1292" t="s">
        <v>20485</v>
      </c>
      <c r="H1292" t="s">
        <v>14360</v>
      </c>
      <c r="I1292" t="s">
        <v>10366</v>
      </c>
      <c r="J1292" s="4" t="s">
        <v>14360</v>
      </c>
      <c r="L1292" t="s">
        <v>2805</v>
      </c>
      <c r="M1292" t="s">
        <v>16154</v>
      </c>
      <c r="O1292" t="s">
        <v>14360</v>
      </c>
      <c r="Q1292" t="s">
        <v>14360</v>
      </c>
      <c r="R1292" t="s">
        <v>18840</v>
      </c>
    </row>
    <row r="1293" spans="1:18" x14ac:dyDescent="0.2">
      <c r="A1293" t="s">
        <v>2328</v>
      </c>
      <c r="B1293" t="s">
        <v>14359</v>
      </c>
      <c r="C1293" t="s">
        <v>20353</v>
      </c>
      <c r="D1293" t="str">
        <f>_xlfn.XLOOKUP(E1293,pathways!$A$2:$A$31,pathways!$B$2:$B$31)</f>
        <v>Unknown</v>
      </c>
      <c r="E1293" t="s">
        <v>18840</v>
      </c>
      <c r="F1293" t="s">
        <v>18840</v>
      </c>
      <c r="G1293" t="s">
        <v>20481</v>
      </c>
      <c r="H1293" t="s">
        <v>14360</v>
      </c>
      <c r="I1293" t="s">
        <v>14360</v>
      </c>
      <c r="J1293" s="4" t="s">
        <v>12732</v>
      </c>
      <c r="L1293" t="s">
        <v>14360</v>
      </c>
      <c r="M1293" t="s">
        <v>14360</v>
      </c>
      <c r="N1293" t="s">
        <v>14360</v>
      </c>
      <c r="P1293" t="s">
        <v>14360</v>
      </c>
      <c r="R1293" t="s">
        <v>14360</v>
      </c>
    </row>
    <row r="1294" spans="1:18" x14ac:dyDescent="0.2">
      <c r="A1294" t="s">
        <v>2792</v>
      </c>
      <c r="B1294" t="s">
        <v>14359</v>
      </c>
      <c r="C1294" t="s">
        <v>10367</v>
      </c>
      <c r="D1294" t="str">
        <f>_xlfn.XLOOKUP(E1294,pathways!$A$2:$A$31,pathways!$B$2:$B$31)</f>
        <v>Unknown</v>
      </c>
      <c r="E1294" t="s">
        <v>18840</v>
      </c>
      <c r="F1294" t="s">
        <v>18840</v>
      </c>
      <c r="G1294" t="s">
        <v>20581</v>
      </c>
      <c r="H1294" t="s">
        <v>14360</v>
      </c>
      <c r="I1294" t="s">
        <v>10367</v>
      </c>
      <c r="J1294" s="4" t="s">
        <v>12734</v>
      </c>
      <c r="L1294" t="s">
        <v>2791</v>
      </c>
      <c r="M1294" t="s">
        <v>16141</v>
      </c>
      <c r="R1294" t="s">
        <v>18840</v>
      </c>
    </row>
    <row r="1295" spans="1:18" x14ac:dyDescent="0.2">
      <c r="A1295" t="s">
        <v>2320</v>
      </c>
      <c r="B1295" t="s">
        <v>14359</v>
      </c>
      <c r="C1295" t="s">
        <v>20354</v>
      </c>
      <c r="D1295" t="str">
        <f>_xlfn.XLOOKUP(E1295,pathways!$A$2:$A$31,pathways!$B$2:$B$31)</f>
        <v>Unknown</v>
      </c>
      <c r="E1295" t="s">
        <v>18840</v>
      </c>
      <c r="F1295" t="s">
        <v>18840</v>
      </c>
      <c r="G1295" t="s">
        <v>20576</v>
      </c>
      <c r="H1295" t="s">
        <v>14360</v>
      </c>
      <c r="I1295" t="s">
        <v>14360</v>
      </c>
      <c r="J1295" s="4" t="s">
        <v>12736</v>
      </c>
      <c r="L1295" t="s">
        <v>14360</v>
      </c>
      <c r="M1295" t="s">
        <v>14360</v>
      </c>
      <c r="N1295" t="s">
        <v>14360</v>
      </c>
      <c r="P1295" t="s">
        <v>14360</v>
      </c>
      <c r="R1295" t="s">
        <v>14360</v>
      </c>
    </row>
    <row r="1296" spans="1:18" x14ac:dyDescent="0.2">
      <c r="A1296" t="s">
        <v>2811</v>
      </c>
      <c r="B1296" t="s">
        <v>14359</v>
      </c>
      <c r="C1296" t="s">
        <v>10368</v>
      </c>
      <c r="D1296" t="str">
        <f>_xlfn.XLOOKUP(E1296,pathways!$A$2:$A$31,pathways!$B$2:$B$31)</f>
        <v>Unknown</v>
      </c>
      <c r="E1296" t="s">
        <v>18840</v>
      </c>
      <c r="F1296" t="s">
        <v>18840</v>
      </c>
      <c r="G1296" t="s">
        <v>20507</v>
      </c>
      <c r="H1296" t="s">
        <v>14360</v>
      </c>
      <c r="I1296" t="s">
        <v>10368</v>
      </c>
      <c r="J1296" s="4" t="s">
        <v>12738</v>
      </c>
      <c r="L1296" t="s">
        <v>2810</v>
      </c>
      <c r="M1296" t="s">
        <v>16159</v>
      </c>
      <c r="R1296" t="s">
        <v>18840</v>
      </c>
    </row>
    <row r="1297" spans="1:18" x14ac:dyDescent="0.2">
      <c r="A1297" t="s">
        <v>14275</v>
      </c>
      <c r="B1297" t="s">
        <v>14359</v>
      </c>
      <c r="C1297" t="s">
        <v>20355</v>
      </c>
      <c r="D1297" t="str">
        <f>_xlfn.XLOOKUP(E1297,pathways!$A$2:$A$31,pathways!$B$2:$B$31)</f>
        <v>Unknown</v>
      </c>
      <c r="E1297" t="s">
        <v>18840</v>
      </c>
      <c r="F1297" t="s">
        <v>18840</v>
      </c>
      <c r="G1297" t="s">
        <v>20619</v>
      </c>
      <c r="H1297" t="s">
        <v>14360</v>
      </c>
      <c r="I1297" t="s">
        <v>14360</v>
      </c>
      <c r="J1297" s="4" t="s">
        <v>12740</v>
      </c>
      <c r="L1297" t="s">
        <v>14360</v>
      </c>
      <c r="M1297" t="s">
        <v>14360</v>
      </c>
      <c r="N1297" t="s">
        <v>14360</v>
      </c>
      <c r="P1297" t="s">
        <v>14360</v>
      </c>
      <c r="R1297" t="s">
        <v>14360</v>
      </c>
    </row>
    <row r="1298" spans="1:18" x14ac:dyDescent="0.2">
      <c r="A1298" t="s">
        <v>2809</v>
      </c>
      <c r="B1298" t="s">
        <v>14359</v>
      </c>
      <c r="C1298" t="s">
        <v>10369</v>
      </c>
      <c r="D1298" t="str">
        <f>_xlfn.XLOOKUP(E1298,pathways!$A$2:$A$31,pathways!$B$2:$B$31)</f>
        <v>Unknown</v>
      </c>
      <c r="E1298" t="s">
        <v>18840</v>
      </c>
      <c r="F1298" t="s">
        <v>18840</v>
      </c>
      <c r="G1298" t="s">
        <v>20618</v>
      </c>
      <c r="H1298" t="s">
        <v>14360</v>
      </c>
      <c r="I1298" t="s">
        <v>10369</v>
      </c>
      <c r="J1298" s="4" t="s">
        <v>14360</v>
      </c>
      <c r="L1298" t="s">
        <v>2808</v>
      </c>
      <c r="M1298" t="s">
        <v>16157</v>
      </c>
      <c r="O1298" t="s">
        <v>14360</v>
      </c>
      <c r="Q1298" t="s">
        <v>14360</v>
      </c>
      <c r="R1298" t="s">
        <v>18840</v>
      </c>
    </row>
    <row r="1299" spans="1:18" x14ac:dyDescent="0.2">
      <c r="A1299" t="s">
        <v>2169</v>
      </c>
      <c r="B1299" t="s">
        <v>14359</v>
      </c>
      <c r="C1299" t="s">
        <v>20356</v>
      </c>
      <c r="D1299" t="str">
        <f>_xlfn.XLOOKUP(E1299,pathways!$A$2:$A$31,pathways!$B$2:$B$31)</f>
        <v>Unknown</v>
      </c>
      <c r="E1299" t="s">
        <v>18840</v>
      </c>
      <c r="F1299" t="s">
        <v>18840</v>
      </c>
      <c r="G1299" t="s">
        <v>14360</v>
      </c>
      <c r="H1299" t="s">
        <v>14360</v>
      </c>
      <c r="I1299" t="s">
        <v>14360</v>
      </c>
      <c r="J1299" s="4" t="s">
        <v>12742</v>
      </c>
      <c r="L1299" t="s">
        <v>14360</v>
      </c>
      <c r="M1299" t="s">
        <v>14360</v>
      </c>
      <c r="N1299" t="s">
        <v>14360</v>
      </c>
      <c r="P1299" t="s">
        <v>14360</v>
      </c>
      <c r="R1299" t="s">
        <v>14360</v>
      </c>
    </row>
    <row r="1300" spans="1:18" x14ac:dyDescent="0.2">
      <c r="A1300" t="s">
        <v>2800</v>
      </c>
      <c r="B1300" t="s">
        <v>14359</v>
      </c>
      <c r="C1300" t="s">
        <v>10370</v>
      </c>
      <c r="D1300" t="str">
        <f>_xlfn.XLOOKUP(E1300,pathways!$A$2:$A$31,pathways!$B$2:$B$31)</f>
        <v>Unknown</v>
      </c>
      <c r="E1300" t="s">
        <v>18840</v>
      </c>
      <c r="F1300" t="s">
        <v>18840</v>
      </c>
      <c r="G1300" t="s">
        <v>20518</v>
      </c>
      <c r="H1300" t="s">
        <v>14360</v>
      </c>
      <c r="I1300" t="s">
        <v>10370</v>
      </c>
      <c r="J1300" s="4" t="s">
        <v>12744</v>
      </c>
      <c r="L1300" t="s">
        <v>2799</v>
      </c>
      <c r="M1300" t="s">
        <v>16148</v>
      </c>
      <c r="R1300" t="s">
        <v>18840</v>
      </c>
    </row>
    <row r="1301" spans="1:18" x14ac:dyDescent="0.2">
      <c r="A1301" t="s">
        <v>14276</v>
      </c>
      <c r="B1301" t="s">
        <v>14359</v>
      </c>
      <c r="C1301" t="s">
        <v>20357</v>
      </c>
      <c r="D1301" t="str">
        <f>_xlfn.XLOOKUP(E1301,pathways!$A$2:$A$31,pathways!$B$2:$B$31)</f>
        <v>Unknown</v>
      </c>
      <c r="E1301" t="s">
        <v>18840</v>
      </c>
      <c r="F1301" t="s">
        <v>18840</v>
      </c>
      <c r="G1301" t="s">
        <v>14360</v>
      </c>
      <c r="H1301" t="s">
        <v>14360</v>
      </c>
      <c r="I1301" t="s">
        <v>14360</v>
      </c>
      <c r="J1301" s="4" t="s">
        <v>12746</v>
      </c>
      <c r="L1301" t="s">
        <v>14360</v>
      </c>
      <c r="M1301" t="s">
        <v>14360</v>
      </c>
      <c r="N1301" t="s">
        <v>14360</v>
      </c>
      <c r="P1301" t="s">
        <v>14360</v>
      </c>
      <c r="R1301" t="s">
        <v>14360</v>
      </c>
    </row>
    <row r="1302" spans="1:18" x14ac:dyDescent="0.2">
      <c r="A1302" t="s">
        <v>2813</v>
      </c>
      <c r="B1302" t="s">
        <v>14359</v>
      </c>
      <c r="C1302" t="s">
        <v>10371</v>
      </c>
      <c r="D1302" t="str">
        <f>_xlfn.XLOOKUP(E1302,pathways!$A$2:$A$31,pathways!$B$2:$B$31)</f>
        <v>Unknown</v>
      </c>
      <c r="E1302" t="s">
        <v>18840</v>
      </c>
      <c r="F1302" t="s">
        <v>18840</v>
      </c>
      <c r="G1302" t="s">
        <v>14360</v>
      </c>
      <c r="H1302" t="s">
        <v>14360</v>
      </c>
      <c r="I1302" t="s">
        <v>10371</v>
      </c>
      <c r="J1302" s="4" t="s">
        <v>14360</v>
      </c>
      <c r="L1302" t="s">
        <v>2812</v>
      </c>
      <c r="M1302" t="s">
        <v>16161</v>
      </c>
      <c r="O1302" t="s">
        <v>14360</v>
      </c>
      <c r="Q1302" t="s">
        <v>14360</v>
      </c>
      <c r="R1302" t="s">
        <v>18840</v>
      </c>
    </row>
    <row r="1303" spans="1:18" x14ac:dyDescent="0.2">
      <c r="A1303" t="s">
        <v>2784</v>
      </c>
      <c r="B1303" t="s">
        <v>14359</v>
      </c>
      <c r="C1303" t="s">
        <v>10372</v>
      </c>
      <c r="D1303" t="str">
        <f>_xlfn.XLOOKUP(E1303,pathways!$A$2:$A$31,pathways!$B$2:$B$31)</f>
        <v>Unknown</v>
      </c>
      <c r="E1303" t="s">
        <v>18840</v>
      </c>
      <c r="F1303" t="s">
        <v>18840</v>
      </c>
      <c r="G1303" t="s">
        <v>20492</v>
      </c>
      <c r="H1303" t="s">
        <v>14360</v>
      </c>
      <c r="I1303" t="s">
        <v>10372</v>
      </c>
      <c r="J1303" s="4" t="s">
        <v>12748</v>
      </c>
      <c r="L1303" t="s">
        <v>2783</v>
      </c>
      <c r="M1303" t="s">
        <v>16133</v>
      </c>
      <c r="R1303" t="s">
        <v>18840</v>
      </c>
    </row>
    <row r="1304" spans="1:18" x14ac:dyDescent="0.2">
      <c r="A1304" t="s">
        <v>2331</v>
      </c>
      <c r="B1304" t="s">
        <v>14359</v>
      </c>
      <c r="C1304" t="s">
        <v>20358</v>
      </c>
      <c r="D1304" t="str">
        <f>_xlfn.XLOOKUP(E1304,pathways!$A$2:$A$31,pathways!$B$2:$B$31)</f>
        <v>Unknown</v>
      </c>
      <c r="E1304" t="s">
        <v>18840</v>
      </c>
      <c r="F1304" t="s">
        <v>18840</v>
      </c>
      <c r="G1304" t="s">
        <v>20607</v>
      </c>
      <c r="H1304" t="s">
        <v>14360</v>
      </c>
      <c r="I1304" t="s">
        <v>14360</v>
      </c>
      <c r="J1304" s="4" t="s">
        <v>12750</v>
      </c>
      <c r="L1304" t="s">
        <v>14360</v>
      </c>
      <c r="M1304" t="s">
        <v>14360</v>
      </c>
      <c r="N1304" t="s">
        <v>14360</v>
      </c>
      <c r="P1304" t="s">
        <v>14360</v>
      </c>
      <c r="R1304" t="s">
        <v>14360</v>
      </c>
    </row>
    <row r="1305" spans="1:18" x14ac:dyDescent="0.2">
      <c r="A1305" t="s">
        <v>14137</v>
      </c>
      <c r="B1305" t="s">
        <v>14359</v>
      </c>
      <c r="C1305" t="s">
        <v>10373</v>
      </c>
      <c r="D1305" t="str">
        <f>_xlfn.XLOOKUP(E1305,pathways!$A$2:$A$31,pathways!$B$2:$B$31)</f>
        <v>Unknown</v>
      </c>
      <c r="E1305" t="s">
        <v>18840</v>
      </c>
      <c r="F1305" t="s">
        <v>18840</v>
      </c>
      <c r="G1305" t="s">
        <v>14360</v>
      </c>
      <c r="H1305" t="s">
        <v>14360</v>
      </c>
      <c r="I1305" t="s">
        <v>10373</v>
      </c>
      <c r="J1305" s="4" t="s">
        <v>14360</v>
      </c>
      <c r="L1305" t="s">
        <v>14360</v>
      </c>
      <c r="M1305" t="s">
        <v>14360</v>
      </c>
      <c r="O1305" t="s">
        <v>14360</v>
      </c>
      <c r="Q1305" t="s">
        <v>14360</v>
      </c>
      <c r="R1305" t="s">
        <v>14360</v>
      </c>
    </row>
    <row r="1306" spans="1:18" x14ac:dyDescent="0.2">
      <c r="A1306" t="s">
        <v>2794</v>
      </c>
      <c r="B1306" t="s">
        <v>14359</v>
      </c>
      <c r="C1306" t="s">
        <v>10374</v>
      </c>
      <c r="D1306" t="str">
        <f>_xlfn.XLOOKUP(E1306,pathways!$A$2:$A$31,pathways!$B$2:$B$31)</f>
        <v>Unknown</v>
      </c>
      <c r="E1306" t="s">
        <v>18840</v>
      </c>
      <c r="F1306" t="s">
        <v>18840</v>
      </c>
      <c r="G1306" t="s">
        <v>20622</v>
      </c>
      <c r="H1306" t="s">
        <v>14360</v>
      </c>
      <c r="I1306" t="s">
        <v>10374</v>
      </c>
      <c r="J1306" s="4" t="s">
        <v>14360</v>
      </c>
      <c r="L1306" t="s">
        <v>2793</v>
      </c>
      <c r="M1306" t="s">
        <v>16143</v>
      </c>
      <c r="O1306" t="s">
        <v>14360</v>
      </c>
      <c r="Q1306" t="s">
        <v>14360</v>
      </c>
      <c r="R1306" t="s">
        <v>18840</v>
      </c>
    </row>
    <row r="1307" spans="1:18" x14ac:dyDescent="0.2">
      <c r="A1307" t="s">
        <v>14138</v>
      </c>
      <c r="B1307" t="s">
        <v>14359</v>
      </c>
      <c r="C1307" t="s">
        <v>10375</v>
      </c>
      <c r="D1307" t="str">
        <f>_xlfn.XLOOKUP(E1307,pathways!$A$2:$A$31,pathways!$B$2:$B$31)</f>
        <v>Unknown</v>
      </c>
      <c r="E1307" t="s">
        <v>18840</v>
      </c>
      <c r="F1307" t="s">
        <v>18840</v>
      </c>
      <c r="G1307" t="s">
        <v>14360</v>
      </c>
      <c r="H1307" t="s">
        <v>14360</v>
      </c>
      <c r="I1307" t="s">
        <v>10375</v>
      </c>
      <c r="J1307" s="4" t="s">
        <v>14360</v>
      </c>
      <c r="L1307" t="s">
        <v>14360</v>
      </c>
      <c r="M1307" t="s">
        <v>14360</v>
      </c>
      <c r="O1307" t="s">
        <v>14360</v>
      </c>
      <c r="Q1307" t="s">
        <v>14360</v>
      </c>
      <c r="R1307" t="s">
        <v>14360</v>
      </c>
    </row>
    <row r="1308" spans="1:18" x14ac:dyDescent="0.2">
      <c r="A1308" t="s">
        <v>2293</v>
      </c>
      <c r="B1308" t="s">
        <v>14359</v>
      </c>
      <c r="C1308" t="s">
        <v>20359</v>
      </c>
      <c r="D1308" t="str">
        <f>_xlfn.XLOOKUP(E1308,pathways!$A$2:$A$31,pathways!$B$2:$B$31)</f>
        <v>Unknown</v>
      </c>
      <c r="E1308" t="s">
        <v>18840</v>
      </c>
      <c r="F1308" t="s">
        <v>18840</v>
      </c>
      <c r="G1308" t="s">
        <v>14360</v>
      </c>
      <c r="H1308" t="s">
        <v>14360</v>
      </c>
      <c r="I1308" t="s">
        <v>14360</v>
      </c>
      <c r="J1308" s="4" t="s">
        <v>12752</v>
      </c>
      <c r="L1308" t="s">
        <v>14360</v>
      </c>
      <c r="M1308" t="s">
        <v>14360</v>
      </c>
      <c r="N1308" t="s">
        <v>14360</v>
      </c>
      <c r="P1308" t="s">
        <v>14360</v>
      </c>
      <c r="R1308" t="s">
        <v>14360</v>
      </c>
    </row>
    <row r="1309" spans="1:18" x14ac:dyDescent="0.2">
      <c r="A1309" t="s">
        <v>2790</v>
      </c>
      <c r="B1309" t="s">
        <v>14359</v>
      </c>
      <c r="C1309" t="s">
        <v>10376</v>
      </c>
      <c r="D1309" t="str">
        <f>_xlfn.XLOOKUP(E1309,pathways!$A$2:$A$31,pathways!$B$2:$B$31)</f>
        <v>Unknown</v>
      </c>
      <c r="E1309" t="s">
        <v>18840</v>
      </c>
      <c r="F1309" t="s">
        <v>18840</v>
      </c>
      <c r="G1309" t="s">
        <v>20482</v>
      </c>
      <c r="H1309" t="s">
        <v>14360</v>
      </c>
      <c r="I1309" t="s">
        <v>10376</v>
      </c>
      <c r="J1309" s="4" t="s">
        <v>12754</v>
      </c>
      <c r="L1309" t="s">
        <v>2789</v>
      </c>
      <c r="M1309" t="s">
        <v>16139</v>
      </c>
      <c r="R1309" t="s">
        <v>18840</v>
      </c>
    </row>
    <row r="1310" spans="1:18" x14ac:dyDescent="0.2">
      <c r="A1310" t="s">
        <v>14277</v>
      </c>
      <c r="B1310" t="s">
        <v>14359</v>
      </c>
      <c r="C1310" t="s">
        <v>20360</v>
      </c>
      <c r="D1310" t="str">
        <f>_xlfn.XLOOKUP(E1310,pathways!$A$2:$A$31,pathways!$B$2:$B$31)</f>
        <v>Unknown</v>
      </c>
      <c r="E1310" t="s">
        <v>18840</v>
      </c>
      <c r="F1310" t="s">
        <v>18840</v>
      </c>
      <c r="G1310" t="s">
        <v>14360</v>
      </c>
      <c r="H1310" t="s">
        <v>14360</v>
      </c>
      <c r="I1310" t="s">
        <v>14360</v>
      </c>
      <c r="J1310" s="4" t="s">
        <v>12756</v>
      </c>
      <c r="L1310" t="s">
        <v>14360</v>
      </c>
      <c r="M1310" t="s">
        <v>14360</v>
      </c>
      <c r="N1310" t="s">
        <v>14360</v>
      </c>
      <c r="P1310" t="s">
        <v>14360</v>
      </c>
      <c r="R1310" t="s">
        <v>14360</v>
      </c>
    </row>
    <row r="1311" spans="1:18" x14ac:dyDescent="0.2">
      <c r="A1311" t="s">
        <v>14278</v>
      </c>
      <c r="B1311" t="s">
        <v>14359</v>
      </c>
      <c r="C1311" t="s">
        <v>20361</v>
      </c>
      <c r="D1311" t="str">
        <f>_xlfn.XLOOKUP(E1311,pathways!$A$2:$A$31,pathways!$B$2:$B$31)</f>
        <v>Unknown</v>
      </c>
      <c r="E1311" t="s">
        <v>18840</v>
      </c>
      <c r="F1311" t="s">
        <v>18840</v>
      </c>
      <c r="G1311" t="s">
        <v>20605</v>
      </c>
      <c r="H1311" t="s">
        <v>14360</v>
      </c>
      <c r="I1311" t="s">
        <v>14360</v>
      </c>
      <c r="J1311" s="4" t="s">
        <v>12758</v>
      </c>
      <c r="L1311" t="s">
        <v>14360</v>
      </c>
      <c r="M1311" t="s">
        <v>14360</v>
      </c>
      <c r="N1311" t="s">
        <v>14360</v>
      </c>
      <c r="P1311" t="s">
        <v>14360</v>
      </c>
      <c r="R1311" t="s">
        <v>14360</v>
      </c>
    </row>
    <row r="1312" spans="1:18" x14ac:dyDescent="0.2">
      <c r="A1312" t="s">
        <v>14279</v>
      </c>
      <c r="B1312" t="s">
        <v>14359</v>
      </c>
      <c r="C1312" t="s">
        <v>20362</v>
      </c>
      <c r="D1312" t="str">
        <f>_xlfn.XLOOKUP(E1312,pathways!$A$2:$A$31,pathways!$B$2:$B$31)</f>
        <v>Unknown</v>
      </c>
      <c r="E1312" t="s">
        <v>18840</v>
      </c>
      <c r="F1312" t="s">
        <v>18840</v>
      </c>
      <c r="G1312" t="s">
        <v>20680</v>
      </c>
      <c r="H1312" t="s">
        <v>14360</v>
      </c>
      <c r="I1312" t="s">
        <v>14360</v>
      </c>
      <c r="J1312" s="4" t="s">
        <v>12760</v>
      </c>
      <c r="L1312" t="s">
        <v>14360</v>
      </c>
      <c r="M1312" t="s">
        <v>14360</v>
      </c>
      <c r="N1312" t="s">
        <v>14360</v>
      </c>
      <c r="P1312" t="s">
        <v>14360</v>
      </c>
      <c r="R1312" t="s">
        <v>14360</v>
      </c>
    </row>
    <row r="1313" spans="1:18" x14ac:dyDescent="0.2">
      <c r="A1313" t="s">
        <v>2788</v>
      </c>
      <c r="B1313" t="s">
        <v>14359</v>
      </c>
      <c r="C1313" t="s">
        <v>10377</v>
      </c>
      <c r="D1313" t="str">
        <f>_xlfn.XLOOKUP(E1313,pathways!$A$2:$A$31,pathways!$B$2:$B$31)</f>
        <v>Unknown</v>
      </c>
      <c r="E1313" t="s">
        <v>18840</v>
      </c>
      <c r="F1313" t="s">
        <v>18840</v>
      </c>
      <c r="G1313" t="s">
        <v>20656</v>
      </c>
      <c r="H1313" t="s">
        <v>14360</v>
      </c>
      <c r="I1313" t="s">
        <v>10377</v>
      </c>
      <c r="J1313" s="4" t="s">
        <v>12762</v>
      </c>
      <c r="L1313" t="s">
        <v>2787</v>
      </c>
      <c r="M1313" t="s">
        <v>16137</v>
      </c>
      <c r="R1313" t="s">
        <v>18840</v>
      </c>
    </row>
    <row r="1314" spans="1:18" x14ac:dyDescent="0.2">
      <c r="A1314" t="s">
        <v>2802</v>
      </c>
      <c r="B1314" t="s">
        <v>14359</v>
      </c>
      <c r="C1314" t="s">
        <v>10378</v>
      </c>
      <c r="D1314" t="str">
        <f>_xlfn.XLOOKUP(E1314,pathways!$A$2:$A$31,pathways!$B$2:$B$31)</f>
        <v>Unknown</v>
      </c>
      <c r="E1314" t="s">
        <v>18840</v>
      </c>
      <c r="F1314" t="s">
        <v>18840</v>
      </c>
      <c r="G1314" t="s">
        <v>20661</v>
      </c>
      <c r="H1314" t="s">
        <v>14360</v>
      </c>
      <c r="I1314" t="s">
        <v>10378</v>
      </c>
      <c r="J1314" s="4" t="s">
        <v>12764</v>
      </c>
      <c r="L1314" t="s">
        <v>2801</v>
      </c>
      <c r="M1314" t="s">
        <v>16150</v>
      </c>
      <c r="R1314" t="s">
        <v>18840</v>
      </c>
    </row>
    <row r="1315" spans="1:18" x14ac:dyDescent="0.2">
      <c r="A1315" t="s">
        <v>14280</v>
      </c>
      <c r="B1315" t="s">
        <v>14359</v>
      </c>
      <c r="C1315" t="s">
        <v>20363</v>
      </c>
      <c r="D1315" t="str">
        <f>_xlfn.XLOOKUP(E1315,pathways!$A$2:$A$31,pathways!$B$2:$B$31)</f>
        <v>Unknown</v>
      </c>
      <c r="E1315" t="s">
        <v>18840</v>
      </c>
      <c r="F1315" t="s">
        <v>18840</v>
      </c>
      <c r="G1315" t="s">
        <v>14360</v>
      </c>
      <c r="H1315" t="s">
        <v>14360</v>
      </c>
      <c r="I1315" t="s">
        <v>14360</v>
      </c>
      <c r="J1315" s="4" t="s">
        <v>12766</v>
      </c>
      <c r="L1315" t="s">
        <v>14360</v>
      </c>
      <c r="M1315" t="s">
        <v>14360</v>
      </c>
      <c r="N1315" t="s">
        <v>14360</v>
      </c>
      <c r="P1315" t="s">
        <v>14360</v>
      </c>
      <c r="R1315" t="s">
        <v>14360</v>
      </c>
    </row>
    <row r="1316" spans="1:18" x14ac:dyDescent="0.2">
      <c r="A1316" t="s">
        <v>2782</v>
      </c>
      <c r="B1316" t="s">
        <v>14359</v>
      </c>
      <c r="C1316" t="s">
        <v>10379</v>
      </c>
      <c r="D1316" t="str">
        <f>_xlfn.XLOOKUP(E1316,pathways!$A$2:$A$31,pathways!$B$2:$B$31)</f>
        <v>Unknown</v>
      </c>
      <c r="E1316" t="s">
        <v>18840</v>
      </c>
      <c r="F1316" t="s">
        <v>18840</v>
      </c>
      <c r="G1316" t="s">
        <v>20569</v>
      </c>
      <c r="H1316" t="s">
        <v>14360</v>
      </c>
      <c r="I1316" t="s">
        <v>10379</v>
      </c>
      <c r="J1316" s="4" t="s">
        <v>14360</v>
      </c>
      <c r="L1316" t="s">
        <v>2781</v>
      </c>
      <c r="M1316" t="s">
        <v>16132</v>
      </c>
      <c r="O1316" t="s">
        <v>14360</v>
      </c>
      <c r="Q1316" t="s">
        <v>14360</v>
      </c>
      <c r="R1316" t="s">
        <v>18840</v>
      </c>
    </row>
    <row r="1317" spans="1:18" x14ac:dyDescent="0.2">
      <c r="A1317" t="s">
        <v>14281</v>
      </c>
      <c r="B1317" t="s">
        <v>14359</v>
      </c>
      <c r="C1317" t="s">
        <v>20364</v>
      </c>
      <c r="D1317" t="str">
        <f>_xlfn.XLOOKUP(E1317,pathways!$A$2:$A$31,pathways!$B$2:$B$31)</f>
        <v>Unknown</v>
      </c>
      <c r="E1317" t="s">
        <v>18840</v>
      </c>
      <c r="F1317" t="s">
        <v>18840</v>
      </c>
      <c r="G1317" t="s">
        <v>14360</v>
      </c>
      <c r="H1317" t="s">
        <v>14360</v>
      </c>
      <c r="I1317" t="s">
        <v>14360</v>
      </c>
      <c r="J1317" s="4" t="s">
        <v>12768</v>
      </c>
      <c r="L1317" t="s">
        <v>14360</v>
      </c>
      <c r="M1317" t="s">
        <v>14360</v>
      </c>
      <c r="N1317" t="s">
        <v>14360</v>
      </c>
      <c r="P1317" t="s">
        <v>14360</v>
      </c>
      <c r="R1317" t="s">
        <v>14360</v>
      </c>
    </row>
    <row r="1318" spans="1:18" x14ac:dyDescent="0.2">
      <c r="A1318" t="s">
        <v>14282</v>
      </c>
      <c r="B1318" t="s">
        <v>14359</v>
      </c>
      <c r="C1318" t="s">
        <v>20365</v>
      </c>
      <c r="D1318" t="str">
        <f>_xlfn.XLOOKUP(E1318,pathways!$A$2:$A$31,pathways!$B$2:$B$31)</f>
        <v>Unknown</v>
      </c>
      <c r="E1318" t="s">
        <v>18840</v>
      </c>
      <c r="F1318" t="s">
        <v>18840</v>
      </c>
      <c r="G1318" t="s">
        <v>14360</v>
      </c>
      <c r="H1318" t="s">
        <v>14360</v>
      </c>
      <c r="I1318" t="s">
        <v>14360</v>
      </c>
      <c r="J1318" s="4" t="s">
        <v>12770</v>
      </c>
      <c r="L1318" t="s">
        <v>14360</v>
      </c>
      <c r="M1318" t="s">
        <v>14360</v>
      </c>
      <c r="N1318" t="s">
        <v>14360</v>
      </c>
      <c r="P1318" t="s">
        <v>14360</v>
      </c>
      <c r="R1318" t="s">
        <v>14360</v>
      </c>
    </row>
    <row r="1319" spans="1:18" x14ac:dyDescent="0.2">
      <c r="A1319" t="s">
        <v>14283</v>
      </c>
      <c r="B1319" t="s">
        <v>14359</v>
      </c>
      <c r="C1319" t="s">
        <v>20366</v>
      </c>
      <c r="D1319" t="str">
        <f>_xlfn.XLOOKUP(E1319,pathways!$A$2:$A$31,pathways!$B$2:$B$31)</f>
        <v>Unknown</v>
      </c>
      <c r="E1319" t="s">
        <v>18840</v>
      </c>
      <c r="F1319" t="s">
        <v>18840</v>
      </c>
      <c r="G1319" t="s">
        <v>14360</v>
      </c>
      <c r="H1319" t="s">
        <v>14360</v>
      </c>
      <c r="I1319" t="s">
        <v>14360</v>
      </c>
      <c r="J1319" s="4" t="s">
        <v>12772</v>
      </c>
      <c r="L1319" t="s">
        <v>14360</v>
      </c>
      <c r="M1319" t="s">
        <v>14360</v>
      </c>
      <c r="N1319" t="s">
        <v>14360</v>
      </c>
      <c r="P1319" t="s">
        <v>14360</v>
      </c>
      <c r="R1319" t="s">
        <v>14360</v>
      </c>
    </row>
    <row r="1320" spans="1:18" x14ac:dyDescent="0.2">
      <c r="A1320" t="s">
        <v>14284</v>
      </c>
      <c r="B1320" t="s">
        <v>14359</v>
      </c>
      <c r="C1320" t="s">
        <v>20367</v>
      </c>
      <c r="D1320" t="str">
        <f>_xlfn.XLOOKUP(E1320,pathways!$A$2:$A$31,pathways!$B$2:$B$31)</f>
        <v>Unknown</v>
      </c>
      <c r="E1320" t="s">
        <v>18840</v>
      </c>
      <c r="F1320" t="s">
        <v>18840</v>
      </c>
      <c r="G1320" t="s">
        <v>14360</v>
      </c>
      <c r="H1320" t="s">
        <v>14360</v>
      </c>
      <c r="I1320" t="s">
        <v>14360</v>
      </c>
      <c r="J1320" s="4" t="s">
        <v>12774</v>
      </c>
      <c r="L1320" t="s">
        <v>14360</v>
      </c>
      <c r="M1320" t="s">
        <v>14360</v>
      </c>
      <c r="N1320" t="s">
        <v>14360</v>
      </c>
      <c r="P1320" t="s">
        <v>14360</v>
      </c>
      <c r="R1320" t="s">
        <v>14360</v>
      </c>
    </row>
    <row r="1321" spans="1:18" x14ac:dyDescent="0.2">
      <c r="A1321" t="s">
        <v>14285</v>
      </c>
      <c r="B1321" t="s">
        <v>14359</v>
      </c>
      <c r="C1321" t="s">
        <v>20368</v>
      </c>
      <c r="D1321" t="str">
        <f>_xlfn.XLOOKUP(E1321,pathways!$A$2:$A$31,pathways!$B$2:$B$31)</f>
        <v>Unknown</v>
      </c>
      <c r="E1321" t="s">
        <v>18840</v>
      </c>
      <c r="F1321" t="s">
        <v>18840</v>
      </c>
      <c r="G1321" t="s">
        <v>14360</v>
      </c>
      <c r="H1321" t="s">
        <v>14360</v>
      </c>
      <c r="I1321" t="s">
        <v>14360</v>
      </c>
      <c r="J1321" s="4" t="s">
        <v>12776</v>
      </c>
      <c r="L1321" t="s">
        <v>14360</v>
      </c>
      <c r="M1321" t="s">
        <v>14360</v>
      </c>
      <c r="N1321" t="s">
        <v>14360</v>
      </c>
      <c r="P1321" t="s">
        <v>14360</v>
      </c>
      <c r="R1321" t="s">
        <v>14360</v>
      </c>
    </row>
    <row r="1322" spans="1:18" x14ac:dyDescent="0.2">
      <c r="A1322" t="s">
        <v>2163</v>
      </c>
      <c r="B1322" t="s">
        <v>14359</v>
      </c>
      <c r="C1322" t="s">
        <v>20369</v>
      </c>
      <c r="D1322" t="str">
        <f>_xlfn.XLOOKUP(E1322,pathways!$A$2:$A$31,pathways!$B$2:$B$31)</f>
        <v>Unknown</v>
      </c>
      <c r="E1322" t="s">
        <v>18840</v>
      </c>
      <c r="F1322" t="s">
        <v>18840</v>
      </c>
      <c r="G1322" t="s">
        <v>14360</v>
      </c>
      <c r="H1322" t="s">
        <v>14360</v>
      </c>
      <c r="I1322" t="s">
        <v>14360</v>
      </c>
      <c r="J1322" s="4" t="s">
        <v>12778</v>
      </c>
      <c r="L1322" t="s">
        <v>14360</v>
      </c>
      <c r="M1322" t="s">
        <v>14360</v>
      </c>
      <c r="N1322" t="s">
        <v>14360</v>
      </c>
      <c r="P1322" t="s">
        <v>14360</v>
      </c>
      <c r="R1322" t="s">
        <v>14360</v>
      </c>
    </row>
    <row r="1323" spans="1:18" x14ac:dyDescent="0.2">
      <c r="A1323" t="s">
        <v>14139</v>
      </c>
      <c r="B1323" t="s">
        <v>14359</v>
      </c>
      <c r="C1323" t="s">
        <v>10380</v>
      </c>
      <c r="D1323" t="str">
        <f>_xlfn.XLOOKUP(E1323,pathways!$A$2:$A$31,pathways!$B$2:$B$31)</f>
        <v>Unknown</v>
      </c>
      <c r="E1323" t="s">
        <v>18840</v>
      </c>
      <c r="F1323" t="s">
        <v>18840</v>
      </c>
      <c r="G1323" t="s">
        <v>20664</v>
      </c>
      <c r="H1323" t="s">
        <v>14360</v>
      </c>
      <c r="I1323" t="s">
        <v>10380</v>
      </c>
      <c r="J1323" s="4" t="s">
        <v>14360</v>
      </c>
      <c r="L1323" t="s">
        <v>14360</v>
      </c>
      <c r="M1323" t="s">
        <v>14360</v>
      </c>
      <c r="O1323" t="s">
        <v>14360</v>
      </c>
      <c r="Q1323" t="s">
        <v>14360</v>
      </c>
      <c r="R1323" t="s">
        <v>14360</v>
      </c>
    </row>
    <row r="1324" spans="1:18" x14ac:dyDescent="0.2">
      <c r="A1324" t="s">
        <v>2796</v>
      </c>
      <c r="B1324" t="s">
        <v>14359</v>
      </c>
      <c r="C1324" t="s">
        <v>10381</v>
      </c>
      <c r="D1324" t="str">
        <f>_xlfn.XLOOKUP(E1324,pathways!$A$2:$A$31,pathways!$B$2:$B$31)</f>
        <v>Unknown</v>
      </c>
      <c r="E1324" t="s">
        <v>18840</v>
      </c>
      <c r="F1324" t="s">
        <v>18840</v>
      </c>
      <c r="G1324" t="s">
        <v>14360</v>
      </c>
      <c r="H1324" t="s">
        <v>14360</v>
      </c>
      <c r="I1324" t="s">
        <v>10381</v>
      </c>
      <c r="J1324" s="4" t="s">
        <v>14360</v>
      </c>
      <c r="L1324" t="s">
        <v>2795</v>
      </c>
      <c r="M1324" t="s">
        <v>16145</v>
      </c>
      <c r="O1324" t="s">
        <v>14360</v>
      </c>
      <c r="Q1324" t="s">
        <v>14360</v>
      </c>
      <c r="R1324" t="s">
        <v>18840</v>
      </c>
    </row>
    <row r="1325" spans="1:18" x14ac:dyDescent="0.2">
      <c r="A1325" t="s">
        <v>2141</v>
      </c>
      <c r="B1325" t="s">
        <v>14359</v>
      </c>
      <c r="C1325" t="s">
        <v>20370</v>
      </c>
      <c r="D1325" t="str">
        <f>_xlfn.XLOOKUP(E1325,pathways!$A$2:$A$31,pathways!$B$2:$B$31)</f>
        <v>Unknown</v>
      </c>
      <c r="E1325" t="s">
        <v>18840</v>
      </c>
      <c r="F1325" t="s">
        <v>18840</v>
      </c>
      <c r="G1325" t="s">
        <v>14360</v>
      </c>
      <c r="H1325" t="s">
        <v>14360</v>
      </c>
      <c r="I1325" t="s">
        <v>14360</v>
      </c>
      <c r="J1325" s="4" t="s">
        <v>12780</v>
      </c>
      <c r="L1325" t="s">
        <v>14360</v>
      </c>
      <c r="M1325" t="s">
        <v>14360</v>
      </c>
      <c r="N1325" t="s">
        <v>14360</v>
      </c>
      <c r="P1325" t="s">
        <v>14360</v>
      </c>
      <c r="R1325" t="s">
        <v>14360</v>
      </c>
    </row>
    <row r="1326" spans="1:18" x14ac:dyDescent="0.2">
      <c r="A1326" t="s">
        <v>2798</v>
      </c>
      <c r="B1326" t="s">
        <v>14359</v>
      </c>
      <c r="C1326" t="s">
        <v>10382</v>
      </c>
      <c r="D1326" t="str">
        <f>_xlfn.XLOOKUP(E1326,pathways!$A$2:$A$31,pathways!$B$2:$B$31)</f>
        <v>Unknown</v>
      </c>
      <c r="E1326" t="s">
        <v>18840</v>
      </c>
      <c r="F1326" t="s">
        <v>18840</v>
      </c>
      <c r="G1326" t="s">
        <v>14360</v>
      </c>
      <c r="H1326" t="s">
        <v>14360</v>
      </c>
      <c r="I1326" t="s">
        <v>10382</v>
      </c>
      <c r="J1326" s="4" t="s">
        <v>14360</v>
      </c>
      <c r="L1326" t="s">
        <v>2797</v>
      </c>
      <c r="M1326" t="s">
        <v>16147</v>
      </c>
      <c r="O1326" t="s">
        <v>14360</v>
      </c>
      <c r="Q1326" t="s">
        <v>14360</v>
      </c>
      <c r="R1326" t="s">
        <v>18840</v>
      </c>
    </row>
    <row r="1327" spans="1:18" x14ac:dyDescent="0.2">
      <c r="A1327" t="s">
        <v>2786</v>
      </c>
      <c r="B1327" t="s">
        <v>14359</v>
      </c>
      <c r="C1327" t="s">
        <v>10383</v>
      </c>
      <c r="D1327" t="str">
        <f>_xlfn.XLOOKUP(E1327,pathways!$A$2:$A$31,pathways!$B$2:$B$31)</f>
        <v>Unknown</v>
      </c>
      <c r="E1327" t="s">
        <v>18840</v>
      </c>
      <c r="F1327" t="s">
        <v>18840</v>
      </c>
      <c r="G1327" t="s">
        <v>20533</v>
      </c>
      <c r="H1327" t="s">
        <v>14360</v>
      </c>
      <c r="I1327" t="s">
        <v>10383</v>
      </c>
      <c r="J1327" s="4" t="s">
        <v>12782</v>
      </c>
      <c r="L1327" t="s">
        <v>2785</v>
      </c>
      <c r="M1327" t="s">
        <v>16135</v>
      </c>
      <c r="R1327" t="s">
        <v>18840</v>
      </c>
    </row>
    <row r="1328" spans="1:18" x14ac:dyDescent="0.2">
      <c r="A1328" t="s">
        <v>2269</v>
      </c>
      <c r="B1328" t="s">
        <v>14359</v>
      </c>
      <c r="C1328" t="s">
        <v>20371</v>
      </c>
      <c r="D1328" t="str">
        <f>_xlfn.XLOOKUP(E1328,pathways!$A$2:$A$31,pathways!$B$2:$B$31)</f>
        <v>Unknown</v>
      </c>
      <c r="E1328" t="s">
        <v>18840</v>
      </c>
      <c r="F1328" t="s">
        <v>18840</v>
      </c>
      <c r="G1328" t="s">
        <v>14360</v>
      </c>
      <c r="H1328" t="s">
        <v>14360</v>
      </c>
      <c r="I1328" t="s">
        <v>14360</v>
      </c>
      <c r="J1328" s="4" t="s">
        <v>12784</v>
      </c>
      <c r="L1328" t="s">
        <v>14360</v>
      </c>
      <c r="M1328" t="s">
        <v>14360</v>
      </c>
      <c r="N1328" t="s">
        <v>14360</v>
      </c>
      <c r="P1328" t="s">
        <v>14360</v>
      </c>
      <c r="R1328" t="s">
        <v>14360</v>
      </c>
    </row>
    <row r="1329" spans="1:19" x14ac:dyDescent="0.2">
      <c r="A1329" t="s">
        <v>14286</v>
      </c>
      <c r="B1329" t="s">
        <v>14359</v>
      </c>
      <c r="C1329" t="s">
        <v>20372</v>
      </c>
      <c r="D1329" t="str">
        <f>_xlfn.XLOOKUP(E1329,pathways!$A$2:$A$31,pathways!$B$2:$B$31)</f>
        <v>Unknown</v>
      </c>
      <c r="E1329" t="s">
        <v>18840</v>
      </c>
      <c r="F1329" t="s">
        <v>18840</v>
      </c>
      <c r="G1329" t="s">
        <v>20580</v>
      </c>
      <c r="H1329" t="s">
        <v>14360</v>
      </c>
      <c r="I1329" t="s">
        <v>14360</v>
      </c>
      <c r="J1329" s="4" t="s">
        <v>12786</v>
      </c>
      <c r="L1329" t="s">
        <v>14360</v>
      </c>
      <c r="M1329" t="s">
        <v>14360</v>
      </c>
      <c r="N1329" t="s">
        <v>14360</v>
      </c>
      <c r="P1329" t="s">
        <v>14360</v>
      </c>
      <c r="R1329" t="s">
        <v>14360</v>
      </c>
    </row>
    <row r="1330" spans="1:19" x14ac:dyDescent="0.2">
      <c r="A1330" t="s">
        <v>14140</v>
      </c>
      <c r="B1330" t="s">
        <v>14359</v>
      </c>
      <c r="C1330" t="s">
        <v>10384</v>
      </c>
      <c r="D1330" t="str">
        <f>_xlfn.XLOOKUP(E1330,pathways!$A$2:$A$31,pathways!$B$2:$B$31)</f>
        <v>Unknown</v>
      </c>
      <c r="E1330" t="s">
        <v>18840</v>
      </c>
      <c r="F1330" t="s">
        <v>18840</v>
      </c>
      <c r="G1330" t="s">
        <v>14360</v>
      </c>
      <c r="H1330" t="s">
        <v>14360</v>
      </c>
      <c r="I1330" t="s">
        <v>10384</v>
      </c>
      <c r="J1330" s="4" t="s">
        <v>14360</v>
      </c>
      <c r="L1330" t="s">
        <v>14360</v>
      </c>
      <c r="M1330" t="s">
        <v>14360</v>
      </c>
      <c r="O1330" t="s">
        <v>14360</v>
      </c>
      <c r="Q1330" t="s">
        <v>14360</v>
      </c>
      <c r="R1330" t="s">
        <v>14360</v>
      </c>
      <c r="S1330" t="s">
        <v>14360</v>
      </c>
    </row>
    <row r="1331" spans="1:19" x14ac:dyDescent="0.2">
      <c r="A1331" t="s">
        <v>14141</v>
      </c>
      <c r="B1331" t="s">
        <v>14359</v>
      </c>
      <c r="C1331" t="s">
        <v>10385</v>
      </c>
      <c r="D1331" t="str">
        <f>_xlfn.XLOOKUP(E1331,pathways!$A$2:$A$31,pathways!$B$2:$B$31)</f>
        <v>Unknown</v>
      </c>
      <c r="E1331" t="s">
        <v>18840</v>
      </c>
      <c r="F1331" t="s">
        <v>18840</v>
      </c>
      <c r="G1331" t="s">
        <v>14360</v>
      </c>
      <c r="H1331" t="s">
        <v>14360</v>
      </c>
      <c r="I1331" t="s">
        <v>10385</v>
      </c>
      <c r="J1331" s="4" t="s">
        <v>14360</v>
      </c>
      <c r="L1331" t="s">
        <v>14360</v>
      </c>
      <c r="M1331" t="s">
        <v>14360</v>
      </c>
      <c r="O1331" t="s">
        <v>14360</v>
      </c>
      <c r="Q1331" t="s">
        <v>14360</v>
      </c>
      <c r="R1331" t="s">
        <v>14360</v>
      </c>
    </row>
    <row r="1332" spans="1:19" x14ac:dyDescent="0.2">
      <c r="A1332" t="s">
        <v>2843</v>
      </c>
      <c r="B1332" t="s">
        <v>14359</v>
      </c>
      <c r="C1332" t="s">
        <v>10386</v>
      </c>
      <c r="D1332" t="str">
        <f>_xlfn.XLOOKUP(E1332,pathways!$A$2:$A$31,pathways!$B$2:$B$31)</f>
        <v>Unknown</v>
      </c>
      <c r="E1332" t="s">
        <v>18840</v>
      </c>
      <c r="F1332" t="s">
        <v>18840</v>
      </c>
      <c r="G1332" t="s">
        <v>20587</v>
      </c>
      <c r="H1332" t="s">
        <v>14360</v>
      </c>
      <c r="I1332" t="s">
        <v>10386</v>
      </c>
      <c r="J1332" s="4" t="s">
        <v>12788</v>
      </c>
      <c r="L1332" t="s">
        <v>2842</v>
      </c>
      <c r="M1332" t="s">
        <v>16192</v>
      </c>
      <c r="R1332" t="s">
        <v>18840</v>
      </c>
      <c r="S1332" t="s">
        <v>14360</v>
      </c>
    </row>
    <row r="1333" spans="1:19" x14ac:dyDescent="0.2">
      <c r="A1333" t="s">
        <v>14142</v>
      </c>
      <c r="B1333" t="s">
        <v>14359</v>
      </c>
      <c r="C1333" t="s">
        <v>10387</v>
      </c>
      <c r="D1333" t="str">
        <f>_xlfn.XLOOKUP(E1333,pathways!$A$2:$A$31,pathways!$B$2:$B$31)</f>
        <v>Unknown</v>
      </c>
      <c r="E1333" t="s">
        <v>18840</v>
      </c>
      <c r="F1333" t="s">
        <v>18840</v>
      </c>
      <c r="G1333" t="s">
        <v>14360</v>
      </c>
      <c r="H1333" t="s">
        <v>14360</v>
      </c>
      <c r="I1333" t="s">
        <v>10387</v>
      </c>
      <c r="J1333" s="4" t="s">
        <v>14360</v>
      </c>
      <c r="L1333" t="s">
        <v>14360</v>
      </c>
      <c r="M1333" t="s">
        <v>14360</v>
      </c>
      <c r="O1333" t="s">
        <v>14360</v>
      </c>
      <c r="Q1333" t="s">
        <v>14360</v>
      </c>
      <c r="R1333" t="s">
        <v>14360</v>
      </c>
    </row>
    <row r="1334" spans="1:19" x14ac:dyDescent="0.2">
      <c r="A1334" t="s">
        <v>14143</v>
      </c>
      <c r="B1334" t="s">
        <v>14359</v>
      </c>
      <c r="C1334" t="s">
        <v>10388</v>
      </c>
      <c r="D1334" t="str">
        <f>_xlfn.XLOOKUP(E1334,pathways!$A$2:$A$31,pathways!$B$2:$B$31)</f>
        <v>Unknown</v>
      </c>
      <c r="E1334" t="s">
        <v>18840</v>
      </c>
      <c r="F1334" t="s">
        <v>18840</v>
      </c>
      <c r="G1334" t="s">
        <v>14360</v>
      </c>
      <c r="H1334" t="s">
        <v>14360</v>
      </c>
      <c r="I1334" t="s">
        <v>10388</v>
      </c>
      <c r="J1334" s="4" t="s">
        <v>14360</v>
      </c>
      <c r="L1334" t="s">
        <v>14360</v>
      </c>
      <c r="M1334" t="s">
        <v>14360</v>
      </c>
      <c r="O1334" t="s">
        <v>14360</v>
      </c>
      <c r="Q1334" t="s">
        <v>14360</v>
      </c>
      <c r="R1334" t="s">
        <v>14360</v>
      </c>
    </row>
    <row r="1335" spans="1:19" x14ac:dyDescent="0.2">
      <c r="A1335" t="s">
        <v>2824</v>
      </c>
      <c r="B1335" t="s">
        <v>14359</v>
      </c>
      <c r="C1335" t="s">
        <v>10389</v>
      </c>
      <c r="D1335" t="str">
        <f>_xlfn.XLOOKUP(E1335,pathways!$A$2:$A$31,pathways!$B$2:$B$31)</f>
        <v>Unknown</v>
      </c>
      <c r="E1335" t="s">
        <v>18840</v>
      </c>
      <c r="F1335" t="s">
        <v>18840</v>
      </c>
      <c r="G1335" t="s">
        <v>20476</v>
      </c>
      <c r="H1335" t="s">
        <v>14360</v>
      </c>
      <c r="I1335" t="s">
        <v>10389</v>
      </c>
      <c r="J1335" s="4" t="s">
        <v>12790</v>
      </c>
      <c r="L1335" t="s">
        <v>2823</v>
      </c>
      <c r="M1335" t="s">
        <v>16173</v>
      </c>
      <c r="R1335" t="s">
        <v>18840</v>
      </c>
    </row>
    <row r="1336" spans="1:19" x14ac:dyDescent="0.2">
      <c r="A1336" t="s">
        <v>2120</v>
      </c>
      <c r="B1336" t="s">
        <v>14359</v>
      </c>
      <c r="C1336" t="s">
        <v>20373</v>
      </c>
      <c r="D1336" t="str">
        <f>_xlfn.XLOOKUP(E1336,pathways!$A$2:$A$31,pathways!$B$2:$B$31)</f>
        <v>Unknown</v>
      </c>
      <c r="E1336" t="s">
        <v>18840</v>
      </c>
      <c r="F1336" t="s">
        <v>18840</v>
      </c>
      <c r="G1336" t="s">
        <v>14360</v>
      </c>
      <c r="H1336" t="s">
        <v>14360</v>
      </c>
      <c r="I1336" t="s">
        <v>14360</v>
      </c>
      <c r="J1336" s="4" t="s">
        <v>12792</v>
      </c>
      <c r="L1336" t="s">
        <v>14360</v>
      </c>
      <c r="M1336" t="s">
        <v>14360</v>
      </c>
      <c r="N1336" t="s">
        <v>14360</v>
      </c>
      <c r="P1336" t="s">
        <v>14360</v>
      </c>
      <c r="R1336" t="s">
        <v>14360</v>
      </c>
      <c r="S1336" t="s">
        <v>14360</v>
      </c>
    </row>
    <row r="1337" spans="1:19" x14ac:dyDescent="0.2">
      <c r="A1337" t="s">
        <v>14144</v>
      </c>
      <c r="B1337" t="s">
        <v>14359</v>
      </c>
      <c r="C1337" t="s">
        <v>10390</v>
      </c>
      <c r="D1337" t="str">
        <f>_xlfn.XLOOKUP(E1337,pathways!$A$2:$A$31,pathways!$B$2:$B$31)</f>
        <v>Unknown</v>
      </c>
      <c r="E1337" t="s">
        <v>18840</v>
      </c>
      <c r="F1337" t="s">
        <v>18840</v>
      </c>
      <c r="G1337" t="s">
        <v>14360</v>
      </c>
      <c r="H1337" t="s">
        <v>14360</v>
      </c>
      <c r="I1337" t="s">
        <v>10390</v>
      </c>
      <c r="J1337" s="4" t="s">
        <v>14360</v>
      </c>
      <c r="L1337" t="s">
        <v>14360</v>
      </c>
      <c r="M1337" t="s">
        <v>14360</v>
      </c>
      <c r="O1337" t="s">
        <v>14360</v>
      </c>
      <c r="Q1337" t="s">
        <v>14360</v>
      </c>
      <c r="R1337" t="s">
        <v>14360</v>
      </c>
      <c r="S1337" t="s">
        <v>4124</v>
      </c>
    </row>
    <row r="1338" spans="1:19" x14ac:dyDescent="0.2">
      <c r="A1338" t="s">
        <v>2822</v>
      </c>
      <c r="B1338" t="s">
        <v>14359</v>
      </c>
      <c r="C1338" t="s">
        <v>10391</v>
      </c>
      <c r="D1338" t="str">
        <f>_xlfn.XLOOKUP(E1338,pathways!$A$2:$A$31,pathways!$B$2:$B$31)</f>
        <v>Unknown</v>
      </c>
      <c r="E1338" t="s">
        <v>18840</v>
      </c>
      <c r="F1338" t="s">
        <v>18840</v>
      </c>
      <c r="G1338" t="s">
        <v>14360</v>
      </c>
      <c r="H1338" t="s">
        <v>14360</v>
      </c>
      <c r="I1338" t="s">
        <v>10391</v>
      </c>
      <c r="J1338" s="4" t="s">
        <v>14360</v>
      </c>
      <c r="L1338" t="s">
        <v>2821</v>
      </c>
      <c r="M1338" t="s">
        <v>16171</v>
      </c>
      <c r="O1338" t="s">
        <v>14360</v>
      </c>
      <c r="Q1338" t="s">
        <v>14360</v>
      </c>
      <c r="R1338" t="s">
        <v>18840</v>
      </c>
      <c r="S1338" t="s">
        <v>4446</v>
      </c>
    </row>
    <row r="1339" spans="1:19" x14ac:dyDescent="0.2">
      <c r="A1339" t="s">
        <v>14145</v>
      </c>
      <c r="B1339" t="s">
        <v>14359</v>
      </c>
      <c r="C1339" t="s">
        <v>10392</v>
      </c>
      <c r="D1339" t="str">
        <f>_xlfn.XLOOKUP(E1339,pathways!$A$2:$A$31,pathways!$B$2:$B$31)</f>
        <v>Unknown</v>
      </c>
      <c r="E1339" t="s">
        <v>18840</v>
      </c>
      <c r="F1339" t="s">
        <v>18840</v>
      </c>
      <c r="G1339" t="s">
        <v>14360</v>
      </c>
      <c r="H1339" t="s">
        <v>14360</v>
      </c>
      <c r="I1339" t="s">
        <v>10392</v>
      </c>
      <c r="J1339" s="4" t="s">
        <v>14360</v>
      </c>
      <c r="L1339" t="s">
        <v>14360</v>
      </c>
      <c r="M1339" t="s">
        <v>14360</v>
      </c>
      <c r="O1339" t="s">
        <v>14360</v>
      </c>
      <c r="Q1339" t="s">
        <v>14360</v>
      </c>
      <c r="R1339" t="s">
        <v>14360</v>
      </c>
      <c r="S1339" t="s">
        <v>14360</v>
      </c>
    </row>
    <row r="1340" spans="1:19" x14ac:dyDescent="0.2">
      <c r="A1340" t="s">
        <v>2815</v>
      </c>
      <c r="B1340" t="s">
        <v>14359</v>
      </c>
      <c r="C1340" t="s">
        <v>10393</v>
      </c>
      <c r="D1340" t="str">
        <f>_xlfn.XLOOKUP(E1340,pathways!$A$2:$A$31,pathways!$B$2:$B$31)</f>
        <v>Unknown</v>
      </c>
      <c r="E1340" t="s">
        <v>18840</v>
      </c>
      <c r="F1340" t="s">
        <v>18840</v>
      </c>
      <c r="G1340" t="s">
        <v>20600</v>
      </c>
      <c r="H1340" t="s">
        <v>14360</v>
      </c>
      <c r="I1340" t="s">
        <v>10393</v>
      </c>
      <c r="J1340" s="4" t="s">
        <v>14360</v>
      </c>
      <c r="L1340" t="s">
        <v>2814</v>
      </c>
      <c r="M1340" t="s">
        <v>16163</v>
      </c>
      <c r="O1340" t="s">
        <v>14360</v>
      </c>
      <c r="Q1340" t="s">
        <v>14360</v>
      </c>
      <c r="R1340" t="s">
        <v>18840</v>
      </c>
      <c r="S1340" t="s">
        <v>14360</v>
      </c>
    </row>
    <row r="1341" spans="1:19" x14ac:dyDescent="0.2">
      <c r="A1341" t="s">
        <v>14146</v>
      </c>
      <c r="B1341" t="s">
        <v>14359</v>
      </c>
      <c r="C1341" t="s">
        <v>10394</v>
      </c>
      <c r="D1341" t="str">
        <f>_xlfn.XLOOKUP(E1341,pathways!$A$2:$A$31,pathways!$B$2:$B$31)</f>
        <v>Unknown</v>
      </c>
      <c r="E1341" t="s">
        <v>18840</v>
      </c>
      <c r="F1341" t="s">
        <v>18840</v>
      </c>
      <c r="G1341" t="s">
        <v>20549</v>
      </c>
      <c r="H1341" t="s">
        <v>14360</v>
      </c>
      <c r="I1341" t="s">
        <v>10394</v>
      </c>
      <c r="J1341" s="4" t="s">
        <v>12794</v>
      </c>
      <c r="L1341" t="s">
        <v>14360</v>
      </c>
      <c r="M1341" t="s">
        <v>14360</v>
      </c>
      <c r="R1341" t="s">
        <v>14360</v>
      </c>
      <c r="S1341" t="s">
        <v>14360</v>
      </c>
    </row>
    <row r="1342" spans="1:19" x14ac:dyDescent="0.2">
      <c r="A1342" t="s">
        <v>2830</v>
      </c>
      <c r="B1342" t="s">
        <v>14359</v>
      </c>
      <c r="C1342" t="s">
        <v>10395</v>
      </c>
      <c r="D1342" t="str">
        <f>_xlfn.XLOOKUP(E1342,pathways!$A$2:$A$31,pathways!$B$2:$B$31)</f>
        <v>Unknown</v>
      </c>
      <c r="E1342" t="s">
        <v>18840</v>
      </c>
      <c r="F1342" t="s">
        <v>18840</v>
      </c>
      <c r="G1342" t="s">
        <v>20513</v>
      </c>
      <c r="H1342" t="s">
        <v>14360</v>
      </c>
      <c r="I1342" t="s">
        <v>10395</v>
      </c>
      <c r="J1342" s="4" t="s">
        <v>12796</v>
      </c>
      <c r="L1342" t="s">
        <v>2829</v>
      </c>
      <c r="M1342" t="s">
        <v>16179</v>
      </c>
      <c r="R1342" t="s">
        <v>18840</v>
      </c>
      <c r="S1342" t="s">
        <v>14360</v>
      </c>
    </row>
    <row r="1343" spans="1:19" x14ac:dyDescent="0.2">
      <c r="A1343" t="s">
        <v>2818</v>
      </c>
      <c r="B1343" t="s">
        <v>14359</v>
      </c>
      <c r="C1343" t="s">
        <v>10396</v>
      </c>
      <c r="D1343" t="str">
        <f>_xlfn.XLOOKUP(E1343,pathways!$A$2:$A$31,pathways!$B$2:$B$31)</f>
        <v>Unknown</v>
      </c>
      <c r="E1343" t="s">
        <v>18840</v>
      </c>
      <c r="F1343" t="s">
        <v>18840</v>
      </c>
      <c r="G1343" t="s">
        <v>20646</v>
      </c>
      <c r="H1343" t="s">
        <v>14360</v>
      </c>
      <c r="I1343" t="s">
        <v>10396</v>
      </c>
      <c r="J1343" s="4" t="s">
        <v>12798</v>
      </c>
      <c r="L1343" t="s">
        <v>2817</v>
      </c>
      <c r="M1343" t="s">
        <v>16167</v>
      </c>
      <c r="R1343" t="s">
        <v>18840</v>
      </c>
      <c r="S1343" t="s">
        <v>14360</v>
      </c>
    </row>
    <row r="1344" spans="1:19" x14ac:dyDescent="0.2">
      <c r="A1344" t="s">
        <v>2820</v>
      </c>
      <c r="B1344" t="s">
        <v>14359</v>
      </c>
      <c r="C1344" t="s">
        <v>10397</v>
      </c>
      <c r="D1344" t="str">
        <f>_xlfn.XLOOKUP(E1344,pathways!$A$2:$A$31,pathways!$B$2:$B$31)</f>
        <v>Unknown</v>
      </c>
      <c r="E1344" t="s">
        <v>18840</v>
      </c>
      <c r="F1344" t="s">
        <v>18840</v>
      </c>
      <c r="G1344" t="s">
        <v>20494</v>
      </c>
      <c r="H1344" t="s">
        <v>14360</v>
      </c>
      <c r="I1344" t="s">
        <v>10397</v>
      </c>
      <c r="J1344" s="4" t="s">
        <v>12800</v>
      </c>
      <c r="L1344" t="s">
        <v>2819</v>
      </c>
      <c r="M1344" t="s">
        <v>16169</v>
      </c>
      <c r="R1344" t="s">
        <v>18840</v>
      </c>
      <c r="S1344" t="s">
        <v>14360</v>
      </c>
    </row>
    <row r="1345" spans="1:19" x14ac:dyDescent="0.2">
      <c r="A1345" t="s">
        <v>2837</v>
      </c>
      <c r="B1345" t="s">
        <v>14359</v>
      </c>
      <c r="C1345" t="s">
        <v>10398</v>
      </c>
      <c r="D1345" t="str">
        <f>_xlfn.XLOOKUP(E1345,pathways!$A$2:$A$31,pathways!$B$2:$B$31)</f>
        <v>Unknown</v>
      </c>
      <c r="E1345" t="s">
        <v>18840</v>
      </c>
      <c r="F1345" t="s">
        <v>18840</v>
      </c>
      <c r="G1345" t="s">
        <v>14360</v>
      </c>
      <c r="H1345" t="s">
        <v>14360</v>
      </c>
      <c r="I1345" t="s">
        <v>10398</v>
      </c>
      <c r="J1345" s="4" t="s">
        <v>14360</v>
      </c>
      <c r="L1345" t="s">
        <v>2836</v>
      </c>
      <c r="M1345" t="s">
        <v>16186</v>
      </c>
      <c r="O1345" t="s">
        <v>14360</v>
      </c>
      <c r="Q1345" t="s">
        <v>14360</v>
      </c>
      <c r="R1345" t="s">
        <v>18840</v>
      </c>
      <c r="S1345" t="s">
        <v>3603</v>
      </c>
    </row>
    <row r="1346" spans="1:19" x14ac:dyDescent="0.2">
      <c r="A1346" t="s">
        <v>2833</v>
      </c>
      <c r="B1346" t="s">
        <v>14359</v>
      </c>
      <c r="C1346" t="s">
        <v>10399</v>
      </c>
      <c r="D1346" t="str">
        <f>_xlfn.XLOOKUP(E1346,pathways!$A$2:$A$31,pathways!$B$2:$B$31)</f>
        <v>Unknown</v>
      </c>
      <c r="E1346" t="s">
        <v>18840</v>
      </c>
      <c r="F1346" t="s">
        <v>18840</v>
      </c>
      <c r="G1346" t="s">
        <v>20596</v>
      </c>
      <c r="H1346" t="s">
        <v>14360</v>
      </c>
      <c r="I1346" t="s">
        <v>10399</v>
      </c>
      <c r="J1346" s="4" t="s">
        <v>14360</v>
      </c>
      <c r="L1346" t="s">
        <v>2832</v>
      </c>
      <c r="M1346" t="s">
        <v>16182</v>
      </c>
      <c r="O1346" t="s">
        <v>14360</v>
      </c>
      <c r="Q1346" t="s">
        <v>14360</v>
      </c>
      <c r="R1346" t="s">
        <v>18840</v>
      </c>
      <c r="S1346" t="s">
        <v>3864</v>
      </c>
    </row>
    <row r="1347" spans="1:19" x14ac:dyDescent="0.2">
      <c r="A1347" t="s">
        <v>14147</v>
      </c>
      <c r="B1347" t="s">
        <v>14359</v>
      </c>
      <c r="C1347" t="s">
        <v>10400</v>
      </c>
      <c r="D1347" t="str">
        <f>_xlfn.XLOOKUP(E1347,pathways!$A$2:$A$31,pathways!$B$2:$B$31)</f>
        <v>Unknown</v>
      </c>
      <c r="E1347" t="s">
        <v>18840</v>
      </c>
      <c r="F1347" t="s">
        <v>18840</v>
      </c>
      <c r="G1347" t="s">
        <v>14360</v>
      </c>
      <c r="H1347" t="s">
        <v>14360</v>
      </c>
      <c r="I1347" t="s">
        <v>10400</v>
      </c>
      <c r="J1347" s="4" t="s">
        <v>14360</v>
      </c>
      <c r="L1347" t="s">
        <v>14360</v>
      </c>
      <c r="M1347" t="s">
        <v>14360</v>
      </c>
      <c r="O1347" t="s">
        <v>14360</v>
      </c>
      <c r="Q1347" t="s">
        <v>14360</v>
      </c>
      <c r="R1347" t="s">
        <v>14360</v>
      </c>
      <c r="S1347" t="s">
        <v>3603</v>
      </c>
    </row>
    <row r="1348" spans="1:19" x14ac:dyDescent="0.2">
      <c r="A1348" t="s">
        <v>2297</v>
      </c>
      <c r="B1348" t="s">
        <v>14359</v>
      </c>
      <c r="C1348" t="s">
        <v>20374</v>
      </c>
      <c r="D1348" t="str">
        <f>_xlfn.XLOOKUP(E1348,pathways!$A$2:$A$31,pathways!$B$2:$B$31)</f>
        <v>Unknown</v>
      </c>
      <c r="E1348" t="s">
        <v>18840</v>
      </c>
      <c r="F1348" t="s">
        <v>18840</v>
      </c>
      <c r="G1348" t="s">
        <v>14360</v>
      </c>
      <c r="H1348" t="s">
        <v>14360</v>
      </c>
      <c r="I1348" t="s">
        <v>14360</v>
      </c>
      <c r="J1348" s="4" t="s">
        <v>12802</v>
      </c>
      <c r="L1348" t="s">
        <v>14360</v>
      </c>
      <c r="M1348" t="s">
        <v>14360</v>
      </c>
      <c r="N1348" t="s">
        <v>14360</v>
      </c>
      <c r="P1348" t="s">
        <v>14360</v>
      </c>
      <c r="R1348" t="s">
        <v>14360</v>
      </c>
      <c r="S1348" t="s">
        <v>14360</v>
      </c>
    </row>
    <row r="1349" spans="1:19" x14ac:dyDescent="0.2">
      <c r="A1349" t="s">
        <v>2835</v>
      </c>
      <c r="B1349" t="s">
        <v>14359</v>
      </c>
      <c r="C1349" t="s">
        <v>10401</v>
      </c>
      <c r="D1349" t="str">
        <f>_xlfn.XLOOKUP(E1349,pathways!$A$2:$A$31,pathways!$B$2:$B$31)</f>
        <v>Unknown</v>
      </c>
      <c r="E1349" t="s">
        <v>18840</v>
      </c>
      <c r="F1349" t="s">
        <v>18840</v>
      </c>
      <c r="G1349" t="s">
        <v>20568</v>
      </c>
      <c r="H1349" t="s">
        <v>14360</v>
      </c>
      <c r="I1349" t="s">
        <v>10401</v>
      </c>
      <c r="J1349" s="4" t="s">
        <v>12804</v>
      </c>
      <c r="L1349" t="s">
        <v>2834</v>
      </c>
      <c r="M1349" t="s">
        <v>16184</v>
      </c>
      <c r="R1349" t="s">
        <v>18840</v>
      </c>
      <c r="S1349" t="s">
        <v>3603</v>
      </c>
    </row>
    <row r="1350" spans="1:19" x14ac:dyDescent="0.2">
      <c r="A1350" t="s">
        <v>2845</v>
      </c>
      <c r="B1350" t="s">
        <v>14359</v>
      </c>
      <c r="C1350" t="s">
        <v>10402</v>
      </c>
      <c r="D1350" t="str">
        <f>_xlfn.XLOOKUP(E1350,pathways!$A$2:$A$31,pathways!$B$2:$B$31)</f>
        <v>Unknown</v>
      </c>
      <c r="E1350" t="s">
        <v>18840</v>
      </c>
      <c r="F1350" t="s">
        <v>18840</v>
      </c>
      <c r="G1350" t="s">
        <v>20602</v>
      </c>
      <c r="H1350" t="s">
        <v>14360</v>
      </c>
      <c r="I1350" t="s">
        <v>10402</v>
      </c>
      <c r="J1350" s="4" t="s">
        <v>12806</v>
      </c>
      <c r="L1350" t="s">
        <v>2844</v>
      </c>
      <c r="M1350" t="s">
        <v>16194</v>
      </c>
      <c r="R1350" t="s">
        <v>18840</v>
      </c>
      <c r="S1350" t="s">
        <v>3603</v>
      </c>
    </row>
    <row r="1351" spans="1:19" x14ac:dyDescent="0.2">
      <c r="A1351" t="s">
        <v>2826</v>
      </c>
      <c r="B1351" t="s">
        <v>14359</v>
      </c>
      <c r="C1351" t="s">
        <v>10403</v>
      </c>
      <c r="D1351" t="str">
        <f>_xlfn.XLOOKUP(E1351,pathways!$A$2:$A$31,pathways!$B$2:$B$31)</f>
        <v>Unknown</v>
      </c>
      <c r="E1351" t="s">
        <v>18840</v>
      </c>
      <c r="F1351" t="s">
        <v>18840</v>
      </c>
      <c r="G1351" t="s">
        <v>20474</v>
      </c>
      <c r="H1351" t="s">
        <v>14360</v>
      </c>
      <c r="I1351" t="s">
        <v>10403</v>
      </c>
      <c r="J1351" s="4" t="s">
        <v>12808</v>
      </c>
      <c r="L1351" t="s">
        <v>2825</v>
      </c>
      <c r="M1351" t="s">
        <v>16175</v>
      </c>
      <c r="R1351" t="s">
        <v>18840</v>
      </c>
      <c r="S1351" t="s">
        <v>3603</v>
      </c>
    </row>
    <row r="1352" spans="1:19" x14ac:dyDescent="0.2">
      <c r="A1352" t="s">
        <v>2828</v>
      </c>
      <c r="B1352" t="s">
        <v>14359</v>
      </c>
      <c r="C1352" t="s">
        <v>10404</v>
      </c>
      <c r="D1352" t="str">
        <f>_xlfn.XLOOKUP(E1352,pathways!$A$2:$A$31,pathways!$B$2:$B$31)</f>
        <v>Unknown</v>
      </c>
      <c r="E1352" t="s">
        <v>18840</v>
      </c>
      <c r="F1352" t="s">
        <v>18840</v>
      </c>
      <c r="G1352" t="s">
        <v>20643</v>
      </c>
      <c r="H1352" t="s">
        <v>14360</v>
      </c>
      <c r="I1352" t="s">
        <v>10404</v>
      </c>
      <c r="J1352" s="4" t="s">
        <v>14360</v>
      </c>
      <c r="L1352" t="s">
        <v>2827</v>
      </c>
      <c r="M1352" t="s">
        <v>16177</v>
      </c>
      <c r="O1352" t="s">
        <v>14360</v>
      </c>
      <c r="Q1352" t="s">
        <v>14360</v>
      </c>
      <c r="R1352" t="s">
        <v>18840</v>
      </c>
      <c r="S1352" t="s">
        <v>14360</v>
      </c>
    </row>
    <row r="1353" spans="1:19" x14ac:dyDescent="0.2">
      <c r="A1353" t="s">
        <v>2839</v>
      </c>
      <c r="B1353" t="s">
        <v>14359</v>
      </c>
      <c r="C1353" t="s">
        <v>10405</v>
      </c>
      <c r="D1353" t="str">
        <f>_xlfn.XLOOKUP(E1353,pathways!$A$2:$A$31,pathways!$B$2:$B$31)</f>
        <v>Unknown</v>
      </c>
      <c r="E1353" t="s">
        <v>18840</v>
      </c>
      <c r="F1353" t="s">
        <v>18840</v>
      </c>
      <c r="G1353" t="s">
        <v>20688</v>
      </c>
      <c r="H1353" t="s">
        <v>14360</v>
      </c>
      <c r="I1353" t="s">
        <v>10405</v>
      </c>
      <c r="J1353" s="4" t="s">
        <v>14360</v>
      </c>
      <c r="L1353" t="s">
        <v>2838</v>
      </c>
      <c r="M1353" t="s">
        <v>16188</v>
      </c>
      <c r="O1353" t="s">
        <v>14360</v>
      </c>
      <c r="Q1353" t="s">
        <v>14360</v>
      </c>
      <c r="R1353" t="s">
        <v>18840</v>
      </c>
      <c r="S1353" t="s">
        <v>4142</v>
      </c>
    </row>
    <row r="1354" spans="1:19" x14ac:dyDescent="0.2">
      <c r="A1354" t="s">
        <v>14287</v>
      </c>
      <c r="B1354" t="s">
        <v>14359</v>
      </c>
      <c r="C1354" t="s">
        <v>20375</v>
      </c>
      <c r="D1354" t="str">
        <f>_xlfn.XLOOKUP(E1354,pathways!$A$2:$A$31,pathways!$B$2:$B$31)</f>
        <v>Unknown</v>
      </c>
      <c r="E1354" t="s">
        <v>18840</v>
      </c>
      <c r="F1354" t="s">
        <v>18840</v>
      </c>
      <c r="G1354" t="s">
        <v>14360</v>
      </c>
      <c r="H1354" t="s">
        <v>14360</v>
      </c>
      <c r="I1354" t="s">
        <v>14360</v>
      </c>
      <c r="J1354" s="4" t="s">
        <v>12810</v>
      </c>
      <c r="L1354" t="s">
        <v>14360</v>
      </c>
      <c r="M1354" t="s">
        <v>14360</v>
      </c>
      <c r="N1354" t="s">
        <v>14360</v>
      </c>
      <c r="P1354" t="s">
        <v>14360</v>
      </c>
      <c r="R1354" t="s">
        <v>14360</v>
      </c>
      <c r="S1354" t="s">
        <v>4942</v>
      </c>
    </row>
    <row r="1355" spans="1:19" x14ac:dyDescent="0.2">
      <c r="A1355" t="s">
        <v>2841</v>
      </c>
      <c r="B1355" t="s">
        <v>14359</v>
      </c>
      <c r="C1355" t="s">
        <v>10406</v>
      </c>
      <c r="D1355" t="str">
        <f>_xlfn.XLOOKUP(E1355,pathways!$A$2:$A$31,pathways!$B$2:$B$31)</f>
        <v>Unknown</v>
      </c>
      <c r="E1355" t="s">
        <v>18840</v>
      </c>
      <c r="F1355" t="s">
        <v>18840</v>
      </c>
      <c r="G1355" t="s">
        <v>20542</v>
      </c>
      <c r="H1355" t="s">
        <v>14360</v>
      </c>
      <c r="I1355" t="s">
        <v>10406</v>
      </c>
      <c r="J1355" s="4" t="s">
        <v>12812</v>
      </c>
      <c r="L1355" t="s">
        <v>2840</v>
      </c>
      <c r="M1355" t="s">
        <v>16190</v>
      </c>
      <c r="R1355" t="s">
        <v>18840</v>
      </c>
      <c r="S1355" t="s">
        <v>3882</v>
      </c>
    </row>
    <row r="1356" spans="1:19" x14ac:dyDescent="0.2">
      <c r="A1356" t="s">
        <v>2860</v>
      </c>
      <c r="B1356" t="s">
        <v>14359</v>
      </c>
      <c r="C1356" t="s">
        <v>10407</v>
      </c>
      <c r="D1356" t="str">
        <f>_xlfn.XLOOKUP(E1356,pathways!$A$2:$A$31,pathways!$B$2:$B$31)</f>
        <v>Unknown</v>
      </c>
      <c r="E1356" t="s">
        <v>18840</v>
      </c>
      <c r="F1356" t="s">
        <v>18840</v>
      </c>
      <c r="G1356" t="s">
        <v>20544</v>
      </c>
      <c r="H1356" t="s">
        <v>14360</v>
      </c>
      <c r="I1356" t="s">
        <v>10407</v>
      </c>
      <c r="J1356" s="4" t="s">
        <v>12814</v>
      </c>
      <c r="L1356" t="s">
        <v>2859</v>
      </c>
      <c r="M1356" t="s">
        <v>16209</v>
      </c>
      <c r="R1356" t="s">
        <v>18840</v>
      </c>
    </row>
    <row r="1357" spans="1:19" x14ac:dyDescent="0.2">
      <c r="A1357" t="s">
        <v>2301</v>
      </c>
      <c r="B1357" t="s">
        <v>14359</v>
      </c>
      <c r="C1357" t="s">
        <v>20376</v>
      </c>
      <c r="D1357" t="str">
        <f>_xlfn.XLOOKUP(E1357,pathways!$A$2:$A$31,pathways!$B$2:$B$31)</f>
        <v>Unknown</v>
      </c>
      <c r="E1357" t="s">
        <v>18840</v>
      </c>
      <c r="F1357" t="s">
        <v>18840</v>
      </c>
      <c r="G1357" t="s">
        <v>14360</v>
      </c>
      <c r="H1357" t="s">
        <v>14360</v>
      </c>
      <c r="I1357" t="s">
        <v>14360</v>
      </c>
      <c r="J1357" s="4" t="s">
        <v>12816</v>
      </c>
      <c r="L1357" t="s">
        <v>14360</v>
      </c>
      <c r="M1357" t="s">
        <v>14360</v>
      </c>
      <c r="N1357" t="s">
        <v>14360</v>
      </c>
      <c r="P1357" t="s">
        <v>14360</v>
      </c>
      <c r="R1357" t="s">
        <v>14360</v>
      </c>
      <c r="S1357" t="s">
        <v>3873</v>
      </c>
    </row>
    <row r="1358" spans="1:19" x14ac:dyDescent="0.2">
      <c r="A1358" t="s">
        <v>2862</v>
      </c>
      <c r="B1358" t="s">
        <v>14359</v>
      </c>
      <c r="C1358" t="s">
        <v>10408</v>
      </c>
      <c r="D1358" t="str">
        <f>_xlfn.XLOOKUP(E1358,pathways!$A$2:$A$31,pathways!$B$2:$B$31)</f>
        <v>Unknown</v>
      </c>
      <c r="E1358" t="s">
        <v>18840</v>
      </c>
      <c r="F1358" t="s">
        <v>18840</v>
      </c>
      <c r="G1358" t="s">
        <v>20523</v>
      </c>
      <c r="H1358" t="s">
        <v>14360</v>
      </c>
      <c r="I1358" t="s">
        <v>10408</v>
      </c>
      <c r="J1358" s="4" t="s">
        <v>12818</v>
      </c>
      <c r="L1358" t="s">
        <v>2861</v>
      </c>
      <c r="M1358" t="s">
        <v>16211</v>
      </c>
      <c r="R1358" t="s">
        <v>18840</v>
      </c>
      <c r="S1358" t="s">
        <v>3882</v>
      </c>
    </row>
    <row r="1359" spans="1:19" x14ac:dyDescent="0.2">
      <c r="A1359" t="s">
        <v>2876</v>
      </c>
      <c r="B1359" t="s">
        <v>14359</v>
      </c>
      <c r="C1359" t="s">
        <v>10409</v>
      </c>
      <c r="D1359" t="str">
        <f>_xlfn.XLOOKUP(E1359,pathways!$A$2:$A$31,pathways!$B$2:$B$31)</f>
        <v>Unknown</v>
      </c>
      <c r="E1359" t="s">
        <v>18840</v>
      </c>
      <c r="F1359" t="s">
        <v>18840</v>
      </c>
      <c r="G1359" t="s">
        <v>20524</v>
      </c>
      <c r="H1359" t="s">
        <v>14360</v>
      </c>
      <c r="I1359" t="s">
        <v>10409</v>
      </c>
      <c r="J1359" s="4" t="s">
        <v>12820</v>
      </c>
      <c r="L1359" t="s">
        <v>2875</v>
      </c>
      <c r="M1359" t="s">
        <v>16225</v>
      </c>
      <c r="R1359" t="s">
        <v>18840</v>
      </c>
      <c r="S1359" t="s">
        <v>3470</v>
      </c>
    </row>
    <row r="1360" spans="1:19" x14ac:dyDescent="0.2">
      <c r="A1360" t="s">
        <v>3108</v>
      </c>
      <c r="B1360" t="s">
        <v>14359</v>
      </c>
      <c r="C1360" t="s">
        <v>10410</v>
      </c>
      <c r="D1360" t="str">
        <f>_xlfn.XLOOKUP(E1360,pathways!$A$2:$A$31,pathways!$B$2:$B$31)</f>
        <v>Unknown</v>
      </c>
      <c r="E1360" t="s">
        <v>18840</v>
      </c>
      <c r="F1360" t="s">
        <v>18840</v>
      </c>
      <c r="G1360" t="s">
        <v>20592</v>
      </c>
      <c r="H1360" t="s">
        <v>14360</v>
      </c>
      <c r="I1360" t="s">
        <v>10410</v>
      </c>
      <c r="J1360" s="4" t="s">
        <v>12822</v>
      </c>
      <c r="L1360" t="s">
        <v>3107</v>
      </c>
      <c r="M1360" t="s">
        <v>16467</v>
      </c>
      <c r="R1360" t="s">
        <v>18840</v>
      </c>
      <c r="S1360" t="s">
        <v>14360</v>
      </c>
    </row>
    <row r="1361" spans="1:19" x14ac:dyDescent="0.2">
      <c r="A1361" t="s">
        <v>14148</v>
      </c>
      <c r="B1361" t="s">
        <v>14359</v>
      </c>
      <c r="C1361" t="s">
        <v>10411</v>
      </c>
      <c r="D1361" t="str">
        <f>_xlfn.XLOOKUP(E1361,pathways!$A$2:$A$31,pathways!$B$2:$B$31)</f>
        <v>Unknown</v>
      </c>
      <c r="E1361" t="s">
        <v>18840</v>
      </c>
      <c r="F1361" t="s">
        <v>18840</v>
      </c>
      <c r="G1361" t="s">
        <v>14360</v>
      </c>
      <c r="H1361" t="s">
        <v>14360</v>
      </c>
      <c r="I1361" t="s">
        <v>10411</v>
      </c>
      <c r="J1361" s="4" t="s">
        <v>14360</v>
      </c>
      <c r="L1361" t="s">
        <v>14360</v>
      </c>
      <c r="M1361" t="s">
        <v>14360</v>
      </c>
      <c r="O1361" t="s">
        <v>14360</v>
      </c>
      <c r="Q1361" t="s">
        <v>14360</v>
      </c>
      <c r="R1361" t="s">
        <v>14360</v>
      </c>
      <c r="S1361" t="s">
        <v>14360</v>
      </c>
    </row>
    <row r="1362" spans="1:19" x14ac:dyDescent="0.2">
      <c r="A1362" t="s">
        <v>14149</v>
      </c>
      <c r="B1362" t="s">
        <v>14359</v>
      </c>
      <c r="C1362" t="s">
        <v>10412</v>
      </c>
      <c r="D1362" t="str">
        <f>_xlfn.XLOOKUP(E1362,pathways!$A$2:$A$31,pathways!$B$2:$B$31)</f>
        <v>Unknown</v>
      </c>
      <c r="E1362" t="s">
        <v>18840</v>
      </c>
      <c r="F1362" t="s">
        <v>18840</v>
      </c>
      <c r="G1362" t="s">
        <v>14360</v>
      </c>
      <c r="H1362" t="s">
        <v>14360</v>
      </c>
      <c r="I1362" t="s">
        <v>10412</v>
      </c>
      <c r="J1362" s="4" t="s">
        <v>14360</v>
      </c>
      <c r="L1362" t="s">
        <v>2865</v>
      </c>
      <c r="M1362" t="s">
        <v>16215</v>
      </c>
      <c r="O1362" t="s">
        <v>14360</v>
      </c>
      <c r="Q1362" t="s">
        <v>14360</v>
      </c>
      <c r="R1362" t="s">
        <v>18840</v>
      </c>
      <c r="S1362" t="s">
        <v>14360</v>
      </c>
    </row>
    <row r="1363" spans="1:19" x14ac:dyDescent="0.2">
      <c r="A1363" t="s">
        <v>2858</v>
      </c>
      <c r="B1363" t="s">
        <v>14359</v>
      </c>
      <c r="C1363" t="s">
        <v>10413</v>
      </c>
      <c r="D1363" t="str">
        <f>_xlfn.XLOOKUP(E1363,pathways!$A$2:$A$31,pathways!$B$2:$B$31)</f>
        <v>Unknown</v>
      </c>
      <c r="E1363" t="s">
        <v>18840</v>
      </c>
      <c r="F1363" t="s">
        <v>18840</v>
      </c>
      <c r="G1363" t="s">
        <v>14360</v>
      </c>
      <c r="H1363" t="s">
        <v>14360</v>
      </c>
      <c r="I1363" t="s">
        <v>10413</v>
      </c>
      <c r="J1363" s="4" t="s">
        <v>14360</v>
      </c>
      <c r="L1363" t="s">
        <v>2857</v>
      </c>
      <c r="M1363" t="s">
        <v>16207</v>
      </c>
      <c r="O1363" t="s">
        <v>14360</v>
      </c>
      <c r="Q1363" t="s">
        <v>14360</v>
      </c>
      <c r="R1363" t="s">
        <v>18840</v>
      </c>
      <c r="S1363" t="s">
        <v>3437</v>
      </c>
    </row>
    <row r="1364" spans="1:19" x14ac:dyDescent="0.2">
      <c r="A1364" t="s">
        <v>2852</v>
      </c>
      <c r="B1364" t="s">
        <v>14359</v>
      </c>
      <c r="C1364" t="s">
        <v>10414</v>
      </c>
      <c r="D1364" t="str">
        <f>_xlfn.XLOOKUP(E1364,pathways!$A$2:$A$31,pathways!$B$2:$B$31)</f>
        <v>Unknown</v>
      </c>
      <c r="E1364" t="s">
        <v>18840</v>
      </c>
      <c r="F1364" t="s">
        <v>18840</v>
      </c>
      <c r="G1364" t="s">
        <v>20557</v>
      </c>
      <c r="H1364" t="s">
        <v>14360</v>
      </c>
      <c r="I1364" t="s">
        <v>10414</v>
      </c>
      <c r="J1364" s="4" t="s">
        <v>12824</v>
      </c>
      <c r="L1364" t="s">
        <v>2851</v>
      </c>
      <c r="M1364" t="s">
        <v>16201</v>
      </c>
      <c r="R1364" t="s">
        <v>18840</v>
      </c>
      <c r="S1364" t="s">
        <v>3836</v>
      </c>
    </row>
    <row r="1365" spans="1:19" x14ac:dyDescent="0.2">
      <c r="A1365" t="s">
        <v>2870</v>
      </c>
      <c r="B1365" t="s">
        <v>14359</v>
      </c>
      <c r="C1365" t="s">
        <v>10415</v>
      </c>
      <c r="D1365" t="str">
        <f>_xlfn.XLOOKUP(E1365,pathways!$A$2:$A$31,pathways!$B$2:$B$31)</f>
        <v>Unknown</v>
      </c>
      <c r="E1365" t="s">
        <v>18840</v>
      </c>
      <c r="F1365" t="s">
        <v>18840</v>
      </c>
      <c r="G1365" t="s">
        <v>20638</v>
      </c>
      <c r="H1365" t="s">
        <v>14360</v>
      </c>
      <c r="I1365" t="s">
        <v>10415</v>
      </c>
      <c r="J1365" s="4" t="s">
        <v>14360</v>
      </c>
      <c r="L1365" t="s">
        <v>2869</v>
      </c>
      <c r="M1365" t="s">
        <v>16220</v>
      </c>
      <c r="O1365" t="s">
        <v>14360</v>
      </c>
      <c r="Q1365" t="s">
        <v>14360</v>
      </c>
      <c r="R1365" t="s">
        <v>18840</v>
      </c>
      <c r="S1365" t="s">
        <v>3836</v>
      </c>
    </row>
    <row r="1366" spans="1:19" x14ac:dyDescent="0.2">
      <c r="A1366" t="s">
        <v>2872</v>
      </c>
      <c r="B1366" t="s">
        <v>14359</v>
      </c>
      <c r="C1366" t="s">
        <v>10416</v>
      </c>
      <c r="D1366" t="str">
        <f>_xlfn.XLOOKUP(E1366,pathways!$A$2:$A$31,pathways!$B$2:$B$31)</f>
        <v>Unknown</v>
      </c>
      <c r="E1366" t="s">
        <v>18840</v>
      </c>
      <c r="F1366" t="s">
        <v>18840</v>
      </c>
      <c r="G1366" t="s">
        <v>14360</v>
      </c>
      <c r="H1366" t="s">
        <v>14360</v>
      </c>
      <c r="I1366" t="s">
        <v>10416</v>
      </c>
      <c r="J1366" s="4" t="s">
        <v>14360</v>
      </c>
      <c r="L1366" t="s">
        <v>2871</v>
      </c>
      <c r="M1366" t="s">
        <v>16221</v>
      </c>
      <c r="O1366" t="s">
        <v>14360</v>
      </c>
      <c r="Q1366" t="s">
        <v>14360</v>
      </c>
      <c r="R1366" t="s">
        <v>18840</v>
      </c>
      <c r="S1366" t="s">
        <v>3836</v>
      </c>
    </row>
    <row r="1367" spans="1:19" x14ac:dyDescent="0.2">
      <c r="A1367" t="s">
        <v>2847</v>
      </c>
      <c r="B1367" t="s">
        <v>14359</v>
      </c>
      <c r="C1367" t="s">
        <v>10417</v>
      </c>
      <c r="D1367" t="str">
        <f>_xlfn.XLOOKUP(E1367,pathways!$A$2:$A$31,pathways!$B$2:$B$31)</f>
        <v>Unknown</v>
      </c>
      <c r="E1367" t="s">
        <v>18840</v>
      </c>
      <c r="F1367" t="s">
        <v>18840</v>
      </c>
      <c r="G1367" t="s">
        <v>20627</v>
      </c>
      <c r="H1367" t="s">
        <v>14360</v>
      </c>
      <c r="I1367" t="s">
        <v>10417</v>
      </c>
      <c r="J1367" s="4" t="s">
        <v>12826</v>
      </c>
      <c r="L1367" t="s">
        <v>2846</v>
      </c>
      <c r="M1367" t="s">
        <v>16195</v>
      </c>
      <c r="R1367" t="s">
        <v>18840</v>
      </c>
      <c r="S1367" t="s">
        <v>814</v>
      </c>
    </row>
    <row r="1368" spans="1:19" x14ac:dyDescent="0.2">
      <c r="A1368" t="s">
        <v>2868</v>
      </c>
      <c r="B1368" t="s">
        <v>14359</v>
      </c>
      <c r="C1368" t="s">
        <v>10418</v>
      </c>
      <c r="D1368" t="str">
        <f>_xlfn.XLOOKUP(E1368,pathways!$A$2:$A$31,pathways!$B$2:$B$31)</f>
        <v>Unknown</v>
      </c>
      <c r="E1368" t="s">
        <v>18840</v>
      </c>
      <c r="F1368" t="s">
        <v>18840</v>
      </c>
      <c r="G1368" t="s">
        <v>20566</v>
      </c>
      <c r="H1368" t="s">
        <v>14360</v>
      </c>
      <c r="I1368" t="s">
        <v>10418</v>
      </c>
      <c r="J1368" s="4" t="s">
        <v>12828</v>
      </c>
      <c r="L1368" t="s">
        <v>2867</v>
      </c>
      <c r="M1368" t="s">
        <v>16218</v>
      </c>
      <c r="R1368" t="s">
        <v>18840</v>
      </c>
      <c r="S1368" t="s">
        <v>814</v>
      </c>
    </row>
    <row r="1369" spans="1:19" x14ac:dyDescent="0.2">
      <c r="A1369" t="s">
        <v>2874</v>
      </c>
      <c r="B1369" t="s">
        <v>14359</v>
      </c>
      <c r="C1369" t="s">
        <v>10419</v>
      </c>
      <c r="D1369" t="str">
        <f>_xlfn.XLOOKUP(E1369,pathways!$A$2:$A$31,pathways!$B$2:$B$31)</f>
        <v>Unknown</v>
      </c>
      <c r="E1369" t="s">
        <v>18840</v>
      </c>
      <c r="F1369" t="s">
        <v>18840</v>
      </c>
      <c r="G1369" t="s">
        <v>14360</v>
      </c>
      <c r="H1369" t="s">
        <v>14360</v>
      </c>
      <c r="I1369" t="s">
        <v>10419</v>
      </c>
      <c r="J1369" s="4" t="s">
        <v>14360</v>
      </c>
      <c r="L1369" t="s">
        <v>2873</v>
      </c>
      <c r="M1369" t="s">
        <v>16223</v>
      </c>
      <c r="O1369" t="s">
        <v>14360</v>
      </c>
      <c r="Q1369" t="s">
        <v>14360</v>
      </c>
      <c r="R1369" t="s">
        <v>18840</v>
      </c>
      <c r="S1369" t="s">
        <v>814</v>
      </c>
    </row>
    <row r="1370" spans="1:19" x14ac:dyDescent="0.2">
      <c r="A1370" t="s">
        <v>2850</v>
      </c>
      <c r="B1370" t="s">
        <v>14359</v>
      </c>
      <c r="C1370" t="s">
        <v>10420</v>
      </c>
      <c r="D1370" t="str">
        <f>_xlfn.XLOOKUP(E1370,pathways!$A$2:$A$31,pathways!$B$2:$B$31)</f>
        <v>Unknown</v>
      </c>
      <c r="E1370" t="s">
        <v>18840</v>
      </c>
      <c r="F1370" t="s">
        <v>18840</v>
      </c>
      <c r="G1370" t="s">
        <v>20567</v>
      </c>
      <c r="H1370" t="s">
        <v>14360</v>
      </c>
      <c r="I1370" t="s">
        <v>10420</v>
      </c>
      <c r="J1370" s="4" t="s">
        <v>12830</v>
      </c>
      <c r="L1370" t="s">
        <v>2849</v>
      </c>
      <c r="M1370" t="s">
        <v>16199</v>
      </c>
      <c r="R1370" t="s">
        <v>18840</v>
      </c>
      <c r="S1370" t="s">
        <v>8860</v>
      </c>
    </row>
    <row r="1371" spans="1:19" x14ac:dyDescent="0.2">
      <c r="A1371" t="s">
        <v>2864</v>
      </c>
      <c r="B1371" t="s">
        <v>14359</v>
      </c>
      <c r="C1371" t="s">
        <v>10421</v>
      </c>
      <c r="D1371" t="str">
        <f>_xlfn.XLOOKUP(E1371,pathways!$A$2:$A$31,pathways!$B$2:$B$31)</f>
        <v>Unknown</v>
      </c>
      <c r="E1371" t="s">
        <v>18840</v>
      </c>
      <c r="F1371" t="s">
        <v>18840</v>
      </c>
      <c r="G1371" t="s">
        <v>20477</v>
      </c>
      <c r="H1371" t="s">
        <v>14360</v>
      </c>
      <c r="I1371" t="s">
        <v>10421</v>
      </c>
      <c r="J1371" s="4" t="s">
        <v>12832</v>
      </c>
      <c r="L1371" t="s">
        <v>2863</v>
      </c>
      <c r="M1371" t="s">
        <v>16213</v>
      </c>
      <c r="R1371" t="s">
        <v>18840</v>
      </c>
      <c r="S1371" t="s">
        <v>8860</v>
      </c>
    </row>
    <row r="1372" spans="1:19" x14ac:dyDescent="0.2">
      <c r="A1372" t="s">
        <v>14150</v>
      </c>
      <c r="B1372" t="s">
        <v>14359</v>
      </c>
      <c r="C1372" t="s">
        <v>10422</v>
      </c>
      <c r="D1372" t="str">
        <f>_xlfn.XLOOKUP(E1372,pathways!$A$2:$A$31,pathways!$B$2:$B$31)</f>
        <v>Unknown</v>
      </c>
      <c r="E1372" t="s">
        <v>18840</v>
      </c>
      <c r="F1372" t="s">
        <v>18840</v>
      </c>
      <c r="G1372" t="s">
        <v>14360</v>
      </c>
      <c r="H1372" t="s">
        <v>14360</v>
      </c>
      <c r="I1372" t="s">
        <v>10422</v>
      </c>
      <c r="J1372" s="4" t="s">
        <v>14360</v>
      </c>
      <c r="L1372" t="s">
        <v>14360</v>
      </c>
      <c r="M1372" t="s">
        <v>14360</v>
      </c>
      <c r="O1372" t="s">
        <v>14360</v>
      </c>
      <c r="Q1372" t="s">
        <v>14360</v>
      </c>
      <c r="R1372" t="s">
        <v>14360</v>
      </c>
      <c r="S1372" t="s">
        <v>814</v>
      </c>
    </row>
    <row r="1373" spans="1:19" x14ac:dyDescent="0.2">
      <c r="A1373" t="s">
        <v>2856</v>
      </c>
      <c r="B1373" t="s">
        <v>14359</v>
      </c>
      <c r="C1373" t="s">
        <v>10423</v>
      </c>
      <c r="D1373" t="str">
        <f>_xlfn.XLOOKUP(E1373,pathways!$A$2:$A$31,pathways!$B$2:$B$31)</f>
        <v>Unknown</v>
      </c>
      <c r="E1373" t="s">
        <v>18840</v>
      </c>
      <c r="F1373" t="s">
        <v>18840</v>
      </c>
      <c r="G1373" t="s">
        <v>20517</v>
      </c>
      <c r="H1373" t="s">
        <v>14360</v>
      </c>
      <c r="I1373" t="s">
        <v>10423</v>
      </c>
      <c r="J1373" s="4" t="s">
        <v>12834</v>
      </c>
      <c r="L1373" t="s">
        <v>2855</v>
      </c>
      <c r="M1373" t="s">
        <v>16205</v>
      </c>
      <c r="R1373" t="s">
        <v>18840</v>
      </c>
      <c r="S1373" t="s">
        <v>814</v>
      </c>
    </row>
    <row r="1374" spans="1:19" x14ac:dyDescent="0.2">
      <c r="A1374" t="s">
        <v>2854</v>
      </c>
      <c r="B1374" t="s">
        <v>14359</v>
      </c>
      <c r="C1374" t="s">
        <v>10424</v>
      </c>
      <c r="D1374" t="str">
        <f>_xlfn.XLOOKUP(E1374,pathways!$A$2:$A$31,pathways!$B$2:$B$31)</f>
        <v>Unknown</v>
      </c>
      <c r="E1374" t="s">
        <v>18840</v>
      </c>
      <c r="F1374" t="s">
        <v>18840</v>
      </c>
      <c r="G1374" t="s">
        <v>20462</v>
      </c>
      <c r="H1374" t="s">
        <v>14360</v>
      </c>
      <c r="I1374" t="s">
        <v>10424</v>
      </c>
      <c r="J1374" s="4" t="s">
        <v>12836</v>
      </c>
      <c r="L1374" t="s">
        <v>2853</v>
      </c>
      <c r="M1374" t="s">
        <v>16203</v>
      </c>
      <c r="R1374" t="s">
        <v>18840</v>
      </c>
      <c r="S1374" t="s">
        <v>814</v>
      </c>
    </row>
    <row r="1375" spans="1:19" x14ac:dyDescent="0.2">
      <c r="A1375" t="s">
        <v>2901</v>
      </c>
      <c r="B1375" t="s">
        <v>14359</v>
      </c>
      <c r="C1375" t="s">
        <v>10425</v>
      </c>
      <c r="D1375" t="str">
        <f>_xlfn.XLOOKUP(E1375,pathways!$A$2:$A$31,pathways!$B$2:$B$31)</f>
        <v>Unknown</v>
      </c>
      <c r="E1375" t="s">
        <v>18840</v>
      </c>
      <c r="F1375" t="s">
        <v>18840</v>
      </c>
      <c r="G1375" t="s">
        <v>20601</v>
      </c>
      <c r="H1375" t="s">
        <v>14360</v>
      </c>
      <c r="I1375" t="s">
        <v>10425</v>
      </c>
      <c r="J1375" s="4" t="s">
        <v>12838</v>
      </c>
      <c r="L1375" t="s">
        <v>2900</v>
      </c>
      <c r="M1375" t="s">
        <v>16251</v>
      </c>
      <c r="R1375" t="s">
        <v>18840</v>
      </c>
      <c r="S1375" t="s">
        <v>814</v>
      </c>
    </row>
    <row r="1376" spans="1:19" x14ac:dyDescent="0.2">
      <c r="A1376" t="s">
        <v>14151</v>
      </c>
      <c r="B1376" t="s">
        <v>14359</v>
      </c>
      <c r="C1376" t="s">
        <v>10426</v>
      </c>
      <c r="D1376" t="str">
        <f>_xlfn.XLOOKUP(E1376,pathways!$A$2:$A$31,pathways!$B$2:$B$31)</f>
        <v>Unknown</v>
      </c>
      <c r="E1376" t="s">
        <v>18840</v>
      </c>
      <c r="F1376" t="s">
        <v>18840</v>
      </c>
      <c r="G1376" t="s">
        <v>14360</v>
      </c>
      <c r="H1376" t="s">
        <v>14360</v>
      </c>
      <c r="I1376" t="s">
        <v>10426</v>
      </c>
      <c r="J1376" s="4" t="s">
        <v>12840</v>
      </c>
      <c r="L1376" t="s">
        <v>14360</v>
      </c>
      <c r="M1376" t="s">
        <v>14360</v>
      </c>
      <c r="R1376" t="s">
        <v>14360</v>
      </c>
      <c r="S1376" t="s">
        <v>814</v>
      </c>
    </row>
    <row r="1377" spans="1:19" x14ac:dyDescent="0.2">
      <c r="A1377" t="s">
        <v>2246</v>
      </c>
      <c r="B1377" t="s">
        <v>14359</v>
      </c>
      <c r="C1377" t="s">
        <v>20377</v>
      </c>
      <c r="D1377" t="str">
        <f>_xlfn.XLOOKUP(E1377,pathways!$A$2:$A$31,pathways!$B$2:$B$31)</f>
        <v>Unknown</v>
      </c>
      <c r="E1377" t="s">
        <v>18840</v>
      </c>
      <c r="F1377" t="s">
        <v>18840</v>
      </c>
      <c r="G1377" t="s">
        <v>14360</v>
      </c>
      <c r="H1377" t="s">
        <v>14360</v>
      </c>
      <c r="I1377" t="s">
        <v>14360</v>
      </c>
      <c r="J1377" s="4" t="s">
        <v>12842</v>
      </c>
      <c r="L1377" t="s">
        <v>14360</v>
      </c>
      <c r="M1377" t="s">
        <v>14360</v>
      </c>
      <c r="N1377" t="s">
        <v>14360</v>
      </c>
      <c r="P1377" t="s">
        <v>14360</v>
      </c>
      <c r="R1377" t="s">
        <v>14360</v>
      </c>
      <c r="S1377" t="s">
        <v>814</v>
      </c>
    </row>
    <row r="1378" spans="1:19" x14ac:dyDescent="0.2">
      <c r="A1378" t="s">
        <v>2882</v>
      </c>
      <c r="B1378" t="s">
        <v>14359</v>
      </c>
      <c r="C1378" t="s">
        <v>10427</v>
      </c>
      <c r="D1378" t="str">
        <f>_xlfn.XLOOKUP(E1378,pathways!$A$2:$A$31,pathways!$B$2:$B$31)</f>
        <v>Unknown</v>
      </c>
      <c r="E1378" t="s">
        <v>18840</v>
      </c>
      <c r="F1378" t="s">
        <v>18840</v>
      </c>
      <c r="G1378" t="s">
        <v>20634</v>
      </c>
      <c r="H1378" t="s">
        <v>14360</v>
      </c>
      <c r="I1378" t="s">
        <v>10427</v>
      </c>
      <c r="J1378" s="4" t="s">
        <v>12844</v>
      </c>
      <c r="L1378" t="s">
        <v>2881</v>
      </c>
      <c r="M1378" t="s">
        <v>16231</v>
      </c>
      <c r="R1378" t="s">
        <v>18840</v>
      </c>
      <c r="S1378" t="s">
        <v>814</v>
      </c>
    </row>
    <row r="1379" spans="1:19" x14ac:dyDescent="0.2">
      <c r="A1379" t="s">
        <v>2878</v>
      </c>
      <c r="B1379" t="s">
        <v>14359</v>
      </c>
      <c r="C1379" t="s">
        <v>10428</v>
      </c>
      <c r="D1379" t="str">
        <f>_xlfn.XLOOKUP(E1379,pathways!$A$2:$A$31,pathways!$B$2:$B$31)</f>
        <v>Unknown</v>
      </c>
      <c r="E1379" t="s">
        <v>18840</v>
      </c>
      <c r="F1379" t="s">
        <v>18840</v>
      </c>
      <c r="G1379" t="s">
        <v>20628</v>
      </c>
      <c r="H1379" t="s">
        <v>14360</v>
      </c>
      <c r="I1379" t="s">
        <v>10428</v>
      </c>
      <c r="J1379" s="4" t="s">
        <v>14360</v>
      </c>
      <c r="L1379" t="s">
        <v>2877</v>
      </c>
      <c r="M1379" t="s">
        <v>16227</v>
      </c>
      <c r="O1379" t="s">
        <v>14360</v>
      </c>
      <c r="Q1379" t="s">
        <v>14360</v>
      </c>
      <c r="R1379" t="s">
        <v>18840</v>
      </c>
      <c r="S1379" t="s">
        <v>814</v>
      </c>
    </row>
    <row r="1380" spans="1:19" x14ac:dyDescent="0.2">
      <c r="A1380" t="s">
        <v>14288</v>
      </c>
      <c r="B1380" t="s">
        <v>14359</v>
      </c>
      <c r="C1380" t="s">
        <v>20378</v>
      </c>
      <c r="D1380" t="str">
        <f>_xlfn.XLOOKUP(E1380,pathways!$A$2:$A$31,pathways!$B$2:$B$31)</f>
        <v>Unknown</v>
      </c>
      <c r="E1380" t="s">
        <v>18840</v>
      </c>
      <c r="F1380" t="s">
        <v>18840</v>
      </c>
      <c r="G1380" t="s">
        <v>20548</v>
      </c>
      <c r="H1380" t="s">
        <v>14360</v>
      </c>
      <c r="I1380" t="s">
        <v>14360</v>
      </c>
      <c r="J1380" s="4" t="s">
        <v>12846</v>
      </c>
      <c r="L1380" t="s">
        <v>14360</v>
      </c>
      <c r="M1380" t="s">
        <v>14360</v>
      </c>
      <c r="N1380" t="s">
        <v>14360</v>
      </c>
      <c r="P1380" t="s">
        <v>14360</v>
      </c>
      <c r="R1380" t="s">
        <v>14360</v>
      </c>
      <c r="S1380" t="s">
        <v>814</v>
      </c>
    </row>
    <row r="1381" spans="1:19" x14ac:dyDescent="0.2">
      <c r="A1381" t="s">
        <v>14289</v>
      </c>
      <c r="B1381" t="s">
        <v>14359</v>
      </c>
      <c r="C1381" t="s">
        <v>20379</v>
      </c>
      <c r="D1381" t="str">
        <f>_xlfn.XLOOKUP(E1381,pathways!$A$2:$A$31,pathways!$B$2:$B$31)</f>
        <v>Unknown</v>
      </c>
      <c r="E1381" t="s">
        <v>18840</v>
      </c>
      <c r="F1381" t="s">
        <v>18840</v>
      </c>
      <c r="G1381" t="s">
        <v>14360</v>
      </c>
      <c r="H1381" t="s">
        <v>14360</v>
      </c>
      <c r="I1381" t="s">
        <v>14360</v>
      </c>
      <c r="J1381" s="4" t="s">
        <v>12848</v>
      </c>
      <c r="L1381" t="s">
        <v>14360</v>
      </c>
      <c r="M1381" t="s">
        <v>14360</v>
      </c>
      <c r="N1381" t="s">
        <v>14360</v>
      </c>
      <c r="P1381" t="s">
        <v>14360</v>
      </c>
      <c r="R1381" t="s">
        <v>14360</v>
      </c>
      <c r="S1381" t="s">
        <v>814</v>
      </c>
    </row>
    <row r="1382" spans="1:19" x14ac:dyDescent="0.2">
      <c r="A1382" t="s">
        <v>2907</v>
      </c>
      <c r="B1382" t="s">
        <v>14359</v>
      </c>
      <c r="C1382" t="s">
        <v>10429</v>
      </c>
      <c r="D1382" t="str">
        <f>_xlfn.XLOOKUP(E1382,pathways!$A$2:$A$31,pathways!$B$2:$B$31)</f>
        <v>Unknown</v>
      </c>
      <c r="E1382" t="s">
        <v>18840</v>
      </c>
      <c r="F1382" t="s">
        <v>18840</v>
      </c>
      <c r="G1382" t="s">
        <v>20685</v>
      </c>
      <c r="H1382" t="s">
        <v>14360</v>
      </c>
      <c r="I1382" t="s">
        <v>10429</v>
      </c>
      <c r="J1382" s="4" t="s">
        <v>12850</v>
      </c>
      <c r="L1382" t="s">
        <v>2906</v>
      </c>
      <c r="M1382" t="s">
        <v>16257</v>
      </c>
      <c r="R1382" t="s">
        <v>18840</v>
      </c>
      <c r="S1382" t="s">
        <v>814</v>
      </c>
    </row>
    <row r="1383" spans="1:19" x14ac:dyDescent="0.2">
      <c r="A1383" t="s">
        <v>2899</v>
      </c>
      <c r="B1383" t="s">
        <v>14359</v>
      </c>
      <c r="C1383" t="s">
        <v>10430</v>
      </c>
      <c r="D1383" t="str">
        <f>_xlfn.XLOOKUP(E1383,pathways!$A$2:$A$31,pathways!$B$2:$B$31)</f>
        <v>Unknown</v>
      </c>
      <c r="E1383" t="s">
        <v>18840</v>
      </c>
      <c r="F1383" t="s">
        <v>18840</v>
      </c>
      <c r="G1383" t="s">
        <v>20673</v>
      </c>
      <c r="H1383" t="s">
        <v>14360</v>
      </c>
      <c r="I1383" t="s">
        <v>10430</v>
      </c>
      <c r="J1383" s="4" t="s">
        <v>12852</v>
      </c>
      <c r="L1383" t="s">
        <v>2898</v>
      </c>
      <c r="M1383" t="s">
        <v>16249</v>
      </c>
      <c r="R1383" t="s">
        <v>18840</v>
      </c>
      <c r="S1383" t="s">
        <v>814</v>
      </c>
    </row>
    <row r="1384" spans="1:19" x14ac:dyDescent="0.2">
      <c r="A1384" t="s">
        <v>2891</v>
      </c>
      <c r="B1384" t="s">
        <v>14359</v>
      </c>
      <c r="C1384" t="s">
        <v>10431</v>
      </c>
      <c r="D1384" t="str">
        <f>_xlfn.XLOOKUP(E1384,pathways!$A$2:$A$31,pathways!$B$2:$B$31)</f>
        <v>Unknown</v>
      </c>
      <c r="E1384" t="s">
        <v>18840</v>
      </c>
      <c r="F1384" t="s">
        <v>18840</v>
      </c>
      <c r="G1384" t="s">
        <v>20674</v>
      </c>
      <c r="H1384" t="s">
        <v>14360</v>
      </c>
      <c r="I1384" t="s">
        <v>10431</v>
      </c>
      <c r="J1384" s="4" t="s">
        <v>12854</v>
      </c>
      <c r="L1384" t="s">
        <v>2890</v>
      </c>
      <c r="M1384" t="s">
        <v>16241</v>
      </c>
      <c r="R1384" t="s">
        <v>18840</v>
      </c>
      <c r="S1384" t="s">
        <v>814</v>
      </c>
    </row>
    <row r="1385" spans="1:19" x14ac:dyDescent="0.2">
      <c r="A1385" t="s">
        <v>2903</v>
      </c>
      <c r="B1385" t="s">
        <v>14359</v>
      </c>
      <c r="C1385" t="s">
        <v>10432</v>
      </c>
      <c r="D1385" t="str">
        <f>_xlfn.XLOOKUP(E1385,pathways!$A$2:$A$31,pathways!$B$2:$B$31)</f>
        <v>Unknown</v>
      </c>
      <c r="E1385" t="s">
        <v>18840</v>
      </c>
      <c r="F1385" t="s">
        <v>18840</v>
      </c>
      <c r="G1385" t="s">
        <v>20611</v>
      </c>
      <c r="H1385" t="s">
        <v>14360</v>
      </c>
      <c r="I1385" t="s">
        <v>10432</v>
      </c>
      <c r="J1385" s="4" t="s">
        <v>12856</v>
      </c>
      <c r="L1385" t="s">
        <v>2902</v>
      </c>
      <c r="M1385" t="s">
        <v>16253</v>
      </c>
      <c r="R1385" t="s">
        <v>18840</v>
      </c>
      <c r="S1385" t="s">
        <v>814</v>
      </c>
    </row>
    <row r="1386" spans="1:19" x14ac:dyDescent="0.2">
      <c r="A1386" t="s">
        <v>14290</v>
      </c>
      <c r="B1386" t="s">
        <v>14359</v>
      </c>
      <c r="C1386" t="s">
        <v>20380</v>
      </c>
      <c r="D1386" t="str">
        <f>_xlfn.XLOOKUP(E1386,pathways!$A$2:$A$31,pathways!$B$2:$B$31)</f>
        <v>Unknown</v>
      </c>
      <c r="E1386" t="s">
        <v>18840</v>
      </c>
      <c r="F1386" t="s">
        <v>18840</v>
      </c>
      <c r="G1386" t="s">
        <v>14360</v>
      </c>
      <c r="H1386" t="s">
        <v>14360</v>
      </c>
      <c r="I1386" t="s">
        <v>14360</v>
      </c>
      <c r="J1386" s="4" t="s">
        <v>12858</v>
      </c>
      <c r="L1386" t="s">
        <v>14360</v>
      </c>
      <c r="M1386" t="s">
        <v>14360</v>
      </c>
      <c r="N1386" t="s">
        <v>14360</v>
      </c>
      <c r="P1386" t="s">
        <v>14360</v>
      </c>
      <c r="R1386" t="s">
        <v>14360</v>
      </c>
      <c r="S1386" t="s">
        <v>814</v>
      </c>
    </row>
    <row r="1387" spans="1:19" x14ac:dyDescent="0.2">
      <c r="A1387" t="s">
        <v>14152</v>
      </c>
      <c r="B1387" t="s">
        <v>14359</v>
      </c>
      <c r="C1387" t="s">
        <v>10433</v>
      </c>
      <c r="D1387" t="str">
        <f>_xlfn.XLOOKUP(E1387,pathways!$A$2:$A$31,pathways!$B$2:$B$31)</f>
        <v>Unknown</v>
      </c>
      <c r="E1387" t="s">
        <v>18840</v>
      </c>
      <c r="F1387" t="s">
        <v>18840</v>
      </c>
      <c r="G1387" t="s">
        <v>20608</v>
      </c>
      <c r="H1387" t="s">
        <v>14360</v>
      </c>
      <c r="I1387" t="s">
        <v>10433</v>
      </c>
      <c r="J1387" s="4" t="s">
        <v>12860</v>
      </c>
      <c r="L1387" t="s">
        <v>14360</v>
      </c>
      <c r="M1387" t="s">
        <v>14360</v>
      </c>
      <c r="R1387" t="s">
        <v>14360</v>
      </c>
      <c r="S1387" t="s">
        <v>814</v>
      </c>
    </row>
    <row r="1388" spans="1:19" x14ac:dyDescent="0.2">
      <c r="A1388" t="s">
        <v>2391</v>
      </c>
      <c r="B1388" t="s">
        <v>14359</v>
      </c>
      <c r="C1388" t="s">
        <v>20381</v>
      </c>
      <c r="D1388" t="str">
        <f>_xlfn.XLOOKUP(E1388,pathways!$A$2:$A$31,pathways!$B$2:$B$31)</f>
        <v>Unknown</v>
      </c>
      <c r="E1388" t="s">
        <v>18840</v>
      </c>
      <c r="F1388" t="s">
        <v>18840</v>
      </c>
      <c r="G1388" t="s">
        <v>14360</v>
      </c>
      <c r="H1388" t="s">
        <v>14360</v>
      </c>
      <c r="I1388" t="s">
        <v>14360</v>
      </c>
      <c r="J1388" s="4" t="s">
        <v>12862</v>
      </c>
      <c r="L1388" t="s">
        <v>14360</v>
      </c>
      <c r="M1388" t="s">
        <v>14360</v>
      </c>
      <c r="N1388" t="s">
        <v>14360</v>
      </c>
      <c r="P1388" t="s">
        <v>14360</v>
      </c>
      <c r="R1388" t="s">
        <v>14360</v>
      </c>
      <c r="S1388" t="s">
        <v>814</v>
      </c>
    </row>
    <row r="1389" spans="1:19" x14ac:dyDescent="0.2">
      <c r="A1389" t="s">
        <v>2893</v>
      </c>
      <c r="B1389" t="s">
        <v>14359</v>
      </c>
      <c r="C1389" t="s">
        <v>10434</v>
      </c>
      <c r="D1389" t="str">
        <f>_xlfn.XLOOKUP(E1389,pathways!$A$2:$A$31,pathways!$B$2:$B$31)</f>
        <v>Unknown</v>
      </c>
      <c r="E1389" t="s">
        <v>18840</v>
      </c>
      <c r="F1389" t="s">
        <v>18840</v>
      </c>
      <c r="G1389" t="s">
        <v>14360</v>
      </c>
      <c r="H1389" t="s">
        <v>14360</v>
      </c>
      <c r="I1389" t="s">
        <v>10434</v>
      </c>
      <c r="J1389" s="4" t="s">
        <v>14360</v>
      </c>
      <c r="L1389" t="s">
        <v>2892</v>
      </c>
      <c r="M1389" t="s">
        <v>16243</v>
      </c>
      <c r="O1389" t="s">
        <v>14360</v>
      </c>
      <c r="Q1389" t="s">
        <v>14360</v>
      </c>
      <c r="R1389" t="s">
        <v>18840</v>
      </c>
      <c r="S1389" t="s">
        <v>814</v>
      </c>
    </row>
    <row r="1390" spans="1:19" x14ac:dyDescent="0.2">
      <c r="A1390" t="s">
        <v>14291</v>
      </c>
      <c r="B1390" t="s">
        <v>14359</v>
      </c>
      <c r="C1390" t="s">
        <v>20382</v>
      </c>
      <c r="D1390" t="str">
        <f>_xlfn.XLOOKUP(E1390,pathways!$A$2:$A$31,pathways!$B$2:$B$31)</f>
        <v>Unknown</v>
      </c>
      <c r="E1390" t="s">
        <v>18840</v>
      </c>
      <c r="F1390" t="s">
        <v>18840</v>
      </c>
      <c r="G1390" t="s">
        <v>14360</v>
      </c>
      <c r="H1390" t="s">
        <v>14360</v>
      </c>
      <c r="I1390" t="s">
        <v>14360</v>
      </c>
      <c r="J1390" s="4" t="s">
        <v>12864</v>
      </c>
      <c r="L1390" t="s">
        <v>14360</v>
      </c>
      <c r="M1390" t="s">
        <v>14360</v>
      </c>
      <c r="N1390" t="s">
        <v>14360</v>
      </c>
      <c r="P1390" t="s">
        <v>14360</v>
      </c>
      <c r="R1390" t="s">
        <v>14360</v>
      </c>
      <c r="S1390" t="s">
        <v>814</v>
      </c>
    </row>
    <row r="1391" spans="1:19" x14ac:dyDescent="0.2">
      <c r="A1391" t="s">
        <v>2887</v>
      </c>
      <c r="B1391" t="s">
        <v>14359</v>
      </c>
      <c r="C1391" t="s">
        <v>10435</v>
      </c>
      <c r="D1391" t="str">
        <f>_xlfn.XLOOKUP(E1391,pathways!$A$2:$A$31,pathways!$B$2:$B$31)</f>
        <v>Unknown</v>
      </c>
      <c r="E1391" t="s">
        <v>18840</v>
      </c>
      <c r="F1391" t="s">
        <v>18840</v>
      </c>
      <c r="G1391" t="s">
        <v>20526</v>
      </c>
      <c r="H1391" t="s">
        <v>14360</v>
      </c>
      <c r="I1391" t="s">
        <v>10435</v>
      </c>
      <c r="J1391" s="4" t="s">
        <v>12866</v>
      </c>
      <c r="L1391" t="s">
        <v>2886</v>
      </c>
      <c r="M1391" t="s">
        <v>16237</v>
      </c>
      <c r="R1391" t="s">
        <v>18840</v>
      </c>
      <c r="S1391" t="s">
        <v>814</v>
      </c>
    </row>
    <row r="1392" spans="1:19" x14ac:dyDescent="0.2">
      <c r="A1392" t="s">
        <v>2895</v>
      </c>
      <c r="B1392" t="s">
        <v>14359</v>
      </c>
      <c r="C1392" t="s">
        <v>10436</v>
      </c>
      <c r="D1392" t="str">
        <f>_xlfn.XLOOKUP(E1392,pathways!$A$2:$A$31,pathways!$B$2:$B$31)</f>
        <v>Unknown</v>
      </c>
      <c r="E1392" t="s">
        <v>18840</v>
      </c>
      <c r="F1392" t="s">
        <v>18840</v>
      </c>
      <c r="G1392" t="s">
        <v>14360</v>
      </c>
      <c r="H1392" t="s">
        <v>14360</v>
      </c>
      <c r="I1392" t="s">
        <v>10436</v>
      </c>
      <c r="J1392" s="4" t="s">
        <v>14360</v>
      </c>
      <c r="L1392" t="s">
        <v>2894</v>
      </c>
      <c r="M1392" t="s">
        <v>16245</v>
      </c>
      <c r="O1392" t="s">
        <v>14360</v>
      </c>
      <c r="Q1392" t="s">
        <v>14360</v>
      </c>
      <c r="R1392" t="s">
        <v>18840</v>
      </c>
    </row>
    <row r="1393" spans="1:19" x14ac:dyDescent="0.2">
      <c r="A1393" t="s">
        <v>2884</v>
      </c>
      <c r="B1393" t="s">
        <v>14359</v>
      </c>
      <c r="C1393" t="s">
        <v>10437</v>
      </c>
      <c r="D1393" t="str">
        <f>_xlfn.XLOOKUP(E1393,pathways!$A$2:$A$31,pathways!$B$2:$B$31)</f>
        <v>Unknown</v>
      </c>
      <c r="E1393" t="s">
        <v>18840</v>
      </c>
      <c r="F1393" t="s">
        <v>18840</v>
      </c>
      <c r="G1393" t="s">
        <v>14360</v>
      </c>
      <c r="H1393" t="s">
        <v>14360</v>
      </c>
      <c r="I1393" t="s">
        <v>10437</v>
      </c>
      <c r="J1393" s="4" t="s">
        <v>14360</v>
      </c>
      <c r="L1393" t="s">
        <v>2883</v>
      </c>
      <c r="M1393" t="s">
        <v>16233</v>
      </c>
      <c r="O1393" t="s">
        <v>14360</v>
      </c>
      <c r="Q1393" t="s">
        <v>14360</v>
      </c>
      <c r="R1393" t="s">
        <v>18840</v>
      </c>
      <c r="S1393" t="s">
        <v>3810</v>
      </c>
    </row>
    <row r="1394" spans="1:19" x14ac:dyDescent="0.2">
      <c r="A1394" t="s">
        <v>1648</v>
      </c>
      <c r="B1394" t="s">
        <v>14359</v>
      </c>
      <c r="C1394" t="s">
        <v>20383</v>
      </c>
      <c r="D1394" t="str">
        <f>_xlfn.XLOOKUP(E1394,pathways!$A$2:$A$31,pathways!$B$2:$B$31)</f>
        <v>Unknown</v>
      </c>
      <c r="E1394" t="s">
        <v>18840</v>
      </c>
      <c r="F1394" t="s">
        <v>18840</v>
      </c>
      <c r="G1394" t="s">
        <v>14360</v>
      </c>
      <c r="H1394" t="s">
        <v>14360</v>
      </c>
      <c r="I1394" t="s">
        <v>14360</v>
      </c>
      <c r="J1394" s="4" t="s">
        <v>12868</v>
      </c>
      <c r="L1394" t="s">
        <v>14360</v>
      </c>
      <c r="M1394" t="s">
        <v>14360</v>
      </c>
      <c r="N1394" t="s">
        <v>14360</v>
      </c>
      <c r="P1394" t="s">
        <v>14360</v>
      </c>
      <c r="R1394" t="s">
        <v>14360</v>
      </c>
      <c r="S1394" t="s">
        <v>3810</v>
      </c>
    </row>
    <row r="1395" spans="1:19" x14ac:dyDescent="0.2">
      <c r="A1395" t="s">
        <v>14292</v>
      </c>
      <c r="B1395" t="s">
        <v>14359</v>
      </c>
      <c r="C1395" t="s">
        <v>20384</v>
      </c>
      <c r="D1395" t="str">
        <f>_xlfn.XLOOKUP(E1395,pathways!$A$2:$A$31,pathways!$B$2:$B$31)</f>
        <v>Unknown</v>
      </c>
      <c r="E1395" t="s">
        <v>18840</v>
      </c>
      <c r="F1395" t="s">
        <v>18840</v>
      </c>
      <c r="G1395" t="s">
        <v>14360</v>
      </c>
      <c r="H1395" t="s">
        <v>14360</v>
      </c>
      <c r="I1395" t="s">
        <v>14360</v>
      </c>
      <c r="J1395" s="4" t="s">
        <v>12870</v>
      </c>
      <c r="L1395" t="s">
        <v>14360</v>
      </c>
      <c r="M1395" t="s">
        <v>14360</v>
      </c>
      <c r="N1395" t="s">
        <v>14360</v>
      </c>
      <c r="P1395" t="s">
        <v>14360</v>
      </c>
      <c r="R1395" t="s">
        <v>14360</v>
      </c>
      <c r="S1395" t="s">
        <v>3864</v>
      </c>
    </row>
    <row r="1396" spans="1:19" x14ac:dyDescent="0.2">
      <c r="A1396" t="s">
        <v>2880</v>
      </c>
      <c r="B1396" t="s">
        <v>14359</v>
      </c>
      <c r="C1396" t="s">
        <v>10438</v>
      </c>
      <c r="D1396" t="str">
        <f>_xlfn.XLOOKUP(E1396,pathways!$A$2:$A$31,pathways!$B$2:$B$31)</f>
        <v>Unknown</v>
      </c>
      <c r="E1396" t="s">
        <v>18840</v>
      </c>
      <c r="F1396" t="s">
        <v>18840</v>
      </c>
      <c r="G1396" t="s">
        <v>20606</v>
      </c>
      <c r="H1396" t="s">
        <v>14360</v>
      </c>
      <c r="I1396" t="s">
        <v>10438</v>
      </c>
      <c r="J1396" s="4" t="s">
        <v>12872</v>
      </c>
      <c r="L1396" t="s">
        <v>2879</v>
      </c>
      <c r="M1396" t="s">
        <v>16229</v>
      </c>
      <c r="R1396" t="s">
        <v>18840</v>
      </c>
      <c r="S1396" t="s">
        <v>4017</v>
      </c>
    </row>
    <row r="1397" spans="1:19" x14ac:dyDescent="0.2">
      <c r="A1397" t="s">
        <v>14153</v>
      </c>
      <c r="B1397" t="s">
        <v>14359</v>
      </c>
      <c r="C1397" t="s">
        <v>10439</v>
      </c>
      <c r="D1397" t="str">
        <f>_xlfn.XLOOKUP(E1397,pathways!$A$2:$A$31,pathways!$B$2:$B$31)</f>
        <v>Unknown</v>
      </c>
      <c r="E1397" t="s">
        <v>18840</v>
      </c>
      <c r="F1397" t="s">
        <v>18840</v>
      </c>
      <c r="G1397" t="s">
        <v>14360</v>
      </c>
      <c r="H1397" t="s">
        <v>14360</v>
      </c>
      <c r="I1397" t="s">
        <v>10439</v>
      </c>
      <c r="J1397" s="4" t="s">
        <v>14360</v>
      </c>
      <c r="L1397" t="s">
        <v>14360</v>
      </c>
      <c r="M1397" t="s">
        <v>14360</v>
      </c>
      <c r="O1397" t="s">
        <v>14360</v>
      </c>
      <c r="Q1397" t="s">
        <v>14360</v>
      </c>
      <c r="R1397" t="s">
        <v>14360</v>
      </c>
      <c r="S1397" t="s">
        <v>3560</v>
      </c>
    </row>
    <row r="1398" spans="1:19" x14ac:dyDescent="0.2">
      <c r="A1398" t="s">
        <v>14154</v>
      </c>
      <c r="B1398" t="s">
        <v>14359</v>
      </c>
      <c r="C1398" t="s">
        <v>10440</v>
      </c>
      <c r="D1398" t="str">
        <f>_xlfn.XLOOKUP(E1398,pathways!$A$2:$A$31,pathways!$B$2:$B$31)</f>
        <v>Unknown</v>
      </c>
      <c r="E1398" t="s">
        <v>18840</v>
      </c>
      <c r="F1398" t="s">
        <v>18840</v>
      </c>
      <c r="G1398" t="s">
        <v>14360</v>
      </c>
      <c r="H1398" t="s">
        <v>14360</v>
      </c>
      <c r="I1398" t="s">
        <v>10440</v>
      </c>
      <c r="J1398" s="4" t="s">
        <v>14360</v>
      </c>
      <c r="L1398" t="s">
        <v>14360</v>
      </c>
      <c r="M1398" t="s">
        <v>14360</v>
      </c>
      <c r="O1398" t="s">
        <v>14360</v>
      </c>
      <c r="Q1398" t="s">
        <v>14360</v>
      </c>
      <c r="R1398" t="s">
        <v>14360</v>
      </c>
      <c r="S1398" t="s">
        <v>14360</v>
      </c>
    </row>
    <row r="1399" spans="1:19" x14ac:dyDescent="0.2">
      <c r="A1399" t="s">
        <v>2897</v>
      </c>
      <c r="B1399" t="s">
        <v>14359</v>
      </c>
      <c r="C1399" t="s">
        <v>10441</v>
      </c>
      <c r="D1399" t="str">
        <f>_xlfn.XLOOKUP(E1399,pathways!$A$2:$A$31,pathways!$B$2:$B$31)</f>
        <v>Unknown</v>
      </c>
      <c r="E1399" t="s">
        <v>18840</v>
      </c>
      <c r="F1399" t="s">
        <v>18840</v>
      </c>
      <c r="G1399" t="s">
        <v>20672</v>
      </c>
      <c r="H1399" t="s">
        <v>14360</v>
      </c>
      <c r="I1399" t="s">
        <v>10441</v>
      </c>
      <c r="J1399" s="4" t="s">
        <v>12874</v>
      </c>
      <c r="L1399" t="s">
        <v>2896</v>
      </c>
      <c r="M1399" t="s">
        <v>16247</v>
      </c>
      <c r="R1399" t="s">
        <v>18840</v>
      </c>
      <c r="S1399" t="s">
        <v>814</v>
      </c>
    </row>
    <row r="1400" spans="1:19" x14ac:dyDescent="0.2">
      <c r="A1400" t="s">
        <v>2889</v>
      </c>
      <c r="B1400" t="s">
        <v>14359</v>
      </c>
      <c r="C1400" t="s">
        <v>17113</v>
      </c>
      <c r="D1400" t="str">
        <f>_xlfn.XLOOKUP(E1400,pathways!$A$2:$A$31,pathways!$B$2:$B$31)</f>
        <v>Unknown</v>
      </c>
      <c r="E1400" t="s">
        <v>18840</v>
      </c>
      <c r="F1400" t="s">
        <v>18840</v>
      </c>
      <c r="G1400" t="s">
        <v>14360</v>
      </c>
      <c r="H1400" t="s">
        <v>14360</v>
      </c>
      <c r="I1400" t="s">
        <v>14360</v>
      </c>
      <c r="J1400" s="4" t="s">
        <v>12876</v>
      </c>
      <c r="L1400" t="s">
        <v>2888</v>
      </c>
      <c r="M1400" t="s">
        <v>16239</v>
      </c>
      <c r="N1400" t="s">
        <v>14360</v>
      </c>
      <c r="P1400" t="s">
        <v>14360</v>
      </c>
      <c r="R1400" t="s">
        <v>18840</v>
      </c>
      <c r="S1400" t="s">
        <v>5526</v>
      </c>
    </row>
    <row r="1401" spans="1:19" x14ac:dyDescent="0.2">
      <c r="A1401" t="s">
        <v>14155</v>
      </c>
      <c r="B1401" t="s">
        <v>14359</v>
      </c>
      <c r="C1401" t="s">
        <v>10442</v>
      </c>
      <c r="D1401" t="str">
        <f>_xlfn.XLOOKUP(E1401,pathways!$A$2:$A$31,pathways!$B$2:$B$31)</f>
        <v>Unknown</v>
      </c>
      <c r="E1401" t="s">
        <v>18840</v>
      </c>
      <c r="F1401" t="s">
        <v>18840</v>
      </c>
      <c r="G1401" t="s">
        <v>14360</v>
      </c>
      <c r="H1401" t="s">
        <v>14360</v>
      </c>
      <c r="I1401" t="s">
        <v>10442</v>
      </c>
      <c r="J1401" s="4" t="s">
        <v>14360</v>
      </c>
      <c r="L1401" t="s">
        <v>14360</v>
      </c>
      <c r="M1401" t="s">
        <v>14360</v>
      </c>
      <c r="O1401" t="s">
        <v>14360</v>
      </c>
      <c r="Q1401" t="s">
        <v>14360</v>
      </c>
      <c r="R1401" t="s">
        <v>14360</v>
      </c>
      <c r="S1401" t="s">
        <v>9134</v>
      </c>
    </row>
    <row r="1402" spans="1:19" x14ac:dyDescent="0.2">
      <c r="A1402" t="s">
        <v>2905</v>
      </c>
      <c r="B1402" t="s">
        <v>14359</v>
      </c>
      <c r="C1402" t="s">
        <v>10443</v>
      </c>
      <c r="D1402" t="str">
        <f>_xlfn.XLOOKUP(E1402,pathways!$A$2:$A$31,pathways!$B$2:$B$31)</f>
        <v>Unknown</v>
      </c>
      <c r="E1402" t="s">
        <v>18840</v>
      </c>
      <c r="F1402" t="s">
        <v>18840</v>
      </c>
      <c r="G1402" t="s">
        <v>20641</v>
      </c>
      <c r="H1402" t="s">
        <v>14360</v>
      </c>
      <c r="I1402" t="s">
        <v>10443</v>
      </c>
      <c r="J1402" s="4" t="s">
        <v>14360</v>
      </c>
      <c r="L1402" t="s">
        <v>2904</v>
      </c>
      <c r="M1402" t="s">
        <v>16255</v>
      </c>
      <c r="O1402" t="s">
        <v>14360</v>
      </c>
      <c r="Q1402" t="s">
        <v>14360</v>
      </c>
      <c r="R1402" t="s">
        <v>18840</v>
      </c>
      <c r="S1402" t="s">
        <v>3873</v>
      </c>
    </row>
    <row r="1403" spans="1:19" x14ac:dyDescent="0.2">
      <c r="A1403" t="s">
        <v>14156</v>
      </c>
      <c r="B1403" t="s">
        <v>14359</v>
      </c>
      <c r="C1403" t="s">
        <v>10444</v>
      </c>
      <c r="D1403" t="str">
        <f>_xlfn.XLOOKUP(E1403,pathways!$A$2:$A$31,pathways!$B$2:$B$31)</f>
        <v>Unknown</v>
      </c>
      <c r="E1403" t="s">
        <v>18840</v>
      </c>
      <c r="F1403" t="s">
        <v>18840</v>
      </c>
      <c r="G1403" t="s">
        <v>14360</v>
      </c>
      <c r="H1403" t="s">
        <v>14360</v>
      </c>
      <c r="I1403" t="s">
        <v>10444</v>
      </c>
      <c r="J1403" s="4" t="s">
        <v>14360</v>
      </c>
      <c r="L1403" t="s">
        <v>14360</v>
      </c>
      <c r="M1403" t="s">
        <v>14360</v>
      </c>
      <c r="O1403" t="s">
        <v>14360</v>
      </c>
      <c r="Q1403" t="s">
        <v>14360</v>
      </c>
      <c r="R1403" t="s">
        <v>14360</v>
      </c>
      <c r="S1403" t="s">
        <v>14360</v>
      </c>
    </row>
    <row r="1404" spans="1:19" x14ac:dyDescent="0.2">
      <c r="A1404" t="s">
        <v>14157</v>
      </c>
      <c r="B1404" t="s">
        <v>14359</v>
      </c>
      <c r="C1404" t="s">
        <v>10445</v>
      </c>
      <c r="D1404" t="str">
        <f>_xlfn.XLOOKUP(E1404,pathways!$A$2:$A$31,pathways!$B$2:$B$31)</f>
        <v>Unknown</v>
      </c>
      <c r="E1404" t="s">
        <v>18840</v>
      </c>
      <c r="F1404" t="s">
        <v>18840</v>
      </c>
      <c r="G1404" t="s">
        <v>14360</v>
      </c>
      <c r="H1404" t="s">
        <v>14360</v>
      </c>
      <c r="I1404" t="s">
        <v>10445</v>
      </c>
      <c r="J1404" s="4" t="s">
        <v>14360</v>
      </c>
      <c r="L1404" t="s">
        <v>14360</v>
      </c>
      <c r="M1404" t="s">
        <v>14360</v>
      </c>
      <c r="O1404" t="s">
        <v>14360</v>
      </c>
      <c r="Q1404" t="s">
        <v>14360</v>
      </c>
      <c r="R1404" t="s">
        <v>14360</v>
      </c>
      <c r="S1404" t="s">
        <v>3480</v>
      </c>
    </row>
    <row r="1405" spans="1:19" x14ac:dyDescent="0.2">
      <c r="A1405" t="s">
        <v>2927</v>
      </c>
      <c r="B1405" t="s">
        <v>14359</v>
      </c>
      <c r="C1405" t="s">
        <v>10446</v>
      </c>
      <c r="D1405" t="str">
        <f>_xlfn.XLOOKUP(E1405,pathways!$A$2:$A$31,pathways!$B$2:$B$31)</f>
        <v>Unknown</v>
      </c>
      <c r="E1405" t="s">
        <v>18840</v>
      </c>
      <c r="F1405" t="s">
        <v>18840</v>
      </c>
      <c r="G1405" t="s">
        <v>14360</v>
      </c>
      <c r="H1405" t="s">
        <v>14360</v>
      </c>
      <c r="I1405" t="s">
        <v>10446</v>
      </c>
      <c r="J1405" s="4" t="s">
        <v>14360</v>
      </c>
      <c r="L1405" t="s">
        <v>2926</v>
      </c>
      <c r="M1405" t="s">
        <v>16276</v>
      </c>
      <c r="O1405" t="s">
        <v>14360</v>
      </c>
      <c r="Q1405" t="s">
        <v>14360</v>
      </c>
      <c r="R1405" t="s">
        <v>18840</v>
      </c>
      <c r="S1405" t="s">
        <v>3603</v>
      </c>
    </row>
    <row r="1406" spans="1:19" x14ac:dyDescent="0.2">
      <c r="A1406" t="s">
        <v>14158</v>
      </c>
      <c r="B1406" t="s">
        <v>14359</v>
      </c>
      <c r="C1406" t="s">
        <v>10447</v>
      </c>
      <c r="D1406" t="str">
        <f>_xlfn.XLOOKUP(E1406,pathways!$A$2:$A$31,pathways!$B$2:$B$31)</f>
        <v>Unknown</v>
      </c>
      <c r="E1406" t="s">
        <v>18840</v>
      </c>
      <c r="F1406" t="s">
        <v>18840</v>
      </c>
      <c r="G1406" t="s">
        <v>14360</v>
      </c>
      <c r="H1406" t="s">
        <v>14360</v>
      </c>
      <c r="I1406" t="s">
        <v>10447</v>
      </c>
      <c r="J1406" s="4" t="s">
        <v>14360</v>
      </c>
      <c r="L1406" t="s">
        <v>14360</v>
      </c>
      <c r="M1406" t="s">
        <v>14360</v>
      </c>
      <c r="O1406" t="s">
        <v>14360</v>
      </c>
      <c r="Q1406" t="s">
        <v>14360</v>
      </c>
      <c r="R1406" t="s">
        <v>14360</v>
      </c>
      <c r="S1406" t="s">
        <v>3480</v>
      </c>
    </row>
    <row r="1407" spans="1:19" x14ac:dyDescent="0.2">
      <c r="A1407" t="s">
        <v>14159</v>
      </c>
      <c r="B1407" t="s">
        <v>14359</v>
      </c>
      <c r="C1407" t="s">
        <v>10448</v>
      </c>
      <c r="D1407" t="str">
        <f>_xlfn.XLOOKUP(E1407,pathways!$A$2:$A$31,pathways!$B$2:$B$31)</f>
        <v>Unknown</v>
      </c>
      <c r="E1407" t="s">
        <v>18840</v>
      </c>
      <c r="F1407" t="s">
        <v>18840</v>
      </c>
      <c r="G1407" t="s">
        <v>14360</v>
      </c>
      <c r="H1407" t="s">
        <v>14360</v>
      </c>
      <c r="I1407" t="s">
        <v>10448</v>
      </c>
      <c r="J1407" s="4" t="s">
        <v>12878</v>
      </c>
      <c r="L1407" t="s">
        <v>14360</v>
      </c>
      <c r="M1407" t="s">
        <v>14360</v>
      </c>
      <c r="R1407" t="s">
        <v>14360</v>
      </c>
      <c r="S1407" t="s">
        <v>14360</v>
      </c>
    </row>
    <row r="1408" spans="1:19" x14ac:dyDescent="0.2">
      <c r="A1408" t="s">
        <v>2932</v>
      </c>
      <c r="B1408" t="s">
        <v>14359</v>
      </c>
      <c r="C1408" t="s">
        <v>10449</v>
      </c>
      <c r="D1408" t="str">
        <f>_xlfn.XLOOKUP(E1408,pathways!$A$2:$A$31,pathways!$B$2:$B$31)</f>
        <v>Unknown</v>
      </c>
      <c r="E1408" t="s">
        <v>18840</v>
      </c>
      <c r="F1408" t="s">
        <v>18840</v>
      </c>
      <c r="G1408" t="s">
        <v>20490</v>
      </c>
      <c r="H1408" t="s">
        <v>14360</v>
      </c>
      <c r="I1408" t="s">
        <v>10449</v>
      </c>
      <c r="J1408" s="4" t="s">
        <v>12880</v>
      </c>
      <c r="L1408" t="s">
        <v>2931</v>
      </c>
      <c r="M1408" t="s">
        <v>16282</v>
      </c>
      <c r="R1408" t="s">
        <v>18840</v>
      </c>
      <c r="S1408" t="s">
        <v>3978</v>
      </c>
    </row>
    <row r="1409" spans="1:19" x14ac:dyDescent="0.2">
      <c r="A1409" t="s">
        <v>2922</v>
      </c>
      <c r="B1409" t="s">
        <v>14359</v>
      </c>
      <c r="C1409" t="s">
        <v>10450</v>
      </c>
      <c r="D1409" t="str">
        <f>_xlfn.XLOOKUP(E1409,pathways!$A$2:$A$31,pathways!$B$2:$B$31)</f>
        <v>Unknown</v>
      </c>
      <c r="E1409" t="s">
        <v>18840</v>
      </c>
      <c r="F1409" t="s">
        <v>18840</v>
      </c>
      <c r="G1409" t="s">
        <v>14360</v>
      </c>
      <c r="H1409" t="s">
        <v>14360</v>
      </c>
      <c r="I1409" t="s">
        <v>10450</v>
      </c>
      <c r="J1409" s="4" t="s">
        <v>12882</v>
      </c>
      <c r="L1409" t="s">
        <v>2921</v>
      </c>
      <c r="M1409" t="s">
        <v>16270</v>
      </c>
      <c r="R1409" t="s">
        <v>18840</v>
      </c>
      <c r="S1409" t="s">
        <v>3864</v>
      </c>
    </row>
    <row r="1410" spans="1:19" x14ac:dyDescent="0.2">
      <c r="A1410" t="s">
        <v>2291</v>
      </c>
      <c r="B1410" t="s">
        <v>14359</v>
      </c>
      <c r="C1410" t="s">
        <v>20385</v>
      </c>
      <c r="D1410" t="str">
        <f>_xlfn.XLOOKUP(E1410,pathways!$A$2:$A$31,pathways!$B$2:$B$31)</f>
        <v>Unknown</v>
      </c>
      <c r="E1410" t="s">
        <v>18840</v>
      </c>
      <c r="F1410" t="s">
        <v>18840</v>
      </c>
      <c r="G1410" t="s">
        <v>14360</v>
      </c>
      <c r="H1410" t="s">
        <v>14360</v>
      </c>
      <c r="I1410" t="s">
        <v>14360</v>
      </c>
      <c r="J1410" s="4" t="s">
        <v>12884</v>
      </c>
      <c r="L1410" t="s">
        <v>14360</v>
      </c>
      <c r="M1410" t="s">
        <v>14360</v>
      </c>
      <c r="N1410" t="s">
        <v>14360</v>
      </c>
      <c r="P1410" t="s">
        <v>14360</v>
      </c>
      <c r="R1410" t="s">
        <v>14360</v>
      </c>
      <c r="S1410" t="s">
        <v>3864</v>
      </c>
    </row>
    <row r="1411" spans="1:19" x14ac:dyDescent="0.2">
      <c r="A1411" t="s">
        <v>2914</v>
      </c>
      <c r="B1411" t="s">
        <v>14359</v>
      </c>
      <c r="C1411" t="s">
        <v>10451</v>
      </c>
      <c r="D1411" t="str">
        <f>_xlfn.XLOOKUP(E1411,pathways!$A$2:$A$31,pathways!$B$2:$B$31)</f>
        <v>Unknown</v>
      </c>
      <c r="E1411" t="s">
        <v>18840</v>
      </c>
      <c r="F1411" t="s">
        <v>18840</v>
      </c>
      <c r="G1411" t="s">
        <v>20636</v>
      </c>
      <c r="H1411" t="s">
        <v>14360</v>
      </c>
      <c r="I1411" t="s">
        <v>10451</v>
      </c>
      <c r="J1411" s="4" t="s">
        <v>12886</v>
      </c>
      <c r="L1411" t="s">
        <v>2913</v>
      </c>
      <c r="M1411" t="s">
        <v>16264</v>
      </c>
      <c r="R1411" t="s">
        <v>18840</v>
      </c>
      <c r="S1411" t="s">
        <v>3864</v>
      </c>
    </row>
    <row r="1412" spans="1:19" x14ac:dyDescent="0.2">
      <c r="A1412" t="s">
        <v>14293</v>
      </c>
      <c r="B1412" t="s">
        <v>14359</v>
      </c>
      <c r="C1412" t="s">
        <v>20386</v>
      </c>
      <c r="D1412" t="str">
        <f>_xlfn.XLOOKUP(E1412,pathways!$A$2:$A$31,pathways!$B$2:$B$31)</f>
        <v>Unknown</v>
      </c>
      <c r="E1412" t="s">
        <v>18840</v>
      </c>
      <c r="F1412" t="s">
        <v>18840</v>
      </c>
      <c r="G1412" t="s">
        <v>14360</v>
      </c>
      <c r="H1412" t="s">
        <v>14360</v>
      </c>
      <c r="I1412" t="s">
        <v>14360</v>
      </c>
      <c r="J1412" s="4" t="s">
        <v>12888</v>
      </c>
      <c r="L1412" t="s">
        <v>14360</v>
      </c>
      <c r="M1412" t="s">
        <v>14360</v>
      </c>
      <c r="N1412" t="s">
        <v>14360</v>
      </c>
      <c r="P1412" t="s">
        <v>14360</v>
      </c>
      <c r="R1412" t="s">
        <v>14360</v>
      </c>
      <c r="S1412" t="s">
        <v>3864</v>
      </c>
    </row>
    <row r="1413" spans="1:19" x14ac:dyDescent="0.2">
      <c r="A1413" t="s">
        <v>2909</v>
      </c>
      <c r="B1413" t="s">
        <v>14359</v>
      </c>
      <c r="C1413" t="s">
        <v>10452</v>
      </c>
      <c r="D1413" t="str">
        <f>_xlfn.XLOOKUP(E1413,pathways!$A$2:$A$31,pathways!$B$2:$B$31)</f>
        <v>Unknown</v>
      </c>
      <c r="E1413" t="s">
        <v>18840</v>
      </c>
      <c r="F1413" t="s">
        <v>18840</v>
      </c>
      <c r="G1413" t="s">
        <v>14360</v>
      </c>
      <c r="H1413" t="s">
        <v>14360</v>
      </c>
      <c r="I1413" t="s">
        <v>10452</v>
      </c>
      <c r="J1413" s="4" t="s">
        <v>14360</v>
      </c>
      <c r="L1413" t="s">
        <v>2908</v>
      </c>
      <c r="M1413" t="s">
        <v>16259</v>
      </c>
      <c r="O1413" t="s">
        <v>14360</v>
      </c>
      <c r="Q1413" t="s">
        <v>14360</v>
      </c>
      <c r="R1413" t="s">
        <v>18840</v>
      </c>
      <c r="S1413" t="s">
        <v>5632</v>
      </c>
    </row>
    <row r="1414" spans="1:19" x14ac:dyDescent="0.2">
      <c r="A1414" t="s">
        <v>2912</v>
      </c>
      <c r="B1414" t="s">
        <v>14359</v>
      </c>
      <c r="C1414" t="s">
        <v>10453</v>
      </c>
      <c r="D1414" t="str">
        <f>_xlfn.XLOOKUP(E1414,pathways!$A$2:$A$31,pathways!$B$2:$B$31)</f>
        <v>Unknown</v>
      </c>
      <c r="E1414" t="s">
        <v>18840</v>
      </c>
      <c r="F1414" t="s">
        <v>18840</v>
      </c>
      <c r="G1414" t="s">
        <v>14360</v>
      </c>
      <c r="H1414" t="s">
        <v>14360</v>
      </c>
      <c r="I1414" t="s">
        <v>10453</v>
      </c>
      <c r="J1414" s="4" t="s">
        <v>14360</v>
      </c>
      <c r="L1414" t="s">
        <v>2911</v>
      </c>
      <c r="M1414" t="s">
        <v>16263</v>
      </c>
      <c r="O1414" t="s">
        <v>14360</v>
      </c>
      <c r="Q1414" t="s">
        <v>14360</v>
      </c>
      <c r="R1414" t="s">
        <v>18840</v>
      </c>
      <c r="S1414" t="s">
        <v>14360</v>
      </c>
    </row>
    <row r="1415" spans="1:19" x14ac:dyDescent="0.2">
      <c r="A1415" t="s">
        <v>2925</v>
      </c>
      <c r="B1415" t="s">
        <v>14359</v>
      </c>
      <c r="C1415" t="s">
        <v>17116</v>
      </c>
      <c r="D1415" t="str">
        <f>_xlfn.XLOOKUP(E1415,pathways!$A$2:$A$31,pathways!$B$2:$B$31)</f>
        <v>Unknown</v>
      </c>
      <c r="E1415" t="s">
        <v>18840</v>
      </c>
      <c r="F1415" t="s">
        <v>18840</v>
      </c>
      <c r="G1415" t="s">
        <v>14360</v>
      </c>
      <c r="H1415" t="s">
        <v>14360</v>
      </c>
      <c r="I1415" t="s">
        <v>14360</v>
      </c>
      <c r="J1415" s="4" t="s">
        <v>12890</v>
      </c>
      <c r="L1415" t="s">
        <v>2924</v>
      </c>
      <c r="M1415" t="s">
        <v>16274</v>
      </c>
      <c r="N1415" t="s">
        <v>14360</v>
      </c>
      <c r="P1415" t="s">
        <v>14360</v>
      </c>
      <c r="R1415" t="s">
        <v>18840</v>
      </c>
      <c r="S1415" t="s">
        <v>14360</v>
      </c>
    </row>
    <row r="1416" spans="1:19" x14ac:dyDescent="0.2">
      <c r="A1416" t="s">
        <v>1620</v>
      </c>
      <c r="B1416" t="s">
        <v>14359</v>
      </c>
      <c r="C1416" t="s">
        <v>20387</v>
      </c>
      <c r="D1416" t="str">
        <f>_xlfn.XLOOKUP(E1416,pathways!$A$2:$A$31,pathways!$B$2:$B$31)</f>
        <v>Unknown</v>
      </c>
      <c r="E1416" t="s">
        <v>18840</v>
      </c>
      <c r="F1416" t="s">
        <v>18840</v>
      </c>
      <c r="G1416" t="s">
        <v>14360</v>
      </c>
      <c r="H1416" t="s">
        <v>14360</v>
      </c>
      <c r="I1416" t="s">
        <v>14360</v>
      </c>
      <c r="J1416" s="4" t="s">
        <v>12892</v>
      </c>
      <c r="L1416" t="s">
        <v>14360</v>
      </c>
      <c r="M1416" t="s">
        <v>14360</v>
      </c>
      <c r="N1416" t="s">
        <v>14360</v>
      </c>
      <c r="P1416" t="s">
        <v>14360</v>
      </c>
      <c r="R1416" t="s">
        <v>14360</v>
      </c>
      <c r="S1416" t="s">
        <v>3864</v>
      </c>
    </row>
    <row r="1417" spans="1:19" x14ac:dyDescent="0.2">
      <c r="A1417" t="s">
        <v>14294</v>
      </c>
      <c r="B1417" t="s">
        <v>14359</v>
      </c>
      <c r="C1417" t="s">
        <v>20388</v>
      </c>
      <c r="D1417" t="str">
        <f>_xlfn.XLOOKUP(E1417,pathways!$A$2:$A$31,pathways!$B$2:$B$31)</f>
        <v>Unknown</v>
      </c>
      <c r="E1417" t="s">
        <v>18840</v>
      </c>
      <c r="F1417" t="s">
        <v>18840</v>
      </c>
      <c r="G1417" t="s">
        <v>14360</v>
      </c>
      <c r="H1417" t="s">
        <v>14360</v>
      </c>
      <c r="I1417" t="s">
        <v>14360</v>
      </c>
      <c r="J1417" s="4" t="s">
        <v>12894</v>
      </c>
      <c r="L1417" t="s">
        <v>14360</v>
      </c>
      <c r="M1417" t="s">
        <v>14360</v>
      </c>
      <c r="N1417" t="s">
        <v>14360</v>
      </c>
      <c r="P1417" t="s">
        <v>14360</v>
      </c>
      <c r="R1417" t="s">
        <v>14360</v>
      </c>
      <c r="S1417" t="s">
        <v>3864</v>
      </c>
    </row>
    <row r="1418" spans="1:19" x14ac:dyDescent="0.2">
      <c r="A1418" t="s">
        <v>2314</v>
      </c>
      <c r="B1418" t="s">
        <v>14359</v>
      </c>
      <c r="C1418" t="s">
        <v>20389</v>
      </c>
      <c r="D1418" t="str">
        <f>_xlfn.XLOOKUP(E1418,pathways!$A$2:$A$31,pathways!$B$2:$B$31)</f>
        <v>Unknown</v>
      </c>
      <c r="E1418" t="s">
        <v>18840</v>
      </c>
      <c r="F1418" t="s">
        <v>18840</v>
      </c>
      <c r="G1418" t="s">
        <v>14360</v>
      </c>
      <c r="H1418" t="s">
        <v>14360</v>
      </c>
      <c r="I1418" t="s">
        <v>14360</v>
      </c>
      <c r="J1418" s="4" t="s">
        <v>12896</v>
      </c>
      <c r="L1418" t="s">
        <v>14360</v>
      </c>
      <c r="M1418" t="s">
        <v>14360</v>
      </c>
      <c r="N1418" t="s">
        <v>14360</v>
      </c>
      <c r="P1418" t="s">
        <v>14360</v>
      </c>
      <c r="R1418" t="s">
        <v>14360</v>
      </c>
      <c r="S1418" t="s">
        <v>3603</v>
      </c>
    </row>
    <row r="1419" spans="1:19" x14ac:dyDescent="0.2">
      <c r="A1419" t="s">
        <v>2187</v>
      </c>
      <c r="B1419" t="s">
        <v>14359</v>
      </c>
      <c r="C1419" t="s">
        <v>20390</v>
      </c>
      <c r="D1419" t="str">
        <f>_xlfn.XLOOKUP(E1419,pathways!$A$2:$A$31,pathways!$B$2:$B$31)</f>
        <v>Unknown</v>
      </c>
      <c r="E1419" t="s">
        <v>18840</v>
      </c>
      <c r="F1419" t="s">
        <v>18840</v>
      </c>
      <c r="G1419" t="s">
        <v>20470</v>
      </c>
      <c r="H1419" t="s">
        <v>14360</v>
      </c>
      <c r="I1419" t="s">
        <v>14360</v>
      </c>
      <c r="J1419" s="4" t="s">
        <v>12898</v>
      </c>
      <c r="L1419" t="s">
        <v>14360</v>
      </c>
      <c r="M1419" t="s">
        <v>14360</v>
      </c>
      <c r="N1419" t="s">
        <v>14360</v>
      </c>
      <c r="P1419" t="s">
        <v>14360</v>
      </c>
      <c r="R1419" t="s">
        <v>14360</v>
      </c>
      <c r="S1419" t="s">
        <v>3516</v>
      </c>
    </row>
    <row r="1420" spans="1:19" x14ac:dyDescent="0.2">
      <c r="A1420" t="s">
        <v>2209</v>
      </c>
      <c r="B1420" t="s">
        <v>14359</v>
      </c>
      <c r="C1420" t="s">
        <v>20391</v>
      </c>
      <c r="D1420" t="str">
        <f>_xlfn.XLOOKUP(E1420,pathways!$A$2:$A$31,pathways!$B$2:$B$31)</f>
        <v>Unknown</v>
      </c>
      <c r="E1420" t="s">
        <v>18840</v>
      </c>
      <c r="F1420" t="s">
        <v>18840</v>
      </c>
      <c r="G1420" t="s">
        <v>14360</v>
      </c>
      <c r="H1420" t="s">
        <v>14360</v>
      </c>
      <c r="I1420" t="s">
        <v>14360</v>
      </c>
      <c r="J1420" s="4" t="s">
        <v>12900</v>
      </c>
      <c r="L1420" t="s">
        <v>14360</v>
      </c>
      <c r="M1420" t="s">
        <v>14360</v>
      </c>
      <c r="N1420" t="s">
        <v>14360</v>
      </c>
      <c r="P1420" t="s">
        <v>14360</v>
      </c>
      <c r="R1420" t="s">
        <v>14360</v>
      </c>
      <c r="S1420" t="s">
        <v>3516</v>
      </c>
    </row>
    <row r="1421" spans="1:19" x14ac:dyDescent="0.2">
      <c r="A1421" t="s">
        <v>14160</v>
      </c>
      <c r="B1421" t="s">
        <v>14359</v>
      </c>
      <c r="C1421" t="s">
        <v>10454</v>
      </c>
      <c r="D1421" t="str">
        <f>_xlfn.XLOOKUP(E1421,pathways!$A$2:$A$31,pathways!$B$2:$B$31)</f>
        <v>Unknown</v>
      </c>
      <c r="E1421" t="s">
        <v>18840</v>
      </c>
      <c r="F1421" t="s">
        <v>18840</v>
      </c>
      <c r="G1421" t="s">
        <v>20669</v>
      </c>
      <c r="H1421" t="s">
        <v>14360</v>
      </c>
      <c r="I1421" t="s">
        <v>10454</v>
      </c>
      <c r="J1421" s="4" t="s">
        <v>14360</v>
      </c>
      <c r="L1421" t="s">
        <v>14360</v>
      </c>
      <c r="M1421" t="s">
        <v>14360</v>
      </c>
      <c r="O1421" t="s">
        <v>14360</v>
      </c>
      <c r="Q1421" t="s">
        <v>14360</v>
      </c>
      <c r="R1421" t="s">
        <v>14360</v>
      </c>
      <c r="S1421" t="s">
        <v>3819</v>
      </c>
    </row>
    <row r="1422" spans="1:19" x14ac:dyDescent="0.2">
      <c r="A1422" t="s">
        <v>2934</v>
      </c>
      <c r="B1422" t="s">
        <v>14359</v>
      </c>
      <c r="C1422" t="s">
        <v>10455</v>
      </c>
      <c r="D1422" t="str">
        <f>_xlfn.XLOOKUP(E1422,pathways!$A$2:$A$31,pathways!$B$2:$B$31)</f>
        <v>Unknown</v>
      </c>
      <c r="E1422" t="s">
        <v>18840</v>
      </c>
      <c r="F1422" t="s">
        <v>18840</v>
      </c>
      <c r="G1422" t="s">
        <v>20629</v>
      </c>
      <c r="H1422" t="s">
        <v>14360</v>
      </c>
      <c r="I1422" t="s">
        <v>10455</v>
      </c>
      <c r="J1422" s="4" t="s">
        <v>14360</v>
      </c>
      <c r="L1422" t="s">
        <v>2933</v>
      </c>
      <c r="M1422" t="s">
        <v>16284</v>
      </c>
      <c r="O1422" t="s">
        <v>14360</v>
      </c>
      <c r="Q1422" t="s">
        <v>14360</v>
      </c>
      <c r="R1422" t="s">
        <v>18840</v>
      </c>
      <c r="S1422" t="s">
        <v>3516</v>
      </c>
    </row>
    <row r="1423" spans="1:19" x14ac:dyDescent="0.2">
      <c r="A1423" t="s">
        <v>2322</v>
      </c>
      <c r="B1423" t="s">
        <v>14359</v>
      </c>
      <c r="C1423" t="s">
        <v>20392</v>
      </c>
      <c r="D1423" t="str">
        <f>_xlfn.XLOOKUP(E1423,pathways!$A$2:$A$31,pathways!$B$2:$B$31)</f>
        <v>Unknown</v>
      </c>
      <c r="E1423" t="s">
        <v>18840</v>
      </c>
      <c r="F1423" t="s">
        <v>18840</v>
      </c>
      <c r="G1423" t="s">
        <v>20516</v>
      </c>
      <c r="H1423" t="s">
        <v>14360</v>
      </c>
      <c r="I1423" t="s">
        <v>14360</v>
      </c>
      <c r="J1423" s="4" t="s">
        <v>12902</v>
      </c>
      <c r="L1423" t="s">
        <v>14360</v>
      </c>
      <c r="M1423" t="s">
        <v>14360</v>
      </c>
      <c r="N1423" t="s">
        <v>14360</v>
      </c>
      <c r="P1423" t="s">
        <v>14360</v>
      </c>
      <c r="R1423" t="s">
        <v>14360</v>
      </c>
      <c r="S1423" t="s">
        <v>3819</v>
      </c>
    </row>
    <row r="1424" spans="1:19" x14ac:dyDescent="0.2">
      <c r="A1424" t="s">
        <v>2936</v>
      </c>
      <c r="B1424" t="s">
        <v>14359</v>
      </c>
      <c r="C1424" t="s">
        <v>10456</v>
      </c>
      <c r="D1424" t="str">
        <f>_xlfn.XLOOKUP(E1424,pathways!$A$2:$A$31,pathways!$B$2:$B$31)</f>
        <v>Unknown</v>
      </c>
      <c r="E1424" t="s">
        <v>18840</v>
      </c>
      <c r="F1424" t="s">
        <v>18840</v>
      </c>
      <c r="G1424" t="s">
        <v>20460</v>
      </c>
      <c r="H1424" t="s">
        <v>14360</v>
      </c>
      <c r="I1424" t="s">
        <v>10456</v>
      </c>
      <c r="J1424" s="4" t="s">
        <v>12904</v>
      </c>
      <c r="L1424" t="s">
        <v>2935</v>
      </c>
      <c r="M1424" t="s">
        <v>16286</v>
      </c>
      <c r="R1424" t="s">
        <v>18840</v>
      </c>
      <c r="S1424" t="s">
        <v>3819</v>
      </c>
    </row>
    <row r="1425" spans="1:19" x14ac:dyDescent="0.2">
      <c r="A1425" t="s">
        <v>14161</v>
      </c>
      <c r="B1425" t="s">
        <v>14359</v>
      </c>
      <c r="C1425" t="s">
        <v>10457</v>
      </c>
      <c r="D1425" t="str">
        <f>_xlfn.XLOOKUP(E1425,pathways!$A$2:$A$31,pathways!$B$2:$B$31)</f>
        <v>Unknown</v>
      </c>
      <c r="E1425" t="s">
        <v>18840</v>
      </c>
      <c r="F1425" t="s">
        <v>18840</v>
      </c>
      <c r="G1425" t="s">
        <v>14360</v>
      </c>
      <c r="H1425" t="s">
        <v>14360</v>
      </c>
      <c r="I1425" t="s">
        <v>10457</v>
      </c>
      <c r="J1425" s="4" t="s">
        <v>14360</v>
      </c>
      <c r="L1425" t="s">
        <v>2937</v>
      </c>
      <c r="M1425" t="s">
        <v>16288</v>
      </c>
      <c r="O1425" t="s">
        <v>14360</v>
      </c>
      <c r="Q1425" t="s">
        <v>14360</v>
      </c>
      <c r="R1425" t="s">
        <v>18840</v>
      </c>
      <c r="S1425" t="s">
        <v>3819</v>
      </c>
    </row>
    <row r="1426" spans="1:19" x14ac:dyDescent="0.2">
      <c r="A1426" t="s">
        <v>2916</v>
      </c>
      <c r="B1426" t="s">
        <v>14359</v>
      </c>
      <c r="C1426" t="s">
        <v>10458</v>
      </c>
      <c r="D1426" t="str">
        <f>_xlfn.XLOOKUP(E1426,pathways!$A$2:$A$31,pathways!$B$2:$B$31)</f>
        <v>Unknown</v>
      </c>
      <c r="E1426" t="s">
        <v>18840</v>
      </c>
      <c r="F1426" t="s">
        <v>18840</v>
      </c>
      <c r="G1426" t="s">
        <v>20604</v>
      </c>
      <c r="H1426" t="s">
        <v>14360</v>
      </c>
      <c r="I1426" t="s">
        <v>10458</v>
      </c>
      <c r="J1426" s="4" t="s">
        <v>12906</v>
      </c>
      <c r="L1426" t="s">
        <v>2915</v>
      </c>
      <c r="M1426" t="s">
        <v>16266</v>
      </c>
      <c r="R1426" t="s">
        <v>18840</v>
      </c>
      <c r="S1426" t="s">
        <v>3819</v>
      </c>
    </row>
    <row r="1427" spans="1:19" x14ac:dyDescent="0.2">
      <c r="A1427" t="s">
        <v>14162</v>
      </c>
      <c r="B1427" t="s">
        <v>14359</v>
      </c>
      <c r="C1427" t="s">
        <v>10459</v>
      </c>
      <c r="D1427" t="str">
        <f>_xlfn.XLOOKUP(E1427,pathways!$A$2:$A$31,pathways!$B$2:$B$31)</f>
        <v>Unknown</v>
      </c>
      <c r="E1427" t="s">
        <v>18840</v>
      </c>
      <c r="F1427" t="s">
        <v>18840</v>
      </c>
      <c r="G1427" t="s">
        <v>20681</v>
      </c>
      <c r="H1427" t="s">
        <v>14360</v>
      </c>
      <c r="I1427" t="s">
        <v>10459</v>
      </c>
      <c r="J1427" s="4" t="s">
        <v>14360</v>
      </c>
      <c r="L1427" t="s">
        <v>2923</v>
      </c>
      <c r="M1427" t="s">
        <v>16272</v>
      </c>
      <c r="O1427" t="s">
        <v>14360</v>
      </c>
      <c r="Q1427" t="s">
        <v>14360</v>
      </c>
      <c r="R1427" t="s">
        <v>18840</v>
      </c>
      <c r="S1427" t="s">
        <v>14360</v>
      </c>
    </row>
    <row r="1428" spans="1:19" x14ac:dyDescent="0.2">
      <c r="A1428" t="s">
        <v>2930</v>
      </c>
      <c r="B1428" t="s">
        <v>14359</v>
      </c>
      <c r="C1428" t="s">
        <v>10460</v>
      </c>
      <c r="D1428" t="str">
        <f>_xlfn.XLOOKUP(E1428,pathways!$A$2:$A$31,pathways!$B$2:$B$31)</f>
        <v>Unknown</v>
      </c>
      <c r="E1428" t="s">
        <v>18840</v>
      </c>
      <c r="F1428" t="s">
        <v>18840</v>
      </c>
      <c r="G1428" t="s">
        <v>20642</v>
      </c>
      <c r="H1428" t="s">
        <v>14360</v>
      </c>
      <c r="I1428" t="s">
        <v>10460</v>
      </c>
      <c r="J1428" s="4" t="s">
        <v>12908</v>
      </c>
      <c r="L1428" t="s">
        <v>2929</v>
      </c>
      <c r="M1428" t="s">
        <v>16280</v>
      </c>
      <c r="R1428" t="s">
        <v>18840</v>
      </c>
      <c r="S1428" t="s">
        <v>3873</v>
      </c>
    </row>
    <row r="1429" spans="1:19" x14ac:dyDescent="0.2">
      <c r="A1429" t="s">
        <v>2918</v>
      </c>
      <c r="B1429" t="s">
        <v>14359</v>
      </c>
      <c r="C1429" t="s">
        <v>10461</v>
      </c>
      <c r="D1429" t="str">
        <f>_xlfn.XLOOKUP(E1429,pathways!$A$2:$A$31,pathways!$B$2:$B$31)</f>
        <v>Unknown</v>
      </c>
      <c r="E1429" t="s">
        <v>18840</v>
      </c>
      <c r="F1429" t="s">
        <v>18840</v>
      </c>
      <c r="G1429" t="s">
        <v>14360</v>
      </c>
      <c r="H1429" t="s">
        <v>14360</v>
      </c>
      <c r="I1429" t="s">
        <v>10461</v>
      </c>
      <c r="J1429" s="4" t="s">
        <v>14360</v>
      </c>
      <c r="L1429" t="s">
        <v>2917</v>
      </c>
      <c r="M1429" t="s">
        <v>16268</v>
      </c>
      <c r="O1429" t="s">
        <v>14360</v>
      </c>
      <c r="Q1429" t="s">
        <v>14360</v>
      </c>
      <c r="R1429" t="s">
        <v>18840</v>
      </c>
      <c r="S1429" t="s">
        <v>3560</v>
      </c>
    </row>
    <row r="1430" spans="1:19" x14ac:dyDescent="0.2">
      <c r="A1430" t="s">
        <v>2920</v>
      </c>
      <c r="B1430" t="s">
        <v>14359</v>
      </c>
      <c r="C1430" t="s">
        <v>10462</v>
      </c>
      <c r="D1430" t="str">
        <f>_xlfn.XLOOKUP(E1430,pathways!$A$2:$A$31,pathways!$B$2:$B$31)</f>
        <v>Unknown</v>
      </c>
      <c r="E1430" t="s">
        <v>18840</v>
      </c>
      <c r="F1430" t="s">
        <v>18840</v>
      </c>
      <c r="G1430" t="s">
        <v>14360</v>
      </c>
      <c r="H1430" t="s">
        <v>14360</v>
      </c>
      <c r="I1430" t="s">
        <v>10462</v>
      </c>
      <c r="J1430" s="4" t="s">
        <v>14360</v>
      </c>
      <c r="L1430" t="s">
        <v>2919</v>
      </c>
      <c r="M1430" t="s">
        <v>16269</v>
      </c>
      <c r="O1430" t="s">
        <v>14360</v>
      </c>
      <c r="Q1430" t="s">
        <v>14360</v>
      </c>
      <c r="R1430" t="s">
        <v>18840</v>
      </c>
      <c r="S1430" t="s">
        <v>3873</v>
      </c>
    </row>
    <row r="1431" spans="1:19" x14ac:dyDescent="0.2">
      <c r="A1431" t="s">
        <v>14163</v>
      </c>
      <c r="B1431" t="s">
        <v>14359</v>
      </c>
      <c r="C1431" t="s">
        <v>10463</v>
      </c>
      <c r="D1431" t="str">
        <f>_xlfn.XLOOKUP(E1431,pathways!$A$2:$A$31,pathways!$B$2:$B$31)</f>
        <v>Unknown</v>
      </c>
      <c r="E1431" t="s">
        <v>18840</v>
      </c>
      <c r="F1431" t="s">
        <v>18840</v>
      </c>
      <c r="G1431" t="s">
        <v>14360</v>
      </c>
      <c r="H1431" t="s">
        <v>14360</v>
      </c>
      <c r="I1431" t="s">
        <v>10463</v>
      </c>
      <c r="J1431" s="4" t="s">
        <v>14360</v>
      </c>
      <c r="L1431" t="s">
        <v>2910</v>
      </c>
      <c r="M1431" t="s">
        <v>16261</v>
      </c>
      <c r="O1431" t="s">
        <v>14360</v>
      </c>
      <c r="Q1431" t="s">
        <v>14360</v>
      </c>
      <c r="R1431" t="s">
        <v>18840</v>
      </c>
      <c r="S1431" t="s">
        <v>3768</v>
      </c>
    </row>
    <row r="1432" spans="1:19" x14ac:dyDescent="0.2">
      <c r="A1432" t="s">
        <v>2946</v>
      </c>
      <c r="B1432" t="s">
        <v>14359</v>
      </c>
      <c r="C1432" t="s">
        <v>10464</v>
      </c>
      <c r="D1432" t="str">
        <f>_xlfn.XLOOKUP(E1432,pathways!$A$2:$A$31,pathways!$B$2:$B$31)</f>
        <v>Unknown</v>
      </c>
      <c r="E1432" t="s">
        <v>18840</v>
      </c>
      <c r="F1432" t="s">
        <v>18840</v>
      </c>
      <c r="G1432" t="s">
        <v>20613</v>
      </c>
      <c r="H1432" t="s">
        <v>14360</v>
      </c>
      <c r="I1432" t="s">
        <v>10464</v>
      </c>
      <c r="J1432" s="4" t="s">
        <v>14360</v>
      </c>
      <c r="L1432" t="s">
        <v>2945</v>
      </c>
      <c r="M1432" t="s">
        <v>16298</v>
      </c>
      <c r="O1432" t="s">
        <v>14360</v>
      </c>
      <c r="Q1432" t="s">
        <v>14360</v>
      </c>
      <c r="R1432" t="s">
        <v>18840</v>
      </c>
      <c r="S1432" t="s">
        <v>14360</v>
      </c>
    </row>
    <row r="1433" spans="1:19" x14ac:dyDescent="0.2">
      <c r="A1433" t="s">
        <v>14164</v>
      </c>
      <c r="B1433" t="s">
        <v>14359</v>
      </c>
      <c r="C1433" t="s">
        <v>10465</v>
      </c>
      <c r="D1433" t="str">
        <f>_xlfn.XLOOKUP(E1433,pathways!$A$2:$A$31,pathways!$B$2:$B$31)</f>
        <v>Unknown</v>
      </c>
      <c r="E1433" t="s">
        <v>18840</v>
      </c>
      <c r="F1433" t="s">
        <v>18840</v>
      </c>
      <c r="G1433" t="s">
        <v>14360</v>
      </c>
      <c r="H1433" t="s">
        <v>14360</v>
      </c>
      <c r="I1433" t="s">
        <v>10465</v>
      </c>
      <c r="J1433" s="4" t="s">
        <v>14360</v>
      </c>
      <c r="L1433" t="s">
        <v>14360</v>
      </c>
      <c r="M1433" t="s">
        <v>14360</v>
      </c>
      <c r="O1433" t="s">
        <v>14360</v>
      </c>
      <c r="Q1433" t="s">
        <v>14360</v>
      </c>
      <c r="R1433" t="s">
        <v>14360</v>
      </c>
      <c r="S1433" t="s">
        <v>14360</v>
      </c>
    </row>
    <row r="1434" spans="1:19" x14ac:dyDescent="0.2">
      <c r="A1434" t="s">
        <v>2948</v>
      </c>
      <c r="B1434" t="s">
        <v>14359</v>
      </c>
      <c r="C1434" t="s">
        <v>10466</v>
      </c>
      <c r="D1434" t="str">
        <f>_xlfn.XLOOKUP(E1434,pathways!$A$2:$A$31,pathways!$B$2:$B$31)</f>
        <v>Unknown</v>
      </c>
      <c r="E1434" t="s">
        <v>18840</v>
      </c>
      <c r="F1434" t="s">
        <v>18840</v>
      </c>
      <c r="G1434" t="s">
        <v>20671</v>
      </c>
      <c r="H1434" t="s">
        <v>14360</v>
      </c>
      <c r="I1434" t="s">
        <v>10466</v>
      </c>
      <c r="J1434" s="4" t="s">
        <v>14360</v>
      </c>
      <c r="L1434" t="s">
        <v>2947</v>
      </c>
      <c r="M1434" t="s">
        <v>16299</v>
      </c>
      <c r="O1434" t="s">
        <v>14360</v>
      </c>
      <c r="Q1434" t="s">
        <v>14360</v>
      </c>
      <c r="R1434" t="s">
        <v>18840</v>
      </c>
      <c r="S1434" t="s">
        <v>14360</v>
      </c>
    </row>
    <row r="1435" spans="1:19" x14ac:dyDescent="0.2">
      <c r="A1435" t="s">
        <v>14165</v>
      </c>
      <c r="B1435" t="s">
        <v>14359</v>
      </c>
      <c r="C1435" t="s">
        <v>10467</v>
      </c>
      <c r="D1435" t="str">
        <f>_xlfn.XLOOKUP(E1435,pathways!$A$2:$A$31,pathways!$B$2:$B$31)</f>
        <v>Unknown</v>
      </c>
      <c r="E1435" t="s">
        <v>18840</v>
      </c>
      <c r="F1435" t="s">
        <v>18840</v>
      </c>
      <c r="G1435" t="s">
        <v>14360</v>
      </c>
      <c r="H1435" t="s">
        <v>14360</v>
      </c>
      <c r="I1435" t="s">
        <v>10467</v>
      </c>
      <c r="J1435" s="4" t="s">
        <v>12910</v>
      </c>
      <c r="L1435" t="s">
        <v>14360</v>
      </c>
      <c r="M1435" t="s">
        <v>14360</v>
      </c>
      <c r="R1435" t="s">
        <v>14360</v>
      </c>
      <c r="S1435" t="s">
        <v>4373</v>
      </c>
    </row>
    <row r="1436" spans="1:19" x14ac:dyDescent="0.2">
      <c r="A1436" t="s">
        <v>2940</v>
      </c>
      <c r="B1436" t="s">
        <v>14359</v>
      </c>
      <c r="C1436" t="s">
        <v>10468</v>
      </c>
      <c r="D1436" t="str">
        <f>_xlfn.XLOOKUP(E1436,pathways!$A$2:$A$31,pathways!$B$2:$B$31)</f>
        <v>Unknown</v>
      </c>
      <c r="E1436" t="s">
        <v>18840</v>
      </c>
      <c r="F1436" t="s">
        <v>18840</v>
      </c>
      <c r="G1436" t="s">
        <v>20585</v>
      </c>
      <c r="H1436" t="s">
        <v>14360</v>
      </c>
      <c r="I1436" t="s">
        <v>10468</v>
      </c>
      <c r="J1436" s="4" t="s">
        <v>12912</v>
      </c>
      <c r="L1436" t="s">
        <v>2939</v>
      </c>
      <c r="M1436" t="s">
        <v>16292</v>
      </c>
      <c r="R1436" t="s">
        <v>18840</v>
      </c>
      <c r="S1436" t="s">
        <v>4373</v>
      </c>
    </row>
    <row r="1437" spans="1:19" x14ac:dyDescent="0.2">
      <c r="A1437" t="s">
        <v>2956</v>
      </c>
      <c r="B1437" t="s">
        <v>14359</v>
      </c>
      <c r="C1437" t="s">
        <v>10469</v>
      </c>
      <c r="D1437" t="str">
        <f>_xlfn.XLOOKUP(E1437,pathways!$A$2:$A$31,pathways!$B$2:$B$31)</f>
        <v>Unknown</v>
      </c>
      <c r="E1437" t="s">
        <v>18840</v>
      </c>
      <c r="F1437" t="s">
        <v>18840</v>
      </c>
      <c r="G1437" t="s">
        <v>20584</v>
      </c>
      <c r="H1437" t="s">
        <v>14360</v>
      </c>
      <c r="I1437" t="s">
        <v>10469</v>
      </c>
      <c r="J1437" s="4" t="s">
        <v>12914</v>
      </c>
      <c r="L1437" t="s">
        <v>2955</v>
      </c>
      <c r="M1437" t="s">
        <v>16306</v>
      </c>
      <c r="R1437" t="s">
        <v>18840</v>
      </c>
      <c r="S1437" t="s">
        <v>5632</v>
      </c>
    </row>
    <row r="1438" spans="1:19" x14ac:dyDescent="0.2">
      <c r="A1438" t="s">
        <v>2942</v>
      </c>
      <c r="B1438" t="s">
        <v>14359</v>
      </c>
      <c r="C1438" t="s">
        <v>10470</v>
      </c>
      <c r="D1438" t="str">
        <f>_xlfn.XLOOKUP(E1438,pathways!$A$2:$A$31,pathways!$B$2:$B$31)</f>
        <v>Unknown</v>
      </c>
      <c r="E1438" t="s">
        <v>18840</v>
      </c>
      <c r="F1438" t="s">
        <v>18840</v>
      </c>
      <c r="G1438" t="s">
        <v>20509</v>
      </c>
      <c r="H1438" t="s">
        <v>14360</v>
      </c>
      <c r="I1438" t="s">
        <v>10470</v>
      </c>
      <c r="J1438" s="4" t="s">
        <v>14360</v>
      </c>
      <c r="L1438" t="s">
        <v>2941</v>
      </c>
      <c r="M1438" t="s">
        <v>16294</v>
      </c>
      <c r="O1438" t="s">
        <v>14360</v>
      </c>
      <c r="Q1438" t="s">
        <v>14360</v>
      </c>
      <c r="R1438" t="s">
        <v>18840</v>
      </c>
      <c r="S1438" t="s">
        <v>5600</v>
      </c>
    </row>
    <row r="1439" spans="1:19" x14ac:dyDescent="0.2">
      <c r="A1439" t="s">
        <v>2950</v>
      </c>
      <c r="B1439" t="s">
        <v>14359</v>
      </c>
      <c r="C1439" t="s">
        <v>10471</v>
      </c>
      <c r="D1439" t="str">
        <f>_xlfn.XLOOKUP(E1439,pathways!$A$2:$A$31,pathways!$B$2:$B$31)</f>
        <v>Unknown</v>
      </c>
      <c r="E1439" t="s">
        <v>18840</v>
      </c>
      <c r="F1439" t="s">
        <v>18840</v>
      </c>
      <c r="G1439" t="s">
        <v>20610</v>
      </c>
      <c r="H1439" t="s">
        <v>14360</v>
      </c>
      <c r="I1439" t="s">
        <v>10471</v>
      </c>
      <c r="J1439" s="4" t="s">
        <v>12916</v>
      </c>
      <c r="L1439" t="s">
        <v>2949</v>
      </c>
      <c r="M1439" t="s">
        <v>16301</v>
      </c>
      <c r="R1439" t="s">
        <v>18840</v>
      </c>
      <c r="S1439" t="s">
        <v>3882</v>
      </c>
    </row>
    <row r="1440" spans="1:19" x14ac:dyDescent="0.2">
      <c r="A1440" t="s">
        <v>14166</v>
      </c>
      <c r="B1440" t="s">
        <v>14359</v>
      </c>
      <c r="C1440" t="s">
        <v>10472</v>
      </c>
      <c r="D1440" t="str">
        <f>_xlfn.XLOOKUP(E1440,pathways!$A$2:$A$31,pathways!$B$2:$B$31)</f>
        <v>Unknown</v>
      </c>
      <c r="E1440" t="s">
        <v>18840</v>
      </c>
      <c r="F1440" t="s">
        <v>18840</v>
      </c>
      <c r="G1440" t="s">
        <v>14360</v>
      </c>
      <c r="H1440" t="s">
        <v>14360</v>
      </c>
      <c r="I1440" t="s">
        <v>10472</v>
      </c>
      <c r="J1440" s="4" t="s">
        <v>14360</v>
      </c>
      <c r="L1440" t="s">
        <v>14360</v>
      </c>
      <c r="M1440" t="s">
        <v>14360</v>
      </c>
      <c r="O1440" t="s">
        <v>14360</v>
      </c>
      <c r="Q1440" t="s">
        <v>14360</v>
      </c>
      <c r="R1440" t="s">
        <v>14360</v>
      </c>
      <c r="S1440" t="s">
        <v>14360</v>
      </c>
    </row>
    <row r="1441" spans="1:19" x14ac:dyDescent="0.2">
      <c r="A1441" t="s">
        <v>2944</v>
      </c>
      <c r="B1441" t="s">
        <v>14359</v>
      </c>
      <c r="C1441" t="s">
        <v>10473</v>
      </c>
      <c r="D1441" t="str">
        <f>_xlfn.XLOOKUP(E1441,pathways!$A$2:$A$31,pathways!$B$2:$B$31)</f>
        <v>Unknown</v>
      </c>
      <c r="E1441" t="s">
        <v>18840</v>
      </c>
      <c r="F1441" t="s">
        <v>18840</v>
      </c>
      <c r="G1441" t="s">
        <v>14360</v>
      </c>
      <c r="H1441" t="s">
        <v>14360</v>
      </c>
      <c r="I1441" t="s">
        <v>10473</v>
      </c>
      <c r="J1441" s="4" t="s">
        <v>14360</v>
      </c>
      <c r="L1441" t="s">
        <v>2943</v>
      </c>
      <c r="M1441" t="s">
        <v>16296</v>
      </c>
      <c r="O1441" t="s">
        <v>14360</v>
      </c>
      <c r="Q1441" t="s">
        <v>14360</v>
      </c>
      <c r="R1441" t="s">
        <v>18840</v>
      </c>
      <c r="S1441" t="s">
        <v>3864</v>
      </c>
    </row>
    <row r="1442" spans="1:19" x14ac:dyDescent="0.2">
      <c r="A1442" t="s">
        <v>2958</v>
      </c>
      <c r="B1442" t="s">
        <v>14359</v>
      </c>
      <c r="C1442" t="s">
        <v>10474</v>
      </c>
      <c r="D1442" t="str">
        <f>_xlfn.XLOOKUP(E1442,pathways!$A$2:$A$31,pathways!$B$2:$B$31)</f>
        <v>Unknown</v>
      </c>
      <c r="E1442" t="s">
        <v>18840</v>
      </c>
      <c r="F1442" t="s">
        <v>18840</v>
      </c>
      <c r="G1442" t="s">
        <v>20545</v>
      </c>
      <c r="H1442" t="s">
        <v>14360</v>
      </c>
      <c r="I1442" t="s">
        <v>10474</v>
      </c>
      <c r="J1442" s="4" t="s">
        <v>14360</v>
      </c>
      <c r="L1442" t="s">
        <v>2957</v>
      </c>
      <c r="M1442" t="s">
        <v>16308</v>
      </c>
      <c r="O1442" t="s">
        <v>14360</v>
      </c>
      <c r="Q1442" t="s">
        <v>14360</v>
      </c>
      <c r="R1442" t="s">
        <v>18840</v>
      </c>
      <c r="S1442" t="s">
        <v>3687</v>
      </c>
    </row>
    <row r="1443" spans="1:19" x14ac:dyDescent="0.2">
      <c r="A1443" t="s">
        <v>2271</v>
      </c>
      <c r="B1443" t="s">
        <v>14359</v>
      </c>
      <c r="C1443" t="s">
        <v>20393</v>
      </c>
      <c r="D1443" t="str">
        <f>_xlfn.XLOOKUP(E1443,pathways!$A$2:$A$31,pathways!$B$2:$B$31)</f>
        <v>Unknown</v>
      </c>
      <c r="E1443" t="s">
        <v>18840</v>
      </c>
      <c r="F1443" t="s">
        <v>18840</v>
      </c>
      <c r="G1443" t="s">
        <v>14360</v>
      </c>
      <c r="H1443" t="s">
        <v>14360</v>
      </c>
      <c r="I1443" t="s">
        <v>14360</v>
      </c>
      <c r="J1443" s="4" t="s">
        <v>12918</v>
      </c>
      <c r="L1443" t="s">
        <v>14360</v>
      </c>
      <c r="M1443" t="s">
        <v>14360</v>
      </c>
      <c r="N1443" t="s">
        <v>14360</v>
      </c>
      <c r="P1443" t="s">
        <v>14360</v>
      </c>
      <c r="R1443" t="s">
        <v>14360</v>
      </c>
      <c r="S1443" t="s">
        <v>3498</v>
      </c>
    </row>
    <row r="1444" spans="1:19" x14ac:dyDescent="0.2">
      <c r="A1444" t="s">
        <v>2960</v>
      </c>
      <c r="B1444" t="s">
        <v>14359</v>
      </c>
      <c r="C1444" t="s">
        <v>10475</v>
      </c>
      <c r="D1444" t="str">
        <f>_xlfn.XLOOKUP(E1444,pathways!$A$2:$A$31,pathways!$B$2:$B$31)</f>
        <v>Unknown</v>
      </c>
      <c r="E1444" t="s">
        <v>18840</v>
      </c>
      <c r="F1444" t="s">
        <v>18840</v>
      </c>
      <c r="G1444" t="s">
        <v>14360</v>
      </c>
      <c r="H1444" t="s">
        <v>14360</v>
      </c>
      <c r="I1444" t="s">
        <v>10475</v>
      </c>
      <c r="J1444" s="4" t="s">
        <v>14360</v>
      </c>
      <c r="L1444" t="s">
        <v>2959</v>
      </c>
      <c r="M1444" t="s">
        <v>16310</v>
      </c>
      <c r="O1444" t="s">
        <v>14360</v>
      </c>
      <c r="Q1444" t="s">
        <v>14360</v>
      </c>
      <c r="R1444" t="s">
        <v>18840</v>
      </c>
      <c r="S1444" t="s">
        <v>14360</v>
      </c>
    </row>
    <row r="1445" spans="1:19" x14ac:dyDescent="0.2">
      <c r="A1445" t="s">
        <v>2954</v>
      </c>
      <c r="B1445" t="s">
        <v>14359</v>
      </c>
      <c r="C1445" t="s">
        <v>10476</v>
      </c>
      <c r="D1445" t="str">
        <f>_xlfn.XLOOKUP(E1445,pathways!$A$2:$A$31,pathways!$B$2:$B$31)</f>
        <v>Unknown</v>
      </c>
      <c r="E1445" t="s">
        <v>18840</v>
      </c>
      <c r="F1445" t="s">
        <v>18840</v>
      </c>
      <c r="G1445" t="s">
        <v>20570</v>
      </c>
      <c r="H1445" t="s">
        <v>14360</v>
      </c>
      <c r="I1445" t="s">
        <v>10476</v>
      </c>
      <c r="J1445" s="4" t="s">
        <v>12920</v>
      </c>
      <c r="L1445" t="s">
        <v>2953</v>
      </c>
      <c r="M1445" t="s">
        <v>16305</v>
      </c>
      <c r="R1445" t="s">
        <v>18840</v>
      </c>
    </row>
    <row r="1446" spans="1:19" x14ac:dyDescent="0.2">
      <c r="A1446" t="s">
        <v>2952</v>
      </c>
      <c r="B1446" t="s">
        <v>14359</v>
      </c>
      <c r="C1446" t="s">
        <v>10477</v>
      </c>
      <c r="D1446" t="str">
        <f>_xlfn.XLOOKUP(E1446,pathways!$A$2:$A$31,pathways!$B$2:$B$31)</f>
        <v>Unknown</v>
      </c>
      <c r="E1446" t="s">
        <v>18840</v>
      </c>
      <c r="F1446" t="s">
        <v>18840</v>
      </c>
      <c r="G1446" t="s">
        <v>20573</v>
      </c>
      <c r="H1446" t="s">
        <v>14360</v>
      </c>
      <c r="I1446" t="s">
        <v>10477</v>
      </c>
      <c r="J1446" s="4" t="s">
        <v>12922</v>
      </c>
      <c r="L1446" t="s">
        <v>2951</v>
      </c>
      <c r="M1446" t="s">
        <v>16303</v>
      </c>
      <c r="R1446" t="s">
        <v>18840</v>
      </c>
    </row>
    <row r="1447" spans="1:19" x14ac:dyDescent="0.2">
      <c r="A1447" t="s">
        <v>14295</v>
      </c>
      <c r="B1447" t="s">
        <v>14359</v>
      </c>
      <c r="C1447" t="s">
        <v>20394</v>
      </c>
      <c r="D1447" t="str">
        <f>_xlfn.XLOOKUP(E1447,pathways!$A$2:$A$31,pathways!$B$2:$B$31)</f>
        <v>Unknown</v>
      </c>
      <c r="E1447" t="s">
        <v>18840</v>
      </c>
      <c r="F1447" t="s">
        <v>18840</v>
      </c>
      <c r="G1447" t="s">
        <v>14360</v>
      </c>
      <c r="H1447" t="s">
        <v>14360</v>
      </c>
      <c r="I1447" t="s">
        <v>14360</v>
      </c>
      <c r="J1447" s="4" t="s">
        <v>12924</v>
      </c>
      <c r="L1447" t="s">
        <v>14360</v>
      </c>
      <c r="M1447" t="s">
        <v>14360</v>
      </c>
      <c r="N1447" t="s">
        <v>14360</v>
      </c>
      <c r="P1447" t="s">
        <v>14360</v>
      </c>
      <c r="R1447" t="s">
        <v>14360</v>
      </c>
    </row>
    <row r="1448" spans="1:19" x14ac:dyDescent="0.2">
      <c r="A1448" t="s">
        <v>2962</v>
      </c>
      <c r="B1448" t="s">
        <v>14359</v>
      </c>
      <c r="C1448" t="s">
        <v>10478</v>
      </c>
      <c r="D1448" t="str">
        <f>_xlfn.XLOOKUP(E1448,pathways!$A$2:$A$31,pathways!$B$2:$B$31)</f>
        <v>Unknown</v>
      </c>
      <c r="E1448" t="s">
        <v>18840</v>
      </c>
      <c r="F1448" t="s">
        <v>18840</v>
      </c>
      <c r="G1448" t="s">
        <v>20603</v>
      </c>
      <c r="H1448" t="s">
        <v>14360</v>
      </c>
      <c r="I1448" t="s">
        <v>10478</v>
      </c>
      <c r="J1448" s="4" t="s">
        <v>12926</v>
      </c>
      <c r="L1448" t="s">
        <v>2961</v>
      </c>
      <c r="M1448" t="s">
        <v>16311</v>
      </c>
      <c r="R1448" t="s">
        <v>18840</v>
      </c>
    </row>
    <row r="1449" spans="1:19" x14ac:dyDescent="0.2">
      <c r="A1449" t="s">
        <v>1374</v>
      </c>
      <c r="B1449" t="s">
        <v>14359</v>
      </c>
      <c r="C1449" t="s">
        <v>20395</v>
      </c>
      <c r="D1449" t="str">
        <f>_xlfn.XLOOKUP(E1449,pathways!$A$2:$A$31,pathways!$B$2:$B$31)</f>
        <v>Unknown</v>
      </c>
      <c r="E1449" t="s">
        <v>18840</v>
      </c>
      <c r="F1449" t="s">
        <v>18840</v>
      </c>
      <c r="G1449" t="s">
        <v>14360</v>
      </c>
      <c r="H1449" t="s">
        <v>14360</v>
      </c>
      <c r="I1449" t="s">
        <v>14360</v>
      </c>
      <c r="J1449" s="4" t="s">
        <v>12928</v>
      </c>
      <c r="L1449" t="s">
        <v>14360</v>
      </c>
      <c r="M1449" t="s">
        <v>14360</v>
      </c>
      <c r="N1449" t="s">
        <v>14360</v>
      </c>
      <c r="P1449" t="s">
        <v>14360</v>
      </c>
      <c r="R1449" t="s">
        <v>14360</v>
      </c>
    </row>
    <row r="1450" spans="1:19" x14ac:dyDescent="0.2">
      <c r="A1450" t="s">
        <v>2976</v>
      </c>
      <c r="B1450" t="s">
        <v>14359</v>
      </c>
      <c r="C1450" t="s">
        <v>17117</v>
      </c>
      <c r="D1450" t="str">
        <f>_xlfn.XLOOKUP(E1450,pathways!$A$2:$A$31,pathways!$B$2:$B$31)</f>
        <v>Unknown</v>
      </c>
      <c r="E1450" t="s">
        <v>18840</v>
      </c>
      <c r="F1450" t="s">
        <v>18840</v>
      </c>
      <c r="G1450" t="s">
        <v>14360</v>
      </c>
      <c r="H1450" t="s">
        <v>14360</v>
      </c>
      <c r="I1450" t="s">
        <v>14360</v>
      </c>
      <c r="J1450" s="4" t="s">
        <v>12930</v>
      </c>
      <c r="L1450" t="s">
        <v>2975</v>
      </c>
      <c r="M1450" t="s">
        <v>16329</v>
      </c>
      <c r="N1450" t="s">
        <v>14360</v>
      </c>
      <c r="P1450" t="s">
        <v>14360</v>
      </c>
      <c r="R1450" t="s">
        <v>18840</v>
      </c>
    </row>
    <row r="1451" spans="1:19" x14ac:dyDescent="0.2">
      <c r="A1451" t="s">
        <v>2970</v>
      </c>
      <c r="B1451" t="s">
        <v>14359</v>
      </c>
      <c r="C1451" t="s">
        <v>10479</v>
      </c>
      <c r="D1451" t="str">
        <f>_xlfn.XLOOKUP(E1451,pathways!$A$2:$A$31,pathways!$B$2:$B$31)</f>
        <v>Unknown</v>
      </c>
      <c r="E1451" t="s">
        <v>18840</v>
      </c>
      <c r="F1451" t="s">
        <v>18840</v>
      </c>
      <c r="G1451" t="s">
        <v>20693</v>
      </c>
      <c r="H1451" t="s">
        <v>14360</v>
      </c>
      <c r="I1451" t="s">
        <v>10479</v>
      </c>
      <c r="J1451" s="4" t="s">
        <v>12932</v>
      </c>
      <c r="L1451" t="s">
        <v>2969</v>
      </c>
      <c r="M1451" t="s">
        <v>16321</v>
      </c>
      <c r="R1451" t="s">
        <v>18840</v>
      </c>
    </row>
    <row r="1452" spans="1:19" x14ac:dyDescent="0.2">
      <c r="A1452" t="s">
        <v>14167</v>
      </c>
      <c r="B1452" t="s">
        <v>14359</v>
      </c>
      <c r="C1452" t="s">
        <v>10480</v>
      </c>
      <c r="D1452" t="str">
        <f>_xlfn.XLOOKUP(E1452,pathways!$A$2:$A$31,pathways!$B$2:$B$31)</f>
        <v>Unknown</v>
      </c>
      <c r="E1452" t="s">
        <v>18840</v>
      </c>
      <c r="F1452" t="s">
        <v>18840</v>
      </c>
      <c r="G1452" t="s">
        <v>14360</v>
      </c>
      <c r="H1452" t="s">
        <v>14360</v>
      </c>
      <c r="I1452" t="s">
        <v>10480</v>
      </c>
      <c r="J1452" s="4" t="s">
        <v>14360</v>
      </c>
      <c r="L1452" t="s">
        <v>14360</v>
      </c>
      <c r="M1452" t="s">
        <v>14360</v>
      </c>
      <c r="O1452" t="s">
        <v>14360</v>
      </c>
      <c r="Q1452" t="s">
        <v>14360</v>
      </c>
      <c r="R1452" t="s">
        <v>14360</v>
      </c>
    </row>
    <row r="1453" spans="1:19" x14ac:dyDescent="0.2">
      <c r="A1453" t="s">
        <v>14168</v>
      </c>
      <c r="B1453" t="s">
        <v>14359</v>
      </c>
      <c r="C1453" t="s">
        <v>10481</v>
      </c>
      <c r="D1453" t="str">
        <f>_xlfn.XLOOKUP(E1453,pathways!$A$2:$A$31,pathways!$B$2:$B$31)</f>
        <v>Unknown</v>
      </c>
      <c r="E1453" t="s">
        <v>18840</v>
      </c>
      <c r="F1453" t="s">
        <v>18840</v>
      </c>
      <c r="G1453" t="s">
        <v>20467</v>
      </c>
      <c r="H1453" t="s">
        <v>14360</v>
      </c>
      <c r="I1453" t="s">
        <v>10481</v>
      </c>
      <c r="J1453" s="4" t="s">
        <v>14360</v>
      </c>
      <c r="L1453" t="s">
        <v>14360</v>
      </c>
      <c r="M1453" t="s">
        <v>14360</v>
      </c>
      <c r="O1453" t="s">
        <v>14360</v>
      </c>
      <c r="Q1453" t="s">
        <v>14360</v>
      </c>
      <c r="R1453" t="s">
        <v>14360</v>
      </c>
    </row>
    <row r="1454" spans="1:19" x14ac:dyDescent="0.2">
      <c r="A1454" t="s">
        <v>14169</v>
      </c>
      <c r="B1454" t="s">
        <v>14359</v>
      </c>
      <c r="C1454" t="s">
        <v>10482</v>
      </c>
      <c r="D1454" t="str">
        <f>_xlfn.XLOOKUP(E1454,pathways!$A$2:$A$31,pathways!$B$2:$B$31)</f>
        <v>Unknown</v>
      </c>
      <c r="E1454" t="s">
        <v>18840</v>
      </c>
      <c r="F1454" t="s">
        <v>18840</v>
      </c>
      <c r="G1454" t="s">
        <v>20630</v>
      </c>
      <c r="H1454" t="s">
        <v>14360</v>
      </c>
      <c r="I1454" t="s">
        <v>10482</v>
      </c>
      <c r="J1454" s="4" t="s">
        <v>14360</v>
      </c>
      <c r="L1454" t="s">
        <v>14360</v>
      </c>
      <c r="M1454" t="s">
        <v>14360</v>
      </c>
      <c r="O1454" t="s">
        <v>14360</v>
      </c>
      <c r="Q1454" t="s">
        <v>14360</v>
      </c>
      <c r="R1454" t="s">
        <v>14360</v>
      </c>
    </row>
    <row r="1455" spans="1:19" x14ac:dyDescent="0.2">
      <c r="A1455" t="s">
        <v>14170</v>
      </c>
      <c r="B1455" t="s">
        <v>14359</v>
      </c>
      <c r="C1455" t="s">
        <v>10483</v>
      </c>
      <c r="D1455" t="str">
        <f>_xlfn.XLOOKUP(E1455,pathways!$A$2:$A$31,pathways!$B$2:$B$31)</f>
        <v>Unknown</v>
      </c>
      <c r="E1455" t="s">
        <v>18840</v>
      </c>
      <c r="F1455" t="s">
        <v>18840</v>
      </c>
      <c r="G1455" t="s">
        <v>20594</v>
      </c>
      <c r="H1455" t="s">
        <v>14360</v>
      </c>
      <c r="I1455" t="s">
        <v>10483</v>
      </c>
      <c r="J1455" s="4" t="s">
        <v>14360</v>
      </c>
      <c r="L1455" t="s">
        <v>14360</v>
      </c>
      <c r="M1455" t="s">
        <v>14360</v>
      </c>
      <c r="O1455" t="s">
        <v>14360</v>
      </c>
      <c r="Q1455" t="s">
        <v>14360</v>
      </c>
      <c r="R1455" t="s">
        <v>14360</v>
      </c>
    </row>
    <row r="1456" spans="1:19" x14ac:dyDescent="0.2">
      <c r="A1456" t="s">
        <v>2965</v>
      </c>
      <c r="B1456" t="s">
        <v>14359</v>
      </c>
      <c r="C1456" t="s">
        <v>10484</v>
      </c>
      <c r="D1456" t="str">
        <f>_xlfn.XLOOKUP(E1456,pathways!$A$2:$A$31,pathways!$B$2:$B$31)</f>
        <v>Unknown</v>
      </c>
      <c r="E1456" t="s">
        <v>18840</v>
      </c>
      <c r="F1456" t="s">
        <v>18840</v>
      </c>
      <c r="G1456" t="s">
        <v>14360</v>
      </c>
      <c r="H1456" t="s">
        <v>14360</v>
      </c>
      <c r="I1456" t="s">
        <v>10484</v>
      </c>
      <c r="J1456" s="4" t="s">
        <v>12934</v>
      </c>
      <c r="L1456" t="s">
        <v>2964</v>
      </c>
      <c r="M1456" t="s">
        <v>16315</v>
      </c>
      <c r="R1456" t="s">
        <v>18840</v>
      </c>
    </row>
    <row r="1457" spans="1:19" x14ac:dyDescent="0.2">
      <c r="A1457" t="s">
        <v>14171</v>
      </c>
      <c r="B1457" t="s">
        <v>14359</v>
      </c>
      <c r="C1457" t="s">
        <v>10485</v>
      </c>
      <c r="D1457" t="str">
        <f>_xlfn.XLOOKUP(E1457,pathways!$A$2:$A$31,pathways!$B$2:$B$31)</f>
        <v>Unknown</v>
      </c>
      <c r="E1457" t="s">
        <v>18840</v>
      </c>
      <c r="F1457" t="s">
        <v>18840</v>
      </c>
      <c r="G1457" t="s">
        <v>20505</v>
      </c>
      <c r="H1457" t="s">
        <v>14360</v>
      </c>
      <c r="I1457" t="s">
        <v>10485</v>
      </c>
      <c r="J1457" s="4" t="s">
        <v>14360</v>
      </c>
      <c r="L1457" t="s">
        <v>14360</v>
      </c>
      <c r="M1457" t="s">
        <v>14360</v>
      </c>
      <c r="O1457" t="s">
        <v>14360</v>
      </c>
      <c r="Q1457" t="s">
        <v>14360</v>
      </c>
      <c r="R1457" t="s">
        <v>14360</v>
      </c>
    </row>
    <row r="1458" spans="1:19" x14ac:dyDescent="0.2">
      <c r="A1458" t="s">
        <v>14172</v>
      </c>
      <c r="B1458" t="s">
        <v>14359</v>
      </c>
      <c r="C1458" t="s">
        <v>10486</v>
      </c>
      <c r="D1458" t="str">
        <f>_xlfn.XLOOKUP(E1458,pathways!$A$2:$A$31,pathways!$B$2:$B$31)</f>
        <v>Unknown</v>
      </c>
      <c r="E1458" t="s">
        <v>18840</v>
      </c>
      <c r="F1458" t="s">
        <v>18840</v>
      </c>
      <c r="G1458" t="s">
        <v>20645</v>
      </c>
      <c r="H1458" t="s">
        <v>14360</v>
      </c>
      <c r="I1458" t="s">
        <v>10486</v>
      </c>
      <c r="J1458" s="4" t="s">
        <v>14360</v>
      </c>
      <c r="L1458" t="s">
        <v>14360</v>
      </c>
      <c r="M1458" t="s">
        <v>14360</v>
      </c>
      <c r="O1458" t="s">
        <v>14360</v>
      </c>
      <c r="Q1458" t="s">
        <v>14360</v>
      </c>
      <c r="R1458" t="s">
        <v>14360</v>
      </c>
    </row>
    <row r="1459" spans="1:19" x14ac:dyDescent="0.2">
      <c r="A1459" t="s">
        <v>14296</v>
      </c>
      <c r="B1459" t="s">
        <v>14359</v>
      </c>
      <c r="C1459" t="s">
        <v>20396</v>
      </c>
      <c r="D1459" t="str">
        <f>_xlfn.XLOOKUP(E1459,pathways!$A$2:$A$31,pathways!$B$2:$B$31)</f>
        <v>Unknown</v>
      </c>
      <c r="E1459" t="s">
        <v>18840</v>
      </c>
      <c r="F1459" t="s">
        <v>18840</v>
      </c>
      <c r="G1459" t="s">
        <v>14360</v>
      </c>
      <c r="H1459" t="s">
        <v>14360</v>
      </c>
      <c r="I1459" t="s">
        <v>14360</v>
      </c>
      <c r="J1459" s="4" t="s">
        <v>12936</v>
      </c>
      <c r="L1459" t="s">
        <v>14360</v>
      </c>
      <c r="M1459" t="s">
        <v>14360</v>
      </c>
      <c r="N1459" t="s">
        <v>14360</v>
      </c>
      <c r="P1459" t="s">
        <v>14360</v>
      </c>
      <c r="R1459" t="s">
        <v>14360</v>
      </c>
    </row>
    <row r="1460" spans="1:19" x14ac:dyDescent="0.2">
      <c r="A1460" t="s">
        <v>14297</v>
      </c>
      <c r="B1460" t="s">
        <v>14359</v>
      </c>
      <c r="C1460" t="s">
        <v>20397</v>
      </c>
      <c r="D1460" t="str">
        <f>_xlfn.XLOOKUP(E1460,pathways!$A$2:$A$31,pathways!$B$2:$B$31)</f>
        <v>Unknown</v>
      </c>
      <c r="E1460" t="s">
        <v>18840</v>
      </c>
      <c r="F1460" t="s">
        <v>18840</v>
      </c>
      <c r="G1460" t="s">
        <v>14360</v>
      </c>
      <c r="H1460" t="s">
        <v>14360</v>
      </c>
      <c r="I1460" t="s">
        <v>14360</v>
      </c>
      <c r="J1460" s="4" t="s">
        <v>12938</v>
      </c>
      <c r="L1460" t="s">
        <v>14360</v>
      </c>
      <c r="M1460" t="s">
        <v>14360</v>
      </c>
      <c r="N1460" t="s">
        <v>14360</v>
      </c>
      <c r="P1460" t="s">
        <v>14360</v>
      </c>
      <c r="R1460" t="s">
        <v>14360</v>
      </c>
      <c r="S1460" t="s">
        <v>14360</v>
      </c>
    </row>
    <row r="1461" spans="1:19" x14ac:dyDescent="0.2">
      <c r="A1461" t="s">
        <v>2277</v>
      </c>
      <c r="B1461" t="s">
        <v>14359</v>
      </c>
      <c r="C1461" t="s">
        <v>20398</v>
      </c>
      <c r="D1461" t="str">
        <f>_xlfn.XLOOKUP(E1461,pathways!$A$2:$A$31,pathways!$B$2:$B$31)</f>
        <v>Unknown</v>
      </c>
      <c r="E1461" t="s">
        <v>18840</v>
      </c>
      <c r="F1461" t="s">
        <v>18840</v>
      </c>
      <c r="G1461" t="s">
        <v>14360</v>
      </c>
      <c r="H1461" t="s">
        <v>14360</v>
      </c>
      <c r="I1461" t="s">
        <v>14360</v>
      </c>
      <c r="J1461" s="4" t="s">
        <v>12940</v>
      </c>
      <c r="L1461" t="s">
        <v>14360</v>
      </c>
      <c r="M1461" t="s">
        <v>14360</v>
      </c>
      <c r="N1461" t="s">
        <v>14360</v>
      </c>
      <c r="P1461" t="s">
        <v>14360</v>
      </c>
      <c r="R1461" t="s">
        <v>14360</v>
      </c>
    </row>
    <row r="1462" spans="1:19" x14ac:dyDescent="0.2">
      <c r="A1462" t="s">
        <v>14173</v>
      </c>
      <c r="B1462" t="s">
        <v>14359</v>
      </c>
      <c r="C1462" t="s">
        <v>10487</v>
      </c>
      <c r="D1462" t="str">
        <f>_xlfn.XLOOKUP(E1462,pathways!$A$2:$A$31,pathways!$B$2:$B$31)</f>
        <v>Unknown</v>
      </c>
      <c r="E1462" t="s">
        <v>18840</v>
      </c>
      <c r="F1462" t="s">
        <v>18840</v>
      </c>
      <c r="G1462" t="s">
        <v>20651</v>
      </c>
      <c r="H1462" t="s">
        <v>14360</v>
      </c>
      <c r="I1462" t="s">
        <v>10487</v>
      </c>
      <c r="J1462" s="4" t="s">
        <v>14360</v>
      </c>
      <c r="L1462" t="s">
        <v>14360</v>
      </c>
      <c r="M1462" t="s">
        <v>14360</v>
      </c>
      <c r="O1462" t="s">
        <v>14360</v>
      </c>
      <c r="Q1462" t="s">
        <v>14360</v>
      </c>
      <c r="R1462" t="s">
        <v>14360</v>
      </c>
      <c r="S1462" t="s">
        <v>14360</v>
      </c>
    </row>
    <row r="1463" spans="1:19" x14ac:dyDescent="0.2">
      <c r="A1463" t="s">
        <v>14174</v>
      </c>
      <c r="B1463" t="s">
        <v>14359</v>
      </c>
      <c r="C1463" t="s">
        <v>10488</v>
      </c>
      <c r="D1463" t="str">
        <f>_xlfn.XLOOKUP(E1463,pathways!$A$2:$A$31,pathways!$B$2:$B$31)</f>
        <v>Unknown</v>
      </c>
      <c r="E1463" t="s">
        <v>18840</v>
      </c>
      <c r="F1463" t="s">
        <v>18840</v>
      </c>
      <c r="G1463" t="s">
        <v>20591</v>
      </c>
      <c r="H1463" t="s">
        <v>14360</v>
      </c>
      <c r="I1463" t="s">
        <v>10488</v>
      </c>
      <c r="J1463" s="4" t="s">
        <v>14360</v>
      </c>
      <c r="L1463" t="s">
        <v>14360</v>
      </c>
      <c r="M1463" t="s">
        <v>14360</v>
      </c>
      <c r="O1463" t="s">
        <v>14360</v>
      </c>
      <c r="Q1463" t="s">
        <v>14360</v>
      </c>
      <c r="R1463" t="s">
        <v>14360</v>
      </c>
      <c r="S1463" t="s">
        <v>14360</v>
      </c>
    </row>
    <row r="1464" spans="1:19" x14ac:dyDescent="0.2">
      <c r="A1464" t="s">
        <v>2979</v>
      </c>
      <c r="B1464" t="s">
        <v>14359</v>
      </c>
      <c r="C1464" t="s">
        <v>10489</v>
      </c>
      <c r="D1464" t="str">
        <f>_xlfn.XLOOKUP(E1464,pathways!$A$2:$A$31,pathways!$B$2:$B$31)</f>
        <v>Unknown</v>
      </c>
      <c r="E1464" t="s">
        <v>18840</v>
      </c>
      <c r="F1464" t="s">
        <v>18840</v>
      </c>
      <c r="G1464" t="s">
        <v>20501</v>
      </c>
      <c r="H1464" t="s">
        <v>14360</v>
      </c>
      <c r="I1464" t="s">
        <v>10489</v>
      </c>
      <c r="J1464" s="4" t="s">
        <v>12942</v>
      </c>
      <c r="L1464" t="s">
        <v>2978</v>
      </c>
      <c r="M1464" t="s">
        <v>16333</v>
      </c>
      <c r="R1464" t="s">
        <v>18840</v>
      </c>
    </row>
    <row r="1465" spans="1:19" x14ac:dyDescent="0.2">
      <c r="A1465" t="s">
        <v>14298</v>
      </c>
      <c r="B1465" t="s">
        <v>14359</v>
      </c>
      <c r="C1465" t="s">
        <v>20399</v>
      </c>
      <c r="D1465" t="str">
        <f>_xlfn.XLOOKUP(E1465,pathways!$A$2:$A$31,pathways!$B$2:$B$31)</f>
        <v>Unknown</v>
      </c>
      <c r="E1465" t="s">
        <v>18840</v>
      </c>
      <c r="F1465" t="s">
        <v>18840</v>
      </c>
      <c r="G1465" t="s">
        <v>14360</v>
      </c>
      <c r="H1465" t="s">
        <v>14360</v>
      </c>
      <c r="I1465" t="s">
        <v>14360</v>
      </c>
      <c r="J1465" s="4" t="s">
        <v>12944</v>
      </c>
      <c r="L1465" t="s">
        <v>14360</v>
      </c>
      <c r="M1465" t="s">
        <v>14360</v>
      </c>
      <c r="N1465" t="s">
        <v>14360</v>
      </c>
      <c r="P1465" t="s">
        <v>14360</v>
      </c>
      <c r="R1465" t="s">
        <v>14360</v>
      </c>
    </row>
    <row r="1466" spans="1:19" x14ac:dyDescent="0.2">
      <c r="A1466" t="s">
        <v>2981</v>
      </c>
      <c r="B1466" t="s">
        <v>14359</v>
      </c>
      <c r="C1466" t="s">
        <v>10490</v>
      </c>
      <c r="D1466" t="str">
        <f>_xlfn.XLOOKUP(E1466,pathways!$A$2:$A$31,pathways!$B$2:$B$31)</f>
        <v>Unknown</v>
      </c>
      <c r="E1466" t="s">
        <v>18840</v>
      </c>
      <c r="F1466" t="s">
        <v>18840</v>
      </c>
      <c r="G1466" t="s">
        <v>20616</v>
      </c>
      <c r="H1466" t="s">
        <v>14360</v>
      </c>
      <c r="I1466" t="s">
        <v>10490</v>
      </c>
      <c r="J1466" s="4" t="s">
        <v>12946</v>
      </c>
      <c r="L1466" t="s">
        <v>2980</v>
      </c>
      <c r="M1466" t="s">
        <v>16335</v>
      </c>
      <c r="R1466" t="s">
        <v>18840</v>
      </c>
    </row>
    <row r="1467" spans="1:19" x14ac:dyDescent="0.2">
      <c r="A1467" t="s">
        <v>14175</v>
      </c>
      <c r="B1467" t="s">
        <v>14359</v>
      </c>
      <c r="C1467" t="s">
        <v>10491</v>
      </c>
      <c r="D1467" t="str">
        <f>_xlfn.XLOOKUP(E1467,pathways!$A$2:$A$31,pathways!$B$2:$B$31)</f>
        <v>Unknown</v>
      </c>
      <c r="E1467" t="s">
        <v>18840</v>
      </c>
      <c r="F1467" t="s">
        <v>18840</v>
      </c>
      <c r="G1467" t="s">
        <v>14360</v>
      </c>
      <c r="H1467" t="s">
        <v>14360</v>
      </c>
      <c r="I1467" t="s">
        <v>10491</v>
      </c>
      <c r="J1467" s="4" t="s">
        <v>14360</v>
      </c>
      <c r="L1467" t="s">
        <v>14360</v>
      </c>
      <c r="M1467" t="s">
        <v>14360</v>
      </c>
      <c r="O1467" t="s">
        <v>14360</v>
      </c>
      <c r="Q1467" t="s">
        <v>14360</v>
      </c>
      <c r="R1467" t="s">
        <v>14360</v>
      </c>
    </row>
    <row r="1468" spans="1:19" x14ac:dyDescent="0.2">
      <c r="A1468" t="s">
        <v>2972</v>
      </c>
      <c r="B1468" t="s">
        <v>14359</v>
      </c>
      <c r="C1468" t="s">
        <v>10492</v>
      </c>
      <c r="D1468" t="str">
        <f>_xlfn.XLOOKUP(E1468,pathways!$A$2:$A$31,pathways!$B$2:$B$31)</f>
        <v>Unknown</v>
      </c>
      <c r="E1468" t="s">
        <v>18840</v>
      </c>
      <c r="F1468" t="s">
        <v>18840</v>
      </c>
      <c r="G1468" t="s">
        <v>14360</v>
      </c>
      <c r="H1468" t="s">
        <v>14360</v>
      </c>
      <c r="I1468" t="s">
        <v>10492</v>
      </c>
      <c r="J1468" s="4" t="s">
        <v>12948</v>
      </c>
      <c r="L1468" t="s">
        <v>2971</v>
      </c>
      <c r="M1468" t="s">
        <v>16323</v>
      </c>
      <c r="R1468" t="s">
        <v>18840</v>
      </c>
    </row>
    <row r="1469" spans="1:19" x14ac:dyDescent="0.2">
      <c r="A1469" t="s">
        <v>14299</v>
      </c>
      <c r="B1469" t="s">
        <v>14359</v>
      </c>
      <c r="C1469" t="s">
        <v>20400</v>
      </c>
      <c r="D1469" t="str">
        <f>_xlfn.XLOOKUP(E1469,pathways!$A$2:$A$31,pathways!$B$2:$B$31)</f>
        <v>Unknown</v>
      </c>
      <c r="E1469" t="s">
        <v>18840</v>
      </c>
      <c r="F1469" t="s">
        <v>18840</v>
      </c>
      <c r="G1469" t="s">
        <v>20691</v>
      </c>
      <c r="H1469" t="s">
        <v>14360</v>
      </c>
      <c r="I1469" t="s">
        <v>14360</v>
      </c>
      <c r="J1469" s="4" t="s">
        <v>12950</v>
      </c>
      <c r="L1469" t="s">
        <v>14360</v>
      </c>
      <c r="M1469" t="s">
        <v>14360</v>
      </c>
      <c r="N1469" t="s">
        <v>14360</v>
      </c>
      <c r="P1469" t="s">
        <v>14360</v>
      </c>
      <c r="R1469" t="s">
        <v>14360</v>
      </c>
    </row>
    <row r="1470" spans="1:19" x14ac:dyDescent="0.2">
      <c r="A1470" t="s">
        <v>2968</v>
      </c>
      <c r="B1470" t="s">
        <v>14359</v>
      </c>
      <c r="C1470" t="s">
        <v>10493</v>
      </c>
      <c r="D1470" t="str">
        <f>_xlfn.XLOOKUP(E1470,pathways!$A$2:$A$31,pathways!$B$2:$B$31)</f>
        <v>Unknown</v>
      </c>
      <c r="E1470" t="s">
        <v>18840</v>
      </c>
      <c r="F1470" t="s">
        <v>18840</v>
      </c>
      <c r="G1470" t="s">
        <v>20499</v>
      </c>
      <c r="H1470" t="s">
        <v>14360</v>
      </c>
      <c r="I1470" t="s">
        <v>10493</v>
      </c>
      <c r="J1470" s="4" t="s">
        <v>12952</v>
      </c>
      <c r="L1470" t="s">
        <v>2967</v>
      </c>
      <c r="M1470" t="s">
        <v>16319</v>
      </c>
      <c r="R1470" t="s">
        <v>18840</v>
      </c>
    </row>
    <row r="1471" spans="1:19" x14ac:dyDescent="0.2">
      <c r="A1471" t="s">
        <v>14176</v>
      </c>
      <c r="B1471" t="s">
        <v>14359</v>
      </c>
      <c r="C1471" t="s">
        <v>10494</v>
      </c>
      <c r="D1471" t="str">
        <f>_xlfn.XLOOKUP(E1471,pathways!$A$2:$A$31,pathways!$B$2:$B$31)</f>
        <v>Unknown</v>
      </c>
      <c r="E1471" t="s">
        <v>18840</v>
      </c>
      <c r="F1471" t="s">
        <v>18840</v>
      </c>
      <c r="G1471" t="s">
        <v>14360</v>
      </c>
      <c r="H1471" t="s">
        <v>14360</v>
      </c>
      <c r="I1471" t="s">
        <v>10494</v>
      </c>
      <c r="J1471" s="4" t="s">
        <v>14360</v>
      </c>
      <c r="L1471" t="s">
        <v>14360</v>
      </c>
      <c r="M1471" t="s">
        <v>14360</v>
      </c>
      <c r="O1471" t="s">
        <v>14360</v>
      </c>
      <c r="Q1471" t="s">
        <v>14360</v>
      </c>
      <c r="R1471" t="s">
        <v>14360</v>
      </c>
    </row>
    <row r="1472" spans="1:19" x14ac:dyDescent="0.2">
      <c r="A1472" t="s">
        <v>14177</v>
      </c>
      <c r="B1472" t="s">
        <v>14359</v>
      </c>
      <c r="C1472" t="s">
        <v>10495</v>
      </c>
      <c r="D1472" t="str">
        <f>_xlfn.XLOOKUP(E1472,pathways!$A$2:$A$31,pathways!$B$2:$B$31)</f>
        <v>Unknown</v>
      </c>
      <c r="E1472" t="s">
        <v>18840</v>
      </c>
      <c r="F1472" t="s">
        <v>18840</v>
      </c>
      <c r="G1472" t="s">
        <v>14360</v>
      </c>
      <c r="H1472" t="s">
        <v>14360</v>
      </c>
      <c r="I1472" t="s">
        <v>10495</v>
      </c>
      <c r="J1472" s="4" t="s">
        <v>14360</v>
      </c>
      <c r="L1472" t="s">
        <v>14360</v>
      </c>
      <c r="M1472" t="s">
        <v>14360</v>
      </c>
      <c r="O1472" t="s">
        <v>14360</v>
      </c>
      <c r="Q1472" t="s">
        <v>14360</v>
      </c>
      <c r="R1472" t="s">
        <v>14360</v>
      </c>
    </row>
    <row r="1473" spans="1:19" x14ac:dyDescent="0.2">
      <c r="A1473" t="s">
        <v>14178</v>
      </c>
      <c r="B1473" t="s">
        <v>14359</v>
      </c>
      <c r="C1473" t="s">
        <v>10496</v>
      </c>
      <c r="D1473" t="str">
        <f>_xlfn.XLOOKUP(E1473,pathways!$A$2:$A$31,pathways!$B$2:$B$31)</f>
        <v>Unknown</v>
      </c>
      <c r="E1473" t="s">
        <v>18840</v>
      </c>
      <c r="F1473" t="s">
        <v>18840</v>
      </c>
      <c r="G1473" t="s">
        <v>14360</v>
      </c>
      <c r="H1473" t="s">
        <v>14360</v>
      </c>
      <c r="I1473" t="s">
        <v>10496</v>
      </c>
      <c r="J1473" s="4" t="s">
        <v>14360</v>
      </c>
      <c r="L1473" t="s">
        <v>14360</v>
      </c>
      <c r="M1473" t="s">
        <v>14360</v>
      </c>
      <c r="O1473" t="s">
        <v>14360</v>
      </c>
      <c r="Q1473" t="s">
        <v>14360</v>
      </c>
      <c r="R1473" t="s">
        <v>14360</v>
      </c>
    </row>
    <row r="1474" spans="1:19" x14ac:dyDescent="0.2">
      <c r="A1474" t="s">
        <v>14179</v>
      </c>
      <c r="B1474" t="s">
        <v>14359</v>
      </c>
      <c r="C1474" t="s">
        <v>10497</v>
      </c>
      <c r="D1474" t="str">
        <f>_xlfn.XLOOKUP(E1474,pathways!$A$2:$A$31,pathways!$B$2:$B$31)</f>
        <v>Unknown</v>
      </c>
      <c r="E1474" t="s">
        <v>18840</v>
      </c>
      <c r="F1474" t="s">
        <v>18840</v>
      </c>
      <c r="G1474" t="s">
        <v>14360</v>
      </c>
      <c r="H1474" t="s">
        <v>14360</v>
      </c>
      <c r="I1474" t="s">
        <v>10497</v>
      </c>
      <c r="J1474" s="4" t="s">
        <v>14360</v>
      </c>
      <c r="L1474" t="s">
        <v>14360</v>
      </c>
      <c r="M1474" t="s">
        <v>14360</v>
      </c>
      <c r="O1474" t="s">
        <v>14360</v>
      </c>
      <c r="Q1474" t="s">
        <v>14360</v>
      </c>
      <c r="R1474" t="s">
        <v>14360</v>
      </c>
    </row>
    <row r="1475" spans="1:19" x14ac:dyDescent="0.2">
      <c r="A1475" t="s">
        <v>2998</v>
      </c>
      <c r="B1475" t="s">
        <v>14359</v>
      </c>
      <c r="C1475" t="s">
        <v>10498</v>
      </c>
      <c r="D1475" t="str">
        <f>_xlfn.XLOOKUP(E1475,pathways!$A$2:$A$31,pathways!$B$2:$B$31)</f>
        <v>Unknown</v>
      </c>
      <c r="E1475" t="s">
        <v>18840</v>
      </c>
      <c r="F1475" t="s">
        <v>18840</v>
      </c>
      <c r="G1475" t="s">
        <v>20632</v>
      </c>
      <c r="H1475" t="s">
        <v>14360</v>
      </c>
      <c r="I1475" t="s">
        <v>10498</v>
      </c>
      <c r="J1475" s="4" t="s">
        <v>12954</v>
      </c>
      <c r="L1475" t="s">
        <v>2997</v>
      </c>
      <c r="M1475" t="s">
        <v>16355</v>
      </c>
      <c r="R1475" t="s">
        <v>18840</v>
      </c>
    </row>
    <row r="1476" spans="1:19" x14ac:dyDescent="0.2">
      <c r="A1476" t="s">
        <v>14180</v>
      </c>
      <c r="B1476" t="s">
        <v>14359</v>
      </c>
      <c r="C1476" t="s">
        <v>10499</v>
      </c>
      <c r="D1476" t="str">
        <f>_xlfn.XLOOKUP(E1476,pathways!$A$2:$A$31,pathways!$B$2:$B$31)</f>
        <v>Unknown</v>
      </c>
      <c r="E1476" t="s">
        <v>18840</v>
      </c>
      <c r="F1476" t="s">
        <v>18840</v>
      </c>
      <c r="G1476" t="s">
        <v>14360</v>
      </c>
      <c r="H1476" t="s">
        <v>14360</v>
      </c>
      <c r="I1476" t="s">
        <v>10499</v>
      </c>
      <c r="J1476" s="4" t="s">
        <v>14360</v>
      </c>
      <c r="L1476" t="s">
        <v>14360</v>
      </c>
      <c r="M1476" t="s">
        <v>14360</v>
      </c>
      <c r="O1476" t="s">
        <v>14360</v>
      </c>
      <c r="Q1476" t="s">
        <v>14360</v>
      </c>
      <c r="R1476" t="s">
        <v>14360</v>
      </c>
    </row>
    <row r="1477" spans="1:19" x14ac:dyDescent="0.2">
      <c r="A1477" t="s">
        <v>14300</v>
      </c>
      <c r="B1477" t="s">
        <v>14359</v>
      </c>
      <c r="C1477" t="s">
        <v>20401</v>
      </c>
      <c r="D1477" t="str">
        <f>_xlfn.XLOOKUP(E1477,pathways!$A$2:$A$31,pathways!$B$2:$B$31)</f>
        <v>Unknown</v>
      </c>
      <c r="E1477" t="s">
        <v>18840</v>
      </c>
      <c r="F1477" t="s">
        <v>18840</v>
      </c>
      <c r="G1477" t="s">
        <v>14360</v>
      </c>
      <c r="H1477" t="s">
        <v>14360</v>
      </c>
      <c r="I1477" t="s">
        <v>14360</v>
      </c>
      <c r="J1477" s="4" t="s">
        <v>12956</v>
      </c>
      <c r="L1477" t="s">
        <v>14360</v>
      </c>
      <c r="M1477" t="s">
        <v>14360</v>
      </c>
      <c r="N1477" t="s">
        <v>14360</v>
      </c>
      <c r="P1477" t="s">
        <v>14360</v>
      </c>
      <c r="R1477" t="s">
        <v>14360</v>
      </c>
    </row>
    <row r="1478" spans="1:19" x14ac:dyDescent="0.2">
      <c r="A1478" t="s">
        <v>14301</v>
      </c>
      <c r="B1478" t="s">
        <v>14359</v>
      </c>
      <c r="C1478" t="s">
        <v>20402</v>
      </c>
      <c r="D1478" t="str">
        <f>_xlfn.XLOOKUP(E1478,pathways!$A$2:$A$31,pathways!$B$2:$B$31)</f>
        <v>Unknown</v>
      </c>
      <c r="E1478" t="s">
        <v>18840</v>
      </c>
      <c r="F1478" t="s">
        <v>18840</v>
      </c>
      <c r="G1478" t="s">
        <v>20631</v>
      </c>
      <c r="H1478" t="s">
        <v>14360</v>
      </c>
      <c r="I1478" t="s">
        <v>14360</v>
      </c>
      <c r="J1478" s="4" t="s">
        <v>12958</v>
      </c>
      <c r="L1478" t="s">
        <v>14360</v>
      </c>
      <c r="M1478" t="s">
        <v>14360</v>
      </c>
      <c r="N1478" t="s">
        <v>14360</v>
      </c>
      <c r="P1478" t="s">
        <v>14360</v>
      </c>
      <c r="R1478" t="s">
        <v>14360</v>
      </c>
    </row>
    <row r="1479" spans="1:19" x14ac:dyDescent="0.2">
      <c r="A1479" t="s">
        <v>2992</v>
      </c>
      <c r="B1479" t="s">
        <v>14359</v>
      </c>
      <c r="C1479" t="s">
        <v>10500</v>
      </c>
      <c r="D1479" t="str">
        <f>_xlfn.XLOOKUP(E1479,pathways!$A$2:$A$31,pathways!$B$2:$B$31)</f>
        <v>Unknown</v>
      </c>
      <c r="E1479" t="s">
        <v>18840</v>
      </c>
      <c r="F1479" t="s">
        <v>18840</v>
      </c>
      <c r="G1479" t="s">
        <v>14360</v>
      </c>
      <c r="H1479" t="s">
        <v>14360</v>
      </c>
      <c r="I1479" t="s">
        <v>10500</v>
      </c>
      <c r="J1479" s="4" t="s">
        <v>12960</v>
      </c>
      <c r="L1479" t="s">
        <v>2991</v>
      </c>
      <c r="M1479" t="s">
        <v>16348</v>
      </c>
      <c r="R1479" t="s">
        <v>18840</v>
      </c>
    </row>
    <row r="1480" spans="1:19" x14ac:dyDescent="0.2">
      <c r="A1480" t="s">
        <v>14181</v>
      </c>
      <c r="B1480" t="s">
        <v>14359</v>
      </c>
      <c r="C1480" t="s">
        <v>10501</v>
      </c>
      <c r="D1480" t="str">
        <f>_xlfn.XLOOKUP(E1480,pathways!$A$2:$A$31,pathways!$B$2:$B$31)</f>
        <v>Unknown</v>
      </c>
      <c r="E1480" t="s">
        <v>18840</v>
      </c>
      <c r="F1480" t="s">
        <v>18840</v>
      </c>
      <c r="G1480" t="s">
        <v>20522</v>
      </c>
      <c r="H1480" t="s">
        <v>14360</v>
      </c>
      <c r="I1480" t="s">
        <v>10501</v>
      </c>
      <c r="J1480" s="4" t="s">
        <v>14360</v>
      </c>
      <c r="L1480" t="s">
        <v>2995</v>
      </c>
      <c r="M1480" t="s">
        <v>16352</v>
      </c>
      <c r="O1480" t="s">
        <v>14360</v>
      </c>
      <c r="Q1480" t="s">
        <v>14360</v>
      </c>
      <c r="R1480" t="s">
        <v>18840</v>
      </c>
    </row>
    <row r="1481" spans="1:19" x14ac:dyDescent="0.2">
      <c r="A1481" t="s">
        <v>14302</v>
      </c>
      <c r="B1481" t="s">
        <v>14359</v>
      </c>
      <c r="C1481" t="s">
        <v>20403</v>
      </c>
      <c r="D1481" t="str">
        <f>_xlfn.XLOOKUP(E1481,pathways!$A$2:$A$31,pathways!$B$2:$B$31)</f>
        <v>Unknown</v>
      </c>
      <c r="E1481" t="s">
        <v>18840</v>
      </c>
      <c r="F1481" t="s">
        <v>18840</v>
      </c>
      <c r="G1481" t="s">
        <v>14360</v>
      </c>
      <c r="H1481" t="s">
        <v>14360</v>
      </c>
      <c r="I1481" t="s">
        <v>14360</v>
      </c>
      <c r="J1481" s="4" t="s">
        <v>12962</v>
      </c>
      <c r="L1481" t="s">
        <v>14360</v>
      </c>
      <c r="M1481" t="s">
        <v>14360</v>
      </c>
      <c r="N1481" t="s">
        <v>14360</v>
      </c>
      <c r="P1481" t="s">
        <v>14360</v>
      </c>
      <c r="R1481" t="s">
        <v>14360</v>
      </c>
      <c r="S1481" t="s">
        <v>14360</v>
      </c>
    </row>
    <row r="1482" spans="1:19" x14ac:dyDescent="0.2">
      <c r="A1482" t="s">
        <v>14182</v>
      </c>
      <c r="B1482" t="s">
        <v>14359</v>
      </c>
      <c r="C1482" t="s">
        <v>10502</v>
      </c>
      <c r="D1482" t="str">
        <f>_xlfn.XLOOKUP(E1482,pathways!$A$2:$A$31,pathways!$B$2:$B$31)</f>
        <v>Unknown</v>
      </c>
      <c r="E1482" t="s">
        <v>18840</v>
      </c>
      <c r="F1482" t="s">
        <v>18840</v>
      </c>
      <c r="G1482" t="s">
        <v>20543</v>
      </c>
      <c r="H1482" t="s">
        <v>14360</v>
      </c>
      <c r="I1482" t="s">
        <v>10502</v>
      </c>
      <c r="J1482" s="4" t="s">
        <v>14360</v>
      </c>
      <c r="L1482" t="s">
        <v>2985</v>
      </c>
      <c r="M1482" t="s">
        <v>16340</v>
      </c>
      <c r="O1482" t="s">
        <v>14360</v>
      </c>
      <c r="Q1482" t="s">
        <v>14360</v>
      </c>
      <c r="R1482" t="s">
        <v>18840</v>
      </c>
      <c r="S1482" t="s">
        <v>14360</v>
      </c>
    </row>
    <row r="1483" spans="1:19" x14ac:dyDescent="0.2">
      <c r="A1483" t="s">
        <v>2177</v>
      </c>
      <c r="B1483" t="s">
        <v>14359</v>
      </c>
      <c r="C1483" t="s">
        <v>20404</v>
      </c>
      <c r="D1483" t="str">
        <f>_xlfn.XLOOKUP(E1483,pathways!$A$2:$A$31,pathways!$B$2:$B$31)</f>
        <v>Unknown</v>
      </c>
      <c r="E1483" t="s">
        <v>18840</v>
      </c>
      <c r="F1483" t="s">
        <v>18840</v>
      </c>
      <c r="G1483" t="s">
        <v>14360</v>
      </c>
      <c r="H1483" t="s">
        <v>14360</v>
      </c>
      <c r="I1483" t="s">
        <v>14360</v>
      </c>
      <c r="J1483" s="4" t="s">
        <v>12964</v>
      </c>
      <c r="L1483" t="s">
        <v>14360</v>
      </c>
      <c r="M1483" t="s">
        <v>14360</v>
      </c>
      <c r="N1483" t="s">
        <v>14360</v>
      </c>
      <c r="P1483" t="s">
        <v>14360</v>
      </c>
      <c r="R1483" t="s">
        <v>14360</v>
      </c>
      <c r="S1483" t="s">
        <v>14360</v>
      </c>
    </row>
    <row r="1484" spans="1:19" x14ac:dyDescent="0.2">
      <c r="A1484" t="s">
        <v>14183</v>
      </c>
      <c r="B1484" t="s">
        <v>14359</v>
      </c>
      <c r="C1484" t="s">
        <v>10503</v>
      </c>
      <c r="D1484" t="str">
        <f>_xlfn.XLOOKUP(E1484,pathways!$A$2:$A$31,pathways!$B$2:$B$31)</f>
        <v>Unknown</v>
      </c>
      <c r="E1484" t="s">
        <v>18840</v>
      </c>
      <c r="F1484" t="s">
        <v>18840</v>
      </c>
      <c r="G1484" t="s">
        <v>14360</v>
      </c>
      <c r="H1484" t="s">
        <v>14360</v>
      </c>
      <c r="I1484" t="s">
        <v>10503</v>
      </c>
      <c r="J1484" s="4" t="s">
        <v>14360</v>
      </c>
      <c r="L1484" t="s">
        <v>2988</v>
      </c>
      <c r="M1484" t="s">
        <v>16345</v>
      </c>
      <c r="O1484" t="s">
        <v>14360</v>
      </c>
      <c r="Q1484" t="s">
        <v>14360</v>
      </c>
      <c r="R1484" t="s">
        <v>18840</v>
      </c>
      <c r="S1484" t="s">
        <v>14360</v>
      </c>
    </row>
    <row r="1485" spans="1:19" x14ac:dyDescent="0.2">
      <c r="A1485" t="s">
        <v>14303</v>
      </c>
      <c r="B1485" t="s">
        <v>14359</v>
      </c>
      <c r="C1485" t="s">
        <v>20405</v>
      </c>
      <c r="D1485" t="str">
        <f>_xlfn.XLOOKUP(E1485,pathways!$A$2:$A$31,pathways!$B$2:$B$31)</f>
        <v>Unknown</v>
      </c>
      <c r="E1485" t="s">
        <v>18840</v>
      </c>
      <c r="F1485" t="s">
        <v>18840</v>
      </c>
      <c r="G1485" t="s">
        <v>14360</v>
      </c>
      <c r="H1485" t="s">
        <v>14360</v>
      </c>
      <c r="I1485" t="s">
        <v>14360</v>
      </c>
      <c r="J1485" s="4" t="s">
        <v>12966</v>
      </c>
      <c r="L1485" t="s">
        <v>14360</v>
      </c>
      <c r="M1485" t="s">
        <v>14360</v>
      </c>
      <c r="N1485" t="s">
        <v>14360</v>
      </c>
      <c r="P1485" t="s">
        <v>14360</v>
      </c>
      <c r="R1485" t="s">
        <v>14360</v>
      </c>
      <c r="S1485" t="s">
        <v>14360</v>
      </c>
    </row>
    <row r="1486" spans="1:19" x14ac:dyDescent="0.2">
      <c r="A1486" t="s">
        <v>14304</v>
      </c>
      <c r="B1486" t="s">
        <v>14359</v>
      </c>
      <c r="C1486" t="s">
        <v>20406</v>
      </c>
      <c r="D1486" t="str">
        <f>_xlfn.XLOOKUP(E1486,pathways!$A$2:$A$31,pathways!$B$2:$B$31)</f>
        <v>Unknown</v>
      </c>
      <c r="E1486" t="s">
        <v>18840</v>
      </c>
      <c r="F1486" t="s">
        <v>18840</v>
      </c>
      <c r="G1486" t="s">
        <v>14360</v>
      </c>
      <c r="H1486" t="s">
        <v>14360</v>
      </c>
      <c r="I1486" t="s">
        <v>14360</v>
      </c>
      <c r="J1486" s="4" t="s">
        <v>12968</v>
      </c>
      <c r="L1486" t="s">
        <v>14360</v>
      </c>
      <c r="M1486" t="s">
        <v>14360</v>
      </c>
      <c r="N1486" t="s">
        <v>14360</v>
      </c>
      <c r="P1486" t="s">
        <v>14360</v>
      </c>
      <c r="R1486" t="s">
        <v>14360</v>
      </c>
    </row>
    <row r="1487" spans="1:19" x14ac:dyDescent="0.2">
      <c r="A1487" t="s">
        <v>2984</v>
      </c>
      <c r="B1487" t="s">
        <v>14359</v>
      </c>
      <c r="C1487" t="s">
        <v>10504</v>
      </c>
      <c r="D1487" t="str">
        <f>_xlfn.XLOOKUP(E1487,pathways!$A$2:$A$31,pathways!$B$2:$B$31)</f>
        <v>Unknown</v>
      </c>
      <c r="E1487" t="s">
        <v>18840</v>
      </c>
      <c r="F1487" t="s">
        <v>18840</v>
      </c>
      <c r="G1487" t="s">
        <v>14360</v>
      </c>
      <c r="H1487" t="s">
        <v>14360</v>
      </c>
      <c r="I1487" t="s">
        <v>10504</v>
      </c>
      <c r="J1487" s="4" t="s">
        <v>14360</v>
      </c>
      <c r="L1487" t="s">
        <v>2983</v>
      </c>
      <c r="M1487" t="s">
        <v>16338</v>
      </c>
      <c r="O1487" t="s">
        <v>14360</v>
      </c>
      <c r="Q1487" t="s">
        <v>14360</v>
      </c>
      <c r="R1487" t="s">
        <v>18840</v>
      </c>
      <c r="S1487" t="s">
        <v>14360</v>
      </c>
    </row>
    <row r="1488" spans="1:19" x14ac:dyDescent="0.2">
      <c r="A1488" t="s">
        <v>3006</v>
      </c>
      <c r="B1488" t="s">
        <v>14359</v>
      </c>
      <c r="C1488" t="s">
        <v>10505</v>
      </c>
      <c r="D1488" t="str">
        <f>_xlfn.XLOOKUP(E1488,pathways!$A$2:$A$31,pathways!$B$2:$B$31)</f>
        <v>Unknown</v>
      </c>
      <c r="E1488" t="s">
        <v>18840</v>
      </c>
      <c r="F1488" t="s">
        <v>18840</v>
      </c>
      <c r="G1488" t="s">
        <v>20617</v>
      </c>
      <c r="H1488" t="s">
        <v>14360</v>
      </c>
      <c r="I1488" t="s">
        <v>10505</v>
      </c>
      <c r="J1488" s="4" t="s">
        <v>14360</v>
      </c>
      <c r="L1488" t="s">
        <v>3005</v>
      </c>
      <c r="M1488" t="s">
        <v>16362</v>
      </c>
      <c r="O1488" t="s">
        <v>14360</v>
      </c>
      <c r="Q1488" t="s">
        <v>14360</v>
      </c>
      <c r="R1488" t="s">
        <v>18840</v>
      </c>
      <c r="S1488" t="s">
        <v>4991</v>
      </c>
    </row>
    <row r="1489" spans="1:19" x14ac:dyDescent="0.2">
      <c r="A1489" t="s">
        <v>14305</v>
      </c>
      <c r="B1489" t="s">
        <v>14359</v>
      </c>
      <c r="C1489" t="s">
        <v>20407</v>
      </c>
      <c r="D1489" t="str">
        <f>_xlfn.XLOOKUP(E1489,pathways!$A$2:$A$31,pathways!$B$2:$B$31)</f>
        <v>Unknown</v>
      </c>
      <c r="E1489" t="s">
        <v>18840</v>
      </c>
      <c r="F1489" t="s">
        <v>18840</v>
      </c>
      <c r="G1489" t="s">
        <v>20692</v>
      </c>
      <c r="H1489" t="s">
        <v>14360</v>
      </c>
      <c r="I1489" t="s">
        <v>14360</v>
      </c>
      <c r="J1489" s="4" t="s">
        <v>12970</v>
      </c>
      <c r="L1489" t="s">
        <v>14360</v>
      </c>
      <c r="M1489" t="s">
        <v>14360</v>
      </c>
      <c r="N1489" t="s">
        <v>14360</v>
      </c>
      <c r="P1489" t="s">
        <v>14360</v>
      </c>
      <c r="R1489" t="s">
        <v>14360</v>
      </c>
      <c r="S1489" t="s">
        <v>3864</v>
      </c>
    </row>
    <row r="1490" spans="1:19" x14ac:dyDescent="0.2">
      <c r="A1490" t="s">
        <v>14306</v>
      </c>
      <c r="B1490" t="s">
        <v>14359</v>
      </c>
      <c r="C1490" t="s">
        <v>20408</v>
      </c>
      <c r="D1490" t="str">
        <f>_xlfn.XLOOKUP(E1490,pathways!$A$2:$A$31,pathways!$B$2:$B$31)</f>
        <v>Unknown</v>
      </c>
      <c r="E1490" t="s">
        <v>18840</v>
      </c>
      <c r="F1490" t="s">
        <v>18840</v>
      </c>
      <c r="G1490" t="s">
        <v>14360</v>
      </c>
      <c r="H1490" t="s">
        <v>14360</v>
      </c>
      <c r="I1490" t="s">
        <v>14360</v>
      </c>
      <c r="J1490" s="4" t="s">
        <v>12972</v>
      </c>
      <c r="L1490" t="s">
        <v>14360</v>
      </c>
      <c r="M1490" t="s">
        <v>14360</v>
      </c>
      <c r="N1490" t="s">
        <v>14360</v>
      </c>
      <c r="P1490" t="s">
        <v>14360</v>
      </c>
      <c r="R1490" t="s">
        <v>14360</v>
      </c>
      <c r="S1490" t="s">
        <v>3661</v>
      </c>
    </row>
    <row r="1491" spans="1:19" x14ac:dyDescent="0.2">
      <c r="A1491" t="s">
        <v>14307</v>
      </c>
      <c r="B1491" t="s">
        <v>14359</v>
      </c>
      <c r="C1491" t="s">
        <v>20409</v>
      </c>
      <c r="D1491" t="str">
        <f>_xlfn.XLOOKUP(E1491,pathways!$A$2:$A$31,pathways!$B$2:$B$31)</f>
        <v>Unknown</v>
      </c>
      <c r="E1491" t="s">
        <v>18840</v>
      </c>
      <c r="F1491" t="s">
        <v>18840</v>
      </c>
      <c r="G1491" t="s">
        <v>20654</v>
      </c>
      <c r="H1491" t="s">
        <v>14360</v>
      </c>
      <c r="I1491" t="s">
        <v>14360</v>
      </c>
      <c r="J1491" s="4" t="s">
        <v>12974</v>
      </c>
      <c r="L1491" t="s">
        <v>14360</v>
      </c>
      <c r="M1491" t="s">
        <v>14360</v>
      </c>
      <c r="N1491" t="s">
        <v>14360</v>
      </c>
      <c r="P1491" t="s">
        <v>14360</v>
      </c>
      <c r="R1491" t="s">
        <v>14360</v>
      </c>
      <c r="S1491" t="s">
        <v>3906</v>
      </c>
    </row>
    <row r="1492" spans="1:19" x14ac:dyDescent="0.2">
      <c r="A1492" t="s">
        <v>14308</v>
      </c>
      <c r="B1492" t="s">
        <v>14359</v>
      </c>
      <c r="C1492" t="s">
        <v>20410</v>
      </c>
      <c r="D1492" t="str">
        <f>_xlfn.XLOOKUP(E1492,pathways!$A$2:$A$31,pathways!$B$2:$B$31)</f>
        <v>Unknown</v>
      </c>
      <c r="E1492" t="s">
        <v>18840</v>
      </c>
      <c r="F1492" t="s">
        <v>18840</v>
      </c>
      <c r="G1492" t="s">
        <v>14360</v>
      </c>
      <c r="H1492" t="s">
        <v>14360</v>
      </c>
      <c r="I1492" t="s">
        <v>14360</v>
      </c>
      <c r="J1492" s="4" t="s">
        <v>12976</v>
      </c>
      <c r="L1492" t="s">
        <v>14360</v>
      </c>
      <c r="M1492" t="s">
        <v>14360</v>
      </c>
      <c r="N1492" t="s">
        <v>14360</v>
      </c>
      <c r="P1492" t="s">
        <v>14360</v>
      </c>
      <c r="R1492" t="s">
        <v>14360</v>
      </c>
      <c r="S1492" t="s">
        <v>14360</v>
      </c>
    </row>
    <row r="1493" spans="1:19" x14ac:dyDescent="0.2">
      <c r="A1493" t="s">
        <v>3002</v>
      </c>
      <c r="B1493" t="s">
        <v>14359</v>
      </c>
      <c r="C1493" t="s">
        <v>10506</v>
      </c>
      <c r="D1493" t="str">
        <f>_xlfn.XLOOKUP(E1493,pathways!$A$2:$A$31,pathways!$B$2:$B$31)</f>
        <v>Unknown</v>
      </c>
      <c r="E1493" t="s">
        <v>18840</v>
      </c>
      <c r="F1493" t="s">
        <v>18840</v>
      </c>
      <c r="G1493" t="s">
        <v>20574</v>
      </c>
      <c r="H1493" t="s">
        <v>14360</v>
      </c>
      <c r="I1493" t="s">
        <v>10506</v>
      </c>
      <c r="J1493" s="4" t="s">
        <v>12978</v>
      </c>
      <c r="L1493" t="s">
        <v>3001</v>
      </c>
      <c r="M1493" t="s">
        <v>16358</v>
      </c>
      <c r="R1493" t="s">
        <v>18840</v>
      </c>
      <c r="S1493" t="s">
        <v>14360</v>
      </c>
    </row>
    <row r="1494" spans="1:19" x14ac:dyDescent="0.2">
      <c r="A1494" t="s">
        <v>2279</v>
      </c>
      <c r="B1494" t="s">
        <v>14359</v>
      </c>
      <c r="C1494" t="s">
        <v>20411</v>
      </c>
      <c r="D1494" t="str">
        <f>_xlfn.XLOOKUP(E1494,pathways!$A$2:$A$31,pathways!$B$2:$B$31)</f>
        <v>Unknown</v>
      </c>
      <c r="E1494" t="s">
        <v>18840</v>
      </c>
      <c r="F1494" t="s">
        <v>18840</v>
      </c>
      <c r="G1494" t="s">
        <v>14360</v>
      </c>
      <c r="H1494" t="s">
        <v>14360</v>
      </c>
      <c r="I1494" t="s">
        <v>14360</v>
      </c>
      <c r="J1494" s="4" t="s">
        <v>12980</v>
      </c>
      <c r="L1494" t="s">
        <v>14360</v>
      </c>
      <c r="M1494" t="s">
        <v>14360</v>
      </c>
      <c r="N1494" t="s">
        <v>14360</v>
      </c>
      <c r="P1494" t="s">
        <v>14360</v>
      </c>
      <c r="R1494" t="s">
        <v>14360</v>
      </c>
      <c r="S1494" t="s">
        <v>814</v>
      </c>
    </row>
    <row r="1495" spans="1:19" x14ac:dyDescent="0.2">
      <c r="A1495" t="s">
        <v>3004</v>
      </c>
      <c r="B1495" t="s">
        <v>14359</v>
      </c>
      <c r="C1495" t="s">
        <v>10507</v>
      </c>
      <c r="D1495" t="str">
        <f>_xlfn.XLOOKUP(E1495,pathways!$A$2:$A$31,pathways!$B$2:$B$31)</f>
        <v>Unknown</v>
      </c>
      <c r="E1495" t="s">
        <v>18840</v>
      </c>
      <c r="F1495" t="s">
        <v>18840</v>
      </c>
      <c r="G1495" t="s">
        <v>20547</v>
      </c>
      <c r="H1495" t="s">
        <v>14360</v>
      </c>
      <c r="I1495" t="s">
        <v>10507</v>
      </c>
      <c r="J1495" s="4" t="s">
        <v>12982</v>
      </c>
      <c r="L1495" t="s">
        <v>3003</v>
      </c>
      <c r="M1495" t="s">
        <v>16360</v>
      </c>
      <c r="R1495" t="s">
        <v>18840</v>
      </c>
      <c r="S1495" t="s">
        <v>3873</v>
      </c>
    </row>
    <row r="1496" spans="1:19" x14ac:dyDescent="0.2">
      <c r="A1496" t="s">
        <v>2990</v>
      </c>
      <c r="B1496" t="s">
        <v>14359</v>
      </c>
      <c r="C1496" t="s">
        <v>10508</v>
      </c>
      <c r="D1496" t="str">
        <f>_xlfn.XLOOKUP(E1496,pathways!$A$2:$A$31,pathways!$B$2:$B$31)</f>
        <v>Unknown</v>
      </c>
      <c r="E1496" t="s">
        <v>18840</v>
      </c>
      <c r="F1496" t="s">
        <v>18840</v>
      </c>
      <c r="G1496" t="s">
        <v>20465</v>
      </c>
      <c r="H1496" t="s">
        <v>14360</v>
      </c>
      <c r="I1496" t="s">
        <v>10508</v>
      </c>
      <c r="J1496" s="4" t="s">
        <v>12984</v>
      </c>
      <c r="L1496" t="s">
        <v>2989</v>
      </c>
      <c r="M1496" t="s">
        <v>16346</v>
      </c>
      <c r="R1496" t="s">
        <v>18840</v>
      </c>
    </row>
    <row r="1497" spans="1:19" x14ac:dyDescent="0.2">
      <c r="A1497" t="s">
        <v>14184</v>
      </c>
      <c r="B1497" t="s">
        <v>14359</v>
      </c>
      <c r="C1497" t="s">
        <v>10509</v>
      </c>
      <c r="D1497" t="str">
        <f>_xlfn.XLOOKUP(E1497,pathways!$A$2:$A$31,pathways!$B$2:$B$31)</f>
        <v>Unknown</v>
      </c>
      <c r="E1497" t="s">
        <v>18840</v>
      </c>
      <c r="F1497" t="s">
        <v>18840</v>
      </c>
      <c r="G1497" t="s">
        <v>14360</v>
      </c>
      <c r="H1497" t="s">
        <v>14360</v>
      </c>
      <c r="I1497" t="s">
        <v>10509</v>
      </c>
      <c r="J1497" s="4" t="s">
        <v>12986</v>
      </c>
      <c r="L1497" t="s">
        <v>14360</v>
      </c>
      <c r="M1497" t="s">
        <v>14360</v>
      </c>
      <c r="R1497" t="s">
        <v>14360</v>
      </c>
    </row>
    <row r="1498" spans="1:19" x14ac:dyDescent="0.2">
      <c r="A1498" t="s">
        <v>14185</v>
      </c>
      <c r="B1498" t="s">
        <v>14359</v>
      </c>
      <c r="C1498" t="s">
        <v>10510</v>
      </c>
      <c r="D1498" t="str">
        <f>_xlfn.XLOOKUP(E1498,pathways!$A$2:$A$31,pathways!$B$2:$B$31)</f>
        <v>Unknown</v>
      </c>
      <c r="E1498" t="s">
        <v>18840</v>
      </c>
      <c r="F1498" t="s">
        <v>18840</v>
      </c>
      <c r="G1498" t="s">
        <v>14360</v>
      </c>
      <c r="H1498" t="s">
        <v>14360</v>
      </c>
      <c r="I1498" t="s">
        <v>10510</v>
      </c>
      <c r="J1498" s="4" t="s">
        <v>14360</v>
      </c>
      <c r="L1498" t="s">
        <v>14360</v>
      </c>
      <c r="M1498" t="s">
        <v>14360</v>
      </c>
      <c r="O1498" t="s">
        <v>14360</v>
      </c>
      <c r="Q1498" t="s">
        <v>14360</v>
      </c>
      <c r="R1498" t="s">
        <v>14360</v>
      </c>
    </row>
    <row r="1499" spans="1:19" x14ac:dyDescent="0.2">
      <c r="A1499" t="s">
        <v>14186</v>
      </c>
      <c r="B1499" t="s">
        <v>14359</v>
      </c>
      <c r="C1499" t="s">
        <v>10511</v>
      </c>
      <c r="D1499" t="str">
        <f>_xlfn.XLOOKUP(E1499,pathways!$A$2:$A$31,pathways!$B$2:$B$31)</f>
        <v>Unknown</v>
      </c>
      <c r="E1499" t="s">
        <v>18840</v>
      </c>
      <c r="F1499" t="s">
        <v>18840</v>
      </c>
      <c r="G1499" t="s">
        <v>14360</v>
      </c>
      <c r="H1499" t="s">
        <v>14360</v>
      </c>
      <c r="I1499" t="s">
        <v>10511</v>
      </c>
      <c r="J1499" s="4" t="s">
        <v>14360</v>
      </c>
      <c r="L1499" t="s">
        <v>2987</v>
      </c>
      <c r="M1499" t="s">
        <v>16343</v>
      </c>
      <c r="O1499" t="s">
        <v>14360</v>
      </c>
      <c r="Q1499" t="s">
        <v>14360</v>
      </c>
      <c r="R1499" t="s">
        <v>18840</v>
      </c>
    </row>
    <row r="1500" spans="1:19" x14ac:dyDescent="0.2">
      <c r="A1500" t="s">
        <v>2173</v>
      </c>
      <c r="B1500" t="s">
        <v>14359</v>
      </c>
      <c r="C1500" t="s">
        <v>20412</v>
      </c>
      <c r="D1500" t="str">
        <f>_xlfn.XLOOKUP(E1500,pathways!$A$2:$A$31,pathways!$B$2:$B$31)</f>
        <v>Unknown</v>
      </c>
      <c r="E1500" t="s">
        <v>18840</v>
      </c>
      <c r="F1500" t="s">
        <v>18840</v>
      </c>
      <c r="G1500" t="s">
        <v>14360</v>
      </c>
      <c r="H1500" t="s">
        <v>14360</v>
      </c>
      <c r="I1500" t="s">
        <v>14360</v>
      </c>
      <c r="J1500" s="4" t="s">
        <v>12988</v>
      </c>
      <c r="L1500" t="s">
        <v>14360</v>
      </c>
      <c r="M1500" t="s">
        <v>14360</v>
      </c>
      <c r="N1500" t="s">
        <v>14360</v>
      </c>
      <c r="P1500" t="s">
        <v>14360</v>
      </c>
      <c r="R1500" t="s">
        <v>14360</v>
      </c>
    </row>
    <row r="1501" spans="1:19" x14ac:dyDescent="0.2">
      <c r="A1501" t="s">
        <v>3085</v>
      </c>
      <c r="B1501" t="s">
        <v>14359</v>
      </c>
      <c r="C1501" t="s">
        <v>20413</v>
      </c>
      <c r="D1501" t="str">
        <f>_xlfn.XLOOKUP(E1501,pathways!$A$2:$A$31,pathways!$B$2:$B$31)</f>
        <v>Unknown</v>
      </c>
      <c r="E1501" t="s">
        <v>18840</v>
      </c>
      <c r="F1501" t="s">
        <v>18840</v>
      </c>
      <c r="G1501" t="s">
        <v>14360</v>
      </c>
      <c r="H1501" t="s">
        <v>14360</v>
      </c>
      <c r="I1501" t="s">
        <v>14360</v>
      </c>
      <c r="J1501" s="4" t="s">
        <v>12990</v>
      </c>
      <c r="L1501" t="s">
        <v>14360</v>
      </c>
      <c r="M1501" t="s">
        <v>14360</v>
      </c>
      <c r="N1501" t="s">
        <v>14360</v>
      </c>
      <c r="P1501" t="s">
        <v>14360</v>
      </c>
      <c r="R1501" t="s">
        <v>14360</v>
      </c>
    </row>
    <row r="1502" spans="1:19" x14ac:dyDescent="0.2">
      <c r="A1502" t="s">
        <v>3000</v>
      </c>
      <c r="B1502" t="s">
        <v>14359</v>
      </c>
      <c r="C1502" t="s">
        <v>10512</v>
      </c>
      <c r="D1502" t="str">
        <f>_xlfn.XLOOKUP(E1502,pathways!$A$2:$A$31,pathways!$B$2:$B$31)</f>
        <v>Unknown</v>
      </c>
      <c r="E1502" t="s">
        <v>18840</v>
      </c>
      <c r="F1502" t="s">
        <v>18840</v>
      </c>
      <c r="G1502" t="s">
        <v>14360</v>
      </c>
      <c r="H1502" t="s">
        <v>14360</v>
      </c>
      <c r="I1502" t="s">
        <v>10512</v>
      </c>
      <c r="J1502" s="4" t="s">
        <v>14360</v>
      </c>
      <c r="L1502" t="s">
        <v>2999</v>
      </c>
      <c r="M1502" t="s">
        <v>16357</v>
      </c>
      <c r="O1502" t="s">
        <v>14360</v>
      </c>
      <c r="Q1502" t="s">
        <v>14360</v>
      </c>
      <c r="R1502" t="s">
        <v>18840</v>
      </c>
    </row>
    <row r="1503" spans="1:19" x14ac:dyDescent="0.2">
      <c r="A1503" t="s">
        <v>3071</v>
      </c>
      <c r="B1503" t="s">
        <v>14359</v>
      </c>
      <c r="C1503" t="s">
        <v>20414</v>
      </c>
      <c r="D1503" t="str">
        <f>_xlfn.XLOOKUP(E1503,pathways!$A$2:$A$31,pathways!$B$2:$B$31)</f>
        <v>Unknown</v>
      </c>
      <c r="E1503" t="s">
        <v>18840</v>
      </c>
      <c r="F1503" t="s">
        <v>18840</v>
      </c>
      <c r="G1503" t="s">
        <v>14360</v>
      </c>
      <c r="H1503" t="s">
        <v>14360</v>
      </c>
      <c r="I1503" t="s">
        <v>14360</v>
      </c>
      <c r="J1503" s="4" t="s">
        <v>12992</v>
      </c>
      <c r="L1503" t="s">
        <v>14360</v>
      </c>
      <c r="M1503" t="s">
        <v>14360</v>
      </c>
      <c r="N1503" t="s">
        <v>14360</v>
      </c>
      <c r="P1503" t="s">
        <v>14360</v>
      </c>
      <c r="R1503" t="s">
        <v>14360</v>
      </c>
    </row>
    <row r="1504" spans="1:19" x14ac:dyDescent="0.2">
      <c r="A1504" t="s">
        <v>14187</v>
      </c>
      <c r="B1504" t="s">
        <v>14359</v>
      </c>
      <c r="C1504" t="s">
        <v>10513</v>
      </c>
      <c r="D1504" t="str">
        <f>_xlfn.XLOOKUP(E1504,pathways!$A$2:$A$31,pathways!$B$2:$B$31)</f>
        <v>Unknown</v>
      </c>
      <c r="E1504" t="s">
        <v>18840</v>
      </c>
      <c r="F1504" t="s">
        <v>18840</v>
      </c>
      <c r="G1504" t="s">
        <v>14360</v>
      </c>
      <c r="H1504" t="s">
        <v>14360</v>
      </c>
      <c r="I1504" t="s">
        <v>10513</v>
      </c>
      <c r="J1504" s="4" t="s">
        <v>14360</v>
      </c>
      <c r="L1504" t="s">
        <v>3007</v>
      </c>
      <c r="M1504" t="s">
        <v>16364</v>
      </c>
      <c r="O1504" t="s">
        <v>14360</v>
      </c>
      <c r="Q1504" t="s">
        <v>14360</v>
      </c>
      <c r="R1504" t="s">
        <v>18840</v>
      </c>
    </row>
    <row r="1505" spans="1:19" x14ac:dyDescent="0.2">
      <c r="A1505" t="s">
        <v>14188</v>
      </c>
      <c r="B1505" t="s">
        <v>14359</v>
      </c>
      <c r="C1505" t="s">
        <v>10514</v>
      </c>
      <c r="D1505" t="str">
        <f>_xlfn.XLOOKUP(E1505,pathways!$A$2:$A$31,pathways!$B$2:$B$31)</f>
        <v>Unknown</v>
      </c>
      <c r="E1505" t="s">
        <v>18840</v>
      </c>
      <c r="F1505" t="s">
        <v>18840</v>
      </c>
      <c r="G1505" t="s">
        <v>14360</v>
      </c>
      <c r="H1505" t="s">
        <v>14360</v>
      </c>
      <c r="I1505" t="s">
        <v>10514</v>
      </c>
      <c r="J1505" s="4" t="s">
        <v>14360</v>
      </c>
      <c r="L1505" t="s">
        <v>3013</v>
      </c>
      <c r="M1505" t="s">
        <v>16371</v>
      </c>
      <c r="O1505" t="s">
        <v>14360</v>
      </c>
      <c r="Q1505" t="s">
        <v>14360</v>
      </c>
      <c r="R1505" t="s">
        <v>18840</v>
      </c>
    </row>
    <row r="1506" spans="1:19" x14ac:dyDescent="0.2">
      <c r="A1506" t="s">
        <v>3029</v>
      </c>
      <c r="B1506" t="s">
        <v>14359</v>
      </c>
      <c r="C1506" t="s">
        <v>10515</v>
      </c>
      <c r="D1506" t="str">
        <f>_xlfn.XLOOKUP(E1506,pathways!$A$2:$A$31,pathways!$B$2:$B$31)</f>
        <v>Unknown</v>
      </c>
      <c r="E1506" t="s">
        <v>18840</v>
      </c>
      <c r="F1506" t="s">
        <v>18840</v>
      </c>
      <c r="G1506" t="s">
        <v>20653</v>
      </c>
      <c r="H1506" t="s">
        <v>14360</v>
      </c>
      <c r="I1506" t="s">
        <v>10515</v>
      </c>
      <c r="J1506" s="4" t="s">
        <v>14360</v>
      </c>
      <c r="L1506" t="s">
        <v>3028</v>
      </c>
      <c r="M1506" t="s">
        <v>16388</v>
      </c>
      <c r="O1506" t="s">
        <v>14360</v>
      </c>
      <c r="Q1506" t="s">
        <v>14360</v>
      </c>
      <c r="R1506" t="s">
        <v>18840</v>
      </c>
    </row>
    <row r="1507" spans="1:19" x14ac:dyDescent="0.2">
      <c r="A1507" t="s">
        <v>14189</v>
      </c>
      <c r="B1507" t="s">
        <v>14359</v>
      </c>
      <c r="C1507" t="s">
        <v>10516</v>
      </c>
      <c r="D1507" t="str">
        <f>_xlfn.XLOOKUP(E1507,pathways!$A$2:$A$31,pathways!$B$2:$B$31)</f>
        <v>Unknown</v>
      </c>
      <c r="E1507" t="s">
        <v>18840</v>
      </c>
      <c r="F1507" t="s">
        <v>18840</v>
      </c>
      <c r="G1507" t="s">
        <v>14360</v>
      </c>
      <c r="H1507" t="s">
        <v>14360</v>
      </c>
      <c r="I1507" t="s">
        <v>10516</v>
      </c>
      <c r="J1507" s="4" t="s">
        <v>14360</v>
      </c>
      <c r="L1507" t="s">
        <v>14360</v>
      </c>
      <c r="M1507" t="s">
        <v>14360</v>
      </c>
      <c r="O1507" t="s">
        <v>14360</v>
      </c>
      <c r="Q1507" t="s">
        <v>14360</v>
      </c>
      <c r="R1507" t="s">
        <v>14360</v>
      </c>
    </row>
    <row r="1508" spans="1:19" x14ac:dyDescent="0.2">
      <c r="A1508" t="s">
        <v>14309</v>
      </c>
      <c r="B1508" t="s">
        <v>14359</v>
      </c>
      <c r="C1508" t="s">
        <v>12994</v>
      </c>
      <c r="D1508" t="str">
        <f>_xlfn.XLOOKUP(E1508,pathways!$A$2:$A$31,pathways!$B$2:$B$31)</f>
        <v>Unknown</v>
      </c>
      <c r="E1508" t="s">
        <v>18840</v>
      </c>
      <c r="F1508" t="s">
        <v>18840</v>
      </c>
      <c r="G1508" t="s">
        <v>14360</v>
      </c>
      <c r="H1508" t="s">
        <v>14360</v>
      </c>
      <c r="I1508" t="s">
        <v>14360</v>
      </c>
      <c r="J1508" s="4" t="s">
        <v>12994</v>
      </c>
      <c r="L1508" t="s">
        <v>14360</v>
      </c>
      <c r="M1508" t="s">
        <v>14360</v>
      </c>
      <c r="N1508" t="s">
        <v>14360</v>
      </c>
      <c r="P1508" t="s">
        <v>14360</v>
      </c>
      <c r="R1508" t="s">
        <v>14360</v>
      </c>
    </row>
    <row r="1509" spans="1:19" x14ac:dyDescent="0.2">
      <c r="A1509" t="s">
        <v>3027</v>
      </c>
      <c r="B1509" t="s">
        <v>14359</v>
      </c>
      <c r="C1509" t="s">
        <v>10517</v>
      </c>
      <c r="D1509" t="str">
        <f>_xlfn.XLOOKUP(E1509,pathways!$A$2:$A$31,pathways!$B$2:$B$31)</f>
        <v>Unknown</v>
      </c>
      <c r="E1509" t="s">
        <v>18840</v>
      </c>
      <c r="F1509" t="s">
        <v>18840</v>
      </c>
      <c r="G1509" t="s">
        <v>20486</v>
      </c>
      <c r="H1509" t="s">
        <v>14360</v>
      </c>
      <c r="I1509" t="s">
        <v>10517</v>
      </c>
      <c r="J1509" s="4" t="s">
        <v>14360</v>
      </c>
      <c r="L1509" t="s">
        <v>3026</v>
      </c>
      <c r="M1509" t="s">
        <v>16386</v>
      </c>
      <c r="O1509" t="s">
        <v>14360</v>
      </c>
      <c r="Q1509" t="s">
        <v>14360</v>
      </c>
      <c r="R1509" t="s">
        <v>18840</v>
      </c>
    </row>
    <row r="1510" spans="1:19" x14ac:dyDescent="0.2">
      <c r="A1510" t="s">
        <v>3010</v>
      </c>
      <c r="B1510" t="s">
        <v>14359</v>
      </c>
      <c r="C1510" t="s">
        <v>10518</v>
      </c>
      <c r="D1510" t="str">
        <f>_xlfn.XLOOKUP(E1510,pathways!$A$2:$A$31,pathways!$B$2:$B$31)</f>
        <v>Unknown</v>
      </c>
      <c r="E1510" t="s">
        <v>18840</v>
      </c>
      <c r="F1510" t="s">
        <v>18840</v>
      </c>
      <c r="G1510" t="s">
        <v>20679</v>
      </c>
      <c r="H1510" t="s">
        <v>14360</v>
      </c>
      <c r="I1510" t="s">
        <v>10518</v>
      </c>
      <c r="J1510" s="4" t="s">
        <v>14360</v>
      </c>
      <c r="L1510" t="s">
        <v>3009</v>
      </c>
      <c r="M1510" t="s">
        <v>16367</v>
      </c>
      <c r="O1510" t="s">
        <v>14360</v>
      </c>
      <c r="Q1510" t="s">
        <v>14360</v>
      </c>
      <c r="R1510" t="s">
        <v>18840</v>
      </c>
      <c r="S1510" t="s">
        <v>3449</v>
      </c>
    </row>
    <row r="1511" spans="1:19" x14ac:dyDescent="0.2">
      <c r="A1511" t="s">
        <v>14190</v>
      </c>
      <c r="B1511" t="s">
        <v>14359</v>
      </c>
      <c r="C1511" t="s">
        <v>10519</v>
      </c>
      <c r="D1511" t="str">
        <f>_xlfn.XLOOKUP(E1511,pathways!$A$2:$A$31,pathways!$B$2:$B$31)</f>
        <v>Unknown</v>
      </c>
      <c r="E1511" t="s">
        <v>18840</v>
      </c>
      <c r="F1511" t="s">
        <v>18840</v>
      </c>
      <c r="G1511" t="s">
        <v>20644</v>
      </c>
      <c r="H1511" t="s">
        <v>14360</v>
      </c>
      <c r="I1511" t="s">
        <v>10519</v>
      </c>
      <c r="J1511" s="4" t="s">
        <v>14360</v>
      </c>
      <c r="L1511" t="s">
        <v>14360</v>
      </c>
      <c r="M1511" t="s">
        <v>14360</v>
      </c>
      <c r="O1511" t="s">
        <v>14360</v>
      </c>
      <c r="Q1511" t="s">
        <v>14360</v>
      </c>
      <c r="R1511" t="s">
        <v>14360</v>
      </c>
      <c r="S1511" t="s">
        <v>14360</v>
      </c>
    </row>
    <row r="1512" spans="1:19" x14ac:dyDescent="0.2">
      <c r="A1512" t="s">
        <v>14310</v>
      </c>
      <c r="B1512" t="s">
        <v>14359</v>
      </c>
      <c r="C1512" t="s">
        <v>20415</v>
      </c>
      <c r="D1512" t="str">
        <f>_xlfn.XLOOKUP(E1512,pathways!$A$2:$A$31,pathways!$B$2:$B$31)</f>
        <v>Unknown</v>
      </c>
      <c r="E1512" t="s">
        <v>18840</v>
      </c>
      <c r="F1512" t="s">
        <v>18840</v>
      </c>
      <c r="G1512" t="s">
        <v>14360</v>
      </c>
      <c r="H1512" t="s">
        <v>14360</v>
      </c>
      <c r="I1512" t="s">
        <v>14360</v>
      </c>
      <c r="J1512" s="4" t="s">
        <v>12996</v>
      </c>
      <c r="L1512" t="s">
        <v>14360</v>
      </c>
      <c r="M1512" t="s">
        <v>14360</v>
      </c>
      <c r="N1512" t="s">
        <v>14360</v>
      </c>
      <c r="P1512" t="s">
        <v>14360</v>
      </c>
      <c r="R1512" t="s">
        <v>14360</v>
      </c>
      <c r="S1512" t="s">
        <v>3758</v>
      </c>
    </row>
    <row r="1513" spans="1:19" x14ac:dyDescent="0.2">
      <c r="A1513" t="s">
        <v>14191</v>
      </c>
      <c r="B1513" t="s">
        <v>14359</v>
      </c>
      <c r="C1513" t="s">
        <v>10520</v>
      </c>
      <c r="D1513" t="str">
        <f>_xlfn.XLOOKUP(E1513,pathways!$A$2:$A$31,pathways!$B$2:$B$31)</f>
        <v>Unknown</v>
      </c>
      <c r="E1513" t="s">
        <v>18840</v>
      </c>
      <c r="F1513" t="s">
        <v>18840</v>
      </c>
      <c r="G1513" t="s">
        <v>14360</v>
      </c>
      <c r="H1513" t="s">
        <v>14360</v>
      </c>
      <c r="I1513" t="s">
        <v>10520</v>
      </c>
      <c r="J1513" s="4" t="s">
        <v>14360</v>
      </c>
      <c r="L1513" t="s">
        <v>14360</v>
      </c>
      <c r="M1513" t="s">
        <v>14360</v>
      </c>
      <c r="O1513" t="s">
        <v>14360</v>
      </c>
      <c r="Q1513" t="s">
        <v>14360</v>
      </c>
      <c r="R1513" t="s">
        <v>14360</v>
      </c>
      <c r="S1513" t="s">
        <v>3470</v>
      </c>
    </row>
    <row r="1514" spans="1:19" x14ac:dyDescent="0.2">
      <c r="A1514" t="s">
        <v>3012</v>
      </c>
      <c r="B1514" t="s">
        <v>14359</v>
      </c>
      <c r="C1514" t="s">
        <v>10521</v>
      </c>
      <c r="D1514" t="str">
        <f>_xlfn.XLOOKUP(E1514,pathways!$A$2:$A$31,pathways!$B$2:$B$31)</f>
        <v>Unknown</v>
      </c>
      <c r="E1514" t="s">
        <v>18840</v>
      </c>
      <c r="F1514" t="s">
        <v>18840</v>
      </c>
      <c r="G1514" t="s">
        <v>20556</v>
      </c>
      <c r="H1514" t="s">
        <v>14360</v>
      </c>
      <c r="I1514" t="s">
        <v>10521</v>
      </c>
      <c r="J1514" s="4" t="s">
        <v>14360</v>
      </c>
      <c r="L1514" t="s">
        <v>3011</v>
      </c>
      <c r="M1514" t="s">
        <v>16369</v>
      </c>
      <c r="O1514" t="s">
        <v>14360</v>
      </c>
      <c r="Q1514" t="s">
        <v>14360</v>
      </c>
      <c r="R1514" t="s">
        <v>18840</v>
      </c>
      <c r="S1514" t="s">
        <v>3470</v>
      </c>
    </row>
    <row r="1515" spans="1:19" x14ac:dyDescent="0.2">
      <c r="A1515" t="s">
        <v>3021</v>
      </c>
      <c r="B1515" t="s">
        <v>14359</v>
      </c>
      <c r="C1515" t="s">
        <v>10522</v>
      </c>
      <c r="D1515" t="str">
        <f>_xlfn.XLOOKUP(E1515,pathways!$A$2:$A$31,pathways!$B$2:$B$31)</f>
        <v>Unknown</v>
      </c>
      <c r="E1515" t="s">
        <v>18840</v>
      </c>
      <c r="F1515" t="s">
        <v>18840</v>
      </c>
      <c r="G1515" t="s">
        <v>20663</v>
      </c>
      <c r="H1515" t="s">
        <v>14360</v>
      </c>
      <c r="I1515" t="s">
        <v>10522</v>
      </c>
      <c r="J1515" s="4" t="s">
        <v>14360</v>
      </c>
      <c r="L1515" t="s">
        <v>3020</v>
      </c>
      <c r="M1515" t="s">
        <v>16381</v>
      </c>
      <c r="O1515" t="s">
        <v>14360</v>
      </c>
      <c r="Q1515" t="s">
        <v>14360</v>
      </c>
      <c r="R1515" t="s">
        <v>18840</v>
      </c>
      <c r="S1515" t="s">
        <v>3687</v>
      </c>
    </row>
    <row r="1516" spans="1:19" x14ac:dyDescent="0.2">
      <c r="A1516" t="s">
        <v>3017</v>
      </c>
      <c r="B1516" t="s">
        <v>14359</v>
      </c>
      <c r="C1516" t="s">
        <v>10523</v>
      </c>
      <c r="D1516" t="str">
        <f>_xlfn.XLOOKUP(E1516,pathways!$A$2:$A$31,pathways!$B$2:$B$31)</f>
        <v>Unknown</v>
      </c>
      <c r="E1516" t="s">
        <v>18840</v>
      </c>
      <c r="F1516" t="s">
        <v>18840</v>
      </c>
      <c r="G1516" t="s">
        <v>20472</v>
      </c>
      <c r="H1516" t="s">
        <v>14360</v>
      </c>
      <c r="I1516" t="s">
        <v>10523</v>
      </c>
      <c r="J1516" s="4" t="s">
        <v>14360</v>
      </c>
      <c r="L1516" t="s">
        <v>3016</v>
      </c>
      <c r="M1516" t="s">
        <v>16377</v>
      </c>
      <c r="O1516" t="s">
        <v>14360</v>
      </c>
      <c r="Q1516" t="s">
        <v>14360</v>
      </c>
      <c r="R1516" t="s">
        <v>18840</v>
      </c>
      <c r="S1516" t="s">
        <v>3687</v>
      </c>
    </row>
    <row r="1517" spans="1:19" x14ac:dyDescent="0.2">
      <c r="A1517" t="s">
        <v>3025</v>
      </c>
      <c r="B1517" t="s">
        <v>14359</v>
      </c>
      <c r="C1517" t="s">
        <v>10524</v>
      </c>
      <c r="D1517" t="str">
        <f>_xlfn.XLOOKUP(E1517,pathways!$A$2:$A$31,pathways!$B$2:$B$31)</f>
        <v>Unknown</v>
      </c>
      <c r="E1517" t="s">
        <v>18840</v>
      </c>
      <c r="F1517" t="s">
        <v>18840</v>
      </c>
      <c r="G1517" t="s">
        <v>20491</v>
      </c>
      <c r="H1517" t="s">
        <v>14360</v>
      </c>
      <c r="I1517" t="s">
        <v>10524</v>
      </c>
      <c r="J1517" s="4" t="s">
        <v>12998</v>
      </c>
      <c r="L1517" t="s">
        <v>3024</v>
      </c>
      <c r="M1517" t="s">
        <v>16384</v>
      </c>
      <c r="R1517" t="s">
        <v>18840</v>
      </c>
    </row>
    <row r="1518" spans="1:19" x14ac:dyDescent="0.2">
      <c r="A1518" t="s">
        <v>14192</v>
      </c>
      <c r="B1518" t="s">
        <v>14359</v>
      </c>
      <c r="C1518" t="s">
        <v>10525</v>
      </c>
      <c r="D1518" t="str">
        <f>_xlfn.XLOOKUP(E1518,pathways!$A$2:$A$31,pathways!$B$2:$B$31)</f>
        <v>Unknown</v>
      </c>
      <c r="E1518" t="s">
        <v>18840</v>
      </c>
      <c r="F1518" t="s">
        <v>18840</v>
      </c>
      <c r="G1518" t="s">
        <v>14360</v>
      </c>
      <c r="H1518" t="s">
        <v>14360</v>
      </c>
      <c r="I1518" t="s">
        <v>10525</v>
      </c>
      <c r="J1518" s="4" t="s">
        <v>14360</v>
      </c>
      <c r="L1518" t="s">
        <v>14360</v>
      </c>
      <c r="M1518" t="s">
        <v>14360</v>
      </c>
      <c r="O1518" t="s">
        <v>14360</v>
      </c>
      <c r="Q1518" t="s">
        <v>14360</v>
      </c>
      <c r="R1518" t="s">
        <v>14360</v>
      </c>
      <c r="S1518" t="s">
        <v>3864</v>
      </c>
    </row>
    <row r="1519" spans="1:19" x14ac:dyDescent="0.2">
      <c r="A1519" t="s">
        <v>14193</v>
      </c>
      <c r="B1519" t="s">
        <v>14359</v>
      </c>
      <c r="C1519" t="s">
        <v>10526</v>
      </c>
      <c r="D1519" t="str">
        <f>_xlfn.XLOOKUP(E1519,pathways!$A$2:$A$31,pathways!$B$2:$B$31)</f>
        <v>Unknown</v>
      </c>
      <c r="E1519" t="s">
        <v>18840</v>
      </c>
      <c r="F1519" t="s">
        <v>18840</v>
      </c>
      <c r="G1519" t="s">
        <v>14360</v>
      </c>
      <c r="H1519" t="s">
        <v>14360</v>
      </c>
      <c r="I1519" t="s">
        <v>10526</v>
      </c>
      <c r="J1519" s="4" t="s">
        <v>14360</v>
      </c>
      <c r="L1519" t="s">
        <v>14360</v>
      </c>
      <c r="M1519" t="s">
        <v>14360</v>
      </c>
      <c r="O1519" t="s">
        <v>14360</v>
      </c>
      <c r="Q1519" t="s">
        <v>14360</v>
      </c>
      <c r="R1519" t="s">
        <v>14360</v>
      </c>
      <c r="S1519" t="s">
        <v>14360</v>
      </c>
    </row>
    <row r="1520" spans="1:19" x14ac:dyDescent="0.2">
      <c r="A1520" t="s">
        <v>14194</v>
      </c>
      <c r="B1520" t="s">
        <v>14359</v>
      </c>
      <c r="C1520" t="s">
        <v>10527</v>
      </c>
      <c r="D1520" t="str">
        <f>_xlfn.XLOOKUP(E1520,pathways!$A$2:$A$31,pathways!$B$2:$B$31)</f>
        <v>Unknown</v>
      </c>
      <c r="E1520" t="s">
        <v>18840</v>
      </c>
      <c r="F1520" t="s">
        <v>18840</v>
      </c>
      <c r="G1520" t="s">
        <v>14360</v>
      </c>
      <c r="H1520" t="s">
        <v>14360</v>
      </c>
      <c r="I1520" t="s">
        <v>10527</v>
      </c>
      <c r="J1520" s="4" t="s">
        <v>14360</v>
      </c>
      <c r="L1520" t="s">
        <v>14360</v>
      </c>
      <c r="M1520" t="s">
        <v>14360</v>
      </c>
      <c r="O1520" t="s">
        <v>14360</v>
      </c>
      <c r="Q1520" t="s">
        <v>14360</v>
      </c>
      <c r="R1520" t="s">
        <v>14360</v>
      </c>
      <c r="S1520" t="s">
        <v>6535</v>
      </c>
    </row>
    <row r="1521" spans="1:19" x14ac:dyDescent="0.2">
      <c r="A1521" t="s">
        <v>3033</v>
      </c>
      <c r="B1521" t="s">
        <v>14359</v>
      </c>
      <c r="C1521" t="s">
        <v>10528</v>
      </c>
      <c r="D1521" t="str">
        <f>_xlfn.XLOOKUP(E1521,pathways!$A$2:$A$31,pathways!$B$2:$B$31)</f>
        <v>Unknown</v>
      </c>
      <c r="E1521" t="s">
        <v>18840</v>
      </c>
      <c r="F1521" t="s">
        <v>18840</v>
      </c>
      <c r="G1521" t="s">
        <v>20538</v>
      </c>
      <c r="H1521" t="s">
        <v>14360</v>
      </c>
      <c r="I1521" t="s">
        <v>10528</v>
      </c>
      <c r="J1521" s="4" t="s">
        <v>14360</v>
      </c>
      <c r="L1521" t="s">
        <v>3032</v>
      </c>
      <c r="M1521" t="s">
        <v>16392</v>
      </c>
      <c r="O1521" t="s">
        <v>14360</v>
      </c>
      <c r="Q1521" t="s">
        <v>14360</v>
      </c>
      <c r="R1521" t="s">
        <v>18840</v>
      </c>
      <c r="S1521" t="s">
        <v>14360</v>
      </c>
    </row>
    <row r="1522" spans="1:19" x14ac:dyDescent="0.2">
      <c r="A1522" t="s">
        <v>3031</v>
      </c>
      <c r="B1522" t="s">
        <v>14359</v>
      </c>
      <c r="C1522" t="s">
        <v>10529</v>
      </c>
      <c r="D1522" t="str">
        <f>_xlfn.XLOOKUP(E1522,pathways!$A$2:$A$31,pathways!$B$2:$B$31)</f>
        <v>Unknown</v>
      </c>
      <c r="E1522" t="s">
        <v>18840</v>
      </c>
      <c r="F1522" t="s">
        <v>18840</v>
      </c>
      <c r="G1522" t="s">
        <v>20583</v>
      </c>
      <c r="H1522" t="s">
        <v>14360</v>
      </c>
      <c r="I1522" t="s">
        <v>10529</v>
      </c>
      <c r="J1522" s="4" t="s">
        <v>14360</v>
      </c>
      <c r="L1522" t="s">
        <v>3030</v>
      </c>
      <c r="M1522" t="s">
        <v>16390</v>
      </c>
      <c r="O1522" t="s">
        <v>14360</v>
      </c>
      <c r="Q1522" t="s">
        <v>14360</v>
      </c>
      <c r="R1522" t="s">
        <v>18840</v>
      </c>
      <c r="S1522" t="s">
        <v>3543</v>
      </c>
    </row>
    <row r="1523" spans="1:19" x14ac:dyDescent="0.2">
      <c r="A1523" t="s">
        <v>3019</v>
      </c>
      <c r="B1523" t="s">
        <v>14359</v>
      </c>
      <c r="C1523" t="s">
        <v>10530</v>
      </c>
      <c r="D1523" t="str">
        <f>_xlfn.XLOOKUP(E1523,pathways!$A$2:$A$31,pathways!$B$2:$B$31)</f>
        <v>Unknown</v>
      </c>
      <c r="E1523" t="s">
        <v>18840</v>
      </c>
      <c r="F1523" t="s">
        <v>18840</v>
      </c>
      <c r="G1523" t="s">
        <v>20508</v>
      </c>
      <c r="H1523" t="s">
        <v>14360</v>
      </c>
      <c r="I1523" t="s">
        <v>10530</v>
      </c>
      <c r="J1523" s="4" t="s">
        <v>14360</v>
      </c>
      <c r="L1523" t="s">
        <v>3018</v>
      </c>
      <c r="M1523" t="s">
        <v>16379</v>
      </c>
      <c r="O1523" t="s">
        <v>14360</v>
      </c>
      <c r="Q1523" t="s">
        <v>14360</v>
      </c>
      <c r="R1523" t="s">
        <v>18840</v>
      </c>
      <c r="S1523" t="s">
        <v>3661</v>
      </c>
    </row>
    <row r="1524" spans="1:19" x14ac:dyDescent="0.2">
      <c r="A1524" t="s">
        <v>3023</v>
      </c>
      <c r="B1524" t="s">
        <v>14359</v>
      </c>
      <c r="C1524" t="s">
        <v>10531</v>
      </c>
      <c r="D1524" t="str">
        <f>_xlfn.XLOOKUP(E1524,pathways!$A$2:$A$31,pathways!$B$2:$B$31)</f>
        <v>Unknown</v>
      </c>
      <c r="E1524" t="s">
        <v>18840</v>
      </c>
      <c r="F1524" t="s">
        <v>18840</v>
      </c>
      <c r="G1524" t="s">
        <v>20647</v>
      </c>
      <c r="H1524" t="s">
        <v>14360</v>
      </c>
      <c r="I1524" t="s">
        <v>10531</v>
      </c>
      <c r="J1524" s="4" t="s">
        <v>14360</v>
      </c>
      <c r="L1524" t="s">
        <v>3022</v>
      </c>
      <c r="M1524" t="s">
        <v>16383</v>
      </c>
      <c r="O1524" t="s">
        <v>14360</v>
      </c>
      <c r="Q1524" t="s">
        <v>14360</v>
      </c>
      <c r="R1524" t="s">
        <v>18840</v>
      </c>
      <c r="S1524" t="s">
        <v>3705</v>
      </c>
    </row>
    <row r="1525" spans="1:19" x14ac:dyDescent="0.2">
      <c r="A1525" t="s">
        <v>14195</v>
      </c>
      <c r="B1525" t="s">
        <v>14359</v>
      </c>
      <c r="C1525" t="s">
        <v>10532</v>
      </c>
      <c r="D1525" t="str">
        <f>_xlfn.XLOOKUP(E1525,pathways!$A$2:$A$31,pathways!$B$2:$B$31)</f>
        <v>Unknown</v>
      </c>
      <c r="E1525" t="s">
        <v>18840</v>
      </c>
      <c r="F1525" t="s">
        <v>18840</v>
      </c>
      <c r="G1525" t="s">
        <v>14360</v>
      </c>
      <c r="H1525" t="s">
        <v>14360</v>
      </c>
      <c r="I1525" t="s">
        <v>10532</v>
      </c>
      <c r="J1525" s="4" t="s">
        <v>14360</v>
      </c>
      <c r="L1525" t="s">
        <v>14360</v>
      </c>
      <c r="M1525" t="s">
        <v>14360</v>
      </c>
      <c r="O1525" t="s">
        <v>14360</v>
      </c>
      <c r="Q1525" t="s">
        <v>14360</v>
      </c>
      <c r="R1525" t="s">
        <v>14360</v>
      </c>
      <c r="S1525" t="s">
        <v>3819</v>
      </c>
    </row>
    <row r="1526" spans="1:19" x14ac:dyDescent="0.2">
      <c r="A1526" t="s">
        <v>14196</v>
      </c>
      <c r="B1526" t="s">
        <v>14359</v>
      </c>
      <c r="C1526" t="s">
        <v>10533</v>
      </c>
      <c r="D1526" t="str">
        <f>_xlfn.XLOOKUP(E1526,pathways!$A$2:$A$31,pathways!$B$2:$B$31)</f>
        <v>Unknown</v>
      </c>
      <c r="E1526" t="s">
        <v>18840</v>
      </c>
      <c r="F1526" t="s">
        <v>18840</v>
      </c>
      <c r="G1526" t="s">
        <v>14360</v>
      </c>
      <c r="H1526" t="s">
        <v>14360</v>
      </c>
      <c r="I1526" t="s">
        <v>10533</v>
      </c>
      <c r="J1526" s="4" t="s">
        <v>14360</v>
      </c>
      <c r="L1526" t="s">
        <v>14360</v>
      </c>
      <c r="M1526" t="s">
        <v>14360</v>
      </c>
      <c r="O1526" t="s">
        <v>14360</v>
      </c>
      <c r="Q1526" t="s">
        <v>14360</v>
      </c>
      <c r="R1526" t="s">
        <v>14360</v>
      </c>
      <c r="S1526" t="s">
        <v>14360</v>
      </c>
    </row>
    <row r="1527" spans="1:19" x14ac:dyDescent="0.2">
      <c r="A1527" t="s">
        <v>14197</v>
      </c>
      <c r="B1527" t="s">
        <v>14359</v>
      </c>
      <c r="C1527" t="s">
        <v>10534</v>
      </c>
      <c r="D1527" t="str">
        <f>_xlfn.XLOOKUP(E1527,pathways!$A$2:$A$31,pathways!$B$2:$B$31)</f>
        <v>Unknown</v>
      </c>
      <c r="E1527" t="s">
        <v>18840</v>
      </c>
      <c r="F1527" t="s">
        <v>18840</v>
      </c>
      <c r="G1527" t="s">
        <v>20479</v>
      </c>
      <c r="H1527" t="s">
        <v>14360</v>
      </c>
      <c r="I1527" t="s">
        <v>10534</v>
      </c>
      <c r="J1527" s="4" t="s">
        <v>14360</v>
      </c>
      <c r="L1527" t="s">
        <v>14360</v>
      </c>
      <c r="M1527" t="s">
        <v>14360</v>
      </c>
      <c r="O1527" t="s">
        <v>14360</v>
      </c>
      <c r="Q1527" t="s">
        <v>14360</v>
      </c>
      <c r="R1527" t="s">
        <v>14360</v>
      </c>
      <c r="S1527" t="s">
        <v>3498</v>
      </c>
    </row>
    <row r="1528" spans="1:19" x14ac:dyDescent="0.2">
      <c r="A1528" t="s">
        <v>14198</v>
      </c>
      <c r="B1528" t="s">
        <v>14359</v>
      </c>
      <c r="C1528" t="s">
        <v>10535</v>
      </c>
      <c r="D1528" t="str">
        <f>_xlfn.XLOOKUP(E1528,pathways!$A$2:$A$31,pathways!$B$2:$B$31)</f>
        <v>Unknown</v>
      </c>
      <c r="E1528" t="s">
        <v>18840</v>
      </c>
      <c r="F1528" t="s">
        <v>18840</v>
      </c>
      <c r="G1528" t="s">
        <v>20515</v>
      </c>
      <c r="H1528" t="s">
        <v>14360</v>
      </c>
      <c r="I1528" t="s">
        <v>10535</v>
      </c>
      <c r="J1528" s="4" t="s">
        <v>14360</v>
      </c>
      <c r="L1528" t="s">
        <v>3015</v>
      </c>
      <c r="M1528" t="s">
        <v>16375</v>
      </c>
      <c r="O1528" t="s">
        <v>14360</v>
      </c>
      <c r="Q1528" t="s">
        <v>14360</v>
      </c>
      <c r="R1528" t="s">
        <v>18840</v>
      </c>
    </row>
    <row r="1529" spans="1:19" x14ac:dyDescent="0.2">
      <c r="A1529" t="s">
        <v>14199</v>
      </c>
      <c r="B1529" t="s">
        <v>14359</v>
      </c>
      <c r="C1529" t="s">
        <v>10536</v>
      </c>
      <c r="D1529" t="str">
        <f>_xlfn.XLOOKUP(E1529,pathways!$A$2:$A$31,pathways!$B$2:$B$31)</f>
        <v>Unknown</v>
      </c>
      <c r="E1529" t="s">
        <v>18840</v>
      </c>
      <c r="F1529" t="s">
        <v>18840</v>
      </c>
      <c r="G1529" t="s">
        <v>20510</v>
      </c>
      <c r="H1529" t="s">
        <v>14360</v>
      </c>
      <c r="I1529" t="s">
        <v>10536</v>
      </c>
      <c r="J1529" s="4" t="s">
        <v>14360</v>
      </c>
      <c r="L1529" t="s">
        <v>14360</v>
      </c>
      <c r="M1529" t="s">
        <v>14360</v>
      </c>
      <c r="O1529" t="s">
        <v>14360</v>
      </c>
      <c r="Q1529" t="s">
        <v>14360</v>
      </c>
      <c r="R1529" t="s">
        <v>14360</v>
      </c>
      <c r="S1529" t="s">
        <v>14360</v>
      </c>
    </row>
    <row r="1530" spans="1:19" x14ac:dyDescent="0.2">
      <c r="A1530" t="s">
        <v>14200</v>
      </c>
      <c r="B1530" t="s">
        <v>14359</v>
      </c>
      <c r="C1530" t="s">
        <v>10537</v>
      </c>
      <c r="D1530" t="str">
        <f>_xlfn.XLOOKUP(E1530,pathways!$A$2:$A$31,pathways!$B$2:$B$31)</f>
        <v>Unknown</v>
      </c>
      <c r="E1530" t="s">
        <v>18840</v>
      </c>
      <c r="F1530" t="s">
        <v>18840</v>
      </c>
      <c r="G1530" t="s">
        <v>14360</v>
      </c>
      <c r="H1530" t="s">
        <v>14360</v>
      </c>
      <c r="I1530" t="s">
        <v>10537</v>
      </c>
      <c r="J1530" s="4" t="s">
        <v>14360</v>
      </c>
      <c r="L1530" t="s">
        <v>14360</v>
      </c>
      <c r="M1530" t="s">
        <v>14360</v>
      </c>
      <c r="O1530" t="s">
        <v>14360</v>
      </c>
      <c r="Q1530" t="s">
        <v>14360</v>
      </c>
      <c r="R1530" t="s">
        <v>14360</v>
      </c>
      <c r="S1530" t="s">
        <v>14360</v>
      </c>
    </row>
    <row r="1531" spans="1:19" x14ac:dyDescent="0.2">
      <c r="A1531" t="s">
        <v>14201</v>
      </c>
      <c r="B1531" t="s">
        <v>14359</v>
      </c>
      <c r="C1531" t="s">
        <v>10538</v>
      </c>
      <c r="D1531" t="str">
        <f>_xlfn.XLOOKUP(E1531,pathways!$A$2:$A$31,pathways!$B$2:$B$31)</f>
        <v>Unknown</v>
      </c>
      <c r="E1531" t="s">
        <v>18840</v>
      </c>
      <c r="F1531" t="s">
        <v>18840</v>
      </c>
      <c r="G1531" t="s">
        <v>14360</v>
      </c>
      <c r="H1531" t="s">
        <v>14360</v>
      </c>
      <c r="I1531" t="s">
        <v>10538</v>
      </c>
      <c r="J1531" s="4" t="s">
        <v>14360</v>
      </c>
      <c r="L1531" t="s">
        <v>14360</v>
      </c>
      <c r="M1531" t="s">
        <v>14360</v>
      </c>
      <c r="O1531" t="s">
        <v>14360</v>
      </c>
      <c r="Q1531" t="s">
        <v>14360</v>
      </c>
      <c r="R1531" t="s">
        <v>14360</v>
      </c>
      <c r="S1531" t="s">
        <v>14360</v>
      </c>
    </row>
    <row r="1532" spans="1:19" x14ac:dyDescent="0.2">
      <c r="A1532" t="s">
        <v>14202</v>
      </c>
      <c r="B1532" t="s">
        <v>14359</v>
      </c>
      <c r="C1532" t="s">
        <v>10539</v>
      </c>
      <c r="D1532" t="str">
        <f>_xlfn.XLOOKUP(E1532,pathways!$A$2:$A$31,pathways!$B$2:$B$31)</f>
        <v>Unknown</v>
      </c>
      <c r="E1532" t="s">
        <v>18840</v>
      </c>
      <c r="F1532" t="s">
        <v>18840</v>
      </c>
      <c r="G1532" t="s">
        <v>14360</v>
      </c>
      <c r="H1532" t="s">
        <v>14360</v>
      </c>
      <c r="I1532" t="s">
        <v>10539</v>
      </c>
      <c r="J1532" s="4" t="s">
        <v>14360</v>
      </c>
      <c r="L1532" t="s">
        <v>14360</v>
      </c>
      <c r="M1532" t="s">
        <v>14360</v>
      </c>
      <c r="O1532" t="s">
        <v>14360</v>
      </c>
      <c r="Q1532" t="s">
        <v>14360</v>
      </c>
      <c r="R1532" t="s">
        <v>14360</v>
      </c>
      <c r="S1532" t="s">
        <v>3687</v>
      </c>
    </row>
    <row r="1533" spans="1:19" x14ac:dyDescent="0.2">
      <c r="A1533" t="s">
        <v>14203</v>
      </c>
      <c r="B1533" t="s">
        <v>14359</v>
      </c>
      <c r="C1533" t="s">
        <v>10540</v>
      </c>
      <c r="D1533" t="str">
        <f>_xlfn.XLOOKUP(E1533,pathways!$A$2:$A$31,pathways!$B$2:$B$31)</f>
        <v>Unknown</v>
      </c>
      <c r="E1533" t="s">
        <v>18840</v>
      </c>
      <c r="F1533" t="s">
        <v>18840</v>
      </c>
      <c r="G1533" t="s">
        <v>14360</v>
      </c>
      <c r="H1533" t="s">
        <v>14360</v>
      </c>
      <c r="I1533" t="s">
        <v>10540</v>
      </c>
      <c r="J1533" s="4" t="s">
        <v>14360</v>
      </c>
      <c r="L1533" t="s">
        <v>14360</v>
      </c>
      <c r="M1533" t="s">
        <v>14360</v>
      </c>
      <c r="O1533" t="s">
        <v>14360</v>
      </c>
      <c r="Q1533" t="s">
        <v>14360</v>
      </c>
      <c r="R1533" t="s">
        <v>14360</v>
      </c>
      <c r="S1533" t="s">
        <v>3864</v>
      </c>
    </row>
    <row r="1534" spans="1:19" x14ac:dyDescent="0.2">
      <c r="A1534" t="s">
        <v>14204</v>
      </c>
      <c r="B1534" t="s">
        <v>14359</v>
      </c>
      <c r="C1534" t="s">
        <v>10541</v>
      </c>
      <c r="D1534" t="str">
        <f>_xlfn.XLOOKUP(E1534,pathways!$A$2:$A$31,pathways!$B$2:$B$31)</f>
        <v>Unknown</v>
      </c>
      <c r="E1534" t="s">
        <v>18840</v>
      </c>
      <c r="F1534" t="s">
        <v>18840</v>
      </c>
      <c r="G1534" t="s">
        <v>14360</v>
      </c>
      <c r="H1534" t="s">
        <v>14360</v>
      </c>
      <c r="I1534" t="s">
        <v>10541</v>
      </c>
      <c r="J1534" s="4" t="s">
        <v>14360</v>
      </c>
      <c r="L1534" t="s">
        <v>14360</v>
      </c>
      <c r="M1534" t="s">
        <v>14360</v>
      </c>
      <c r="O1534" t="s">
        <v>14360</v>
      </c>
      <c r="Q1534" t="s">
        <v>14360</v>
      </c>
      <c r="R1534" t="s">
        <v>14360</v>
      </c>
      <c r="S1534" t="s">
        <v>3687</v>
      </c>
    </row>
    <row r="1535" spans="1:19" x14ac:dyDescent="0.2">
      <c r="A1535" t="s">
        <v>3037</v>
      </c>
      <c r="B1535" t="s">
        <v>14359</v>
      </c>
      <c r="C1535" t="s">
        <v>10542</v>
      </c>
      <c r="D1535" t="str">
        <f>_xlfn.XLOOKUP(E1535,pathways!$A$2:$A$31,pathways!$B$2:$B$31)</f>
        <v>Unknown</v>
      </c>
      <c r="E1535" t="s">
        <v>18840</v>
      </c>
      <c r="F1535" t="s">
        <v>18840</v>
      </c>
      <c r="G1535" t="s">
        <v>14360</v>
      </c>
      <c r="H1535" t="s">
        <v>14360</v>
      </c>
      <c r="I1535" t="s">
        <v>10542</v>
      </c>
      <c r="J1535" s="4" t="s">
        <v>14360</v>
      </c>
      <c r="L1535" t="s">
        <v>3036</v>
      </c>
      <c r="M1535" t="s">
        <v>16395</v>
      </c>
      <c r="O1535" t="s">
        <v>14360</v>
      </c>
      <c r="Q1535" t="s">
        <v>14360</v>
      </c>
      <c r="R1535" t="s">
        <v>18840</v>
      </c>
      <c r="S1535" t="s">
        <v>14360</v>
      </c>
    </row>
    <row r="1536" spans="1:19" x14ac:dyDescent="0.2">
      <c r="A1536" t="s">
        <v>3035</v>
      </c>
      <c r="B1536" t="s">
        <v>14359</v>
      </c>
      <c r="C1536" t="s">
        <v>10543</v>
      </c>
      <c r="D1536" t="str">
        <f>_xlfn.XLOOKUP(E1536,pathways!$A$2:$A$31,pathways!$B$2:$B$31)</f>
        <v>Unknown</v>
      </c>
      <c r="E1536" t="s">
        <v>18840</v>
      </c>
      <c r="F1536" t="s">
        <v>18840</v>
      </c>
      <c r="G1536" t="s">
        <v>14360</v>
      </c>
      <c r="H1536" t="s">
        <v>14360</v>
      </c>
      <c r="I1536" t="s">
        <v>10543</v>
      </c>
      <c r="J1536" s="4" t="s">
        <v>14360</v>
      </c>
      <c r="L1536" t="s">
        <v>3034</v>
      </c>
      <c r="M1536" t="s">
        <v>16394</v>
      </c>
      <c r="O1536" t="s">
        <v>14360</v>
      </c>
      <c r="Q1536" t="s">
        <v>14360</v>
      </c>
      <c r="R1536" t="s">
        <v>18840</v>
      </c>
    </row>
    <row r="1537" spans="1:19" x14ac:dyDescent="0.2">
      <c r="A1537" t="s">
        <v>14205</v>
      </c>
      <c r="B1537" t="s">
        <v>14359</v>
      </c>
      <c r="C1537" t="s">
        <v>10544</v>
      </c>
      <c r="D1537" t="str">
        <f>_xlfn.XLOOKUP(E1537,pathways!$A$2:$A$31,pathways!$B$2:$B$31)</f>
        <v>Unknown</v>
      </c>
      <c r="E1537" t="s">
        <v>18840</v>
      </c>
      <c r="F1537" t="s">
        <v>18840</v>
      </c>
      <c r="G1537" t="s">
        <v>14360</v>
      </c>
      <c r="H1537" t="s">
        <v>14360</v>
      </c>
      <c r="I1537" t="s">
        <v>10544</v>
      </c>
      <c r="J1537" s="4" t="s">
        <v>14360</v>
      </c>
      <c r="L1537" t="s">
        <v>14360</v>
      </c>
      <c r="M1537" t="s">
        <v>14360</v>
      </c>
      <c r="O1537" t="s">
        <v>14360</v>
      </c>
      <c r="Q1537" t="s">
        <v>14360</v>
      </c>
      <c r="R1537" t="s">
        <v>14360</v>
      </c>
    </row>
    <row r="1538" spans="1:19" x14ac:dyDescent="0.2">
      <c r="A1538" t="s">
        <v>14206</v>
      </c>
      <c r="B1538" t="s">
        <v>14359</v>
      </c>
      <c r="C1538" t="s">
        <v>10545</v>
      </c>
      <c r="D1538" t="str">
        <f>_xlfn.XLOOKUP(E1538,pathways!$A$2:$A$31,pathways!$B$2:$B$31)</f>
        <v>Unknown</v>
      </c>
      <c r="E1538" t="s">
        <v>18840</v>
      </c>
      <c r="F1538" t="s">
        <v>18840</v>
      </c>
      <c r="G1538" t="s">
        <v>14360</v>
      </c>
      <c r="H1538" t="s">
        <v>14360</v>
      </c>
      <c r="I1538" t="s">
        <v>10545</v>
      </c>
      <c r="J1538" s="4" t="s">
        <v>14360</v>
      </c>
      <c r="L1538" t="s">
        <v>14360</v>
      </c>
      <c r="M1538" t="s">
        <v>14360</v>
      </c>
      <c r="O1538" t="s">
        <v>14360</v>
      </c>
      <c r="Q1538" t="s">
        <v>14360</v>
      </c>
      <c r="R1538" t="s">
        <v>14360</v>
      </c>
      <c r="S1538" t="s">
        <v>14360</v>
      </c>
    </row>
    <row r="1539" spans="1:19" x14ac:dyDescent="0.2">
      <c r="A1539" t="s">
        <v>14207</v>
      </c>
      <c r="B1539" t="s">
        <v>14359</v>
      </c>
      <c r="C1539" t="s">
        <v>10546</v>
      </c>
      <c r="D1539" t="str">
        <f>_xlfn.XLOOKUP(E1539,pathways!$A$2:$A$31,pathways!$B$2:$B$31)</f>
        <v>Unknown</v>
      </c>
      <c r="E1539" t="s">
        <v>18840</v>
      </c>
      <c r="F1539" t="s">
        <v>18840</v>
      </c>
      <c r="G1539" t="s">
        <v>14360</v>
      </c>
      <c r="H1539" t="s">
        <v>14360</v>
      </c>
      <c r="I1539" t="s">
        <v>10546</v>
      </c>
      <c r="J1539" s="4" t="s">
        <v>14360</v>
      </c>
      <c r="L1539" t="s">
        <v>14360</v>
      </c>
      <c r="M1539" t="s">
        <v>14360</v>
      </c>
      <c r="O1539" t="s">
        <v>14360</v>
      </c>
      <c r="Q1539" t="s">
        <v>14360</v>
      </c>
      <c r="R1539" t="s">
        <v>14360</v>
      </c>
      <c r="S1539" t="s">
        <v>18840</v>
      </c>
    </row>
    <row r="1540" spans="1:19" x14ac:dyDescent="0.2">
      <c r="A1540" t="s">
        <v>14208</v>
      </c>
      <c r="B1540" t="s">
        <v>14359</v>
      </c>
      <c r="C1540" t="s">
        <v>10547</v>
      </c>
      <c r="D1540" t="str">
        <f>_xlfn.XLOOKUP(E1540,pathways!$A$2:$A$31,pathways!$B$2:$B$31)</f>
        <v>Unknown</v>
      </c>
      <c r="E1540" t="s">
        <v>18840</v>
      </c>
      <c r="F1540" t="s">
        <v>18840</v>
      </c>
      <c r="G1540" t="s">
        <v>14360</v>
      </c>
      <c r="H1540" t="s">
        <v>14360</v>
      </c>
      <c r="I1540" t="s">
        <v>10547</v>
      </c>
      <c r="J1540" s="4" t="s">
        <v>14360</v>
      </c>
      <c r="L1540" t="s">
        <v>14360</v>
      </c>
      <c r="M1540" t="s">
        <v>14360</v>
      </c>
      <c r="O1540" t="s">
        <v>14360</v>
      </c>
      <c r="Q1540" t="s">
        <v>14360</v>
      </c>
      <c r="R1540" t="s">
        <v>14360</v>
      </c>
      <c r="S1540" t="s">
        <v>18840</v>
      </c>
    </row>
    <row r="1541" spans="1:19" x14ac:dyDescent="0.2">
      <c r="A1541" t="s">
        <v>14209</v>
      </c>
      <c r="B1541" t="s">
        <v>14359</v>
      </c>
      <c r="C1541" t="s">
        <v>10548</v>
      </c>
      <c r="D1541" t="str">
        <f>_xlfn.XLOOKUP(E1541,pathways!$A$2:$A$31,pathways!$B$2:$B$31)</f>
        <v>Unknown</v>
      </c>
      <c r="E1541" t="s">
        <v>18840</v>
      </c>
      <c r="F1541" t="s">
        <v>18840</v>
      </c>
      <c r="G1541" t="s">
        <v>14360</v>
      </c>
      <c r="H1541" t="s">
        <v>14360</v>
      </c>
      <c r="I1541" t="s">
        <v>10548</v>
      </c>
      <c r="J1541" s="4" t="s">
        <v>14360</v>
      </c>
      <c r="L1541" t="s">
        <v>14360</v>
      </c>
      <c r="M1541" t="s">
        <v>14360</v>
      </c>
      <c r="O1541" t="s">
        <v>14360</v>
      </c>
      <c r="Q1541" t="s">
        <v>14360</v>
      </c>
      <c r="R1541" t="s">
        <v>14360</v>
      </c>
      <c r="S1541" t="s">
        <v>18840</v>
      </c>
    </row>
    <row r="1542" spans="1:19" x14ac:dyDescent="0.2">
      <c r="A1542" t="s">
        <v>14210</v>
      </c>
      <c r="B1542" t="s">
        <v>14359</v>
      </c>
      <c r="C1542" t="s">
        <v>10549</v>
      </c>
      <c r="D1542" t="str">
        <f>_xlfn.XLOOKUP(E1542,pathways!$A$2:$A$31,pathways!$B$2:$B$31)</f>
        <v>Unknown</v>
      </c>
      <c r="E1542" t="s">
        <v>18840</v>
      </c>
      <c r="F1542" t="s">
        <v>18840</v>
      </c>
      <c r="G1542" t="s">
        <v>14360</v>
      </c>
      <c r="H1542" t="s">
        <v>14360</v>
      </c>
      <c r="I1542" t="s">
        <v>10549</v>
      </c>
      <c r="J1542" s="4" t="s">
        <v>14360</v>
      </c>
      <c r="L1542" t="s">
        <v>14360</v>
      </c>
      <c r="M1542" t="s">
        <v>14360</v>
      </c>
      <c r="O1542" t="s">
        <v>14360</v>
      </c>
      <c r="Q1542" t="s">
        <v>14360</v>
      </c>
      <c r="R1542" t="s">
        <v>14360</v>
      </c>
      <c r="S1542" t="s">
        <v>18840</v>
      </c>
    </row>
    <row r="1543" spans="1:19" x14ac:dyDescent="0.2">
      <c r="A1543" t="s">
        <v>14211</v>
      </c>
      <c r="B1543" t="s">
        <v>14359</v>
      </c>
      <c r="C1543" t="s">
        <v>10550</v>
      </c>
      <c r="D1543" t="str">
        <f>_xlfn.XLOOKUP(E1543,pathways!$A$2:$A$31,pathways!$B$2:$B$31)</f>
        <v>Unknown</v>
      </c>
      <c r="E1543" t="s">
        <v>18840</v>
      </c>
      <c r="F1543" t="s">
        <v>18840</v>
      </c>
      <c r="G1543" t="s">
        <v>14360</v>
      </c>
      <c r="H1543" t="s">
        <v>14360</v>
      </c>
      <c r="I1543" t="s">
        <v>10550</v>
      </c>
      <c r="J1543" s="4" t="s">
        <v>14360</v>
      </c>
      <c r="L1543" t="s">
        <v>14360</v>
      </c>
      <c r="M1543" t="s">
        <v>14360</v>
      </c>
      <c r="O1543" t="s">
        <v>14360</v>
      </c>
      <c r="Q1543" t="s">
        <v>14360</v>
      </c>
      <c r="R1543" t="s">
        <v>14360</v>
      </c>
      <c r="S1543" t="s">
        <v>18840</v>
      </c>
    </row>
    <row r="1544" spans="1:19" x14ac:dyDescent="0.2">
      <c r="A1544" t="s">
        <v>20151</v>
      </c>
      <c r="B1544" t="s">
        <v>14359</v>
      </c>
      <c r="C1544" t="s">
        <v>20241</v>
      </c>
      <c r="D1544" t="str">
        <f>_xlfn.XLOOKUP(E1544,pathways!$A$2:$A$31,pathways!$B$2:$B$31)</f>
        <v>Unknown</v>
      </c>
      <c r="E1544" t="s">
        <v>18840</v>
      </c>
      <c r="G1544" t="s">
        <v>14360</v>
      </c>
      <c r="H1544" t="s">
        <v>14360</v>
      </c>
      <c r="J1544" t="s">
        <v>20241</v>
      </c>
      <c r="S1544" t="s">
        <v>18840</v>
      </c>
    </row>
    <row r="1545" spans="1:19" x14ac:dyDescent="0.2">
      <c r="A1545" t="s">
        <v>19143</v>
      </c>
      <c r="B1545" t="s">
        <v>14359</v>
      </c>
      <c r="C1545" t="s">
        <v>18869</v>
      </c>
      <c r="D1545" t="str">
        <f>_xlfn.XLOOKUP(E1545,pathways!$A$2:$A$31,pathways!$B$2:$B$31)</f>
        <v>Unknown</v>
      </c>
      <c r="E1545" t="s">
        <v>18840</v>
      </c>
      <c r="F1545" t="s">
        <v>18840</v>
      </c>
      <c r="G1545" t="s">
        <v>20473</v>
      </c>
      <c r="H1545" t="s">
        <v>14360</v>
      </c>
      <c r="J1545" t="s">
        <v>20243</v>
      </c>
      <c r="S1545" t="s">
        <v>14360</v>
      </c>
    </row>
    <row r="1546" spans="1:19" x14ac:dyDescent="0.2">
      <c r="A1546" t="s">
        <v>20158</v>
      </c>
      <c r="B1546" t="s">
        <v>14359</v>
      </c>
      <c r="C1546" t="s">
        <v>20285</v>
      </c>
      <c r="D1546" t="str">
        <f>_xlfn.XLOOKUP(E1546,pathways!$A$2:$A$31,pathways!$B$2:$B$31)</f>
        <v>Unknown</v>
      </c>
      <c r="E1546" t="s">
        <v>18840</v>
      </c>
      <c r="F1546" t="s">
        <v>18840</v>
      </c>
      <c r="G1546" t="s">
        <v>14360</v>
      </c>
      <c r="H1546" t="s">
        <v>14360</v>
      </c>
      <c r="J1546" t="s">
        <v>20244</v>
      </c>
      <c r="S1546" t="s">
        <v>14360</v>
      </c>
    </row>
    <row r="1547" spans="1:19" x14ac:dyDescent="0.2">
      <c r="A1547" t="s">
        <v>20159</v>
      </c>
      <c r="B1547" t="s">
        <v>14359</v>
      </c>
      <c r="C1547" t="s">
        <v>20286</v>
      </c>
      <c r="D1547" t="str">
        <f>_xlfn.XLOOKUP(E1547,pathways!$A$2:$A$31,pathways!$B$2:$B$31)</f>
        <v>Unknown</v>
      </c>
      <c r="E1547" t="s">
        <v>18840</v>
      </c>
      <c r="F1547" t="s">
        <v>18840</v>
      </c>
      <c r="G1547" t="s">
        <v>14360</v>
      </c>
      <c r="H1547" t="s">
        <v>14360</v>
      </c>
      <c r="J1547" t="s">
        <v>20245</v>
      </c>
      <c r="S1547" t="s">
        <v>14360</v>
      </c>
    </row>
    <row r="1548" spans="1:19" x14ac:dyDescent="0.2">
      <c r="A1548" t="s">
        <v>19144</v>
      </c>
      <c r="B1548" t="s">
        <v>14359</v>
      </c>
      <c r="C1548" t="s">
        <v>18886</v>
      </c>
      <c r="D1548" t="str">
        <f>_xlfn.XLOOKUP(E1548,pathways!$A$2:$A$31,pathways!$B$2:$B$31)</f>
        <v>Unknown</v>
      </c>
      <c r="E1548" t="s">
        <v>18840</v>
      </c>
      <c r="F1548" t="s">
        <v>18840</v>
      </c>
      <c r="G1548" t="s">
        <v>14360</v>
      </c>
      <c r="H1548" t="s">
        <v>14360</v>
      </c>
      <c r="J1548" t="s">
        <v>20246</v>
      </c>
      <c r="S1548" t="s">
        <v>18840</v>
      </c>
    </row>
    <row r="1549" spans="1:19" x14ac:dyDescent="0.2">
      <c r="A1549" t="s">
        <v>19145</v>
      </c>
      <c r="B1549" t="s">
        <v>14359</v>
      </c>
      <c r="C1549" t="s">
        <v>18890</v>
      </c>
      <c r="D1549" t="str">
        <f>_xlfn.XLOOKUP(E1549,pathways!$A$2:$A$31,pathways!$B$2:$B$31)</f>
        <v>Unknown</v>
      </c>
      <c r="E1549" t="s">
        <v>18840</v>
      </c>
      <c r="F1549" t="s">
        <v>18840</v>
      </c>
      <c r="G1549" t="s">
        <v>14360</v>
      </c>
      <c r="H1549" t="s">
        <v>14360</v>
      </c>
      <c r="J1549" t="s">
        <v>20247</v>
      </c>
      <c r="S1549" t="s">
        <v>18840</v>
      </c>
    </row>
    <row r="1550" spans="1:19" x14ac:dyDescent="0.2">
      <c r="A1550" t="s">
        <v>20160</v>
      </c>
      <c r="B1550" t="s">
        <v>14359</v>
      </c>
      <c r="C1550" t="s">
        <v>20287</v>
      </c>
      <c r="D1550" t="str">
        <f>_xlfn.XLOOKUP(E1550,pathways!$A$2:$A$31,pathways!$B$2:$B$31)</f>
        <v>Unknown</v>
      </c>
      <c r="E1550" t="s">
        <v>18840</v>
      </c>
      <c r="F1550" t="s">
        <v>18840</v>
      </c>
      <c r="G1550" t="s">
        <v>14360</v>
      </c>
      <c r="H1550" t="s">
        <v>14360</v>
      </c>
      <c r="J1550" t="s">
        <v>20248</v>
      </c>
      <c r="S1550" t="s">
        <v>18840</v>
      </c>
    </row>
    <row r="1551" spans="1:19" x14ac:dyDescent="0.2">
      <c r="A1551" t="s">
        <v>20161</v>
      </c>
      <c r="B1551" t="s">
        <v>14359</v>
      </c>
      <c r="C1551" t="s">
        <v>20288</v>
      </c>
      <c r="D1551" t="str">
        <f>_xlfn.XLOOKUP(E1551,pathways!$A$2:$A$31,pathways!$B$2:$B$31)</f>
        <v>Unknown</v>
      </c>
      <c r="E1551" t="s">
        <v>18840</v>
      </c>
      <c r="F1551" t="s">
        <v>18840</v>
      </c>
      <c r="G1551" t="s">
        <v>14360</v>
      </c>
      <c r="H1551" t="s">
        <v>14360</v>
      </c>
      <c r="J1551" t="s">
        <v>20249</v>
      </c>
      <c r="S1551" t="s">
        <v>18840</v>
      </c>
    </row>
    <row r="1552" spans="1:19" x14ac:dyDescent="0.2">
      <c r="A1552" t="s">
        <v>20162</v>
      </c>
      <c r="B1552" t="s">
        <v>14359</v>
      </c>
      <c r="C1552" t="s">
        <v>20289</v>
      </c>
      <c r="D1552" t="str">
        <f>_xlfn.XLOOKUP(E1552,pathways!$A$2:$A$31,pathways!$B$2:$B$31)</f>
        <v>Unknown</v>
      </c>
      <c r="E1552" t="s">
        <v>18840</v>
      </c>
      <c r="F1552" t="s">
        <v>18840</v>
      </c>
      <c r="G1552" t="s">
        <v>14360</v>
      </c>
      <c r="H1552" t="s">
        <v>14360</v>
      </c>
      <c r="J1552" t="s">
        <v>20250</v>
      </c>
      <c r="S1552" t="s">
        <v>18840</v>
      </c>
    </row>
    <row r="1553" spans="1:19" x14ac:dyDescent="0.2">
      <c r="A1553" t="s">
        <v>20163</v>
      </c>
      <c r="B1553" t="s">
        <v>14359</v>
      </c>
      <c r="C1553" t="s">
        <v>20290</v>
      </c>
      <c r="D1553" t="str">
        <f>_xlfn.XLOOKUP(E1553,pathways!$A$2:$A$31,pathways!$B$2:$B$31)</f>
        <v>Unknown</v>
      </c>
      <c r="E1553" t="s">
        <v>18840</v>
      </c>
      <c r="F1553" t="s">
        <v>18840</v>
      </c>
      <c r="G1553" t="s">
        <v>14360</v>
      </c>
      <c r="H1553" t="s">
        <v>14360</v>
      </c>
      <c r="J1553" t="s">
        <v>20251</v>
      </c>
      <c r="S1553" t="s">
        <v>18840</v>
      </c>
    </row>
    <row r="1554" spans="1:19" x14ac:dyDescent="0.2">
      <c r="A1554" t="s">
        <v>19152</v>
      </c>
      <c r="B1554" t="s">
        <v>14359</v>
      </c>
      <c r="C1554" t="s">
        <v>18941</v>
      </c>
      <c r="D1554" t="str">
        <f>_xlfn.XLOOKUP(E1554,pathways!$A$2:$A$31,pathways!$B$2:$B$31)</f>
        <v>Unknown</v>
      </c>
      <c r="E1554" t="s">
        <v>18840</v>
      </c>
      <c r="F1554" t="s">
        <v>18840</v>
      </c>
      <c r="G1554" t="s">
        <v>14360</v>
      </c>
      <c r="H1554" t="s">
        <v>14360</v>
      </c>
      <c r="J1554" t="s">
        <v>20252</v>
      </c>
      <c r="S1554" t="s">
        <v>18840</v>
      </c>
    </row>
    <row r="1555" spans="1:19" x14ac:dyDescent="0.2">
      <c r="A1555" t="s">
        <v>19153</v>
      </c>
      <c r="B1555" t="s">
        <v>14359</v>
      </c>
      <c r="C1555" t="s">
        <v>18944</v>
      </c>
      <c r="D1555" t="str">
        <f>_xlfn.XLOOKUP(E1555,pathways!$A$2:$A$31,pathways!$B$2:$B$31)</f>
        <v>Unknown</v>
      </c>
      <c r="E1555" t="s">
        <v>18840</v>
      </c>
      <c r="F1555" t="s">
        <v>18840</v>
      </c>
      <c r="G1555" t="s">
        <v>14360</v>
      </c>
      <c r="H1555" t="s">
        <v>14360</v>
      </c>
      <c r="J1555" t="s">
        <v>20253</v>
      </c>
      <c r="S1555" t="s">
        <v>18840</v>
      </c>
    </row>
    <row r="1556" spans="1:19" x14ac:dyDescent="0.2">
      <c r="A1556" t="s">
        <v>20164</v>
      </c>
      <c r="B1556" t="s">
        <v>14359</v>
      </c>
      <c r="C1556" t="s">
        <v>20291</v>
      </c>
      <c r="D1556" t="str">
        <f>_xlfn.XLOOKUP(E1556,pathways!$A$2:$A$31,pathways!$B$2:$B$31)</f>
        <v>Unknown</v>
      </c>
      <c r="E1556" t="s">
        <v>18840</v>
      </c>
      <c r="F1556" t="s">
        <v>18840</v>
      </c>
      <c r="G1556" t="s">
        <v>14360</v>
      </c>
      <c r="H1556" t="s">
        <v>14360</v>
      </c>
      <c r="J1556" t="s">
        <v>20254</v>
      </c>
      <c r="S1556" t="s">
        <v>18840</v>
      </c>
    </row>
    <row r="1557" spans="1:19" x14ac:dyDescent="0.2">
      <c r="A1557" t="s">
        <v>20165</v>
      </c>
      <c r="B1557" t="s">
        <v>14359</v>
      </c>
      <c r="C1557" t="s">
        <v>20292</v>
      </c>
      <c r="D1557" t="str">
        <f>_xlfn.XLOOKUP(E1557,pathways!$A$2:$A$31,pathways!$B$2:$B$31)</f>
        <v>Unknown</v>
      </c>
      <c r="E1557" t="s">
        <v>18840</v>
      </c>
      <c r="F1557" t="s">
        <v>18840</v>
      </c>
      <c r="G1557" t="s">
        <v>14360</v>
      </c>
      <c r="H1557" t="s">
        <v>14360</v>
      </c>
      <c r="J1557" t="s">
        <v>20255</v>
      </c>
      <c r="S1557" t="s">
        <v>18840</v>
      </c>
    </row>
    <row r="1558" spans="1:19" x14ac:dyDescent="0.2">
      <c r="A1558" t="s">
        <v>20166</v>
      </c>
      <c r="B1558" t="s">
        <v>14359</v>
      </c>
      <c r="C1558" t="s">
        <v>20293</v>
      </c>
      <c r="D1558" t="str">
        <f>_xlfn.XLOOKUP(E1558,pathways!$A$2:$A$31,pathways!$B$2:$B$31)</f>
        <v>Unknown</v>
      </c>
      <c r="E1558" t="s">
        <v>18840</v>
      </c>
      <c r="F1558" t="s">
        <v>18840</v>
      </c>
      <c r="G1558" t="s">
        <v>14360</v>
      </c>
      <c r="H1558" t="s">
        <v>14360</v>
      </c>
      <c r="J1558" t="s">
        <v>20256</v>
      </c>
      <c r="S1558" t="s">
        <v>18840</v>
      </c>
    </row>
    <row r="1559" spans="1:19" x14ac:dyDescent="0.2">
      <c r="A1559" t="s">
        <v>20167</v>
      </c>
      <c r="B1559" t="s">
        <v>14359</v>
      </c>
      <c r="C1559" t="s">
        <v>20294</v>
      </c>
      <c r="D1559" t="str">
        <f>_xlfn.XLOOKUP(E1559,pathways!$A$2:$A$31,pathways!$B$2:$B$31)</f>
        <v>Unknown</v>
      </c>
      <c r="E1559" t="s">
        <v>18840</v>
      </c>
      <c r="F1559" t="s">
        <v>18840</v>
      </c>
      <c r="G1559" t="s">
        <v>14360</v>
      </c>
      <c r="H1559" t="s">
        <v>14360</v>
      </c>
      <c r="J1559" t="s">
        <v>20257</v>
      </c>
      <c r="S1559" t="s">
        <v>18840</v>
      </c>
    </row>
    <row r="1560" spans="1:19" x14ac:dyDescent="0.2">
      <c r="A1560" t="s">
        <v>19154</v>
      </c>
      <c r="B1560" t="s">
        <v>14359</v>
      </c>
      <c r="C1560" t="s">
        <v>18963</v>
      </c>
      <c r="D1560" t="str">
        <f>_xlfn.XLOOKUP(E1560,pathways!$A$2:$A$31,pathways!$B$2:$B$31)</f>
        <v>Unknown</v>
      </c>
      <c r="E1560" t="s">
        <v>18840</v>
      </c>
      <c r="F1560" t="s">
        <v>18840</v>
      </c>
      <c r="G1560" t="s">
        <v>14360</v>
      </c>
      <c r="H1560" t="s">
        <v>14360</v>
      </c>
      <c r="J1560" t="s">
        <v>20258</v>
      </c>
      <c r="S1560" t="s">
        <v>18840</v>
      </c>
    </row>
    <row r="1561" spans="1:19" x14ac:dyDescent="0.2">
      <c r="A1561" t="s">
        <v>20168</v>
      </c>
      <c r="B1561" t="s">
        <v>14359</v>
      </c>
      <c r="C1561" t="s">
        <v>20295</v>
      </c>
      <c r="D1561" t="str">
        <f>_xlfn.XLOOKUP(E1561,pathways!$A$2:$A$31,pathways!$B$2:$B$31)</f>
        <v>Unknown</v>
      </c>
      <c r="E1561" t="s">
        <v>18840</v>
      </c>
      <c r="F1561" t="s">
        <v>18840</v>
      </c>
      <c r="G1561" t="s">
        <v>14360</v>
      </c>
      <c r="H1561" t="s">
        <v>14360</v>
      </c>
      <c r="J1561" t="s">
        <v>20259</v>
      </c>
      <c r="S1561" t="s">
        <v>18840</v>
      </c>
    </row>
    <row r="1562" spans="1:19" x14ac:dyDescent="0.2">
      <c r="A1562" t="s">
        <v>20169</v>
      </c>
      <c r="B1562" t="s">
        <v>14359</v>
      </c>
      <c r="C1562" t="s">
        <v>20296</v>
      </c>
      <c r="D1562" t="str">
        <f>_xlfn.XLOOKUP(E1562,pathways!$A$2:$A$31,pathways!$B$2:$B$31)</f>
        <v>Unknown</v>
      </c>
      <c r="E1562" t="s">
        <v>18840</v>
      </c>
      <c r="F1562" t="s">
        <v>18840</v>
      </c>
      <c r="G1562" t="s">
        <v>14360</v>
      </c>
      <c r="H1562" t="s">
        <v>14360</v>
      </c>
      <c r="J1562" t="s">
        <v>20260</v>
      </c>
      <c r="S1562" t="s">
        <v>18840</v>
      </c>
    </row>
    <row r="1563" spans="1:19" x14ac:dyDescent="0.2">
      <c r="A1563" t="s">
        <v>20170</v>
      </c>
      <c r="B1563" t="s">
        <v>14359</v>
      </c>
      <c r="C1563" t="s">
        <v>20297</v>
      </c>
      <c r="D1563" t="str">
        <f>_xlfn.XLOOKUP(E1563,pathways!$A$2:$A$31,pathways!$B$2:$B$31)</f>
        <v>Unknown</v>
      </c>
      <c r="E1563" t="s">
        <v>18840</v>
      </c>
      <c r="F1563" t="s">
        <v>18840</v>
      </c>
      <c r="G1563" t="s">
        <v>14360</v>
      </c>
      <c r="H1563" t="s">
        <v>14360</v>
      </c>
      <c r="J1563" t="s">
        <v>20261</v>
      </c>
      <c r="S1563" t="s">
        <v>18840</v>
      </c>
    </row>
    <row r="1564" spans="1:19" x14ac:dyDescent="0.2">
      <c r="A1564" t="s">
        <v>20171</v>
      </c>
      <c r="B1564" t="s">
        <v>14359</v>
      </c>
      <c r="C1564" t="s">
        <v>20298</v>
      </c>
      <c r="D1564" t="str">
        <f>_xlfn.XLOOKUP(E1564,pathways!$A$2:$A$31,pathways!$B$2:$B$31)</f>
        <v>Unknown</v>
      </c>
      <c r="E1564" t="s">
        <v>18840</v>
      </c>
      <c r="F1564" t="s">
        <v>18840</v>
      </c>
      <c r="G1564" t="s">
        <v>14360</v>
      </c>
      <c r="H1564" t="s">
        <v>14360</v>
      </c>
      <c r="J1564" t="s">
        <v>20262</v>
      </c>
      <c r="S1564" t="s">
        <v>14360</v>
      </c>
    </row>
    <row r="1565" spans="1:19" x14ac:dyDescent="0.2">
      <c r="A1565" t="s">
        <v>19157</v>
      </c>
      <c r="B1565" t="s">
        <v>14359</v>
      </c>
      <c r="C1565" t="s">
        <v>18999</v>
      </c>
      <c r="D1565" t="str">
        <f>_xlfn.XLOOKUP(E1565,pathways!$A$2:$A$31,pathways!$B$2:$B$31)</f>
        <v>Unknown</v>
      </c>
      <c r="E1565" t="s">
        <v>18840</v>
      </c>
      <c r="F1565" t="s">
        <v>18840</v>
      </c>
      <c r="G1565" t="s">
        <v>14360</v>
      </c>
      <c r="H1565" t="s">
        <v>14360</v>
      </c>
      <c r="J1565" t="s">
        <v>20263</v>
      </c>
      <c r="S1565" t="s">
        <v>18840</v>
      </c>
    </row>
    <row r="1566" spans="1:19" x14ac:dyDescent="0.2">
      <c r="A1566" t="s">
        <v>20172</v>
      </c>
      <c r="B1566" t="s">
        <v>14359</v>
      </c>
      <c r="C1566" t="s">
        <v>20299</v>
      </c>
      <c r="D1566" t="str">
        <f>_xlfn.XLOOKUP(E1566,pathways!$A$2:$A$31,pathways!$B$2:$B$31)</f>
        <v>Unknown</v>
      </c>
      <c r="E1566" t="s">
        <v>18840</v>
      </c>
      <c r="F1566" t="s">
        <v>18840</v>
      </c>
      <c r="G1566" t="s">
        <v>14360</v>
      </c>
      <c r="H1566" t="s">
        <v>14360</v>
      </c>
      <c r="J1566" t="s">
        <v>20264</v>
      </c>
      <c r="S1566" t="s">
        <v>18840</v>
      </c>
    </row>
    <row r="1567" spans="1:19" x14ac:dyDescent="0.2">
      <c r="A1567" t="s">
        <v>20173</v>
      </c>
      <c r="B1567" t="s">
        <v>14359</v>
      </c>
      <c r="C1567" t="s">
        <v>20300</v>
      </c>
      <c r="D1567" t="str">
        <f>_xlfn.XLOOKUP(E1567,pathways!$A$2:$A$31,pathways!$B$2:$B$31)</f>
        <v>Unknown</v>
      </c>
      <c r="E1567" t="s">
        <v>18840</v>
      </c>
      <c r="F1567" t="s">
        <v>18840</v>
      </c>
      <c r="G1567" t="s">
        <v>14360</v>
      </c>
      <c r="H1567" t="s">
        <v>14360</v>
      </c>
      <c r="J1567" t="s">
        <v>20265</v>
      </c>
      <c r="S1567" t="s">
        <v>14360</v>
      </c>
    </row>
    <row r="1568" spans="1:19" x14ac:dyDescent="0.2">
      <c r="A1568" t="s">
        <v>20174</v>
      </c>
      <c r="B1568" t="s">
        <v>14359</v>
      </c>
      <c r="C1568" t="s">
        <v>20301</v>
      </c>
      <c r="D1568" t="str">
        <f>_xlfn.XLOOKUP(E1568,pathways!$A$2:$A$31,pathways!$B$2:$B$31)</f>
        <v>Unknown</v>
      </c>
      <c r="E1568" t="s">
        <v>18840</v>
      </c>
      <c r="F1568" t="s">
        <v>18840</v>
      </c>
      <c r="G1568" t="s">
        <v>14360</v>
      </c>
      <c r="H1568" t="s">
        <v>14360</v>
      </c>
      <c r="J1568" t="s">
        <v>20266</v>
      </c>
      <c r="S1568" t="s">
        <v>18840</v>
      </c>
    </row>
    <row r="1569" spans="1:19" x14ac:dyDescent="0.2">
      <c r="A1569" t="s">
        <v>20175</v>
      </c>
      <c r="B1569" t="s">
        <v>14359</v>
      </c>
      <c r="C1569" t="s">
        <v>20302</v>
      </c>
      <c r="D1569" t="str">
        <f>_xlfn.XLOOKUP(E1569,pathways!$A$2:$A$31,pathways!$B$2:$B$31)</f>
        <v>Unknown</v>
      </c>
      <c r="E1569" t="s">
        <v>18840</v>
      </c>
      <c r="F1569" t="s">
        <v>18840</v>
      </c>
      <c r="G1569" t="s">
        <v>14360</v>
      </c>
      <c r="H1569" t="s">
        <v>14360</v>
      </c>
      <c r="J1569" t="s">
        <v>20267</v>
      </c>
      <c r="S1569" t="s">
        <v>18840</v>
      </c>
    </row>
    <row r="1570" spans="1:19" x14ac:dyDescent="0.2">
      <c r="A1570" t="s">
        <v>20176</v>
      </c>
      <c r="B1570" t="s">
        <v>14359</v>
      </c>
      <c r="C1570" t="s">
        <v>20303</v>
      </c>
      <c r="D1570" t="str">
        <f>_xlfn.XLOOKUP(E1570,pathways!$A$2:$A$31,pathways!$B$2:$B$31)</f>
        <v>Unknown</v>
      </c>
      <c r="E1570" t="s">
        <v>18840</v>
      </c>
      <c r="F1570" t="s">
        <v>18840</v>
      </c>
      <c r="G1570" t="s">
        <v>14360</v>
      </c>
      <c r="H1570" t="s">
        <v>14360</v>
      </c>
      <c r="J1570" t="s">
        <v>20268</v>
      </c>
      <c r="S1570" t="s">
        <v>18840</v>
      </c>
    </row>
    <row r="1571" spans="1:19" x14ac:dyDescent="0.2">
      <c r="A1571" t="s">
        <v>20177</v>
      </c>
      <c r="B1571" t="s">
        <v>14359</v>
      </c>
      <c r="C1571" t="s">
        <v>20304</v>
      </c>
      <c r="D1571" t="str">
        <f>_xlfn.XLOOKUP(E1571,pathways!$A$2:$A$31,pathways!$B$2:$B$31)</f>
        <v>Unknown</v>
      </c>
      <c r="E1571" t="s">
        <v>18840</v>
      </c>
      <c r="F1571" t="s">
        <v>18840</v>
      </c>
      <c r="G1571" t="s">
        <v>14360</v>
      </c>
      <c r="H1571" t="s">
        <v>14360</v>
      </c>
      <c r="J1571" t="s">
        <v>20269</v>
      </c>
      <c r="S1571" t="s">
        <v>18840</v>
      </c>
    </row>
    <row r="1572" spans="1:19" x14ac:dyDescent="0.2">
      <c r="A1572" t="s">
        <v>20178</v>
      </c>
      <c r="B1572" t="s">
        <v>14359</v>
      </c>
      <c r="C1572" t="s">
        <v>20305</v>
      </c>
      <c r="D1572" t="str">
        <f>_xlfn.XLOOKUP(E1572,pathways!$A$2:$A$31,pathways!$B$2:$B$31)</f>
        <v>Unknown</v>
      </c>
      <c r="E1572" t="s">
        <v>18840</v>
      </c>
      <c r="F1572" t="s">
        <v>18840</v>
      </c>
      <c r="G1572" t="s">
        <v>14360</v>
      </c>
      <c r="H1572" t="s">
        <v>14360</v>
      </c>
      <c r="J1572" t="s">
        <v>20270</v>
      </c>
      <c r="S1572" t="s">
        <v>18840</v>
      </c>
    </row>
    <row r="1573" spans="1:19" x14ac:dyDescent="0.2">
      <c r="A1573" t="s">
        <v>20179</v>
      </c>
      <c r="B1573" t="s">
        <v>14359</v>
      </c>
      <c r="C1573" t="s">
        <v>20306</v>
      </c>
      <c r="D1573" t="str">
        <f>_xlfn.XLOOKUP(E1573,pathways!$A$2:$A$31,pathways!$B$2:$B$31)</f>
        <v>Unknown</v>
      </c>
      <c r="E1573" t="s">
        <v>18840</v>
      </c>
      <c r="F1573" t="s">
        <v>18840</v>
      </c>
      <c r="G1573" t="s">
        <v>14360</v>
      </c>
      <c r="H1573" t="s">
        <v>14360</v>
      </c>
      <c r="J1573" t="s">
        <v>20271</v>
      </c>
      <c r="S1573" t="s">
        <v>18840</v>
      </c>
    </row>
    <row r="1574" spans="1:19" x14ac:dyDescent="0.2">
      <c r="A1574" t="s">
        <v>20180</v>
      </c>
      <c r="B1574" t="s">
        <v>14359</v>
      </c>
      <c r="C1574" t="s">
        <v>20307</v>
      </c>
      <c r="D1574" t="str">
        <f>_xlfn.XLOOKUP(E1574,pathways!$A$2:$A$31,pathways!$B$2:$B$31)</f>
        <v>Unknown</v>
      </c>
      <c r="E1574" t="s">
        <v>18840</v>
      </c>
      <c r="F1574" t="s">
        <v>18840</v>
      </c>
      <c r="G1574" t="s">
        <v>14360</v>
      </c>
      <c r="H1574" t="s">
        <v>14360</v>
      </c>
      <c r="J1574" t="s">
        <v>12894</v>
      </c>
      <c r="S1574" t="s">
        <v>18840</v>
      </c>
    </row>
    <row r="1575" spans="1:19" x14ac:dyDescent="0.2">
      <c r="A1575" t="s">
        <v>20181</v>
      </c>
      <c r="B1575" t="s">
        <v>14359</v>
      </c>
      <c r="C1575" t="s">
        <v>20308</v>
      </c>
      <c r="D1575" t="str">
        <f>_xlfn.XLOOKUP(E1575,pathways!$A$2:$A$31,pathways!$B$2:$B$31)</f>
        <v>Unknown</v>
      </c>
      <c r="E1575" t="s">
        <v>18840</v>
      </c>
      <c r="F1575" t="s">
        <v>18840</v>
      </c>
      <c r="G1575" t="s">
        <v>14360</v>
      </c>
      <c r="H1575" t="s">
        <v>14360</v>
      </c>
      <c r="J1575" t="s">
        <v>20272</v>
      </c>
      <c r="S1575" t="s">
        <v>18840</v>
      </c>
    </row>
    <row r="1576" spans="1:19" x14ac:dyDescent="0.2">
      <c r="A1576" t="s">
        <v>20182</v>
      </c>
      <c r="B1576" t="s">
        <v>14359</v>
      </c>
      <c r="C1576" t="s">
        <v>20309</v>
      </c>
      <c r="D1576" t="str">
        <f>_xlfn.XLOOKUP(E1576,pathways!$A$2:$A$31,pathways!$B$2:$B$31)</f>
        <v>Unknown</v>
      </c>
      <c r="E1576" t="s">
        <v>18840</v>
      </c>
      <c r="F1576" t="s">
        <v>18840</v>
      </c>
      <c r="G1576" t="s">
        <v>14360</v>
      </c>
      <c r="H1576" t="s">
        <v>14360</v>
      </c>
      <c r="J1576" t="s">
        <v>20273</v>
      </c>
      <c r="S1576" t="s">
        <v>18840</v>
      </c>
    </row>
    <row r="1577" spans="1:19" x14ac:dyDescent="0.2">
      <c r="A1577" t="s">
        <v>20183</v>
      </c>
      <c r="B1577" t="s">
        <v>14359</v>
      </c>
      <c r="C1577" t="s">
        <v>20310</v>
      </c>
      <c r="D1577" t="str">
        <f>_xlfn.XLOOKUP(E1577,pathways!$A$2:$A$31,pathways!$B$2:$B$31)</f>
        <v>Unknown</v>
      </c>
      <c r="E1577" t="s">
        <v>18840</v>
      </c>
      <c r="F1577" t="s">
        <v>18840</v>
      </c>
      <c r="G1577" t="s">
        <v>14360</v>
      </c>
      <c r="H1577" t="s">
        <v>14360</v>
      </c>
      <c r="J1577" t="s">
        <v>20274</v>
      </c>
      <c r="S1577" t="s">
        <v>14360</v>
      </c>
    </row>
    <row r="1578" spans="1:19" x14ac:dyDescent="0.2">
      <c r="A1578" t="s">
        <v>20184</v>
      </c>
      <c r="B1578" t="s">
        <v>14359</v>
      </c>
      <c r="C1578" t="s">
        <v>20311</v>
      </c>
      <c r="D1578" t="str">
        <f>_xlfn.XLOOKUP(E1578,pathways!$A$2:$A$31,pathways!$B$2:$B$31)</f>
        <v>Unknown</v>
      </c>
      <c r="E1578" t="s">
        <v>18840</v>
      </c>
      <c r="F1578" t="s">
        <v>18840</v>
      </c>
      <c r="G1578" t="s">
        <v>14360</v>
      </c>
      <c r="H1578" t="s">
        <v>14360</v>
      </c>
      <c r="J1578" t="s">
        <v>20275</v>
      </c>
      <c r="S1578" t="s">
        <v>18840</v>
      </c>
    </row>
    <row r="1579" spans="1:19" x14ac:dyDescent="0.2">
      <c r="A1579" t="s">
        <v>20185</v>
      </c>
      <c r="B1579" t="s">
        <v>14359</v>
      </c>
      <c r="C1579" t="s">
        <v>20312</v>
      </c>
      <c r="D1579" t="str">
        <f>_xlfn.XLOOKUP(E1579,pathways!$A$2:$A$31,pathways!$B$2:$B$31)</f>
        <v>Unknown</v>
      </c>
      <c r="E1579" t="s">
        <v>18840</v>
      </c>
      <c r="F1579" t="s">
        <v>18840</v>
      </c>
      <c r="G1579" t="s">
        <v>14360</v>
      </c>
      <c r="H1579" t="s">
        <v>14360</v>
      </c>
      <c r="J1579" t="s">
        <v>20276</v>
      </c>
      <c r="S1579" t="s">
        <v>18840</v>
      </c>
    </row>
    <row r="1580" spans="1:19" x14ac:dyDescent="0.2">
      <c r="A1580" t="s">
        <v>20186</v>
      </c>
      <c r="B1580" t="s">
        <v>14359</v>
      </c>
      <c r="C1580" t="s">
        <v>20313</v>
      </c>
      <c r="D1580" t="str">
        <f>_xlfn.XLOOKUP(E1580,pathways!$A$2:$A$31,pathways!$B$2:$B$31)</f>
        <v>Unknown</v>
      </c>
      <c r="E1580" t="s">
        <v>18840</v>
      </c>
      <c r="F1580" t="s">
        <v>18840</v>
      </c>
      <c r="G1580" t="s">
        <v>14360</v>
      </c>
      <c r="H1580" t="s">
        <v>14360</v>
      </c>
      <c r="J1580" t="s">
        <v>20277</v>
      </c>
      <c r="S1580" t="s">
        <v>18840</v>
      </c>
    </row>
    <row r="1581" spans="1:19" x14ac:dyDescent="0.2">
      <c r="A1581" t="s">
        <v>20187</v>
      </c>
      <c r="B1581" t="s">
        <v>14359</v>
      </c>
      <c r="C1581" t="s">
        <v>20314</v>
      </c>
      <c r="D1581" t="str">
        <f>_xlfn.XLOOKUP(E1581,pathways!$A$2:$A$31,pathways!$B$2:$B$31)</f>
        <v>Unknown</v>
      </c>
      <c r="E1581" t="s">
        <v>18840</v>
      </c>
      <c r="F1581" t="s">
        <v>18840</v>
      </c>
      <c r="G1581" t="s">
        <v>14360</v>
      </c>
      <c r="H1581" t="s">
        <v>14360</v>
      </c>
      <c r="J1581" t="s">
        <v>20278</v>
      </c>
      <c r="S1581" t="s">
        <v>14360</v>
      </c>
    </row>
    <row r="1582" spans="1:19" x14ac:dyDescent="0.2">
      <c r="A1582" t="s">
        <v>20188</v>
      </c>
      <c r="B1582" t="s">
        <v>14359</v>
      </c>
      <c r="C1582" t="s">
        <v>20315</v>
      </c>
      <c r="D1582" t="str">
        <f>_xlfn.XLOOKUP(E1582,pathways!$A$2:$A$31,pathways!$B$2:$B$31)</f>
        <v>Unknown</v>
      </c>
      <c r="E1582" t="s">
        <v>18840</v>
      </c>
      <c r="F1582" t="s">
        <v>18840</v>
      </c>
      <c r="G1582" t="s">
        <v>14360</v>
      </c>
      <c r="H1582" t="s">
        <v>14360</v>
      </c>
      <c r="J1582" t="s">
        <v>20279</v>
      </c>
      <c r="S1582" t="s">
        <v>18840</v>
      </c>
    </row>
    <row r="1583" spans="1:19" x14ac:dyDescent="0.2">
      <c r="A1583" t="s">
        <v>20189</v>
      </c>
      <c r="B1583" t="s">
        <v>14359</v>
      </c>
      <c r="C1583" t="s">
        <v>20316</v>
      </c>
      <c r="D1583" t="str">
        <f>_xlfn.XLOOKUP(E1583,pathways!$A$2:$A$31,pathways!$B$2:$B$31)</f>
        <v>Unknown</v>
      </c>
      <c r="E1583" t="s">
        <v>18840</v>
      </c>
      <c r="F1583" t="s">
        <v>18840</v>
      </c>
      <c r="G1583" t="s">
        <v>14360</v>
      </c>
      <c r="H1583" t="s">
        <v>14360</v>
      </c>
      <c r="J1583" t="s">
        <v>20280</v>
      </c>
      <c r="S1583" t="s">
        <v>18840</v>
      </c>
    </row>
    <row r="1584" spans="1:19" x14ac:dyDescent="0.2">
      <c r="A1584" t="s">
        <v>20190</v>
      </c>
      <c r="B1584" t="s">
        <v>14359</v>
      </c>
      <c r="C1584" t="s">
        <v>20317</v>
      </c>
      <c r="D1584" t="str">
        <f>_xlfn.XLOOKUP(E1584,pathways!$A$2:$A$31,pathways!$B$2:$B$31)</f>
        <v>Unknown</v>
      </c>
      <c r="E1584" t="s">
        <v>18840</v>
      </c>
      <c r="F1584" t="s">
        <v>18840</v>
      </c>
      <c r="G1584" t="s">
        <v>14360</v>
      </c>
      <c r="H1584" t="s">
        <v>14360</v>
      </c>
      <c r="J1584" t="s">
        <v>20281</v>
      </c>
      <c r="S1584" t="s">
        <v>18840</v>
      </c>
    </row>
    <row r="1585" spans="1:19" x14ac:dyDescent="0.2">
      <c r="A1585" t="s">
        <v>20191</v>
      </c>
      <c r="B1585" t="s">
        <v>14359</v>
      </c>
      <c r="C1585" t="s">
        <v>20318</v>
      </c>
      <c r="D1585" t="str">
        <f>_xlfn.XLOOKUP(E1585,pathways!$A$2:$A$31,pathways!$B$2:$B$31)</f>
        <v>Unknown</v>
      </c>
      <c r="E1585" t="s">
        <v>18840</v>
      </c>
      <c r="F1585" t="s">
        <v>18840</v>
      </c>
      <c r="G1585" t="s">
        <v>14360</v>
      </c>
      <c r="H1585" t="s">
        <v>14360</v>
      </c>
      <c r="J1585" t="s">
        <v>20282</v>
      </c>
      <c r="S1585" t="s">
        <v>18840</v>
      </c>
    </row>
    <row r="1586" spans="1:19" x14ac:dyDescent="0.2">
      <c r="A1586" t="s">
        <v>20192</v>
      </c>
      <c r="B1586" t="s">
        <v>14359</v>
      </c>
      <c r="C1586" t="s">
        <v>20319</v>
      </c>
      <c r="D1586" t="str">
        <f>_xlfn.XLOOKUP(E1586,pathways!$A$2:$A$31,pathways!$B$2:$B$31)</f>
        <v>Unknown</v>
      </c>
      <c r="E1586" t="s">
        <v>18840</v>
      </c>
      <c r="F1586" t="s">
        <v>18840</v>
      </c>
      <c r="G1586" t="s">
        <v>20649</v>
      </c>
      <c r="H1586" t="s">
        <v>14360</v>
      </c>
      <c r="J1586" t="s">
        <v>20283</v>
      </c>
      <c r="S1586" t="s">
        <v>18840</v>
      </c>
    </row>
    <row r="1587" spans="1:19" x14ac:dyDescent="0.2">
      <c r="A1587" t="s">
        <v>20193</v>
      </c>
      <c r="B1587" t="s">
        <v>14359</v>
      </c>
      <c r="C1587" t="s">
        <v>20320</v>
      </c>
      <c r="D1587" t="str">
        <f>_xlfn.XLOOKUP(E1587,pathways!$A$2:$A$31,pathways!$B$2:$B$31)</f>
        <v>Unknown</v>
      </c>
      <c r="E1587" t="s">
        <v>18840</v>
      </c>
      <c r="F1587" t="s">
        <v>18840</v>
      </c>
      <c r="G1587" t="s">
        <v>20686</v>
      </c>
      <c r="H1587" t="s">
        <v>14360</v>
      </c>
      <c r="J1587" t="s">
        <v>20284</v>
      </c>
      <c r="S1587" t="s">
        <v>18840</v>
      </c>
    </row>
    <row r="1588" spans="1:19" x14ac:dyDescent="0.2">
      <c r="A1588" t="s">
        <v>2232</v>
      </c>
      <c r="B1588" t="s">
        <v>14359</v>
      </c>
      <c r="C1588" t="s">
        <v>9795</v>
      </c>
      <c r="D1588" t="str">
        <f>_xlfn.XLOOKUP(E1588,pathways!$A$2:$A$31,pathways!$B$2:$B$31)</f>
        <v>Xenobiotics/other</v>
      </c>
      <c r="E1588" t="s">
        <v>3863</v>
      </c>
      <c r="F1588" t="s">
        <v>3864</v>
      </c>
      <c r="G1588" t="s">
        <v>14360</v>
      </c>
      <c r="H1588" t="s">
        <v>14360</v>
      </c>
      <c r="I1588" t="s">
        <v>9795</v>
      </c>
      <c r="J1588" s="4" t="s">
        <v>13015</v>
      </c>
      <c r="L1588" t="s">
        <v>2231</v>
      </c>
      <c r="M1588" t="s">
        <v>15529</v>
      </c>
      <c r="N1588" t="s">
        <v>3863</v>
      </c>
      <c r="O1588" t="s">
        <v>3863</v>
      </c>
      <c r="P1588" t="s">
        <v>3864</v>
      </c>
      <c r="Q1588" t="s">
        <v>3864</v>
      </c>
      <c r="R1588" t="s">
        <v>3863</v>
      </c>
      <c r="S1588" t="s">
        <v>18840</v>
      </c>
    </row>
    <row r="1589" spans="1:19" x14ac:dyDescent="0.2">
      <c r="A1589" t="s">
        <v>13882</v>
      </c>
      <c r="B1589" t="s">
        <v>14359</v>
      </c>
      <c r="C1589" t="s">
        <v>7451</v>
      </c>
      <c r="D1589" t="str">
        <f>_xlfn.XLOOKUP(E1589,pathways!$A$2:$A$31,pathways!$B$2:$B$31)</f>
        <v>Xenobiotics/other</v>
      </c>
      <c r="E1589" t="s">
        <v>3863</v>
      </c>
      <c r="F1589" t="s">
        <v>7418</v>
      </c>
      <c r="G1589" t="s">
        <v>14360</v>
      </c>
      <c r="H1589" t="s">
        <v>14360</v>
      </c>
      <c r="I1589" t="s">
        <v>7451</v>
      </c>
      <c r="J1589" s="4" t="s">
        <v>7451</v>
      </c>
      <c r="L1589" t="s">
        <v>14360</v>
      </c>
      <c r="M1589" t="s">
        <v>14360</v>
      </c>
      <c r="N1589" t="s">
        <v>3863</v>
      </c>
      <c r="O1589" t="s">
        <v>3863</v>
      </c>
      <c r="P1589" t="s">
        <v>7418</v>
      </c>
      <c r="Q1589" t="s">
        <v>7418</v>
      </c>
      <c r="R1589" t="s">
        <v>14360</v>
      </c>
      <c r="S1589" t="s">
        <v>18840</v>
      </c>
    </row>
    <row r="1590" spans="1:19" x14ac:dyDescent="0.2">
      <c r="A1590" t="s">
        <v>13839</v>
      </c>
      <c r="B1590" t="s">
        <v>14359</v>
      </c>
      <c r="C1590" t="s">
        <v>6357</v>
      </c>
      <c r="D1590" t="str">
        <f>_xlfn.XLOOKUP(E1590,pathways!$A$2:$A$31,pathways!$B$2:$B$31)</f>
        <v>Xenobiotics/other</v>
      </c>
      <c r="E1590" t="s">
        <v>3863</v>
      </c>
      <c r="F1590" t="s">
        <v>4373</v>
      </c>
      <c r="G1590" t="s">
        <v>14360</v>
      </c>
      <c r="H1590" t="s">
        <v>14360</v>
      </c>
      <c r="I1590" t="s">
        <v>6357</v>
      </c>
      <c r="J1590" s="4" t="s">
        <v>6357</v>
      </c>
      <c r="L1590" t="s">
        <v>14360</v>
      </c>
      <c r="M1590" t="s">
        <v>14360</v>
      </c>
      <c r="N1590" t="s">
        <v>3863</v>
      </c>
      <c r="O1590" t="s">
        <v>3863</v>
      </c>
      <c r="P1590" t="s">
        <v>4373</v>
      </c>
      <c r="Q1590" t="s">
        <v>4373</v>
      </c>
      <c r="R1590" t="s">
        <v>14360</v>
      </c>
      <c r="S1590" t="s">
        <v>18840</v>
      </c>
    </row>
    <row r="1591" spans="1:19" x14ac:dyDescent="0.2">
      <c r="A1591" t="s">
        <v>1368</v>
      </c>
      <c r="B1591" t="s">
        <v>14359</v>
      </c>
      <c r="C1591" t="s">
        <v>6381</v>
      </c>
      <c r="D1591" t="str">
        <f>_xlfn.XLOOKUP(E1591,pathways!$A$2:$A$31,pathways!$B$2:$B$31)</f>
        <v>Xenobiotics/other</v>
      </c>
      <c r="E1591" t="s">
        <v>3863</v>
      </c>
      <c r="F1591" t="s">
        <v>4373</v>
      </c>
      <c r="G1591" t="s">
        <v>14360</v>
      </c>
      <c r="H1591" t="s">
        <v>14360</v>
      </c>
      <c r="I1591" t="s">
        <v>6381</v>
      </c>
      <c r="J1591" s="4" t="s">
        <v>6381</v>
      </c>
      <c r="L1591" t="s">
        <v>1367</v>
      </c>
      <c r="M1591" t="s">
        <v>14648</v>
      </c>
      <c r="N1591" t="s">
        <v>3863</v>
      </c>
      <c r="O1591" t="s">
        <v>3863</v>
      </c>
      <c r="P1591" t="s">
        <v>4373</v>
      </c>
      <c r="Q1591" t="s">
        <v>4373</v>
      </c>
      <c r="R1591" t="s">
        <v>3863</v>
      </c>
      <c r="S1591" t="s">
        <v>18840</v>
      </c>
    </row>
    <row r="1592" spans="1:19" x14ac:dyDescent="0.2">
      <c r="A1592" t="s">
        <v>1833</v>
      </c>
      <c r="B1592" t="s">
        <v>14359</v>
      </c>
      <c r="C1592" t="s">
        <v>8656</v>
      </c>
      <c r="D1592" t="str">
        <f>_xlfn.XLOOKUP(E1592,pathways!$A$2:$A$31,pathways!$B$2:$B$31)</f>
        <v>Xenobiotics/other</v>
      </c>
      <c r="E1592" t="s">
        <v>3863</v>
      </c>
      <c r="F1592" t="s">
        <v>5632</v>
      </c>
      <c r="G1592" t="s">
        <v>14360</v>
      </c>
      <c r="H1592" t="s">
        <v>14360</v>
      </c>
      <c r="I1592" t="s">
        <v>8656</v>
      </c>
      <c r="J1592" s="4" t="s">
        <v>8656</v>
      </c>
      <c r="L1592" t="s">
        <v>1832</v>
      </c>
      <c r="M1592" t="s">
        <v>15134</v>
      </c>
      <c r="N1592" t="s">
        <v>3863</v>
      </c>
      <c r="O1592" t="s">
        <v>3863</v>
      </c>
      <c r="P1592" t="s">
        <v>5632</v>
      </c>
      <c r="Q1592" t="s">
        <v>5632</v>
      </c>
      <c r="R1592" t="s">
        <v>3863</v>
      </c>
      <c r="S1592" t="s">
        <v>18840</v>
      </c>
    </row>
    <row r="1593" spans="1:19" x14ac:dyDescent="0.2">
      <c r="A1593" t="s">
        <v>1234</v>
      </c>
      <c r="B1593" t="s">
        <v>14359</v>
      </c>
      <c r="C1593" t="s">
        <v>5838</v>
      </c>
      <c r="D1593" t="str">
        <f>_xlfn.XLOOKUP(E1593,pathways!$A$2:$A$31,pathways!$B$2:$B$31)</f>
        <v>Xenobiotics/other</v>
      </c>
      <c r="E1593" t="s">
        <v>3863</v>
      </c>
      <c r="F1593" t="s">
        <v>4373</v>
      </c>
      <c r="G1593" t="s">
        <v>14360</v>
      </c>
      <c r="H1593" t="s">
        <v>14360</v>
      </c>
      <c r="I1593" t="s">
        <v>5838</v>
      </c>
      <c r="J1593" s="4" t="s">
        <v>5838</v>
      </c>
      <c r="L1593" t="s">
        <v>1233</v>
      </c>
      <c r="M1593" t="s">
        <v>14510</v>
      </c>
      <c r="N1593" t="s">
        <v>3863</v>
      </c>
      <c r="O1593" t="s">
        <v>3863</v>
      </c>
      <c r="P1593" t="s">
        <v>4373</v>
      </c>
      <c r="Q1593" t="s">
        <v>4373</v>
      </c>
      <c r="R1593" t="s">
        <v>3863</v>
      </c>
      <c r="S1593" t="s">
        <v>18840</v>
      </c>
    </row>
    <row r="1594" spans="1:19" x14ac:dyDescent="0.2">
      <c r="A1594" t="s">
        <v>1356</v>
      </c>
      <c r="B1594" t="s">
        <v>14359</v>
      </c>
      <c r="C1594" t="s">
        <v>6333</v>
      </c>
      <c r="D1594" t="str">
        <f>_xlfn.XLOOKUP(E1594,pathways!$A$2:$A$31,pathways!$B$2:$B$31)</f>
        <v>Xenobiotics/other</v>
      </c>
      <c r="E1594" t="s">
        <v>3863</v>
      </c>
      <c r="F1594" t="s">
        <v>4373</v>
      </c>
      <c r="G1594" t="s">
        <v>6333</v>
      </c>
      <c r="H1594" t="s">
        <v>14360</v>
      </c>
      <c r="I1594" t="s">
        <v>6333</v>
      </c>
      <c r="J1594" s="4" t="s">
        <v>6333</v>
      </c>
      <c r="L1594" t="s">
        <v>1355</v>
      </c>
      <c r="M1594" t="s">
        <v>14636</v>
      </c>
      <c r="N1594" t="s">
        <v>3863</v>
      </c>
      <c r="O1594" t="s">
        <v>3863</v>
      </c>
      <c r="P1594" t="s">
        <v>4373</v>
      </c>
      <c r="Q1594" t="s">
        <v>4373</v>
      </c>
      <c r="R1594" t="s">
        <v>3863</v>
      </c>
      <c r="S1594" t="s">
        <v>18840</v>
      </c>
    </row>
    <row r="1595" spans="1:19" x14ac:dyDescent="0.2">
      <c r="A1595" t="s">
        <v>13838</v>
      </c>
      <c r="B1595" t="s">
        <v>14359</v>
      </c>
      <c r="C1595" t="s">
        <v>19263</v>
      </c>
      <c r="D1595" t="str">
        <f>_xlfn.XLOOKUP(E1595,pathways!$A$2:$A$31,pathways!$B$2:$B$31)</f>
        <v>Xenobiotics/other</v>
      </c>
      <c r="E1595" t="s">
        <v>3863</v>
      </c>
      <c r="F1595" t="s">
        <v>4373</v>
      </c>
      <c r="G1595" t="s">
        <v>6349</v>
      </c>
      <c r="H1595" t="s">
        <v>14360</v>
      </c>
      <c r="I1595" t="s">
        <v>6349</v>
      </c>
      <c r="J1595" s="4" t="s">
        <v>6349</v>
      </c>
      <c r="L1595" t="s">
        <v>1354</v>
      </c>
      <c r="M1595" t="s">
        <v>14634</v>
      </c>
      <c r="N1595" t="s">
        <v>3863</v>
      </c>
      <c r="O1595" t="s">
        <v>3863</v>
      </c>
      <c r="P1595" t="s">
        <v>4373</v>
      </c>
      <c r="Q1595" t="s">
        <v>4373</v>
      </c>
      <c r="R1595" t="s">
        <v>3863</v>
      </c>
      <c r="S1595" t="s">
        <v>18840</v>
      </c>
    </row>
    <row r="1596" spans="1:19" x14ac:dyDescent="0.2">
      <c r="A1596" t="s">
        <v>14037</v>
      </c>
      <c r="B1596" t="s">
        <v>14359</v>
      </c>
      <c r="C1596" t="s">
        <v>9872</v>
      </c>
      <c r="D1596" t="str">
        <f>_xlfn.XLOOKUP(E1596,pathways!$A$2:$A$31,pathways!$B$2:$B$31)</f>
        <v>Xenobiotics/other</v>
      </c>
      <c r="E1596" t="s">
        <v>3863</v>
      </c>
      <c r="F1596" t="s">
        <v>7216</v>
      </c>
      <c r="G1596" t="s">
        <v>14360</v>
      </c>
      <c r="H1596" t="s">
        <v>14360</v>
      </c>
      <c r="I1596" t="s">
        <v>9872</v>
      </c>
      <c r="J1596" s="4" t="s">
        <v>14360</v>
      </c>
      <c r="L1596" t="s">
        <v>14360</v>
      </c>
      <c r="M1596" t="s">
        <v>14360</v>
      </c>
      <c r="N1596" t="s">
        <v>3863</v>
      </c>
      <c r="O1596" t="s">
        <v>14360</v>
      </c>
      <c r="P1596" t="s">
        <v>7216</v>
      </c>
      <c r="Q1596" t="s">
        <v>14360</v>
      </c>
      <c r="R1596" t="s">
        <v>14360</v>
      </c>
      <c r="S1596" t="s">
        <v>18840</v>
      </c>
    </row>
    <row r="1597" spans="1:19" x14ac:dyDescent="0.2">
      <c r="A1597" t="s">
        <v>1737</v>
      </c>
      <c r="B1597" t="s">
        <v>14359</v>
      </c>
      <c r="C1597" t="s">
        <v>8268</v>
      </c>
      <c r="D1597" t="str">
        <f>_xlfn.XLOOKUP(E1597,pathways!$A$2:$A$31,pathways!$B$2:$B$31)</f>
        <v>Xenobiotics/other</v>
      </c>
      <c r="E1597" t="s">
        <v>3863</v>
      </c>
      <c r="F1597" t="s">
        <v>8265</v>
      </c>
      <c r="G1597" t="s">
        <v>14360</v>
      </c>
      <c r="H1597" t="s">
        <v>14360</v>
      </c>
      <c r="I1597" t="s">
        <v>8268</v>
      </c>
      <c r="J1597" s="4" t="s">
        <v>8268</v>
      </c>
      <c r="L1597" t="s">
        <v>1736</v>
      </c>
      <c r="M1597" t="s">
        <v>15033</v>
      </c>
      <c r="N1597" t="s">
        <v>3863</v>
      </c>
      <c r="O1597" t="s">
        <v>3863</v>
      </c>
      <c r="P1597" t="s">
        <v>8265</v>
      </c>
      <c r="Q1597" t="s">
        <v>8265</v>
      </c>
      <c r="R1597" t="s">
        <v>3863</v>
      </c>
      <c r="S1597" t="s">
        <v>18840</v>
      </c>
    </row>
    <row r="1598" spans="1:19" x14ac:dyDescent="0.2">
      <c r="A1598" t="s">
        <v>1785</v>
      </c>
      <c r="B1598" t="s">
        <v>14359</v>
      </c>
      <c r="C1598" t="s">
        <v>8510</v>
      </c>
      <c r="D1598" t="str">
        <f>_xlfn.XLOOKUP(E1598,pathways!$A$2:$A$31,pathways!$B$2:$B$31)</f>
        <v>Xenobiotics/other</v>
      </c>
      <c r="E1598" t="s">
        <v>3863</v>
      </c>
      <c r="F1598" t="s">
        <v>3864</v>
      </c>
      <c r="G1598" t="s">
        <v>14360</v>
      </c>
      <c r="H1598" t="s">
        <v>14360</v>
      </c>
      <c r="I1598" t="s">
        <v>8510</v>
      </c>
      <c r="J1598" s="4" t="s">
        <v>8510</v>
      </c>
      <c r="L1598" t="s">
        <v>1784</v>
      </c>
      <c r="M1598" t="s">
        <v>15083</v>
      </c>
      <c r="N1598" t="s">
        <v>3863</v>
      </c>
      <c r="O1598" t="s">
        <v>3863</v>
      </c>
      <c r="P1598" t="s">
        <v>3864</v>
      </c>
      <c r="Q1598" t="s">
        <v>4942</v>
      </c>
      <c r="R1598" t="s">
        <v>3863</v>
      </c>
      <c r="S1598" t="s">
        <v>18840</v>
      </c>
    </row>
    <row r="1599" spans="1:19" x14ac:dyDescent="0.2">
      <c r="A1599" t="s">
        <v>1726</v>
      </c>
      <c r="B1599" t="s">
        <v>14359</v>
      </c>
      <c r="C1599" t="s">
        <v>8181</v>
      </c>
      <c r="D1599" t="str">
        <f>_xlfn.XLOOKUP(E1599,pathways!$A$2:$A$31,pathways!$B$2:$B$31)</f>
        <v>Xenobiotics/other</v>
      </c>
      <c r="E1599" t="s">
        <v>3863</v>
      </c>
      <c r="F1599" t="s">
        <v>3864</v>
      </c>
      <c r="G1599" t="s">
        <v>8181</v>
      </c>
      <c r="H1599" t="s">
        <v>14360</v>
      </c>
      <c r="I1599" t="s">
        <v>8181</v>
      </c>
      <c r="J1599" s="4" t="s">
        <v>8181</v>
      </c>
      <c r="L1599" t="s">
        <v>1725</v>
      </c>
      <c r="M1599" t="s">
        <v>15021</v>
      </c>
      <c r="N1599" t="s">
        <v>3863</v>
      </c>
      <c r="O1599" t="s">
        <v>3863</v>
      </c>
      <c r="P1599" t="s">
        <v>3864</v>
      </c>
      <c r="Q1599" t="s">
        <v>5632</v>
      </c>
      <c r="R1599" t="s">
        <v>3863</v>
      </c>
      <c r="S1599" t="s">
        <v>18840</v>
      </c>
    </row>
    <row r="1600" spans="1:19" x14ac:dyDescent="0.2">
      <c r="A1600" t="s">
        <v>13859</v>
      </c>
      <c r="B1600" t="s">
        <v>14359</v>
      </c>
      <c r="C1600" t="s">
        <v>6985</v>
      </c>
      <c r="D1600" t="str">
        <f>_xlfn.XLOOKUP(E1600,pathways!$A$2:$A$31,pathways!$B$2:$B$31)</f>
        <v>Xenobiotics/other</v>
      </c>
      <c r="E1600" t="s">
        <v>3863</v>
      </c>
      <c r="F1600" t="s">
        <v>4942</v>
      </c>
      <c r="G1600" t="s">
        <v>14360</v>
      </c>
      <c r="H1600" t="s">
        <v>14360</v>
      </c>
      <c r="I1600" t="s">
        <v>6985</v>
      </c>
      <c r="J1600" s="4" t="s">
        <v>6985</v>
      </c>
      <c r="L1600" t="s">
        <v>14360</v>
      </c>
      <c r="M1600" t="s">
        <v>14360</v>
      </c>
      <c r="N1600" t="s">
        <v>3863</v>
      </c>
      <c r="O1600" t="s">
        <v>3863</v>
      </c>
      <c r="P1600" t="s">
        <v>4942</v>
      </c>
      <c r="Q1600" t="s">
        <v>4942</v>
      </c>
      <c r="R1600" t="s">
        <v>14360</v>
      </c>
      <c r="S1600" t="s">
        <v>18840</v>
      </c>
    </row>
    <row r="1601" spans="1:19" x14ac:dyDescent="0.2">
      <c r="A1601" t="s">
        <v>2467</v>
      </c>
      <c r="B1601" t="s">
        <v>14359</v>
      </c>
      <c r="C1601" t="s">
        <v>5085</v>
      </c>
      <c r="D1601" t="str">
        <f>_xlfn.XLOOKUP(E1601,pathways!$A$2:$A$31,pathways!$B$2:$B$31)</f>
        <v>Xenobiotics/other</v>
      </c>
      <c r="E1601" t="s">
        <v>3863</v>
      </c>
      <c r="F1601" t="s">
        <v>5082</v>
      </c>
      <c r="G1601" t="s">
        <v>14360</v>
      </c>
      <c r="H1601" t="s">
        <v>14360</v>
      </c>
      <c r="I1601" t="s">
        <v>5085</v>
      </c>
      <c r="J1601" s="4" t="s">
        <v>5085</v>
      </c>
      <c r="L1601" t="s">
        <v>2466</v>
      </c>
      <c r="M1601" t="s">
        <v>15773</v>
      </c>
      <c r="N1601" t="s">
        <v>3863</v>
      </c>
      <c r="O1601" t="s">
        <v>3863</v>
      </c>
      <c r="P1601" t="s">
        <v>5082</v>
      </c>
      <c r="Q1601" t="s">
        <v>5082</v>
      </c>
      <c r="R1601" t="s">
        <v>3863</v>
      </c>
      <c r="S1601" t="s">
        <v>14360</v>
      </c>
    </row>
    <row r="1602" spans="1:19" x14ac:dyDescent="0.2">
      <c r="A1602" t="s">
        <v>13926</v>
      </c>
      <c r="B1602" t="s">
        <v>14359</v>
      </c>
      <c r="C1602" t="s">
        <v>8083</v>
      </c>
      <c r="D1602" t="str">
        <f>_xlfn.XLOOKUP(E1602,pathways!$A$2:$A$31,pathways!$B$2:$B$31)</f>
        <v>Xenobiotics/other</v>
      </c>
      <c r="E1602" t="s">
        <v>3863</v>
      </c>
      <c r="F1602" t="s">
        <v>4942</v>
      </c>
      <c r="G1602" t="s">
        <v>14360</v>
      </c>
      <c r="H1602" t="s">
        <v>14360</v>
      </c>
      <c r="I1602" t="s">
        <v>8083</v>
      </c>
      <c r="J1602" s="4" t="s">
        <v>8083</v>
      </c>
      <c r="L1602" t="s">
        <v>14360</v>
      </c>
      <c r="M1602" t="s">
        <v>14360</v>
      </c>
      <c r="N1602" t="s">
        <v>3863</v>
      </c>
      <c r="O1602" t="s">
        <v>3863</v>
      </c>
      <c r="P1602" t="s">
        <v>4942</v>
      </c>
      <c r="Q1602" t="s">
        <v>4942</v>
      </c>
      <c r="R1602" t="s">
        <v>14360</v>
      </c>
      <c r="S1602" t="s">
        <v>18840</v>
      </c>
    </row>
    <row r="1603" spans="1:19" x14ac:dyDescent="0.2">
      <c r="A1603" t="s">
        <v>13808</v>
      </c>
      <c r="B1603" t="s">
        <v>14359</v>
      </c>
      <c r="C1603" t="s">
        <v>5313</v>
      </c>
      <c r="D1603" t="str">
        <f>_xlfn.XLOOKUP(E1603,pathways!$A$2:$A$31,pathways!$B$2:$B$31)</f>
        <v>Xenobiotics/other</v>
      </c>
      <c r="E1603" t="s">
        <v>3863</v>
      </c>
      <c r="F1603" t="s">
        <v>3864</v>
      </c>
      <c r="G1603" t="s">
        <v>14360</v>
      </c>
      <c r="H1603" t="s">
        <v>14360</v>
      </c>
      <c r="I1603" t="s">
        <v>5313</v>
      </c>
      <c r="J1603" s="4" t="s">
        <v>5313</v>
      </c>
      <c r="L1603" t="s">
        <v>14360</v>
      </c>
      <c r="M1603" t="s">
        <v>14360</v>
      </c>
      <c r="N1603" t="s">
        <v>3863</v>
      </c>
      <c r="O1603" t="s">
        <v>3863</v>
      </c>
      <c r="P1603" t="s">
        <v>3864</v>
      </c>
      <c r="Q1603" t="s">
        <v>3864</v>
      </c>
      <c r="R1603" t="s">
        <v>14360</v>
      </c>
      <c r="S1603" t="s">
        <v>18840</v>
      </c>
    </row>
    <row r="1604" spans="1:19" x14ac:dyDescent="0.2">
      <c r="A1604" t="s">
        <v>13943</v>
      </c>
      <c r="B1604" t="s">
        <v>14359</v>
      </c>
      <c r="C1604" t="s">
        <v>8374</v>
      </c>
      <c r="D1604" t="str">
        <f>_xlfn.XLOOKUP(E1604,pathways!$A$2:$A$31,pathways!$B$2:$B$31)</f>
        <v>Xenobiotics/other</v>
      </c>
      <c r="E1604" t="s">
        <v>3863</v>
      </c>
      <c r="F1604" t="s">
        <v>3864</v>
      </c>
      <c r="G1604" t="s">
        <v>14360</v>
      </c>
      <c r="H1604" t="s">
        <v>14360</v>
      </c>
      <c r="I1604" t="s">
        <v>8374</v>
      </c>
      <c r="J1604" s="4" t="s">
        <v>8374</v>
      </c>
      <c r="L1604" t="s">
        <v>14360</v>
      </c>
      <c r="M1604" t="s">
        <v>14360</v>
      </c>
      <c r="N1604" t="s">
        <v>3863</v>
      </c>
      <c r="O1604" t="s">
        <v>3863</v>
      </c>
      <c r="P1604" t="s">
        <v>3864</v>
      </c>
      <c r="Q1604" t="s">
        <v>3864</v>
      </c>
      <c r="R1604" t="s">
        <v>14360</v>
      </c>
      <c r="S1604" t="s">
        <v>18840</v>
      </c>
    </row>
    <row r="1605" spans="1:19" x14ac:dyDescent="0.2">
      <c r="A1605" t="s">
        <v>13861</v>
      </c>
      <c r="B1605" t="s">
        <v>14359</v>
      </c>
      <c r="C1605" t="s">
        <v>6997</v>
      </c>
      <c r="D1605" t="str">
        <f>_xlfn.XLOOKUP(E1605,pathways!$A$2:$A$31,pathways!$B$2:$B$31)</f>
        <v>Xenobiotics/other</v>
      </c>
      <c r="E1605" t="s">
        <v>3863</v>
      </c>
      <c r="F1605" t="s">
        <v>4942</v>
      </c>
      <c r="G1605" t="s">
        <v>14360</v>
      </c>
      <c r="H1605" t="s">
        <v>14360</v>
      </c>
      <c r="I1605" t="s">
        <v>6997</v>
      </c>
      <c r="J1605" s="4" t="s">
        <v>6997</v>
      </c>
      <c r="L1605" t="s">
        <v>14360</v>
      </c>
      <c r="M1605" t="s">
        <v>14360</v>
      </c>
      <c r="N1605" t="s">
        <v>3863</v>
      </c>
      <c r="O1605" t="s">
        <v>3863</v>
      </c>
      <c r="P1605" t="s">
        <v>4942</v>
      </c>
      <c r="Q1605" t="s">
        <v>4942</v>
      </c>
      <c r="R1605" t="s">
        <v>14360</v>
      </c>
      <c r="S1605" t="s">
        <v>18840</v>
      </c>
    </row>
    <row r="1606" spans="1:19" x14ac:dyDescent="0.2">
      <c r="A1606" t="s">
        <v>13860</v>
      </c>
      <c r="B1606" t="s">
        <v>14359</v>
      </c>
      <c r="C1606" t="s">
        <v>6991</v>
      </c>
      <c r="D1606" t="str">
        <f>_xlfn.XLOOKUP(E1606,pathways!$A$2:$A$31,pathways!$B$2:$B$31)</f>
        <v>Xenobiotics/other</v>
      </c>
      <c r="E1606" t="s">
        <v>3863</v>
      </c>
      <c r="F1606" t="s">
        <v>4942</v>
      </c>
      <c r="G1606" t="s">
        <v>14360</v>
      </c>
      <c r="H1606" t="s">
        <v>14360</v>
      </c>
      <c r="I1606" t="s">
        <v>6991</v>
      </c>
      <c r="J1606" s="4" t="s">
        <v>6991</v>
      </c>
      <c r="L1606" t="s">
        <v>14360</v>
      </c>
      <c r="M1606" t="s">
        <v>14360</v>
      </c>
      <c r="N1606" t="s">
        <v>3863</v>
      </c>
      <c r="O1606" t="s">
        <v>3863</v>
      </c>
      <c r="P1606" t="s">
        <v>4942</v>
      </c>
      <c r="Q1606" t="s">
        <v>4942</v>
      </c>
      <c r="R1606" t="s">
        <v>14360</v>
      </c>
      <c r="S1606" t="s">
        <v>18840</v>
      </c>
    </row>
    <row r="1607" spans="1:19" x14ac:dyDescent="0.2">
      <c r="A1607" t="s">
        <v>2325</v>
      </c>
      <c r="B1607" t="s">
        <v>14359</v>
      </c>
      <c r="C1607" t="s">
        <v>10208</v>
      </c>
      <c r="D1607" t="str">
        <f>_xlfn.XLOOKUP(E1607,pathways!$A$2:$A$31,pathways!$B$2:$B$31)</f>
        <v>Xenobiotics/other</v>
      </c>
      <c r="E1607" t="s">
        <v>3863</v>
      </c>
      <c r="F1607" t="s">
        <v>5082</v>
      </c>
      <c r="G1607" t="s">
        <v>14360</v>
      </c>
      <c r="H1607" t="s">
        <v>14360</v>
      </c>
      <c r="I1607" t="s">
        <v>10208</v>
      </c>
      <c r="J1607" s="4" t="s">
        <v>14360</v>
      </c>
      <c r="L1607" t="s">
        <v>2324</v>
      </c>
      <c r="M1607" t="s">
        <v>15625</v>
      </c>
      <c r="N1607" t="s">
        <v>3863</v>
      </c>
      <c r="O1607" t="s">
        <v>14360</v>
      </c>
      <c r="P1607" t="s">
        <v>5082</v>
      </c>
      <c r="Q1607" t="s">
        <v>14360</v>
      </c>
      <c r="R1607" t="s">
        <v>3863</v>
      </c>
      <c r="S1607" t="s">
        <v>14360</v>
      </c>
    </row>
    <row r="1608" spans="1:19" x14ac:dyDescent="0.2">
      <c r="A1608" t="s">
        <v>1796</v>
      </c>
      <c r="B1608" t="s">
        <v>14359</v>
      </c>
      <c r="C1608" t="s">
        <v>8498</v>
      </c>
      <c r="D1608" t="str">
        <f>_xlfn.XLOOKUP(E1608,pathways!$A$2:$A$31,pathways!$B$2:$B$31)</f>
        <v>Xenobiotics/other</v>
      </c>
      <c r="E1608" t="s">
        <v>3863</v>
      </c>
      <c r="F1608" t="s">
        <v>5632</v>
      </c>
      <c r="G1608" t="s">
        <v>14360</v>
      </c>
      <c r="H1608" t="s">
        <v>14360</v>
      </c>
      <c r="I1608" t="s">
        <v>8498</v>
      </c>
      <c r="J1608" s="4" t="s">
        <v>8498</v>
      </c>
      <c r="L1608" t="s">
        <v>1795</v>
      </c>
      <c r="M1608" t="s">
        <v>15095</v>
      </c>
      <c r="N1608" t="s">
        <v>3863</v>
      </c>
      <c r="O1608" t="s">
        <v>3863</v>
      </c>
      <c r="P1608" t="s">
        <v>5632</v>
      </c>
      <c r="Q1608" t="s">
        <v>5632</v>
      </c>
      <c r="R1608" t="s">
        <v>3863</v>
      </c>
      <c r="S1608" t="s">
        <v>14360</v>
      </c>
    </row>
    <row r="1609" spans="1:19" x14ac:dyDescent="0.2">
      <c r="A1609" t="s">
        <v>2224</v>
      </c>
      <c r="B1609" t="s">
        <v>14359</v>
      </c>
      <c r="C1609" t="s">
        <v>9790</v>
      </c>
      <c r="D1609" t="str">
        <f>_xlfn.XLOOKUP(E1609,pathways!$A$2:$A$31,pathways!$B$2:$B$31)</f>
        <v>Xenobiotics/other</v>
      </c>
      <c r="E1609" t="s">
        <v>3863</v>
      </c>
      <c r="F1609" t="s">
        <v>5632</v>
      </c>
      <c r="G1609" t="s">
        <v>14360</v>
      </c>
      <c r="H1609" t="s">
        <v>14360</v>
      </c>
      <c r="I1609" t="s">
        <v>9790</v>
      </c>
      <c r="J1609" s="4" t="s">
        <v>9790</v>
      </c>
      <c r="L1609" t="s">
        <v>2223</v>
      </c>
      <c r="M1609" t="s">
        <v>15521</v>
      </c>
      <c r="N1609" t="s">
        <v>3863</v>
      </c>
      <c r="O1609" t="s">
        <v>3863</v>
      </c>
      <c r="P1609" t="s">
        <v>5632</v>
      </c>
      <c r="Q1609" t="s">
        <v>5632</v>
      </c>
      <c r="R1609" t="s">
        <v>3863</v>
      </c>
      <c r="S1609" t="s">
        <v>18840</v>
      </c>
    </row>
    <row r="1610" spans="1:19" x14ac:dyDescent="0.2">
      <c r="A1610" t="s">
        <v>1714</v>
      </c>
      <c r="B1610" t="s">
        <v>14359</v>
      </c>
      <c r="C1610" t="s">
        <v>8169</v>
      </c>
      <c r="D1610" t="str">
        <f>_xlfn.XLOOKUP(E1610,pathways!$A$2:$A$31,pathways!$B$2:$B$31)</f>
        <v>Xenobiotics/other</v>
      </c>
      <c r="E1610" t="s">
        <v>3863</v>
      </c>
      <c r="F1610" t="s">
        <v>3864</v>
      </c>
      <c r="G1610" t="s">
        <v>14360</v>
      </c>
      <c r="H1610" t="s">
        <v>14360</v>
      </c>
      <c r="I1610" t="s">
        <v>8169</v>
      </c>
      <c r="J1610" s="4" t="s">
        <v>14360</v>
      </c>
      <c r="L1610" t="s">
        <v>1713</v>
      </c>
      <c r="M1610" t="s">
        <v>15007</v>
      </c>
      <c r="N1610" t="s">
        <v>3863</v>
      </c>
      <c r="O1610" t="s">
        <v>14360</v>
      </c>
      <c r="P1610" t="s">
        <v>3864</v>
      </c>
      <c r="Q1610" t="s">
        <v>14360</v>
      </c>
      <c r="R1610" t="s">
        <v>3863</v>
      </c>
      <c r="S1610" t="s">
        <v>18840</v>
      </c>
    </row>
    <row r="1611" spans="1:19" x14ac:dyDescent="0.2">
      <c r="A1611" t="s">
        <v>2193</v>
      </c>
      <c r="B1611" t="s">
        <v>14359</v>
      </c>
      <c r="C1611" t="s">
        <v>18684</v>
      </c>
      <c r="D1611" t="str">
        <f>_xlfn.XLOOKUP(E1611,pathways!$A$2:$A$31,pathways!$B$2:$B$31)</f>
        <v>Xenobiotics/other</v>
      </c>
      <c r="E1611" t="s">
        <v>3863</v>
      </c>
      <c r="F1611" t="s">
        <v>5632</v>
      </c>
      <c r="G1611" t="s">
        <v>14360</v>
      </c>
      <c r="H1611" t="s">
        <v>14360</v>
      </c>
      <c r="I1611" t="s">
        <v>9736</v>
      </c>
      <c r="J1611" s="4" t="s">
        <v>14360</v>
      </c>
      <c r="L1611" t="s">
        <v>2192</v>
      </c>
      <c r="M1611" t="s">
        <v>15489</v>
      </c>
      <c r="N1611" t="s">
        <v>3863</v>
      </c>
      <c r="O1611" t="s">
        <v>14360</v>
      </c>
      <c r="P1611" t="s">
        <v>5632</v>
      </c>
      <c r="Q1611" t="s">
        <v>14360</v>
      </c>
      <c r="R1611" t="s">
        <v>3863</v>
      </c>
      <c r="S1611" t="s">
        <v>18840</v>
      </c>
    </row>
    <row r="1612" spans="1:19" x14ac:dyDescent="0.2">
      <c r="A1612" t="s">
        <v>1602</v>
      </c>
      <c r="B1612" t="s">
        <v>14359</v>
      </c>
      <c r="C1612" t="s">
        <v>7488</v>
      </c>
      <c r="D1612" t="str">
        <f>_xlfn.XLOOKUP(E1612,pathways!$A$2:$A$31,pathways!$B$2:$B$31)</f>
        <v>Xenobiotics/other</v>
      </c>
      <c r="E1612" t="s">
        <v>3863</v>
      </c>
      <c r="F1612" t="s">
        <v>3864</v>
      </c>
      <c r="G1612" t="s">
        <v>7488</v>
      </c>
      <c r="H1612" t="s">
        <v>14360</v>
      </c>
      <c r="I1612" t="s">
        <v>7488</v>
      </c>
      <c r="J1612" s="4" t="s">
        <v>7488</v>
      </c>
      <c r="L1612" t="s">
        <v>1601</v>
      </c>
      <c r="M1612" t="s">
        <v>14889</v>
      </c>
      <c r="N1612" t="s">
        <v>3863</v>
      </c>
      <c r="O1612" t="s">
        <v>3863</v>
      </c>
      <c r="P1612" t="s">
        <v>3864</v>
      </c>
      <c r="Q1612" t="s">
        <v>3864</v>
      </c>
      <c r="R1612" t="s">
        <v>3863</v>
      </c>
      <c r="S1612" t="s">
        <v>18840</v>
      </c>
    </row>
    <row r="1613" spans="1:19" x14ac:dyDescent="0.2">
      <c r="A1613" t="s">
        <v>14101</v>
      </c>
      <c r="B1613" t="s">
        <v>14359</v>
      </c>
      <c r="C1613" t="s">
        <v>10223</v>
      </c>
      <c r="D1613" t="str">
        <f>_xlfn.XLOOKUP(E1613,pathways!$A$2:$A$31,pathways!$B$2:$B$31)</f>
        <v>Xenobiotics/other</v>
      </c>
      <c r="E1613" t="s">
        <v>3863</v>
      </c>
      <c r="F1613" t="s">
        <v>5632</v>
      </c>
      <c r="G1613" t="s">
        <v>14360</v>
      </c>
      <c r="H1613" t="s">
        <v>14360</v>
      </c>
      <c r="I1613" t="s">
        <v>10223</v>
      </c>
      <c r="J1613" s="4" t="s">
        <v>14360</v>
      </c>
      <c r="L1613" t="s">
        <v>2333</v>
      </c>
      <c r="M1613" t="s">
        <v>15633</v>
      </c>
      <c r="N1613" t="s">
        <v>3863</v>
      </c>
      <c r="O1613" t="s">
        <v>14360</v>
      </c>
      <c r="P1613" t="s">
        <v>5632</v>
      </c>
      <c r="Q1613" t="s">
        <v>14360</v>
      </c>
      <c r="R1613" t="s">
        <v>3863</v>
      </c>
      <c r="S1613" t="s">
        <v>18840</v>
      </c>
    </row>
    <row r="1614" spans="1:19" x14ac:dyDescent="0.2">
      <c r="A1614" t="s">
        <v>14044</v>
      </c>
      <c r="B1614" t="s">
        <v>14359</v>
      </c>
      <c r="C1614" t="s">
        <v>9915</v>
      </c>
      <c r="D1614" t="str">
        <f>_xlfn.XLOOKUP(E1614,pathways!$A$2:$A$31,pathways!$B$2:$B$31)</f>
        <v>Xenobiotics/other</v>
      </c>
      <c r="E1614" t="s">
        <v>3863</v>
      </c>
      <c r="F1614" t="s">
        <v>4142</v>
      </c>
      <c r="G1614" t="s">
        <v>9915</v>
      </c>
      <c r="H1614" t="s">
        <v>14360</v>
      </c>
      <c r="I1614" t="s">
        <v>9915</v>
      </c>
      <c r="J1614" s="4" t="s">
        <v>14360</v>
      </c>
      <c r="L1614" t="s">
        <v>2254</v>
      </c>
      <c r="M1614" t="s">
        <v>15552</v>
      </c>
      <c r="N1614" t="s">
        <v>3863</v>
      </c>
      <c r="O1614" t="s">
        <v>14360</v>
      </c>
      <c r="P1614" t="s">
        <v>4142</v>
      </c>
      <c r="Q1614" t="s">
        <v>14360</v>
      </c>
      <c r="R1614" t="s">
        <v>3863</v>
      </c>
      <c r="S1614" t="s">
        <v>18840</v>
      </c>
    </row>
    <row r="1615" spans="1:19" x14ac:dyDescent="0.2">
      <c r="A1615" t="s">
        <v>1461</v>
      </c>
      <c r="B1615" t="s">
        <v>14359</v>
      </c>
      <c r="C1615" t="s">
        <v>6805</v>
      </c>
      <c r="D1615" t="str">
        <f>_xlfn.XLOOKUP(E1615,pathways!$A$2:$A$31,pathways!$B$2:$B$31)</f>
        <v>Xenobiotics/other</v>
      </c>
      <c r="E1615" t="s">
        <v>3863</v>
      </c>
      <c r="F1615" t="s">
        <v>5082</v>
      </c>
      <c r="G1615" t="s">
        <v>14360</v>
      </c>
      <c r="H1615" t="s">
        <v>14360</v>
      </c>
      <c r="I1615" t="s">
        <v>6805</v>
      </c>
      <c r="J1615" s="4" t="s">
        <v>6805</v>
      </c>
      <c r="L1615" t="s">
        <v>1460</v>
      </c>
      <c r="M1615" t="s">
        <v>14746</v>
      </c>
      <c r="N1615" t="s">
        <v>3863</v>
      </c>
      <c r="O1615" t="s">
        <v>3863</v>
      </c>
      <c r="P1615" t="s">
        <v>5082</v>
      </c>
      <c r="Q1615" t="s">
        <v>5082</v>
      </c>
      <c r="R1615" t="s">
        <v>3863</v>
      </c>
      <c r="S1615" t="s">
        <v>18840</v>
      </c>
    </row>
    <row r="1616" spans="1:19" x14ac:dyDescent="0.2">
      <c r="A1616" t="s">
        <v>14311</v>
      </c>
      <c r="B1616" t="s">
        <v>14359</v>
      </c>
      <c r="C1616" t="s">
        <v>13039</v>
      </c>
      <c r="D1616" t="str">
        <f>_xlfn.XLOOKUP(E1616,pathways!$A$2:$A$31,pathways!$B$2:$B$31)</f>
        <v>Xenobiotics/other</v>
      </c>
      <c r="E1616" t="s">
        <v>3863</v>
      </c>
      <c r="F1616" t="s">
        <v>5082</v>
      </c>
      <c r="G1616" t="s">
        <v>14360</v>
      </c>
      <c r="H1616" t="s">
        <v>14360</v>
      </c>
      <c r="I1616" t="s">
        <v>14360</v>
      </c>
      <c r="J1616" s="4" t="s">
        <v>13039</v>
      </c>
      <c r="L1616" t="s">
        <v>1738</v>
      </c>
      <c r="M1616" t="s">
        <v>15035</v>
      </c>
      <c r="N1616" t="s">
        <v>14360</v>
      </c>
      <c r="O1616" t="s">
        <v>3863</v>
      </c>
      <c r="P1616" t="s">
        <v>14360</v>
      </c>
      <c r="Q1616" t="s">
        <v>5082</v>
      </c>
      <c r="R1616" t="s">
        <v>3863</v>
      </c>
      <c r="S1616" t="s">
        <v>14360</v>
      </c>
    </row>
    <row r="1617" spans="1:19" x14ac:dyDescent="0.2">
      <c r="A1617" t="s">
        <v>13862</v>
      </c>
      <c r="B1617" t="s">
        <v>14359</v>
      </c>
      <c r="C1617" t="s">
        <v>7003</v>
      </c>
      <c r="D1617" t="str">
        <f>_xlfn.XLOOKUP(E1617,pathways!$A$2:$A$31,pathways!$B$2:$B$31)</f>
        <v>Xenobiotics/other</v>
      </c>
      <c r="E1617" t="s">
        <v>3863</v>
      </c>
      <c r="F1617" t="s">
        <v>4942</v>
      </c>
      <c r="G1617" t="s">
        <v>14360</v>
      </c>
      <c r="H1617" t="s">
        <v>14360</v>
      </c>
      <c r="I1617" t="s">
        <v>7003</v>
      </c>
      <c r="J1617" s="4" t="s">
        <v>7003</v>
      </c>
      <c r="L1617" t="s">
        <v>14360</v>
      </c>
      <c r="M1617" t="s">
        <v>14360</v>
      </c>
      <c r="N1617" t="s">
        <v>3863</v>
      </c>
      <c r="O1617" t="s">
        <v>3863</v>
      </c>
      <c r="P1617" t="s">
        <v>4942</v>
      </c>
      <c r="Q1617" t="s">
        <v>4942</v>
      </c>
      <c r="R1617" t="s">
        <v>14360</v>
      </c>
      <c r="S1617" t="s">
        <v>18840</v>
      </c>
    </row>
    <row r="1618" spans="1:19" x14ac:dyDescent="0.2">
      <c r="A1618" t="s">
        <v>14042</v>
      </c>
      <c r="B1618" t="s">
        <v>14359</v>
      </c>
      <c r="C1618" t="s">
        <v>9905</v>
      </c>
      <c r="D1618" t="str">
        <f>_xlfn.XLOOKUP(E1618,pathways!$A$2:$A$31,pathways!$B$2:$B$31)</f>
        <v>Xenobiotics/other</v>
      </c>
      <c r="E1618" t="s">
        <v>3863</v>
      </c>
      <c r="F1618" t="s">
        <v>4942</v>
      </c>
      <c r="G1618" t="s">
        <v>14360</v>
      </c>
      <c r="H1618" t="s">
        <v>14360</v>
      </c>
      <c r="I1618" t="s">
        <v>9905</v>
      </c>
      <c r="J1618" s="4" t="s">
        <v>9905</v>
      </c>
      <c r="L1618" t="s">
        <v>14360</v>
      </c>
      <c r="M1618" t="s">
        <v>14360</v>
      </c>
      <c r="N1618" t="s">
        <v>3863</v>
      </c>
      <c r="O1618" t="s">
        <v>3863</v>
      </c>
      <c r="P1618" t="s">
        <v>4942</v>
      </c>
      <c r="Q1618" t="s">
        <v>4942</v>
      </c>
      <c r="R1618" t="s">
        <v>14360</v>
      </c>
      <c r="S1618" t="s">
        <v>14360</v>
      </c>
    </row>
    <row r="1619" spans="1:19" x14ac:dyDescent="0.2">
      <c r="A1619" t="s">
        <v>13804</v>
      </c>
      <c r="B1619" t="s">
        <v>14359</v>
      </c>
      <c r="C1619" t="s">
        <v>13044</v>
      </c>
      <c r="D1619" t="str">
        <f>_xlfn.XLOOKUP(E1619,pathways!$A$2:$A$31,pathways!$B$2:$B$31)</f>
        <v>Xenobiotics/other</v>
      </c>
      <c r="E1619" t="s">
        <v>3863</v>
      </c>
      <c r="F1619" t="s">
        <v>4942</v>
      </c>
      <c r="G1619" t="s">
        <v>14360</v>
      </c>
      <c r="H1619" t="s">
        <v>14360</v>
      </c>
      <c r="I1619" t="s">
        <v>5101</v>
      </c>
      <c r="J1619" s="4" t="s">
        <v>13044</v>
      </c>
      <c r="L1619" t="s">
        <v>14360</v>
      </c>
      <c r="M1619" t="s">
        <v>14360</v>
      </c>
      <c r="N1619" t="s">
        <v>3863</v>
      </c>
      <c r="O1619" t="s">
        <v>3863</v>
      </c>
      <c r="P1619" t="s">
        <v>4942</v>
      </c>
      <c r="Q1619" t="s">
        <v>4942</v>
      </c>
      <c r="R1619" t="s">
        <v>14360</v>
      </c>
      <c r="S1619" t="s">
        <v>18840</v>
      </c>
    </row>
    <row r="1620" spans="1:19" x14ac:dyDescent="0.2">
      <c r="A1620" t="s">
        <v>14312</v>
      </c>
      <c r="B1620" t="s">
        <v>14359</v>
      </c>
      <c r="C1620" t="s">
        <v>13046</v>
      </c>
      <c r="D1620" t="str">
        <f>_xlfn.XLOOKUP(E1620,pathways!$A$2:$A$31,pathways!$B$2:$B$31)</f>
        <v>Xenobiotics/other</v>
      </c>
      <c r="E1620" t="s">
        <v>3863</v>
      </c>
      <c r="F1620" t="s">
        <v>5632</v>
      </c>
      <c r="G1620" t="s">
        <v>14360</v>
      </c>
      <c r="H1620" t="s">
        <v>14360</v>
      </c>
      <c r="I1620" t="s">
        <v>14360</v>
      </c>
      <c r="J1620" s="4" t="s">
        <v>13046</v>
      </c>
      <c r="L1620" t="s">
        <v>1718</v>
      </c>
      <c r="M1620" t="s">
        <v>15013</v>
      </c>
      <c r="N1620" t="s">
        <v>14360</v>
      </c>
      <c r="O1620" t="s">
        <v>3863</v>
      </c>
      <c r="P1620" t="s">
        <v>14360</v>
      </c>
      <c r="Q1620" t="s">
        <v>5632</v>
      </c>
      <c r="R1620" t="s">
        <v>3863</v>
      </c>
      <c r="S1620" t="s">
        <v>18840</v>
      </c>
    </row>
    <row r="1621" spans="1:19" x14ac:dyDescent="0.2">
      <c r="A1621" t="s">
        <v>14090</v>
      </c>
      <c r="B1621" t="s">
        <v>14359</v>
      </c>
      <c r="C1621" t="s">
        <v>19602</v>
      </c>
      <c r="D1621" t="str">
        <f>_xlfn.XLOOKUP(E1621,pathways!$A$2:$A$31,pathways!$B$2:$B$31)</f>
        <v>Xenobiotics/other</v>
      </c>
      <c r="E1621" t="s">
        <v>3863</v>
      </c>
      <c r="F1621" t="s">
        <v>5632</v>
      </c>
      <c r="G1621" t="s">
        <v>19602</v>
      </c>
      <c r="H1621" t="s">
        <v>14360</v>
      </c>
      <c r="I1621" t="s">
        <v>10173</v>
      </c>
      <c r="J1621" s="4" t="s">
        <v>14360</v>
      </c>
      <c r="L1621" t="s">
        <v>2300</v>
      </c>
      <c r="M1621" t="s">
        <v>15600</v>
      </c>
      <c r="N1621" t="s">
        <v>3863</v>
      </c>
      <c r="O1621" t="s">
        <v>14360</v>
      </c>
      <c r="P1621" t="s">
        <v>5632</v>
      </c>
      <c r="Q1621" t="s">
        <v>14360</v>
      </c>
      <c r="R1621" t="s">
        <v>3863</v>
      </c>
      <c r="S1621" t="s">
        <v>18840</v>
      </c>
    </row>
    <row r="1622" spans="1:19" x14ac:dyDescent="0.2">
      <c r="A1622" t="s">
        <v>2257</v>
      </c>
      <c r="B1622" t="s">
        <v>14359</v>
      </c>
      <c r="C1622" t="s">
        <v>9928</v>
      </c>
      <c r="D1622" t="str">
        <f>_xlfn.XLOOKUP(E1622,pathways!$A$2:$A$31,pathways!$B$2:$B$31)</f>
        <v>Xenobiotics/other</v>
      </c>
      <c r="E1622" t="s">
        <v>3863</v>
      </c>
      <c r="F1622" t="s">
        <v>3864</v>
      </c>
      <c r="G1622" t="s">
        <v>14360</v>
      </c>
      <c r="H1622" t="s">
        <v>14360</v>
      </c>
      <c r="I1622" t="s">
        <v>9928</v>
      </c>
      <c r="J1622" s="4" t="s">
        <v>14360</v>
      </c>
      <c r="L1622" t="s">
        <v>2256</v>
      </c>
      <c r="M1622" t="s">
        <v>15554</v>
      </c>
      <c r="N1622" t="s">
        <v>3863</v>
      </c>
      <c r="O1622" t="s">
        <v>14360</v>
      </c>
      <c r="P1622" t="s">
        <v>3864</v>
      </c>
      <c r="Q1622" t="s">
        <v>14360</v>
      </c>
      <c r="R1622" t="s">
        <v>3863</v>
      </c>
      <c r="S1622" t="s">
        <v>18840</v>
      </c>
    </row>
    <row r="1623" spans="1:19" x14ac:dyDescent="0.2">
      <c r="A1623" t="s">
        <v>14313</v>
      </c>
      <c r="B1623" t="s">
        <v>14359</v>
      </c>
      <c r="C1623" t="s">
        <v>13048</v>
      </c>
      <c r="D1623" t="str">
        <f>_xlfn.XLOOKUP(E1623,pathways!$A$2:$A$31,pathways!$B$2:$B$31)</f>
        <v>Xenobiotics/other</v>
      </c>
      <c r="E1623" t="s">
        <v>3863</v>
      </c>
      <c r="F1623" t="s">
        <v>5082</v>
      </c>
      <c r="G1623" t="s">
        <v>14360</v>
      </c>
      <c r="H1623" t="s">
        <v>14360</v>
      </c>
      <c r="I1623" t="s">
        <v>14360</v>
      </c>
      <c r="J1623" s="4" t="s">
        <v>13048</v>
      </c>
      <c r="L1623" t="s">
        <v>14360</v>
      </c>
      <c r="M1623" t="s">
        <v>14360</v>
      </c>
      <c r="N1623" t="s">
        <v>14360</v>
      </c>
      <c r="O1623" t="s">
        <v>3863</v>
      </c>
      <c r="P1623" t="s">
        <v>14360</v>
      </c>
      <c r="Q1623" t="s">
        <v>5082</v>
      </c>
      <c r="R1623" t="s">
        <v>14360</v>
      </c>
      <c r="S1623" t="s">
        <v>14360</v>
      </c>
    </row>
    <row r="1624" spans="1:19" x14ac:dyDescent="0.2">
      <c r="A1624" t="s">
        <v>14015</v>
      </c>
      <c r="B1624" t="s">
        <v>14359</v>
      </c>
      <c r="C1624" t="s">
        <v>9679</v>
      </c>
      <c r="D1624" t="str">
        <f>_xlfn.XLOOKUP(E1624,pathways!$A$2:$A$31,pathways!$B$2:$B$31)</f>
        <v>Xenobiotics/other</v>
      </c>
      <c r="E1624" t="s">
        <v>3863</v>
      </c>
      <c r="F1624" t="s">
        <v>3864</v>
      </c>
      <c r="G1624" t="s">
        <v>14360</v>
      </c>
      <c r="H1624" t="s">
        <v>14360</v>
      </c>
      <c r="I1624" t="s">
        <v>9679</v>
      </c>
      <c r="J1624" s="4" t="s">
        <v>14360</v>
      </c>
      <c r="L1624" t="s">
        <v>2168</v>
      </c>
      <c r="M1624" t="s">
        <v>15466</v>
      </c>
      <c r="N1624" t="s">
        <v>3863</v>
      </c>
      <c r="O1624" t="s">
        <v>14360</v>
      </c>
      <c r="P1624" t="s">
        <v>3864</v>
      </c>
      <c r="Q1624" t="s">
        <v>14360</v>
      </c>
      <c r="R1624" t="s">
        <v>3863</v>
      </c>
      <c r="S1624" t="s">
        <v>18840</v>
      </c>
    </row>
    <row r="1625" spans="1:19" x14ac:dyDescent="0.2">
      <c r="A1625" t="s">
        <v>2248</v>
      </c>
      <c r="B1625" t="s">
        <v>14359</v>
      </c>
      <c r="C1625" t="s">
        <v>10049</v>
      </c>
      <c r="D1625" t="str">
        <f>_xlfn.XLOOKUP(E1625,pathways!$A$2:$A$31,pathways!$B$2:$B$31)</f>
        <v>Xenobiotics/other</v>
      </c>
      <c r="E1625" t="s">
        <v>3863</v>
      </c>
      <c r="F1625" t="s">
        <v>5632</v>
      </c>
      <c r="G1625" t="s">
        <v>14360</v>
      </c>
      <c r="H1625" t="s">
        <v>14360</v>
      </c>
      <c r="I1625" t="s">
        <v>10049</v>
      </c>
      <c r="J1625" s="4" t="s">
        <v>14360</v>
      </c>
      <c r="L1625" t="s">
        <v>2247</v>
      </c>
      <c r="M1625" t="s">
        <v>15544</v>
      </c>
      <c r="N1625" t="s">
        <v>3863</v>
      </c>
      <c r="O1625" t="s">
        <v>14360</v>
      </c>
      <c r="P1625" t="s">
        <v>5632</v>
      </c>
      <c r="Q1625" t="s">
        <v>14360</v>
      </c>
      <c r="R1625" t="s">
        <v>3863</v>
      </c>
      <c r="S1625" t="s">
        <v>18840</v>
      </c>
    </row>
    <row r="1626" spans="1:19" x14ac:dyDescent="0.2">
      <c r="A1626" t="s">
        <v>13999</v>
      </c>
      <c r="B1626" t="s">
        <v>14359</v>
      </c>
      <c r="C1626" t="s">
        <v>9551</v>
      </c>
      <c r="D1626" t="str">
        <f>_xlfn.XLOOKUP(E1626,pathways!$A$2:$A$31,pathways!$B$2:$B$31)</f>
        <v>Xenobiotics/other</v>
      </c>
      <c r="E1626" t="s">
        <v>3863</v>
      </c>
      <c r="F1626" t="s">
        <v>4959</v>
      </c>
      <c r="G1626" t="s">
        <v>14360</v>
      </c>
      <c r="H1626" t="s">
        <v>14360</v>
      </c>
      <c r="I1626" t="s">
        <v>9551</v>
      </c>
      <c r="J1626" s="4" t="s">
        <v>14360</v>
      </c>
      <c r="L1626" t="s">
        <v>14360</v>
      </c>
      <c r="M1626" t="s">
        <v>14360</v>
      </c>
      <c r="N1626" t="s">
        <v>3863</v>
      </c>
      <c r="O1626" t="s">
        <v>14360</v>
      </c>
      <c r="P1626" t="s">
        <v>4959</v>
      </c>
      <c r="Q1626" t="s">
        <v>14360</v>
      </c>
      <c r="R1626" t="s">
        <v>14360</v>
      </c>
      <c r="S1626" t="s">
        <v>18840</v>
      </c>
    </row>
    <row r="1627" spans="1:19" x14ac:dyDescent="0.2">
      <c r="A1627" t="s">
        <v>14314</v>
      </c>
      <c r="B1627" t="s">
        <v>14359</v>
      </c>
      <c r="C1627" t="s">
        <v>13051</v>
      </c>
      <c r="D1627" t="str">
        <f>_xlfn.XLOOKUP(E1627,pathways!$A$2:$A$31,pathways!$B$2:$B$31)</f>
        <v>Xenobiotics/other</v>
      </c>
      <c r="E1627" t="s">
        <v>3863</v>
      </c>
      <c r="F1627" t="s">
        <v>4365</v>
      </c>
      <c r="G1627" t="s">
        <v>14360</v>
      </c>
      <c r="H1627" t="s">
        <v>14360</v>
      </c>
      <c r="I1627" t="s">
        <v>14360</v>
      </c>
      <c r="J1627" s="4" t="s">
        <v>13051</v>
      </c>
      <c r="L1627" t="s">
        <v>14360</v>
      </c>
      <c r="M1627" t="s">
        <v>14360</v>
      </c>
      <c r="N1627" t="s">
        <v>14360</v>
      </c>
      <c r="O1627" t="s">
        <v>3863</v>
      </c>
      <c r="P1627" t="s">
        <v>14360</v>
      </c>
      <c r="Q1627" t="s">
        <v>4365</v>
      </c>
      <c r="R1627" t="s">
        <v>14360</v>
      </c>
      <c r="S1627" t="s">
        <v>14360</v>
      </c>
    </row>
    <row r="1628" spans="1:19" x14ac:dyDescent="0.2">
      <c r="A1628" t="s">
        <v>1573</v>
      </c>
      <c r="B1628" t="s">
        <v>14359</v>
      </c>
      <c r="C1628" t="s">
        <v>7284</v>
      </c>
      <c r="D1628" t="str">
        <f>_xlfn.XLOOKUP(E1628,pathways!$A$2:$A$31,pathways!$B$2:$B$31)</f>
        <v>Xenobiotics/other</v>
      </c>
      <c r="E1628" t="s">
        <v>3863</v>
      </c>
      <c r="F1628" t="s">
        <v>5082</v>
      </c>
      <c r="G1628" t="s">
        <v>14360</v>
      </c>
      <c r="H1628" t="s">
        <v>14360</v>
      </c>
      <c r="I1628" t="s">
        <v>7284</v>
      </c>
      <c r="J1628" s="4" t="s">
        <v>7284</v>
      </c>
      <c r="L1628" t="s">
        <v>1572</v>
      </c>
      <c r="M1628" t="s">
        <v>14859</v>
      </c>
      <c r="N1628" t="s">
        <v>3863</v>
      </c>
      <c r="O1628" t="s">
        <v>3863</v>
      </c>
      <c r="P1628" t="s">
        <v>5082</v>
      </c>
      <c r="Q1628" t="s">
        <v>5082</v>
      </c>
      <c r="R1628" t="s">
        <v>3863</v>
      </c>
      <c r="S1628" t="s">
        <v>14360</v>
      </c>
    </row>
    <row r="1629" spans="1:19" x14ac:dyDescent="0.2">
      <c r="A1629" t="s">
        <v>14023</v>
      </c>
      <c r="B1629" t="s">
        <v>14359</v>
      </c>
      <c r="C1629" t="s">
        <v>9752</v>
      </c>
      <c r="D1629" t="str">
        <f>_xlfn.XLOOKUP(E1629,pathways!$A$2:$A$31,pathways!$B$2:$B$31)</f>
        <v>Xenobiotics/other</v>
      </c>
      <c r="E1629" t="s">
        <v>3863</v>
      </c>
      <c r="F1629" t="s">
        <v>5082</v>
      </c>
      <c r="G1629" t="s">
        <v>14360</v>
      </c>
      <c r="H1629" t="s">
        <v>14360</v>
      </c>
      <c r="I1629" t="s">
        <v>9752</v>
      </c>
      <c r="J1629" s="4" t="s">
        <v>9752</v>
      </c>
      <c r="L1629" t="s">
        <v>14360</v>
      </c>
      <c r="M1629" t="s">
        <v>14360</v>
      </c>
      <c r="N1629" t="s">
        <v>3863</v>
      </c>
      <c r="O1629" t="s">
        <v>3863</v>
      </c>
      <c r="P1629" t="s">
        <v>5082</v>
      </c>
      <c r="Q1629" t="s">
        <v>5082</v>
      </c>
      <c r="R1629" t="s">
        <v>14360</v>
      </c>
      <c r="S1629" t="s">
        <v>18840</v>
      </c>
    </row>
    <row r="1630" spans="1:19" x14ac:dyDescent="0.2">
      <c r="A1630" t="s">
        <v>14315</v>
      </c>
      <c r="B1630" t="s">
        <v>14359</v>
      </c>
      <c r="C1630" t="s">
        <v>13058</v>
      </c>
      <c r="D1630" t="str">
        <f>_xlfn.XLOOKUP(E1630,pathways!$A$2:$A$31,pathways!$B$2:$B$31)</f>
        <v>Xenobiotics/other</v>
      </c>
      <c r="E1630" t="s">
        <v>3863</v>
      </c>
      <c r="F1630" t="s">
        <v>3864</v>
      </c>
      <c r="G1630" t="s">
        <v>14360</v>
      </c>
      <c r="H1630" t="s">
        <v>14360</v>
      </c>
      <c r="I1630" t="s">
        <v>14360</v>
      </c>
      <c r="J1630" s="4" t="s">
        <v>13058</v>
      </c>
      <c r="L1630" t="s">
        <v>14360</v>
      </c>
      <c r="M1630" t="s">
        <v>14360</v>
      </c>
      <c r="N1630" t="s">
        <v>14360</v>
      </c>
      <c r="O1630" t="s">
        <v>3863</v>
      </c>
      <c r="P1630" t="s">
        <v>14360</v>
      </c>
      <c r="Q1630" t="s">
        <v>3864</v>
      </c>
      <c r="R1630" t="s">
        <v>14360</v>
      </c>
      <c r="S1630" t="s">
        <v>14360</v>
      </c>
    </row>
    <row r="1631" spans="1:19" x14ac:dyDescent="0.2">
      <c r="A1631" t="s">
        <v>2220</v>
      </c>
      <c r="B1631" t="s">
        <v>14359</v>
      </c>
      <c r="C1631" t="s">
        <v>9826</v>
      </c>
      <c r="D1631" t="str">
        <f>_xlfn.XLOOKUP(E1631,pathways!$A$2:$A$31,pathways!$B$2:$B$31)</f>
        <v>Xenobiotics/other</v>
      </c>
      <c r="E1631" t="s">
        <v>3863</v>
      </c>
      <c r="F1631" t="s">
        <v>5632</v>
      </c>
      <c r="G1631" t="s">
        <v>14360</v>
      </c>
      <c r="H1631" t="s">
        <v>14360</v>
      </c>
      <c r="I1631" t="s">
        <v>9826</v>
      </c>
      <c r="J1631" s="4" t="s">
        <v>14360</v>
      </c>
      <c r="L1631" t="s">
        <v>2219</v>
      </c>
      <c r="M1631" t="s">
        <v>15517</v>
      </c>
      <c r="N1631" t="s">
        <v>3863</v>
      </c>
      <c r="O1631" t="s">
        <v>14360</v>
      </c>
      <c r="P1631" t="s">
        <v>5632</v>
      </c>
      <c r="Q1631" t="s">
        <v>14360</v>
      </c>
      <c r="R1631" t="s">
        <v>3863</v>
      </c>
      <c r="S1631" t="s">
        <v>14360</v>
      </c>
    </row>
    <row r="1632" spans="1:19" x14ac:dyDescent="0.2">
      <c r="A1632" t="s">
        <v>1802</v>
      </c>
      <c r="B1632" t="s">
        <v>14359</v>
      </c>
      <c r="C1632" t="s">
        <v>8445</v>
      </c>
      <c r="D1632" t="str">
        <f>_xlfn.XLOOKUP(E1632,pathways!$A$2:$A$31,pathways!$B$2:$B$31)</f>
        <v>Xenobiotics/other</v>
      </c>
      <c r="E1632" t="s">
        <v>3863</v>
      </c>
      <c r="F1632" t="s">
        <v>5632</v>
      </c>
      <c r="G1632" t="s">
        <v>8445</v>
      </c>
      <c r="H1632" t="s">
        <v>14360</v>
      </c>
      <c r="I1632" t="s">
        <v>8445</v>
      </c>
      <c r="J1632" s="4" t="s">
        <v>8445</v>
      </c>
      <c r="L1632" t="s">
        <v>1801</v>
      </c>
      <c r="M1632" t="s">
        <v>15101</v>
      </c>
      <c r="N1632" t="s">
        <v>3863</v>
      </c>
      <c r="O1632" t="s">
        <v>3863</v>
      </c>
      <c r="P1632" t="s">
        <v>5632</v>
      </c>
      <c r="Q1632" t="s">
        <v>5632</v>
      </c>
      <c r="R1632" t="s">
        <v>3863</v>
      </c>
      <c r="S1632" t="s">
        <v>18840</v>
      </c>
    </row>
    <row r="1633" spans="1:19" x14ac:dyDescent="0.2">
      <c r="A1633" t="s">
        <v>13885</v>
      </c>
      <c r="B1633" t="s">
        <v>14359</v>
      </c>
      <c r="C1633" t="s">
        <v>7480</v>
      </c>
      <c r="D1633" t="str">
        <f>_xlfn.XLOOKUP(E1633,pathways!$A$2:$A$31,pathways!$B$2:$B$31)</f>
        <v>Xenobiotics/other</v>
      </c>
      <c r="E1633" t="s">
        <v>3863</v>
      </c>
      <c r="F1633" t="s">
        <v>7477</v>
      </c>
      <c r="G1633" t="s">
        <v>14360</v>
      </c>
      <c r="H1633" t="s">
        <v>14360</v>
      </c>
      <c r="I1633" t="s">
        <v>7480</v>
      </c>
      <c r="J1633" s="4" t="s">
        <v>14360</v>
      </c>
      <c r="L1633" t="s">
        <v>14360</v>
      </c>
      <c r="M1633" t="s">
        <v>14360</v>
      </c>
      <c r="N1633" t="s">
        <v>3863</v>
      </c>
      <c r="O1633" t="s">
        <v>14360</v>
      </c>
      <c r="P1633" t="s">
        <v>7477</v>
      </c>
      <c r="Q1633" t="s">
        <v>14360</v>
      </c>
      <c r="R1633" t="s">
        <v>14360</v>
      </c>
      <c r="S1633" t="s">
        <v>14360</v>
      </c>
    </row>
    <row r="1634" spans="1:19" x14ac:dyDescent="0.2">
      <c r="A1634" t="s">
        <v>14009</v>
      </c>
      <c r="B1634" t="s">
        <v>14359</v>
      </c>
      <c r="C1634" t="s">
        <v>9640</v>
      </c>
      <c r="D1634" t="str">
        <f>_xlfn.XLOOKUP(E1634,pathways!$A$2:$A$31,pathways!$B$2:$B$31)</f>
        <v>Xenobiotics/other</v>
      </c>
      <c r="E1634" t="s">
        <v>3863</v>
      </c>
      <c r="F1634" t="s">
        <v>3864</v>
      </c>
      <c r="G1634" t="s">
        <v>20457</v>
      </c>
      <c r="H1634" t="s">
        <v>14360</v>
      </c>
      <c r="I1634" t="s">
        <v>9640</v>
      </c>
      <c r="J1634" s="4" t="s">
        <v>9640</v>
      </c>
      <c r="L1634" t="s">
        <v>14360</v>
      </c>
      <c r="M1634" t="s">
        <v>14360</v>
      </c>
      <c r="N1634" t="s">
        <v>3863</v>
      </c>
      <c r="O1634" t="s">
        <v>3863</v>
      </c>
      <c r="P1634" t="s">
        <v>3864</v>
      </c>
      <c r="Q1634" t="s">
        <v>3864</v>
      </c>
      <c r="R1634" t="s">
        <v>14360</v>
      </c>
      <c r="S1634" t="s">
        <v>18840</v>
      </c>
    </row>
    <row r="1635" spans="1:19" x14ac:dyDescent="0.2">
      <c r="A1635" t="s">
        <v>14021</v>
      </c>
      <c r="B1635" t="s">
        <v>14359</v>
      </c>
      <c r="C1635" t="s">
        <v>9730</v>
      </c>
      <c r="D1635" t="str">
        <f>_xlfn.XLOOKUP(E1635,pathways!$A$2:$A$31,pathways!$B$2:$B$31)</f>
        <v>Xenobiotics/other</v>
      </c>
      <c r="E1635" t="s">
        <v>3863</v>
      </c>
      <c r="F1635" t="s">
        <v>3864</v>
      </c>
      <c r="G1635" t="s">
        <v>14360</v>
      </c>
      <c r="H1635" t="s">
        <v>14360</v>
      </c>
      <c r="I1635" t="s">
        <v>9730</v>
      </c>
      <c r="J1635" s="4" t="s">
        <v>14360</v>
      </c>
      <c r="L1635" t="s">
        <v>2208</v>
      </c>
      <c r="M1635" t="s">
        <v>15506</v>
      </c>
      <c r="N1635" t="s">
        <v>3863</v>
      </c>
      <c r="O1635" t="s">
        <v>14360</v>
      </c>
      <c r="P1635" t="s">
        <v>3864</v>
      </c>
      <c r="Q1635" t="s">
        <v>14360</v>
      </c>
      <c r="R1635" t="s">
        <v>3863</v>
      </c>
      <c r="S1635" t="s">
        <v>14360</v>
      </c>
    </row>
    <row r="1636" spans="1:19" x14ac:dyDescent="0.2">
      <c r="A1636" t="s">
        <v>1839</v>
      </c>
      <c r="B1636" t="s">
        <v>14359</v>
      </c>
      <c r="C1636" t="s">
        <v>8661</v>
      </c>
      <c r="D1636" t="str">
        <f>_xlfn.XLOOKUP(E1636,pathways!$A$2:$A$31,pathways!$B$2:$B$31)</f>
        <v>Xenobiotics/other</v>
      </c>
      <c r="E1636" t="s">
        <v>3863</v>
      </c>
      <c r="F1636" t="s">
        <v>5082</v>
      </c>
      <c r="G1636" t="s">
        <v>14360</v>
      </c>
      <c r="H1636" t="s">
        <v>14360</v>
      </c>
      <c r="I1636" t="s">
        <v>8661</v>
      </c>
      <c r="J1636" s="4" t="s">
        <v>8661</v>
      </c>
      <c r="L1636" t="s">
        <v>1838</v>
      </c>
      <c r="M1636" t="s">
        <v>15140</v>
      </c>
      <c r="N1636" t="s">
        <v>3863</v>
      </c>
      <c r="O1636" t="s">
        <v>3863</v>
      </c>
      <c r="P1636" t="s">
        <v>5082</v>
      </c>
      <c r="Q1636" t="s">
        <v>5082</v>
      </c>
      <c r="R1636" t="s">
        <v>3863</v>
      </c>
      <c r="S1636" t="s">
        <v>18840</v>
      </c>
    </row>
    <row r="1637" spans="1:19" x14ac:dyDescent="0.2">
      <c r="A1637" t="s">
        <v>1835</v>
      </c>
      <c r="B1637" t="s">
        <v>14359</v>
      </c>
      <c r="C1637" t="s">
        <v>8664</v>
      </c>
      <c r="D1637" t="str">
        <f>_xlfn.XLOOKUP(E1637,pathways!$A$2:$A$31,pathways!$B$2:$B$31)</f>
        <v>Xenobiotics/other</v>
      </c>
      <c r="E1637" t="s">
        <v>3863</v>
      </c>
      <c r="F1637" t="s">
        <v>5082</v>
      </c>
      <c r="G1637" t="s">
        <v>14360</v>
      </c>
      <c r="H1637" t="s">
        <v>14360</v>
      </c>
      <c r="I1637" t="s">
        <v>8664</v>
      </c>
      <c r="J1637" s="4" t="s">
        <v>8664</v>
      </c>
      <c r="L1637" t="s">
        <v>1834</v>
      </c>
      <c r="M1637" t="s">
        <v>15136</v>
      </c>
      <c r="N1637" t="s">
        <v>3863</v>
      </c>
      <c r="O1637" t="s">
        <v>3863</v>
      </c>
      <c r="P1637" t="s">
        <v>5082</v>
      </c>
      <c r="Q1637" t="s">
        <v>5082</v>
      </c>
      <c r="R1637" t="s">
        <v>3863</v>
      </c>
      <c r="S1637" t="s">
        <v>14360</v>
      </c>
    </row>
    <row r="1638" spans="1:19" x14ac:dyDescent="0.2">
      <c r="A1638" t="s">
        <v>1704</v>
      </c>
      <c r="B1638" t="s">
        <v>14359</v>
      </c>
      <c r="C1638" t="s">
        <v>8079</v>
      </c>
      <c r="D1638" t="str">
        <f>_xlfn.XLOOKUP(E1638,pathways!$A$2:$A$31,pathways!$B$2:$B$31)</f>
        <v>Xenobiotics/other</v>
      </c>
      <c r="E1638" t="s">
        <v>3863</v>
      </c>
      <c r="F1638" t="s">
        <v>5082</v>
      </c>
      <c r="G1638" t="s">
        <v>8079</v>
      </c>
      <c r="H1638" t="s">
        <v>14360</v>
      </c>
      <c r="I1638" t="s">
        <v>8079</v>
      </c>
      <c r="J1638" s="4" t="s">
        <v>8079</v>
      </c>
      <c r="L1638" t="s">
        <v>1703</v>
      </c>
      <c r="M1638" t="s">
        <v>14997</v>
      </c>
      <c r="N1638" t="s">
        <v>3863</v>
      </c>
      <c r="O1638" t="s">
        <v>3863</v>
      </c>
      <c r="P1638" t="s">
        <v>5082</v>
      </c>
      <c r="Q1638" t="s">
        <v>5082</v>
      </c>
      <c r="R1638" t="s">
        <v>3863</v>
      </c>
      <c r="S1638" t="s">
        <v>18840</v>
      </c>
    </row>
    <row r="1639" spans="1:19" x14ac:dyDescent="0.2">
      <c r="A1639" t="s">
        <v>1244</v>
      </c>
      <c r="B1639" t="s">
        <v>14359</v>
      </c>
      <c r="C1639" t="s">
        <v>5845</v>
      </c>
      <c r="D1639" t="str">
        <f>_xlfn.XLOOKUP(E1639,pathways!$A$2:$A$31,pathways!$B$2:$B$31)</f>
        <v>Xenobiotics/other</v>
      </c>
      <c r="E1639" t="s">
        <v>3863</v>
      </c>
      <c r="F1639" t="s">
        <v>4373</v>
      </c>
      <c r="G1639" t="s">
        <v>5845</v>
      </c>
      <c r="H1639" t="s">
        <v>14360</v>
      </c>
      <c r="I1639" t="s">
        <v>5845</v>
      </c>
      <c r="J1639" s="4" t="s">
        <v>5845</v>
      </c>
      <c r="L1639" t="s">
        <v>1243</v>
      </c>
      <c r="M1639" t="s">
        <v>14520</v>
      </c>
      <c r="N1639" t="s">
        <v>3863</v>
      </c>
      <c r="O1639" t="s">
        <v>3863</v>
      </c>
      <c r="P1639" t="s">
        <v>4373</v>
      </c>
      <c r="Q1639" t="s">
        <v>4373</v>
      </c>
      <c r="R1639" t="s">
        <v>3863</v>
      </c>
      <c r="S1639" t="s">
        <v>18840</v>
      </c>
    </row>
    <row r="1640" spans="1:19" x14ac:dyDescent="0.2">
      <c r="A1640" t="s">
        <v>13805</v>
      </c>
      <c r="B1640" t="s">
        <v>14359</v>
      </c>
      <c r="C1640" t="s">
        <v>19182</v>
      </c>
      <c r="D1640" t="str">
        <f>_xlfn.XLOOKUP(E1640,pathways!$A$2:$A$31,pathways!$B$2:$B$31)</f>
        <v>Xenobiotics/other</v>
      </c>
      <c r="E1640" t="s">
        <v>3863</v>
      </c>
      <c r="F1640" t="s">
        <v>5082</v>
      </c>
      <c r="G1640" t="s">
        <v>14360</v>
      </c>
      <c r="H1640" t="s">
        <v>14360</v>
      </c>
      <c r="I1640" t="s">
        <v>5153</v>
      </c>
      <c r="J1640" s="4" t="s">
        <v>5153</v>
      </c>
      <c r="L1640" t="s">
        <v>1122</v>
      </c>
      <c r="M1640" t="s">
        <v>14392</v>
      </c>
      <c r="N1640" t="s">
        <v>3863</v>
      </c>
      <c r="O1640" t="s">
        <v>3863</v>
      </c>
      <c r="P1640" t="s">
        <v>5082</v>
      </c>
      <c r="Q1640" t="s">
        <v>5082</v>
      </c>
      <c r="R1640" t="s">
        <v>3863</v>
      </c>
      <c r="S1640" t="s">
        <v>18840</v>
      </c>
    </row>
    <row r="1641" spans="1:19" x14ac:dyDescent="0.2">
      <c r="A1641" t="s">
        <v>14081</v>
      </c>
      <c r="B1641" t="s">
        <v>14359</v>
      </c>
      <c r="C1641" t="s">
        <v>10124</v>
      </c>
      <c r="D1641" t="str">
        <f>_xlfn.XLOOKUP(E1641,pathways!$A$2:$A$31,pathways!$B$2:$B$31)</f>
        <v>Xenobiotics/other</v>
      </c>
      <c r="E1641" t="s">
        <v>3863</v>
      </c>
      <c r="F1641" t="s">
        <v>5632</v>
      </c>
      <c r="G1641" t="s">
        <v>10124</v>
      </c>
      <c r="H1641" t="s">
        <v>14360</v>
      </c>
      <c r="I1641" t="s">
        <v>10124</v>
      </c>
      <c r="J1641" s="4" t="s">
        <v>14360</v>
      </c>
      <c r="L1641" t="s">
        <v>2296</v>
      </c>
      <c r="M1641" t="s">
        <v>15594</v>
      </c>
      <c r="N1641" t="s">
        <v>3863</v>
      </c>
      <c r="O1641" t="s">
        <v>14360</v>
      </c>
      <c r="P1641" t="s">
        <v>5632</v>
      </c>
      <c r="Q1641" t="s">
        <v>14360</v>
      </c>
      <c r="R1641" t="s">
        <v>3863</v>
      </c>
      <c r="S1641" t="s">
        <v>18840</v>
      </c>
    </row>
    <row r="1642" spans="1:19" x14ac:dyDescent="0.2">
      <c r="A1642" t="s">
        <v>1353</v>
      </c>
      <c r="B1642" t="s">
        <v>14359</v>
      </c>
      <c r="C1642" t="s">
        <v>6341</v>
      </c>
      <c r="D1642" t="str">
        <f>_xlfn.XLOOKUP(E1642,pathways!$A$2:$A$31,pathways!$B$2:$B$31)</f>
        <v>Xenobiotics/other</v>
      </c>
      <c r="E1642" t="s">
        <v>3863</v>
      </c>
      <c r="F1642" t="s">
        <v>4373</v>
      </c>
      <c r="G1642" t="s">
        <v>14360</v>
      </c>
      <c r="H1642" t="s">
        <v>14360</v>
      </c>
      <c r="I1642" t="s">
        <v>6341</v>
      </c>
      <c r="J1642" s="4" t="s">
        <v>6341</v>
      </c>
      <c r="L1642" t="s">
        <v>1352</v>
      </c>
      <c r="M1642" t="s">
        <v>14632</v>
      </c>
      <c r="N1642" t="s">
        <v>3863</v>
      </c>
      <c r="O1642" t="s">
        <v>3863</v>
      </c>
      <c r="P1642" t="s">
        <v>4373</v>
      </c>
      <c r="Q1642" t="s">
        <v>4373</v>
      </c>
      <c r="R1642" t="s">
        <v>3863</v>
      </c>
      <c r="S1642" t="s">
        <v>18840</v>
      </c>
    </row>
    <row r="1643" spans="1:19" x14ac:dyDescent="0.2">
      <c r="A1643" t="s">
        <v>13797</v>
      </c>
      <c r="B1643" t="s">
        <v>14359</v>
      </c>
      <c r="C1643" t="s">
        <v>4945</v>
      </c>
      <c r="D1643" t="str">
        <f>_xlfn.XLOOKUP(E1643,pathways!$A$2:$A$31,pathways!$B$2:$B$31)</f>
        <v>Xenobiotics/other</v>
      </c>
      <c r="E1643" t="s">
        <v>3863</v>
      </c>
      <c r="F1643" t="s">
        <v>4942</v>
      </c>
      <c r="G1643" t="s">
        <v>14360</v>
      </c>
      <c r="H1643" t="s">
        <v>14360</v>
      </c>
      <c r="I1643" t="s">
        <v>4945</v>
      </c>
      <c r="J1643" s="4" t="s">
        <v>4945</v>
      </c>
      <c r="L1643" t="s">
        <v>14360</v>
      </c>
      <c r="M1643" t="s">
        <v>14360</v>
      </c>
      <c r="N1643" t="s">
        <v>3863</v>
      </c>
      <c r="O1643" t="s">
        <v>3863</v>
      </c>
      <c r="P1643" t="s">
        <v>4942</v>
      </c>
      <c r="Q1643" t="s">
        <v>4942</v>
      </c>
      <c r="R1643" t="s">
        <v>14360</v>
      </c>
      <c r="S1643" t="s">
        <v>14360</v>
      </c>
    </row>
    <row r="1644" spans="1:19" x14ac:dyDescent="0.2">
      <c r="A1644" t="s">
        <v>13806</v>
      </c>
      <c r="B1644" t="s">
        <v>14359</v>
      </c>
      <c r="C1644" t="s">
        <v>5217</v>
      </c>
      <c r="D1644" t="str">
        <f>_xlfn.XLOOKUP(E1644,pathways!$A$2:$A$31,pathways!$B$2:$B$31)</f>
        <v>Xenobiotics/other</v>
      </c>
      <c r="E1644" t="s">
        <v>3863</v>
      </c>
      <c r="F1644" t="s">
        <v>4942</v>
      </c>
      <c r="G1644" t="s">
        <v>14360</v>
      </c>
      <c r="H1644" t="s">
        <v>14360</v>
      </c>
      <c r="I1644" t="s">
        <v>5217</v>
      </c>
      <c r="J1644" s="4" t="s">
        <v>5217</v>
      </c>
      <c r="L1644" t="s">
        <v>14360</v>
      </c>
      <c r="M1644" t="s">
        <v>14360</v>
      </c>
      <c r="N1644" t="s">
        <v>3863</v>
      </c>
      <c r="O1644" t="s">
        <v>3863</v>
      </c>
      <c r="P1644" t="s">
        <v>4942</v>
      </c>
      <c r="Q1644" t="s">
        <v>4942</v>
      </c>
      <c r="R1644" t="s">
        <v>14360</v>
      </c>
      <c r="S1644" t="s">
        <v>18840</v>
      </c>
    </row>
    <row r="1645" spans="1:19" x14ac:dyDescent="0.2">
      <c r="A1645" t="s">
        <v>2465</v>
      </c>
      <c r="B1645" t="s">
        <v>14359</v>
      </c>
      <c r="C1645" t="s">
        <v>5107</v>
      </c>
      <c r="D1645" t="str">
        <f>_xlfn.XLOOKUP(E1645,pathways!$A$2:$A$31,pathways!$B$2:$B$31)</f>
        <v>Xenobiotics/other</v>
      </c>
      <c r="E1645" t="s">
        <v>3863</v>
      </c>
      <c r="F1645" t="s">
        <v>4942</v>
      </c>
      <c r="G1645" t="s">
        <v>14360</v>
      </c>
      <c r="H1645" t="s">
        <v>14360</v>
      </c>
      <c r="I1645" t="s">
        <v>5107</v>
      </c>
      <c r="J1645" s="4" t="s">
        <v>5107</v>
      </c>
      <c r="L1645" t="s">
        <v>2464</v>
      </c>
      <c r="M1645" t="s">
        <v>15771</v>
      </c>
      <c r="N1645" t="s">
        <v>3863</v>
      </c>
      <c r="O1645" t="s">
        <v>3863</v>
      </c>
      <c r="P1645" t="s">
        <v>4942</v>
      </c>
      <c r="Q1645" t="s">
        <v>4942</v>
      </c>
      <c r="R1645" t="s">
        <v>3863</v>
      </c>
      <c r="S1645" t="s">
        <v>18840</v>
      </c>
    </row>
    <row r="1646" spans="1:19" x14ac:dyDescent="0.2">
      <c r="A1646" t="s">
        <v>2261</v>
      </c>
      <c r="B1646" t="s">
        <v>14359</v>
      </c>
      <c r="C1646" t="s">
        <v>9931</v>
      </c>
      <c r="D1646" t="str">
        <f>_xlfn.XLOOKUP(E1646,pathways!$A$2:$A$31,pathways!$B$2:$B$31)</f>
        <v>Xenobiotics/other</v>
      </c>
      <c r="E1646" t="s">
        <v>3863</v>
      </c>
      <c r="F1646" t="s">
        <v>3864</v>
      </c>
      <c r="G1646" t="s">
        <v>14360</v>
      </c>
      <c r="H1646" t="s">
        <v>14360</v>
      </c>
      <c r="I1646" t="s">
        <v>9931</v>
      </c>
      <c r="J1646" s="4" t="s">
        <v>14360</v>
      </c>
      <c r="L1646" t="s">
        <v>2260</v>
      </c>
      <c r="M1646" t="s">
        <v>15558</v>
      </c>
      <c r="N1646" t="s">
        <v>3863</v>
      </c>
      <c r="O1646" t="s">
        <v>14360</v>
      </c>
      <c r="P1646" t="s">
        <v>3864</v>
      </c>
      <c r="Q1646" t="s">
        <v>14360</v>
      </c>
      <c r="R1646" t="s">
        <v>3863</v>
      </c>
      <c r="S1646" t="s">
        <v>18840</v>
      </c>
    </row>
    <row r="1647" spans="1:19" x14ac:dyDescent="0.2">
      <c r="A1647" t="s">
        <v>1177</v>
      </c>
      <c r="B1647" t="s">
        <v>14359</v>
      </c>
      <c r="C1647" t="s">
        <v>5499</v>
      </c>
      <c r="D1647" t="str">
        <f>_xlfn.XLOOKUP(E1647,pathways!$A$2:$A$31,pathways!$B$2:$B$31)</f>
        <v>Xenobiotics/other</v>
      </c>
      <c r="E1647" t="s">
        <v>3863</v>
      </c>
      <c r="F1647" t="s">
        <v>5082</v>
      </c>
      <c r="G1647" t="s">
        <v>14360</v>
      </c>
      <c r="H1647" t="s">
        <v>14360</v>
      </c>
      <c r="I1647" t="s">
        <v>5499</v>
      </c>
      <c r="J1647" s="4" t="s">
        <v>5499</v>
      </c>
      <c r="L1647" t="s">
        <v>1176</v>
      </c>
      <c r="M1647" t="s">
        <v>14448</v>
      </c>
      <c r="N1647" t="s">
        <v>3863</v>
      </c>
      <c r="O1647" t="s">
        <v>3863</v>
      </c>
      <c r="P1647" t="s">
        <v>5082</v>
      </c>
      <c r="Q1647" t="s">
        <v>5082</v>
      </c>
      <c r="R1647" t="s">
        <v>3863</v>
      </c>
      <c r="S1647" t="s">
        <v>18840</v>
      </c>
    </row>
    <row r="1648" spans="1:19" x14ac:dyDescent="0.2">
      <c r="A1648" t="s">
        <v>14029</v>
      </c>
      <c r="B1648" t="s">
        <v>14359</v>
      </c>
      <c r="C1648" t="s">
        <v>9823</v>
      </c>
      <c r="D1648" t="str">
        <f>_xlfn.XLOOKUP(E1648,pathways!$A$2:$A$31,pathways!$B$2:$B$31)</f>
        <v>Xenobiotics/other</v>
      </c>
      <c r="E1648" t="s">
        <v>3863</v>
      </c>
      <c r="F1648" t="s">
        <v>5082</v>
      </c>
      <c r="G1648" t="s">
        <v>14360</v>
      </c>
      <c r="H1648" t="s">
        <v>14360</v>
      </c>
      <c r="I1648" t="s">
        <v>9823</v>
      </c>
      <c r="J1648" s="4" t="s">
        <v>14360</v>
      </c>
      <c r="L1648" t="s">
        <v>2237</v>
      </c>
      <c r="M1648" t="s">
        <v>15534</v>
      </c>
      <c r="N1648" t="s">
        <v>3863</v>
      </c>
      <c r="O1648" t="s">
        <v>14360</v>
      </c>
      <c r="P1648" t="s">
        <v>5082</v>
      </c>
      <c r="Q1648" t="s">
        <v>14360</v>
      </c>
      <c r="R1648" t="s">
        <v>3863</v>
      </c>
      <c r="S1648" t="s">
        <v>18840</v>
      </c>
    </row>
    <row r="1649" spans="1:19" x14ac:dyDescent="0.2">
      <c r="A1649" t="s">
        <v>1530</v>
      </c>
      <c r="B1649" t="s">
        <v>14359</v>
      </c>
      <c r="C1649" t="s">
        <v>7059</v>
      </c>
      <c r="D1649" t="str">
        <f>_xlfn.XLOOKUP(E1649,pathways!$A$2:$A$31,pathways!$B$2:$B$31)</f>
        <v>Xenobiotics/other</v>
      </c>
      <c r="E1649" t="s">
        <v>3863</v>
      </c>
      <c r="F1649" t="s">
        <v>3864</v>
      </c>
      <c r="G1649" t="s">
        <v>14360</v>
      </c>
      <c r="H1649" t="s">
        <v>14360</v>
      </c>
      <c r="I1649" t="s">
        <v>7059</v>
      </c>
      <c r="J1649" s="4" t="s">
        <v>7059</v>
      </c>
      <c r="L1649" t="s">
        <v>1529</v>
      </c>
      <c r="M1649" t="s">
        <v>14816</v>
      </c>
      <c r="N1649" t="s">
        <v>3863</v>
      </c>
      <c r="O1649" t="s">
        <v>3863</v>
      </c>
      <c r="P1649" t="s">
        <v>3864</v>
      </c>
      <c r="Q1649" t="s">
        <v>3864</v>
      </c>
      <c r="R1649" t="s">
        <v>3863</v>
      </c>
      <c r="S1649" t="s">
        <v>18840</v>
      </c>
    </row>
    <row r="1650" spans="1:19" x14ac:dyDescent="0.2">
      <c r="A1650" t="s">
        <v>14316</v>
      </c>
      <c r="B1650" t="s">
        <v>14359</v>
      </c>
      <c r="C1650" t="s">
        <v>13078</v>
      </c>
      <c r="D1650" t="str">
        <f>_xlfn.XLOOKUP(E1650,pathways!$A$2:$A$31,pathways!$B$2:$B$31)</f>
        <v>Xenobiotics/other</v>
      </c>
      <c r="E1650" t="s">
        <v>3863</v>
      </c>
      <c r="F1650" t="s">
        <v>4942</v>
      </c>
      <c r="G1650" t="s">
        <v>14360</v>
      </c>
      <c r="H1650" t="s">
        <v>14360</v>
      </c>
      <c r="I1650" t="s">
        <v>14360</v>
      </c>
      <c r="J1650" s="4" t="s">
        <v>13078</v>
      </c>
      <c r="L1650" t="s">
        <v>14360</v>
      </c>
      <c r="M1650" t="s">
        <v>14360</v>
      </c>
      <c r="N1650" t="s">
        <v>14360</v>
      </c>
      <c r="O1650" t="s">
        <v>3863</v>
      </c>
      <c r="P1650" t="s">
        <v>14360</v>
      </c>
      <c r="Q1650" t="s">
        <v>4942</v>
      </c>
      <c r="R1650" t="s">
        <v>14360</v>
      </c>
      <c r="S1650" t="s">
        <v>18840</v>
      </c>
    </row>
    <row r="1651" spans="1:19" x14ac:dyDescent="0.2">
      <c r="A1651" t="s">
        <v>14026</v>
      </c>
      <c r="B1651" t="s">
        <v>14359</v>
      </c>
      <c r="C1651" t="s">
        <v>9798</v>
      </c>
      <c r="D1651" t="str">
        <f>_xlfn.XLOOKUP(E1651,pathways!$A$2:$A$31,pathways!$B$2:$B$31)</f>
        <v>Xenobiotics/other</v>
      </c>
      <c r="E1651" t="s">
        <v>3863</v>
      </c>
      <c r="F1651" t="s">
        <v>5082</v>
      </c>
      <c r="G1651" t="s">
        <v>14360</v>
      </c>
      <c r="H1651" t="s">
        <v>14360</v>
      </c>
      <c r="I1651" t="s">
        <v>9798</v>
      </c>
      <c r="J1651" s="4" t="s">
        <v>14360</v>
      </c>
      <c r="L1651" t="s">
        <v>2227</v>
      </c>
      <c r="M1651" t="s">
        <v>15525</v>
      </c>
      <c r="N1651" t="s">
        <v>3863</v>
      </c>
      <c r="O1651" t="s">
        <v>14360</v>
      </c>
      <c r="P1651" t="s">
        <v>5082</v>
      </c>
      <c r="Q1651" t="s">
        <v>14360</v>
      </c>
      <c r="R1651" t="s">
        <v>3863</v>
      </c>
      <c r="S1651" t="s">
        <v>18840</v>
      </c>
    </row>
    <row r="1652" spans="1:19" x14ac:dyDescent="0.2">
      <c r="A1652" t="s">
        <v>14317</v>
      </c>
      <c r="B1652" t="s">
        <v>14359</v>
      </c>
      <c r="C1652" t="s">
        <v>13080</v>
      </c>
      <c r="D1652" t="str">
        <f>_xlfn.XLOOKUP(E1652,pathways!$A$2:$A$31,pathways!$B$2:$B$31)</f>
        <v>Xenobiotics/other</v>
      </c>
      <c r="E1652" t="s">
        <v>3863</v>
      </c>
      <c r="F1652" t="s">
        <v>3864</v>
      </c>
      <c r="G1652" t="s">
        <v>14360</v>
      </c>
      <c r="H1652" t="s">
        <v>14360</v>
      </c>
      <c r="I1652" t="s">
        <v>14360</v>
      </c>
      <c r="J1652" s="4" t="s">
        <v>13080</v>
      </c>
      <c r="L1652" t="s">
        <v>14360</v>
      </c>
      <c r="M1652" t="s">
        <v>14360</v>
      </c>
      <c r="N1652" t="s">
        <v>14360</v>
      </c>
      <c r="O1652" t="s">
        <v>3863</v>
      </c>
      <c r="P1652" t="s">
        <v>14360</v>
      </c>
      <c r="Q1652" t="s">
        <v>3864</v>
      </c>
      <c r="R1652" t="s">
        <v>14360</v>
      </c>
      <c r="S1652" t="s">
        <v>18840</v>
      </c>
    </row>
    <row r="1653" spans="1:19" x14ac:dyDescent="0.2">
      <c r="A1653" t="s">
        <v>1497</v>
      </c>
      <c r="B1653" t="s">
        <v>14359</v>
      </c>
      <c r="C1653" t="s">
        <v>6924</v>
      </c>
      <c r="D1653" t="str">
        <f>_xlfn.XLOOKUP(E1653,pathways!$A$2:$A$31,pathways!$B$2:$B$31)</f>
        <v>Xenobiotics/other</v>
      </c>
      <c r="E1653" t="s">
        <v>3863</v>
      </c>
      <c r="F1653" t="s">
        <v>5082</v>
      </c>
      <c r="G1653" t="s">
        <v>14360</v>
      </c>
      <c r="H1653" t="s">
        <v>14360</v>
      </c>
      <c r="I1653" t="s">
        <v>6924</v>
      </c>
      <c r="J1653" s="4" t="s">
        <v>6924</v>
      </c>
      <c r="L1653" t="s">
        <v>1496</v>
      </c>
      <c r="M1653" t="s">
        <v>14782</v>
      </c>
      <c r="N1653" t="s">
        <v>3863</v>
      </c>
      <c r="O1653" t="s">
        <v>3863</v>
      </c>
      <c r="P1653" t="s">
        <v>5082</v>
      </c>
      <c r="Q1653" t="s">
        <v>5082</v>
      </c>
      <c r="R1653" t="s">
        <v>3863</v>
      </c>
      <c r="S1653" t="s">
        <v>18840</v>
      </c>
    </row>
    <row r="1654" spans="1:19" x14ac:dyDescent="0.2">
      <c r="A1654" t="s">
        <v>14033</v>
      </c>
      <c r="B1654" t="s">
        <v>14359</v>
      </c>
      <c r="C1654" t="s">
        <v>9852</v>
      </c>
      <c r="D1654" t="str">
        <f>_xlfn.XLOOKUP(E1654,pathways!$A$2:$A$31,pathways!$B$2:$B$31)</f>
        <v>Xenobiotics/other</v>
      </c>
      <c r="E1654" t="s">
        <v>3863</v>
      </c>
      <c r="F1654" t="s">
        <v>4933</v>
      </c>
      <c r="G1654" t="s">
        <v>14360</v>
      </c>
      <c r="H1654" t="s">
        <v>14360</v>
      </c>
      <c r="I1654" t="s">
        <v>9852</v>
      </c>
      <c r="J1654" s="4" t="s">
        <v>9852</v>
      </c>
      <c r="L1654" t="s">
        <v>14360</v>
      </c>
      <c r="M1654" t="s">
        <v>14360</v>
      </c>
      <c r="N1654" t="s">
        <v>3863</v>
      </c>
      <c r="O1654" t="s">
        <v>3863</v>
      </c>
      <c r="P1654" t="s">
        <v>4933</v>
      </c>
      <c r="Q1654" t="s">
        <v>4933</v>
      </c>
      <c r="R1654" t="s">
        <v>14360</v>
      </c>
      <c r="S1654" t="s">
        <v>14360</v>
      </c>
    </row>
    <row r="1655" spans="1:19" x14ac:dyDescent="0.2">
      <c r="A1655" t="s">
        <v>14318</v>
      </c>
      <c r="B1655" t="s">
        <v>14359</v>
      </c>
      <c r="C1655" t="s">
        <v>13085</v>
      </c>
      <c r="D1655" t="str">
        <f>_xlfn.XLOOKUP(E1655,pathways!$A$2:$A$31,pathways!$B$2:$B$31)</f>
        <v>Xenobiotics/other</v>
      </c>
      <c r="E1655" t="s">
        <v>3863</v>
      </c>
      <c r="F1655" t="s">
        <v>5082</v>
      </c>
      <c r="G1655" t="s">
        <v>14360</v>
      </c>
      <c r="H1655" t="s">
        <v>14360</v>
      </c>
      <c r="I1655" t="s">
        <v>14360</v>
      </c>
      <c r="J1655" s="4" t="s">
        <v>13085</v>
      </c>
      <c r="L1655" t="s">
        <v>14360</v>
      </c>
      <c r="M1655" t="s">
        <v>14360</v>
      </c>
      <c r="N1655" t="s">
        <v>14360</v>
      </c>
      <c r="O1655" t="s">
        <v>3863</v>
      </c>
      <c r="P1655" t="s">
        <v>14360</v>
      </c>
      <c r="Q1655" t="s">
        <v>5082</v>
      </c>
      <c r="R1655" t="s">
        <v>14360</v>
      </c>
      <c r="S1655" t="s">
        <v>18840</v>
      </c>
    </row>
    <row r="1656" spans="1:19" x14ac:dyDescent="0.2">
      <c r="A1656" t="s">
        <v>1778</v>
      </c>
      <c r="B1656" t="s">
        <v>14359</v>
      </c>
      <c r="C1656" t="s">
        <v>8426</v>
      </c>
      <c r="D1656" t="str">
        <f>_xlfn.XLOOKUP(E1656,pathways!$A$2:$A$31,pathways!$B$2:$B$31)</f>
        <v>Xenobiotics/other</v>
      </c>
      <c r="E1656" t="s">
        <v>3863</v>
      </c>
      <c r="F1656" t="s">
        <v>5632</v>
      </c>
      <c r="G1656" t="s">
        <v>8426</v>
      </c>
      <c r="H1656" t="s">
        <v>14360</v>
      </c>
      <c r="I1656" t="s">
        <v>8426</v>
      </c>
      <c r="J1656" s="4" t="s">
        <v>8426</v>
      </c>
      <c r="L1656" t="s">
        <v>1777</v>
      </c>
      <c r="M1656" t="s">
        <v>15075</v>
      </c>
      <c r="N1656" t="s">
        <v>3863</v>
      </c>
      <c r="O1656" t="s">
        <v>3863</v>
      </c>
      <c r="P1656" t="s">
        <v>5632</v>
      </c>
      <c r="Q1656" t="s">
        <v>5632</v>
      </c>
      <c r="R1656" t="s">
        <v>3863</v>
      </c>
      <c r="S1656" t="s">
        <v>18840</v>
      </c>
    </row>
    <row r="1657" spans="1:19" x14ac:dyDescent="0.2">
      <c r="A1657" t="s">
        <v>1559</v>
      </c>
      <c r="B1657" t="s">
        <v>14359</v>
      </c>
      <c r="C1657" t="s">
        <v>7219</v>
      </c>
      <c r="D1657" t="str">
        <f>_xlfn.XLOOKUP(E1657,pathways!$A$2:$A$31,pathways!$B$2:$B$31)</f>
        <v>Xenobiotics/other</v>
      </c>
      <c r="E1657" t="s">
        <v>3863</v>
      </c>
      <c r="F1657" t="s">
        <v>7216</v>
      </c>
      <c r="G1657" t="s">
        <v>14360</v>
      </c>
      <c r="H1657" t="s">
        <v>14360</v>
      </c>
      <c r="I1657" t="s">
        <v>7219</v>
      </c>
      <c r="J1657" s="4" t="s">
        <v>7219</v>
      </c>
      <c r="L1657" t="s">
        <v>1558</v>
      </c>
      <c r="M1657" t="s">
        <v>14845</v>
      </c>
      <c r="N1657" t="s">
        <v>3863</v>
      </c>
      <c r="O1657" t="s">
        <v>3863</v>
      </c>
      <c r="P1657" t="s">
        <v>7216</v>
      </c>
      <c r="Q1657" t="s">
        <v>7216</v>
      </c>
      <c r="R1657" t="s">
        <v>3863</v>
      </c>
      <c r="S1657" t="s">
        <v>18840</v>
      </c>
    </row>
    <row r="1658" spans="1:19" x14ac:dyDescent="0.2">
      <c r="A1658" t="s">
        <v>1372</v>
      </c>
      <c r="B1658" t="s">
        <v>14359</v>
      </c>
      <c r="C1658" t="s">
        <v>6433</v>
      </c>
      <c r="D1658" t="str">
        <f>_xlfn.XLOOKUP(E1658,pathways!$A$2:$A$31,pathways!$B$2:$B$31)</f>
        <v>Xenobiotics/other</v>
      </c>
      <c r="E1658" t="s">
        <v>3863</v>
      </c>
      <c r="F1658" t="s">
        <v>5082</v>
      </c>
      <c r="G1658" t="s">
        <v>6433</v>
      </c>
      <c r="H1658" t="s">
        <v>14360</v>
      </c>
      <c r="I1658" t="s">
        <v>6433</v>
      </c>
      <c r="J1658" s="4" t="s">
        <v>6433</v>
      </c>
      <c r="L1658" t="s">
        <v>1371</v>
      </c>
      <c r="M1658" t="s">
        <v>14652</v>
      </c>
      <c r="N1658" t="s">
        <v>3863</v>
      </c>
      <c r="O1658" t="s">
        <v>3863</v>
      </c>
      <c r="P1658" t="s">
        <v>5082</v>
      </c>
      <c r="Q1658" t="s">
        <v>5082</v>
      </c>
      <c r="R1658" t="s">
        <v>3863</v>
      </c>
      <c r="S1658" t="s">
        <v>18840</v>
      </c>
    </row>
    <row r="1659" spans="1:19" x14ac:dyDescent="0.2">
      <c r="A1659" t="s">
        <v>13881</v>
      </c>
      <c r="B1659" t="s">
        <v>14359</v>
      </c>
      <c r="C1659" t="s">
        <v>7443</v>
      </c>
      <c r="D1659" t="str">
        <f>_xlfn.XLOOKUP(E1659,pathways!$A$2:$A$31,pathways!$B$2:$B$31)</f>
        <v>Xenobiotics/other</v>
      </c>
      <c r="E1659" t="s">
        <v>3863</v>
      </c>
      <c r="F1659" t="s">
        <v>5632</v>
      </c>
      <c r="G1659" t="s">
        <v>14360</v>
      </c>
      <c r="H1659" t="s">
        <v>14360</v>
      </c>
      <c r="I1659" t="s">
        <v>7443</v>
      </c>
      <c r="J1659" s="4" t="s">
        <v>14360</v>
      </c>
      <c r="L1659" t="s">
        <v>14360</v>
      </c>
      <c r="M1659" t="s">
        <v>14360</v>
      </c>
      <c r="N1659" t="s">
        <v>3863</v>
      </c>
      <c r="O1659" t="s">
        <v>14360</v>
      </c>
      <c r="P1659" t="s">
        <v>5632</v>
      </c>
      <c r="Q1659" t="s">
        <v>14360</v>
      </c>
      <c r="R1659" t="s">
        <v>14360</v>
      </c>
      <c r="S1659" t="s">
        <v>18840</v>
      </c>
    </row>
    <row r="1660" spans="1:19" x14ac:dyDescent="0.2">
      <c r="A1660" t="s">
        <v>1706</v>
      </c>
      <c r="B1660" t="s">
        <v>14359</v>
      </c>
      <c r="C1660" t="s">
        <v>8074</v>
      </c>
      <c r="D1660" t="str">
        <f>_xlfn.XLOOKUP(E1660,pathways!$A$2:$A$31,pathways!$B$2:$B$31)</f>
        <v>Xenobiotics/other</v>
      </c>
      <c r="E1660" t="s">
        <v>3863</v>
      </c>
      <c r="F1660" t="s">
        <v>5082</v>
      </c>
      <c r="G1660" t="s">
        <v>14360</v>
      </c>
      <c r="H1660" t="s">
        <v>14360</v>
      </c>
      <c r="I1660" t="s">
        <v>8074</v>
      </c>
      <c r="J1660" s="4" t="s">
        <v>8074</v>
      </c>
      <c r="L1660" t="s">
        <v>1705</v>
      </c>
      <c r="M1660" t="s">
        <v>14999</v>
      </c>
      <c r="N1660" t="s">
        <v>3863</v>
      </c>
      <c r="O1660" t="s">
        <v>3863</v>
      </c>
      <c r="P1660" t="s">
        <v>5082</v>
      </c>
      <c r="Q1660" t="s">
        <v>5082</v>
      </c>
      <c r="R1660" t="s">
        <v>3863</v>
      </c>
      <c r="S1660" t="s">
        <v>18840</v>
      </c>
    </row>
    <row r="1661" spans="1:19" x14ac:dyDescent="0.2">
      <c r="A1661" t="s">
        <v>1800</v>
      </c>
      <c r="B1661" t="s">
        <v>14359</v>
      </c>
      <c r="C1661" t="s">
        <v>8450</v>
      </c>
      <c r="D1661" t="str">
        <f>_xlfn.XLOOKUP(E1661,pathways!$A$2:$A$31,pathways!$B$2:$B$31)</f>
        <v>Xenobiotics/other</v>
      </c>
      <c r="E1661" t="s">
        <v>3863</v>
      </c>
      <c r="F1661" t="s">
        <v>5082</v>
      </c>
      <c r="G1661" t="s">
        <v>14360</v>
      </c>
      <c r="H1661" t="s">
        <v>14360</v>
      </c>
      <c r="I1661" t="s">
        <v>8450</v>
      </c>
      <c r="J1661" s="4" t="s">
        <v>8450</v>
      </c>
      <c r="L1661" t="s">
        <v>1799</v>
      </c>
      <c r="M1661" t="s">
        <v>15099</v>
      </c>
      <c r="N1661" t="s">
        <v>3863</v>
      </c>
      <c r="O1661" t="s">
        <v>3863</v>
      </c>
      <c r="P1661" t="s">
        <v>5082</v>
      </c>
      <c r="Q1661" t="s">
        <v>5082</v>
      </c>
      <c r="R1661" t="s">
        <v>3863</v>
      </c>
      <c r="S1661" t="s">
        <v>18840</v>
      </c>
    </row>
    <row r="1662" spans="1:19" x14ac:dyDescent="0.2">
      <c r="A1662" t="s">
        <v>14319</v>
      </c>
      <c r="B1662" t="s">
        <v>14359</v>
      </c>
      <c r="C1662" t="s">
        <v>13096</v>
      </c>
      <c r="D1662" t="str">
        <f>_xlfn.XLOOKUP(E1662,pathways!$A$2:$A$31,pathways!$B$2:$B$31)</f>
        <v>Xenobiotics/other</v>
      </c>
      <c r="E1662" t="s">
        <v>3863</v>
      </c>
      <c r="F1662" t="s">
        <v>7418</v>
      </c>
      <c r="G1662" t="s">
        <v>14360</v>
      </c>
      <c r="H1662" t="s">
        <v>14360</v>
      </c>
      <c r="I1662" t="s">
        <v>14360</v>
      </c>
      <c r="J1662" s="4" t="s">
        <v>13096</v>
      </c>
      <c r="L1662" t="s">
        <v>14360</v>
      </c>
      <c r="M1662" t="s">
        <v>14360</v>
      </c>
      <c r="N1662" t="s">
        <v>14360</v>
      </c>
      <c r="O1662" t="s">
        <v>3863</v>
      </c>
      <c r="P1662" t="s">
        <v>14360</v>
      </c>
      <c r="Q1662" t="s">
        <v>7418</v>
      </c>
      <c r="R1662" t="s">
        <v>14360</v>
      </c>
      <c r="S1662" t="s">
        <v>18840</v>
      </c>
    </row>
    <row r="1663" spans="1:19" x14ac:dyDescent="0.2">
      <c r="A1663" t="s">
        <v>14079</v>
      </c>
      <c r="B1663" t="s">
        <v>14359</v>
      </c>
      <c r="C1663" t="s">
        <v>10114</v>
      </c>
      <c r="D1663" t="str">
        <f>_xlfn.XLOOKUP(E1663,pathways!$A$2:$A$31,pathways!$B$2:$B$31)</f>
        <v>Xenobiotics/other</v>
      </c>
      <c r="E1663" t="s">
        <v>3863</v>
      </c>
      <c r="F1663" t="s">
        <v>5082</v>
      </c>
      <c r="G1663" t="s">
        <v>14360</v>
      </c>
      <c r="H1663" t="s">
        <v>14360</v>
      </c>
      <c r="I1663" t="s">
        <v>10114</v>
      </c>
      <c r="J1663" s="4" t="s">
        <v>14360</v>
      </c>
      <c r="L1663" t="s">
        <v>14360</v>
      </c>
      <c r="M1663" t="s">
        <v>14360</v>
      </c>
      <c r="N1663" t="s">
        <v>3863</v>
      </c>
      <c r="O1663" t="s">
        <v>14360</v>
      </c>
      <c r="P1663" t="s">
        <v>5082</v>
      </c>
      <c r="Q1663" t="s">
        <v>14360</v>
      </c>
      <c r="R1663" t="s">
        <v>14360</v>
      </c>
      <c r="S1663" t="s">
        <v>18840</v>
      </c>
    </row>
    <row r="1664" spans="1:19" x14ac:dyDescent="0.2">
      <c r="A1664" t="s">
        <v>1787</v>
      </c>
      <c r="B1664" t="s">
        <v>14359</v>
      </c>
      <c r="C1664" t="s">
        <v>8474</v>
      </c>
      <c r="D1664" t="str">
        <f>_xlfn.XLOOKUP(E1664,pathways!$A$2:$A$31,pathways!$B$2:$B$31)</f>
        <v>Xenobiotics/other</v>
      </c>
      <c r="E1664" t="s">
        <v>3863</v>
      </c>
      <c r="F1664" t="s">
        <v>3864</v>
      </c>
      <c r="G1664" t="s">
        <v>14360</v>
      </c>
      <c r="H1664" t="s">
        <v>14360</v>
      </c>
      <c r="I1664" t="s">
        <v>8474</v>
      </c>
      <c r="J1664" s="4" t="s">
        <v>8474</v>
      </c>
      <c r="L1664" t="s">
        <v>1786</v>
      </c>
      <c r="M1664" t="s">
        <v>15085</v>
      </c>
      <c r="N1664" t="s">
        <v>3863</v>
      </c>
      <c r="O1664" t="s">
        <v>3863</v>
      </c>
      <c r="P1664" t="s">
        <v>3864</v>
      </c>
      <c r="Q1664" t="s">
        <v>3864</v>
      </c>
      <c r="R1664" t="s">
        <v>3863</v>
      </c>
      <c r="S1664" t="s">
        <v>18840</v>
      </c>
    </row>
    <row r="1665" spans="1:19" x14ac:dyDescent="0.2">
      <c r="A1665" t="s">
        <v>1485</v>
      </c>
      <c r="B1665" t="s">
        <v>14359</v>
      </c>
      <c r="C1665" t="s">
        <v>6916</v>
      </c>
      <c r="D1665" t="str">
        <f>_xlfn.XLOOKUP(E1665,pathways!$A$2:$A$31,pathways!$B$2:$B$31)</f>
        <v>Xenobiotics/other</v>
      </c>
      <c r="E1665" t="s">
        <v>3863</v>
      </c>
      <c r="F1665" t="s">
        <v>5082</v>
      </c>
      <c r="G1665" t="s">
        <v>14360</v>
      </c>
      <c r="H1665" t="s">
        <v>14360</v>
      </c>
      <c r="I1665" t="s">
        <v>6916</v>
      </c>
      <c r="J1665" s="4" t="s">
        <v>6916</v>
      </c>
      <c r="L1665" t="s">
        <v>1484</v>
      </c>
      <c r="M1665" t="s">
        <v>14770</v>
      </c>
      <c r="N1665" t="s">
        <v>3863</v>
      </c>
      <c r="O1665" t="s">
        <v>3863</v>
      </c>
      <c r="P1665" t="s">
        <v>5082</v>
      </c>
      <c r="Q1665" t="s">
        <v>5082</v>
      </c>
      <c r="R1665" t="s">
        <v>3863</v>
      </c>
      <c r="S1665" t="s">
        <v>14360</v>
      </c>
    </row>
    <row r="1666" spans="1:19" x14ac:dyDescent="0.2">
      <c r="A1666" t="s">
        <v>14099</v>
      </c>
      <c r="B1666" t="s">
        <v>14359</v>
      </c>
      <c r="C1666" t="s">
        <v>10212</v>
      </c>
      <c r="D1666" t="str">
        <f>_xlfn.XLOOKUP(E1666,pathways!$A$2:$A$31,pathways!$B$2:$B$31)</f>
        <v>Xenobiotics/other</v>
      </c>
      <c r="E1666" t="s">
        <v>3863</v>
      </c>
      <c r="F1666" t="s">
        <v>10209</v>
      </c>
      <c r="G1666" t="s">
        <v>14360</v>
      </c>
      <c r="H1666" t="s">
        <v>14360</v>
      </c>
      <c r="I1666" t="s">
        <v>10212</v>
      </c>
      <c r="J1666" s="4" t="s">
        <v>14360</v>
      </c>
      <c r="L1666" t="s">
        <v>14360</v>
      </c>
      <c r="M1666" t="s">
        <v>14360</v>
      </c>
      <c r="N1666" t="s">
        <v>3863</v>
      </c>
      <c r="O1666" t="s">
        <v>14360</v>
      </c>
      <c r="P1666" t="s">
        <v>10209</v>
      </c>
      <c r="Q1666" t="s">
        <v>14360</v>
      </c>
      <c r="R1666" t="s">
        <v>14360</v>
      </c>
      <c r="S1666" t="s">
        <v>18840</v>
      </c>
    </row>
    <row r="1667" spans="1:19" x14ac:dyDescent="0.2">
      <c r="A1667" t="s">
        <v>1362</v>
      </c>
      <c r="B1667" t="s">
        <v>14359</v>
      </c>
      <c r="C1667" t="s">
        <v>6365</v>
      </c>
      <c r="D1667" t="str">
        <f>_xlfn.XLOOKUP(E1667,pathways!$A$2:$A$31,pathways!$B$2:$B$31)</f>
        <v>Xenobiotics/other</v>
      </c>
      <c r="E1667" t="s">
        <v>3863</v>
      </c>
      <c r="F1667" t="s">
        <v>4373</v>
      </c>
      <c r="G1667" t="s">
        <v>6365</v>
      </c>
      <c r="H1667" t="s">
        <v>14360</v>
      </c>
      <c r="I1667" t="s">
        <v>6365</v>
      </c>
      <c r="J1667" s="4" t="s">
        <v>6365</v>
      </c>
      <c r="L1667" t="s">
        <v>1361</v>
      </c>
      <c r="M1667" t="s">
        <v>14642</v>
      </c>
      <c r="N1667" t="s">
        <v>3863</v>
      </c>
      <c r="O1667" t="s">
        <v>3863</v>
      </c>
      <c r="P1667" t="s">
        <v>4373</v>
      </c>
      <c r="Q1667" t="s">
        <v>4373</v>
      </c>
      <c r="R1667" t="s">
        <v>3863</v>
      </c>
      <c r="S1667" t="s">
        <v>18840</v>
      </c>
    </row>
    <row r="1668" spans="1:19" x14ac:dyDescent="0.2">
      <c r="A1668" t="s">
        <v>3054</v>
      </c>
      <c r="B1668" t="s">
        <v>14359</v>
      </c>
      <c r="C1668" t="s">
        <v>13105</v>
      </c>
      <c r="D1668" t="str">
        <f>_xlfn.XLOOKUP(E1668,pathways!$A$2:$A$31,pathways!$B$2:$B$31)</f>
        <v>Xenobiotics/other</v>
      </c>
      <c r="E1668" t="s">
        <v>3863</v>
      </c>
      <c r="F1668" t="s">
        <v>4373</v>
      </c>
      <c r="G1668" t="s">
        <v>14360</v>
      </c>
      <c r="H1668" t="s">
        <v>14360</v>
      </c>
      <c r="I1668" t="s">
        <v>14360</v>
      </c>
      <c r="J1668" s="4" t="s">
        <v>13105</v>
      </c>
      <c r="L1668" t="s">
        <v>3053</v>
      </c>
      <c r="M1668" t="s">
        <v>16412</v>
      </c>
      <c r="N1668" t="s">
        <v>14360</v>
      </c>
      <c r="O1668" t="s">
        <v>3863</v>
      </c>
      <c r="P1668" t="s">
        <v>14360</v>
      </c>
      <c r="Q1668" t="s">
        <v>4373</v>
      </c>
      <c r="R1668" t="s">
        <v>3863</v>
      </c>
      <c r="S1668" t="s">
        <v>18840</v>
      </c>
    </row>
    <row r="1669" spans="1:19" x14ac:dyDescent="0.2">
      <c r="A1669" t="s">
        <v>2250</v>
      </c>
      <c r="B1669" t="s">
        <v>14359</v>
      </c>
      <c r="C1669" t="s">
        <v>10046</v>
      </c>
      <c r="D1669" t="str">
        <f>_xlfn.XLOOKUP(E1669,pathways!$A$2:$A$31,pathways!$B$2:$B$31)</f>
        <v>Xenobiotics/other</v>
      </c>
      <c r="E1669" t="s">
        <v>3863</v>
      </c>
      <c r="F1669" t="s">
        <v>5632</v>
      </c>
      <c r="G1669" t="s">
        <v>14360</v>
      </c>
      <c r="H1669" t="s">
        <v>14360</v>
      </c>
      <c r="I1669" t="s">
        <v>10046</v>
      </c>
      <c r="J1669" s="4" t="s">
        <v>14360</v>
      </c>
      <c r="L1669" t="s">
        <v>2249</v>
      </c>
      <c r="M1669" t="s">
        <v>15546</v>
      </c>
      <c r="N1669" t="s">
        <v>3863</v>
      </c>
      <c r="O1669" t="s">
        <v>14360</v>
      </c>
      <c r="P1669" t="s">
        <v>5632</v>
      </c>
      <c r="Q1669" t="s">
        <v>14360</v>
      </c>
      <c r="R1669" t="s">
        <v>3863</v>
      </c>
      <c r="S1669" t="s">
        <v>14360</v>
      </c>
    </row>
    <row r="1670" spans="1:19" x14ac:dyDescent="0.2">
      <c r="A1670" t="s">
        <v>14034</v>
      </c>
      <c r="B1670" t="s">
        <v>14359</v>
      </c>
      <c r="C1670" t="s">
        <v>9858</v>
      </c>
      <c r="D1670" t="str">
        <f>_xlfn.XLOOKUP(E1670,pathways!$A$2:$A$31,pathways!$B$2:$B$31)</f>
        <v>Xenobiotics/other</v>
      </c>
      <c r="E1670" t="s">
        <v>3863</v>
      </c>
      <c r="F1670" t="s">
        <v>4933</v>
      </c>
      <c r="G1670" t="s">
        <v>14360</v>
      </c>
      <c r="H1670" t="s">
        <v>14360</v>
      </c>
      <c r="I1670" t="s">
        <v>9858</v>
      </c>
      <c r="J1670" s="4" t="s">
        <v>9858</v>
      </c>
      <c r="L1670" t="s">
        <v>14360</v>
      </c>
      <c r="M1670" t="s">
        <v>14360</v>
      </c>
      <c r="N1670" t="s">
        <v>3863</v>
      </c>
      <c r="O1670" t="s">
        <v>3863</v>
      </c>
      <c r="P1670" t="s">
        <v>4933</v>
      </c>
      <c r="Q1670" t="s">
        <v>4933</v>
      </c>
      <c r="R1670" t="s">
        <v>14360</v>
      </c>
      <c r="S1670" t="s">
        <v>18840</v>
      </c>
    </row>
    <row r="1671" spans="1:19" x14ac:dyDescent="0.2">
      <c r="A1671" t="s">
        <v>1825</v>
      </c>
      <c r="B1671" t="s">
        <v>14359</v>
      </c>
      <c r="C1671" t="s">
        <v>8559</v>
      </c>
      <c r="D1671" t="str">
        <f>_xlfn.XLOOKUP(E1671,pathways!$A$2:$A$31,pathways!$B$2:$B$31)</f>
        <v>Xenobiotics/other</v>
      </c>
      <c r="E1671" t="s">
        <v>3863</v>
      </c>
      <c r="F1671" t="s">
        <v>5632</v>
      </c>
      <c r="G1671" t="s">
        <v>14360</v>
      </c>
      <c r="H1671" t="s">
        <v>14360</v>
      </c>
      <c r="I1671" t="s">
        <v>8559</v>
      </c>
      <c r="J1671" s="4" t="s">
        <v>8559</v>
      </c>
      <c r="L1671" t="s">
        <v>1824</v>
      </c>
      <c r="M1671" t="s">
        <v>15125</v>
      </c>
      <c r="N1671" t="s">
        <v>3863</v>
      </c>
      <c r="O1671" t="s">
        <v>3863</v>
      </c>
      <c r="P1671" t="s">
        <v>5632</v>
      </c>
      <c r="Q1671" t="s">
        <v>5632</v>
      </c>
      <c r="R1671" t="s">
        <v>3863</v>
      </c>
      <c r="S1671" t="s">
        <v>18840</v>
      </c>
    </row>
    <row r="1672" spans="1:19" x14ac:dyDescent="0.2">
      <c r="A1672" t="s">
        <v>14039</v>
      </c>
      <c r="B1672" t="s">
        <v>14359</v>
      </c>
      <c r="C1672" t="s">
        <v>9884</v>
      </c>
      <c r="D1672" t="str">
        <f>_xlfn.XLOOKUP(E1672,pathways!$A$2:$A$31,pathways!$B$2:$B$31)</f>
        <v>Xenobiotics/other</v>
      </c>
      <c r="E1672" t="s">
        <v>3863</v>
      </c>
      <c r="F1672" t="s">
        <v>7216</v>
      </c>
      <c r="G1672" t="s">
        <v>14360</v>
      </c>
      <c r="H1672" t="s">
        <v>14360</v>
      </c>
      <c r="I1672" t="s">
        <v>9884</v>
      </c>
      <c r="J1672" s="4" t="s">
        <v>14360</v>
      </c>
      <c r="L1672" t="s">
        <v>14360</v>
      </c>
      <c r="M1672" t="s">
        <v>14360</v>
      </c>
      <c r="N1672" t="s">
        <v>3863</v>
      </c>
      <c r="O1672" t="s">
        <v>14360</v>
      </c>
      <c r="P1672" t="s">
        <v>7216</v>
      </c>
      <c r="Q1672" t="s">
        <v>14360</v>
      </c>
      <c r="R1672" t="s">
        <v>14360</v>
      </c>
      <c r="S1672" t="s">
        <v>18840</v>
      </c>
    </row>
    <row r="1673" spans="1:19" x14ac:dyDescent="0.2">
      <c r="A1673" t="s">
        <v>14038</v>
      </c>
      <c r="B1673" t="s">
        <v>14359</v>
      </c>
      <c r="C1673" t="s">
        <v>9878</v>
      </c>
      <c r="D1673" t="str">
        <f>_xlfn.XLOOKUP(E1673,pathways!$A$2:$A$31,pathways!$B$2:$B$31)</f>
        <v>Xenobiotics/other</v>
      </c>
      <c r="E1673" t="s">
        <v>3863</v>
      </c>
      <c r="F1673" t="s">
        <v>7216</v>
      </c>
      <c r="G1673" t="s">
        <v>14360</v>
      </c>
      <c r="H1673" t="s">
        <v>14360</v>
      </c>
      <c r="I1673" t="s">
        <v>9878</v>
      </c>
      <c r="J1673" s="4" t="s">
        <v>14360</v>
      </c>
      <c r="L1673" t="s">
        <v>14360</v>
      </c>
      <c r="M1673" t="s">
        <v>14360</v>
      </c>
      <c r="N1673" t="s">
        <v>3863</v>
      </c>
      <c r="O1673" t="s">
        <v>14360</v>
      </c>
      <c r="P1673" t="s">
        <v>7216</v>
      </c>
      <c r="Q1673" t="s">
        <v>14360</v>
      </c>
      <c r="R1673" t="s">
        <v>14360</v>
      </c>
      <c r="S1673" t="s">
        <v>18840</v>
      </c>
    </row>
    <row r="1674" spans="1:19" x14ac:dyDescent="0.2">
      <c r="A1674" t="s">
        <v>14320</v>
      </c>
      <c r="B1674" t="s">
        <v>14359</v>
      </c>
      <c r="C1674" t="s">
        <v>13112</v>
      </c>
      <c r="D1674" t="str">
        <f>_xlfn.XLOOKUP(E1674,pathways!$A$2:$A$31,pathways!$B$2:$B$31)</f>
        <v>Xenobiotics/other</v>
      </c>
      <c r="E1674" t="s">
        <v>3863</v>
      </c>
      <c r="F1674" t="s">
        <v>4373</v>
      </c>
      <c r="G1674" t="s">
        <v>13112</v>
      </c>
      <c r="H1674" t="s">
        <v>14360</v>
      </c>
      <c r="I1674" t="s">
        <v>14360</v>
      </c>
      <c r="J1674" s="4" t="s">
        <v>13112</v>
      </c>
      <c r="L1674" t="s">
        <v>14360</v>
      </c>
      <c r="M1674" t="s">
        <v>14360</v>
      </c>
      <c r="N1674" t="s">
        <v>14360</v>
      </c>
      <c r="O1674" t="s">
        <v>3863</v>
      </c>
      <c r="P1674" t="s">
        <v>14360</v>
      </c>
      <c r="Q1674" t="s">
        <v>4373</v>
      </c>
      <c r="R1674" t="s">
        <v>14360</v>
      </c>
      <c r="S1674" t="s">
        <v>18840</v>
      </c>
    </row>
    <row r="1675" spans="1:19" x14ac:dyDescent="0.2">
      <c r="A1675" t="s">
        <v>1351</v>
      </c>
      <c r="B1675" t="s">
        <v>14359</v>
      </c>
      <c r="C1675" t="s">
        <v>6325</v>
      </c>
      <c r="D1675" t="str">
        <f>_xlfn.XLOOKUP(E1675,pathways!$A$2:$A$31,pathways!$B$2:$B$31)</f>
        <v>Xenobiotics/other</v>
      </c>
      <c r="E1675" t="s">
        <v>3863</v>
      </c>
      <c r="F1675" t="s">
        <v>4373</v>
      </c>
      <c r="G1675" t="s">
        <v>14360</v>
      </c>
      <c r="H1675" t="s">
        <v>14360</v>
      </c>
      <c r="I1675" t="s">
        <v>6325</v>
      </c>
      <c r="J1675" s="4" t="s">
        <v>6325</v>
      </c>
      <c r="L1675" t="s">
        <v>1350</v>
      </c>
      <c r="M1675" t="s">
        <v>14630</v>
      </c>
      <c r="N1675" t="s">
        <v>3863</v>
      </c>
      <c r="O1675" t="s">
        <v>3863</v>
      </c>
      <c r="P1675" t="s">
        <v>4373</v>
      </c>
      <c r="Q1675" t="s">
        <v>4373</v>
      </c>
      <c r="R1675" t="s">
        <v>3863</v>
      </c>
      <c r="S1675" t="s">
        <v>18840</v>
      </c>
    </row>
    <row r="1676" spans="1:19" x14ac:dyDescent="0.2">
      <c r="A1676" t="s">
        <v>13950</v>
      </c>
      <c r="B1676" t="s">
        <v>14359</v>
      </c>
      <c r="C1676" t="s">
        <v>19907</v>
      </c>
      <c r="D1676" t="str">
        <f>_xlfn.XLOOKUP(E1676,pathways!$A$2:$A$31,pathways!$B$2:$B$31)</f>
        <v>Xenobiotics/other</v>
      </c>
      <c r="E1676" t="s">
        <v>3863</v>
      </c>
      <c r="F1676" t="s">
        <v>3864</v>
      </c>
      <c r="G1676" t="s">
        <v>14360</v>
      </c>
      <c r="H1676" t="s">
        <v>14360</v>
      </c>
      <c r="I1676" t="s">
        <v>8523</v>
      </c>
      <c r="J1676" s="4" t="s">
        <v>8523</v>
      </c>
      <c r="L1676" t="s">
        <v>14360</v>
      </c>
      <c r="M1676" t="s">
        <v>14360</v>
      </c>
      <c r="N1676" t="s">
        <v>3863</v>
      </c>
      <c r="O1676" t="s">
        <v>3863</v>
      </c>
      <c r="P1676" t="s">
        <v>3864</v>
      </c>
      <c r="Q1676" t="s">
        <v>3864</v>
      </c>
      <c r="R1676" t="s">
        <v>14360</v>
      </c>
      <c r="S1676" t="s">
        <v>14360</v>
      </c>
    </row>
    <row r="1677" spans="1:19" x14ac:dyDescent="0.2">
      <c r="A1677" t="s">
        <v>1668</v>
      </c>
      <c r="B1677" t="s">
        <v>14359</v>
      </c>
      <c r="C1677" t="s">
        <v>19363</v>
      </c>
      <c r="D1677" t="str">
        <f>_xlfn.XLOOKUP(E1677,pathways!$A$2:$A$31,pathways!$B$2:$B$31)</f>
        <v>Xenobiotics/other</v>
      </c>
      <c r="E1677" t="s">
        <v>3863</v>
      </c>
      <c r="F1677" t="s">
        <v>3864</v>
      </c>
      <c r="G1677" t="s">
        <v>14360</v>
      </c>
      <c r="H1677" t="s">
        <v>14360</v>
      </c>
      <c r="I1677" t="s">
        <v>7932</v>
      </c>
      <c r="J1677" s="4" t="s">
        <v>14360</v>
      </c>
      <c r="L1677" t="s">
        <v>1667</v>
      </c>
      <c r="M1677" t="s">
        <v>14959</v>
      </c>
      <c r="N1677" t="s">
        <v>3863</v>
      </c>
      <c r="O1677" t="s">
        <v>14360</v>
      </c>
      <c r="P1677" t="s">
        <v>3864</v>
      </c>
      <c r="Q1677" t="s">
        <v>14360</v>
      </c>
      <c r="R1677" t="s">
        <v>3863</v>
      </c>
      <c r="S1677" t="s">
        <v>18840</v>
      </c>
    </row>
    <row r="1678" spans="1:19" x14ac:dyDescent="0.2">
      <c r="A1678" t="s">
        <v>13937</v>
      </c>
      <c r="B1678" t="s">
        <v>14359</v>
      </c>
      <c r="C1678" t="s">
        <v>19910</v>
      </c>
      <c r="D1678" t="str">
        <f>_xlfn.XLOOKUP(E1678,pathways!$A$2:$A$31,pathways!$B$2:$B$31)</f>
        <v>Xenobiotics/other</v>
      </c>
      <c r="E1678" t="s">
        <v>3863</v>
      </c>
      <c r="F1678" t="s">
        <v>6220</v>
      </c>
      <c r="G1678" t="s">
        <v>14360</v>
      </c>
      <c r="H1678" t="s">
        <v>14360</v>
      </c>
      <c r="I1678" t="s">
        <v>8223</v>
      </c>
      <c r="J1678" s="4" t="s">
        <v>8223</v>
      </c>
      <c r="L1678" t="s">
        <v>14360</v>
      </c>
      <c r="M1678" t="s">
        <v>14360</v>
      </c>
      <c r="N1678" t="s">
        <v>3863</v>
      </c>
      <c r="O1678" t="s">
        <v>3863</v>
      </c>
      <c r="P1678" t="s">
        <v>6220</v>
      </c>
      <c r="Q1678" t="s">
        <v>6220</v>
      </c>
      <c r="R1678" t="s">
        <v>14360</v>
      </c>
      <c r="S1678" t="s">
        <v>18840</v>
      </c>
    </row>
    <row r="1679" spans="1:19" x14ac:dyDescent="0.2">
      <c r="A1679" t="s">
        <v>13886</v>
      </c>
      <c r="B1679" t="s">
        <v>14359</v>
      </c>
      <c r="C1679" t="s">
        <v>19911</v>
      </c>
      <c r="D1679" t="str">
        <f>_xlfn.XLOOKUP(E1679,pathways!$A$2:$A$31,pathways!$B$2:$B$31)</f>
        <v>Xenobiotics/other</v>
      </c>
      <c r="E1679" t="s">
        <v>3863</v>
      </c>
      <c r="F1679" t="s">
        <v>6220</v>
      </c>
      <c r="G1679" t="s">
        <v>14360</v>
      </c>
      <c r="H1679" t="s">
        <v>14360</v>
      </c>
      <c r="I1679" t="s">
        <v>7496</v>
      </c>
      <c r="J1679" s="4" t="s">
        <v>7496</v>
      </c>
      <c r="L1679" t="s">
        <v>14360</v>
      </c>
      <c r="M1679" t="s">
        <v>14360</v>
      </c>
      <c r="N1679" t="s">
        <v>3863</v>
      </c>
      <c r="O1679" t="s">
        <v>3863</v>
      </c>
      <c r="P1679" t="s">
        <v>6220</v>
      </c>
      <c r="Q1679" t="s">
        <v>6220</v>
      </c>
      <c r="R1679" t="s">
        <v>14360</v>
      </c>
      <c r="S1679" t="s">
        <v>18840</v>
      </c>
    </row>
    <row r="1680" spans="1:19" x14ac:dyDescent="0.2">
      <c r="A1680" t="s">
        <v>13967</v>
      </c>
      <c r="B1680" t="s">
        <v>14359</v>
      </c>
      <c r="C1680" t="s">
        <v>19912</v>
      </c>
      <c r="D1680" t="str">
        <f>_xlfn.XLOOKUP(E1680,pathways!$A$2:$A$31,pathways!$B$2:$B$31)</f>
        <v>Xenobiotics/other</v>
      </c>
      <c r="E1680" t="s">
        <v>3863</v>
      </c>
      <c r="F1680" t="s">
        <v>7477</v>
      </c>
      <c r="G1680" t="s">
        <v>14360</v>
      </c>
      <c r="H1680" t="s">
        <v>14360</v>
      </c>
      <c r="I1680" t="s">
        <v>8890</v>
      </c>
      <c r="J1680" s="4" t="s">
        <v>8890</v>
      </c>
      <c r="L1680" t="s">
        <v>14360</v>
      </c>
      <c r="M1680" t="s">
        <v>14360</v>
      </c>
      <c r="N1680" t="s">
        <v>3863</v>
      </c>
      <c r="O1680" t="s">
        <v>3863</v>
      </c>
      <c r="P1680" t="s">
        <v>7477</v>
      </c>
      <c r="Q1680" t="s">
        <v>7477</v>
      </c>
      <c r="R1680" t="s">
        <v>14360</v>
      </c>
      <c r="S1680" t="s">
        <v>18840</v>
      </c>
    </row>
    <row r="1681" spans="1:19" x14ac:dyDescent="0.2">
      <c r="A1681" t="s">
        <v>14064</v>
      </c>
      <c r="B1681" t="s">
        <v>14359</v>
      </c>
      <c r="C1681" t="s">
        <v>19915</v>
      </c>
      <c r="D1681" t="str">
        <f>_xlfn.XLOOKUP(E1681,pathways!$A$2:$A$31,pathways!$B$2:$B$31)</f>
        <v>Xenobiotics/other</v>
      </c>
      <c r="E1681" t="s">
        <v>3863</v>
      </c>
      <c r="F1681" t="s">
        <v>10004</v>
      </c>
      <c r="G1681" t="s">
        <v>14360</v>
      </c>
      <c r="H1681" t="s">
        <v>14360</v>
      </c>
      <c r="I1681" t="s">
        <v>10023</v>
      </c>
      <c r="J1681" s="4" t="s">
        <v>14360</v>
      </c>
      <c r="L1681" t="s">
        <v>14360</v>
      </c>
      <c r="M1681" t="s">
        <v>14360</v>
      </c>
      <c r="N1681" t="s">
        <v>3863</v>
      </c>
      <c r="O1681" t="s">
        <v>14360</v>
      </c>
      <c r="P1681" t="s">
        <v>10004</v>
      </c>
      <c r="Q1681" t="s">
        <v>14360</v>
      </c>
      <c r="R1681" t="s">
        <v>14360</v>
      </c>
      <c r="S1681" t="s">
        <v>18840</v>
      </c>
    </row>
    <row r="1682" spans="1:19" x14ac:dyDescent="0.2">
      <c r="A1682" t="s">
        <v>13891</v>
      </c>
      <c r="B1682" t="s">
        <v>14359</v>
      </c>
      <c r="C1682" t="s">
        <v>19916</v>
      </c>
      <c r="D1682" t="str">
        <f>_xlfn.XLOOKUP(E1682,pathways!$A$2:$A$31,pathways!$B$2:$B$31)</f>
        <v>Xenobiotics/other</v>
      </c>
      <c r="E1682" t="s">
        <v>3863</v>
      </c>
      <c r="F1682" t="s">
        <v>7216</v>
      </c>
      <c r="G1682" t="s">
        <v>14360</v>
      </c>
      <c r="H1682" t="s">
        <v>14360</v>
      </c>
      <c r="I1682" t="s">
        <v>7601</v>
      </c>
      <c r="J1682" s="4" t="s">
        <v>7601</v>
      </c>
      <c r="L1682" t="s">
        <v>14360</v>
      </c>
      <c r="M1682" t="s">
        <v>14360</v>
      </c>
      <c r="N1682" t="s">
        <v>3863</v>
      </c>
      <c r="O1682" t="s">
        <v>3863</v>
      </c>
      <c r="P1682" t="s">
        <v>7216</v>
      </c>
      <c r="Q1682" t="s">
        <v>7216</v>
      </c>
      <c r="R1682" t="s">
        <v>14360</v>
      </c>
      <c r="S1682" t="s">
        <v>14360</v>
      </c>
    </row>
    <row r="1683" spans="1:19" x14ac:dyDescent="0.2">
      <c r="A1683" t="s">
        <v>14321</v>
      </c>
      <c r="B1683" t="s">
        <v>14359</v>
      </c>
      <c r="C1683" t="s">
        <v>19917</v>
      </c>
      <c r="D1683" t="str">
        <f>_xlfn.XLOOKUP(E1683,pathways!$A$2:$A$31,pathways!$B$2:$B$31)</f>
        <v>Xenobiotics/other</v>
      </c>
      <c r="E1683" t="s">
        <v>3863</v>
      </c>
      <c r="F1683" t="s">
        <v>6220</v>
      </c>
      <c r="G1683" t="s">
        <v>14360</v>
      </c>
      <c r="H1683" t="s">
        <v>14360</v>
      </c>
      <c r="I1683" t="s">
        <v>14360</v>
      </c>
      <c r="J1683" s="4" t="s">
        <v>13128</v>
      </c>
      <c r="L1683" t="s">
        <v>14360</v>
      </c>
      <c r="M1683" t="s">
        <v>14360</v>
      </c>
      <c r="N1683" t="s">
        <v>14360</v>
      </c>
      <c r="O1683" t="s">
        <v>3863</v>
      </c>
      <c r="P1683" t="s">
        <v>14360</v>
      </c>
      <c r="Q1683" t="s">
        <v>6220</v>
      </c>
      <c r="R1683" t="s">
        <v>14360</v>
      </c>
      <c r="S1683" t="s">
        <v>14360</v>
      </c>
    </row>
    <row r="1684" spans="1:19" x14ac:dyDescent="0.2">
      <c r="A1684" t="s">
        <v>13991</v>
      </c>
      <c r="B1684" t="s">
        <v>14359</v>
      </c>
      <c r="C1684" t="s">
        <v>19919</v>
      </c>
      <c r="D1684" t="str">
        <f>_xlfn.XLOOKUP(E1684,pathways!$A$2:$A$31,pathways!$B$2:$B$31)</f>
        <v>Xenobiotics/other</v>
      </c>
      <c r="E1684" t="s">
        <v>3863</v>
      </c>
      <c r="F1684" t="s">
        <v>4959</v>
      </c>
      <c r="G1684" t="s">
        <v>14360</v>
      </c>
      <c r="H1684" t="s">
        <v>14360</v>
      </c>
      <c r="I1684" t="s">
        <v>9394</v>
      </c>
      <c r="J1684" s="4" t="s">
        <v>14360</v>
      </c>
      <c r="L1684" t="s">
        <v>14360</v>
      </c>
      <c r="M1684" t="s">
        <v>14360</v>
      </c>
      <c r="N1684" t="s">
        <v>3863</v>
      </c>
      <c r="O1684" t="s">
        <v>14360</v>
      </c>
      <c r="P1684" t="s">
        <v>4959</v>
      </c>
      <c r="Q1684" t="s">
        <v>14360</v>
      </c>
      <c r="R1684" t="s">
        <v>14360</v>
      </c>
      <c r="S1684" t="s">
        <v>18840</v>
      </c>
    </row>
    <row r="1685" spans="1:19" x14ac:dyDescent="0.2">
      <c r="A1685" t="s">
        <v>14322</v>
      </c>
      <c r="B1685" t="s">
        <v>14359</v>
      </c>
      <c r="C1685" t="s">
        <v>19920</v>
      </c>
      <c r="D1685" t="str">
        <f>_xlfn.XLOOKUP(E1685,pathways!$A$2:$A$31,pathways!$B$2:$B$31)</f>
        <v>Xenobiotics/other</v>
      </c>
      <c r="E1685" t="s">
        <v>3863</v>
      </c>
      <c r="F1685" t="s">
        <v>7216</v>
      </c>
      <c r="G1685" t="s">
        <v>14360</v>
      </c>
      <c r="H1685" t="s">
        <v>14360</v>
      </c>
      <c r="I1685" t="s">
        <v>14360</v>
      </c>
      <c r="J1685" s="4" t="s">
        <v>13133</v>
      </c>
      <c r="L1685" t="s">
        <v>14360</v>
      </c>
      <c r="M1685" t="s">
        <v>14360</v>
      </c>
      <c r="N1685" t="s">
        <v>14360</v>
      </c>
      <c r="O1685" t="s">
        <v>3863</v>
      </c>
      <c r="P1685" t="s">
        <v>14360</v>
      </c>
      <c r="Q1685" t="s">
        <v>7216</v>
      </c>
      <c r="R1685" t="s">
        <v>14360</v>
      </c>
      <c r="S1685" t="s">
        <v>14360</v>
      </c>
    </row>
    <row r="1686" spans="1:19" x14ac:dyDescent="0.2">
      <c r="A1686" t="s">
        <v>1098</v>
      </c>
      <c r="B1686" t="s">
        <v>14359</v>
      </c>
      <c r="C1686" t="s">
        <v>19173</v>
      </c>
      <c r="D1686" t="str">
        <f>_xlfn.XLOOKUP(E1686,pathways!$A$2:$A$31,pathways!$B$2:$B$31)</f>
        <v>Xenobiotics/other</v>
      </c>
      <c r="E1686" t="s">
        <v>3863</v>
      </c>
      <c r="F1686" t="s">
        <v>5082</v>
      </c>
      <c r="G1686" t="s">
        <v>14360</v>
      </c>
      <c r="H1686" t="s">
        <v>14360</v>
      </c>
      <c r="I1686" t="s">
        <v>5145</v>
      </c>
      <c r="J1686" s="4" t="s">
        <v>5145</v>
      </c>
      <c r="L1686" t="s">
        <v>1097</v>
      </c>
      <c r="M1686" t="s">
        <v>14366</v>
      </c>
      <c r="N1686" t="s">
        <v>3863</v>
      </c>
      <c r="O1686" t="s">
        <v>3863</v>
      </c>
      <c r="P1686" t="s">
        <v>5082</v>
      </c>
      <c r="Q1686" t="s">
        <v>5082</v>
      </c>
      <c r="R1686" t="s">
        <v>3863</v>
      </c>
      <c r="S1686" t="s">
        <v>18840</v>
      </c>
    </row>
    <row r="1687" spans="1:19" x14ac:dyDescent="0.2">
      <c r="A1687" t="s">
        <v>14323</v>
      </c>
      <c r="B1687" t="s">
        <v>14359</v>
      </c>
      <c r="C1687" t="s">
        <v>19921</v>
      </c>
      <c r="D1687" t="str">
        <f>_xlfn.XLOOKUP(E1687,pathways!$A$2:$A$31,pathways!$B$2:$B$31)</f>
        <v>Xenobiotics/other</v>
      </c>
      <c r="E1687" t="s">
        <v>3863</v>
      </c>
      <c r="F1687" t="s">
        <v>3864</v>
      </c>
      <c r="G1687" t="s">
        <v>14360</v>
      </c>
      <c r="H1687" t="s">
        <v>14360</v>
      </c>
      <c r="I1687" t="s">
        <v>14360</v>
      </c>
      <c r="J1687" s="4" t="s">
        <v>13139</v>
      </c>
      <c r="L1687" t="s">
        <v>14360</v>
      </c>
      <c r="M1687" t="s">
        <v>14360</v>
      </c>
      <c r="N1687" t="s">
        <v>14360</v>
      </c>
      <c r="O1687" t="s">
        <v>3863</v>
      </c>
      <c r="P1687" t="s">
        <v>14360</v>
      </c>
      <c r="Q1687" t="s">
        <v>3864</v>
      </c>
      <c r="R1687" t="s">
        <v>14360</v>
      </c>
      <c r="S1687" t="s">
        <v>14360</v>
      </c>
    </row>
    <row r="1688" spans="1:19" x14ac:dyDescent="0.2">
      <c r="A1688" t="s">
        <v>14324</v>
      </c>
      <c r="B1688" t="s">
        <v>14359</v>
      </c>
      <c r="C1688" t="s">
        <v>20099</v>
      </c>
      <c r="D1688" t="str">
        <f>_xlfn.XLOOKUP(E1688,pathways!$A$2:$A$31,pathways!$B$2:$B$31)</f>
        <v>Xenobiotics/other</v>
      </c>
      <c r="E1688" t="s">
        <v>3863</v>
      </c>
      <c r="F1688" t="s">
        <v>5632</v>
      </c>
      <c r="G1688" t="s">
        <v>14360</v>
      </c>
      <c r="H1688" t="s">
        <v>14360</v>
      </c>
      <c r="I1688" t="s">
        <v>14360</v>
      </c>
      <c r="J1688" s="4" t="s">
        <v>13144</v>
      </c>
      <c r="L1688" t="s">
        <v>14360</v>
      </c>
      <c r="M1688" t="s">
        <v>14360</v>
      </c>
      <c r="N1688" t="s">
        <v>14360</v>
      </c>
      <c r="O1688" t="s">
        <v>3863</v>
      </c>
      <c r="P1688" t="s">
        <v>14360</v>
      </c>
      <c r="Q1688" t="s">
        <v>5632</v>
      </c>
      <c r="R1688" t="s">
        <v>14360</v>
      </c>
      <c r="S1688" t="s">
        <v>14360</v>
      </c>
    </row>
    <row r="1689" spans="1:19" x14ac:dyDescent="0.2">
      <c r="A1689" t="s">
        <v>2001</v>
      </c>
      <c r="B1689" t="s">
        <v>14359</v>
      </c>
      <c r="C1689" t="s">
        <v>19482</v>
      </c>
      <c r="D1689" t="str">
        <f>_xlfn.XLOOKUP(E1689,pathways!$A$2:$A$31,pathways!$B$2:$B$31)</f>
        <v>Xenobiotics/other</v>
      </c>
      <c r="E1689" t="s">
        <v>3863</v>
      </c>
      <c r="F1689" t="s">
        <v>3864</v>
      </c>
      <c r="G1689" t="s">
        <v>14360</v>
      </c>
      <c r="H1689" t="s">
        <v>14360</v>
      </c>
      <c r="I1689" t="s">
        <v>9205</v>
      </c>
      <c r="J1689" s="4" t="s">
        <v>9205</v>
      </c>
      <c r="L1689" t="s">
        <v>2000</v>
      </c>
      <c r="M1689" t="s">
        <v>15302</v>
      </c>
      <c r="N1689" t="s">
        <v>3863</v>
      </c>
      <c r="O1689" t="s">
        <v>3863</v>
      </c>
      <c r="P1689" t="s">
        <v>3864</v>
      </c>
      <c r="Q1689" t="s">
        <v>4373</v>
      </c>
      <c r="R1689" t="s">
        <v>3863</v>
      </c>
      <c r="S1689" t="s">
        <v>18840</v>
      </c>
    </row>
    <row r="1690" spans="1:19" x14ac:dyDescent="0.2">
      <c r="A1690" t="s">
        <v>2616</v>
      </c>
      <c r="B1690" t="s">
        <v>14359</v>
      </c>
      <c r="C1690" t="s">
        <v>19721</v>
      </c>
      <c r="D1690" t="str">
        <f>_xlfn.XLOOKUP(E1690,pathways!$A$2:$A$31,pathways!$B$2:$B$31)</f>
        <v>Xenobiotics/other</v>
      </c>
      <c r="E1690" t="s">
        <v>3863</v>
      </c>
      <c r="F1690" t="s">
        <v>4373</v>
      </c>
      <c r="G1690" t="s">
        <v>14360</v>
      </c>
      <c r="H1690" t="s">
        <v>14360</v>
      </c>
      <c r="I1690" t="s">
        <v>4376</v>
      </c>
      <c r="J1690" s="4" t="s">
        <v>4376</v>
      </c>
      <c r="L1690" t="s">
        <v>2615</v>
      </c>
      <c r="M1690" t="s">
        <v>15949</v>
      </c>
      <c r="N1690" t="s">
        <v>3863</v>
      </c>
      <c r="O1690" t="s">
        <v>3863</v>
      </c>
      <c r="P1690" t="s">
        <v>4373</v>
      </c>
      <c r="Q1690" t="s">
        <v>4373</v>
      </c>
      <c r="R1690" t="s">
        <v>3863</v>
      </c>
      <c r="S1690" t="s">
        <v>14360</v>
      </c>
    </row>
    <row r="1691" spans="1:19" x14ac:dyDescent="0.2">
      <c r="A1691" t="s">
        <v>13949</v>
      </c>
      <c r="B1691" t="s">
        <v>14359</v>
      </c>
      <c r="C1691" t="s">
        <v>19924</v>
      </c>
      <c r="D1691" t="str">
        <f>_xlfn.XLOOKUP(E1691,pathways!$A$2:$A$31,pathways!$B$2:$B$31)</f>
        <v>Xenobiotics/other</v>
      </c>
      <c r="E1691" t="s">
        <v>3863</v>
      </c>
      <c r="F1691" t="s">
        <v>7216</v>
      </c>
      <c r="G1691" t="s">
        <v>14360</v>
      </c>
      <c r="H1691" t="s">
        <v>14360</v>
      </c>
      <c r="I1691" t="s">
        <v>8502</v>
      </c>
      <c r="J1691" s="4" t="s">
        <v>8502</v>
      </c>
      <c r="L1691" t="s">
        <v>14360</v>
      </c>
      <c r="M1691" t="s">
        <v>14360</v>
      </c>
      <c r="N1691" t="s">
        <v>3863</v>
      </c>
      <c r="O1691" t="s">
        <v>3863</v>
      </c>
      <c r="P1691" t="s">
        <v>7216</v>
      </c>
      <c r="Q1691" t="s">
        <v>7216</v>
      </c>
      <c r="R1691" t="s">
        <v>14360</v>
      </c>
      <c r="S1691" t="s">
        <v>14360</v>
      </c>
    </row>
    <row r="1692" spans="1:19" x14ac:dyDescent="0.2">
      <c r="A1692" t="s">
        <v>14325</v>
      </c>
      <c r="B1692" t="s">
        <v>14359</v>
      </c>
      <c r="C1692" t="s">
        <v>19925</v>
      </c>
      <c r="D1692" t="str">
        <f>_xlfn.XLOOKUP(E1692,pathways!$A$2:$A$31,pathways!$B$2:$B$31)</f>
        <v>Xenobiotics/other</v>
      </c>
      <c r="E1692" t="s">
        <v>3863</v>
      </c>
      <c r="F1692" t="s">
        <v>4959</v>
      </c>
      <c r="G1692" t="s">
        <v>14360</v>
      </c>
      <c r="H1692" t="s">
        <v>14360</v>
      </c>
      <c r="I1692" t="s">
        <v>14360</v>
      </c>
      <c r="J1692" s="4" t="s">
        <v>13156</v>
      </c>
      <c r="L1692" t="s">
        <v>14360</v>
      </c>
      <c r="M1692" t="s">
        <v>14360</v>
      </c>
      <c r="N1692" t="s">
        <v>14360</v>
      </c>
      <c r="O1692" t="s">
        <v>3863</v>
      </c>
      <c r="P1692" t="s">
        <v>14360</v>
      </c>
      <c r="Q1692" t="s">
        <v>4959</v>
      </c>
      <c r="R1692" t="s">
        <v>14360</v>
      </c>
      <c r="S1692" t="s">
        <v>18840</v>
      </c>
    </row>
    <row r="1693" spans="1:19" x14ac:dyDescent="0.2">
      <c r="A1693" t="s">
        <v>13878</v>
      </c>
      <c r="B1693" t="s">
        <v>14359</v>
      </c>
      <c r="C1693" t="s">
        <v>19926</v>
      </c>
      <c r="D1693" t="str">
        <f>_xlfn.XLOOKUP(E1693,pathways!$A$2:$A$31,pathways!$B$2:$B$31)</f>
        <v>Xenobiotics/other</v>
      </c>
      <c r="E1693" t="s">
        <v>3863</v>
      </c>
      <c r="F1693" t="s">
        <v>4959</v>
      </c>
      <c r="G1693" t="s">
        <v>14360</v>
      </c>
      <c r="H1693" t="s">
        <v>14360</v>
      </c>
      <c r="I1693" t="s">
        <v>7408</v>
      </c>
      <c r="J1693" s="4" t="s">
        <v>13161</v>
      </c>
      <c r="L1693" t="s">
        <v>14360</v>
      </c>
      <c r="M1693" t="s">
        <v>14360</v>
      </c>
      <c r="N1693" t="s">
        <v>3863</v>
      </c>
      <c r="O1693" t="s">
        <v>3863</v>
      </c>
      <c r="P1693" t="s">
        <v>4959</v>
      </c>
      <c r="Q1693" t="s">
        <v>4959</v>
      </c>
      <c r="R1693" t="s">
        <v>14360</v>
      </c>
      <c r="S1693" t="s">
        <v>18840</v>
      </c>
    </row>
    <row r="1694" spans="1:19" x14ac:dyDescent="0.2">
      <c r="A1694" t="s">
        <v>13879</v>
      </c>
      <c r="B1694" t="s">
        <v>14359</v>
      </c>
      <c r="C1694" t="s">
        <v>19927</v>
      </c>
      <c r="D1694" t="str">
        <f>_xlfn.XLOOKUP(E1694,pathways!$A$2:$A$31,pathways!$B$2:$B$31)</f>
        <v>Xenobiotics/other</v>
      </c>
      <c r="E1694" t="s">
        <v>3863</v>
      </c>
      <c r="F1694" t="s">
        <v>4959</v>
      </c>
      <c r="G1694" t="s">
        <v>14360</v>
      </c>
      <c r="H1694" t="s">
        <v>14360</v>
      </c>
      <c r="I1694" t="s">
        <v>7416</v>
      </c>
      <c r="J1694" s="4" t="s">
        <v>7416</v>
      </c>
      <c r="L1694" t="s">
        <v>14360</v>
      </c>
      <c r="M1694" t="s">
        <v>14360</v>
      </c>
      <c r="N1694" t="s">
        <v>3863</v>
      </c>
      <c r="O1694" t="s">
        <v>3863</v>
      </c>
      <c r="P1694" t="s">
        <v>4959</v>
      </c>
      <c r="Q1694" t="s">
        <v>4959</v>
      </c>
      <c r="R1694" t="s">
        <v>14360</v>
      </c>
      <c r="S1694" t="s">
        <v>18840</v>
      </c>
    </row>
    <row r="1695" spans="1:19" x14ac:dyDescent="0.2">
      <c r="A1695" t="s">
        <v>13927</v>
      </c>
      <c r="B1695" t="s">
        <v>14359</v>
      </c>
      <c r="C1695" t="s">
        <v>19928</v>
      </c>
      <c r="D1695" t="str">
        <f>_xlfn.XLOOKUP(E1695,pathways!$A$2:$A$31,pathways!$B$2:$B$31)</f>
        <v>Xenobiotics/other</v>
      </c>
      <c r="E1695" t="s">
        <v>3863</v>
      </c>
      <c r="F1695" t="s">
        <v>4942</v>
      </c>
      <c r="G1695" t="s">
        <v>14360</v>
      </c>
      <c r="H1695" t="s">
        <v>14360</v>
      </c>
      <c r="I1695" t="s">
        <v>8089</v>
      </c>
      <c r="J1695" s="4" t="s">
        <v>8089</v>
      </c>
      <c r="L1695" t="s">
        <v>14360</v>
      </c>
      <c r="M1695" t="s">
        <v>14360</v>
      </c>
      <c r="N1695" t="s">
        <v>3863</v>
      </c>
      <c r="O1695" t="s">
        <v>3863</v>
      </c>
      <c r="P1695" t="s">
        <v>4942</v>
      </c>
      <c r="Q1695" t="s">
        <v>4942</v>
      </c>
      <c r="R1695" t="s">
        <v>14360</v>
      </c>
      <c r="S1695" t="s">
        <v>18840</v>
      </c>
    </row>
    <row r="1696" spans="1:19" x14ac:dyDescent="0.2">
      <c r="A1696" t="s">
        <v>14326</v>
      </c>
      <c r="B1696" t="s">
        <v>14359</v>
      </c>
      <c r="C1696" t="s">
        <v>19929</v>
      </c>
      <c r="D1696" t="str">
        <f>_xlfn.XLOOKUP(E1696,pathways!$A$2:$A$31,pathways!$B$2:$B$31)</f>
        <v>Xenobiotics/other</v>
      </c>
      <c r="E1696" t="s">
        <v>3863</v>
      </c>
      <c r="F1696" t="s">
        <v>4942</v>
      </c>
      <c r="G1696" t="s">
        <v>14360</v>
      </c>
      <c r="H1696" t="s">
        <v>14360</v>
      </c>
      <c r="I1696" t="s">
        <v>14360</v>
      </c>
      <c r="J1696" s="4" t="s">
        <v>13167</v>
      </c>
      <c r="L1696" t="s">
        <v>14360</v>
      </c>
      <c r="M1696" t="s">
        <v>14360</v>
      </c>
      <c r="N1696" t="s">
        <v>14360</v>
      </c>
      <c r="O1696" t="s">
        <v>3863</v>
      </c>
      <c r="P1696" t="s">
        <v>14360</v>
      </c>
      <c r="Q1696" t="s">
        <v>4942</v>
      </c>
      <c r="R1696" t="s">
        <v>14360</v>
      </c>
      <c r="S1696" t="s">
        <v>18840</v>
      </c>
    </row>
    <row r="1697" spans="1:19" x14ac:dyDescent="0.2">
      <c r="A1697" t="s">
        <v>1443</v>
      </c>
      <c r="B1697" t="s">
        <v>14359</v>
      </c>
      <c r="C1697" t="s">
        <v>19292</v>
      </c>
      <c r="D1697" t="str">
        <f>_xlfn.XLOOKUP(E1697,pathways!$A$2:$A$31,pathways!$B$2:$B$31)</f>
        <v>Xenobiotics/other</v>
      </c>
      <c r="E1697" t="s">
        <v>3863</v>
      </c>
      <c r="F1697" t="s">
        <v>5082</v>
      </c>
      <c r="G1697" t="s">
        <v>14360</v>
      </c>
      <c r="H1697" t="s">
        <v>14360</v>
      </c>
      <c r="I1697" t="s">
        <v>6712</v>
      </c>
      <c r="J1697" s="4" t="s">
        <v>6712</v>
      </c>
      <c r="L1697" t="s">
        <v>1442</v>
      </c>
      <c r="M1697" t="s">
        <v>14728</v>
      </c>
      <c r="N1697" t="s">
        <v>3863</v>
      </c>
      <c r="O1697" t="s">
        <v>3863</v>
      </c>
      <c r="P1697" t="s">
        <v>5082</v>
      </c>
      <c r="Q1697" t="s">
        <v>5082</v>
      </c>
      <c r="R1697" t="s">
        <v>3863</v>
      </c>
      <c r="S1697" t="s">
        <v>14360</v>
      </c>
    </row>
    <row r="1698" spans="1:19" x14ac:dyDescent="0.2">
      <c r="A1698" t="s">
        <v>14327</v>
      </c>
      <c r="B1698" t="s">
        <v>14359</v>
      </c>
      <c r="C1698" t="s">
        <v>19930</v>
      </c>
      <c r="D1698" t="str">
        <f>_xlfn.XLOOKUP(E1698,pathways!$A$2:$A$31,pathways!$B$2:$B$31)</f>
        <v>Xenobiotics/other</v>
      </c>
      <c r="E1698" t="s">
        <v>3863</v>
      </c>
      <c r="F1698" t="s">
        <v>4942</v>
      </c>
      <c r="G1698" t="s">
        <v>14360</v>
      </c>
      <c r="H1698" t="s">
        <v>14360</v>
      </c>
      <c r="I1698" t="s">
        <v>14360</v>
      </c>
      <c r="J1698" s="4" t="s">
        <v>13171</v>
      </c>
      <c r="L1698" t="s">
        <v>14360</v>
      </c>
      <c r="M1698" t="s">
        <v>14360</v>
      </c>
      <c r="N1698" t="s">
        <v>14360</v>
      </c>
      <c r="O1698" t="s">
        <v>3863</v>
      </c>
      <c r="P1698" t="s">
        <v>14360</v>
      </c>
      <c r="Q1698" t="s">
        <v>4942</v>
      </c>
      <c r="R1698" t="s">
        <v>14360</v>
      </c>
      <c r="S1698" t="s">
        <v>18840</v>
      </c>
    </row>
    <row r="1699" spans="1:19" x14ac:dyDescent="0.2">
      <c r="A1699" t="s">
        <v>13970</v>
      </c>
      <c r="B1699" t="s">
        <v>14359</v>
      </c>
      <c r="C1699" t="s">
        <v>19934</v>
      </c>
      <c r="D1699" t="str">
        <f>_xlfn.XLOOKUP(E1699,pathways!$A$2:$A$31,pathways!$B$2:$B$31)</f>
        <v>Xenobiotics/other</v>
      </c>
      <c r="E1699" t="s">
        <v>3863</v>
      </c>
      <c r="F1699" t="s">
        <v>9034</v>
      </c>
      <c r="G1699" t="s">
        <v>14360</v>
      </c>
      <c r="H1699" t="s">
        <v>14360</v>
      </c>
      <c r="I1699" t="s">
        <v>9037</v>
      </c>
      <c r="J1699" s="4" t="s">
        <v>9037</v>
      </c>
      <c r="L1699" t="s">
        <v>14360</v>
      </c>
      <c r="M1699" t="s">
        <v>14360</v>
      </c>
      <c r="N1699" t="s">
        <v>3863</v>
      </c>
      <c r="O1699" t="s">
        <v>3863</v>
      </c>
      <c r="P1699" t="s">
        <v>9034</v>
      </c>
      <c r="Q1699" t="s">
        <v>9034</v>
      </c>
      <c r="R1699" t="s">
        <v>14360</v>
      </c>
      <c r="S1699" t="s">
        <v>18840</v>
      </c>
    </row>
    <row r="1700" spans="1:19" x14ac:dyDescent="0.2">
      <c r="A1700" t="s">
        <v>1610</v>
      </c>
      <c r="B1700" t="s">
        <v>14359</v>
      </c>
      <c r="C1700" t="s">
        <v>19341</v>
      </c>
      <c r="D1700" t="str">
        <f>_xlfn.XLOOKUP(E1700,pathways!$A$2:$A$31,pathways!$B$2:$B$31)</f>
        <v>Xenobiotics/other</v>
      </c>
      <c r="E1700" t="s">
        <v>3863</v>
      </c>
      <c r="F1700" t="s">
        <v>3864</v>
      </c>
      <c r="G1700" t="s">
        <v>14360</v>
      </c>
      <c r="H1700" t="s">
        <v>14360</v>
      </c>
      <c r="I1700" t="s">
        <v>7380</v>
      </c>
      <c r="J1700" s="4" t="s">
        <v>7380</v>
      </c>
      <c r="L1700" t="s">
        <v>1609</v>
      </c>
      <c r="M1700" t="s">
        <v>14897</v>
      </c>
      <c r="N1700" t="s">
        <v>3863</v>
      </c>
      <c r="O1700" t="s">
        <v>3863</v>
      </c>
      <c r="P1700" t="s">
        <v>3864</v>
      </c>
      <c r="Q1700" t="s">
        <v>3864</v>
      </c>
      <c r="R1700" t="s">
        <v>3863</v>
      </c>
      <c r="S1700" t="s">
        <v>18840</v>
      </c>
    </row>
    <row r="1701" spans="1:19" x14ac:dyDescent="0.2">
      <c r="A1701" t="s">
        <v>14032</v>
      </c>
      <c r="B1701" t="s">
        <v>14359</v>
      </c>
      <c r="C1701" t="s">
        <v>19938</v>
      </c>
      <c r="D1701" t="str">
        <f>_xlfn.XLOOKUP(E1701,pathways!$A$2:$A$31,pathways!$B$2:$B$31)</f>
        <v>Xenobiotics/other</v>
      </c>
      <c r="E1701" t="s">
        <v>3863</v>
      </c>
      <c r="F1701" t="s">
        <v>4933</v>
      </c>
      <c r="G1701" t="s">
        <v>14360</v>
      </c>
      <c r="H1701" t="s">
        <v>14360</v>
      </c>
      <c r="I1701" t="s">
        <v>9845</v>
      </c>
      <c r="J1701" s="4" t="s">
        <v>9845</v>
      </c>
      <c r="L1701" t="s">
        <v>14360</v>
      </c>
      <c r="M1701" t="s">
        <v>14360</v>
      </c>
      <c r="N1701" t="s">
        <v>3863</v>
      </c>
      <c r="O1701" t="s">
        <v>3863</v>
      </c>
      <c r="P1701" t="s">
        <v>4933</v>
      </c>
      <c r="Q1701" t="s">
        <v>4933</v>
      </c>
      <c r="R1701" t="s">
        <v>14360</v>
      </c>
      <c r="S1701" t="s">
        <v>18840</v>
      </c>
    </row>
    <row r="1702" spans="1:19" x14ac:dyDescent="0.2">
      <c r="A1702" t="s">
        <v>14048</v>
      </c>
      <c r="B1702" t="s">
        <v>14359</v>
      </c>
      <c r="C1702" t="s">
        <v>19939</v>
      </c>
      <c r="D1702" t="str">
        <f>_xlfn.XLOOKUP(E1702,pathways!$A$2:$A$31,pathways!$B$2:$B$31)</f>
        <v>Xenobiotics/other</v>
      </c>
      <c r="E1702" t="s">
        <v>3863</v>
      </c>
      <c r="F1702" t="s">
        <v>7477</v>
      </c>
      <c r="G1702" t="s">
        <v>14360</v>
      </c>
      <c r="H1702" t="s">
        <v>14360</v>
      </c>
      <c r="I1702" t="s">
        <v>9942</v>
      </c>
      <c r="J1702" s="4" t="s">
        <v>14360</v>
      </c>
      <c r="L1702" t="s">
        <v>14360</v>
      </c>
      <c r="M1702" t="s">
        <v>14360</v>
      </c>
      <c r="N1702" t="s">
        <v>3863</v>
      </c>
      <c r="O1702" t="s">
        <v>14360</v>
      </c>
      <c r="P1702" t="s">
        <v>7477</v>
      </c>
      <c r="Q1702" t="s">
        <v>14360</v>
      </c>
      <c r="R1702" t="s">
        <v>14360</v>
      </c>
      <c r="S1702" t="s">
        <v>18840</v>
      </c>
    </row>
    <row r="1703" spans="1:19" x14ac:dyDescent="0.2">
      <c r="A1703" t="s">
        <v>14066</v>
      </c>
      <c r="B1703" t="s">
        <v>14359</v>
      </c>
      <c r="C1703" t="s">
        <v>19940</v>
      </c>
      <c r="D1703" t="str">
        <f>_xlfn.XLOOKUP(E1703,pathways!$A$2:$A$31,pathways!$B$2:$B$31)</f>
        <v>Xenobiotics/other</v>
      </c>
      <c r="E1703" t="s">
        <v>3863</v>
      </c>
      <c r="F1703" t="s">
        <v>10004</v>
      </c>
      <c r="G1703" t="s">
        <v>14360</v>
      </c>
      <c r="H1703" t="s">
        <v>14360</v>
      </c>
      <c r="I1703" t="s">
        <v>10039</v>
      </c>
      <c r="J1703" s="4" t="s">
        <v>14360</v>
      </c>
      <c r="L1703" t="s">
        <v>14360</v>
      </c>
      <c r="M1703" t="s">
        <v>14360</v>
      </c>
      <c r="N1703" t="s">
        <v>3863</v>
      </c>
      <c r="O1703" t="s">
        <v>14360</v>
      </c>
      <c r="P1703" t="s">
        <v>10004</v>
      </c>
      <c r="Q1703" t="s">
        <v>14360</v>
      </c>
      <c r="R1703" t="s">
        <v>14360</v>
      </c>
      <c r="S1703" t="s">
        <v>18840</v>
      </c>
    </row>
    <row r="1704" spans="1:19" x14ac:dyDescent="0.2">
      <c r="A1704" t="s">
        <v>13781</v>
      </c>
      <c r="B1704" t="s">
        <v>14359</v>
      </c>
      <c r="C1704" t="s">
        <v>19942</v>
      </c>
      <c r="D1704" t="str">
        <f>_xlfn.XLOOKUP(E1704,pathways!$A$2:$A$31,pathways!$B$2:$B$31)</f>
        <v>Xenobiotics/other</v>
      </c>
      <c r="E1704" t="s">
        <v>3863</v>
      </c>
      <c r="F1704" t="s">
        <v>4365</v>
      </c>
      <c r="G1704" t="s">
        <v>14360</v>
      </c>
      <c r="H1704" t="s">
        <v>14360</v>
      </c>
      <c r="I1704" t="s">
        <v>4368</v>
      </c>
      <c r="J1704" s="4" t="s">
        <v>4368</v>
      </c>
      <c r="L1704" t="s">
        <v>14360</v>
      </c>
      <c r="M1704" t="s">
        <v>14360</v>
      </c>
      <c r="N1704" t="s">
        <v>3863</v>
      </c>
      <c r="O1704" t="s">
        <v>3863</v>
      </c>
      <c r="P1704" t="s">
        <v>4365</v>
      </c>
      <c r="Q1704" t="s">
        <v>4365</v>
      </c>
      <c r="R1704" t="s">
        <v>14360</v>
      </c>
      <c r="S1704" t="s">
        <v>18840</v>
      </c>
    </row>
    <row r="1705" spans="1:19" x14ac:dyDescent="0.2">
      <c r="A1705" t="s">
        <v>14328</v>
      </c>
      <c r="B1705" t="s">
        <v>14359</v>
      </c>
      <c r="C1705" t="s">
        <v>19945</v>
      </c>
      <c r="D1705" t="str">
        <f>_xlfn.XLOOKUP(E1705,pathways!$A$2:$A$31,pathways!$B$2:$B$31)</f>
        <v>Xenobiotics/other</v>
      </c>
      <c r="E1705" t="s">
        <v>3863</v>
      </c>
      <c r="F1705" t="s">
        <v>3864</v>
      </c>
      <c r="G1705" t="s">
        <v>14360</v>
      </c>
      <c r="H1705" t="s">
        <v>14360</v>
      </c>
      <c r="I1705" t="s">
        <v>14360</v>
      </c>
      <c r="J1705" s="4" t="s">
        <v>13183</v>
      </c>
      <c r="L1705" t="s">
        <v>14360</v>
      </c>
      <c r="M1705" t="s">
        <v>14360</v>
      </c>
      <c r="N1705" t="s">
        <v>14360</v>
      </c>
      <c r="O1705" t="s">
        <v>3863</v>
      </c>
      <c r="P1705" t="s">
        <v>14360</v>
      </c>
      <c r="Q1705" t="s">
        <v>3864</v>
      </c>
      <c r="R1705" t="s">
        <v>14360</v>
      </c>
      <c r="S1705" t="s">
        <v>18840</v>
      </c>
    </row>
    <row r="1706" spans="1:19" x14ac:dyDescent="0.2">
      <c r="A1706" t="s">
        <v>14329</v>
      </c>
      <c r="B1706" t="s">
        <v>14359</v>
      </c>
      <c r="C1706" t="s">
        <v>19946</v>
      </c>
      <c r="D1706" t="str">
        <f>_xlfn.XLOOKUP(E1706,pathways!$A$2:$A$31,pathways!$B$2:$B$31)</f>
        <v>Xenobiotics/other</v>
      </c>
      <c r="E1706" t="s">
        <v>3863</v>
      </c>
      <c r="F1706" t="s">
        <v>3864</v>
      </c>
      <c r="G1706" t="s">
        <v>14360</v>
      </c>
      <c r="H1706" t="s">
        <v>14360</v>
      </c>
      <c r="I1706" t="s">
        <v>14360</v>
      </c>
      <c r="J1706" s="4" t="s">
        <v>13186</v>
      </c>
      <c r="L1706" t="s">
        <v>14360</v>
      </c>
      <c r="M1706" t="s">
        <v>14360</v>
      </c>
      <c r="N1706" t="s">
        <v>14360</v>
      </c>
      <c r="O1706" t="s">
        <v>3863</v>
      </c>
      <c r="P1706" t="s">
        <v>14360</v>
      </c>
      <c r="Q1706" t="s">
        <v>3864</v>
      </c>
      <c r="R1706" t="s">
        <v>14360</v>
      </c>
      <c r="S1706" t="s">
        <v>18840</v>
      </c>
    </row>
    <row r="1707" spans="1:19" x14ac:dyDescent="0.2">
      <c r="A1707" t="s">
        <v>14097</v>
      </c>
      <c r="B1707" t="s">
        <v>14359</v>
      </c>
      <c r="C1707" t="s">
        <v>10200</v>
      </c>
      <c r="D1707" t="str">
        <f>_xlfn.XLOOKUP(E1707,pathways!$A$2:$A$31,pathways!$B$2:$B$31)</f>
        <v>Xenobiotics/other</v>
      </c>
      <c r="E1707" t="s">
        <v>3863</v>
      </c>
      <c r="F1707" t="s">
        <v>9034</v>
      </c>
      <c r="G1707" t="s">
        <v>14360</v>
      </c>
      <c r="H1707" t="s">
        <v>14360</v>
      </c>
      <c r="I1707" t="s">
        <v>10200</v>
      </c>
      <c r="J1707" s="4" t="s">
        <v>14360</v>
      </c>
      <c r="L1707" t="s">
        <v>14360</v>
      </c>
      <c r="M1707" t="s">
        <v>14360</v>
      </c>
      <c r="N1707" t="s">
        <v>3863</v>
      </c>
      <c r="O1707" t="s">
        <v>14360</v>
      </c>
      <c r="P1707" t="s">
        <v>9034</v>
      </c>
      <c r="Q1707" t="s">
        <v>14360</v>
      </c>
      <c r="R1707" t="s">
        <v>14360</v>
      </c>
      <c r="S1707" t="s">
        <v>18840</v>
      </c>
    </row>
    <row r="1708" spans="1:19" x14ac:dyDescent="0.2">
      <c r="A1708" t="s">
        <v>14031</v>
      </c>
      <c r="B1708" t="s">
        <v>14359</v>
      </c>
      <c r="C1708" t="s">
        <v>19947</v>
      </c>
      <c r="D1708" t="str">
        <f>_xlfn.XLOOKUP(E1708,pathways!$A$2:$A$31,pathways!$B$2:$B$31)</f>
        <v>Xenobiotics/other</v>
      </c>
      <c r="E1708" t="s">
        <v>3863</v>
      </c>
      <c r="F1708" t="s">
        <v>4933</v>
      </c>
      <c r="G1708" t="s">
        <v>14360</v>
      </c>
      <c r="H1708" t="s">
        <v>14360</v>
      </c>
      <c r="I1708" t="s">
        <v>9838</v>
      </c>
      <c r="J1708" s="4" t="s">
        <v>9838</v>
      </c>
      <c r="L1708" t="s">
        <v>14360</v>
      </c>
      <c r="M1708" t="s">
        <v>14360</v>
      </c>
      <c r="N1708" t="s">
        <v>3863</v>
      </c>
      <c r="O1708" t="s">
        <v>3863</v>
      </c>
      <c r="P1708" t="s">
        <v>4933</v>
      </c>
      <c r="Q1708" t="s">
        <v>4933</v>
      </c>
      <c r="R1708" t="s">
        <v>14360</v>
      </c>
      <c r="S1708" t="s">
        <v>14360</v>
      </c>
    </row>
    <row r="1709" spans="1:19" x14ac:dyDescent="0.2">
      <c r="A1709" t="s">
        <v>13856</v>
      </c>
      <c r="B1709" t="s">
        <v>14359</v>
      </c>
      <c r="C1709" t="s">
        <v>19948</v>
      </c>
      <c r="D1709" t="str">
        <f>_xlfn.XLOOKUP(E1709,pathways!$A$2:$A$31,pathways!$B$2:$B$31)</f>
        <v>Xenobiotics/other</v>
      </c>
      <c r="E1709" t="s">
        <v>3863</v>
      </c>
      <c r="F1709" t="s">
        <v>4942</v>
      </c>
      <c r="G1709" t="s">
        <v>14360</v>
      </c>
      <c r="H1709" t="s">
        <v>14360</v>
      </c>
      <c r="I1709" t="s">
        <v>6966</v>
      </c>
      <c r="J1709" s="4" t="s">
        <v>6966</v>
      </c>
      <c r="L1709" t="s">
        <v>14360</v>
      </c>
      <c r="M1709" t="s">
        <v>14360</v>
      </c>
      <c r="N1709" t="s">
        <v>3863</v>
      </c>
      <c r="O1709" t="s">
        <v>3863</v>
      </c>
      <c r="P1709" t="s">
        <v>4942</v>
      </c>
      <c r="Q1709" t="s">
        <v>4942</v>
      </c>
      <c r="R1709" t="s">
        <v>14360</v>
      </c>
      <c r="S1709" t="s">
        <v>18840</v>
      </c>
    </row>
    <row r="1710" spans="1:19" x14ac:dyDescent="0.2">
      <c r="A1710" t="s">
        <v>13857</v>
      </c>
      <c r="B1710" t="s">
        <v>14359</v>
      </c>
      <c r="C1710" t="s">
        <v>19949</v>
      </c>
      <c r="D1710" t="str">
        <f>_xlfn.XLOOKUP(E1710,pathways!$A$2:$A$31,pathways!$B$2:$B$31)</f>
        <v>Xenobiotics/other</v>
      </c>
      <c r="E1710" t="s">
        <v>3863</v>
      </c>
      <c r="F1710" t="s">
        <v>4942</v>
      </c>
      <c r="G1710" t="s">
        <v>14360</v>
      </c>
      <c r="H1710" t="s">
        <v>14360</v>
      </c>
      <c r="I1710" t="s">
        <v>6973</v>
      </c>
      <c r="J1710" s="4" t="s">
        <v>6973</v>
      </c>
      <c r="L1710" t="s">
        <v>14360</v>
      </c>
      <c r="M1710" t="s">
        <v>14360</v>
      </c>
      <c r="N1710" t="s">
        <v>3863</v>
      </c>
      <c r="O1710" t="s">
        <v>3863</v>
      </c>
      <c r="P1710" t="s">
        <v>4942</v>
      </c>
      <c r="Q1710" t="s">
        <v>4942</v>
      </c>
      <c r="R1710" t="s">
        <v>14360</v>
      </c>
      <c r="S1710" t="s">
        <v>14360</v>
      </c>
    </row>
    <row r="1711" spans="1:19" x14ac:dyDescent="0.2">
      <c r="A1711" t="s">
        <v>13993</v>
      </c>
      <c r="B1711" t="s">
        <v>14359</v>
      </c>
      <c r="C1711" t="s">
        <v>19950</v>
      </c>
      <c r="D1711" t="str">
        <f>_xlfn.XLOOKUP(E1711,pathways!$A$2:$A$31,pathways!$B$2:$B$31)</f>
        <v>Xenobiotics/other</v>
      </c>
      <c r="E1711" t="s">
        <v>3863</v>
      </c>
      <c r="F1711" t="s">
        <v>7590</v>
      </c>
      <c r="G1711" t="s">
        <v>14360</v>
      </c>
      <c r="H1711" t="s">
        <v>14360</v>
      </c>
      <c r="I1711" t="s">
        <v>9449</v>
      </c>
      <c r="J1711" s="4" t="s">
        <v>9449</v>
      </c>
      <c r="L1711" t="s">
        <v>14360</v>
      </c>
      <c r="M1711" t="s">
        <v>14360</v>
      </c>
      <c r="N1711" t="s">
        <v>3863</v>
      </c>
      <c r="O1711" t="s">
        <v>3863</v>
      </c>
      <c r="P1711" t="s">
        <v>7590</v>
      </c>
      <c r="Q1711" t="s">
        <v>7590</v>
      </c>
      <c r="R1711" t="s">
        <v>14360</v>
      </c>
      <c r="S1711" t="s">
        <v>18840</v>
      </c>
    </row>
    <row r="1712" spans="1:19" x14ac:dyDescent="0.2">
      <c r="A1712" t="s">
        <v>14100</v>
      </c>
      <c r="B1712" t="s">
        <v>14359</v>
      </c>
      <c r="C1712" t="s">
        <v>19955</v>
      </c>
      <c r="D1712" t="str">
        <f>_xlfn.XLOOKUP(E1712,pathways!$A$2:$A$31,pathways!$B$2:$B$31)</f>
        <v>Xenobiotics/other</v>
      </c>
      <c r="E1712" t="s">
        <v>3863</v>
      </c>
      <c r="F1712" t="s">
        <v>4933</v>
      </c>
      <c r="G1712" t="s">
        <v>14360</v>
      </c>
      <c r="H1712" t="s">
        <v>14360</v>
      </c>
      <c r="I1712" t="s">
        <v>10217</v>
      </c>
      <c r="J1712" s="4" t="s">
        <v>14360</v>
      </c>
      <c r="L1712" t="s">
        <v>14360</v>
      </c>
      <c r="M1712" t="s">
        <v>14360</v>
      </c>
      <c r="N1712" t="s">
        <v>3863</v>
      </c>
      <c r="O1712" t="s">
        <v>14360</v>
      </c>
      <c r="P1712" t="s">
        <v>4933</v>
      </c>
      <c r="Q1712" t="s">
        <v>14360</v>
      </c>
      <c r="R1712" t="s">
        <v>14360</v>
      </c>
      <c r="S1712" t="s">
        <v>18840</v>
      </c>
    </row>
    <row r="1713" spans="1:19" x14ac:dyDescent="0.2">
      <c r="A1713" t="s">
        <v>13966</v>
      </c>
      <c r="B1713" t="s">
        <v>14359</v>
      </c>
      <c r="C1713" t="s">
        <v>19956</v>
      </c>
      <c r="D1713" t="str">
        <f>_xlfn.XLOOKUP(E1713,pathways!$A$2:$A$31,pathways!$B$2:$B$31)</f>
        <v>Xenobiotics/other</v>
      </c>
      <c r="E1713" t="s">
        <v>3863</v>
      </c>
      <c r="F1713" t="s">
        <v>4942</v>
      </c>
      <c r="G1713" t="s">
        <v>14360</v>
      </c>
      <c r="H1713" t="s">
        <v>14360</v>
      </c>
      <c r="I1713" t="s">
        <v>8883</v>
      </c>
      <c r="J1713" s="4" t="s">
        <v>14360</v>
      </c>
      <c r="L1713" t="s">
        <v>14360</v>
      </c>
      <c r="M1713" t="s">
        <v>14360</v>
      </c>
      <c r="N1713" t="s">
        <v>3863</v>
      </c>
      <c r="O1713" t="s">
        <v>14360</v>
      </c>
      <c r="P1713" t="s">
        <v>4942</v>
      </c>
      <c r="Q1713" t="s">
        <v>14360</v>
      </c>
      <c r="R1713" t="s">
        <v>14360</v>
      </c>
      <c r="S1713" t="s">
        <v>18840</v>
      </c>
    </row>
    <row r="1714" spans="1:19" x14ac:dyDescent="0.2">
      <c r="A1714" t="s">
        <v>2242</v>
      </c>
      <c r="B1714" t="s">
        <v>14359</v>
      </c>
      <c r="C1714" t="s">
        <v>19581</v>
      </c>
      <c r="D1714" t="str">
        <f>_xlfn.XLOOKUP(E1714,pathways!$A$2:$A$31,pathways!$B$2:$B$31)</f>
        <v>Xenobiotics/other</v>
      </c>
      <c r="E1714" t="s">
        <v>3863</v>
      </c>
      <c r="F1714" t="s">
        <v>3864</v>
      </c>
      <c r="G1714" t="s">
        <v>14360</v>
      </c>
      <c r="H1714" t="s">
        <v>14360</v>
      </c>
      <c r="I1714" t="s">
        <v>9894</v>
      </c>
      <c r="J1714" s="4" t="s">
        <v>9894</v>
      </c>
      <c r="L1714" t="s">
        <v>2241</v>
      </c>
      <c r="M1714" t="s">
        <v>15538</v>
      </c>
      <c r="N1714" t="s">
        <v>3863</v>
      </c>
      <c r="O1714" t="s">
        <v>3863</v>
      </c>
      <c r="P1714" t="s">
        <v>3864</v>
      </c>
      <c r="Q1714" t="s">
        <v>3864</v>
      </c>
      <c r="R1714" t="s">
        <v>3863</v>
      </c>
      <c r="S1714" t="s">
        <v>18840</v>
      </c>
    </row>
    <row r="1715" spans="1:19" x14ac:dyDescent="0.2">
      <c r="A1715" t="s">
        <v>1672</v>
      </c>
      <c r="B1715" t="s">
        <v>14359</v>
      </c>
      <c r="C1715" t="s">
        <v>19365</v>
      </c>
      <c r="D1715" t="str">
        <f>_xlfn.XLOOKUP(E1715,pathways!$A$2:$A$31,pathways!$B$2:$B$31)</f>
        <v>Xenobiotics/other</v>
      </c>
      <c r="E1715" t="s">
        <v>3863</v>
      </c>
      <c r="F1715" t="s">
        <v>3864</v>
      </c>
      <c r="G1715" t="s">
        <v>14360</v>
      </c>
      <c r="H1715" t="s">
        <v>14360</v>
      </c>
      <c r="I1715" t="s">
        <v>7887</v>
      </c>
      <c r="J1715" s="4" t="s">
        <v>13195</v>
      </c>
      <c r="L1715" t="s">
        <v>1671</v>
      </c>
      <c r="M1715" t="s">
        <v>14963</v>
      </c>
      <c r="N1715" t="s">
        <v>3863</v>
      </c>
      <c r="O1715" t="s">
        <v>3863</v>
      </c>
      <c r="P1715" t="s">
        <v>3864</v>
      </c>
      <c r="Q1715" t="s">
        <v>3864</v>
      </c>
      <c r="R1715" t="s">
        <v>3863</v>
      </c>
      <c r="S1715" t="s">
        <v>14360</v>
      </c>
    </row>
    <row r="1716" spans="1:19" x14ac:dyDescent="0.2">
      <c r="A1716" t="s">
        <v>2139</v>
      </c>
      <c r="B1716" t="s">
        <v>14359</v>
      </c>
      <c r="C1716" t="s">
        <v>19545</v>
      </c>
      <c r="D1716" t="str">
        <f>_xlfn.XLOOKUP(E1716,pathways!$A$2:$A$31,pathways!$B$2:$B$31)</f>
        <v>Xenobiotics/other</v>
      </c>
      <c r="E1716" t="s">
        <v>3863</v>
      </c>
      <c r="F1716" t="s">
        <v>3864</v>
      </c>
      <c r="G1716" t="s">
        <v>14360</v>
      </c>
      <c r="H1716" t="s">
        <v>14360</v>
      </c>
      <c r="I1716" t="s">
        <v>9695</v>
      </c>
      <c r="J1716" s="4" t="s">
        <v>14360</v>
      </c>
      <c r="L1716" t="s">
        <v>2138</v>
      </c>
      <c r="M1716" t="s">
        <v>15432</v>
      </c>
      <c r="N1716" t="s">
        <v>3863</v>
      </c>
      <c r="O1716" t="s">
        <v>14360</v>
      </c>
      <c r="P1716" t="s">
        <v>3864</v>
      </c>
      <c r="Q1716" t="s">
        <v>14360</v>
      </c>
      <c r="R1716" t="s">
        <v>3863</v>
      </c>
      <c r="S1716" t="s">
        <v>18840</v>
      </c>
    </row>
    <row r="1717" spans="1:19" x14ac:dyDescent="0.2">
      <c r="A1717" t="s">
        <v>13923</v>
      </c>
      <c r="B1717" t="s">
        <v>14359</v>
      </c>
      <c r="C1717" t="s">
        <v>19957</v>
      </c>
      <c r="D1717" t="str">
        <f>_xlfn.XLOOKUP(E1717,pathways!$A$2:$A$31,pathways!$B$2:$B$31)</f>
        <v>Xenobiotics/other</v>
      </c>
      <c r="E1717" t="s">
        <v>3863</v>
      </c>
      <c r="F1717" t="s">
        <v>7216</v>
      </c>
      <c r="G1717" t="s">
        <v>14360</v>
      </c>
      <c r="H1717" t="s">
        <v>14360</v>
      </c>
      <c r="I1717" t="s">
        <v>8014</v>
      </c>
      <c r="J1717" s="4" t="s">
        <v>8014</v>
      </c>
      <c r="L1717" t="s">
        <v>14360</v>
      </c>
      <c r="M1717" t="s">
        <v>14360</v>
      </c>
      <c r="N1717" t="s">
        <v>3863</v>
      </c>
      <c r="O1717" t="s">
        <v>3863</v>
      </c>
      <c r="P1717" t="s">
        <v>7216</v>
      </c>
      <c r="Q1717" t="s">
        <v>7216</v>
      </c>
      <c r="R1717" t="s">
        <v>14360</v>
      </c>
      <c r="S1717" t="s">
        <v>18840</v>
      </c>
    </row>
    <row r="1718" spans="1:19" x14ac:dyDescent="0.2">
      <c r="A1718" t="s">
        <v>1712</v>
      </c>
      <c r="B1718" t="s">
        <v>14359</v>
      </c>
      <c r="C1718" t="s">
        <v>19376</v>
      </c>
      <c r="D1718" t="str">
        <f>_xlfn.XLOOKUP(E1718,pathways!$A$2:$A$31,pathways!$B$2:$B$31)</f>
        <v>Xenobiotics/other</v>
      </c>
      <c r="E1718" t="s">
        <v>3863</v>
      </c>
      <c r="F1718" t="s">
        <v>5632</v>
      </c>
      <c r="G1718" t="s">
        <v>14360</v>
      </c>
      <c r="H1718" t="s">
        <v>14360</v>
      </c>
      <c r="I1718" t="s">
        <v>8161</v>
      </c>
      <c r="J1718" s="4" t="s">
        <v>14360</v>
      </c>
      <c r="L1718" t="s">
        <v>1711</v>
      </c>
      <c r="M1718" t="s">
        <v>15005</v>
      </c>
      <c r="N1718" t="s">
        <v>3863</v>
      </c>
      <c r="O1718" t="s">
        <v>14360</v>
      </c>
      <c r="P1718" t="s">
        <v>5632</v>
      </c>
      <c r="Q1718" t="s">
        <v>14360</v>
      </c>
      <c r="R1718" t="s">
        <v>3863</v>
      </c>
      <c r="S1718" t="s">
        <v>18840</v>
      </c>
    </row>
    <row r="1719" spans="1:19" x14ac:dyDescent="0.2">
      <c r="A1719" t="s">
        <v>14330</v>
      </c>
      <c r="B1719" t="s">
        <v>14359</v>
      </c>
      <c r="C1719" t="s">
        <v>19958</v>
      </c>
      <c r="D1719" t="str">
        <f>_xlfn.XLOOKUP(E1719,pathways!$A$2:$A$31,pathways!$B$2:$B$31)</f>
        <v>Xenobiotics/other</v>
      </c>
      <c r="E1719" t="s">
        <v>3863</v>
      </c>
      <c r="F1719" t="s">
        <v>7477</v>
      </c>
      <c r="G1719" t="s">
        <v>14360</v>
      </c>
      <c r="H1719" t="s">
        <v>14360</v>
      </c>
      <c r="I1719" t="s">
        <v>14360</v>
      </c>
      <c r="J1719" s="4" t="s">
        <v>13200</v>
      </c>
      <c r="L1719" t="s">
        <v>14360</v>
      </c>
      <c r="M1719" t="s">
        <v>14360</v>
      </c>
      <c r="N1719" t="s">
        <v>14360</v>
      </c>
      <c r="O1719" t="s">
        <v>3863</v>
      </c>
      <c r="P1719" t="s">
        <v>14360</v>
      </c>
      <c r="Q1719" t="s">
        <v>7477</v>
      </c>
      <c r="R1719" t="s">
        <v>14360</v>
      </c>
      <c r="S1719" t="s">
        <v>18840</v>
      </c>
    </row>
    <row r="1720" spans="1:19" x14ac:dyDescent="0.2">
      <c r="A1720" t="s">
        <v>13853</v>
      </c>
      <c r="B1720" t="s">
        <v>14359</v>
      </c>
      <c r="C1720" t="s">
        <v>19959</v>
      </c>
      <c r="D1720" t="str">
        <f>_xlfn.XLOOKUP(E1720,pathways!$A$2:$A$31,pathways!$B$2:$B$31)</f>
        <v>Xenobiotics/other</v>
      </c>
      <c r="E1720" t="s">
        <v>3863</v>
      </c>
      <c r="F1720" t="s">
        <v>5632</v>
      </c>
      <c r="G1720" t="s">
        <v>14360</v>
      </c>
      <c r="H1720" t="s">
        <v>14360</v>
      </c>
      <c r="I1720" t="s">
        <v>6813</v>
      </c>
      <c r="J1720" s="4" t="s">
        <v>6813</v>
      </c>
      <c r="L1720" t="s">
        <v>14360</v>
      </c>
      <c r="M1720" t="s">
        <v>14360</v>
      </c>
      <c r="N1720" t="s">
        <v>3863</v>
      </c>
      <c r="O1720" t="s">
        <v>3863</v>
      </c>
      <c r="P1720" t="s">
        <v>5632</v>
      </c>
      <c r="Q1720" t="s">
        <v>5632</v>
      </c>
      <c r="R1720" t="s">
        <v>14360</v>
      </c>
      <c r="S1720" t="s">
        <v>18840</v>
      </c>
    </row>
    <row r="1721" spans="1:19" x14ac:dyDescent="0.2">
      <c r="A1721" t="s">
        <v>1227</v>
      </c>
      <c r="B1721" t="s">
        <v>14359</v>
      </c>
      <c r="C1721" t="s">
        <v>5695</v>
      </c>
      <c r="D1721" t="str">
        <f>_xlfn.XLOOKUP(E1721,pathways!$A$2:$A$31,pathways!$B$2:$B$31)</f>
        <v>Xenobiotics/other</v>
      </c>
      <c r="E1721" t="s">
        <v>3863</v>
      </c>
      <c r="F1721" t="s">
        <v>5632</v>
      </c>
      <c r="G1721" t="s">
        <v>14360</v>
      </c>
      <c r="H1721" t="s">
        <v>14360</v>
      </c>
      <c r="I1721" t="s">
        <v>5695</v>
      </c>
      <c r="J1721" s="4" t="s">
        <v>5695</v>
      </c>
      <c r="L1721" t="s">
        <v>1226</v>
      </c>
      <c r="M1721" t="s">
        <v>14502</v>
      </c>
      <c r="N1721" t="s">
        <v>3863</v>
      </c>
      <c r="O1721" t="s">
        <v>3863</v>
      </c>
      <c r="P1721" t="s">
        <v>5632</v>
      </c>
      <c r="Q1721" t="s">
        <v>5632</v>
      </c>
      <c r="R1721" t="s">
        <v>3863</v>
      </c>
      <c r="S1721" t="s">
        <v>18840</v>
      </c>
    </row>
    <row r="1722" spans="1:19" x14ac:dyDescent="0.2">
      <c r="A1722" t="s">
        <v>14063</v>
      </c>
      <c r="B1722" t="s">
        <v>14359</v>
      </c>
      <c r="C1722" t="s">
        <v>19960</v>
      </c>
      <c r="D1722" t="str">
        <f>_xlfn.XLOOKUP(E1722,pathways!$A$2:$A$31,pathways!$B$2:$B$31)</f>
        <v>Xenobiotics/other</v>
      </c>
      <c r="E1722" t="s">
        <v>3863</v>
      </c>
      <c r="F1722" t="s">
        <v>10004</v>
      </c>
      <c r="G1722" t="s">
        <v>14360</v>
      </c>
      <c r="H1722" t="s">
        <v>14360</v>
      </c>
      <c r="I1722" t="s">
        <v>10015</v>
      </c>
      <c r="J1722" s="4" t="s">
        <v>14360</v>
      </c>
      <c r="L1722" t="s">
        <v>14360</v>
      </c>
      <c r="M1722" t="s">
        <v>14360</v>
      </c>
      <c r="N1722" t="s">
        <v>3863</v>
      </c>
      <c r="O1722" t="s">
        <v>14360</v>
      </c>
      <c r="P1722" t="s">
        <v>10004</v>
      </c>
      <c r="Q1722" t="s">
        <v>14360</v>
      </c>
      <c r="R1722" t="s">
        <v>14360</v>
      </c>
      <c r="S1722" t="s">
        <v>18840</v>
      </c>
    </row>
    <row r="1723" spans="1:19" x14ac:dyDescent="0.2">
      <c r="A1723" t="s">
        <v>14062</v>
      </c>
      <c r="B1723" t="s">
        <v>14359</v>
      </c>
      <c r="C1723" t="s">
        <v>19962</v>
      </c>
      <c r="D1723" t="str">
        <f>_xlfn.XLOOKUP(E1723,pathways!$A$2:$A$31,pathways!$B$2:$B$31)</f>
        <v>Xenobiotics/other</v>
      </c>
      <c r="E1723" t="s">
        <v>3863</v>
      </c>
      <c r="F1723" t="s">
        <v>10004</v>
      </c>
      <c r="G1723" t="s">
        <v>14360</v>
      </c>
      <c r="H1723" t="s">
        <v>14360</v>
      </c>
      <c r="I1723" t="s">
        <v>10007</v>
      </c>
      <c r="J1723" s="4" t="s">
        <v>14360</v>
      </c>
      <c r="L1723" t="s">
        <v>14360</v>
      </c>
      <c r="M1723" t="s">
        <v>14360</v>
      </c>
      <c r="N1723" t="s">
        <v>3863</v>
      </c>
      <c r="O1723" t="s">
        <v>14360</v>
      </c>
      <c r="P1723" t="s">
        <v>10004</v>
      </c>
      <c r="Q1723" t="s">
        <v>14360</v>
      </c>
      <c r="R1723" t="s">
        <v>14360</v>
      </c>
      <c r="S1723" t="s">
        <v>14360</v>
      </c>
    </row>
    <row r="1724" spans="1:19" x14ac:dyDescent="0.2">
      <c r="A1724" t="s">
        <v>14331</v>
      </c>
      <c r="B1724" t="s">
        <v>14359</v>
      </c>
      <c r="C1724" t="s">
        <v>19963</v>
      </c>
      <c r="D1724" t="str">
        <f>_xlfn.XLOOKUP(E1724,pathways!$A$2:$A$31,pathways!$B$2:$B$31)</f>
        <v>Xenobiotics/other</v>
      </c>
      <c r="E1724" t="s">
        <v>3863</v>
      </c>
      <c r="F1724" t="s">
        <v>7216</v>
      </c>
      <c r="G1724" t="s">
        <v>14360</v>
      </c>
      <c r="H1724" t="s">
        <v>14360</v>
      </c>
      <c r="I1724" t="s">
        <v>14360</v>
      </c>
      <c r="J1724" s="4" t="s">
        <v>13206</v>
      </c>
      <c r="L1724" t="s">
        <v>14360</v>
      </c>
      <c r="M1724" t="s">
        <v>14360</v>
      </c>
      <c r="N1724" t="s">
        <v>14360</v>
      </c>
      <c r="O1724" t="s">
        <v>3863</v>
      </c>
      <c r="P1724" t="s">
        <v>14360</v>
      </c>
      <c r="Q1724" t="s">
        <v>7216</v>
      </c>
      <c r="R1724" t="s">
        <v>14360</v>
      </c>
      <c r="S1724" t="s">
        <v>14360</v>
      </c>
    </row>
    <row r="1725" spans="1:19" x14ac:dyDescent="0.2">
      <c r="A1725" t="s">
        <v>1592</v>
      </c>
      <c r="B1725" t="s">
        <v>14359</v>
      </c>
      <c r="C1725" t="s">
        <v>19336</v>
      </c>
      <c r="D1725" t="str">
        <f>_xlfn.XLOOKUP(E1725,pathways!$A$2:$A$31,pathways!$B$2:$B$31)</f>
        <v>Xenobiotics/other</v>
      </c>
      <c r="E1725" t="s">
        <v>3863</v>
      </c>
      <c r="F1725" t="s">
        <v>3864</v>
      </c>
      <c r="G1725" t="s">
        <v>7318</v>
      </c>
      <c r="H1725" t="s">
        <v>14360</v>
      </c>
      <c r="I1725" t="s">
        <v>7318</v>
      </c>
      <c r="J1725" s="4" t="s">
        <v>7318</v>
      </c>
      <c r="L1725" t="s">
        <v>1591</v>
      </c>
      <c r="M1725" t="s">
        <v>14879</v>
      </c>
      <c r="N1725" t="s">
        <v>3863</v>
      </c>
      <c r="O1725" t="s">
        <v>3863</v>
      </c>
      <c r="P1725" t="s">
        <v>3864</v>
      </c>
      <c r="Q1725" t="s">
        <v>3864</v>
      </c>
      <c r="R1725" t="s">
        <v>3863</v>
      </c>
      <c r="S1725" t="s">
        <v>14360</v>
      </c>
    </row>
    <row r="1726" spans="1:19" x14ac:dyDescent="0.2">
      <c r="A1726" t="s">
        <v>1185</v>
      </c>
      <c r="B1726" t="s">
        <v>14359</v>
      </c>
      <c r="C1726" t="s">
        <v>19206</v>
      </c>
      <c r="D1726" t="str">
        <f>_xlfn.XLOOKUP(E1726,pathways!$A$2:$A$31,pathways!$B$2:$B$31)</f>
        <v>Xenobiotics/other</v>
      </c>
      <c r="E1726" t="s">
        <v>3863</v>
      </c>
      <c r="F1726" t="s">
        <v>3864</v>
      </c>
      <c r="G1726" t="s">
        <v>5611</v>
      </c>
      <c r="H1726" t="s">
        <v>14360</v>
      </c>
      <c r="I1726" t="s">
        <v>5611</v>
      </c>
      <c r="J1726" s="4" t="s">
        <v>5611</v>
      </c>
      <c r="L1726" t="s">
        <v>1184</v>
      </c>
      <c r="M1726" t="s">
        <v>14456</v>
      </c>
      <c r="N1726" t="s">
        <v>3863</v>
      </c>
      <c r="O1726" t="s">
        <v>3863</v>
      </c>
      <c r="P1726" t="s">
        <v>3864</v>
      </c>
      <c r="Q1726" t="s">
        <v>3864</v>
      </c>
      <c r="R1726" t="s">
        <v>3863</v>
      </c>
      <c r="S1726" t="s">
        <v>14360</v>
      </c>
    </row>
    <row r="1727" spans="1:19" x14ac:dyDescent="0.2">
      <c r="A1727" t="s">
        <v>13916</v>
      </c>
      <c r="B1727" t="s">
        <v>14359</v>
      </c>
      <c r="C1727" t="s">
        <v>19964</v>
      </c>
      <c r="D1727" t="str">
        <f>_xlfn.XLOOKUP(E1727,pathways!$A$2:$A$31,pathways!$B$2:$B$31)</f>
        <v>Xenobiotics/other</v>
      </c>
      <c r="E1727" t="s">
        <v>3863</v>
      </c>
      <c r="F1727" t="s">
        <v>4933</v>
      </c>
      <c r="G1727" t="s">
        <v>14360</v>
      </c>
      <c r="H1727" t="s">
        <v>14360</v>
      </c>
      <c r="I1727" t="s">
        <v>7909</v>
      </c>
      <c r="J1727" s="4" t="s">
        <v>13214</v>
      </c>
      <c r="L1727" t="s">
        <v>14360</v>
      </c>
      <c r="M1727" t="s">
        <v>14360</v>
      </c>
      <c r="N1727" t="s">
        <v>3863</v>
      </c>
      <c r="O1727" t="s">
        <v>3863</v>
      </c>
      <c r="P1727" t="s">
        <v>4933</v>
      </c>
      <c r="Q1727" t="s">
        <v>4933</v>
      </c>
      <c r="R1727" t="s">
        <v>14360</v>
      </c>
      <c r="S1727" t="s">
        <v>18840</v>
      </c>
    </row>
    <row r="1728" spans="1:19" x14ac:dyDescent="0.2">
      <c r="A1728" t="s">
        <v>2092</v>
      </c>
      <c r="B1728" t="s">
        <v>14359</v>
      </c>
      <c r="C1728" t="s">
        <v>19527</v>
      </c>
      <c r="D1728" t="str">
        <f>_xlfn.XLOOKUP(E1728,pathways!$A$2:$A$31,pathways!$B$2:$B$31)</f>
        <v>Xenobiotics/other</v>
      </c>
      <c r="E1728" t="s">
        <v>3863</v>
      </c>
      <c r="F1728" t="s">
        <v>3864</v>
      </c>
      <c r="G1728" t="s">
        <v>9528</v>
      </c>
      <c r="H1728" t="s">
        <v>14360</v>
      </c>
      <c r="I1728" t="s">
        <v>9528</v>
      </c>
      <c r="J1728" s="4" t="s">
        <v>14360</v>
      </c>
      <c r="L1728" t="s">
        <v>2091</v>
      </c>
      <c r="M1728" t="s">
        <v>15385</v>
      </c>
      <c r="N1728" t="s">
        <v>3863</v>
      </c>
      <c r="O1728" t="s">
        <v>14360</v>
      </c>
      <c r="P1728" t="s">
        <v>3864</v>
      </c>
      <c r="Q1728" t="s">
        <v>14360</v>
      </c>
      <c r="R1728" t="s">
        <v>3863</v>
      </c>
      <c r="S1728" t="s">
        <v>14360</v>
      </c>
    </row>
    <row r="1729" spans="1:19" x14ac:dyDescent="0.2">
      <c r="A1729" t="s">
        <v>14022</v>
      </c>
      <c r="B1729" t="s">
        <v>14359</v>
      </c>
      <c r="C1729" t="s">
        <v>19567</v>
      </c>
      <c r="D1729" t="str">
        <f>_xlfn.XLOOKUP(E1729,pathways!$A$2:$A$31,pathways!$B$2:$B$31)</f>
        <v>Xenobiotics/other</v>
      </c>
      <c r="E1729" t="s">
        <v>3863</v>
      </c>
      <c r="F1729" t="s">
        <v>3864</v>
      </c>
      <c r="G1729" t="s">
        <v>14360</v>
      </c>
      <c r="H1729" t="s">
        <v>14360</v>
      </c>
      <c r="I1729" t="s">
        <v>9742</v>
      </c>
      <c r="J1729" s="4" t="s">
        <v>14360</v>
      </c>
      <c r="L1729" t="s">
        <v>2186</v>
      </c>
      <c r="M1729" t="s">
        <v>15483</v>
      </c>
      <c r="N1729" t="s">
        <v>3863</v>
      </c>
      <c r="O1729" t="s">
        <v>14360</v>
      </c>
      <c r="P1729" t="s">
        <v>3864</v>
      </c>
      <c r="Q1729" t="s">
        <v>14360</v>
      </c>
      <c r="R1729" t="s">
        <v>3863</v>
      </c>
      <c r="S1729" t="s">
        <v>14360</v>
      </c>
    </row>
    <row r="1730" spans="1:19" x14ac:dyDescent="0.2">
      <c r="A1730" t="s">
        <v>13901</v>
      </c>
      <c r="B1730" t="s">
        <v>14359</v>
      </c>
      <c r="C1730" t="s">
        <v>19966</v>
      </c>
      <c r="D1730" t="str">
        <f>_xlfn.XLOOKUP(E1730,pathways!$A$2:$A$31,pathways!$B$2:$B$31)</f>
        <v>Xenobiotics/other</v>
      </c>
      <c r="E1730" t="s">
        <v>3863</v>
      </c>
      <c r="F1730" t="s">
        <v>5632</v>
      </c>
      <c r="G1730" t="s">
        <v>14360</v>
      </c>
      <c r="H1730" t="s">
        <v>14360</v>
      </c>
      <c r="I1730" t="s">
        <v>7710</v>
      </c>
      <c r="J1730" s="4" t="s">
        <v>7710</v>
      </c>
      <c r="L1730" t="s">
        <v>14360</v>
      </c>
      <c r="M1730" t="s">
        <v>14360</v>
      </c>
      <c r="N1730" t="s">
        <v>3863</v>
      </c>
      <c r="O1730" t="s">
        <v>3863</v>
      </c>
      <c r="P1730" t="s">
        <v>5632</v>
      </c>
      <c r="Q1730" t="s">
        <v>5632</v>
      </c>
      <c r="R1730" t="s">
        <v>14360</v>
      </c>
      <c r="S1730" t="s">
        <v>14360</v>
      </c>
    </row>
    <row r="1731" spans="1:19" x14ac:dyDescent="0.2">
      <c r="A1731" t="s">
        <v>1794</v>
      </c>
      <c r="B1731" t="s">
        <v>14359</v>
      </c>
      <c r="C1731" t="s">
        <v>19398</v>
      </c>
      <c r="D1731" t="str">
        <f>_xlfn.XLOOKUP(E1731,pathways!$A$2:$A$31,pathways!$B$2:$B$31)</f>
        <v>Xenobiotics/other</v>
      </c>
      <c r="E1731" t="s">
        <v>3863</v>
      </c>
      <c r="F1731" t="s">
        <v>3864</v>
      </c>
      <c r="G1731" t="s">
        <v>14360</v>
      </c>
      <c r="H1731" t="s">
        <v>14360</v>
      </c>
      <c r="I1731" t="s">
        <v>8486</v>
      </c>
      <c r="J1731" s="4" t="s">
        <v>8486</v>
      </c>
      <c r="L1731" t="s">
        <v>1793</v>
      </c>
      <c r="M1731" t="s">
        <v>15093</v>
      </c>
      <c r="N1731" t="s">
        <v>3863</v>
      </c>
      <c r="O1731" t="s">
        <v>3863</v>
      </c>
      <c r="P1731" t="s">
        <v>3864</v>
      </c>
      <c r="Q1731" t="s">
        <v>3864</v>
      </c>
      <c r="R1731" t="s">
        <v>3863</v>
      </c>
      <c r="S1731" t="s">
        <v>14360</v>
      </c>
    </row>
    <row r="1732" spans="1:19" x14ac:dyDescent="0.2">
      <c r="A1732" t="s">
        <v>14332</v>
      </c>
      <c r="B1732" t="s">
        <v>14359</v>
      </c>
      <c r="C1732" t="s">
        <v>19967</v>
      </c>
      <c r="D1732" t="str">
        <f>_xlfn.XLOOKUP(E1732,pathways!$A$2:$A$31,pathways!$B$2:$B$31)</f>
        <v>Xenobiotics/other</v>
      </c>
      <c r="E1732" t="s">
        <v>3863</v>
      </c>
      <c r="F1732" t="s">
        <v>6220</v>
      </c>
      <c r="G1732" t="s">
        <v>14360</v>
      </c>
      <c r="H1732" t="s">
        <v>14360</v>
      </c>
      <c r="I1732" t="s">
        <v>14360</v>
      </c>
      <c r="J1732" s="4" t="s">
        <v>13220</v>
      </c>
      <c r="L1732" t="s">
        <v>14360</v>
      </c>
      <c r="M1732" t="s">
        <v>14360</v>
      </c>
      <c r="N1732" t="s">
        <v>14360</v>
      </c>
      <c r="O1732" t="s">
        <v>3863</v>
      </c>
      <c r="P1732" t="s">
        <v>14360</v>
      </c>
      <c r="Q1732" t="s">
        <v>6220</v>
      </c>
      <c r="R1732" t="s">
        <v>14360</v>
      </c>
      <c r="S1732" t="s">
        <v>18840</v>
      </c>
    </row>
    <row r="1733" spans="1:19" x14ac:dyDescent="0.2">
      <c r="A1733" t="s">
        <v>13922</v>
      </c>
      <c r="B1733" t="s">
        <v>14359</v>
      </c>
      <c r="C1733" t="s">
        <v>19968</v>
      </c>
      <c r="D1733" t="str">
        <f>_xlfn.XLOOKUP(E1733,pathways!$A$2:$A$31,pathways!$B$2:$B$31)</f>
        <v>Xenobiotics/other</v>
      </c>
      <c r="E1733" t="s">
        <v>3863</v>
      </c>
      <c r="F1733" t="s">
        <v>7590</v>
      </c>
      <c r="G1733" t="s">
        <v>14360</v>
      </c>
      <c r="H1733" t="s">
        <v>14360</v>
      </c>
      <c r="I1733" t="s">
        <v>8006</v>
      </c>
      <c r="J1733" s="4" t="s">
        <v>14360</v>
      </c>
      <c r="L1733" t="s">
        <v>14360</v>
      </c>
      <c r="M1733" t="s">
        <v>14360</v>
      </c>
      <c r="N1733" t="s">
        <v>3863</v>
      </c>
      <c r="O1733" t="s">
        <v>14360</v>
      </c>
      <c r="P1733" t="s">
        <v>7590</v>
      </c>
      <c r="Q1733" t="s">
        <v>14360</v>
      </c>
      <c r="R1733" t="s">
        <v>14360</v>
      </c>
      <c r="S1733" t="s">
        <v>18840</v>
      </c>
    </row>
    <row r="1734" spans="1:19" x14ac:dyDescent="0.2">
      <c r="A1734" t="s">
        <v>14333</v>
      </c>
      <c r="B1734" t="s">
        <v>14359</v>
      </c>
      <c r="C1734" t="s">
        <v>19380</v>
      </c>
      <c r="D1734" t="str">
        <f>_xlfn.XLOOKUP(E1734,pathways!$A$2:$A$31,pathways!$B$2:$B$31)</f>
        <v>Xenobiotics/other</v>
      </c>
      <c r="E1734" t="s">
        <v>3863</v>
      </c>
      <c r="F1734" t="s">
        <v>3864</v>
      </c>
      <c r="G1734" t="s">
        <v>14360</v>
      </c>
      <c r="H1734" t="s">
        <v>14360</v>
      </c>
      <c r="I1734" t="s">
        <v>14360</v>
      </c>
      <c r="J1734" s="4" t="s">
        <v>13222</v>
      </c>
      <c r="L1734" t="s">
        <v>1735</v>
      </c>
      <c r="M1734" t="s">
        <v>15031</v>
      </c>
      <c r="N1734" t="s">
        <v>14360</v>
      </c>
      <c r="O1734" t="s">
        <v>3863</v>
      </c>
      <c r="P1734" t="s">
        <v>14360</v>
      </c>
      <c r="Q1734" t="s">
        <v>3864</v>
      </c>
      <c r="R1734" t="s">
        <v>3863</v>
      </c>
      <c r="S1734" t="s">
        <v>14360</v>
      </c>
    </row>
    <row r="1735" spans="1:19" x14ac:dyDescent="0.2">
      <c r="A1735" t="s">
        <v>13998</v>
      </c>
      <c r="B1735" t="s">
        <v>14359</v>
      </c>
      <c r="C1735" t="s">
        <v>19969</v>
      </c>
      <c r="D1735" t="str">
        <f>_xlfn.XLOOKUP(E1735,pathways!$A$2:$A$31,pathways!$B$2:$B$31)</f>
        <v>Xenobiotics/other</v>
      </c>
      <c r="E1735" t="s">
        <v>3863</v>
      </c>
      <c r="F1735" t="s">
        <v>7477</v>
      </c>
      <c r="G1735" t="s">
        <v>14360</v>
      </c>
      <c r="H1735" t="s">
        <v>14360</v>
      </c>
      <c r="I1735" t="s">
        <v>9543</v>
      </c>
      <c r="J1735" s="4" t="s">
        <v>14360</v>
      </c>
      <c r="L1735" t="s">
        <v>14360</v>
      </c>
      <c r="M1735" t="s">
        <v>14360</v>
      </c>
      <c r="N1735" t="s">
        <v>3863</v>
      </c>
      <c r="O1735" t="s">
        <v>14360</v>
      </c>
      <c r="P1735" t="s">
        <v>7477</v>
      </c>
      <c r="Q1735" t="s">
        <v>14360</v>
      </c>
      <c r="R1735" t="s">
        <v>14360</v>
      </c>
      <c r="S1735" t="s">
        <v>18840</v>
      </c>
    </row>
    <row r="1736" spans="1:19" x14ac:dyDescent="0.2">
      <c r="A1736" t="s">
        <v>13796</v>
      </c>
      <c r="B1736" t="s">
        <v>14359</v>
      </c>
      <c r="C1736" t="s">
        <v>19970</v>
      </c>
      <c r="D1736" t="str">
        <f>_xlfn.XLOOKUP(E1736,pathways!$A$2:$A$31,pathways!$B$2:$B$31)</f>
        <v>Xenobiotics/other</v>
      </c>
      <c r="E1736" t="s">
        <v>3863</v>
      </c>
      <c r="F1736" t="s">
        <v>4933</v>
      </c>
      <c r="G1736" t="s">
        <v>14360</v>
      </c>
      <c r="H1736" t="s">
        <v>14360</v>
      </c>
      <c r="I1736" t="s">
        <v>4936</v>
      </c>
      <c r="J1736" s="4" t="s">
        <v>4936</v>
      </c>
      <c r="L1736" t="s">
        <v>14360</v>
      </c>
      <c r="M1736" t="s">
        <v>14360</v>
      </c>
      <c r="N1736" t="s">
        <v>3863</v>
      </c>
      <c r="O1736" t="s">
        <v>3863</v>
      </c>
      <c r="P1736" t="s">
        <v>4933</v>
      </c>
      <c r="Q1736" t="s">
        <v>4933</v>
      </c>
      <c r="R1736" t="s">
        <v>14360</v>
      </c>
      <c r="S1736" t="s">
        <v>18840</v>
      </c>
    </row>
    <row r="1737" spans="1:19" x14ac:dyDescent="0.2">
      <c r="A1737" t="s">
        <v>13934</v>
      </c>
      <c r="B1737" t="s">
        <v>14359</v>
      </c>
      <c r="C1737" t="s">
        <v>19972</v>
      </c>
      <c r="D1737" t="str">
        <f>_xlfn.XLOOKUP(E1737,pathways!$A$2:$A$31,pathways!$B$2:$B$31)</f>
        <v>Xenobiotics/other</v>
      </c>
      <c r="E1737" t="s">
        <v>3863</v>
      </c>
      <c r="F1737" t="s">
        <v>7216</v>
      </c>
      <c r="G1737" t="s">
        <v>14360</v>
      </c>
      <c r="H1737" t="s">
        <v>14360</v>
      </c>
      <c r="I1737" t="s">
        <v>8149</v>
      </c>
      <c r="J1737" s="4" t="s">
        <v>8149</v>
      </c>
      <c r="L1737" t="s">
        <v>14360</v>
      </c>
      <c r="M1737" t="s">
        <v>14360</v>
      </c>
      <c r="N1737" t="s">
        <v>3863</v>
      </c>
      <c r="O1737" t="s">
        <v>3863</v>
      </c>
      <c r="P1737" t="s">
        <v>7216</v>
      </c>
      <c r="Q1737" t="s">
        <v>7216</v>
      </c>
      <c r="R1737" t="s">
        <v>14360</v>
      </c>
      <c r="S1737" t="s">
        <v>14360</v>
      </c>
    </row>
    <row r="1738" spans="1:19" x14ac:dyDescent="0.2">
      <c r="A1738" t="s">
        <v>13897</v>
      </c>
      <c r="B1738" t="s">
        <v>14359</v>
      </c>
      <c r="C1738" t="s">
        <v>19973</v>
      </c>
      <c r="D1738" t="str">
        <f>_xlfn.XLOOKUP(E1738,pathways!$A$2:$A$31,pathways!$B$2:$B$31)</f>
        <v>Xenobiotics/other</v>
      </c>
      <c r="E1738" t="s">
        <v>3863</v>
      </c>
      <c r="F1738" t="s">
        <v>4959</v>
      </c>
      <c r="G1738" t="s">
        <v>14360</v>
      </c>
      <c r="H1738" t="s">
        <v>14360</v>
      </c>
      <c r="I1738" t="s">
        <v>7678</v>
      </c>
      <c r="J1738" s="4" t="s">
        <v>7678</v>
      </c>
      <c r="L1738" t="s">
        <v>14360</v>
      </c>
      <c r="M1738" t="s">
        <v>14360</v>
      </c>
      <c r="N1738" t="s">
        <v>3863</v>
      </c>
      <c r="O1738" t="s">
        <v>3863</v>
      </c>
      <c r="P1738" t="s">
        <v>4959</v>
      </c>
      <c r="Q1738" t="s">
        <v>4959</v>
      </c>
      <c r="R1738" t="s">
        <v>14360</v>
      </c>
      <c r="S1738" t="s">
        <v>14360</v>
      </c>
    </row>
    <row r="1739" spans="1:19" x14ac:dyDescent="0.2">
      <c r="A1739" t="s">
        <v>14334</v>
      </c>
      <c r="B1739" t="s">
        <v>14359</v>
      </c>
      <c r="C1739" t="s">
        <v>19976</v>
      </c>
      <c r="D1739" t="str">
        <f>_xlfn.XLOOKUP(E1739,pathways!$A$2:$A$31,pathways!$B$2:$B$31)</f>
        <v>Xenobiotics/other</v>
      </c>
      <c r="E1739" t="s">
        <v>3863</v>
      </c>
      <c r="F1739" t="s">
        <v>3864</v>
      </c>
      <c r="G1739" t="s">
        <v>14360</v>
      </c>
      <c r="H1739" t="s">
        <v>14360</v>
      </c>
      <c r="I1739" t="s">
        <v>14360</v>
      </c>
      <c r="J1739" s="4" t="s">
        <v>13231</v>
      </c>
      <c r="L1739" t="s">
        <v>14360</v>
      </c>
      <c r="M1739" t="s">
        <v>14360</v>
      </c>
      <c r="N1739" t="s">
        <v>14360</v>
      </c>
      <c r="O1739" t="s">
        <v>3863</v>
      </c>
      <c r="P1739" t="s">
        <v>14360</v>
      </c>
      <c r="Q1739" t="s">
        <v>3864</v>
      </c>
      <c r="R1739" t="s">
        <v>14360</v>
      </c>
      <c r="S1739" t="s">
        <v>14360</v>
      </c>
    </row>
    <row r="1740" spans="1:19" x14ac:dyDescent="0.2">
      <c r="A1740" t="s">
        <v>14102</v>
      </c>
      <c r="B1740" t="s">
        <v>14359</v>
      </c>
      <c r="C1740" t="s">
        <v>19977</v>
      </c>
      <c r="D1740" t="str">
        <f>_xlfn.XLOOKUP(E1740,pathways!$A$2:$A$31,pathways!$B$2:$B$31)</f>
        <v>Xenobiotics/other</v>
      </c>
      <c r="E1740" t="s">
        <v>3863</v>
      </c>
      <c r="F1740" t="s">
        <v>6220</v>
      </c>
      <c r="G1740" t="s">
        <v>14360</v>
      </c>
      <c r="H1740" t="s">
        <v>14360</v>
      </c>
      <c r="I1740" t="s">
        <v>10227</v>
      </c>
      <c r="J1740" s="4" t="s">
        <v>14360</v>
      </c>
      <c r="L1740" t="s">
        <v>14360</v>
      </c>
      <c r="M1740" t="s">
        <v>14360</v>
      </c>
      <c r="N1740" t="s">
        <v>3863</v>
      </c>
      <c r="O1740" t="s">
        <v>14360</v>
      </c>
      <c r="P1740" t="s">
        <v>6220</v>
      </c>
      <c r="Q1740" t="s">
        <v>14360</v>
      </c>
      <c r="R1740" t="s">
        <v>14360</v>
      </c>
      <c r="S1740" t="s">
        <v>14360</v>
      </c>
    </row>
    <row r="1741" spans="1:19" x14ac:dyDescent="0.2">
      <c r="A1741" t="s">
        <v>2513</v>
      </c>
      <c r="B1741" t="s">
        <v>14359</v>
      </c>
      <c r="C1741" t="s">
        <v>19671</v>
      </c>
      <c r="D1741" t="str">
        <f>_xlfn.XLOOKUP(E1741,pathways!$A$2:$A$31,pathways!$B$2:$B$31)</f>
        <v>Xenobiotics/other</v>
      </c>
      <c r="E1741" t="s">
        <v>3863</v>
      </c>
      <c r="F1741" t="s">
        <v>3864</v>
      </c>
      <c r="G1741" t="s">
        <v>3867</v>
      </c>
      <c r="H1741" t="s">
        <v>14360</v>
      </c>
      <c r="I1741" t="s">
        <v>3867</v>
      </c>
      <c r="J1741" s="4" t="s">
        <v>3867</v>
      </c>
      <c r="L1741" t="s">
        <v>2512</v>
      </c>
      <c r="M1741" t="s">
        <v>15825</v>
      </c>
      <c r="N1741" t="s">
        <v>3863</v>
      </c>
      <c r="O1741" t="s">
        <v>3863</v>
      </c>
      <c r="P1741" t="s">
        <v>3864</v>
      </c>
      <c r="Q1741" t="s">
        <v>3864</v>
      </c>
      <c r="R1741" t="s">
        <v>3863</v>
      </c>
      <c r="S1741" t="s">
        <v>18840</v>
      </c>
    </row>
    <row r="1742" spans="1:19" x14ac:dyDescent="0.2">
      <c r="A1742" t="s">
        <v>2179</v>
      </c>
      <c r="B1742" t="s">
        <v>14359</v>
      </c>
      <c r="C1742" t="s">
        <v>19565</v>
      </c>
      <c r="D1742" t="str">
        <f>_xlfn.XLOOKUP(E1742,pathways!$A$2:$A$31,pathways!$B$2:$B$31)</f>
        <v>Xenobiotics/other</v>
      </c>
      <c r="E1742" t="s">
        <v>3863</v>
      </c>
      <c r="F1742" t="s">
        <v>3864</v>
      </c>
      <c r="G1742" t="s">
        <v>14360</v>
      </c>
      <c r="H1742" t="s">
        <v>14360</v>
      </c>
      <c r="I1742" t="s">
        <v>9778</v>
      </c>
      <c r="J1742" s="4" t="s">
        <v>9778</v>
      </c>
      <c r="L1742" t="s">
        <v>2178</v>
      </c>
      <c r="M1742" t="s">
        <v>15476</v>
      </c>
      <c r="N1742" t="s">
        <v>3863</v>
      </c>
      <c r="O1742" t="s">
        <v>3863</v>
      </c>
      <c r="P1742" t="s">
        <v>3864</v>
      </c>
      <c r="Q1742" t="s">
        <v>3864</v>
      </c>
      <c r="R1742" t="s">
        <v>3863</v>
      </c>
      <c r="S1742" t="s">
        <v>14360</v>
      </c>
    </row>
    <row r="1743" spans="1:19" x14ac:dyDescent="0.2">
      <c r="A1743" t="s">
        <v>2214</v>
      </c>
      <c r="B1743" t="s">
        <v>14359</v>
      </c>
      <c r="C1743" t="s">
        <v>19573</v>
      </c>
      <c r="D1743" t="str">
        <f>_xlfn.XLOOKUP(E1743,pathways!$A$2:$A$31,pathways!$B$2:$B$31)</f>
        <v>Xenobiotics/other</v>
      </c>
      <c r="E1743" t="s">
        <v>3863</v>
      </c>
      <c r="F1743" t="s">
        <v>3864</v>
      </c>
      <c r="G1743" t="s">
        <v>14360</v>
      </c>
      <c r="H1743" t="s">
        <v>14360</v>
      </c>
      <c r="I1743" t="s">
        <v>9779</v>
      </c>
      <c r="J1743" s="4" t="s">
        <v>9779</v>
      </c>
      <c r="L1743" t="s">
        <v>2213</v>
      </c>
      <c r="M1743" t="s">
        <v>15511</v>
      </c>
      <c r="N1743" t="s">
        <v>3863</v>
      </c>
      <c r="O1743" t="s">
        <v>3863</v>
      </c>
      <c r="P1743" t="s">
        <v>3864</v>
      </c>
      <c r="Q1743" t="s">
        <v>3864</v>
      </c>
      <c r="R1743" t="s">
        <v>3863</v>
      </c>
      <c r="S1743" t="s">
        <v>18840</v>
      </c>
    </row>
    <row r="1744" spans="1:19" x14ac:dyDescent="0.2">
      <c r="A1744" t="s">
        <v>2222</v>
      </c>
      <c r="B1744" t="s">
        <v>14359</v>
      </c>
      <c r="C1744" t="s">
        <v>19576</v>
      </c>
      <c r="D1744" t="str">
        <f>_xlfn.XLOOKUP(E1744,pathways!$A$2:$A$31,pathways!$B$2:$B$31)</f>
        <v>Xenobiotics/other</v>
      </c>
      <c r="E1744" t="s">
        <v>3863</v>
      </c>
      <c r="F1744" t="s">
        <v>3864</v>
      </c>
      <c r="G1744" t="s">
        <v>14360</v>
      </c>
      <c r="H1744" t="s">
        <v>14360</v>
      </c>
      <c r="I1744" t="s">
        <v>9780</v>
      </c>
      <c r="J1744" s="4" t="s">
        <v>9780</v>
      </c>
      <c r="L1744" t="s">
        <v>2221</v>
      </c>
      <c r="M1744" t="s">
        <v>15519</v>
      </c>
      <c r="N1744" t="s">
        <v>3863</v>
      </c>
      <c r="O1744" t="s">
        <v>3863</v>
      </c>
      <c r="P1744" t="s">
        <v>3864</v>
      </c>
      <c r="Q1744" t="s">
        <v>3864</v>
      </c>
      <c r="R1744" t="s">
        <v>3863</v>
      </c>
      <c r="S1744" t="s">
        <v>18840</v>
      </c>
    </row>
    <row r="1745" spans="1:19" x14ac:dyDescent="0.2">
      <c r="A1745" t="s">
        <v>14335</v>
      </c>
      <c r="B1745" t="s">
        <v>14359</v>
      </c>
      <c r="C1745" t="s">
        <v>19982</v>
      </c>
      <c r="D1745" t="str">
        <f>_xlfn.XLOOKUP(E1745,pathways!$A$2:$A$31,pathways!$B$2:$B$31)</f>
        <v>Xenobiotics/other</v>
      </c>
      <c r="E1745" t="s">
        <v>3863</v>
      </c>
      <c r="F1745" t="s">
        <v>5632</v>
      </c>
      <c r="G1745" t="s">
        <v>14360</v>
      </c>
      <c r="H1745" t="s">
        <v>14360</v>
      </c>
      <c r="I1745" t="s">
        <v>14360</v>
      </c>
      <c r="J1745" s="4" t="s">
        <v>13238</v>
      </c>
      <c r="L1745" t="s">
        <v>14360</v>
      </c>
      <c r="M1745" t="s">
        <v>14360</v>
      </c>
      <c r="N1745" t="s">
        <v>14360</v>
      </c>
      <c r="O1745" t="s">
        <v>3863</v>
      </c>
      <c r="P1745" t="s">
        <v>14360</v>
      </c>
      <c r="Q1745" t="s">
        <v>5632</v>
      </c>
      <c r="R1745" t="s">
        <v>14360</v>
      </c>
      <c r="S1745" t="s">
        <v>18840</v>
      </c>
    </row>
    <row r="1746" spans="1:19" x14ac:dyDescent="0.2">
      <c r="A1746" t="s">
        <v>1708</v>
      </c>
      <c r="B1746" t="s">
        <v>14359</v>
      </c>
      <c r="C1746" t="s">
        <v>19374</v>
      </c>
      <c r="D1746" t="str">
        <f>_xlfn.XLOOKUP(E1746,pathways!$A$2:$A$31,pathways!$B$2:$B$31)</f>
        <v>Xenobiotics/other</v>
      </c>
      <c r="E1746" t="s">
        <v>3863</v>
      </c>
      <c r="F1746" t="s">
        <v>5082</v>
      </c>
      <c r="G1746" t="s">
        <v>8135</v>
      </c>
      <c r="H1746" t="s">
        <v>14360</v>
      </c>
      <c r="I1746" t="s">
        <v>8135</v>
      </c>
      <c r="J1746" s="4" t="s">
        <v>8135</v>
      </c>
      <c r="L1746" t="s">
        <v>1707</v>
      </c>
      <c r="M1746" t="s">
        <v>15001</v>
      </c>
      <c r="N1746" t="s">
        <v>3863</v>
      </c>
      <c r="O1746" t="s">
        <v>3863</v>
      </c>
      <c r="P1746" t="s">
        <v>5082</v>
      </c>
      <c r="Q1746" t="s">
        <v>5082</v>
      </c>
      <c r="R1746" t="s">
        <v>3863</v>
      </c>
      <c r="S1746" t="s">
        <v>18840</v>
      </c>
    </row>
    <row r="1747" spans="1:19" x14ac:dyDescent="0.2">
      <c r="A1747" t="s">
        <v>1102</v>
      </c>
      <c r="B1747" t="s">
        <v>14359</v>
      </c>
      <c r="C1747" t="s">
        <v>19175</v>
      </c>
      <c r="D1747" t="str">
        <f>_xlfn.XLOOKUP(E1747,pathways!$A$2:$A$31,pathways!$B$2:$B$31)</f>
        <v>Xenobiotics/other</v>
      </c>
      <c r="E1747" t="s">
        <v>3863</v>
      </c>
      <c r="F1747" t="s">
        <v>5082</v>
      </c>
      <c r="G1747" t="s">
        <v>14360</v>
      </c>
      <c r="H1747" t="s">
        <v>14360</v>
      </c>
      <c r="I1747" t="s">
        <v>5169</v>
      </c>
      <c r="J1747" s="4" t="s">
        <v>5169</v>
      </c>
      <c r="L1747" t="s">
        <v>1101</v>
      </c>
      <c r="M1747" t="s">
        <v>14370</v>
      </c>
      <c r="N1747" t="s">
        <v>3863</v>
      </c>
      <c r="O1747" t="s">
        <v>3863</v>
      </c>
      <c r="P1747" t="s">
        <v>5082</v>
      </c>
      <c r="Q1747" t="s">
        <v>5082</v>
      </c>
      <c r="R1747" t="s">
        <v>3863</v>
      </c>
      <c r="S1747" t="s">
        <v>18840</v>
      </c>
    </row>
    <row r="1748" spans="1:19" x14ac:dyDescent="0.2">
      <c r="A1748" t="s">
        <v>1684</v>
      </c>
      <c r="B1748" t="s">
        <v>14359</v>
      </c>
      <c r="C1748" t="s">
        <v>19368</v>
      </c>
      <c r="D1748" t="str">
        <f>_xlfn.XLOOKUP(E1748,pathways!$A$2:$A$31,pathways!$B$2:$B$31)</f>
        <v>Xenobiotics/other</v>
      </c>
      <c r="E1748" t="s">
        <v>3863</v>
      </c>
      <c r="F1748" t="s">
        <v>3864</v>
      </c>
      <c r="G1748" t="s">
        <v>14360</v>
      </c>
      <c r="H1748" t="s">
        <v>14360</v>
      </c>
      <c r="I1748" t="s">
        <v>8042</v>
      </c>
      <c r="J1748" s="4" t="s">
        <v>14360</v>
      </c>
      <c r="L1748" t="s">
        <v>1683</v>
      </c>
      <c r="M1748" t="s">
        <v>14975</v>
      </c>
      <c r="N1748" t="s">
        <v>3863</v>
      </c>
      <c r="O1748" t="s">
        <v>14360</v>
      </c>
      <c r="P1748" t="s">
        <v>3864</v>
      </c>
      <c r="Q1748" t="s">
        <v>14360</v>
      </c>
      <c r="R1748" t="s">
        <v>3863</v>
      </c>
      <c r="S1748" t="s">
        <v>18840</v>
      </c>
    </row>
    <row r="1749" spans="1:19" x14ac:dyDescent="0.2">
      <c r="A1749" t="s">
        <v>1411</v>
      </c>
      <c r="B1749" t="s">
        <v>14359</v>
      </c>
      <c r="C1749" t="s">
        <v>19279</v>
      </c>
      <c r="D1749" t="str">
        <f>_xlfn.XLOOKUP(E1749,pathways!$A$2:$A$31,pathways!$B$2:$B$31)</f>
        <v>Xenobiotics/other</v>
      </c>
      <c r="E1749" t="s">
        <v>3863</v>
      </c>
      <c r="F1749" t="s">
        <v>3864</v>
      </c>
      <c r="G1749" t="s">
        <v>14360</v>
      </c>
      <c r="H1749" t="s">
        <v>14360</v>
      </c>
      <c r="I1749" t="s">
        <v>6594</v>
      </c>
      <c r="J1749" s="4" t="s">
        <v>6594</v>
      </c>
      <c r="L1749" t="s">
        <v>1410</v>
      </c>
      <c r="M1749" t="s">
        <v>14696</v>
      </c>
      <c r="N1749" t="s">
        <v>3863</v>
      </c>
      <c r="O1749" t="s">
        <v>3863</v>
      </c>
      <c r="P1749" t="s">
        <v>3864</v>
      </c>
      <c r="Q1749" t="s">
        <v>3864</v>
      </c>
      <c r="R1749" t="s">
        <v>3863</v>
      </c>
      <c r="S1749" t="s">
        <v>18840</v>
      </c>
    </row>
    <row r="1750" spans="1:19" x14ac:dyDescent="0.2">
      <c r="A1750" t="s">
        <v>14336</v>
      </c>
      <c r="B1750" t="s">
        <v>14359</v>
      </c>
      <c r="C1750" t="s">
        <v>19989</v>
      </c>
      <c r="D1750" t="str">
        <f>_xlfn.XLOOKUP(E1750,pathways!$A$2:$A$31,pathways!$B$2:$B$31)</f>
        <v>Xenobiotics/other</v>
      </c>
      <c r="E1750" t="s">
        <v>3863</v>
      </c>
      <c r="F1750" t="s">
        <v>4959</v>
      </c>
      <c r="G1750" t="s">
        <v>14360</v>
      </c>
      <c r="H1750" t="s">
        <v>14360</v>
      </c>
      <c r="I1750" t="s">
        <v>14360</v>
      </c>
      <c r="J1750" s="4" t="s">
        <v>13249</v>
      </c>
      <c r="L1750" t="s">
        <v>14360</v>
      </c>
      <c r="M1750" t="s">
        <v>14360</v>
      </c>
      <c r="N1750" t="s">
        <v>14360</v>
      </c>
      <c r="O1750" t="s">
        <v>3863</v>
      </c>
      <c r="P1750" t="s">
        <v>14360</v>
      </c>
      <c r="Q1750" t="s">
        <v>4959</v>
      </c>
      <c r="R1750" t="s">
        <v>14360</v>
      </c>
      <c r="S1750" t="s">
        <v>18840</v>
      </c>
    </row>
    <row r="1751" spans="1:19" x14ac:dyDescent="0.2">
      <c r="A1751" t="s">
        <v>13892</v>
      </c>
      <c r="B1751" t="s">
        <v>14359</v>
      </c>
      <c r="C1751" t="s">
        <v>19990</v>
      </c>
      <c r="D1751" t="str">
        <f>_xlfn.XLOOKUP(E1751,pathways!$A$2:$A$31,pathways!$B$2:$B$31)</f>
        <v>Xenobiotics/other</v>
      </c>
      <c r="E1751" t="s">
        <v>3863</v>
      </c>
      <c r="F1751" t="s">
        <v>7216</v>
      </c>
      <c r="G1751" t="s">
        <v>14360</v>
      </c>
      <c r="H1751" t="s">
        <v>14360</v>
      </c>
      <c r="I1751" t="s">
        <v>7609</v>
      </c>
      <c r="J1751" s="4" t="s">
        <v>7609</v>
      </c>
      <c r="L1751" t="s">
        <v>14360</v>
      </c>
      <c r="M1751" t="s">
        <v>14360</v>
      </c>
      <c r="N1751" t="s">
        <v>3863</v>
      </c>
      <c r="O1751" t="s">
        <v>3863</v>
      </c>
      <c r="P1751" t="s">
        <v>7216</v>
      </c>
      <c r="Q1751" t="s">
        <v>7216</v>
      </c>
      <c r="R1751" t="s">
        <v>14360</v>
      </c>
      <c r="S1751" t="s">
        <v>18840</v>
      </c>
    </row>
    <row r="1752" spans="1:19" x14ac:dyDescent="0.2">
      <c r="A1752" t="s">
        <v>1439</v>
      </c>
      <c r="B1752" t="s">
        <v>14359</v>
      </c>
      <c r="C1752" t="s">
        <v>19290</v>
      </c>
      <c r="D1752" t="str">
        <f>_xlfn.XLOOKUP(E1752,pathways!$A$2:$A$31,pathways!$B$2:$B$31)</f>
        <v>Xenobiotics/other</v>
      </c>
      <c r="E1752" t="s">
        <v>3863</v>
      </c>
      <c r="F1752" t="s">
        <v>4142</v>
      </c>
      <c r="G1752" t="s">
        <v>14360</v>
      </c>
      <c r="H1752" t="s">
        <v>14360</v>
      </c>
      <c r="I1752" t="s">
        <v>6704</v>
      </c>
      <c r="J1752" s="4" t="s">
        <v>6704</v>
      </c>
      <c r="L1752" t="s">
        <v>1438</v>
      </c>
      <c r="M1752" t="s">
        <v>14724</v>
      </c>
      <c r="N1752" t="s">
        <v>3863</v>
      </c>
      <c r="O1752" t="s">
        <v>3863</v>
      </c>
      <c r="P1752" t="s">
        <v>4142</v>
      </c>
      <c r="Q1752" t="s">
        <v>4142</v>
      </c>
      <c r="R1752" t="s">
        <v>3863</v>
      </c>
      <c r="S1752" t="s">
        <v>14360</v>
      </c>
    </row>
    <row r="1753" spans="1:19" x14ac:dyDescent="0.2">
      <c r="A1753" t="s">
        <v>13831</v>
      </c>
      <c r="B1753" t="s">
        <v>14359</v>
      </c>
      <c r="C1753" t="s">
        <v>19991</v>
      </c>
      <c r="D1753" t="str">
        <f>_xlfn.XLOOKUP(E1753,pathways!$A$2:$A$31,pathways!$B$2:$B$31)</f>
        <v>Xenobiotics/other</v>
      </c>
      <c r="E1753" t="s">
        <v>3863</v>
      </c>
      <c r="F1753" t="s">
        <v>4933</v>
      </c>
      <c r="G1753" t="s">
        <v>14360</v>
      </c>
      <c r="H1753" t="s">
        <v>14360</v>
      </c>
      <c r="I1753" t="s">
        <v>6195</v>
      </c>
      <c r="J1753" s="4" t="s">
        <v>14360</v>
      </c>
      <c r="L1753" t="s">
        <v>14360</v>
      </c>
      <c r="M1753" t="s">
        <v>14360</v>
      </c>
      <c r="N1753" t="s">
        <v>3863</v>
      </c>
      <c r="O1753" t="s">
        <v>14360</v>
      </c>
      <c r="P1753" t="s">
        <v>4933</v>
      </c>
      <c r="Q1753" t="s">
        <v>14360</v>
      </c>
      <c r="R1753" t="s">
        <v>14360</v>
      </c>
      <c r="S1753" t="s">
        <v>14360</v>
      </c>
    </row>
    <row r="1754" spans="1:19" x14ac:dyDescent="0.2">
      <c r="A1754" t="s">
        <v>13889</v>
      </c>
      <c r="B1754" t="s">
        <v>14359</v>
      </c>
      <c r="C1754" t="s">
        <v>19992</v>
      </c>
      <c r="D1754" t="str">
        <f>_xlfn.XLOOKUP(E1754,pathways!$A$2:$A$31,pathways!$B$2:$B$31)</f>
        <v>Xenobiotics/other</v>
      </c>
      <c r="E1754" t="s">
        <v>3863</v>
      </c>
      <c r="F1754" t="s">
        <v>4365</v>
      </c>
      <c r="G1754" t="s">
        <v>14360</v>
      </c>
      <c r="H1754" t="s">
        <v>14360</v>
      </c>
      <c r="I1754" t="s">
        <v>7585</v>
      </c>
      <c r="J1754" s="4" t="s">
        <v>7585</v>
      </c>
      <c r="L1754" t="s">
        <v>14360</v>
      </c>
      <c r="M1754" t="s">
        <v>14360</v>
      </c>
      <c r="N1754" t="s">
        <v>3863</v>
      </c>
      <c r="O1754" t="s">
        <v>3863</v>
      </c>
      <c r="P1754" t="s">
        <v>4365</v>
      </c>
      <c r="Q1754" t="s">
        <v>4365</v>
      </c>
      <c r="R1754" t="s">
        <v>14360</v>
      </c>
      <c r="S1754" t="s">
        <v>18840</v>
      </c>
    </row>
    <row r="1755" spans="1:19" x14ac:dyDescent="0.2">
      <c r="A1755" t="s">
        <v>13932</v>
      </c>
      <c r="B1755" t="s">
        <v>14359</v>
      </c>
      <c r="C1755" t="s">
        <v>20115</v>
      </c>
      <c r="D1755" t="str">
        <f>_xlfn.XLOOKUP(E1755,pathways!$A$2:$A$31,pathways!$B$2:$B$31)</f>
        <v>Xenobiotics/other</v>
      </c>
      <c r="E1755" t="s">
        <v>3863</v>
      </c>
      <c r="F1755" t="s">
        <v>6220</v>
      </c>
      <c r="G1755" t="s">
        <v>14360</v>
      </c>
      <c r="H1755" t="s">
        <v>14360</v>
      </c>
      <c r="I1755" t="s">
        <v>8123</v>
      </c>
      <c r="J1755" s="4" t="s">
        <v>8123</v>
      </c>
      <c r="L1755" t="s">
        <v>14360</v>
      </c>
      <c r="M1755" t="s">
        <v>14360</v>
      </c>
      <c r="N1755" t="s">
        <v>3863</v>
      </c>
      <c r="O1755" t="s">
        <v>3863</v>
      </c>
      <c r="P1755" t="s">
        <v>6220</v>
      </c>
      <c r="Q1755" t="s">
        <v>6220</v>
      </c>
      <c r="R1755" t="s">
        <v>14360</v>
      </c>
      <c r="S1755" t="s">
        <v>18840</v>
      </c>
    </row>
    <row r="1756" spans="1:19" x14ac:dyDescent="0.2">
      <c r="A1756" t="s">
        <v>13800</v>
      </c>
      <c r="B1756" t="s">
        <v>14359</v>
      </c>
      <c r="C1756" t="s">
        <v>19994</v>
      </c>
      <c r="D1756" t="str">
        <f>_xlfn.XLOOKUP(E1756,pathways!$A$2:$A$31,pathways!$B$2:$B$31)</f>
        <v>Xenobiotics/other</v>
      </c>
      <c r="E1756" t="s">
        <v>3863</v>
      </c>
      <c r="F1756" t="s">
        <v>4942</v>
      </c>
      <c r="G1756" t="s">
        <v>14360</v>
      </c>
      <c r="H1756" t="s">
        <v>14360</v>
      </c>
      <c r="I1756" t="s">
        <v>4977</v>
      </c>
      <c r="J1756" s="4" t="s">
        <v>4977</v>
      </c>
      <c r="L1756" t="s">
        <v>14360</v>
      </c>
      <c r="M1756" t="s">
        <v>14360</v>
      </c>
      <c r="N1756" t="s">
        <v>3863</v>
      </c>
      <c r="O1756" t="s">
        <v>3863</v>
      </c>
      <c r="P1756" t="s">
        <v>4942</v>
      </c>
      <c r="Q1756" t="s">
        <v>4942</v>
      </c>
      <c r="R1756" t="s">
        <v>14360</v>
      </c>
      <c r="S1756" t="s">
        <v>18840</v>
      </c>
    </row>
    <row r="1757" spans="1:19" x14ac:dyDescent="0.2">
      <c r="A1757" t="s">
        <v>13884</v>
      </c>
      <c r="B1757" t="s">
        <v>14359</v>
      </c>
      <c r="C1757" t="s">
        <v>19995</v>
      </c>
      <c r="D1757" t="str">
        <f>_xlfn.XLOOKUP(E1757,pathways!$A$2:$A$31,pathways!$B$2:$B$31)</f>
        <v>Xenobiotics/other</v>
      </c>
      <c r="E1757" t="s">
        <v>3863</v>
      </c>
      <c r="F1757" t="s">
        <v>4942</v>
      </c>
      <c r="G1757" t="s">
        <v>14360</v>
      </c>
      <c r="H1757" t="s">
        <v>14360</v>
      </c>
      <c r="I1757" t="s">
        <v>7472</v>
      </c>
      <c r="J1757" s="4" t="s">
        <v>7472</v>
      </c>
      <c r="L1757" t="s">
        <v>14360</v>
      </c>
      <c r="M1757" t="s">
        <v>14360</v>
      </c>
      <c r="N1757" t="s">
        <v>3863</v>
      </c>
      <c r="O1757" t="s">
        <v>3863</v>
      </c>
      <c r="P1757" t="s">
        <v>4942</v>
      </c>
      <c r="Q1757" t="s">
        <v>4942</v>
      </c>
      <c r="R1757" t="s">
        <v>14360</v>
      </c>
      <c r="S1757" t="s">
        <v>18840</v>
      </c>
    </row>
    <row r="1758" spans="1:19" x14ac:dyDescent="0.2">
      <c r="A1758" t="s">
        <v>13819</v>
      </c>
      <c r="B1758" t="s">
        <v>14359</v>
      </c>
      <c r="C1758" t="s">
        <v>19209</v>
      </c>
      <c r="D1758" t="str">
        <f>_xlfn.XLOOKUP(E1758,pathways!$A$2:$A$31,pathways!$B$2:$B$31)</f>
        <v>Xenobiotics/other</v>
      </c>
      <c r="E1758" t="s">
        <v>3863</v>
      </c>
      <c r="F1758" t="s">
        <v>5632</v>
      </c>
      <c r="G1758" t="s">
        <v>14360</v>
      </c>
      <c r="H1758" t="s">
        <v>14360</v>
      </c>
      <c r="I1758" t="s">
        <v>5635</v>
      </c>
      <c r="J1758" s="4" t="s">
        <v>5635</v>
      </c>
      <c r="L1758" t="s">
        <v>1189</v>
      </c>
      <c r="M1758" t="s">
        <v>14462</v>
      </c>
      <c r="N1758" t="s">
        <v>3863</v>
      </c>
      <c r="O1758" t="s">
        <v>3863</v>
      </c>
      <c r="P1758" t="s">
        <v>5632</v>
      </c>
      <c r="Q1758" t="s">
        <v>5632</v>
      </c>
      <c r="R1758" t="s">
        <v>3863</v>
      </c>
      <c r="S1758" t="s">
        <v>18840</v>
      </c>
    </row>
    <row r="1759" spans="1:19" x14ac:dyDescent="0.2">
      <c r="A1759" t="s">
        <v>14098</v>
      </c>
      <c r="B1759" t="s">
        <v>14359</v>
      </c>
      <c r="C1759" t="s">
        <v>19996</v>
      </c>
      <c r="D1759" t="str">
        <f>_xlfn.XLOOKUP(E1759,pathways!$A$2:$A$31,pathways!$B$2:$B$31)</f>
        <v>Xenobiotics/other</v>
      </c>
      <c r="E1759" t="s">
        <v>3863</v>
      </c>
      <c r="F1759" t="s">
        <v>7216</v>
      </c>
      <c r="G1759" t="s">
        <v>14360</v>
      </c>
      <c r="H1759" t="s">
        <v>14360</v>
      </c>
      <c r="I1759" t="s">
        <v>10204</v>
      </c>
      <c r="J1759" s="4" t="s">
        <v>14360</v>
      </c>
      <c r="L1759" t="s">
        <v>14360</v>
      </c>
      <c r="M1759" t="s">
        <v>14360</v>
      </c>
      <c r="N1759" t="s">
        <v>3863</v>
      </c>
      <c r="O1759" t="s">
        <v>14360</v>
      </c>
      <c r="P1759" t="s">
        <v>7216</v>
      </c>
      <c r="Q1759" t="s">
        <v>14360</v>
      </c>
      <c r="R1759" t="s">
        <v>14360</v>
      </c>
      <c r="S1759" t="s">
        <v>14360</v>
      </c>
    </row>
    <row r="1760" spans="1:19" x14ac:dyDescent="0.2">
      <c r="A1760" t="s">
        <v>13947</v>
      </c>
      <c r="B1760" t="s">
        <v>14359</v>
      </c>
      <c r="C1760" t="s">
        <v>19997</v>
      </c>
      <c r="D1760" t="str">
        <f>_xlfn.XLOOKUP(E1760,pathways!$A$2:$A$31,pathways!$B$2:$B$31)</f>
        <v>Xenobiotics/other</v>
      </c>
      <c r="E1760" t="s">
        <v>3863</v>
      </c>
      <c r="F1760" t="s">
        <v>3864</v>
      </c>
      <c r="G1760" t="s">
        <v>14360</v>
      </c>
      <c r="H1760" t="s">
        <v>14360</v>
      </c>
      <c r="I1760" t="s">
        <v>8433</v>
      </c>
      <c r="J1760" s="4" t="s">
        <v>8433</v>
      </c>
      <c r="L1760" t="s">
        <v>14360</v>
      </c>
      <c r="M1760" t="s">
        <v>14360</v>
      </c>
      <c r="N1760" t="s">
        <v>3863</v>
      </c>
      <c r="O1760" t="s">
        <v>3863</v>
      </c>
      <c r="P1760" t="s">
        <v>3864</v>
      </c>
      <c r="Q1760" t="s">
        <v>3864</v>
      </c>
      <c r="R1760" t="s">
        <v>14360</v>
      </c>
      <c r="S1760" t="s">
        <v>18840</v>
      </c>
    </row>
    <row r="1761" spans="1:19" x14ac:dyDescent="0.2">
      <c r="A1761" t="s">
        <v>13931</v>
      </c>
      <c r="B1761" t="s">
        <v>14359</v>
      </c>
      <c r="C1761" t="s">
        <v>20000</v>
      </c>
      <c r="D1761" t="str">
        <f>_xlfn.XLOOKUP(E1761,pathways!$A$2:$A$31,pathways!$B$2:$B$31)</f>
        <v>Xenobiotics/other</v>
      </c>
      <c r="E1761" t="s">
        <v>3863</v>
      </c>
      <c r="F1761" t="s">
        <v>6220</v>
      </c>
      <c r="G1761" t="s">
        <v>14360</v>
      </c>
      <c r="H1761" t="s">
        <v>14360</v>
      </c>
      <c r="I1761" t="s">
        <v>8118</v>
      </c>
      <c r="J1761" s="4" t="s">
        <v>8118</v>
      </c>
      <c r="L1761" t="s">
        <v>14360</v>
      </c>
      <c r="M1761" t="s">
        <v>14360</v>
      </c>
      <c r="N1761" t="s">
        <v>3863</v>
      </c>
      <c r="O1761" t="s">
        <v>3863</v>
      </c>
      <c r="P1761" t="s">
        <v>6220</v>
      </c>
      <c r="Q1761" t="s">
        <v>6220</v>
      </c>
      <c r="R1761" t="s">
        <v>14360</v>
      </c>
      <c r="S1761" t="s">
        <v>18840</v>
      </c>
    </row>
    <row r="1762" spans="1:19" x14ac:dyDescent="0.2">
      <c r="A1762" t="s">
        <v>13977</v>
      </c>
      <c r="B1762" t="s">
        <v>14359</v>
      </c>
      <c r="C1762" t="s">
        <v>20002</v>
      </c>
      <c r="D1762" t="str">
        <f>_xlfn.XLOOKUP(E1762,pathways!$A$2:$A$31,pathways!$B$2:$B$31)</f>
        <v>Xenobiotics/other</v>
      </c>
      <c r="E1762" t="s">
        <v>3863</v>
      </c>
      <c r="F1762" t="s">
        <v>4959</v>
      </c>
      <c r="G1762" t="s">
        <v>14360</v>
      </c>
      <c r="H1762" t="s">
        <v>14360</v>
      </c>
      <c r="I1762" t="s">
        <v>9223</v>
      </c>
      <c r="J1762" s="4" t="s">
        <v>14360</v>
      </c>
      <c r="L1762" t="s">
        <v>14360</v>
      </c>
      <c r="M1762" t="s">
        <v>14360</v>
      </c>
      <c r="N1762" t="s">
        <v>3863</v>
      </c>
      <c r="O1762" t="s">
        <v>14360</v>
      </c>
      <c r="P1762" t="s">
        <v>4959</v>
      </c>
      <c r="Q1762" t="s">
        <v>14360</v>
      </c>
      <c r="R1762" t="s">
        <v>14360</v>
      </c>
      <c r="S1762" t="s">
        <v>14360</v>
      </c>
    </row>
    <row r="1763" spans="1:19" x14ac:dyDescent="0.2">
      <c r="A1763" t="s">
        <v>14337</v>
      </c>
      <c r="B1763" t="s">
        <v>14359</v>
      </c>
      <c r="C1763" t="s">
        <v>20009</v>
      </c>
      <c r="D1763" t="str">
        <f>_xlfn.XLOOKUP(E1763,pathways!$A$2:$A$31,pathways!$B$2:$B$31)</f>
        <v>Xenobiotics/other</v>
      </c>
      <c r="E1763" t="s">
        <v>3863</v>
      </c>
      <c r="F1763" t="s">
        <v>7216</v>
      </c>
      <c r="G1763" t="s">
        <v>14360</v>
      </c>
      <c r="H1763" t="s">
        <v>14360</v>
      </c>
      <c r="I1763" t="s">
        <v>14360</v>
      </c>
      <c r="J1763" s="4" t="s">
        <v>13270</v>
      </c>
      <c r="L1763" t="s">
        <v>14360</v>
      </c>
      <c r="M1763" t="s">
        <v>14360</v>
      </c>
      <c r="N1763" t="s">
        <v>14360</v>
      </c>
      <c r="O1763" t="s">
        <v>3863</v>
      </c>
      <c r="P1763" t="s">
        <v>14360</v>
      </c>
      <c r="Q1763" t="s">
        <v>7216</v>
      </c>
      <c r="R1763" t="s">
        <v>14360</v>
      </c>
      <c r="S1763" t="s">
        <v>14360</v>
      </c>
    </row>
    <row r="1764" spans="1:19" x14ac:dyDescent="0.2">
      <c r="A1764" t="s">
        <v>14058</v>
      </c>
      <c r="B1764" t="s">
        <v>14359</v>
      </c>
      <c r="C1764" t="s">
        <v>20011</v>
      </c>
      <c r="D1764" t="str">
        <f>_xlfn.XLOOKUP(E1764,pathways!$A$2:$A$31,pathways!$B$2:$B$31)</f>
        <v>Xenobiotics/other</v>
      </c>
      <c r="E1764" t="s">
        <v>3863</v>
      </c>
      <c r="F1764" t="s">
        <v>7216</v>
      </c>
      <c r="G1764" t="s">
        <v>14360</v>
      </c>
      <c r="H1764" t="s">
        <v>14360</v>
      </c>
      <c r="I1764" t="s">
        <v>9989</v>
      </c>
      <c r="J1764" s="4" t="s">
        <v>14360</v>
      </c>
      <c r="L1764" t="s">
        <v>14360</v>
      </c>
      <c r="M1764" t="s">
        <v>14360</v>
      </c>
      <c r="N1764" t="s">
        <v>3863</v>
      </c>
      <c r="O1764" t="s">
        <v>14360</v>
      </c>
      <c r="P1764" t="s">
        <v>7216</v>
      </c>
      <c r="Q1764" t="s">
        <v>14360</v>
      </c>
      <c r="R1764" t="s">
        <v>14360</v>
      </c>
      <c r="S1764" t="s">
        <v>18840</v>
      </c>
    </row>
    <row r="1765" spans="1:19" x14ac:dyDescent="0.2">
      <c r="A1765" t="s">
        <v>1694</v>
      </c>
      <c r="B1765" t="s">
        <v>14359</v>
      </c>
      <c r="C1765" t="s">
        <v>19372</v>
      </c>
      <c r="D1765" t="str">
        <f>_xlfn.XLOOKUP(E1765,pathways!$A$2:$A$31,pathways!$B$2:$B$31)</f>
        <v>Xenobiotics/other</v>
      </c>
      <c r="E1765" t="s">
        <v>3863</v>
      </c>
      <c r="F1765" t="s">
        <v>3864</v>
      </c>
      <c r="G1765" t="s">
        <v>20459</v>
      </c>
      <c r="H1765" t="s">
        <v>14360</v>
      </c>
      <c r="I1765" t="s">
        <v>7975</v>
      </c>
      <c r="J1765" s="4" t="s">
        <v>14360</v>
      </c>
      <c r="L1765" t="s">
        <v>1693</v>
      </c>
      <c r="M1765" t="s">
        <v>14985</v>
      </c>
      <c r="N1765" t="s">
        <v>3863</v>
      </c>
      <c r="O1765" t="s">
        <v>14360</v>
      </c>
      <c r="P1765" t="s">
        <v>3864</v>
      </c>
      <c r="Q1765" t="s">
        <v>14360</v>
      </c>
      <c r="R1765" t="s">
        <v>3863</v>
      </c>
      <c r="S1765" t="s">
        <v>18840</v>
      </c>
    </row>
    <row r="1766" spans="1:19" x14ac:dyDescent="0.2">
      <c r="A1766" t="s">
        <v>14056</v>
      </c>
      <c r="B1766" t="s">
        <v>14359</v>
      </c>
      <c r="C1766" t="s">
        <v>20013</v>
      </c>
      <c r="D1766" t="str">
        <f>_xlfn.XLOOKUP(E1766,pathways!$A$2:$A$31,pathways!$B$2:$B$31)</f>
        <v>Xenobiotics/other</v>
      </c>
      <c r="E1766" t="s">
        <v>3863</v>
      </c>
      <c r="F1766" t="s">
        <v>4942</v>
      </c>
      <c r="G1766" t="s">
        <v>14360</v>
      </c>
      <c r="H1766" t="s">
        <v>14360</v>
      </c>
      <c r="I1766" t="s">
        <v>9978</v>
      </c>
      <c r="J1766" s="4" t="s">
        <v>14360</v>
      </c>
      <c r="L1766" t="s">
        <v>14360</v>
      </c>
      <c r="M1766" t="s">
        <v>14360</v>
      </c>
      <c r="N1766" t="s">
        <v>3863</v>
      </c>
      <c r="O1766" t="s">
        <v>14360</v>
      </c>
      <c r="P1766" t="s">
        <v>4942</v>
      </c>
      <c r="Q1766" t="s">
        <v>14360</v>
      </c>
      <c r="R1766" t="s">
        <v>14360</v>
      </c>
      <c r="S1766" t="s">
        <v>18840</v>
      </c>
    </row>
    <row r="1767" spans="1:19" x14ac:dyDescent="0.2">
      <c r="A1767" t="s">
        <v>14122</v>
      </c>
      <c r="B1767" t="s">
        <v>14359</v>
      </c>
      <c r="C1767" t="s">
        <v>20014</v>
      </c>
      <c r="D1767" t="str">
        <f>_xlfn.XLOOKUP(E1767,pathways!$A$2:$A$31,pathways!$B$2:$B$31)</f>
        <v>Xenobiotics/other</v>
      </c>
      <c r="E1767" t="s">
        <v>3863</v>
      </c>
      <c r="F1767" t="s">
        <v>3864</v>
      </c>
      <c r="G1767" t="s">
        <v>14360</v>
      </c>
      <c r="H1767" t="s">
        <v>14360</v>
      </c>
      <c r="I1767" t="s">
        <v>10275</v>
      </c>
      <c r="J1767" s="4" t="s">
        <v>14360</v>
      </c>
      <c r="L1767" t="s">
        <v>14360</v>
      </c>
      <c r="M1767" t="s">
        <v>14360</v>
      </c>
      <c r="N1767" t="s">
        <v>3863</v>
      </c>
      <c r="O1767" t="s">
        <v>14360</v>
      </c>
      <c r="P1767" t="s">
        <v>3864</v>
      </c>
      <c r="Q1767" t="s">
        <v>14360</v>
      </c>
      <c r="R1767" t="s">
        <v>14360</v>
      </c>
      <c r="S1767" t="s">
        <v>18840</v>
      </c>
    </row>
    <row r="1768" spans="1:19" x14ac:dyDescent="0.2">
      <c r="A1768" t="s">
        <v>13883</v>
      </c>
      <c r="B1768" t="s">
        <v>14359</v>
      </c>
      <c r="C1768" t="s">
        <v>20015</v>
      </c>
      <c r="D1768" t="str">
        <f>_xlfn.XLOOKUP(E1768,pathways!$A$2:$A$31,pathways!$B$2:$B$31)</f>
        <v>Xenobiotics/other</v>
      </c>
      <c r="E1768" t="s">
        <v>3863</v>
      </c>
      <c r="F1768" t="s">
        <v>6220</v>
      </c>
      <c r="G1768" t="s">
        <v>14360</v>
      </c>
      <c r="H1768" t="s">
        <v>14360</v>
      </c>
      <c r="I1768" t="s">
        <v>7464</v>
      </c>
      <c r="J1768" s="4" t="s">
        <v>7464</v>
      </c>
      <c r="L1768" t="s">
        <v>14360</v>
      </c>
      <c r="M1768" t="s">
        <v>14360</v>
      </c>
      <c r="N1768" t="s">
        <v>3863</v>
      </c>
      <c r="O1768" t="s">
        <v>3863</v>
      </c>
      <c r="P1768" t="s">
        <v>6220</v>
      </c>
      <c r="Q1768" t="s">
        <v>6220</v>
      </c>
      <c r="R1768" t="s">
        <v>14360</v>
      </c>
      <c r="S1768" t="s">
        <v>14360</v>
      </c>
    </row>
    <row r="1769" spans="1:19" x14ac:dyDescent="0.2">
      <c r="A1769" t="s">
        <v>1770</v>
      </c>
      <c r="B1769" t="s">
        <v>14359</v>
      </c>
      <c r="C1769" t="s">
        <v>19392</v>
      </c>
      <c r="D1769" t="str">
        <f>_xlfn.XLOOKUP(E1769,pathways!$A$2:$A$31,pathways!$B$2:$B$31)</f>
        <v>Xenobiotics/other</v>
      </c>
      <c r="E1769" t="s">
        <v>3863</v>
      </c>
      <c r="F1769" t="s">
        <v>3864</v>
      </c>
      <c r="G1769" t="s">
        <v>8369</v>
      </c>
      <c r="H1769" t="s">
        <v>14360</v>
      </c>
      <c r="I1769" t="s">
        <v>8369</v>
      </c>
      <c r="J1769" s="4" t="s">
        <v>8369</v>
      </c>
      <c r="L1769" t="s">
        <v>1769</v>
      </c>
      <c r="M1769" t="s">
        <v>15067</v>
      </c>
      <c r="N1769" t="s">
        <v>3863</v>
      </c>
      <c r="O1769" t="s">
        <v>3863</v>
      </c>
      <c r="P1769" t="s">
        <v>3864</v>
      </c>
      <c r="Q1769" t="s">
        <v>3864</v>
      </c>
      <c r="R1769" t="s">
        <v>3863</v>
      </c>
      <c r="S1769" t="s">
        <v>14360</v>
      </c>
    </row>
    <row r="1770" spans="1:19" x14ac:dyDescent="0.2">
      <c r="A1770" t="s">
        <v>2373</v>
      </c>
      <c r="B1770" t="s">
        <v>14359</v>
      </c>
      <c r="C1770" t="s">
        <v>19628</v>
      </c>
      <c r="D1770" t="str">
        <f>_xlfn.XLOOKUP(E1770,pathways!$A$2:$A$31,pathways!$B$2:$B$31)</f>
        <v>Xenobiotics/other</v>
      </c>
      <c r="E1770" t="s">
        <v>3863</v>
      </c>
      <c r="F1770" t="s">
        <v>3864</v>
      </c>
      <c r="G1770" t="s">
        <v>4674</v>
      </c>
      <c r="H1770" t="s">
        <v>14360</v>
      </c>
      <c r="I1770" t="s">
        <v>4674</v>
      </c>
      <c r="J1770" s="4" t="s">
        <v>4674</v>
      </c>
      <c r="L1770" t="s">
        <v>2372</v>
      </c>
      <c r="M1770" t="s">
        <v>15671</v>
      </c>
      <c r="N1770" t="s">
        <v>3863</v>
      </c>
      <c r="O1770" t="s">
        <v>3863</v>
      </c>
      <c r="P1770" t="s">
        <v>3864</v>
      </c>
      <c r="Q1770" t="s">
        <v>3864</v>
      </c>
      <c r="R1770" t="s">
        <v>3863</v>
      </c>
      <c r="S1770" t="s">
        <v>14360</v>
      </c>
    </row>
    <row r="1771" spans="1:19" x14ac:dyDescent="0.2">
      <c r="A1771" t="s">
        <v>1792</v>
      </c>
      <c r="B1771" t="s">
        <v>14359</v>
      </c>
      <c r="C1771" t="s">
        <v>19397</v>
      </c>
      <c r="D1771" t="str">
        <f>_xlfn.XLOOKUP(E1771,pathways!$A$2:$A$31,pathways!$B$2:$B$31)</f>
        <v>Xenobiotics/other</v>
      </c>
      <c r="E1771" t="s">
        <v>3863</v>
      </c>
      <c r="F1771" t="s">
        <v>5082</v>
      </c>
      <c r="G1771" t="s">
        <v>14360</v>
      </c>
      <c r="H1771" t="s">
        <v>14360</v>
      </c>
      <c r="I1771" t="s">
        <v>8465</v>
      </c>
      <c r="J1771" s="4" t="s">
        <v>8465</v>
      </c>
      <c r="L1771" t="s">
        <v>1791</v>
      </c>
      <c r="M1771" t="s">
        <v>15091</v>
      </c>
      <c r="N1771" t="s">
        <v>3863</v>
      </c>
      <c r="O1771" t="s">
        <v>3863</v>
      </c>
      <c r="P1771" t="s">
        <v>5082</v>
      </c>
      <c r="Q1771" t="s">
        <v>5082</v>
      </c>
      <c r="R1771" t="s">
        <v>3863</v>
      </c>
      <c r="S1771" t="s">
        <v>18840</v>
      </c>
    </row>
    <row r="1772" spans="1:19" x14ac:dyDescent="0.2">
      <c r="A1772" t="s">
        <v>14007</v>
      </c>
      <c r="B1772" t="s">
        <v>14359</v>
      </c>
      <c r="C1772" t="s">
        <v>20016</v>
      </c>
      <c r="D1772" t="str">
        <f>_xlfn.XLOOKUP(E1772,pathways!$A$2:$A$31,pathways!$B$2:$B$31)</f>
        <v>Xenobiotics/other</v>
      </c>
      <c r="E1772" t="s">
        <v>3863</v>
      </c>
      <c r="F1772" t="s">
        <v>5632</v>
      </c>
      <c r="G1772" t="s">
        <v>14360</v>
      </c>
      <c r="H1772" t="s">
        <v>14360</v>
      </c>
      <c r="I1772" t="s">
        <v>9635</v>
      </c>
      <c r="J1772" s="4" t="s">
        <v>9635</v>
      </c>
      <c r="L1772" t="s">
        <v>14360</v>
      </c>
      <c r="M1772" t="s">
        <v>14360</v>
      </c>
      <c r="N1772" t="s">
        <v>3863</v>
      </c>
      <c r="O1772" t="s">
        <v>3863</v>
      </c>
      <c r="P1772" t="s">
        <v>5632</v>
      </c>
      <c r="Q1772" t="s">
        <v>5632</v>
      </c>
      <c r="R1772" t="s">
        <v>14360</v>
      </c>
      <c r="S1772" t="s">
        <v>18840</v>
      </c>
    </row>
    <row r="1773" spans="1:19" x14ac:dyDescent="0.2">
      <c r="A1773" t="s">
        <v>14338</v>
      </c>
      <c r="B1773" t="s">
        <v>14359</v>
      </c>
      <c r="C1773" t="s">
        <v>20018</v>
      </c>
      <c r="D1773" t="str">
        <f>_xlfn.XLOOKUP(E1773,pathways!$A$2:$A$31,pathways!$B$2:$B$31)</f>
        <v>Xenobiotics/other</v>
      </c>
      <c r="E1773" t="s">
        <v>3863</v>
      </c>
      <c r="F1773" t="s">
        <v>7216</v>
      </c>
      <c r="G1773" t="s">
        <v>14360</v>
      </c>
      <c r="H1773" t="s">
        <v>14360</v>
      </c>
      <c r="I1773" t="s">
        <v>14360</v>
      </c>
      <c r="J1773" s="4" t="s">
        <v>13280</v>
      </c>
      <c r="L1773" t="s">
        <v>14360</v>
      </c>
      <c r="M1773" t="s">
        <v>14360</v>
      </c>
      <c r="N1773" t="s">
        <v>14360</v>
      </c>
      <c r="O1773" t="s">
        <v>3863</v>
      </c>
      <c r="P1773" t="s">
        <v>14360</v>
      </c>
      <c r="Q1773" t="s">
        <v>7216</v>
      </c>
      <c r="R1773" t="s">
        <v>14360</v>
      </c>
      <c r="S1773" t="s">
        <v>18840</v>
      </c>
    </row>
    <row r="1774" spans="1:19" x14ac:dyDescent="0.2">
      <c r="A1774" t="s">
        <v>14339</v>
      </c>
      <c r="B1774" t="s">
        <v>14359</v>
      </c>
      <c r="C1774" t="s">
        <v>20019</v>
      </c>
      <c r="D1774" t="str">
        <f>_xlfn.XLOOKUP(E1774,pathways!$A$2:$A$31,pathways!$B$2:$B$31)</f>
        <v>Xenobiotics/other</v>
      </c>
      <c r="E1774" t="s">
        <v>3863</v>
      </c>
      <c r="F1774" t="s">
        <v>7216</v>
      </c>
      <c r="G1774" t="s">
        <v>14360</v>
      </c>
      <c r="H1774" t="s">
        <v>14360</v>
      </c>
      <c r="I1774" t="s">
        <v>14360</v>
      </c>
      <c r="J1774" s="4" t="s">
        <v>13285</v>
      </c>
      <c r="L1774" t="s">
        <v>14360</v>
      </c>
      <c r="M1774" t="s">
        <v>14360</v>
      </c>
      <c r="N1774" t="s">
        <v>14360</v>
      </c>
      <c r="O1774" t="s">
        <v>3863</v>
      </c>
      <c r="P1774" t="s">
        <v>14360</v>
      </c>
      <c r="Q1774" t="s">
        <v>7216</v>
      </c>
      <c r="R1774" t="s">
        <v>14360</v>
      </c>
      <c r="S1774" t="s">
        <v>18840</v>
      </c>
    </row>
    <row r="1775" spans="1:19" x14ac:dyDescent="0.2">
      <c r="A1775" t="s">
        <v>13996</v>
      </c>
      <c r="B1775" t="s">
        <v>14359</v>
      </c>
      <c r="C1775" t="s">
        <v>20020</v>
      </c>
      <c r="D1775" t="str">
        <f>_xlfn.XLOOKUP(E1775,pathways!$A$2:$A$31,pathways!$B$2:$B$31)</f>
        <v>Xenobiotics/other</v>
      </c>
      <c r="E1775" t="s">
        <v>3863</v>
      </c>
      <c r="F1775" t="s">
        <v>7477</v>
      </c>
      <c r="G1775" t="s">
        <v>14360</v>
      </c>
      <c r="H1775" t="s">
        <v>14360</v>
      </c>
      <c r="I1775" t="s">
        <v>9512</v>
      </c>
      <c r="J1775" s="4" t="s">
        <v>14360</v>
      </c>
      <c r="L1775" t="s">
        <v>14360</v>
      </c>
      <c r="M1775" t="s">
        <v>14360</v>
      </c>
      <c r="N1775" t="s">
        <v>3863</v>
      </c>
      <c r="O1775" t="s">
        <v>14360</v>
      </c>
      <c r="P1775" t="s">
        <v>7477</v>
      </c>
      <c r="Q1775" t="s">
        <v>14360</v>
      </c>
      <c r="R1775" t="s">
        <v>14360</v>
      </c>
      <c r="S1775" t="s">
        <v>14360</v>
      </c>
    </row>
    <row r="1776" spans="1:19" x14ac:dyDescent="0.2">
      <c r="A1776" t="s">
        <v>13917</v>
      </c>
      <c r="B1776" t="s">
        <v>14359</v>
      </c>
      <c r="C1776" t="s">
        <v>20021</v>
      </c>
      <c r="D1776" t="str">
        <f>_xlfn.XLOOKUP(E1776,pathways!$A$2:$A$31,pathways!$B$2:$B$31)</f>
        <v>Xenobiotics/other</v>
      </c>
      <c r="E1776" t="s">
        <v>3863</v>
      </c>
      <c r="F1776" t="s">
        <v>4933</v>
      </c>
      <c r="G1776" t="s">
        <v>14360</v>
      </c>
      <c r="H1776" t="s">
        <v>14360</v>
      </c>
      <c r="I1776" t="s">
        <v>7917</v>
      </c>
      <c r="J1776" s="4" t="s">
        <v>14360</v>
      </c>
      <c r="L1776" t="s">
        <v>14360</v>
      </c>
      <c r="M1776" t="s">
        <v>14360</v>
      </c>
      <c r="N1776" t="s">
        <v>3863</v>
      </c>
      <c r="O1776" t="s">
        <v>14360</v>
      </c>
      <c r="P1776" t="s">
        <v>4933</v>
      </c>
      <c r="Q1776" t="s">
        <v>14360</v>
      </c>
      <c r="R1776" t="s">
        <v>14360</v>
      </c>
      <c r="S1776" t="s">
        <v>14360</v>
      </c>
    </row>
    <row r="1777" spans="1:19" x14ac:dyDescent="0.2">
      <c r="A1777" t="s">
        <v>14049</v>
      </c>
      <c r="B1777" t="s">
        <v>14359</v>
      </c>
      <c r="C1777" t="s">
        <v>20022</v>
      </c>
      <c r="D1777" t="str">
        <f>_xlfn.XLOOKUP(E1777,pathways!$A$2:$A$31,pathways!$B$2:$B$31)</f>
        <v>Xenobiotics/other</v>
      </c>
      <c r="E1777" t="s">
        <v>3863</v>
      </c>
      <c r="F1777" t="s">
        <v>9034</v>
      </c>
      <c r="G1777" t="s">
        <v>14360</v>
      </c>
      <c r="H1777" t="s">
        <v>14360</v>
      </c>
      <c r="I1777" t="s">
        <v>9950</v>
      </c>
      <c r="J1777" s="4" t="s">
        <v>14360</v>
      </c>
      <c r="L1777" t="s">
        <v>14360</v>
      </c>
      <c r="M1777" t="s">
        <v>14360</v>
      </c>
      <c r="N1777" t="s">
        <v>3863</v>
      </c>
      <c r="O1777" t="s">
        <v>14360</v>
      </c>
      <c r="P1777" t="s">
        <v>9034</v>
      </c>
      <c r="Q1777" t="s">
        <v>14360</v>
      </c>
      <c r="R1777" t="s">
        <v>14360</v>
      </c>
      <c r="S1777" t="s">
        <v>14360</v>
      </c>
    </row>
    <row r="1778" spans="1:19" x14ac:dyDescent="0.2">
      <c r="A1778" t="s">
        <v>14340</v>
      </c>
      <c r="B1778" t="s">
        <v>14359</v>
      </c>
      <c r="C1778" t="s">
        <v>20023</v>
      </c>
      <c r="D1778" t="str">
        <f>_xlfn.XLOOKUP(E1778,pathways!$A$2:$A$31,pathways!$B$2:$B$31)</f>
        <v>Xenobiotics/other</v>
      </c>
      <c r="E1778" t="s">
        <v>3863</v>
      </c>
      <c r="F1778" t="s">
        <v>4942</v>
      </c>
      <c r="G1778" t="s">
        <v>14360</v>
      </c>
      <c r="H1778" t="s">
        <v>14360</v>
      </c>
      <c r="I1778" t="s">
        <v>14360</v>
      </c>
      <c r="J1778" s="4" t="s">
        <v>13288</v>
      </c>
      <c r="L1778" t="s">
        <v>14360</v>
      </c>
      <c r="M1778" t="s">
        <v>14360</v>
      </c>
      <c r="N1778" t="s">
        <v>14360</v>
      </c>
      <c r="O1778" t="s">
        <v>3863</v>
      </c>
      <c r="P1778" t="s">
        <v>14360</v>
      </c>
      <c r="Q1778" t="s">
        <v>4942</v>
      </c>
      <c r="R1778" t="s">
        <v>14360</v>
      </c>
      <c r="S1778" t="s">
        <v>18840</v>
      </c>
    </row>
    <row r="1779" spans="1:19" x14ac:dyDescent="0.2">
      <c r="A1779" t="s">
        <v>13973</v>
      </c>
      <c r="B1779" t="s">
        <v>14359</v>
      </c>
      <c r="C1779" t="s">
        <v>20024</v>
      </c>
      <c r="D1779" t="str">
        <f>_xlfn.XLOOKUP(E1779,pathways!$A$2:$A$31,pathways!$B$2:$B$31)</f>
        <v>Xenobiotics/other</v>
      </c>
      <c r="E1779" t="s">
        <v>3863</v>
      </c>
      <c r="F1779" t="s">
        <v>9141</v>
      </c>
      <c r="G1779" t="s">
        <v>14360</v>
      </c>
      <c r="H1779" t="s">
        <v>14360</v>
      </c>
      <c r="I1779" t="s">
        <v>9144</v>
      </c>
      <c r="J1779" s="4" t="s">
        <v>14360</v>
      </c>
      <c r="L1779" t="s">
        <v>14360</v>
      </c>
      <c r="M1779" t="s">
        <v>14360</v>
      </c>
      <c r="N1779" t="s">
        <v>3863</v>
      </c>
      <c r="O1779" t="s">
        <v>14360</v>
      </c>
      <c r="P1779" t="s">
        <v>9141</v>
      </c>
      <c r="Q1779" t="s">
        <v>14360</v>
      </c>
      <c r="R1779" t="s">
        <v>14360</v>
      </c>
      <c r="S1779" t="s">
        <v>14360</v>
      </c>
    </row>
    <row r="1780" spans="1:19" x14ac:dyDescent="0.2">
      <c r="A1780" t="s">
        <v>13974</v>
      </c>
      <c r="B1780" t="s">
        <v>14359</v>
      </c>
      <c r="C1780" t="s">
        <v>20025</v>
      </c>
      <c r="D1780" t="str">
        <f>_xlfn.XLOOKUP(E1780,pathways!$A$2:$A$31,pathways!$B$2:$B$31)</f>
        <v>Xenobiotics/other</v>
      </c>
      <c r="E1780" t="s">
        <v>3863</v>
      </c>
      <c r="F1780" t="s">
        <v>9141</v>
      </c>
      <c r="G1780" t="s">
        <v>14360</v>
      </c>
      <c r="H1780" t="s">
        <v>14360</v>
      </c>
      <c r="I1780" t="s">
        <v>9152</v>
      </c>
      <c r="J1780" s="4" t="s">
        <v>14360</v>
      </c>
      <c r="L1780" t="s">
        <v>14360</v>
      </c>
      <c r="M1780" t="s">
        <v>14360</v>
      </c>
      <c r="N1780" t="s">
        <v>3863</v>
      </c>
      <c r="O1780" t="s">
        <v>14360</v>
      </c>
      <c r="P1780" t="s">
        <v>9141</v>
      </c>
      <c r="Q1780" t="s">
        <v>14360</v>
      </c>
      <c r="R1780" t="s">
        <v>14360</v>
      </c>
      <c r="S1780" t="s">
        <v>14360</v>
      </c>
    </row>
    <row r="1781" spans="1:19" x14ac:dyDescent="0.2">
      <c r="A1781" t="s">
        <v>13824</v>
      </c>
      <c r="B1781" t="s">
        <v>14359</v>
      </c>
      <c r="C1781" t="s">
        <v>5807</v>
      </c>
      <c r="D1781" t="str">
        <f>_xlfn.XLOOKUP(E1781,pathways!$A$2:$A$31,pathways!$B$2:$B$31)</f>
        <v>Xenobiotics/other</v>
      </c>
      <c r="E1781" t="s">
        <v>3863</v>
      </c>
      <c r="F1781" t="s">
        <v>3864</v>
      </c>
      <c r="G1781" t="s">
        <v>14360</v>
      </c>
      <c r="H1781" t="s">
        <v>14360</v>
      </c>
      <c r="I1781" t="s">
        <v>5807</v>
      </c>
      <c r="J1781" s="4" t="s">
        <v>5807</v>
      </c>
      <c r="L1781" t="s">
        <v>14360</v>
      </c>
      <c r="M1781" t="s">
        <v>14360</v>
      </c>
      <c r="N1781" t="s">
        <v>3863</v>
      </c>
      <c r="O1781" t="s">
        <v>3863</v>
      </c>
      <c r="P1781" t="s">
        <v>3864</v>
      </c>
      <c r="Q1781" t="s">
        <v>3864</v>
      </c>
      <c r="R1781" t="s">
        <v>14360</v>
      </c>
      <c r="S1781" t="s">
        <v>14360</v>
      </c>
    </row>
    <row r="1782" spans="1:19" x14ac:dyDescent="0.2">
      <c r="A1782" t="s">
        <v>13952</v>
      </c>
      <c r="B1782" t="s">
        <v>14359</v>
      </c>
      <c r="C1782" t="s">
        <v>8538</v>
      </c>
      <c r="D1782" t="str">
        <f>_xlfn.XLOOKUP(E1782,pathways!$A$2:$A$31,pathways!$B$2:$B$31)</f>
        <v>Xenobiotics/other</v>
      </c>
      <c r="E1782" t="s">
        <v>3863</v>
      </c>
      <c r="F1782" t="s">
        <v>7477</v>
      </c>
      <c r="G1782" t="s">
        <v>14360</v>
      </c>
      <c r="H1782" t="s">
        <v>14360</v>
      </c>
      <c r="I1782" t="s">
        <v>8538</v>
      </c>
      <c r="J1782" s="4" t="s">
        <v>14360</v>
      </c>
      <c r="L1782" t="s">
        <v>14360</v>
      </c>
      <c r="M1782" t="s">
        <v>14360</v>
      </c>
      <c r="N1782" t="s">
        <v>3863</v>
      </c>
      <c r="O1782" t="s">
        <v>14360</v>
      </c>
      <c r="P1782" t="s">
        <v>7477</v>
      </c>
      <c r="Q1782" t="s">
        <v>14360</v>
      </c>
      <c r="R1782" t="s">
        <v>14360</v>
      </c>
      <c r="S1782" t="s">
        <v>14360</v>
      </c>
    </row>
    <row r="1783" spans="1:19" x14ac:dyDescent="0.2">
      <c r="A1783" t="s">
        <v>1728</v>
      </c>
      <c r="B1783" t="s">
        <v>14359</v>
      </c>
      <c r="C1783" t="s">
        <v>8285</v>
      </c>
      <c r="D1783" t="str">
        <f>_xlfn.XLOOKUP(E1783,pathways!$A$2:$A$31,pathways!$B$2:$B$31)</f>
        <v>Xenobiotics/other</v>
      </c>
      <c r="E1783" t="s">
        <v>3863</v>
      </c>
      <c r="F1783" t="s">
        <v>3864</v>
      </c>
      <c r="G1783" t="s">
        <v>14360</v>
      </c>
      <c r="H1783" t="s">
        <v>14360</v>
      </c>
      <c r="I1783" t="s">
        <v>8285</v>
      </c>
      <c r="J1783" s="4" t="s">
        <v>8285</v>
      </c>
      <c r="L1783" t="s">
        <v>1727</v>
      </c>
      <c r="M1783" t="s">
        <v>15023</v>
      </c>
      <c r="N1783" t="s">
        <v>3863</v>
      </c>
      <c r="O1783" t="s">
        <v>3863</v>
      </c>
      <c r="P1783" t="s">
        <v>3864</v>
      </c>
      <c r="Q1783" t="s">
        <v>3864</v>
      </c>
      <c r="R1783" t="s">
        <v>3863</v>
      </c>
      <c r="S1783" t="s">
        <v>14360</v>
      </c>
    </row>
    <row r="1784" spans="1:19" x14ac:dyDescent="0.2">
      <c r="A1784" t="s">
        <v>14025</v>
      </c>
      <c r="B1784" t="s">
        <v>14359</v>
      </c>
      <c r="C1784" t="s">
        <v>9787</v>
      </c>
      <c r="D1784" t="str">
        <f>_xlfn.XLOOKUP(E1784,pathways!$A$2:$A$31,pathways!$B$2:$B$31)</f>
        <v>Xenobiotics/other</v>
      </c>
      <c r="E1784" t="s">
        <v>3863</v>
      </c>
      <c r="F1784" t="s">
        <v>3864</v>
      </c>
      <c r="G1784" t="s">
        <v>14360</v>
      </c>
      <c r="H1784" t="s">
        <v>14360</v>
      </c>
      <c r="I1784" t="s">
        <v>9787</v>
      </c>
      <c r="J1784" s="4" t="s">
        <v>9787</v>
      </c>
      <c r="L1784" t="s">
        <v>14360</v>
      </c>
      <c r="M1784" t="s">
        <v>14360</v>
      </c>
      <c r="N1784" t="s">
        <v>3863</v>
      </c>
      <c r="O1784" t="s">
        <v>3863</v>
      </c>
      <c r="P1784" t="s">
        <v>3864</v>
      </c>
      <c r="Q1784" t="s">
        <v>3864</v>
      </c>
      <c r="R1784" t="s">
        <v>14360</v>
      </c>
      <c r="S1784" t="s">
        <v>14360</v>
      </c>
    </row>
    <row r="1785" spans="1:19" x14ac:dyDescent="0.2">
      <c r="A1785" t="s">
        <v>14035</v>
      </c>
      <c r="B1785" t="s">
        <v>14359</v>
      </c>
      <c r="C1785" t="s">
        <v>9862</v>
      </c>
      <c r="D1785" t="str">
        <f>_xlfn.XLOOKUP(E1785,pathways!$A$2:$A$31,pathways!$B$2:$B$31)</f>
        <v>Xenobiotics/other</v>
      </c>
      <c r="E1785" t="s">
        <v>3863</v>
      </c>
      <c r="F1785" t="s">
        <v>4933</v>
      </c>
      <c r="G1785" t="s">
        <v>14360</v>
      </c>
      <c r="H1785" t="s">
        <v>14360</v>
      </c>
      <c r="I1785" t="s">
        <v>9862</v>
      </c>
      <c r="J1785" s="4" t="s">
        <v>14360</v>
      </c>
      <c r="L1785" t="s">
        <v>14360</v>
      </c>
      <c r="M1785" t="s">
        <v>14360</v>
      </c>
      <c r="N1785" t="s">
        <v>3863</v>
      </c>
      <c r="O1785" t="s">
        <v>14360</v>
      </c>
      <c r="P1785" t="s">
        <v>4933</v>
      </c>
      <c r="Q1785" t="s">
        <v>14360</v>
      </c>
      <c r="R1785" t="s">
        <v>14360</v>
      </c>
      <c r="S1785" t="s">
        <v>18840</v>
      </c>
    </row>
    <row r="1786" spans="1:19" x14ac:dyDescent="0.2">
      <c r="A1786" t="s">
        <v>14341</v>
      </c>
      <c r="B1786" t="s">
        <v>14359</v>
      </c>
      <c r="C1786" t="s">
        <v>13297</v>
      </c>
      <c r="D1786" t="str">
        <f>_xlfn.XLOOKUP(E1786,pathways!$A$2:$A$31,pathways!$B$2:$B$31)</f>
        <v>Xenobiotics/other</v>
      </c>
      <c r="E1786" t="s">
        <v>3863</v>
      </c>
      <c r="F1786" t="s">
        <v>4942</v>
      </c>
      <c r="G1786" t="s">
        <v>14360</v>
      </c>
      <c r="H1786" t="s">
        <v>14360</v>
      </c>
      <c r="I1786" t="s">
        <v>14360</v>
      </c>
      <c r="J1786" s="4" t="s">
        <v>13297</v>
      </c>
      <c r="L1786" t="s">
        <v>14360</v>
      </c>
      <c r="M1786" t="s">
        <v>14360</v>
      </c>
      <c r="N1786" t="s">
        <v>14360</v>
      </c>
      <c r="O1786" t="s">
        <v>3863</v>
      </c>
      <c r="P1786" t="s">
        <v>14360</v>
      </c>
      <c r="Q1786" t="s">
        <v>4942</v>
      </c>
      <c r="R1786" t="s">
        <v>14360</v>
      </c>
      <c r="S1786" t="s">
        <v>18840</v>
      </c>
    </row>
    <row r="1787" spans="1:19" x14ac:dyDescent="0.2">
      <c r="A1787" t="s">
        <v>13846</v>
      </c>
      <c r="B1787" t="s">
        <v>14359</v>
      </c>
      <c r="C1787" t="s">
        <v>6574</v>
      </c>
      <c r="D1787" t="str">
        <f>_xlfn.XLOOKUP(E1787,pathways!$A$2:$A$31,pathways!$B$2:$B$31)</f>
        <v>Xenobiotics/other</v>
      </c>
      <c r="E1787" t="s">
        <v>3863</v>
      </c>
      <c r="F1787" t="s">
        <v>4942</v>
      </c>
      <c r="G1787" t="s">
        <v>14360</v>
      </c>
      <c r="H1787" t="s">
        <v>14360</v>
      </c>
      <c r="I1787" t="s">
        <v>6574</v>
      </c>
      <c r="J1787" s="4" t="s">
        <v>14360</v>
      </c>
      <c r="L1787" t="s">
        <v>14360</v>
      </c>
      <c r="M1787" t="s">
        <v>14360</v>
      </c>
      <c r="N1787" t="s">
        <v>3863</v>
      </c>
      <c r="O1787" t="s">
        <v>14360</v>
      </c>
      <c r="P1787" t="s">
        <v>4942</v>
      </c>
      <c r="Q1787" t="s">
        <v>14360</v>
      </c>
      <c r="R1787" t="s">
        <v>14360</v>
      </c>
      <c r="S1787" t="s">
        <v>14360</v>
      </c>
    </row>
    <row r="1788" spans="1:19" x14ac:dyDescent="0.2">
      <c r="A1788" t="s">
        <v>13939</v>
      </c>
      <c r="B1788" t="s">
        <v>14359</v>
      </c>
      <c r="C1788" t="s">
        <v>8303</v>
      </c>
      <c r="D1788" t="str">
        <f>_xlfn.XLOOKUP(E1788,pathways!$A$2:$A$31,pathways!$B$2:$B$31)</f>
        <v>Xenobiotics/other</v>
      </c>
      <c r="E1788" t="s">
        <v>3863</v>
      </c>
      <c r="F1788" t="s">
        <v>8265</v>
      </c>
      <c r="G1788" t="s">
        <v>14360</v>
      </c>
      <c r="H1788" t="s">
        <v>14360</v>
      </c>
      <c r="I1788" t="s">
        <v>8303</v>
      </c>
      <c r="J1788" s="4" t="s">
        <v>8303</v>
      </c>
      <c r="L1788" t="s">
        <v>14360</v>
      </c>
      <c r="M1788" t="s">
        <v>14360</v>
      </c>
      <c r="N1788" t="s">
        <v>3863</v>
      </c>
      <c r="O1788" t="s">
        <v>3863</v>
      </c>
      <c r="P1788" t="s">
        <v>8265</v>
      </c>
      <c r="Q1788" t="s">
        <v>8265</v>
      </c>
      <c r="R1788" t="s">
        <v>14360</v>
      </c>
      <c r="S1788" t="s">
        <v>14360</v>
      </c>
    </row>
    <row r="1789" spans="1:19" x14ac:dyDescent="0.2">
      <c r="A1789" t="s">
        <v>13798</v>
      </c>
      <c r="B1789" t="s">
        <v>14359</v>
      </c>
      <c r="C1789" t="s">
        <v>20028</v>
      </c>
      <c r="D1789" t="str">
        <f>_xlfn.XLOOKUP(E1789,pathways!$A$2:$A$31,pathways!$B$2:$B$31)</f>
        <v>Xenobiotics/other</v>
      </c>
      <c r="E1789" t="s">
        <v>3863</v>
      </c>
      <c r="F1789" t="s">
        <v>4942</v>
      </c>
      <c r="G1789" t="s">
        <v>14360</v>
      </c>
      <c r="H1789" t="s">
        <v>14360</v>
      </c>
      <c r="I1789" t="s">
        <v>4953</v>
      </c>
      <c r="J1789" s="4" t="s">
        <v>4953</v>
      </c>
      <c r="L1789" t="s">
        <v>14360</v>
      </c>
      <c r="M1789" t="s">
        <v>14360</v>
      </c>
      <c r="N1789" t="s">
        <v>3863</v>
      </c>
      <c r="O1789" t="s">
        <v>3863</v>
      </c>
      <c r="P1789" t="s">
        <v>4942</v>
      </c>
      <c r="Q1789" t="s">
        <v>4942</v>
      </c>
      <c r="R1789" t="s">
        <v>14360</v>
      </c>
      <c r="S1789" t="s">
        <v>14360</v>
      </c>
    </row>
    <row r="1790" spans="1:19" x14ac:dyDescent="0.2">
      <c r="A1790" t="s">
        <v>14115</v>
      </c>
      <c r="B1790" t="s">
        <v>14359</v>
      </c>
      <c r="C1790" t="s">
        <v>20029</v>
      </c>
      <c r="D1790" t="str">
        <f>_xlfn.XLOOKUP(E1790,pathways!$A$2:$A$31,pathways!$B$2:$B$31)</f>
        <v>Xenobiotics/other</v>
      </c>
      <c r="E1790" t="s">
        <v>3863</v>
      </c>
      <c r="F1790" t="s">
        <v>5632</v>
      </c>
      <c r="G1790" t="s">
        <v>14360</v>
      </c>
      <c r="H1790" t="s">
        <v>14360</v>
      </c>
      <c r="I1790" t="s">
        <v>10250</v>
      </c>
      <c r="J1790" s="4" t="s">
        <v>14360</v>
      </c>
      <c r="L1790" t="s">
        <v>14360</v>
      </c>
      <c r="M1790" t="s">
        <v>14360</v>
      </c>
      <c r="N1790" t="s">
        <v>3863</v>
      </c>
      <c r="O1790" t="s">
        <v>14360</v>
      </c>
      <c r="P1790" t="s">
        <v>5632</v>
      </c>
      <c r="Q1790" t="s">
        <v>14360</v>
      </c>
      <c r="R1790" t="s">
        <v>14360</v>
      </c>
      <c r="S1790" t="s">
        <v>14360</v>
      </c>
    </row>
    <row r="1791" spans="1:19" x14ac:dyDescent="0.2">
      <c r="A1791" t="s">
        <v>14117</v>
      </c>
      <c r="B1791" t="s">
        <v>14359</v>
      </c>
      <c r="C1791" t="s">
        <v>20030</v>
      </c>
      <c r="D1791" t="str">
        <f>_xlfn.XLOOKUP(E1791,pathways!$A$2:$A$31,pathways!$B$2:$B$31)</f>
        <v>Xenobiotics/other</v>
      </c>
      <c r="E1791" t="s">
        <v>3863</v>
      </c>
      <c r="F1791" t="s">
        <v>5632</v>
      </c>
      <c r="G1791" t="s">
        <v>14360</v>
      </c>
      <c r="H1791" t="s">
        <v>14360</v>
      </c>
      <c r="I1791" t="s">
        <v>10256</v>
      </c>
      <c r="J1791" s="4" t="s">
        <v>14360</v>
      </c>
      <c r="L1791" t="s">
        <v>14360</v>
      </c>
      <c r="M1791" t="s">
        <v>14360</v>
      </c>
      <c r="N1791" t="s">
        <v>3863</v>
      </c>
      <c r="O1791" t="s">
        <v>14360</v>
      </c>
      <c r="P1791" t="s">
        <v>5632</v>
      </c>
      <c r="Q1791" t="s">
        <v>14360</v>
      </c>
      <c r="R1791" t="s">
        <v>14360</v>
      </c>
      <c r="S1791" t="s">
        <v>14360</v>
      </c>
    </row>
    <row r="1792" spans="1:19" x14ac:dyDescent="0.2">
      <c r="A1792" t="s">
        <v>14116</v>
      </c>
      <c r="B1792" t="s">
        <v>14359</v>
      </c>
      <c r="C1792" t="s">
        <v>20031</v>
      </c>
      <c r="D1792" t="str">
        <f>_xlfn.XLOOKUP(E1792,pathways!$A$2:$A$31,pathways!$B$2:$B$31)</f>
        <v>Xenobiotics/other</v>
      </c>
      <c r="E1792" t="s">
        <v>3863</v>
      </c>
      <c r="F1792" t="s">
        <v>5632</v>
      </c>
      <c r="G1792" t="s">
        <v>14360</v>
      </c>
      <c r="H1792" t="s">
        <v>14360</v>
      </c>
      <c r="I1792" t="s">
        <v>10253</v>
      </c>
      <c r="J1792" s="4" t="s">
        <v>14360</v>
      </c>
      <c r="L1792" t="s">
        <v>14360</v>
      </c>
      <c r="M1792" t="s">
        <v>14360</v>
      </c>
      <c r="N1792" t="s">
        <v>3863</v>
      </c>
      <c r="O1792" t="s">
        <v>14360</v>
      </c>
      <c r="P1792" t="s">
        <v>5632</v>
      </c>
      <c r="Q1792" t="s">
        <v>14360</v>
      </c>
      <c r="R1792" t="s">
        <v>14360</v>
      </c>
      <c r="S1792" t="s">
        <v>14360</v>
      </c>
    </row>
    <row r="1793" spans="1:19" x14ac:dyDescent="0.2">
      <c r="A1793" t="s">
        <v>14342</v>
      </c>
      <c r="B1793" t="s">
        <v>14359</v>
      </c>
      <c r="C1793" t="s">
        <v>20033</v>
      </c>
      <c r="D1793" t="str">
        <f>_xlfn.XLOOKUP(E1793,pathways!$A$2:$A$31,pathways!$B$2:$B$31)</f>
        <v>Xenobiotics/other</v>
      </c>
      <c r="E1793" t="s">
        <v>3863</v>
      </c>
      <c r="F1793" t="s">
        <v>7216</v>
      </c>
      <c r="G1793" t="s">
        <v>14360</v>
      </c>
      <c r="H1793" t="s">
        <v>14360</v>
      </c>
      <c r="I1793" t="s">
        <v>14360</v>
      </c>
      <c r="J1793" s="4" t="s">
        <v>13304</v>
      </c>
      <c r="L1793" t="s">
        <v>14360</v>
      </c>
      <c r="M1793" t="s">
        <v>14360</v>
      </c>
      <c r="N1793" t="s">
        <v>14360</v>
      </c>
      <c r="O1793" t="s">
        <v>3863</v>
      </c>
      <c r="P1793" t="s">
        <v>14360</v>
      </c>
      <c r="Q1793" t="s">
        <v>7216</v>
      </c>
      <c r="R1793" t="s">
        <v>14360</v>
      </c>
      <c r="S1793" t="s">
        <v>14360</v>
      </c>
    </row>
    <row r="1794" spans="1:19" x14ac:dyDescent="0.2">
      <c r="A1794" t="s">
        <v>13921</v>
      </c>
      <c r="B1794" t="s">
        <v>14359</v>
      </c>
      <c r="C1794" t="s">
        <v>20034</v>
      </c>
      <c r="D1794" t="str">
        <f>_xlfn.XLOOKUP(E1794,pathways!$A$2:$A$31,pathways!$B$2:$B$31)</f>
        <v>Xenobiotics/other</v>
      </c>
      <c r="E1794" t="s">
        <v>3863</v>
      </c>
      <c r="F1794" t="s">
        <v>4933</v>
      </c>
      <c r="G1794" t="s">
        <v>14360</v>
      </c>
      <c r="H1794" t="s">
        <v>14360</v>
      </c>
      <c r="I1794" t="s">
        <v>7981</v>
      </c>
      <c r="J1794" s="4" t="s">
        <v>14360</v>
      </c>
      <c r="L1794" t="s">
        <v>14360</v>
      </c>
      <c r="M1794" t="s">
        <v>14360</v>
      </c>
      <c r="N1794" t="s">
        <v>3863</v>
      </c>
      <c r="O1794" t="s">
        <v>14360</v>
      </c>
      <c r="P1794" t="s">
        <v>4933</v>
      </c>
      <c r="Q1794" t="s">
        <v>14360</v>
      </c>
      <c r="R1794" t="s">
        <v>14360</v>
      </c>
      <c r="S1794" t="s">
        <v>3543</v>
      </c>
    </row>
    <row r="1795" spans="1:19" x14ac:dyDescent="0.2">
      <c r="A1795" t="s">
        <v>1483</v>
      </c>
      <c r="B1795" t="s">
        <v>14359</v>
      </c>
      <c r="C1795" t="s">
        <v>19308</v>
      </c>
      <c r="D1795" t="str">
        <f>_xlfn.XLOOKUP(E1795,pathways!$A$2:$A$31,pathways!$B$2:$B$31)</f>
        <v>Xenobiotics/other</v>
      </c>
      <c r="E1795" t="s">
        <v>3863</v>
      </c>
      <c r="F1795" t="s">
        <v>5082</v>
      </c>
      <c r="G1795" t="s">
        <v>14360</v>
      </c>
      <c r="H1795" t="s">
        <v>14360</v>
      </c>
      <c r="I1795" t="s">
        <v>7018</v>
      </c>
      <c r="J1795" s="4" t="s">
        <v>7018</v>
      </c>
      <c r="L1795" t="s">
        <v>1482</v>
      </c>
      <c r="M1795" t="s">
        <v>14768</v>
      </c>
      <c r="N1795" t="s">
        <v>3863</v>
      </c>
      <c r="O1795" t="s">
        <v>3863</v>
      </c>
      <c r="P1795" t="s">
        <v>5082</v>
      </c>
      <c r="Q1795" t="s">
        <v>5082</v>
      </c>
      <c r="R1795" t="s">
        <v>3863</v>
      </c>
      <c r="S1795" t="s">
        <v>3470</v>
      </c>
    </row>
    <row r="1796" spans="1:19" x14ac:dyDescent="0.2">
      <c r="A1796" t="s">
        <v>13956</v>
      </c>
      <c r="B1796" t="s">
        <v>14359</v>
      </c>
      <c r="C1796" t="s">
        <v>8687</v>
      </c>
      <c r="D1796" t="str">
        <f>_xlfn.XLOOKUP(E1796,pathways!$A$2:$A$31,pathways!$B$2:$B$31)</f>
        <v>Xenobiotics/other</v>
      </c>
      <c r="E1796" t="s">
        <v>3863</v>
      </c>
      <c r="F1796" t="s">
        <v>4942</v>
      </c>
      <c r="G1796" t="s">
        <v>14360</v>
      </c>
      <c r="H1796" t="s">
        <v>14360</v>
      </c>
      <c r="I1796" t="s">
        <v>8687</v>
      </c>
      <c r="J1796" s="4" t="s">
        <v>8687</v>
      </c>
      <c r="L1796" t="s">
        <v>14360</v>
      </c>
      <c r="M1796" t="s">
        <v>14360</v>
      </c>
      <c r="N1796" t="s">
        <v>3863</v>
      </c>
      <c r="O1796" t="s">
        <v>3863</v>
      </c>
      <c r="P1796" t="s">
        <v>4942</v>
      </c>
      <c r="Q1796" t="s">
        <v>4942</v>
      </c>
      <c r="R1796" t="s">
        <v>14360</v>
      </c>
      <c r="S1796" t="s">
        <v>6535</v>
      </c>
    </row>
    <row r="1797" spans="1:19" x14ac:dyDescent="0.2">
      <c r="A1797" t="s">
        <v>13957</v>
      </c>
      <c r="B1797" t="s">
        <v>14359</v>
      </c>
      <c r="C1797" t="s">
        <v>8694</v>
      </c>
      <c r="D1797" t="str">
        <f>_xlfn.XLOOKUP(E1797,pathways!$A$2:$A$31,pathways!$B$2:$B$31)</f>
        <v>Xenobiotics/other</v>
      </c>
      <c r="E1797" t="s">
        <v>3863</v>
      </c>
      <c r="F1797" t="s">
        <v>4942</v>
      </c>
      <c r="G1797" t="s">
        <v>14360</v>
      </c>
      <c r="H1797" t="s">
        <v>14360</v>
      </c>
      <c r="I1797" t="s">
        <v>8694</v>
      </c>
      <c r="J1797" s="4" t="s">
        <v>8694</v>
      </c>
      <c r="L1797" t="s">
        <v>14360</v>
      </c>
      <c r="M1797" t="s">
        <v>14360</v>
      </c>
      <c r="N1797" t="s">
        <v>3863</v>
      </c>
      <c r="O1797" t="s">
        <v>3863</v>
      </c>
      <c r="P1797" t="s">
        <v>4942</v>
      </c>
      <c r="Q1797" t="s">
        <v>4942</v>
      </c>
      <c r="R1797" t="s">
        <v>14360</v>
      </c>
      <c r="S1797" t="s">
        <v>14360</v>
      </c>
    </row>
    <row r="1798" spans="1:19" x14ac:dyDescent="0.2">
      <c r="A1798" t="s">
        <v>13928</v>
      </c>
      <c r="B1798" t="s">
        <v>14359</v>
      </c>
      <c r="C1798" t="s">
        <v>8096</v>
      </c>
      <c r="D1798" t="str">
        <f>_xlfn.XLOOKUP(E1798,pathways!$A$2:$A$31,pathways!$B$2:$B$31)</f>
        <v>Xenobiotics/other</v>
      </c>
      <c r="E1798" t="s">
        <v>3863</v>
      </c>
      <c r="F1798" t="s">
        <v>4933</v>
      </c>
      <c r="G1798" t="s">
        <v>14360</v>
      </c>
      <c r="H1798" t="s">
        <v>14360</v>
      </c>
      <c r="I1798" t="s">
        <v>8096</v>
      </c>
      <c r="J1798" s="4" t="s">
        <v>8096</v>
      </c>
      <c r="L1798" t="s">
        <v>14360</v>
      </c>
      <c r="M1798" t="s">
        <v>14360</v>
      </c>
      <c r="N1798" t="s">
        <v>3863</v>
      </c>
      <c r="O1798" t="s">
        <v>3863</v>
      </c>
      <c r="P1798" t="s">
        <v>4933</v>
      </c>
      <c r="Q1798" t="s">
        <v>4933</v>
      </c>
      <c r="R1798" t="s">
        <v>14360</v>
      </c>
    </row>
    <row r="1799" spans="1:19" x14ac:dyDescent="0.2">
      <c r="A1799" t="s">
        <v>14343</v>
      </c>
      <c r="B1799" t="s">
        <v>14359</v>
      </c>
      <c r="C1799" t="s">
        <v>20035</v>
      </c>
      <c r="D1799" t="str">
        <f>_xlfn.XLOOKUP(E1799,pathways!$A$2:$A$31,pathways!$B$2:$B$31)</f>
        <v>Xenobiotics/other</v>
      </c>
      <c r="E1799" t="s">
        <v>3863</v>
      </c>
      <c r="F1799" t="s">
        <v>6220</v>
      </c>
      <c r="G1799" t="s">
        <v>14360</v>
      </c>
      <c r="H1799" t="s">
        <v>14360</v>
      </c>
      <c r="I1799" t="s">
        <v>14360</v>
      </c>
      <c r="J1799" s="4" t="s">
        <v>13314</v>
      </c>
      <c r="L1799" t="s">
        <v>14360</v>
      </c>
      <c r="M1799" t="s">
        <v>14360</v>
      </c>
      <c r="N1799" t="s">
        <v>14360</v>
      </c>
      <c r="O1799" t="s">
        <v>3863</v>
      </c>
      <c r="P1799" t="s">
        <v>14360</v>
      </c>
      <c r="Q1799" t="s">
        <v>6220</v>
      </c>
      <c r="R1799" t="s">
        <v>14360</v>
      </c>
    </row>
    <row r="1800" spans="1:19" x14ac:dyDescent="0.2">
      <c r="A1800" t="s">
        <v>1742</v>
      </c>
      <c r="B1800" t="s">
        <v>14359</v>
      </c>
      <c r="C1800" t="s">
        <v>19382</v>
      </c>
      <c r="D1800" t="str">
        <f>_xlfn.XLOOKUP(E1800,pathways!$A$2:$A$31,pathways!$B$2:$B$31)</f>
        <v>Xenobiotics/other</v>
      </c>
      <c r="E1800" t="s">
        <v>3863</v>
      </c>
      <c r="F1800" t="s">
        <v>5632</v>
      </c>
      <c r="G1800" t="s">
        <v>13317</v>
      </c>
      <c r="H1800" t="s">
        <v>14360</v>
      </c>
      <c r="I1800" t="s">
        <v>8309</v>
      </c>
      <c r="J1800" s="4" t="s">
        <v>13317</v>
      </c>
      <c r="L1800" t="s">
        <v>1741</v>
      </c>
      <c r="M1800" t="s">
        <v>15039</v>
      </c>
      <c r="N1800" t="s">
        <v>3863</v>
      </c>
      <c r="O1800" t="s">
        <v>3863</v>
      </c>
      <c r="P1800" t="s">
        <v>5632</v>
      </c>
      <c r="Q1800" t="s">
        <v>5632</v>
      </c>
      <c r="R1800" t="s">
        <v>3863</v>
      </c>
    </row>
    <row r="1801" spans="1:19" x14ac:dyDescent="0.2">
      <c r="A1801" t="s">
        <v>13954</v>
      </c>
      <c r="B1801" t="s">
        <v>14359</v>
      </c>
      <c r="C1801" t="s">
        <v>20042</v>
      </c>
      <c r="D1801" t="str">
        <f>_xlfn.XLOOKUP(E1801,pathways!$A$2:$A$31,pathways!$B$2:$B$31)</f>
        <v>Xenobiotics/other</v>
      </c>
      <c r="E1801" t="s">
        <v>3863</v>
      </c>
      <c r="F1801" t="s">
        <v>7216</v>
      </c>
      <c r="G1801" t="s">
        <v>14360</v>
      </c>
      <c r="H1801" t="s">
        <v>14360</v>
      </c>
      <c r="I1801" t="s">
        <v>8551</v>
      </c>
      <c r="J1801" s="4" t="s">
        <v>14360</v>
      </c>
      <c r="L1801" t="s">
        <v>14360</v>
      </c>
      <c r="M1801" t="s">
        <v>14360</v>
      </c>
      <c r="N1801" t="s">
        <v>3863</v>
      </c>
      <c r="O1801" t="s">
        <v>14360</v>
      </c>
      <c r="P1801" t="s">
        <v>7216</v>
      </c>
      <c r="Q1801" t="s">
        <v>14360</v>
      </c>
      <c r="R1801" t="s">
        <v>14360</v>
      </c>
    </row>
    <row r="1802" spans="1:19" x14ac:dyDescent="0.2">
      <c r="A1802" t="s">
        <v>13890</v>
      </c>
      <c r="B1802" t="s">
        <v>14359</v>
      </c>
      <c r="C1802" t="s">
        <v>20043</v>
      </c>
      <c r="D1802" t="str">
        <f>_xlfn.XLOOKUP(E1802,pathways!$A$2:$A$31,pathways!$B$2:$B$31)</f>
        <v>Xenobiotics/other</v>
      </c>
      <c r="E1802" t="s">
        <v>3863</v>
      </c>
      <c r="F1802" t="s">
        <v>7590</v>
      </c>
      <c r="G1802" t="s">
        <v>14360</v>
      </c>
      <c r="H1802" t="s">
        <v>14360</v>
      </c>
      <c r="I1802" t="s">
        <v>7593</v>
      </c>
      <c r="J1802" s="4" t="s">
        <v>7593</v>
      </c>
      <c r="L1802" t="s">
        <v>14360</v>
      </c>
      <c r="M1802" t="s">
        <v>14360</v>
      </c>
      <c r="N1802" t="s">
        <v>3863</v>
      </c>
      <c r="O1802" t="s">
        <v>3863</v>
      </c>
      <c r="P1802" t="s">
        <v>7590</v>
      </c>
      <c r="Q1802" t="s">
        <v>7590</v>
      </c>
      <c r="R1802" t="s">
        <v>14360</v>
      </c>
    </row>
    <row r="1803" spans="1:19" x14ac:dyDescent="0.2">
      <c r="A1803" t="s">
        <v>13990</v>
      </c>
      <c r="B1803" t="s">
        <v>14359</v>
      </c>
      <c r="C1803" t="s">
        <v>20044</v>
      </c>
      <c r="D1803" t="str">
        <f>_xlfn.XLOOKUP(E1803,pathways!$A$2:$A$31,pathways!$B$2:$B$31)</f>
        <v>Xenobiotics/other</v>
      </c>
      <c r="E1803" t="s">
        <v>3863</v>
      </c>
      <c r="F1803" t="s">
        <v>7590</v>
      </c>
      <c r="G1803" t="s">
        <v>14360</v>
      </c>
      <c r="H1803" t="s">
        <v>14360</v>
      </c>
      <c r="I1803" t="s">
        <v>9386</v>
      </c>
      <c r="J1803" s="4" t="s">
        <v>14360</v>
      </c>
      <c r="L1803" t="s">
        <v>14360</v>
      </c>
      <c r="M1803" t="s">
        <v>14360</v>
      </c>
      <c r="N1803" t="s">
        <v>3863</v>
      </c>
      <c r="O1803" t="s">
        <v>14360</v>
      </c>
      <c r="P1803" t="s">
        <v>7590</v>
      </c>
      <c r="Q1803" t="s">
        <v>14360</v>
      </c>
      <c r="R1803" t="s">
        <v>14360</v>
      </c>
    </row>
    <row r="1804" spans="1:19" x14ac:dyDescent="0.2">
      <c r="A1804" t="s">
        <v>13887</v>
      </c>
      <c r="B1804" t="s">
        <v>14359</v>
      </c>
      <c r="C1804" t="s">
        <v>20046</v>
      </c>
      <c r="D1804" t="str">
        <f>_xlfn.XLOOKUP(E1804,pathways!$A$2:$A$31,pathways!$B$2:$B$31)</f>
        <v>Xenobiotics/other</v>
      </c>
      <c r="E1804" t="s">
        <v>3863</v>
      </c>
      <c r="F1804" t="s">
        <v>6220</v>
      </c>
      <c r="G1804" t="s">
        <v>14360</v>
      </c>
      <c r="H1804" t="s">
        <v>14360</v>
      </c>
      <c r="I1804" t="s">
        <v>7529</v>
      </c>
      <c r="J1804" s="4" t="s">
        <v>7529</v>
      </c>
      <c r="L1804" t="s">
        <v>14360</v>
      </c>
      <c r="M1804" t="s">
        <v>14360</v>
      </c>
      <c r="N1804" t="s">
        <v>3863</v>
      </c>
      <c r="O1804" t="s">
        <v>3863</v>
      </c>
      <c r="P1804" t="s">
        <v>6220</v>
      </c>
      <c r="Q1804" t="s">
        <v>6220</v>
      </c>
      <c r="R1804" t="s">
        <v>14360</v>
      </c>
    </row>
    <row r="1805" spans="1:19" x14ac:dyDescent="0.2">
      <c r="A1805" t="s">
        <v>1324</v>
      </c>
      <c r="B1805" t="s">
        <v>14359</v>
      </c>
      <c r="C1805" t="s">
        <v>19250</v>
      </c>
      <c r="D1805" t="str">
        <f>_xlfn.XLOOKUP(E1805,pathways!$A$2:$A$31,pathways!$B$2:$B$31)</f>
        <v>Xenobiotics/other</v>
      </c>
      <c r="E1805" t="s">
        <v>3863</v>
      </c>
      <c r="F1805" t="s">
        <v>5082</v>
      </c>
      <c r="G1805" t="s">
        <v>14360</v>
      </c>
      <c r="H1805" t="s">
        <v>14360</v>
      </c>
      <c r="I1805" t="s">
        <v>6215</v>
      </c>
      <c r="J1805" s="4" t="s">
        <v>6215</v>
      </c>
      <c r="L1805" t="s">
        <v>1323</v>
      </c>
      <c r="M1805" t="s">
        <v>14602</v>
      </c>
      <c r="N1805" t="s">
        <v>3863</v>
      </c>
      <c r="O1805" t="s">
        <v>3863</v>
      </c>
      <c r="P1805" t="s">
        <v>5082</v>
      </c>
      <c r="Q1805" t="s">
        <v>5082</v>
      </c>
      <c r="R1805" t="s">
        <v>3863</v>
      </c>
    </row>
    <row r="1806" spans="1:19" x14ac:dyDescent="0.2">
      <c r="A1806" t="s">
        <v>14344</v>
      </c>
      <c r="B1806" t="s">
        <v>14359</v>
      </c>
      <c r="C1806" t="s">
        <v>20047</v>
      </c>
      <c r="D1806" t="str">
        <f>_xlfn.XLOOKUP(E1806,pathways!$A$2:$A$31,pathways!$B$2:$B$31)</f>
        <v>Xenobiotics/other</v>
      </c>
      <c r="E1806" t="s">
        <v>3863</v>
      </c>
      <c r="F1806" t="s">
        <v>6220</v>
      </c>
      <c r="G1806" t="s">
        <v>14360</v>
      </c>
      <c r="H1806" t="s">
        <v>14360</v>
      </c>
      <c r="I1806" t="s">
        <v>14360</v>
      </c>
      <c r="J1806" s="4" t="s">
        <v>13325</v>
      </c>
      <c r="L1806" t="s">
        <v>14360</v>
      </c>
      <c r="M1806" t="s">
        <v>14360</v>
      </c>
      <c r="N1806" t="s">
        <v>14360</v>
      </c>
      <c r="O1806" t="s">
        <v>3863</v>
      </c>
      <c r="P1806" t="s">
        <v>14360</v>
      </c>
      <c r="Q1806" t="s">
        <v>6220</v>
      </c>
      <c r="R1806" t="s">
        <v>14360</v>
      </c>
    </row>
    <row r="1807" spans="1:19" x14ac:dyDescent="0.2">
      <c r="A1807" t="s">
        <v>13899</v>
      </c>
      <c r="B1807" t="s">
        <v>14359</v>
      </c>
      <c r="C1807" t="s">
        <v>20065</v>
      </c>
      <c r="D1807" t="str">
        <f>_xlfn.XLOOKUP(E1807,pathways!$A$2:$A$31,pathways!$B$2:$B$31)</f>
        <v>Xenobiotics/other</v>
      </c>
      <c r="E1807" t="s">
        <v>3863</v>
      </c>
      <c r="F1807" t="s">
        <v>7590</v>
      </c>
      <c r="G1807" t="s">
        <v>14360</v>
      </c>
      <c r="H1807" t="s">
        <v>14360</v>
      </c>
      <c r="I1807" t="s">
        <v>7694</v>
      </c>
      <c r="J1807" s="4" t="s">
        <v>14360</v>
      </c>
      <c r="L1807" t="s">
        <v>14360</v>
      </c>
      <c r="M1807" t="s">
        <v>14360</v>
      </c>
      <c r="N1807" t="s">
        <v>3863</v>
      </c>
      <c r="O1807" t="s">
        <v>14360</v>
      </c>
      <c r="P1807" t="s">
        <v>7590</v>
      </c>
      <c r="Q1807" t="s">
        <v>14360</v>
      </c>
      <c r="R1807" t="s">
        <v>14360</v>
      </c>
    </row>
    <row r="1808" spans="1:19" x14ac:dyDescent="0.2">
      <c r="A1808" t="s">
        <v>1159</v>
      </c>
      <c r="B1808" t="s">
        <v>14359</v>
      </c>
      <c r="C1808" t="s">
        <v>19197</v>
      </c>
      <c r="D1808" t="str">
        <f>_xlfn.XLOOKUP(E1808,pathways!$A$2:$A$31,pathways!$B$2:$B$31)</f>
        <v>Xenobiotics/other</v>
      </c>
      <c r="E1808" t="s">
        <v>3863</v>
      </c>
      <c r="F1808" t="s">
        <v>4373</v>
      </c>
      <c r="G1808" t="s">
        <v>14360</v>
      </c>
      <c r="H1808" t="s">
        <v>14360</v>
      </c>
      <c r="I1808" t="s">
        <v>5360</v>
      </c>
      <c r="J1808" s="4" t="s">
        <v>5360</v>
      </c>
      <c r="L1808" t="s">
        <v>1158</v>
      </c>
      <c r="M1808" t="s">
        <v>14430</v>
      </c>
      <c r="N1808" t="s">
        <v>3863</v>
      </c>
      <c r="O1808" t="s">
        <v>3863</v>
      </c>
      <c r="P1808" t="s">
        <v>4373</v>
      </c>
      <c r="Q1808" t="s">
        <v>4373</v>
      </c>
      <c r="R1808" t="s">
        <v>3863</v>
      </c>
    </row>
    <row r="1809" spans="1:18" x14ac:dyDescent="0.2">
      <c r="A1809" t="s">
        <v>13915</v>
      </c>
      <c r="B1809" t="s">
        <v>14359</v>
      </c>
      <c r="C1809" t="s">
        <v>20066</v>
      </c>
      <c r="D1809" t="str">
        <f>_xlfn.XLOOKUP(E1809,pathways!$A$2:$A$31,pathways!$B$2:$B$31)</f>
        <v>Xenobiotics/other</v>
      </c>
      <c r="E1809" t="s">
        <v>3863</v>
      </c>
      <c r="F1809" t="s">
        <v>4933</v>
      </c>
      <c r="G1809" t="s">
        <v>14360</v>
      </c>
      <c r="H1809" t="s">
        <v>14360</v>
      </c>
      <c r="I1809" t="s">
        <v>7901</v>
      </c>
      <c r="J1809" s="4" t="s">
        <v>14360</v>
      </c>
      <c r="L1809" t="s">
        <v>14360</v>
      </c>
      <c r="M1809" t="s">
        <v>14360</v>
      </c>
      <c r="N1809" t="s">
        <v>3863</v>
      </c>
      <c r="O1809" t="s">
        <v>14360</v>
      </c>
      <c r="P1809" t="s">
        <v>4933</v>
      </c>
      <c r="Q1809" t="s">
        <v>14360</v>
      </c>
      <c r="R1809" t="s">
        <v>14360</v>
      </c>
    </row>
    <row r="1810" spans="1:18" x14ac:dyDescent="0.2">
      <c r="A1810" t="s">
        <v>14121</v>
      </c>
      <c r="B1810" t="s">
        <v>14359</v>
      </c>
      <c r="C1810" t="s">
        <v>20118</v>
      </c>
      <c r="D1810" t="str">
        <f>_xlfn.XLOOKUP(E1810,pathways!$A$2:$A$31,pathways!$B$2:$B$31)</f>
        <v>Xenobiotics/other</v>
      </c>
      <c r="E1810" t="s">
        <v>3863</v>
      </c>
      <c r="F1810" t="s">
        <v>5632</v>
      </c>
      <c r="G1810" t="s">
        <v>14360</v>
      </c>
      <c r="H1810" t="s">
        <v>14360</v>
      </c>
      <c r="I1810" t="s">
        <v>10270</v>
      </c>
      <c r="J1810" s="4" t="s">
        <v>14360</v>
      </c>
      <c r="L1810" t="s">
        <v>14360</v>
      </c>
      <c r="M1810" t="s">
        <v>14360</v>
      </c>
      <c r="N1810" t="s">
        <v>3863</v>
      </c>
      <c r="O1810" t="s">
        <v>14360</v>
      </c>
      <c r="P1810" t="s">
        <v>5632</v>
      </c>
      <c r="Q1810" t="s">
        <v>14360</v>
      </c>
      <c r="R1810" t="s">
        <v>14360</v>
      </c>
    </row>
    <row r="1811" spans="1:18" x14ac:dyDescent="0.2">
      <c r="A1811" t="s">
        <v>2013</v>
      </c>
      <c r="B1811" t="s">
        <v>14359</v>
      </c>
      <c r="C1811" t="s">
        <v>19488</v>
      </c>
      <c r="D1811" t="str">
        <f>_xlfn.XLOOKUP(E1811,pathways!$A$2:$A$31,pathways!$B$2:$B$31)</f>
        <v>Xenobiotics/other</v>
      </c>
      <c r="E1811" t="s">
        <v>3863</v>
      </c>
      <c r="F1811" t="s">
        <v>5632</v>
      </c>
      <c r="G1811" t="s">
        <v>9281</v>
      </c>
      <c r="H1811" t="s">
        <v>14360</v>
      </c>
      <c r="I1811" t="s">
        <v>9281</v>
      </c>
      <c r="J1811" s="4" t="s">
        <v>9281</v>
      </c>
      <c r="L1811" t="s">
        <v>2012</v>
      </c>
      <c r="M1811" t="s">
        <v>15315</v>
      </c>
      <c r="N1811" t="s">
        <v>3863</v>
      </c>
      <c r="O1811" t="s">
        <v>3863</v>
      </c>
      <c r="P1811" t="s">
        <v>5632</v>
      </c>
      <c r="Q1811" t="s">
        <v>5632</v>
      </c>
      <c r="R1811" t="s">
        <v>3863</v>
      </c>
    </row>
    <row r="1812" spans="1:18" x14ac:dyDescent="0.2">
      <c r="A1812" t="s">
        <v>2148</v>
      </c>
      <c r="B1812" t="s">
        <v>14359</v>
      </c>
      <c r="C1812" t="s">
        <v>19550</v>
      </c>
      <c r="D1812" t="str">
        <f>_xlfn.XLOOKUP(E1812,pathways!$A$2:$A$31,pathways!$B$2:$B$31)</f>
        <v>Xenobiotics/other</v>
      </c>
      <c r="E1812" t="s">
        <v>3863</v>
      </c>
      <c r="F1812" t="s">
        <v>5632</v>
      </c>
      <c r="G1812" t="s">
        <v>9659</v>
      </c>
      <c r="H1812" t="s">
        <v>14360</v>
      </c>
      <c r="I1812" t="s">
        <v>9659</v>
      </c>
      <c r="J1812" s="4" t="s">
        <v>13332</v>
      </c>
      <c r="L1812" t="s">
        <v>2147</v>
      </c>
      <c r="M1812" t="s">
        <v>15441</v>
      </c>
      <c r="N1812" t="s">
        <v>3863</v>
      </c>
      <c r="O1812" t="s">
        <v>3863</v>
      </c>
      <c r="P1812" t="s">
        <v>5632</v>
      </c>
      <c r="Q1812" t="s">
        <v>5632</v>
      </c>
      <c r="R1812" t="s">
        <v>3863</v>
      </c>
    </row>
    <row r="1813" spans="1:18" x14ac:dyDescent="0.2">
      <c r="A1813" t="s">
        <v>14345</v>
      </c>
      <c r="B1813" t="s">
        <v>14359</v>
      </c>
      <c r="C1813" t="s">
        <v>20067</v>
      </c>
      <c r="D1813" t="str">
        <f>_xlfn.XLOOKUP(E1813,pathways!$A$2:$A$31,pathways!$B$2:$B$31)</f>
        <v>Xenobiotics/other</v>
      </c>
      <c r="E1813" t="s">
        <v>3863</v>
      </c>
      <c r="F1813" t="s">
        <v>7216</v>
      </c>
      <c r="G1813" t="s">
        <v>14360</v>
      </c>
      <c r="H1813" t="s">
        <v>14360</v>
      </c>
      <c r="I1813" t="s">
        <v>14360</v>
      </c>
      <c r="J1813" s="4" t="s">
        <v>13335</v>
      </c>
      <c r="L1813" t="s">
        <v>14360</v>
      </c>
      <c r="M1813" t="s">
        <v>14360</v>
      </c>
      <c r="N1813" t="s">
        <v>14360</v>
      </c>
      <c r="O1813" t="s">
        <v>3863</v>
      </c>
      <c r="P1813" t="s">
        <v>14360</v>
      </c>
      <c r="Q1813" t="s">
        <v>7216</v>
      </c>
      <c r="R1813" t="s">
        <v>14360</v>
      </c>
    </row>
    <row r="1814" spans="1:18" x14ac:dyDescent="0.2">
      <c r="A1814" t="s">
        <v>2575</v>
      </c>
      <c r="B1814" t="s">
        <v>14359</v>
      </c>
      <c r="C1814" t="s">
        <v>19701</v>
      </c>
      <c r="D1814" t="str">
        <f>_xlfn.XLOOKUP(E1814,pathways!$A$2:$A$31,pathways!$B$2:$B$31)</f>
        <v>Xenobiotics/other</v>
      </c>
      <c r="E1814" t="s">
        <v>3863</v>
      </c>
      <c r="F1814" t="s">
        <v>3864</v>
      </c>
      <c r="G1814" t="s">
        <v>14360</v>
      </c>
      <c r="H1814" t="s">
        <v>14360</v>
      </c>
      <c r="I1814" t="s">
        <v>4095</v>
      </c>
      <c r="J1814" s="4" t="s">
        <v>4095</v>
      </c>
      <c r="L1814" t="s">
        <v>2574</v>
      </c>
      <c r="M1814" t="s">
        <v>15899</v>
      </c>
      <c r="N1814" t="s">
        <v>3863</v>
      </c>
      <c r="O1814" t="s">
        <v>3863</v>
      </c>
      <c r="P1814" t="s">
        <v>3864</v>
      </c>
      <c r="Q1814" t="s">
        <v>3864</v>
      </c>
      <c r="R1814" t="s">
        <v>3863</v>
      </c>
    </row>
    <row r="1815" spans="1:18" x14ac:dyDescent="0.2">
      <c r="A1815" t="s">
        <v>13832</v>
      </c>
      <c r="B1815" t="s">
        <v>14359</v>
      </c>
      <c r="C1815" t="s">
        <v>20069</v>
      </c>
      <c r="D1815" t="str">
        <f>_xlfn.XLOOKUP(E1815,pathways!$A$2:$A$31,pathways!$B$2:$B$31)</f>
        <v>Xenobiotics/other</v>
      </c>
      <c r="E1815" t="s">
        <v>3863</v>
      </c>
      <c r="F1815" t="s">
        <v>6220</v>
      </c>
      <c r="G1815" t="s">
        <v>14360</v>
      </c>
      <c r="H1815" t="s">
        <v>14360</v>
      </c>
      <c r="I1815" t="s">
        <v>6223</v>
      </c>
      <c r="J1815" s="4" t="s">
        <v>6223</v>
      </c>
      <c r="L1815" t="s">
        <v>14360</v>
      </c>
      <c r="M1815" t="s">
        <v>14360</v>
      </c>
      <c r="N1815" t="s">
        <v>3863</v>
      </c>
      <c r="O1815" t="s">
        <v>3863</v>
      </c>
      <c r="P1815" t="s">
        <v>6220</v>
      </c>
      <c r="Q1815" t="s">
        <v>6220</v>
      </c>
      <c r="R1815" t="s">
        <v>14360</v>
      </c>
    </row>
    <row r="1816" spans="1:18" x14ac:dyDescent="0.2">
      <c r="A1816" t="s">
        <v>1302</v>
      </c>
      <c r="B1816" t="s">
        <v>14359</v>
      </c>
      <c r="C1816" t="s">
        <v>19243</v>
      </c>
      <c r="D1816" t="str">
        <f>_xlfn.XLOOKUP(E1816,pathways!$A$2:$A$31,pathways!$B$2:$B$31)</f>
        <v>Xenobiotics/other</v>
      </c>
      <c r="E1816" t="s">
        <v>3863</v>
      </c>
      <c r="F1816" t="s">
        <v>3864</v>
      </c>
      <c r="G1816" t="s">
        <v>14360</v>
      </c>
      <c r="H1816" t="s">
        <v>14360</v>
      </c>
      <c r="I1816" t="s">
        <v>6076</v>
      </c>
      <c r="J1816" s="4" t="s">
        <v>6076</v>
      </c>
      <c r="L1816" t="s">
        <v>1301</v>
      </c>
      <c r="M1816" t="s">
        <v>14580</v>
      </c>
      <c r="N1816" t="s">
        <v>3863</v>
      </c>
      <c r="O1816" t="s">
        <v>3863</v>
      </c>
      <c r="P1816" t="s">
        <v>3864</v>
      </c>
      <c r="Q1816" t="s">
        <v>3864</v>
      </c>
      <c r="R1816" t="s">
        <v>3863</v>
      </c>
    </row>
    <row r="1817" spans="1:18" x14ac:dyDescent="0.2">
      <c r="A1817" t="s">
        <v>13965</v>
      </c>
      <c r="B1817" t="s">
        <v>14359</v>
      </c>
      <c r="C1817" t="s">
        <v>20070</v>
      </c>
      <c r="D1817" t="str">
        <f>_xlfn.XLOOKUP(E1817,pathways!$A$2:$A$31,pathways!$B$2:$B$31)</f>
        <v>Xenobiotics/other</v>
      </c>
      <c r="E1817" t="s">
        <v>3863</v>
      </c>
      <c r="F1817" t="s">
        <v>4959</v>
      </c>
      <c r="G1817" t="s">
        <v>14360</v>
      </c>
      <c r="H1817" t="s">
        <v>14360</v>
      </c>
      <c r="I1817" t="s">
        <v>8851</v>
      </c>
      <c r="J1817" s="4" t="s">
        <v>8851</v>
      </c>
      <c r="L1817" t="s">
        <v>14360</v>
      </c>
      <c r="M1817" t="s">
        <v>14360</v>
      </c>
      <c r="N1817" t="s">
        <v>3863</v>
      </c>
      <c r="O1817" t="s">
        <v>3863</v>
      </c>
      <c r="P1817" t="s">
        <v>4959</v>
      </c>
      <c r="Q1817" t="s">
        <v>4959</v>
      </c>
      <c r="R1817" t="s">
        <v>14360</v>
      </c>
    </row>
    <row r="1818" spans="1:18" x14ac:dyDescent="0.2">
      <c r="A1818" t="s">
        <v>13942</v>
      </c>
      <c r="B1818" t="s">
        <v>14359</v>
      </c>
      <c r="C1818" t="s">
        <v>20072</v>
      </c>
      <c r="D1818" t="str">
        <f>_xlfn.XLOOKUP(E1818,pathways!$A$2:$A$31,pathways!$B$2:$B$31)</f>
        <v>Xenobiotics/other</v>
      </c>
      <c r="E1818" t="s">
        <v>3863</v>
      </c>
      <c r="F1818" t="s">
        <v>6220</v>
      </c>
      <c r="G1818" t="s">
        <v>14360</v>
      </c>
      <c r="H1818" t="s">
        <v>14360</v>
      </c>
      <c r="I1818" t="s">
        <v>8348</v>
      </c>
      <c r="J1818" s="4" t="s">
        <v>14360</v>
      </c>
      <c r="L1818" t="s">
        <v>14360</v>
      </c>
      <c r="M1818" t="s">
        <v>14360</v>
      </c>
      <c r="N1818" t="s">
        <v>3863</v>
      </c>
      <c r="O1818" t="s">
        <v>14360</v>
      </c>
      <c r="P1818" t="s">
        <v>6220</v>
      </c>
      <c r="Q1818" t="s">
        <v>14360</v>
      </c>
      <c r="R1818" t="s">
        <v>14360</v>
      </c>
    </row>
    <row r="1819" spans="1:18" x14ac:dyDescent="0.2">
      <c r="A1819" t="s">
        <v>13951</v>
      </c>
      <c r="B1819" t="s">
        <v>14359</v>
      </c>
      <c r="C1819" t="s">
        <v>20073</v>
      </c>
      <c r="D1819" t="str">
        <f>_xlfn.XLOOKUP(E1819,pathways!$A$2:$A$31,pathways!$B$2:$B$31)</f>
        <v>Xenobiotics/other</v>
      </c>
      <c r="E1819" t="s">
        <v>3863</v>
      </c>
      <c r="F1819" t="s">
        <v>5082</v>
      </c>
      <c r="G1819" t="s">
        <v>14360</v>
      </c>
      <c r="H1819" t="s">
        <v>14360</v>
      </c>
      <c r="I1819" t="s">
        <v>8530</v>
      </c>
      <c r="J1819" s="4" t="s">
        <v>8530</v>
      </c>
      <c r="L1819" t="s">
        <v>14360</v>
      </c>
      <c r="M1819" t="s">
        <v>14360</v>
      </c>
      <c r="N1819" t="s">
        <v>3863</v>
      </c>
      <c r="O1819" t="s">
        <v>3863</v>
      </c>
      <c r="P1819" t="s">
        <v>5082</v>
      </c>
      <c r="Q1819" t="s">
        <v>5082</v>
      </c>
      <c r="R1819" t="s">
        <v>14360</v>
      </c>
    </row>
    <row r="1820" spans="1:18" x14ac:dyDescent="0.2">
      <c r="A1820" t="s">
        <v>1817</v>
      </c>
      <c r="B1820" t="s">
        <v>14359</v>
      </c>
      <c r="C1820" t="s">
        <v>19407</v>
      </c>
      <c r="D1820" t="str">
        <f>_xlfn.XLOOKUP(E1820,pathways!$A$2:$A$31,pathways!$B$2:$B$31)</f>
        <v>Xenobiotics/other</v>
      </c>
      <c r="E1820" t="s">
        <v>3863</v>
      </c>
      <c r="F1820" t="s">
        <v>5082</v>
      </c>
      <c r="G1820" t="s">
        <v>14360</v>
      </c>
      <c r="H1820" t="s">
        <v>14360</v>
      </c>
      <c r="I1820" t="s">
        <v>8567</v>
      </c>
      <c r="J1820" s="4" t="s">
        <v>8567</v>
      </c>
      <c r="L1820" t="s">
        <v>1816</v>
      </c>
      <c r="M1820" t="s">
        <v>15117</v>
      </c>
      <c r="N1820" t="s">
        <v>3863</v>
      </c>
      <c r="O1820" t="s">
        <v>3863</v>
      </c>
      <c r="P1820" t="s">
        <v>5082</v>
      </c>
      <c r="Q1820" t="s">
        <v>5082</v>
      </c>
      <c r="R1820" t="s">
        <v>3863</v>
      </c>
    </row>
    <row r="1821" spans="1:18" x14ac:dyDescent="0.2">
      <c r="A1821" t="s">
        <v>1487</v>
      </c>
      <c r="B1821" t="s">
        <v>14359</v>
      </c>
      <c r="C1821" t="s">
        <v>19309</v>
      </c>
      <c r="D1821" t="str">
        <f>_xlfn.XLOOKUP(E1821,pathways!$A$2:$A$31,pathways!$B$2:$B$31)</f>
        <v>Xenobiotics/other</v>
      </c>
      <c r="E1821" t="s">
        <v>3863</v>
      </c>
      <c r="F1821" t="s">
        <v>3864</v>
      </c>
      <c r="G1821" t="s">
        <v>14360</v>
      </c>
      <c r="H1821" t="s">
        <v>14360</v>
      </c>
      <c r="I1821" t="s">
        <v>6947</v>
      </c>
      <c r="J1821" s="4" t="s">
        <v>6947</v>
      </c>
      <c r="L1821" t="s">
        <v>1486</v>
      </c>
      <c r="M1821" t="s">
        <v>14772</v>
      </c>
      <c r="N1821" t="s">
        <v>3863</v>
      </c>
      <c r="O1821" t="s">
        <v>3863</v>
      </c>
      <c r="P1821" t="s">
        <v>3864</v>
      </c>
      <c r="Q1821" t="s">
        <v>3864</v>
      </c>
      <c r="R1821" t="s">
        <v>3863</v>
      </c>
    </row>
    <row r="1822" spans="1:18" x14ac:dyDescent="0.2">
      <c r="A1822" t="s">
        <v>13900</v>
      </c>
      <c r="B1822" t="s">
        <v>14359</v>
      </c>
      <c r="C1822" t="s">
        <v>20074</v>
      </c>
      <c r="D1822" t="str">
        <f>_xlfn.XLOOKUP(E1822,pathways!$A$2:$A$31,pathways!$B$2:$B$31)</f>
        <v>Xenobiotics/other</v>
      </c>
      <c r="E1822" t="s">
        <v>3863</v>
      </c>
      <c r="F1822" t="s">
        <v>4933</v>
      </c>
      <c r="G1822" t="s">
        <v>14360</v>
      </c>
      <c r="H1822" t="s">
        <v>14360</v>
      </c>
      <c r="I1822" t="s">
        <v>7702</v>
      </c>
      <c r="J1822" s="4" t="s">
        <v>14360</v>
      </c>
      <c r="L1822" t="s">
        <v>14360</v>
      </c>
      <c r="M1822" t="s">
        <v>14360</v>
      </c>
      <c r="N1822" t="s">
        <v>3863</v>
      </c>
      <c r="O1822" t="s">
        <v>14360</v>
      </c>
      <c r="P1822" t="s">
        <v>4933</v>
      </c>
      <c r="Q1822" t="s">
        <v>14360</v>
      </c>
      <c r="R1822" t="s">
        <v>14360</v>
      </c>
    </row>
    <row r="1823" spans="1:18" x14ac:dyDescent="0.2">
      <c r="A1823" t="s">
        <v>1142</v>
      </c>
      <c r="B1823" t="s">
        <v>14359</v>
      </c>
      <c r="C1823" t="s">
        <v>19190</v>
      </c>
      <c r="D1823" t="str">
        <f>_xlfn.XLOOKUP(E1823,pathways!$A$2:$A$31,pathways!$B$2:$B$31)</f>
        <v>Xenobiotics/other</v>
      </c>
      <c r="E1823" t="s">
        <v>3863</v>
      </c>
      <c r="F1823" t="s">
        <v>3864</v>
      </c>
      <c r="G1823" t="s">
        <v>14360</v>
      </c>
      <c r="H1823" t="s">
        <v>14360</v>
      </c>
      <c r="I1823" t="s">
        <v>5336</v>
      </c>
      <c r="J1823" s="4" t="s">
        <v>5336</v>
      </c>
      <c r="L1823" t="s">
        <v>1141</v>
      </c>
      <c r="M1823" t="s">
        <v>14412</v>
      </c>
      <c r="N1823" t="s">
        <v>3863</v>
      </c>
      <c r="O1823" t="s">
        <v>3863</v>
      </c>
      <c r="P1823" t="s">
        <v>3864</v>
      </c>
      <c r="Q1823" t="s">
        <v>3864</v>
      </c>
      <c r="R1823" t="s">
        <v>3863</v>
      </c>
    </row>
    <row r="1824" spans="1:18" x14ac:dyDescent="0.2">
      <c r="A1824" t="s">
        <v>13906</v>
      </c>
      <c r="B1824" t="s">
        <v>14359</v>
      </c>
      <c r="C1824" t="s">
        <v>20075</v>
      </c>
      <c r="D1824" t="str">
        <f>_xlfn.XLOOKUP(E1824,pathways!$A$2:$A$31,pathways!$B$2:$B$31)</f>
        <v>Xenobiotics/other</v>
      </c>
      <c r="E1824" t="s">
        <v>3863</v>
      </c>
      <c r="F1824" t="s">
        <v>7477</v>
      </c>
      <c r="G1824" t="s">
        <v>14360</v>
      </c>
      <c r="H1824" t="s">
        <v>14360</v>
      </c>
      <c r="I1824" t="s">
        <v>7786</v>
      </c>
      <c r="J1824" s="4" t="s">
        <v>7786</v>
      </c>
      <c r="L1824" t="s">
        <v>14360</v>
      </c>
      <c r="M1824" t="s">
        <v>14360</v>
      </c>
      <c r="N1824" t="s">
        <v>3863</v>
      </c>
      <c r="O1824" t="s">
        <v>3863</v>
      </c>
      <c r="P1824" t="s">
        <v>7477</v>
      </c>
      <c r="Q1824" t="s">
        <v>7477</v>
      </c>
      <c r="R1824" t="s">
        <v>14360</v>
      </c>
    </row>
    <row r="1825" spans="1:18" x14ac:dyDescent="0.2">
      <c r="A1825" t="s">
        <v>13893</v>
      </c>
      <c r="B1825" t="s">
        <v>14359</v>
      </c>
      <c r="C1825" t="s">
        <v>20076</v>
      </c>
      <c r="D1825" t="str">
        <f>_xlfn.XLOOKUP(E1825,pathways!$A$2:$A$31,pathways!$B$2:$B$31)</f>
        <v>Xenobiotics/other</v>
      </c>
      <c r="E1825" t="s">
        <v>3863</v>
      </c>
      <c r="F1825" t="s">
        <v>7590</v>
      </c>
      <c r="G1825" t="s">
        <v>14360</v>
      </c>
      <c r="H1825" t="s">
        <v>14360</v>
      </c>
      <c r="I1825" t="s">
        <v>7617</v>
      </c>
      <c r="J1825" s="4" t="s">
        <v>7617</v>
      </c>
      <c r="L1825" t="s">
        <v>14360</v>
      </c>
      <c r="M1825" t="s">
        <v>14360</v>
      </c>
      <c r="N1825" t="s">
        <v>3863</v>
      </c>
      <c r="O1825" t="s">
        <v>3863</v>
      </c>
      <c r="P1825" t="s">
        <v>7590</v>
      </c>
      <c r="Q1825" t="s">
        <v>7590</v>
      </c>
      <c r="R1825" t="s">
        <v>14360</v>
      </c>
    </row>
    <row r="1826" spans="1:18" x14ac:dyDescent="0.2">
      <c r="A1826" t="s">
        <v>14036</v>
      </c>
      <c r="B1826" t="s">
        <v>14359</v>
      </c>
      <c r="C1826" t="s">
        <v>20121</v>
      </c>
      <c r="D1826" t="str">
        <f>_xlfn.XLOOKUP(E1826,pathways!$A$2:$A$31,pathways!$B$2:$B$31)</f>
        <v>Xenobiotics/other</v>
      </c>
      <c r="E1826" t="s">
        <v>3863</v>
      </c>
      <c r="F1826" t="s">
        <v>7590</v>
      </c>
      <c r="G1826" t="s">
        <v>14360</v>
      </c>
      <c r="H1826" t="s">
        <v>14360</v>
      </c>
      <c r="I1826" t="s">
        <v>9867</v>
      </c>
      <c r="J1826" s="4" t="s">
        <v>9867</v>
      </c>
      <c r="L1826" t="s">
        <v>14360</v>
      </c>
      <c r="M1826" t="s">
        <v>14360</v>
      </c>
      <c r="N1826" t="s">
        <v>3863</v>
      </c>
      <c r="O1826" t="s">
        <v>3863</v>
      </c>
      <c r="P1826" t="s">
        <v>7590</v>
      </c>
      <c r="Q1826" t="s">
        <v>7590</v>
      </c>
      <c r="R1826" t="s">
        <v>14360</v>
      </c>
    </row>
    <row r="1827" spans="1:18" x14ac:dyDescent="0.2">
      <c r="A1827" t="s">
        <v>13811</v>
      </c>
      <c r="B1827" t="s">
        <v>14359</v>
      </c>
      <c r="C1827" t="s">
        <v>20081</v>
      </c>
      <c r="D1827" t="str">
        <f>_xlfn.XLOOKUP(E1827,pathways!$A$2:$A$31,pathways!$B$2:$B$31)</f>
        <v>Xenobiotics/other</v>
      </c>
      <c r="E1827" t="s">
        <v>3863</v>
      </c>
      <c r="F1827" t="s">
        <v>4959</v>
      </c>
      <c r="G1827" t="s">
        <v>14360</v>
      </c>
      <c r="H1827" t="s">
        <v>14360</v>
      </c>
      <c r="I1827" t="s">
        <v>5406</v>
      </c>
      <c r="J1827" s="4" t="s">
        <v>14360</v>
      </c>
      <c r="L1827" t="s">
        <v>14360</v>
      </c>
      <c r="M1827" t="s">
        <v>14360</v>
      </c>
      <c r="N1827" t="s">
        <v>3863</v>
      </c>
      <c r="O1827" t="s">
        <v>14360</v>
      </c>
      <c r="P1827" t="s">
        <v>4959</v>
      </c>
      <c r="Q1827" t="s">
        <v>14360</v>
      </c>
      <c r="R1827" t="s">
        <v>14360</v>
      </c>
    </row>
    <row r="1828" spans="1:18" x14ac:dyDescent="0.2">
      <c r="A1828" t="s">
        <v>14065</v>
      </c>
      <c r="B1828" t="s">
        <v>14359</v>
      </c>
      <c r="C1828" t="s">
        <v>20082</v>
      </c>
      <c r="D1828" t="str">
        <f>_xlfn.XLOOKUP(E1828,pathways!$A$2:$A$31,pathways!$B$2:$B$31)</f>
        <v>Xenobiotics/other</v>
      </c>
      <c r="E1828" t="s">
        <v>3863</v>
      </c>
      <c r="F1828" t="s">
        <v>10004</v>
      </c>
      <c r="G1828" t="s">
        <v>14360</v>
      </c>
      <c r="H1828" t="s">
        <v>14360</v>
      </c>
      <c r="I1828" t="s">
        <v>10031</v>
      </c>
      <c r="J1828" s="4" t="s">
        <v>14360</v>
      </c>
      <c r="L1828" t="s">
        <v>14360</v>
      </c>
      <c r="M1828" t="s">
        <v>14360</v>
      </c>
      <c r="N1828" t="s">
        <v>3863</v>
      </c>
      <c r="O1828" t="s">
        <v>14360</v>
      </c>
      <c r="P1828" t="s">
        <v>10004</v>
      </c>
      <c r="Q1828" t="s">
        <v>14360</v>
      </c>
      <c r="R1828" t="s">
        <v>14360</v>
      </c>
    </row>
    <row r="1829" spans="1:18" x14ac:dyDescent="0.2">
      <c r="A1829" t="s">
        <v>14346</v>
      </c>
      <c r="B1829" t="s">
        <v>14359</v>
      </c>
      <c r="C1829" t="s">
        <v>20083</v>
      </c>
      <c r="D1829" t="str">
        <f>_xlfn.XLOOKUP(E1829,pathways!$A$2:$A$31,pathways!$B$2:$B$31)</f>
        <v>Xenobiotics/other</v>
      </c>
      <c r="E1829" t="s">
        <v>3863</v>
      </c>
      <c r="F1829" t="s">
        <v>7216</v>
      </c>
      <c r="G1829" t="s">
        <v>14360</v>
      </c>
      <c r="H1829" t="s">
        <v>14360</v>
      </c>
      <c r="I1829" t="s">
        <v>14360</v>
      </c>
      <c r="J1829" s="4" t="s">
        <v>13359</v>
      </c>
      <c r="L1829" t="s">
        <v>14360</v>
      </c>
      <c r="M1829" t="s">
        <v>14360</v>
      </c>
      <c r="N1829" t="s">
        <v>14360</v>
      </c>
      <c r="O1829" t="s">
        <v>3863</v>
      </c>
      <c r="P1829" t="s">
        <v>14360</v>
      </c>
      <c r="Q1829" t="s">
        <v>7216</v>
      </c>
      <c r="R1829" t="s">
        <v>14360</v>
      </c>
    </row>
    <row r="1830" spans="1:18" x14ac:dyDescent="0.2">
      <c r="A1830" t="s">
        <v>13962</v>
      </c>
      <c r="B1830" t="s">
        <v>14359</v>
      </c>
      <c r="C1830" t="s">
        <v>20084</v>
      </c>
      <c r="D1830" t="str">
        <f>_xlfn.XLOOKUP(E1830,pathways!$A$2:$A$31,pathways!$B$2:$B$31)</f>
        <v>Xenobiotics/other</v>
      </c>
      <c r="E1830" t="s">
        <v>3863</v>
      </c>
      <c r="F1830" t="s">
        <v>4959</v>
      </c>
      <c r="G1830" t="s">
        <v>14360</v>
      </c>
      <c r="H1830" t="s">
        <v>14360</v>
      </c>
      <c r="I1830" t="s">
        <v>8763</v>
      </c>
      <c r="J1830" s="4" t="s">
        <v>14360</v>
      </c>
      <c r="L1830" t="s">
        <v>14360</v>
      </c>
      <c r="M1830" t="s">
        <v>14360</v>
      </c>
      <c r="N1830" t="s">
        <v>3863</v>
      </c>
      <c r="O1830" t="s">
        <v>14360</v>
      </c>
      <c r="P1830" t="s">
        <v>4959</v>
      </c>
      <c r="Q1830" t="s">
        <v>14360</v>
      </c>
      <c r="R1830" t="s">
        <v>14360</v>
      </c>
    </row>
    <row r="1831" spans="1:18" x14ac:dyDescent="0.2">
      <c r="A1831" t="s">
        <v>1722</v>
      </c>
      <c r="B1831" t="s">
        <v>14359</v>
      </c>
      <c r="C1831" t="s">
        <v>8216</v>
      </c>
      <c r="D1831" t="str">
        <f>_xlfn.XLOOKUP(E1831,pathways!$A$2:$A$31,pathways!$B$2:$B$31)</f>
        <v>Xenobiotics/other</v>
      </c>
      <c r="E1831" t="s">
        <v>3863</v>
      </c>
      <c r="F1831" t="s">
        <v>3864</v>
      </c>
      <c r="G1831" t="s">
        <v>14360</v>
      </c>
      <c r="H1831" t="s">
        <v>14360</v>
      </c>
      <c r="I1831" t="s">
        <v>8216</v>
      </c>
      <c r="J1831" s="4" t="s">
        <v>8216</v>
      </c>
      <c r="L1831" t="s">
        <v>1721</v>
      </c>
      <c r="M1831" t="s">
        <v>15017</v>
      </c>
      <c r="N1831" t="s">
        <v>3863</v>
      </c>
      <c r="O1831" t="s">
        <v>3863</v>
      </c>
      <c r="P1831" t="s">
        <v>3864</v>
      </c>
      <c r="Q1831" t="s">
        <v>3864</v>
      </c>
      <c r="R1831" t="s">
        <v>3863</v>
      </c>
    </row>
    <row r="1832" spans="1:18" x14ac:dyDescent="0.2">
      <c r="A1832" t="s">
        <v>13880</v>
      </c>
      <c r="B1832" t="s">
        <v>14359</v>
      </c>
      <c r="C1832" t="s">
        <v>7421</v>
      </c>
      <c r="D1832" t="str">
        <f>_xlfn.XLOOKUP(E1832,pathways!$A$2:$A$31,pathways!$B$2:$B$31)</f>
        <v>Xenobiotics/other</v>
      </c>
      <c r="E1832" t="s">
        <v>3863</v>
      </c>
      <c r="F1832" t="s">
        <v>7418</v>
      </c>
      <c r="G1832" t="s">
        <v>14360</v>
      </c>
      <c r="H1832" t="s">
        <v>14360</v>
      </c>
      <c r="I1832" t="s">
        <v>7421</v>
      </c>
      <c r="J1832" s="4" t="s">
        <v>14360</v>
      </c>
      <c r="L1832" t="s">
        <v>14360</v>
      </c>
      <c r="M1832" t="s">
        <v>14360</v>
      </c>
      <c r="N1832" t="s">
        <v>3863</v>
      </c>
      <c r="O1832" t="s">
        <v>14360</v>
      </c>
      <c r="P1832" t="s">
        <v>7418</v>
      </c>
      <c r="Q1832" t="s">
        <v>14360</v>
      </c>
      <c r="R1832" t="s">
        <v>14360</v>
      </c>
    </row>
    <row r="1833" spans="1:18" x14ac:dyDescent="0.2">
      <c r="A1833" t="s">
        <v>13818</v>
      </c>
      <c r="B1833" t="s">
        <v>14359</v>
      </c>
      <c r="C1833" t="s">
        <v>20085</v>
      </c>
      <c r="D1833" t="str">
        <f>_xlfn.XLOOKUP(E1833,pathways!$A$2:$A$31,pathways!$B$2:$B$31)</f>
        <v>Xenobiotics/other</v>
      </c>
      <c r="E1833" t="s">
        <v>3863</v>
      </c>
      <c r="F1833" t="s">
        <v>3864</v>
      </c>
      <c r="G1833" t="s">
        <v>14360</v>
      </c>
      <c r="H1833" t="s">
        <v>14360</v>
      </c>
      <c r="I1833" t="s">
        <v>5619</v>
      </c>
      <c r="J1833" s="4" t="s">
        <v>5619</v>
      </c>
      <c r="L1833" t="s">
        <v>14360</v>
      </c>
      <c r="M1833" t="s">
        <v>14360</v>
      </c>
      <c r="N1833" t="s">
        <v>3863</v>
      </c>
      <c r="O1833" t="s">
        <v>3863</v>
      </c>
      <c r="P1833" t="s">
        <v>3864</v>
      </c>
      <c r="Q1833" t="s">
        <v>3864</v>
      </c>
      <c r="R1833" t="s">
        <v>14360</v>
      </c>
    </row>
    <row r="1834" spans="1:18" x14ac:dyDescent="0.2">
      <c r="A1834" t="s">
        <v>2594</v>
      </c>
      <c r="B1834" t="s">
        <v>14359</v>
      </c>
      <c r="C1834" t="s">
        <v>19710</v>
      </c>
      <c r="D1834" t="str">
        <f>_xlfn.XLOOKUP(E1834,pathways!$A$2:$A$31,pathways!$B$2:$B$31)</f>
        <v>Xenobiotics/other</v>
      </c>
      <c r="E1834" t="s">
        <v>3863</v>
      </c>
      <c r="F1834" t="s">
        <v>4142</v>
      </c>
      <c r="G1834" t="s">
        <v>14360</v>
      </c>
      <c r="H1834" t="s">
        <v>14360</v>
      </c>
      <c r="I1834" t="s">
        <v>4145</v>
      </c>
      <c r="J1834" s="4" t="s">
        <v>4145</v>
      </c>
      <c r="L1834" t="s">
        <v>2593</v>
      </c>
      <c r="M1834" t="s">
        <v>15920</v>
      </c>
      <c r="N1834" t="s">
        <v>3863</v>
      </c>
      <c r="O1834" t="s">
        <v>3863</v>
      </c>
      <c r="P1834" t="s">
        <v>4142</v>
      </c>
      <c r="Q1834" t="s">
        <v>4142</v>
      </c>
      <c r="R1834" t="s">
        <v>3863</v>
      </c>
    </row>
    <row r="1835" spans="1:18" x14ac:dyDescent="0.2">
      <c r="A1835" t="s">
        <v>1322</v>
      </c>
      <c r="B1835" t="s">
        <v>14359</v>
      </c>
      <c r="C1835" t="s">
        <v>19249</v>
      </c>
      <c r="D1835" t="str">
        <f>_xlfn.XLOOKUP(E1835,pathways!$A$2:$A$31,pathways!$B$2:$B$31)</f>
        <v>Xenobiotics/other</v>
      </c>
      <c r="E1835" t="s">
        <v>3863</v>
      </c>
      <c r="F1835" t="s">
        <v>4942</v>
      </c>
      <c r="G1835" t="s">
        <v>14360</v>
      </c>
      <c r="H1835" t="s">
        <v>14360</v>
      </c>
      <c r="I1835" t="s">
        <v>6256</v>
      </c>
      <c r="J1835" s="4" t="s">
        <v>6256</v>
      </c>
      <c r="L1835" t="s">
        <v>1321</v>
      </c>
      <c r="M1835" t="s">
        <v>14600</v>
      </c>
      <c r="N1835" t="s">
        <v>3863</v>
      </c>
      <c r="O1835" t="s">
        <v>3863</v>
      </c>
      <c r="P1835" t="s">
        <v>4942</v>
      </c>
      <c r="Q1835" t="s">
        <v>4942</v>
      </c>
      <c r="R1835" t="s">
        <v>3863</v>
      </c>
    </row>
    <row r="1836" spans="1:18" x14ac:dyDescent="0.2">
      <c r="A1836" t="s">
        <v>13896</v>
      </c>
      <c r="B1836" t="s">
        <v>14359</v>
      </c>
      <c r="C1836" t="s">
        <v>19906</v>
      </c>
      <c r="D1836" t="str">
        <f>_xlfn.XLOOKUP(E1836,pathways!$A$2:$A$31,pathways!$B$2:$B$31)</f>
        <v>Xenobiotics/other</v>
      </c>
      <c r="E1836" t="s">
        <v>3863</v>
      </c>
      <c r="F1836" t="s">
        <v>4933</v>
      </c>
      <c r="G1836" t="s">
        <v>14360</v>
      </c>
      <c r="H1836" t="s">
        <v>14360</v>
      </c>
      <c r="I1836" t="s">
        <v>7670</v>
      </c>
      <c r="J1836" s="4" t="s">
        <v>14360</v>
      </c>
      <c r="L1836" t="s">
        <v>14360</v>
      </c>
      <c r="M1836" t="s">
        <v>14360</v>
      </c>
      <c r="N1836" t="s">
        <v>3863</v>
      </c>
      <c r="O1836" t="s">
        <v>14360</v>
      </c>
      <c r="P1836" t="s">
        <v>4933</v>
      </c>
      <c r="Q1836" t="s">
        <v>14360</v>
      </c>
      <c r="R1836" t="s">
        <v>14360</v>
      </c>
    </row>
    <row r="1837" spans="1:18" x14ac:dyDescent="0.2">
      <c r="A1837" t="s">
        <v>14347</v>
      </c>
      <c r="B1837" t="s">
        <v>14359</v>
      </c>
      <c r="C1837" t="s">
        <v>19905</v>
      </c>
      <c r="D1837" t="str">
        <f>_xlfn.XLOOKUP(E1837,pathways!$A$2:$A$31,pathways!$B$2:$B$31)</f>
        <v>Xenobiotics/other</v>
      </c>
      <c r="E1837" t="s">
        <v>3863</v>
      </c>
      <c r="F1837" t="s">
        <v>7216</v>
      </c>
      <c r="G1837" t="s">
        <v>14360</v>
      </c>
      <c r="H1837" t="s">
        <v>14360</v>
      </c>
      <c r="I1837" t="s">
        <v>14360</v>
      </c>
      <c r="J1837" s="4" t="s">
        <v>13370</v>
      </c>
      <c r="L1837" t="s">
        <v>14360</v>
      </c>
      <c r="M1837" t="s">
        <v>14360</v>
      </c>
      <c r="N1837" t="s">
        <v>14360</v>
      </c>
      <c r="O1837" t="s">
        <v>3863</v>
      </c>
      <c r="P1837" t="s">
        <v>14360</v>
      </c>
      <c r="Q1837" t="s">
        <v>7216</v>
      </c>
      <c r="R1837" t="s">
        <v>14360</v>
      </c>
    </row>
    <row r="1838" spans="1:18" x14ac:dyDescent="0.2">
      <c r="A1838" t="s">
        <v>13968</v>
      </c>
      <c r="B1838" t="s">
        <v>14359</v>
      </c>
      <c r="C1838" t="s">
        <v>19904</v>
      </c>
      <c r="D1838" t="str">
        <f>_xlfn.XLOOKUP(E1838,pathways!$A$2:$A$31,pathways!$B$2:$B$31)</f>
        <v>Xenobiotics/other</v>
      </c>
      <c r="E1838" t="s">
        <v>3863</v>
      </c>
      <c r="F1838" t="s">
        <v>6220</v>
      </c>
      <c r="G1838" t="s">
        <v>14360</v>
      </c>
      <c r="H1838" t="s">
        <v>14360</v>
      </c>
      <c r="I1838" t="s">
        <v>8898</v>
      </c>
      <c r="J1838" s="4" t="s">
        <v>8898</v>
      </c>
      <c r="L1838" t="s">
        <v>14360</v>
      </c>
      <c r="M1838" t="s">
        <v>14360</v>
      </c>
      <c r="N1838" t="s">
        <v>3863</v>
      </c>
      <c r="O1838" t="s">
        <v>3863</v>
      </c>
      <c r="P1838" t="s">
        <v>6220</v>
      </c>
      <c r="Q1838" t="s">
        <v>6220</v>
      </c>
      <c r="R1838" t="s">
        <v>14360</v>
      </c>
    </row>
    <row r="1839" spans="1:18" x14ac:dyDescent="0.2">
      <c r="A1839" t="s">
        <v>13894</v>
      </c>
      <c r="B1839" t="s">
        <v>14359</v>
      </c>
      <c r="C1839" t="s">
        <v>19903</v>
      </c>
      <c r="D1839" t="str">
        <f>_xlfn.XLOOKUP(E1839,pathways!$A$2:$A$31,pathways!$B$2:$B$31)</f>
        <v>Xenobiotics/other</v>
      </c>
      <c r="E1839" t="s">
        <v>3863</v>
      </c>
      <c r="F1839" t="s">
        <v>3864</v>
      </c>
      <c r="G1839" t="s">
        <v>14360</v>
      </c>
      <c r="H1839" t="s">
        <v>14360</v>
      </c>
      <c r="I1839" t="s">
        <v>7647</v>
      </c>
      <c r="J1839" s="4" t="s">
        <v>7647</v>
      </c>
      <c r="L1839" t="s">
        <v>14360</v>
      </c>
      <c r="M1839" t="s">
        <v>14360</v>
      </c>
      <c r="N1839" t="s">
        <v>3863</v>
      </c>
      <c r="O1839" t="s">
        <v>3863</v>
      </c>
      <c r="P1839" t="s">
        <v>3864</v>
      </c>
      <c r="Q1839" t="s">
        <v>3864</v>
      </c>
      <c r="R1839" t="s">
        <v>14360</v>
      </c>
    </row>
    <row r="1840" spans="1:18" x14ac:dyDescent="0.2">
      <c r="A1840" t="s">
        <v>1320</v>
      </c>
      <c r="B1840" t="s">
        <v>14359</v>
      </c>
      <c r="C1840" t="s">
        <v>19248</v>
      </c>
      <c r="D1840" t="str">
        <f>_xlfn.XLOOKUP(E1840,pathways!$A$2:$A$31,pathways!$B$2:$B$31)</f>
        <v>Xenobiotics/other</v>
      </c>
      <c r="E1840" t="s">
        <v>3863</v>
      </c>
      <c r="F1840" t="s">
        <v>3864</v>
      </c>
      <c r="G1840" t="s">
        <v>6180</v>
      </c>
      <c r="H1840" t="s">
        <v>14360</v>
      </c>
      <c r="I1840" t="s">
        <v>6180</v>
      </c>
      <c r="J1840" s="4" t="s">
        <v>6180</v>
      </c>
      <c r="L1840" t="s">
        <v>1319</v>
      </c>
      <c r="M1840" t="s">
        <v>14598</v>
      </c>
      <c r="N1840" t="s">
        <v>3863</v>
      </c>
      <c r="O1840" t="s">
        <v>3863</v>
      </c>
      <c r="P1840" t="s">
        <v>3864</v>
      </c>
      <c r="Q1840" t="s">
        <v>3864</v>
      </c>
      <c r="R1840" t="s">
        <v>3863</v>
      </c>
    </row>
    <row r="1841" spans="1:18" x14ac:dyDescent="0.2">
      <c r="A1841" t="s">
        <v>1680</v>
      </c>
      <c r="B1841" t="s">
        <v>14359</v>
      </c>
      <c r="C1841" t="s">
        <v>19367</v>
      </c>
      <c r="D1841" t="str">
        <f>_xlfn.XLOOKUP(E1841,pathways!$A$2:$A$31,pathways!$B$2:$B$31)</f>
        <v>Xenobiotics/other</v>
      </c>
      <c r="E1841" t="s">
        <v>3863</v>
      </c>
      <c r="F1841" t="s">
        <v>5632</v>
      </c>
      <c r="G1841" t="s">
        <v>14360</v>
      </c>
      <c r="H1841" t="s">
        <v>14360</v>
      </c>
      <c r="I1841" t="s">
        <v>14360</v>
      </c>
      <c r="J1841" s="4" t="s">
        <v>13380</v>
      </c>
      <c r="L1841" t="s">
        <v>1679</v>
      </c>
      <c r="M1841" t="s">
        <v>14971</v>
      </c>
      <c r="N1841" t="s">
        <v>14360</v>
      </c>
      <c r="O1841" t="s">
        <v>3863</v>
      </c>
      <c r="P1841" t="s">
        <v>14360</v>
      </c>
      <c r="Q1841" t="s">
        <v>5632</v>
      </c>
      <c r="R1841" t="s">
        <v>3863</v>
      </c>
    </row>
    <row r="1842" spans="1:18" x14ac:dyDescent="0.2">
      <c r="A1842" t="s">
        <v>13858</v>
      </c>
      <c r="B1842" t="s">
        <v>14359</v>
      </c>
      <c r="C1842" t="s">
        <v>19900</v>
      </c>
      <c r="D1842" t="str">
        <f>_xlfn.XLOOKUP(E1842,pathways!$A$2:$A$31,pathways!$B$2:$B$31)</f>
        <v>Xenobiotics/other</v>
      </c>
      <c r="E1842" t="s">
        <v>3863</v>
      </c>
      <c r="F1842" t="s">
        <v>3864</v>
      </c>
      <c r="G1842" t="s">
        <v>14360</v>
      </c>
      <c r="H1842" t="s">
        <v>14360</v>
      </c>
      <c r="I1842" t="s">
        <v>6978</v>
      </c>
      <c r="J1842" s="4" t="s">
        <v>14360</v>
      </c>
      <c r="L1842" t="s">
        <v>14360</v>
      </c>
      <c r="M1842" t="s">
        <v>14360</v>
      </c>
      <c r="N1842" t="s">
        <v>3863</v>
      </c>
      <c r="O1842" t="s">
        <v>14360</v>
      </c>
      <c r="P1842" t="s">
        <v>3864</v>
      </c>
      <c r="Q1842" t="s">
        <v>14360</v>
      </c>
      <c r="R1842" t="s">
        <v>14360</v>
      </c>
    </row>
    <row r="1843" spans="1:18" x14ac:dyDescent="0.2">
      <c r="A1843" t="s">
        <v>1625</v>
      </c>
      <c r="B1843" t="s">
        <v>14359</v>
      </c>
      <c r="C1843" t="s">
        <v>19344</v>
      </c>
      <c r="D1843" t="str">
        <f>_xlfn.XLOOKUP(E1843,pathways!$A$2:$A$31,pathways!$B$2:$B$31)</f>
        <v>Xenobiotics/other</v>
      </c>
      <c r="E1843" t="s">
        <v>3863</v>
      </c>
      <c r="F1843" t="s">
        <v>5632</v>
      </c>
      <c r="G1843" t="s">
        <v>20458</v>
      </c>
      <c r="H1843" t="s">
        <v>14360</v>
      </c>
      <c r="I1843" t="s">
        <v>7553</v>
      </c>
      <c r="J1843" s="4" t="s">
        <v>7553</v>
      </c>
      <c r="L1843" t="s">
        <v>1624</v>
      </c>
      <c r="M1843" t="s">
        <v>14913</v>
      </c>
      <c r="N1843" t="s">
        <v>3863</v>
      </c>
      <c r="O1843" t="s">
        <v>3863</v>
      </c>
      <c r="P1843" t="s">
        <v>5632</v>
      </c>
      <c r="Q1843" t="s">
        <v>5632</v>
      </c>
      <c r="R1843" t="s">
        <v>3863</v>
      </c>
    </row>
    <row r="1844" spans="1:18" x14ac:dyDescent="0.2">
      <c r="A1844" t="s">
        <v>2218</v>
      </c>
      <c r="B1844" t="s">
        <v>14359</v>
      </c>
      <c r="C1844" t="s">
        <v>19575</v>
      </c>
      <c r="D1844" t="str">
        <f>_xlfn.XLOOKUP(E1844,pathways!$A$2:$A$31,pathways!$B$2:$B$31)</f>
        <v>Xenobiotics/other</v>
      </c>
      <c r="E1844" t="s">
        <v>3863</v>
      </c>
      <c r="F1844" t="s">
        <v>3864</v>
      </c>
      <c r="G1844" t="s">
        <v>14360</v>
      </c>
      <c r="H1844" t="s">
        <v>14360</v>
      </c>
      <c r="I1844" t="s">
        <v>9781</v>
      </c>
      <c r="J1844" s="4" t="s">
        <v>9781</v>
      </c>
      <c r="L1844" t="s">
        <v>2217</v>
      </c>
      <c r="M1844" t="s">
        <v>15515</v>
      </c>
      <c r="N1844" t="s">
        <v>3863</v>
      </c>
      <c r="O1844" t="s">
        <v>3863</v>
      </c>
      <c r="P1844" t="s">
        <v>3864</v>
      </c>
      <c r="Q1844" t="s">
        <v>3864</v>
      </c>
      <c r="R1844" t="s">
        <v>3863</v>
      </c>
    </row>
    <row r="1845" spans="1:18" x14ac:dyDescent="0.2">
      <c r="A1845" t="s">
        <v>2216</v>
      </c>
      <c r="B1845" t="s">
        <v>14359</v>
      </c>
      <c r="C1845" t="s">
        <v>19574</v>
      </c>
      <c r="D1845" t="str">
        <f>_xlfn.XLOOKUP(E1845,pathways!$A$2:$A$31,pathways!$B$2:$B$31)</f>
        <v>Xenobiotics/other</v>
      </c>
      <c r="E1845" t="s">
        <v>3863</v>
      </c>
      <c r="F1845" t="s">
        <v>3864</v>
      </c>
      <c r="G1845" t="s">
        <v>14360</v>
      </c>
      <c r="H1845" t="s">
        <v>14360</v>
      </c>
      <c r="I1845" t="s">
        <v>9782</v>
      </c>
      <c r="J1845" s="4" t="s">
        <v>9782</v>
      </c>
      <c r="L1845" t="s">
        <v>2215</v>
      </c>
      <c r="M1845" t="s">
        <v>15513</v>
      </c>
      <c r="N1845" t="s">
        <v>3863</v>
      </c>
      <c r="O1845" t="s">
        <v>3863</v>
      </c>
      <c r="P1845" t="s">
        <v>3864</v>
      </c>
      <c r="Q1845" t="s">
        <v>3864</v>
      </c>
      <c r="R1845" t="s">
        <v>3863</v>
      </c>
    </row>
    <row r="1846" spans="1:18" x14ac:dyDescent="0.2">
      <c r="A1846" t="s">
        <v>2211</v>
      </c>
      <c r="B1846" t="s">
        <v>14359</v>
      </c>
      <c r="C1846" t="s">
        <v>19571</v>
      </c>
      <c r="D1846" t="str">
        <f>_xlfn.XLOOKUP(E1846,pathways!$A$2:$A$31,pathways!$B$2:$B$31)</f>
        <v>Xenobiotics/other</v>
      </c>
      <c r="E1846" t="s">
        <v>3863</v>
      </c>
      <c r="F1846" t="s">
        <v>3864</v>
      </c>
      <c r="G1846" t="s">
        <v>14360</v>
      </c>
      <c r="H1846" t="s">
        <v>14360</v>
      </c>
      <c r="I1846" t="s">
        <v>9783</v>
      </c>
      <c r="J1846" s="4" t="s">
        <v>9783</v>
      </c>
      <c r="L1846" t="s">
        <v>2210</v>
      </c>
      <c r="M1846" t="s">
        <v>15508</v>
      </c>
      <c r="N1846" t="s">
        <v>3863</v>
      </c>
      <c r="O1846" t="s">
        <v>3863</v>
      </c>
      <c r="P1846" t="s">
        <v>3864</v>
      </c>
      <c r="Q1846" t="s">
        <v>3864</v>
      </c>
      <c r="R1846" t="s">
        <v>3863</v>
      </c>
    </row>
    <row r="1847" spans="1:18" x14ac:dyDescent="0.2">
      <c r="A1847" t="s">
        <v>2230</v>
      </c>
      <c r="B1847" t="s">
        <v>14359</v>
      </c>
      <c r="C1847" t="s">
        <v>19577</v>
      </c>
      <c r="D1847" t="str">
        <f>_xlfn.XLOOKUP(E1847,pathways!$A$2:$A$31,pathways!$B$2:$B$31)</f>
        <v>Xenobiotics/other</v>
      </c>
      <c r="E1847" t="s">
        <v>3863</v>
      </c>
      <c r="F1847" t="s">
        <v>3864</v>
      </c>
      <c r="G1847" t="s">
        <v>14360</v>
      </c>
      <c r="H1847" t="s">
        <v>14360</v>
      </c>
      <c r="I1847" t="s">
        <v>9784</v>
      </c>
      <c r="J1847" s="4" t="s">
        <v>9784</v>
      </c>
      <c r="L1847" t="s">
        <v>2229</v>
      </c>
      <c r="M1847" t="s">
        <v>15527</v>
      </c>
      <c r="N1847" t="s">
        <v>3863</v>
      </c>
      <c r="O1847" t="s">
        <v>3863</v>
      </c>
      <c r="P1847" t="s">
        <v>3864</v>
      </c>
      <c r="Q1847" t="s">
        <v>3864</v>
      </c>
      <c r="R1847" t="s">
        <v>3863</v>
      </c>
    </row>
    <row r="1848" spans="1:18" x14ac:dyDescent="0.2">
      <c r="A1848" t="s">
        <v>13969</v>
      </c>
      <c r="B1848" t="s">
        <v>14359</v>
      </c>
      <c r="C1848" t="s">
        <v>19899</v>
      </c>
      <c r="D1848" t="str">
        <f>_xlfn.XLOOKUP(E1848,pathways!$A$2:$A$31,pathways!$B$2:$B$31)</f>
        <v>Xenobiotics/other</v>
      </c>
      <c r="E1848" t="s">
        <v>3863</v>
      </c>
      <c r="F1848" t="s">
        <v>7216</v>
      </c>
      <c r="G1848" t="s">
        <v>14360</v>
      </c>
      <c r="H1848" t="s">
        <v>14360</v>
      </c>
      <c r="I1848" t="s">
        <v>8906</v>
      </c>
      <c r="J1848" s="4" t="s">
        <v>8906</v>
      </c>
      <c r="L1848" t="s">
        <v>14360</v>
      </c>
      <c r="M1848" t="s">
        <v>14360</v>
      </c>
      <c r="N1848" t="s">
        <v>3863</v>
      </c>
      <c r="O1848" t="s">
        <v>3863</v>
      </c>
      <c r="P1848" t="s">
        <v>7216</v>
      </c>
      <c r="Q1848" t="s">
        <v>7216</v>
      </c>
      <c r="R1848" t="s">
        <v>14360</v>
      </c>
    </row>
    <row r="1849" spans="1:18" x14ac:dyDescent="0.2">
      <c r="A1849" t="s">
        <v>14068</v>
      </c>
      <c r="B1849" t="s">
        <v>14359</v>
      </c>
      <c r="C1849" t="s">
        <v>19898</v>
      </c>
      <c r="D1849" t="str">
        <f>_xlfn.XLOOKUP(E1849,pathways!$A$2:$A$31,pathways!$B$2:$B$31)</f>
        <v>Xenobiotics/other</v>
      </c>
      <c r="E1849" t="s">
        <v>3863</v>
      </c>
      <c r="F1849" t="s">
        <v>10053</v>
      </c>
      <c r="G1849" t="s">
        <v>14360</v>
      </c>
      <c r="H1849" t="s">
        <v>14360</v>
      </c>
      <c r="I1849" t="s">
        <v>10056</v>
      </c>
      <c r="J1849" s="4" t="s">
        <v>14360</v>
      </c>
      <c r="L1849" t="s">
        <v>14360</v>
      </c>
      <c r="M1849" t="s">
        <v>14360</v>
      </c>
      <c r="N1849" t="s">
        <v>3863</v>
      </c>
      <c r="O1849" t="s">
        <v>14360</v>
      </c>
      <c r="P1849" t="s">
        <v>10053</v>
      </c>
      <c r="Q1849" t="s">
        <v>14360</v>
      </c>
      <c r="R1849" t="s">
        <v>14360</v>
      </c>
    </row>
    <row r="1850" spans="1:18" x14ac:dyDescent="0.2">
      <c r="A1850" t="s">
        <v>1117</v>
      </c>
      <c r="B1850" t="s">
        <v>14359</v>
      </c>
      <c r="C1850" t="s">
        <v>19180</v>
      </c>
      <c r="D1850" t="str">
        <f>_xlfn.XLOOKUP(E1850,pathways!$A$2:$A$31,pathways!$B$2:$B$31)</f>
        <v>Xenobiotics/other</v>
      </c>
      <c r="E1850" t="s">
        <v>3863</v>
      </c>
      <c r="F1850" t="s">
        <v>3864</v>
      </c>
      <c r="G1850" t="s">
        <v>14360</v>
      </c>
      <c r="H1850" t="s">
        <v>14360</v>
      </c>
      <c r="I1850" t="s">
        <v>5297</v>
      </c>
      <c r="J1850" s="4" t="s">
        <v>5297</v>
      </c>
      <c r="L1850" t="s">
        <v>1116</v>
      </c>
      <c r="M1850" t="s">
        <v>14386</v>
      </c>
      <c r="N1850" t="s">
        <v>3863</v>
      </c>
      <c r="O1850" t="s">
        <v>3863</v>
      </c>
      <c r="P1850" t="s">
        <v>3864</v>
      </c>
      <c r="Q1850" t="s">
        <v>3864</v>
      </c>
      <c r="R1850" t="s">
        <v>3863</v>
      </c>
    </row>
    <row r="1851" spans="1:18" x14ac:dyDescent="0.2">
      <c r="A1851" t="s">
        <v>1204</v>
      </c>
      <c r="B1851" t="s">
        <v>14359</v>
      </c>
      <c r="C1851" t="s">
        <v>19214</v>
      </c>
      <c r="D1851" t="str">
        <f>_xlfn.XLOOKUP(E1851,pathways!$A$2:$A$31,pathways!$B$2:$B$31)</f>
        <v>Xenobiotics/other</v>
      </c>
      <c r="E1851" t="s">
        <v>3863</v>
      </c>
      <c r="F1851" t="s">
        <v>3864</v>
      </c>
      <c r="G1851" t="s">
        <v>14360</v>
      </c>
      <c r="H1851" t="s">
        <v>14360</v>
      </c>
      <c r="I1851" t="s">
        <v>5594</v>
      </c>
      <c r="J1851" s="4" t="s">
        <v>5594</v>
      </c>
      <c r="L1851" t="s">
        <v>1203</v>
      </c>
      <c r="M1851" t="s">
        <v>14478</v>
      </c>
      <c r="N1851" t="s">
        <v>3863</v>
      </c>
      <c r="O1851" t="s">
        <v>3863</v>
      </c>
      <c r="P1851" t="s">
        <v>3864</v>
      </c>
      <c r="Q1851" t="s">
        <v>8265</v>
      </c>
      <c r="R1851" t="s">
        <v>3863</v>
      </c>
    </row>
    <row r="1852" spans="1:18" x14ac:dyDescent="0.2">
      <c r="A1852" t="s">
        <v>14348</v>
      </c>
      <c r="B1852" t="s">
        <v>14359</v>
      </c>
      <c r="C1852" t="s">
        <v>13396</v>
      </c>
      <c r="D1852" t="str">
        <f>_xlfn.XLOOKUP(E1852,pathways!$A$2:$A$31,pathways!$B$2:$B$31)</f>
        <v>Xenobiotics/other</v>
      </c>
      <c r="E1852" t="s">
        <v>3863</v>
      </c>
      <c r="F1852" t="s">
        <v>4933</v>
      </c>
      <c r="G1852" t="s">
        <v>14360</v>
      </c>
      <c r="H1852" t="s">
        <v>14360</v>
      </c>
      <c r="I1852" t="s">
        <v>14360</v>
      </c>
      <c r="J1852" s="4" t="s">
        <v>13396</v>
      </c>
      <c r="L1852" t="s">
        <v>14360</v>
      </c>
      <c r="M1852" t="s">
        <v>14360</v>
      </c>
      <c r="N1852" t="s">
        <v>14360</v>
      </c>
      <c r="O1852" t="s">
        <v>3863</v>
      </c>
      <c r="P1852" t="s">
        <v>14360</v>
      </c>
      <c r="Q1852" t="s">
        <v>4933</v>
      </c>
      <c r="R1852" t="s">
        <v>14360</v>
      </c>
    </row>
    <row r="1853" spans="1:18" x14ac:dyDescent="0.2">
      <c r="A1853" t="s">
        <v>13815</v>
      </c>
      <c r="B1853" t="s">
        <v>14359</v>
      </c>
      <c r="C1853" t="s">
        <v>19897</v>
      </c>
      <c r="D1853" t="str">
        <f>_xlfn.XLOOKUP(E1853,pathways!$A$2:$A$31,pathways!$B$2:$B$31)</f>
        <v>Xenobiotics/other</v>
      </c>
      <c r="E1853" t="s">
        <v>3863</v>
      </c>
      <c r="F1853" t="s">
        <v>3864</v>
      </c>
      <c r="G1853" t="s">
        <v>14360</v>
      </c>
      <c r="H1853" t="s">
        <v>14360</v>
      </c>
      <c r="I1853" t="s">
        <v>5545</v>
      </c>
      <c r="J1853" s="4" t="s">
        <v>5545</v>
      </c>
      <c r="L1853" t="s">
        <v>14360</v>
      </c>
      <c r="M1853" t="s">
        <v>14360</v>
      </c>
      <c r="N1853" t="s">
        <v>3863</v>
      </c>
      <c r="O1853" t="s">
        <v>3863</v>
      </c>
      <c r="P1853" t="s">
        <v>3864</v>
      </c>
      <c r="Q1853" t="s">
        <v>3864</v>
      </c>
      <c r="R1853" t="s">
        <v>14360</v>
      </c>
    </row>
    <row r="1854" spans="1:18" x14ac:dyDescent="0.2">
      <c r="A1854" t="s">
        <v>1140</v>
      </c>
      <c r="B1854" t="s">
        <v>14359</v>
      </c>
      <c r="C1854" t="s">
        <v>19189</v>
      </c>
      <c r="D1854" t="str">
        <f>_xlfn.XLOOKUP(E1854,pathways!$A$2:$A$31,pathways!$B$2:$B$31)</f>
        <v>Xenobiotics/other</v>
      </c>
      <c r="E1854" t="s">
        <v>3863</v>
      </c>
      <c r="F1854" t="s">
        <v>4373</v>
      </c>
      <c r="G1854" t="s">
        <v>14360</v>
      </c>
      <c r="H1854" t="s">
        <v>14360</v>
      </c>
      <c r="I1854" t="s">
        <v>5344</v>
      </c>
      <c r="J1854" s="4" t="s">
        <v>14360</v>
      </c>
      <c r="L1854" t="s">
        <v>1139</v>
      </c>
      <c r="M1854" t="s">
        <v>14410</v>
      </c>
      <c r="N1854" t="s">
        <v>3863</v>
      </c>
      <c r="O1854" t="s">
        <v>14360</v>
      </c>
      <c r="P1854" t="s">
        <v>4373</v>
      </c>
      <c r="Q1854" t="s">
        <v>14360</v>
      </c>
      <c r="R1854" t="s">
        <v>3863</v>
      </c>
    </row>
    <row r="1855" spans="1:18" x14ac:dyDescent="0.2">
      <c r="A1855" t="s">
        <v>1146</v>
      </c>
      <c r="B1855" t="s">
        <v>14359</v>
      </c>
      <c r="C1855" t="s">
        <v>19192</v>
      </c>
      <c r="D1855" t="str">
        <f>_xlfn.XLOOKUP(E1855,pathways!$A$2:$A$31,pathways!$B$2:$B$31)</f>
        <v>Xenobiotics/other</v>
      </c>
      <c r="E1855" t="s">
        <v>3863</v>
      </c>
      <c r="F1855" t="s">
        <v>4373</v>
      </c>
      <c r="G1855" t="s">
        <v>14360</v>
      </c>
      <c r="H1855" t="s">
        <v>14360</v>
      </c>
      <c r="I1855" t="s">
        <v>5328</v>
      </c>
      <c r="J1855" s="4" t="s">
        <v>5328</v>
      </c>
      <c r="L1855" t="s">
        <v>1145</v>
      </c>
      <c r="M1855" t="s">
        <v>14416</v>
      </c>
      <c r="N1855" t="s">
        <v>3863</v>
      </c>
      <c r="O1855" t="s">
        <v>3863</v>
      </c>
      <c r="P1855" t="s">
        <v>4373</v>
      </c>
      <c r="Q1855" t="s">
        <v>4373</v>
      </c>
      <c r="R1855" t="s">
        <v>3863</v>
      </c>
    </row>
    <row r="1856" spans="1:18" x14ac:dyDescent="0.2">
      <c r="A1856" t="s">
        <v>1961</v>
      </c>
      <c r="B1856" t="s">
        <v>14359</v>
      </c>
      <c r="C1856" t="s">
        <v>19463</v>
      </c>
      <c r="D1856" t="str">
        <f>_xlfn.XLOOKUP(E1856,pathways!$A$2:$A$31,pathways!$B$2:$B$31)</f>
        <v>Xenobiotics/other</v>
      </c>
      <c r="E1856" t="s">
        <v>3863</v>
      </c>
      <c r="F1856" t="s">
        <v>5632</v>
      </c>
      <c r="G1856" t="s">
        <v>14360</v>
      </c>
      <c r="H1856" t="s">
        <v>14360</v>
      </c>
      <c r="I1856" t="s">
        <v>9129</v>
      </c>
      <c r="J1856" s="4" t="s">
        <v>9129</v>
      </c>
      <c r="L1856" t="s">
        <v>1960</v>
      </c>
      <c r="M1856" t="s">
        <v>15261</v>
      </c>
      <c r="N1856" t="s">
        <v>3863</v>
      </c>
      <c r="O1856" t="s">
        <v>3863</v>
      </c>
      <c r="P1856" t="s">
        <v>5632</v>
      </c>
      <c r="Q1856" t="s">
        <v>5632</v>
      </c>
      <c r="R1856" t="s">
        <v>3863</v>
      </c>
    </row>
    <row r="1857" spans="1:18" x14ac:dyDescent="0.2">
      <c r="A1857" t="s">
        <v>1491</v>
      </c>
      <c r="B1857" t="s">
        <v>14359</v>
      </c>
      <c r="C1857" t="s">
        <v>19310</v>
      </c>
      <c r="D1857" t="str">
        <f>_xlfn.XLOOKUP(E1857,pathways!$A$2:$A$31,pathways!$B$2:$B$31)</f>
        <v>Xenobiotics/other</v>
      </c>
      <c r="E1857" t="s">
        <v>3863</v>
      </c>
      <c r="F1857" t="s">
        <v>3864</v>
      </c>
      <c r="G1857" t="s">
        <v>14360</v>
      </c>
      <c r="H1857" t="s">
        <v>14360</v>
      </c>
      <c r="I1857" t="s">
        <v>6932</v>
      </c>
      <c r="J1857" s="4" t="s">
        <v>6932</v>
      </c>
      <c r="L1857" t="s">
        <v>1490</v>
      </c>
      <c r="M1857" t="s">
        <v>14776</v>
      </c>
      <c r="N1857" t="s">
        <v>3863</v>
      </c>
      <c r="O1857" t="s">
        <v>3863</v>
      </c>
      <c r="P1857" t="s">
        <v>3864</v>
      </c>
      <c r="Q1857" t="s">
        <v>3864</v>
      </c>
      <c r="R1857" t="s">
        <v>3863</v>
      </c>
    </row>
    <row r="1858" spans="1:18" x14ac:dyDescent="0.2">
      <c r="A1858" t="s">
        <v>13799</v>
      </c>
      <c r="B1858" t="s">
        <v>14359</v>
      </c>
      <c r="C1858" t="s">
        <v>19896</v>
      </c>
      <c r="D1858" t="str">
        <f>_xlfn.XLOOKUP(E1858,pathways!$A$2:$A$31,pathways!$B$2:$B$31)</f>
        <v>Xenobiotics/other</v>
      </c>
      <c r="E1858" t="s">
        <v>3863</v>
      </c>
      <c r="F1858" t="s">
        <v>4959</v>
      </c>
      <c r="G1858" t="s">
        <v>14360</v>
      </c>
      <c r="H1858" t="s">
        <v>14360</v>
      </c>
      <c r="I1858" t="s">
        <v>4962</v>
      </c>
      <c r="J1858" s="4" t="s">
        <v>14360</v>
      </c>
      <c r="L1858" t="s">
        <v>14360</v>
      </c>
      <c r="M1858" t="s">
        <v>14360</v>
      </c>
      <c r="N1858" t="s">
        <v>3863</v>
      </c>
      <c r="O1858" t="s">
        <v>14360</v>
      </c>
      <c r="P1858" t="s">
        <v>4959</v>
      </c>
      <c r="Q1858" t="s">
        <v>14360</v>
      </c>
      <c r="R1858" t="s">
        <v>14360</v>
      </c>
    </row>
    <row r="1859" spans="1:18" x14ac:dyDescent="0.2">
      <c r="A1859" t="s">
        <v>13955</v>
      </c>
      <c r="B1859" t="s">
        <v>14359</v>
      </c>
      <c r="C1859" t="s">
        <v>19895</v>
      </c>
      <c r="D1859" t="str">
        <f>_xlfn.XLOOKUP(E1859,pathways!$A$2:$A$31,pathways!$B$2:$B$31)</f>
        <v>Xenobiotics/other</v>
      </c>
      <c r="E1859" t="s">
        <v>3863</v>
      </c>
      <c r="F1859" t="s">
        <v>4942</v>
      </c>
      <c r="G1859" t="s">
        <v>14360</v>
      </c>
      <c r="H1859" t="s">
        <v>14360</v>
      </c>
      <c r="I1859" t="s">
        <v>8679</v>
      </c>
      <c r="J1859" s="4" t="s">
        <v>8679</v>
      </c>
      <c r="L1859" t="s">
        <v>14360</v>
      </c>
      <c r="M1859" t="s">
        <v>14360</v>
      </c>
      <c r="N1859" t="s">
        <v>3863</v>
      </c>
      <c r="O1859" t="s">
        <v>3863</v>
      </c>
      <c r="P1859" t="s">
        <v>4942</v>
      </c>
      <c r="Q1859" t="s">
        <v>4942</v>
      </c>
      <c r="R1859" t="s">
        <v>14360</v>
      </c>
    </row>
    <row r="1860" spans="1:18" x14ac:dyDescent="0.2">
      <c r="A1860" t="s">
        <v>13960</v>
      </c>
      <c r="B1860" t="s">
        <v>14359</v>
      </c>
      <c r="C1860" t="s">
        <v>19422</v>
      </c>
      <c r="D1860" t="str">
        <f>_xlfn.XLOOKUP(E1860,pathways!$A$2:$A$31,pathways!$B$2:$B$31)</f>
        <v>Xenobiotics/other</v>
      </c>
      <c r="E1860" t="s">
        <v>3863</v>
      </c>
      <c r="F1860" t="s">
        <v>3864</v>
      </c>
      <c r="G1860" t="s">
        <v>14360</v>
      </c>
      <c r="H1860" t="s">
        <v>14360</v>
      </c>
      <c r="I1860" t="s">
        <v>8746</v>
      </c>
      <c r="J1860" s="4" t="s">
        <v>13033</v>
      </c>
      <c r="L1860" t="s">
        <v>1866</v>
      </c>
      <c r="M1860" t="s">
        <v>15166</v>
      </c>
      <c r="N1860" t="s">
        <v>3863</v>
      </c>
      <c r="O1860" t="s">
        <v>3863</v>
      </c>
      <c r="P1860" t="s">
        <v>3864</v>
      </c>
      <c r="Q1860" t="s">
        <v>3864</v>
      </c>
      <c r="R1860" t="s">
        <v>3863</v>
      </c>
    </row>
    <row r="1861" spans="1:18" x14ac:dyDescent="0.2">
      <c r="A1861" t="s">
        <v>13992</v>
      </c>
      <c r="B1861" t="s">
        <v>14359</v>
      </c>
      <c r="C1861" t="s">
        <v>19894</v>
      </c>
      <c r="D1861" t="str">
        <f>_xlfn.XLOOKUP(E1861,pathways!$A$2:$A$31,pathways!$B$2:$B$31)</f>
        <v>Xenobiotics/other</v>
      </c>
      <c r="E1861" t="s">
        <v>3863</v>
      </c>
      <c r="F1861" t="s">
        <v>4933</v>
      </c>
      <c r="G1861" t="s">
        <v>14360</v>
      </c>
      <c r="H1861" t="s">
        <v>14360</v>
      </c>
      <c r="I1861" t="s">
        <v>9402</v>
      </c>
      <c r="J1861" s="4" t="s">
        <v>9402</v>
      </c>
      <c r="L1861" t="s">
        <v>14360</v>
      </c>
      <c r="M1861" t="s">
        <v>14360</v>
      </c>
      <c r="N1861" t="s">
        <v>3863</v>
      </c>
      <c r="O1861" t="s">
        <v>3863</v>
      </c>
      <c r="P1861" t="s">
        <v>4933</v>
      </c>
      <c r="Q1861" t="s">
        <v>4933</v>
      </c>
      <c r="R1861" t="s">
        <v>14360</v>
      </c>
    </row>
    <row r="1862" spans="1:18" x14ac:dyDescent="0.2">
      <c r="A1862" t="s">
        <v>14030</v>
      </c>
      <c r="B1862" t="s">
        <v>14359</v>
      </c>
      <c r="C1862" t="s">
        <v>19893</v>
      </c>
      <c r="D1862" t="str">
        <f>_xlfn.XLOOKUP(E1862,pathways!$A$2:$A$31,pathways!$B$2:$B$31)</f>
        <v>Xenobiotics/other</v>
      </c>
      <c r="E1862" t="s">
        <v>3863</v>
      </c>
      <c r="F1862" t="s">
        <v>7477</v>
      </c>
      <c r="G1862" t="s">
        <v>14360</v>
      </c>
      <c r="H1862" t="s">
        <v>14360</v>
      </c>
      <c r="I1862" t="s">
        <v>9829</v>
      </c>
      <c r="J1862" s="4" t="s">
        <v>14360</v>
      </c>
      <c r="L1862" t="s">
        <v>14360</v>
      </c>
      <c r="M1862" t="s">
        <v>14360</v>
      </c>
      <c r="N1862" t="s">
        <v>3863</v>
      </c>
      <c r="O1862" t="s">
        <v>14360</v>
      </c>
      <c r="P1862" t="s">
        <v>7477</v>
      </c>
      <c r="Q1862" t="s">
        <v>14360</v>
      </c>
      <c r="R1862" t="s">
        <v>14360</v>
      </c>
    </row>
    <row r="1863" spans="1:18" x14ac:dyDescent="0.2">
      <c r="A1863" t="s">
        <v>14349</v>
      </c>
      <c r="B1863" t="s">
        <v>14359</v>
      </c>
      <c r="C1863" t="s">
        <v>20092</v>
      </c>
      <c r="D1863" t="str">
        <f>_xlfn.XLOOKUP(E1863,pathways!$A$2:$A$31,pathways!$B$2:$B$31)</f>
        <v>Xenobiotics/other</v>
      </c>
      <c r="E1863" t="s">
        <v>3863</v>
      </c>
      <c r="F1863" t="s">
        <v>5632</v>
      </c>
      <c r="G1863" t="s">
        <v>14360</v>
      </c>
      <c r="H1863" t="s">
        <v>14360</v>
      </c>
      <c r="I1863" t="s">
        <v>14360</v>
      </c>
      <c r="J1863" s="4" t="s">
        <v>13409</v>
      </c>
      <c r="L1863" t="s">
        <v>14360</v>
      </c>
      <c r="M1863" t="s">
        <v>14360</v>
      </c>
      <c r="N1863" t="s">
        <v>14360</v>
      </c>
      <c r="O1863" t="s">
        <v>3863</v>
      </c>
      <c r="P1863" t="s">
        <v>14360</v>
      </c>
      <c r="Q1863" t="s">
        <v>5632</v>
      </c>
      <c r="R1863" t="s">
        <v>14360</v>
      </c>
    </row>
    <row r="1864" spans="1:18" x14ac:dyDescent="0.2">
      <c r="A1864" t="s">
        <v>14047</v>
      </c>
      <c r="B1864" t="s">
        <v>14359</v>
      </c>
      <c r="C1864" t="s">
        <v>19892</v>
      </c>
      <c r="D1864" t="str">
        <f>_xlfn.XLOOKUP(E1864,pathways!$A$2:$A$31,pathways!$B$2:$B$31)</f>
        <v>Xenobiotics/other</v>
      </c>
      <c r="E1864" t="s">
        <v>3863</v>
      </c>
      <c r="F1864" t="s">
        <v>7477</v>
      </c>
      <c r="G1864" t="s">
        <v>14360</v>
      </c>
      <c r="H1864" t="s">
        <v>14360</v>
      </c>
      <c r="I1864" t="s">
        <v>9934</v>
      </c>
      <c r="J1864" s="4" t="s">
        <v>14360</v>
      </c>
      <c r="L1864" t="s">
        <v>14360</v>
      </c>
      <c r="M1864" t="s">
        <v>14360</v>
      </c>
      <c r="N1864" t="s">
        <v>3863</v>
      </c>
      <c r="O1864" t="s">
        <v>14360</v>
      </c>
      <c r="P1864" t="s">
        <v>7477</v>
      </c>
      <c r="Q1864" t="s">
        <v>14360</v>
      </c>
      <c r="R1864" t="s">
        <v>14360</v>
      </c>
    </row>
    <row r="1865" spans="1:18" x14ac:dyDescent="0.2">
      <c r="A1865" t="s">
        <v>1821</v>
      </c>
      <c r="B1865" t="s">
        <v>14359</v>
      </c>
      <c r="C1865" t="s">
        <v>19408</v>
      </c>
      <c r="D1865" t="str">
        <f>_xlfn.XLOOKUP(E1865,pathways!$A$2:$A$31,pathways!$B$2:$B$31)</f>
        <v>Xenobiotics/other</v>
      </c>
      <c r="E1865" t="s">
        <v>3863</v>
      </c>
      <c r="F1865" t="s">
        <v>3864</v>
      </c>
      <c r="G1865" t="s">
        <v>14360</v>
      </c>
      <c r="H1865" t="s">
        <v>14360</v>
      </c>
      <c r="I1865" t="s">
        <v>8574</v>
      </c>
      <c r="J1865" s="4" t="s">
        <v>8574</v>
      </c>
      <c r="L1865" t="s">
        <v>1820</v>
      </c>
      <c r="M1865" t="s">
        <v>15121</v>
      </c>
      <c r="N1865" t="s">
        <v>3863</v>
      </c>
      <c r="O1865" t="s">
        <v>3863</v>
      </c>
      <c r="P1865" t="s">
        <v>3864</v>
      </c>
      <c r="Q1865" t="s">
        <v>3864</v>
      </c>
      <c r="R1865" t="s">
        <v>3863</v>
      </c>
    </row>
    <row r="1866" spans="1:18" x14ac:dyDescent="0.2">
      <c r="A1866" t="s">
        <v>13953</v>
      </c>
      <c r="B1866" t="s">
        <v>14359</v>
      </c>
      <c r="C1866" t="s">
        <v>19886</v>
      </c>
      <c r="D1866" t="str">
        <f>_xlfn.XLOOKUP(E1866,pathways!$A$2:$A$31,pathways!$B$2:$B$31)</f>
        <v>Xenobiotics/other</v>
      </c>
      <c r="E1866" t="s">
        <v>3863</v>
      </c>
      <c r="F1866" t="s">
        <v>7216</v>
      </c>
      <c r="G1866" t="s">
        <v>14360</v>
      </c>
      <c r="H1866" t="s">
        <v>14360</v>
      </c>
      <c r="I1866" t="s">
        <v>8544</v>
      </c>
      <c r="J1866" s="4" t="s">
        <v>14360</v>
      </c>
      <c r="L1866" t="s">
        <v>14360</v>
      </c>
      <c r="M1866" t="s">
        <v>14360</v>
      </c>
      <c r="N1866" t="s">
        <v>3863</v>
      </c>
      <c r="O1866" t="s">
        <v>14360</v>
      </c>
      <c r="P1866" t="s">
        <v>7216</v>
      </c>
      <c r="Q1866" t="s">
        <v>14360</v>
      </c>
      <c r="R1866" t="s">
        <v>14360</v>
      </c>
    </row>
    <row r="1867" spans="1:18" x14ac:dyDescent="0.2">
      <c r="A1867" t="s">
        <v>14083</v>
      </c>
      <c r="B1867" t="s">
        <v>14359</v>
      </c>
      <c r="C1867" t="s">
        <v>19601</v>
      </c>
      <c r="D1867" t="str">
        <f>_xlfn.XLOOKUP(E1867,pathways!$A$2:$A$31,pathways!$B$2:$B$31)</f>
        <v>Xenobiotics/other</v>
      </c>
      <c r="E1867" t="s">
        <v>3863</v>
      </c>
      <c r="F1867" t="s">
        <v>3864</v>
      </c>
      <c r="G1867" t="s">
        <v>14360</v>
      </c>
      <c r="H1867" t="s">
        <v>14360</v>
      </c>
      <c r="I1867" t="s">
        <v>10132</v>
      </c>
      <c r="J1867" s="4" t="s">
        <v>14360</v>
      </c>
      <c r="L1867" t="s">
        <v>2298</v>
      </c>
      <c r="M1867" t="s">
        <v>15596</v>
      </c>
      <c r="N1867" t="s">
        <v>3863</v>
      </c>
      <c r="O1867" t="s">
        <v>14360</v>
      </c>
      <c r="P1867" t="s">
        <v>3864</v>
      </c>
      <c r="Q1867" t="s">
        <v>14360</v>
      </c>
      <c r="R1867" t="s">
        <v>3863</v>
      </c>
    </row>
    <row r="1868" spans="1:18" x14ac:dyDescent="0.2">
      <c r="A1868" t="s">
        <v>13898</v>
      </c>
      <c r="B1868" t="s">
        <v>14359</v>
      </c>
      <c r="C1868" t="s">
        <v>19883</v>
      </c>
      <c r="D1868" t="str">
        <f>_xlfn.XLOOKUP(E1868,pathways!$A$2:$A$31,pathways!$B$2:$B$31)</f>
        <v>Xenobiotics/other</v>
      </c>
      <c r="E1868" t="s">
        <v>3863</v>
      </c>
      <c r="F1868" t="s">
        <v>4933</v>
      </c>
      <c r="G1868" t="s">
        <v>14360</v>
      </c>
      <c r="H1868" t="s">
        <v>14360</v>
      </c>
      <c r="I1868" t="s">
        <v>7686</v>
      </c>
      <c r="J1868" s="4" t="s">
        <v>7686</v>
      </c>
      <c r="L1868" t="s">
        <v>14360</v>
      </c>
      <c r="M1868" t="s">
        <v>14360</v>
      </c>
      <c r="N1868" t="s">
        <v>3863</v>
      </c>
      <c r="O1868" t="s">
        <v>3863</v>
      </c>
      <c r="P1868" t="s">
        <v>4933</v>
      </c>
      <c r="Q1868" t="s">
        <v>4933</v>
      </c>
      <c r="R1868" t="s">
        <v>14360</v>
      </c>
    </row>
    <row r="1869" spans="1:18" x14ac:dyDescent="0.2">
      <c r="A1869" t="s">
        <v>14350</v>
      </c>
      <c r="B1869" t="s">
        <v>14359</v>
      </c>
      <c r="C1869" t="s">
        <v>19884</v>
      </c>
      <c r="D1869" t="str">
        <f>_xlfn.XLOOKUP(E1869,pathways!$A$2:$A$31,pathways!$B$2:$B$31)</f>
        <v>Xenobiotics/other</v>
      </c>
      <c r="E1869" t="s">
        <v>3863</v>
      </c>
      <c r="F1869" t="s">
        <v>7216</v>
      </c>
      <c r="G1869" t="s">
        <v>14360</v>
      </c>
      <c r="H1869" t="s">
        <v>14360</v>
      </c>
      <c r="I1869" t="s">
        <v>14360</v>
      </c>
      <c r="J1869" s="4" t="s">
        <v>13417</v>
      </c>
      <c r="L1869" t="s">
        <v>14360</v>
      </c>
      <c r="M1869" t="s">
        <v>14360</v>
      </c>
      <c r="N1869" t="s">
        <v>14360</v>
      </c>
      <c r="O1869" t="s">
        <v>3863</v>
      </c>
      <c r="P1869" t="s">
        <v>14360</v>
      </c>
      <c r="Q1869" t="s">
        <v>7216</v>
      </c>
      <c r="R1869" t="s">
        <v>14360</v>
      </c>
    </row>
    <row r="1870" spans="1:18" x14ac:dyDescent="0.2">
      <c r="A1870" t="s">
        <v>13930</v>
      </c>
      <c r="B1870" t="s">
        <v>14359</v>
      </c>
      <c r="C1870" t="s">
        <v>19885</v>
      </c>
      <c r="D1870" t="str">
        <f>_xlfn.XLOOKUP(E1870,pathways!$A$2:$A$31,pathways!$B$2:$B$31)</f>
        <v>Xenobiotics/other</v>
      </c>
      <c r="E1870" t="s">
        <v>3863</v>
      </c>
      <c r="F1870" t="s">
        <v>7216</v>
      </c>
      <c r="G1870" t="s">
        <v>14360</v>
      </c>
      <c r="H1870" t="s">
        <v>14360</v>
      </c>
      <c r="I1870" t="s">
        <v>8111</v>
      </c>
      <c r="J1870" s="4" t="s">
        <v>8111</v>
      </c>
      <c r="L1870" t="s">
        <v>14360</v>
      </c>
      <c r="M1870" t="s">
        <v>14360</v>
      </c>
      <c r="N1870" t="s">
        <v>3863</v>
      </c>
      <c r="O1870" t="s">
        <v>3863</v>
      </c>
      <c r="P1870" t="s">
        <v>7216</v>
      </c>
      <c r="Q1870" t="s">
        <v>7216</v>
      </c>
      <c r="R1870" t="s">
        <v>14360</v>
      </c>
    </row>
    <row r="1871" spans="1:18" x14ac:dyDescent="0.2">
      <c r="A1871" t="s">
        <v>13929</v>
      </c>
      <c r="B1871" t="s">
        <v>14359</v>
      </c>
      <c r="C1871" t="s">
        <v>19882</v>
      </c>
      <c r="D1871" t="str">
        <f>_xlfn.XLOOKUP(E1871,pathways!$A$2:$A$31,pathways!$B$2:$B$31)</f>
        <v>Xenobiotics/other</v>
      </c>
      <c r="E1871" t="s">
        <v>3863</v>
      </c>
      <c r="F1871" t="s">
        <v>4933</v>
      </c>
      <c r="G1871" t="s">
        <v>14360</v>
      </c>
      <c r="H1871" t="s">
        <v>14360</v>
      </c>
      <c r="I1871" t="s">
        <v>8104</v>
      </c>
      <c r="J1871" s="4" t="s">
        <v>14360</v>
      </c>
      <c r="L1871" t="s">
        <v>14360</v>
      </c>
      <c r="M1871" t="s">
        <v>14360</v>
      </c>
      <c r="N1871" t="s">
        <v>3863</v>
      </c>
      <c r="O1871" t="s">
        <v>14360</v>
      </c>
      <c r="P1871" t="s">
        <v>4933</v>
      </c>
      <c r="Q1871" t="s">
        <v>14360</v>
      </c>
      <c r="R1871" t="s">
        <v>14360</v>
      </c>
    </row>
    <row r="1872" spans="1:18" x14ac:dyDescent="0.2">
      <c r="A1872" t="s">
        <v>20143</v>
      </c>
      <c r="B1872" t="s">
        <v>14359</v>
      </c>
      <c r="C1872" t="s">
        <v>20200</v>
      </c>
      <c r="D1872" t="str">
        <f>_xlfn.XLOOKUP(E1872,pathways!$A$2:$A$31,pathways!$B$2:$B$31)</f>
        <v>Xenobiotics/other</v>
      </c>
      <c r="E1872" t="s">
        <v>3863</v>
      </c>
      <c r="F1872" t="s">
        <v>20201</v>
      </c>
      <c r="G1872" t="s">
        <v>14360</v>
      </c>
      <c r="H1872" t="s">
        <v>14360</v>
      </c>
      <c r="J1872" t="s">
        <v>20200</v>
      </c>
    </row>
    <row r="1873" spans="1:10" x14ac:dyDescent="0.2">
      <c r="A1873" t="s">
        <v>20153</v>
      </c>
      <c r="B1873" t="s">
        <v>14359</v>
      </c>
      <c r="C1873" t="s">
        <v>20224</v>
      </c>
      <c r="D1873" t="str">
        <f>_xlfn.XLOOKUP(E1873,pathways!$A$2:$A$31,pathways!$B$2:$B$31)</f>
        <v>Xenobiotics/other</v>
      </c>
      <c r="E1873" t="s">
        <v>3863</v>
      </c>
      <c r="F1873" t="s">
        <v>20225</v>
      </c>
      <c r="G1873" t="s">
        <v>14360</v>
      </c>
      <c r="H1873" t="s">
        <v>14360</v>
      </c>
      <c r="J1873" t="s">
        <v>20224</v>
      </c>
    </row>
  </sheetData>
  <autoFilter ref="A1:R1873" xr:uid="{FF266275-FBF7-CD4E-A1C1-75BF59EB72DA}">
    <sortState xmlns:xlrd2="http://schemas.microsoft.com/office/spreadsheetml/2017/richdata2" ref="A2:R1873">
      <sortCondition ref="E1:E1873"/>
    </sortState>
  </autoFilter>
  <phoneticPr fontId="22" type="noConversion"/>
  <conditionalFormatting sqref="A1:F2 I1:Q208 A3:B1174 I209:L209 N209:Q209 I210:Q351 I352:L353 N352:Q353 I354:Q513 I514:L514 N514:Q514 I515:Q542 I543:L543 N543:Q543 I544:Q714 I715:L715 N715:Q715 I716:Q723 I724:L724 N724:Q724 I725:Q734 I735:L735 N735:Q735 I736:Q741 I742:L742 N742:Q742 I743:Q787 I788:L788 N788:Q788 I789:Q824 I825:L825 N825:Q825 I826:Q835 I836:L836 N836:Q836 I837:Q845 I846:L846 N846:Q846 I847:Q1096 I1097:L1097 N1097:Q1097 I1098:Q1164 I1165:L1165 N1165:Q1165 I1166:Q1412 B1175 A1176:B1178 B1179 A1180:B1181 B1182 A1183:B1797 I1413:L1413 N1413:Q1413 I1414:Q1423 I1424:L1424 N1424:Q1424 I1425:Q1048576 A1798:F1048576 C3:F1797">
    <cfRule type="containsBlanks" dxfId="34" priority="9">
      <formula>LEN(TRIM(A1))=0</formula>
    </cfRule>
  </conditionalFormatting>
  <conditionalFormatting sqref="C1:F1048576">
    <cfRule type="duplicateValues" dxfId="33" priority="80"/>
  </conditionalFormatting>
  <conditionalFormatting sqref="H1:H486 H488:H656 H668:H1048576 H658:H666">
    <cfRule type="duplicateValues" dxfId="32" priority="4"/>
  </conditionalFormatting>
  <conditionalFormatting sqref="H1:H486">
    <cfRule type="containsBlanks" dxfId="31" priority="3">
      <formula>LEN(TRIM(H1))=0</formula>
    </cfRule>
  </conditionalFormatting>
  <conditionalFormatting sqref="H488:H1048576">
    <cfRule type="containsBlanks" dxfId="30" priority="1">
      <formula>LEN(TRIM(H488))=0</formula>
    </cfRule>
  </conditionalFormatting>
  <conditionalFormatting sqref="M1:M208 M1414:M1423 M1166:M1412 M1098:M1164 M837:M1096 M789:M835 M743:M787 M736:M741 M716:M734 M544:M714 M515:M542 M354:M513 M210:M351 M1425:M1048576">
    <cfRule type="duplicateValues" dxfId="29" priority="6"/>
  </conditionalFormatting>
  <conditionalFormatting sqref="R2:S1797">
    <cfRule type="containsBlanks" dxfId="28" priority="8">
      <formula>LEN(TRIM(R2))=0</formula>
    </cfRule>
  </conditionalFormatting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9FC829-E9D1-AD4B-A9A7-3CE850F1897E}">
  <dimension ref="A1:I1878"/>
  <sheetViews>
    <sheetView topLeftCell="A291" workbookViewId="0"/>
  </sheetViews>
  <sheetFormatPr baseColWidth="10" defaultRowHeight="16" x14ac:dyDescent="0.2"/>
  <cols>
    <col min="1" max="1" width="21.5" customWidth="1"/>
    <col min="2" max="2" width="33.83203125" customWidth="1"/>
    <col min="3" max="3" width="46" customWidth="1"/>
    <col min="4" max="4" width="20" bestFit="1" customWidth="1"/>
  </cols>
  <sheetData>
    <row r="1" spans="1: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">
      <c r="A2" t="s">
        <v>9</v>
      </c>
      <c r="B2" t="s">
        <v>10</v>
      </c>
      <c r="C2" t="s">
        <v>11</v>
      </c>
      <c r="D2" t="s">
        <v>12</v>
      </c>
      <c r="E2" t="s">
        <v>10</v>
      </c>
      <c r="F2" t="s">
        <v>13</v>
      </c>
      <c r="G2" t="s">
        <v>13</v>
      </c>
    </row>
    <row r="3" spans="1:9" x14ac:dyDescent="0.2">
      <c r="A3" t="s">
        <v>14</v>
      </c>
      <c r="B3" t="s">
        <v>15</v>
      </c>
      <c r="C3" t="s">
        <v>16</v>
      </c>
      <c r="D3" t="s">
        <v>17</v>
      </c>
      <c r="E3" t="s">
        <v>15</v>
      </c>
      <c r="F3" t="s">
        <v>13</v>
      </c>
      <c r="G3" t="s">
        <v>13</v>
      </c>
    </row>
    <row r="4" spans="1:9" x14ac:dyDescent="0.2">
      <c r="A4" t="s">
        <v>18</v>
      </c>
      <c r="B4" t="s">
        <v>19</v>
      </c>
      <c r="C4" t="s">
        <v>20</v>
      </c>
      <c r="D4" t="s">
        <v>21</v>
      </c>
      <c r="E4" t="s">
        <v>19</v>
      </c>
      <c r="F4" t="s">
        <v>13</v>
      </c>
      <c r="G4" t="s">
        <v>13</v>
      </c>
    </row>
    <row r="5" spans="1:9" x14ac:dyDescent="0.2">
      <c r="A5" t="s">
        <v>22</v>
      </c>
      <c r="B5" t="s">
        <v>23</v>
      </c>
      <c r="C5" t="s">
        <v>24</v>
      </c>
      <c r="D5" t="s">
        <v>25</v>
      </c>
      <c r="E5" t="s">
        <v>23</v>
      </c>
      <c r="F5" t="s">
        <v>13</v>
      </c>
      <c r="G5" t="s">
        <v>13</v>
      </c>
    </row>
    <row r="6" spans="1:9" x14ac:dyDescent="0.2">
      <c r="A6" t="s">
        <v>26</v>
      </c>
      <c r="B6" t="s">
        <v>27</v>
      </c>
      <c r="C6" t="s">
        <v>28</v>
      </c>
      <c r="D6" t="s">
        <v>29</v>
      </c>
      <c r="E6" t="s">
        <v>27</v>
      </c>
      <c r="F6" t="s">
        <v>30</v>
      </c>
      <c r="G6" t="s">
        <v>30</v>
      </c>
    </row>
    <row r="7" spans="1:9" x14ac:dyDescent="0.2">
      <c r="A7" t="s">
        <v>31</v>
      </c>
      <c r="B7" t="s">
        <v>32</v>
      </c>
      <c r="C7" t="s">
        <v>33</v>
      </c>
      <c r="D7" t="s">
        <v>34</v>
      </c>
      <c r="E7" t="s">
        <v>32</v>
      </c>
      <c r="F7" t="s">
        <v>35</v>
      </c>
      <c r="G7" t="s">
        <v>35</v>
      </c>
    </row>
    <row r="8" spans="1:9" x14ac:dyDescent="0.2">
      <c r="A8" t="s">
        <v>36</v>
      </c>
      <c r="B8" t="s">
        <v>37</v>
      </c>
      <c r="C8" t="s">
        <v>38</v>
      </c>
      <c r="D8" t="s">
        <v>39</v>
      </c>
      <c r="E8" t="s">
        <v>40</v>
      </c>
      <c r="F8" t="s">
        <v>41</v>
      </c>
      <c r="G8" t="s">
        <v>41</v>
      </c>
    </row>
    <row r="9" spans="1:9" x14ac:dyDescent="0.2">
      <c r="A9" t="s">
        <v>42</v>
      </c>
      <c r="B9" t="s">
        <v>43</v>
      </c>
      <c r="C9" t="s">
        <v>44</v>
      </c>
      <c r="D9" t="s">
        <v>45</v>
      </c>
      <c r="E9" t="s">
        <v>43</v>
      </c>
      <c r="F9" t="s">
        <v>41</v>
      </c>
      <c r="G9" t="s">
        <v>41</v>
      </c>
    </row>
    <row r="10" spans="1:9" x14ac:dyDescent="0.2">
      <c r="A10" t="s">
        <v>46</v>
      </c>
      <c r="B10" t="s">
        <v>47</v>
      </c>
      <c r="C10" t="s">
        <v>48</v>
      </c>
      <c r="D10" t="s">
        <v>49</v>
      </c>
      <c r="E10" t="s">
        <v>50</v>
      </c>
      <c r="F10" t="s">
        <v>41</v>
      </c>
      <c r="G10" t="s">
        <v>41</v>
      </c>
    </row>
    <row r="11" spans="1:9" x14ac:dyDescent="0.2">
      <c r="A11" t="s">
        <v>51</v>
      </c>
      <c r="B11" t="s">
        <v>52</v>
      </c>
      <c r="C11" t="s">
        <v>53</v>
      </c>
      <c r="D11" t="s">
        <v>54</v>
      </c>
      <c r="E11" t="s">
        <v>55</v>
      </c>
      <c r="F11" t="s">
        <v>56</v>
      </c>
      <c r="G11" t="s">
        <v>56</v>
      </c>
    </row>
    <row r="12" spans="1:9" x14ac:dyDescent="0.2">
      <c r="A12" t="s">
        <v>57</v>
      </c>
      <c r="B12" t="s">
        <v>58</v>
      </c>
      <c r="C12" t="s">
        <v>59</v>
      </c>
      <c r="D12" t="s">
        <v>60</v>
      </c>
      <c r="E12" t="s">
        <v>61</v>
      </c>
      <c r="F12" t="s">
        <v>56</v>
      </c>
      <c r="G12" t="s">
        <v>56</v>
      </c>
    </row>
    <row r="13" spans="1:9" x14ac:dyDescent="0.2">
      <c r="A13" t="s">
        <v>62</v>
      </c>
      <c r="B13" t="s">
        <v>63</v>
      </c>
      <c r="C13" t="s">
        <v>64</v>
      </c>
      <c r="D13" t="s">
        <v>65</v>
      </c>
      <c r="E13" t="s">
        <v>66</v>
      </c>
      <c r="F13" t="s">
        <v>56</v>
      </c>
      <c r="G13" t="s">
        <v>56</v>
      </c>
    </row>
    <row r="14" spans="1:9" x14ac:dyDescent="0.2">
      <c r="A14" t="s">
        <v>67</v>
      </c>
      <c r="B14" t="s">
        <v>68</v>
      </c>
      <c r="C14" t="s">
        <v>69</v>
      </c>
      <c r="D14" t="s">
        <v>70</v>
      </c>
      <c r="E14" t="s">
        <v>71</v>
      </c>
      <c r="F14" t="s">
        <v>72</v>
      </c>
      <c r="G14" t="s">
        <v>73</v>
      </c>
    </row>
    <row r="15" spans="1:9" x14ac:dyDescent="0.2">
      <c r="A15" t="s">
        <v>74</v>
      </c>
      <c r="B15" t="s">
        <v>75</v>
      </c>
      <c r="C15" t="s">
        <v>76</v>
      </c>
      <c r="D15" t="s">
        <v>77</v>
      </c>
      <c r="E15" t="s">
        <v>71</v>
      </c>
      <c r="F15" t="s">
        <v>72</v>
      </c>
      <c r="G15" t="s">
        <v>78</v>
      </c>
    </row>
    <row r="16" spans="1:9" x14ac:dyDescent="0.2">
      <c r="A16" t="s">
        <v>79</v>
      </c>
      <c r="B16" t="s">
        <v>80</v>
      </c>
      <c r="C16" t="s">
        <v>81</v>
      </c>
      <c r="D16" t="s">
        <v>82</v>
      </c>
      <c r="E16" t="s">
        <v>71</v>
      </c>
      <c r="F16" t="s">
        <v>72</v>
      </c>
      <c r="G16" t="s">
        <v>83</v>
      </c>
    </row>
    <row r="17" spans="1:7" x14ac:dyDescent="0.2">
      <c r="A17" t="s">
        <v>84</v>
      </c>
      <c r="B17" t="s">
        <v>85</v>
      </c>
      <c r="C17" t="s">
        <v>86</v>
      </c>
      <c r="D17" t="s">
        <v>87</v>
      </c>
      <c r="E17" t="s">
        <v>71</v>
      </c>
      <c r="F17" t="s">
        <v>72</v>
      </c>
      <c r="G17" t="s">
        <v>88</v>
      </c>
    </row>
    <row r="18" spans="1:7" x14ac:dyDescent="0.2">
      <c r="A18" t="s">
        <v>89</v>
      </c>
      <c r="B18" t="s">
        <v>90</v>
      </c>
      <c r="C18" t="s">
        <v>91</v>
      </c>
      <c r="D18" t="s">
        <v>92</v>
      </c>
      <c r="E18" t="s">
        <v>71</v>
      </c>
      <c r="F18" t="s">
        <v>72</v>
      </c>
      <c r="G18" t="s">
        <v>93</v>
      </c>
    </row>
    <row r="19" spans="1:7" x14ac:dyDescent="0.2">
      <c r="A19" t="s">
        <v>94</v>
      </c>
      <c r="B19" t="s">
        <v>95</v>
      </c>
      <c r="C19" t="s">
        <v>96</v>
      </c>
      <c r="D19" t="s">
        <v>97</v>
      </c>
      <c r="E19" t="s">
        <v>71</v>
      </c>
      <c r="F19" t="s">
        <v>72</v>
      </c>
      <c r="G19" t="s">
        <v>98</v>
      </c>
    </row>
    <row r="20" spans="1:7" x14ac:dyDescent="0.2">
      <c r="A20" t="s">
        <v>99</v>
      </c>
      <c r="B20" t="s">
        <v>100</v>
      </c>
      <c r="C20" t="s">
        <v>101</v>
      </c>
      <c r="D20" t="s">
        <v>102</v>
      </c>
      <c r="E20" t="s">
        <v>71</v>
      </c>
      <c r="F20" t="s">
        <v>72</v>
      </c>
      <c r="G20" t="s">
        <v>103</v>
      </c>
    </row>
    <row r="21" spans="1:7" x14ac:dyDescent="0.2">
      <c r="A21" t="s">
        <v>104</v>
      </c>
      <c r="B21" t="s">
        <v>105</v>
      </c>
      <c r="C21" t="s">
        <v>106</v>
      </c>
      <c r="D21" t="s">
        <v>107</v>
      </c>
      <c r="E21" t="s">
        <v>71</v>
      </c>
      <c r="F21" t="s">
        <v>72</v>
      </c>
      <c r="G21" t="s">
        <v>108</v>
      </c>
    </row>
    <row r="22" spans="1:7" x14ac:dyDescent="0.2">
      <c r="A22" t="s">
        <v>109</v>
      </c>
      <c r="B22" t="s">
        <v>110</v>
      </c>
      <c r="C22" t="s">
        <v>111</v>
      </c>
      <c r="D22" t="s">
        <v>112</v>
      </c>
      <c r="E22" t="s">
        <v>71</v>
      </c>
      <c r="F22" t="s">
        <v>72</v>
      </c>
      <c r="G22" t="s">
        <v>113</v>
      </c>
    </row>
    <row r="23" spans="1:7" x14ac:dyDescent="0.2">
      <c r="A23" t="s">
        <v>114</v>
      </c>
      <c r="B23" t="s">
        <v>115</v>
      </c>
      <c r="C23" t="s">
        <v>116</v>
      </c>
      <c r="D23" t="s">
        <v>117</v>
      </c>
      <c r="E23" t="s">
        <v>71</v>
      </c>
      <c r="F23" t="s">
        <v>72</v>
      </c>
      <c r="G23" t="s">
        <v>118</v>
      </c>
    </row>
    <row r="24" spans="1:7" x14ac:dyDescent="0.2">
      <c r="A24" t="s">
        <v>119</v>
      </c>
      <c r="B24" t="s">
        <v>120</v>
      </c>
      <c r="C24" t="s">
        <v>121</v>
      </c>
      <c r="D24" t="s">
        <v>122</v>
      </c>
      <c r="E24" t="s">
        <v>71</v>
      </c>
      <c r="F24" t="s">
        <v>72</v>
      </c>
      <c r="G24" t="s">
        <v>123</v>
      </c>
    </row>
    <row r="25" spans="1:7" x14ac:dyDescent="0.2">
      <c r="A25" t="s">
        <v>124</v>
      </c>
      <c r="B25" t="s">
        <v>125</v>
      </c>
      <c r="C25" t="s">
        <v>126</v>
      </c>
      <c r="D25" t="s">
        <v>127</v>
      </c>
      <c r="E25" t="s">
        <v>71</v>
      </c>
      <c r="F25" t="s">
        <v>72</v>
      </c>
      <c r="G25" t="s">
        <v>128</v>
      </c>
    </row>
    <row r="26" spans="1:7" x14ac:dyDescent="0.2">
      <c r="A26" t="s">
        <v>129</v>
      </c>
      <c r="B26" t="s">
        <v>130</v>
      </c>
      <c r="C26" t="s">
        <v>131</v>
      </c>
      <c r="D26" t="s">
        <v>132</v>
      </c>
      <c r="E26" t="s">
        <v>71</v>
      </c>
      <c r="F26" t="s">
        <v>72</v>
      </c>
      <c r="G26" t="s">
        <v>133</v>
      </c>
    </row>
    <row r="27" spans="1:7" x14ac:dyDescent="0.2">
      <c r="A27" t="s">
        <v>134</v>
      </c>
      <c r="B27" t="s">
        <v>135</v>
      </c>
      <c r="C27" t="s">
        <v>136</v>
      </c>
      <c r="D27" t="s">
        <v>137</v>
      </c>
      <c r="E27" t="s">
        <v>71</v>
      </c>
      <c r="F27" t="s">
        <v>72</v>
      </c>
      <c r="G27" t="s">
        <v>138</v>
      </c>
    </row>
    <row r="28" spans="1:7" x14ac:dyDescent="0.2">
      <c r="A28" t="s">
        <v>139</v>
      </c>
      <c r="B28" t="s">
        <v>140</v>
      </c>
      <c r="C28" t="s">
        <v>141</v>
      </c>
      <c r="D28" t="s">
        <v>142</v>
      </c>
      <c r="E28" t="s">
        <v>143</v>
      </c>
      <c r="F28" t="s">
        <v>144</v>
      </c>
      <c r="G28" t="s">
        <v>145</v>
      </c>
    </row>
    <row r="29" spans="1:7" x14ac:dyDescent="0.2">
      <c r="A29" t="s">
        <v>146</v>
      </c>
      <c r="B29" t="s">
        <v>147</v>
      </c>
      <c r="C29" t="s">
        <v>148</v>
      </c>
      <c r="D29" t="s">
        <v>149</v>
      </c>
      <c r="E29" t="s">
        <v>143</v>
      </c>
      <c r="F29" t="s">
        <v>144</v>
      </c>
      <c r="G29" t="s">
        <v>150</v>
      </c>
    </row>
    <row r="30" spans="1:7" x14ac:dyDescent="0.2">
      <c r="A30" t="s">
        <v>151</v>
      </c>
      <c r="B30" t="s">
        <v>152</v>
      </c>
      <c r="C30" t="s">
        <v>153</v>
      </c>
      <c r="D30" t="s">
        <v>154</v>
      </c>
      <c r="E30" t="s">
        <v>143</v>
      </c>
      <c r="F30" t="s">
        <v>144</v>
      </c>
      <c r="G30" t="s">
        <v>155</v>
      </c>
    </row>
    <row r="31" spans="1:7" x14ac:dyDescent="0.2">
      <c r="A31" t="s">
        <v>156</v>
      </c>
      <c r="B31" t="s">
        <v>157</v>
      </c>
      <c r="C31" t="s">
        <v>158</v>
      </c>
      <c r="D31" t="s">
        <v>159</v>
      </c>
      <c r="E31" t="s">
        <v>143</v>
      </c>
      <c r="F31" t="s">
        <v>144</v>
      </c>
      <c r="G31" t="s">
        <v>160</v>
      </c>
    </row>
    <row r="32" spans="1:7" x14ac:dyDescent="0.2">
      <c r="A32" t="s">
        <v>161</v>
      </c>
      <c r="B32" t="s">
        <v>162</v>
      </c>
      <c r="C32" t="s">
        <v>163</v>
      </c>
      <c r="D32" t="s">
        <v>164</v>
      </c>
      <c r="E32" t="s">
        <v>143</v>
      </c>
      <c r="F32" t="s">
        <v>144</v>
      </c>
      <c r="G32" t="s">
        <v>165</v>
      </c>
    </row>
    <row r="33" spans="1:7" x14ac:dyDescent="0.2">
      <c r="A33" t="s">
        <v>166</v>
      </c>
      <c r="B33" t="s">
        <v>167</v>
      </c>
      <c r="C33" t="s">
        <v>168</v>
      </c>
      <c r="D33" t="s">
        <v>169</v>
      </c>
      <c r="E33" t="s">
        <v>143</v>
      </c>
      <c r="F33" t="s">
        <v>144</v>
      </c>
      <c r="G33" t="s">
        <v>170</v>
      </c>
    </row>
    <row r="34" spans="1:7" x14ac:dyDescent="0.2">
      <c r="A34" t="s">
        <v>171</v>
      </c>
      <c r="B34" t="s">
        <v>172</v>
      </c>
      <c r="C34" t="s">
        <v>173</v>
      </c>
      <c r="D34" t="s">
        <v>174</v>
      </c>
      <c r="E34" t="s">
        <v>143</v>
      </c>
      <c r="F34" t="s">
        <v>144</v>
      </c>
      <c r="G34" t="s">
        <v>175</v>
      </c>
    </row>
    <row r="35" spans="1:7" x14ac:dyDescent="0.2">
      <c r="A35" t="s">
        <v>176</v>
      </c>
      <c r="B35" t="s">
        <v>177</v>
      </c>
      <c r="C35" t="s">
        <v>178</v>
      </c>
      <c r="D35" t="s">
        <v>179</v>
      </c>
      <c r="E35" t="s">
        <v>143</v>
      </c>
      <c r="F35" t="s">
        <v>144</v>
      </c>
      <c r="G35" t="s">
        <v>180</v>
      </c>
    </row>
    <row r="36" spans="1:7" x14ac:dyDescent="0.2">
      <c r="A36" t="s">
        <v>181</v>
      </c>
      <c r="B36" t="s">
        <v>182</v>
      </c>
      <c r="C36" t="s">
        <v>183</v>
      </c>
      <c r="D36" t="s">
        <v>184</v>
      </c>
      <c r="E36" t="s">
        <v>143</v>
      </c>
      <c r="F36" t="s">
        <v>144</v>
      </c>
      <c r="G36" t="s">
        <v>185</v>
      </c>
    </row>
    <row r="37" spans="1:7" x14ac:dyDescent="0.2">
      <c r="A37" t="s">
        <v>186</v>
      </c>
      <c r="B37" t="s">
        <v>187</v>
      </c>
      <c r="C37" t="s">
        <v>188</v>
      </c>
      <c r="D37" t="s">
        <v>189</v>
      </c>
      <c r="E37" t="s">
        <v>143</v>
      </c>
      <c r="F37" t="s">
        <v>144</v>
      </c>
      <c r="G37" t="s">
        <v>190</v>
      </c>
    </row>
    <row r="38" spans="1:7" x14ac:dyDescent="0.2">
      <c r="A38" t="s">
        <v>191</v>
      </c>
      <c r="B38" t="s">
        <v>192</v>
      </c>
      <c r="C38" t="s">
        <v>193</v>
      </c>
      <c r="D38" t="s">
        <v>194</v>
      </c>
      <c r="E38" t="s">
        <v>143</v>
      </c>
      <c r="F38" t="s">
        <v>144</v>
      </c>
      <c r="G38" t="s">
        <v>195</v>
      </c>
    </row>
    <row r="39" spans="1:7" x14ac:dyDescent="0.2">
      <c r="A39" t="s">
        <v>196</v>
      </c>
      <c r="B39" t="s">
        <v>197</v>
      </c>
      <c r="C39" t="s">
        <v>198</v>
      </c>
      <c r="D39" t="s">
        <v>199</v>
      </c>
      <c r="E39" t="s">
        <v>143</v>
      </c>
      <c r="F39" t="s">
        <v>144</v>
      </c>
      <c r="G39" t="s">
        <v>200</v>
      </c>
    </row>
    <row r="40" spans="1:7" x14ac:dyDescent="0.2">
      <c r="A40" t="s">
        <v>201</v>
      </c>
      <c r="B40" t="s">
        <v>202</v>
      </c>
      <c r="C40" t="s">
        <v>203</v>
      </c>
      <c r="D40" t="s">
        <v>204</v>
      </c>
      <c r="E40" t="s">
        <v>143</v>
      </c>
      <c r="F40" t="s">
        <v>144</v>
      </c>
      <c r="G40" t="s">
        <v>205</v>
      </c>
    </row>
    <row r="41" spans="1:7" x14ac:dyDescent="0.2">
      <c r="A41" t="s">
        <v>206</v>
      </c>
      <c r="B41" t="s">
        <v>207</v>
      </c>
      <c r="C41" t="s">
        <v>208</v>
      </c>
      <c r="D41" t="s">
        <v>209</v>
      </c>
      <c r="E41" t="s">
        <v>143</v>
      </c>
      <c r="F41" t="s">
        <v>144</v>
      </c>
      <c r="G41" t="s">
        <v>210</v>
      </c>
    </row>
    <row r="42" spans="1:7" x14ac:dyDescent="0.2">
      <c r="A42" t="s">
        <v>211</v>
      </c>
      <c r="B42" t="s">
        <v>212</v>
      </c>
      <c r="C42" t="s">
        <v>213</v>
      </c>
      <c r="D42" t="s">
        <v>214</v>
      </c>
      <c r="E42" t="s">
        <v>215</v>
      </c>
      <c r="F42" t="s">
        <v>72</v>
      </c>
      <c r="G42" t="s">
        <v>73</v>
      </c>
    </row>
    <row r="43" spans="1:7" x14ac:dyDescent="0.2">
      <c r="A43" t="s">
        <v>216</v>
      </c>
      <c r="B43" t="s">
        <v>217</v>
      </c>
      <c r="D43" t="s">
        <v>218</v>
      </c>
      <c r="E43" t="s">
        <v>219</v>
      </c>
      <c r="F43" t="s">
        <v>220</v>
      </c>
      <c r="G43" t="s">
        <v>220</v>
      </c>
    </row>
    <row r="44" spans="1:7" x14ac:dyDescent="0.2">
      <c r="A44" t="s">
        <v>221</v>
      </c>
      <c r="B44" t="s">
        <v>222</v>
      </c>
      <c r="C44" t="s">
        <v>223</v>
      </c>
      <c r="D44" t="s">
        <v>224</v>
      </c>
      <c r="E44" t="s">
        <v>215</v>
      </c>
      <c r="F44" t="s">
        <v>72</v>
      </c>
      <c r="G44" t="s">
        <v>78</v>
      </c>
    </row>
    <row r="45" spans="1:7" x14ac:dyDescent="0.2">
      <c r="A45" t="s">
        <v>225</v>
      </c>
      <c r="B45" t="s">
        <v>226</v>
      </c>
      <c r="C45" t="s">
        <v>227</v>
      </c>
      <c r="D45" t="s">
        <v>228</v>
      </c>
      <c r="E45" t="s">
        <v>215</v>
      </c>
      <c r="F45" t="s">
        <v>72</v>
      </c>
      <c r="G45" t="s">
        <v>83</v>
      </c>
    </row>
    <row r="46" spans="1:7" x14ac:dyDescent="0.2">
      <c r="A46" t="s">
        <v>229</v>
      </c>
      <c r="B46" t="s">
        <v>230</v>
      </c>
      <c r="C46" t="s">
        <v>231</v>
      </c>
      <c r="D46" t="s">
        <v>232</v>
      </c>
      <c r="E46" t="s">
        <v>215</v>
      </c>
      <c r="F46" t="s">
        <v>72</v>
      </c>
      <c r="G46" t="s">
        <v>88</v>
      </c>
    </row>
    <row r="47" spans="1:7" x14ac:dyDescent="0.2">
      <c r="A47" t="s">
        <v>233</v>
      </c>
      <c r="B47" t="s">
        <v>234</v>
      </c>
      <c r="C47" t="s">
        <v>235</v>
      </c>
      <c r="D47" t="s">
        <v>236</v>
      </c>
      <c r="E47" t="s">
        <v>215</v>
      </c>
      <c r="F47" t="s">
        <v>72</v>
      </c>
      <c r="G47" t="s">
        <v>93</v>
      </c>
    </row>
    <row r="48" spans="1:7" x14ac:dyDescent="0.2">
      <c r="A48" t="s">
        <v>237</v>
      </c>
      <c r="B48" t="s">
        <v>238</v>
      </c>
      <c r="D48" t="s">
        <v>239</v>
      </c>
      <c r="E48" t="s">
        <v>240</v>
      </c>
      <c r="F48" t="s">
        <v>220</v>
      </c>
      <c r="G48" t="s">
        <v>220</v>
      </c>
    </row>
    <row r="49" spans="1:7" x14ac:dyDescent="0.2">
      <c r="A49" t="s">
        <v>241</v>
      </c>
      <c r="B49" t="s">
        <v>242</v>
      </c>
      <c r="C49" t="s">
        <v>243</v>
      </c>
      <c r="D49" t="s">
        <v>244</v>
      </c>
      <c r="E49" t="s">
        <v>215</v>
      </c>
      <c r="F49" t="s">
        <v>72</v>
      </c>
      <c r="G49" t="s">
        <v>98</v>
      </c>
    </row>
    <row r="50" spans="1:7" x14ac:dyDescent="0.2">
      <c r="A50" t="s">
        <v>245</v>
      </c>
      <c r="B50" t="s">
        <v>246</v>
      </c>
      <c r="C50" t="s">
        <v>247</v>
      </c>
      <c r="D50" t="s">
        <v>248</v>
      </c>
      <c r="E50" t="s">
        <v>215</v>
      </c>
      <c r="F50" t="s">
        <v>72</v>
      </c>
      <c r="G50" t="s">
        <v>103</v>
      </c>
    </row>
    <row r="51" spans="1:7" x14ac:dyDescent="0.2">
      <c r="A51" t="s">
        <v>249</v>
      </c>
      <c r="B51" t="s">
        <v>250</v>
      </c>
      <c r="C51" t="s">
        <v>251</v>
      </c>
      <c r="D51" t="s">
        <v>252</v>
      </c>
      <c r="E51" t="s">
        <v>215</v>
      </c>
      <c r="F51" t="s">
        <v>72</v>
      </c>
      <c r="G51" t="s">
        <v>108</v>
      </c>
    </row>
    <row r="52" spans="1:7" x14ac:dyDescent="0.2">
      <c r="A52" t="s">
        <v>253</v>
      </c>
      <c r="B52" t="s">
        <v>254</v>
      </c>
      <c r="C52" t="s">
        <v>255</v>
      </c>
      <c r="D52" t="s">
        <v>256</v>
      </c>
      <c r="E52" t="s">
        <v>215</v>
      </c>
      <c r="F52" t="s">
        <v>72</v>
      </c>
      <c r="G52" t="s">
        <v>113</v>
      </c>
    </row>
    <row r="53" spans="1:7" x14ac:dyDescent="0.2">
      <c r="A53" t="s">
        <v>257</v>
      </c>
      <c r="B53" t="s">
        <v>258</v>
      </c>
      <c r="C53" t="s">
        <v>259</v>
      </c>
      <c r="D53" t="s">
        <v>260</v>
      </c>
      <c r="E53" t="s">
        <v>215</v>
      </c>
      <c r="F53" t="s">
        <v>72</v>
      </c>
      <c r="G53" t="s">
        <v>118</v>
      </c>
    </row>
    <row r="54" spans="1:7" x14ac:dyDescent="0.2">
      <c r="A54" t="s">
        <v>261</v>
      </c>
      <c r="B54" t="s">
        <v>262</v>
      </c>
      <c r="C54" t="s">
        <v>263</v>
      </c>
      <c r="D54" t="s">
        <v>264</v>
      </c>
      <c r="E54" t="s">
        <v>215</v>
      </c>
      <c r="F54" t="s">
        <v>72</v>
      </c>
      <c r="G54" t="s">
        <v>123</v>
      </c>
    </row>
    <row r="55" spans="1:7" x14ac:dyDescent="0.2">
      <c r="A55" t="s">
        <v>265</v>
      </c>
      <c r="B55" t="s">
        <v>266</v>
      </c>
      <c r="C55" t="s">
        <v>267</v>
      </c>
      <c r="D55" t="s">
        <v>268</v>
      </c>
      <c r="E55" t="s">
        <v>215</v>
      </c>
      <c r="F55" t="s">
        <v>72</v>
      </c>
      <c r="G55" t="s">
        <v>128</v>
      </c>
    </row>
    <row r="56" spans="1:7" x14ac:dyDescent="0.2">
      <c r="A56" t="s">
        <v>269</v>
      </c>
      <c r="B56" t="s">
        <v>270</v>
      </c>
      <c r="C56" t="s">
        <v>271</v>
      </c>
      <c r="D56" t="s">
        <v>272</v>
      </c>
      <c r="E56" t="s">
        <v>215</v>
      </c>
      <c r="F56" t="s">
        <v>72</v>
      </c>
      <c r="G56" t="s">
        <v>133</v>
      </c>
    </row>
    <row r="57" spans="1:7" x14ac:dyDescent="0.2">
      <c r="A57" t="s">
        <v>273</v>
      </c>
      <c r="B57" t="s">
        <v>274</v>
      </c>
      <c r="C57" t="s">
        <v>275</v>
      </c>
      <c r="D57" t="s">
        <v>276</v>
      </c>
      <c r="E57" t="s">
        <v>215</v>
      </c>
      <c r="F57" t="s">
        <v>72</v>
      </c>
      <c r="G57" t="s">
        <v>138</v>
      </c>
    </row>
    <row r="58" spans="1:7" x14ac:dyDescent="0.2">
      <c r="A58" t="s">
        <v>277</v>
      </c>
      <c r="B58" t="s">
        <v>278</v>
      </c>
      <c r="D58" t="s">
        <v>279</v>
      </c>
      <c r="E58" t="s">
        <v>280</v>
      </c>
      <c r="F58" t="s">
        <v>220</v>
      </c>
      <c r="G58" t="s">
        <v>220</v>
      </c>
    </row>
    <row r="59" spans="1:7" x14ac:dyDescent="0.2">
      <c r="A59" t="s">
        <v>281</v>
      </c>
      <c r="B59" t="s">
        <v>282</v>
      </c>
      <c r="C59" t="s">
        <v>283</v>
      </c>
      <c r="D59" t="s">
        <v>284</v>
      </c>
      <c r="E59" t="s">
        <v>143</v>
      </c>
      <c r="F59" t="s">
        <v>144</v>
      </c>
      <c r="G59" t="s">
        <v>145</v>
      </c>
    </row>
    <row r="60" spans="1:7" x14ac:dyDescent="0.2">
      <c r="A60" t="s">
        <v>285</v>
      </c>
      <c r="B60" t="s">
        <v>286</v>
      </c>
      <c r="C60" t="s">
        <v>287</v>
      </c>
      <c r="D60" t="s">
        <v>288</v>
      </c>
      <c r="E60" t="s">
        <v>143</v>
      </c>
      <c r="F60" t="s">
        <v>144</v>
      </c>
      <c r="G60" t="s">
        <v>150</v>
      </c>
    </row>
    <row r="61" spans="1:7" x14ac:dyDescent="0.2">
      <c r="A61" t="s">
        <v>289</v>
      </c>
      <c r="B61" t="s">
        <v>290</v>
      </c>
      <c r="C61" t="s">
        <v>291</v>
      </c>
      <c r="D61" t="s">
        <v>292</v>
      </c>
      <c r="E61" t="s">
        <v>143</v>
      </c>
      <c r="F61" t="s">
        <v>144</v>
      </c>
      <c r="G61" t="s">
        <v>155</v>
      </c>
    </row>
    <row r="62" spans="1:7" x14ac:dyDescent="0.2">
      <c r="A62" t="s">
        <v>293</v>
      </c>
      <c r="B62" t="s">
        <v>294</v>
      </c>
      <c r="C62" t="s">
        <v>295</v>
      </c>
      <c r="D62" t="s">
        <v>296</v>
      </c>
      <c r="E62" t="s">
        <v>143</v>
      </c>
      <c r="F62" t="s">
        <v>144</v>
      </c>
      <c r="G62" t="s">
        <v>160</v>
      </c>
    </row>
    <row r="63" spans="1:7" x14ac:dyDescent="0.2">
      <c r="A63" t="s">
        <v>297</v>
      </c>
      <c r="B63" t="s">
        <v>298</v>
      </c>
      <c r="C63" t="s">
        <v>299</v>
      </c>
      <c r="D63" t="s">
        <v>300</v>
      </c>
      <c r="E63" t="s">
        <v>143</v>
      </c>
      <c r="F63" t="s">
        <v>144</v>
      </c>
      <c r="G63" t="s">
        <v>165</v>
      </c>
    </row>
    <row r="64" spans="1:7" x14ac:dyDescent="0.2">
      <c r="A64" t="s">
        <v>301</v>
      </c>
      <c r="B64" t="s">
        <v>302</v>
      </c>
      <c r="C64" t="s">
        <v>303</v>
      </c>
      <c r="D64" t="s">
        <v>304</v>
      </c>
      <c r="E64" t="s">
        <v>143</v>
      </c>
      <c r="F64" t="s">
        <v>144</v>
      </c>
      <c r="G64" t="s">
        <v>170</v>
      </c>
    </row>
    <row r="65" spans="1:7" x14ac:dyDescent="0.2">
      <c r="A65" t="s">
        <v>305</v>
      </c>
      <c r="B65" t="s">
        <v>306</v>
      </c>
      <c r="C65" t="s">
        <v>307</v>
      </c>
      <c r="D65" t="s">
        <v>308</v>
      </c>
      <c r="E65" t="s">
        <v>143</v>
      </c>
      <c r="F65" t="s">
        <v>144</v>
      </c>
      <c r="G65" t="s">
        <v>175</v>
      </c>
    </row>
    <row r="66" spans="1:7" x14ac:dyDescent="0.2">
      <c r="A66" t="s">
        <v>309</v>
      </c>
      <c r="B66" t="s">
        <v>310</v>
      </c>
      <c r="C66" t="s">
        <v>311</v>
      </c>
      <c r="D66" t="s">
        <v>312</v>
      </c>
      <c r="E66" t="s">
        <v>143</v>
      </c>
      <c r="F66" t="s">
        <v>144</v>
      </c>
      <c r="G66" t="s">
        <v>180</v>
      </c>
    </row>
    <row r="67" spans="1:7" x14ac:dyDescent="0.2">
      <c r="A67" t="s">
        <v>313</v>
      </c>
      <c r="B67" t="s">
        <v>314</v>
      </c>
      <c r="C67" t="s">
        <v>315</v>
      </c>
      <c r="D67" t="s">
        <v>316</v>
      </c>
      <c r="E67" t="s">
        <v>143</v>
      </c>
      <c r="F67" t="s">
        <v>144</v>
      </c>
      <c r="G67" t="s">
        <v>185</v>
      </c>
    </row>
    <row r="68" spans="1:7" x14ac:dyDescent="0.2">
      <c r="A68" t="s">
        <v>317</v>
      </c>
      <c r="B68" t="s">
        <v>318</v>
      </c>
      <c r="C68" t="s">
        <v>319</v>
      </c>
      <c r="D68" t="s">
        <v>320</v>
      </c>
      <c r="E68" t="s">
        <v>143</v>
      </c>
      <c r="F68" t="s">
        <v>144</v>
      </c>
      <c r="G68" t="s">
        <v>190</v>
      </c>
    </row>
    <row r="69" spans="1:7" x14ac:dyDescent="0.2">
      <c r="A69" t="s">
        <v>321</v>
      </c>
      <c r="B69" t="s">
        <v>322</v>
      </c>
      <c r="C69" t="s">
        <v>323</v>
      </c>
      <c r="D69" t="s">
        <v>324</v>
      </c>
      <c r="E69" t="s">
        <v>143</v>
      </c>
      <c r="F69" t="s">
        <v>144</v>
      </c>
      <c r="G69" t="s">
        <v>195</v>
      </c>
    </row>
    <row r="70" spans="1:7" x14ac:dyDescent="0.2">
      <c r="A70" t="s">
        <v>325</v>
      </c>
      <c r="B70" t="s">
        <v>326</v>
      </c>
      <c r="C70" t="s">
        <v>327</v>
      </c>
      <c r="D70" t="s">
        <v>328</v>
      </c>
      <c r="E70" t="s">
        <v>143</v>
      </c>
      <c r="F70" t="s">
        <v>144</v>
      </c>
      <c r="G70" t="s">
        <v>200</v>
      </c>
    </row>
    <row r="71" spans="1:7" x14ac:dyDescent="0.2">
      <c r="A71" t="s">
        <v>329</v>
      </c>
      <c r="B71" t="s">
        <v>330</v>
      </c>
      <c r="C71" t="s">
        <v>331</v>
      </c>
      <c r="D71" t="s">
        <v>332</v>
      </c>
      <c r="E71" t="s">
        <v>143</v>
      </c>
      <c r="F71" t="s">
        <v>144</v>
      </c>
      <c r="G71" t="s">
        <v>205</v>
      </c>
    </row>
    <row r="72" spans="1:7" x14ac:dyDescent="0.2">
      <c r="A72" t="s">
        <v>333</v>
      </c>
      <c r="B72" t="s">
        <v>334</v>
      </c>
      <c r="C72" t="s">
        <v>335</v>
      </c>
      <c r="D72" t="s">
        <v>336</v>
      </c>
      <c r="E72" t="s">
        <v>143</v>
      </c>
      <c r="F72" t="s">
        <v>144</v>
      </c>
      <c r="G72" t="s">
        <v>210</v>
      </c>
    </row>
    <row r="73" spans="1:7" x14ac:dyDescent="0.2">
      <c r="A73" t="s">
        <v>337</v>
      </c>
      <c r="B73" t="s">
        <v>338</v>
      </c>
      <c r="C73" t="s">
        <v>339</v>
      </c>
      <c r="D73" t="s">
        <v>340</v>
      </c>
      <c r="E73" t="s">
        <v>338</v>
      </c>
      <c r="F73" t="s">
        <v>341</v>
      </c>
      <c r="G73" t="s">
        <v>341</v>
      </c>
    </row>
    <row r="74" spans="1:7" x14ac:dyDescent="0.2">
      <c r="A74" t="s">
        <v>342</v>
      </c>
      <c r="B74" t="s">
        <v>343</v>
      </c>
      <c r="D74" t="s">
        <v>344</v>
      </c>
      <c r="E74" t="s">
        <v>345</v>
      </c>
      <c r="F74" t="s">
        <v>346</v>
      </c>
      <c r="G74" t="s">
        <v>346</v>
      </c>
    </row>
    <row r="75" spans="1:7" x14ac:dyDescent="0.2">
      <c r="A75" t="s">
        <v>347</v>
      </c>
      <c r="B75" t="s">
        <v>348</v>
      </c>
      <c r="C75" t="s">
        <v>349</v>
      </c>
      <c r="D75" t="s">
        <v>350</v>
      </c>
      <c r="E75" t="s">
        <v>351</v>
      </c>
      <c r="F75" t="s">
        <v>72</v>
      </c>
      <c r="G75" t="s">
        <v>73</v>
      </c>
    </row>
    <row r="76" spans="1:7" x14ac:dyDescent="0.2">
      <c r="A76" t="s">
        <v>352</v>
      </c>
      <c r="B76" t="s">
        <v>353</v>
      </c>
      <c r="D76" t="s">
        <v>354</v>
      </c>
      <c r="E76" t="s">
        <v>355</v>
      </c>
      <c r="F76" t="s">
        <v>356</v>
      </c>
      <c r="G76" t="s">
        <v>356</v>
      </c>
    </row>
    <row r="77" spans="1:7" x14ac:dyDescent="0.2">
      <c r="A77" t="s">
        <v>357</v>
      </c>
      <c r="B77" t="s">
        <v>358</v>
      </c>
      <c r="C77" t="s">
        <v>359</v>
      </c>
      <c r="D77" t="s">
        <v>360</v>
      </c>
      <c r="E77" t="s">
        <v>351</v>
      </c>
      <c r="F77" t="s">
        <v>72</v>
      </c>
      <c r="G77" t="s">
        <v>78</v>
      </c>
    </row>
    <row r="78" spans="1:7" x14ac:dyDescent="0.2">
      <c r="A78" t="s">
        <v>361</v>
      </c>
      <c r="B78" t="s">
        <v>362</v>
      </c>
      <c r="C78" t="s">
        <v>363</v>
      </c>
      <c r="D78" t="s">
        <v>364</v>
      </c>
      <c r="E78" t="s">
        <v>351</v>
      </c>
      <c r="F78" t="s">
        <v>72</v>
      </c>
      <c r="G78" t="s">
        <v>83</v>
      </c>
    </row>
    <row r="79" spans="1:7" x14ac:dyDescent="0.2">
      <c r="A79" t="s">
        <v>365</v>
      </c>
      <c r="B79" t="s">
        <v>366</v>
      </c>
      <c r="C79" t="s">
        <v>367</v>
      </c>
      <c r="D79" t="s">
        <v>368</v>
      </c>
      <c r="E79" t="s">
        <v>351</v>
      </c>
      <c r="F79" t="s">
        <v>72</v>
      </c>
      <c r="G79" t="s">
        <v>88</v>
      </c>
    </row>
    <row r="80" spans="1:7" x14ac:dyDescent="0.2">
      <c r="A80" t="s">
        <v>369</v>
      </c>
      <c r="B80" t="s">
        <v>370</v>
      </c>
      <c r="C80" t="s">
        <v>371</v>
      </c>
      <c r="D80" t="s">
        <v>372</v>
      </c>
      <c r="E80" t="s">
        <v>351</v>
      </c>
      <c r="F80" t="s">
        <v>72</v>
      </c>
      <c r="G80" t="s">
        <v>93</v>
      </c>
    </row>
    <row r="81" spans="1:7" x14ac:dyDescent="0.2">
      <c r="A81" t="s">
        <v>373</v>
      </c>
      <c r="B81" t="s">
        <v>374</v>
      </c>
      <c r="D81" t="s">
        <v>375</v>
      </c>
      <c r="E81" t="s">
        <v>376</v>
      </c>
      <c r="F81" t="s">
        <v>356</v>
      </c>
      <c r="G81" t="s">
        <v>356</v>
      </c>
    </row>
    <row r="82" spans="1:7" x14ac:dyDescent="0.2">
      <c r="A82" t="s">
        <v>377</v>
      </c>
      <c r="B82" t="s">
        <v>378</v>
      </c>
      <c r="C82" t="s">
        <v>379</v>
      </c>
      <c r="D82" t="s">
        <v>380</v>
      </c>
      <c r="E82" t="s">
        <v>351</v>
      </c>
      <c r="F82" t="s">
        <v>72</v>
      </c>
      <c r="G82" t="s">
        <v>98</v>
      </c>
    </row>
    <row r="83" spans="1:7" x14ac:dyDescent="0.2">
      <c r="A83" t="s">
        <v>381</v>
      </c>
      <c r="B83" t="s">
        <v>382</v>
      </c>
      <c r="C83" t="s">
        <v>383</v>
      </c>
      <c r="D83" t="s">
        <v>384</v>
      </c>
      <c r="E83" t="s">
        <v>351</v>
      </c>
      <c r="F83" t="s">
        <v>72</v>
      </c>
      <c r="G83" t="s">
        <v>103</v>
      </c>
    </row>
    <row r="84" spans="1:7" x14ac:dyDescent="0.2">
      <c r="A84" t="s">
        <v>385</v>
      </c>
      <c r="B84" t="s">
        <v>386</v>
      </c>
      <c r="C84" t="s">
        <v>387</v>
      </c>
      <c r="D84" t="s">
        <v>388</v>
      </c>
      <c r="E84" t="s">
        <v>351</v>
      </c>
      <c r="F84" t="s">
        <v>72</v>
      </c>
      <c r="G84" t="s">
        <v>108</v>
      </c>
    </row>
    <row r="85" spans="1:7" x14ac:dyDescent="0.2">
      <c r="A85" t="s">
        <v>389</v>
      </c>
      <c r="B85" t="s">
        <v>390</v>
      </c>
      <c r="C85" t="s">
        <v>391</v>
      </c>
      <c r="D85" t="s">
        <v>392</v>
      </c>
      <c r="E85" t="s">
        <v>351</v>
      </c>
      <c r="F85" t="s">
        <v>72</v>
      </c>
      <c r="G85" t="s">
        <v>113</v>
      </c>
    </row>
    <row r="86" spans="1:7" x14ac:dyDescent="0.2">
      <c r="A86" t="s">
        <v>393</v>
      </c>
      <c r="B86" t="s">
        <v>394</v>
      </c>
      <c r="C86" t="s">
        <v>395</v>
      </c>
      <c r="D86" t="s">
        <v>396</v>
      </c>
      <c r="E86" t="s">
        <v>351</v>
      </c>
      <c r="F86" t="s">
        <v>72</v>
      </c>
      <c r="G86" t="s">
        <v>118</v>
      </c>
    </row>
    <row r="87" spans="1:7" x14ac:dyDescent="0.2">
      <c r="A87" t="s">
        <v>397</v>
      </c>
      <c r="B87" t="s">
        <v>398</v>
      </c>
      <c r="C87" t="s">
        <v>399</v>
      </c>
      <c r="D87" t="s">
        <v>400</v>
      </c>
      <c r="E87" t="s">
        <v>351</v>
      </c>
      <c r="F87" t="s">
        <v>72</v>
      </c>
      <c r="G87" t="s">
        <v>123</v>
      </c>
    </row>
    <row r="88" spans="1:7" x14ac:dyDescent="0.2">
      <c r="A88" t="s">
        <v>401</v>
      </c>
      <c r="B88" t="s">
        <v>402</v>
      </c>
      <c r="C88" t="s">
        <v>403</v>
      </c>
      <c r="D88" t="s">
        <v>404</v>
      </c>
      <c r="E88" t="s">
        <v>351</v>
      </c>
      <c r="F88" t="s">
        <v>72</v>
      </c>
      <c r="G88" t="s">
        <v>128</v>
      </c>
    </row>
    <row r="89" spans="1:7" x14ac:dyDescent="0.2">
      <c r="A89" t="s">
        <v>405</v>
      </c>
      <c r="B89" t="s">
        <v>406</v>
      </c>
      <c r="C89" t="s">
        <v>407</v>
      </c>
      <c r="D89" t="s">
        <v>408</v>
      </c>
      <c r="E89" t="s">
        <v>351</v>
      </c>
      <c r="F89" t="s">
        <v>72</v>
      </c>
      <c r="G89" t="s">
        <v>133</v>
      </c>
    </row>
    <row r="90" spans="1:7" x14ac:dyDescent="0.2">
      <c r="A90" t="s">
        <v>409</v>
      </c>
      <c r="B90" t="s">
        <v>410</v>
      </c>
      <c r="C90" t="s">
        <v>411</v>
      </c>
      <c r="D90" t="s">
        <v>412</v>
      </c>
      <c r="E90" t="s">
        <v>351</v>
      </c>
      <c r="F90" t="s">
        <v>72</v>
      </c>
      <c r="G90" t="s">
        <v>138</v>
      </c>
    </row>
    <row r="91" spans="1:7" x14ac:dyDescent="0.2">
      <c r="A91" t="s">
        <v>413</v>
      </c>
      <c r="B91" t="s">
        <v>414</v>
      </c>
      <c r="D91" t="s">
        <v>415</v>
      </c>
      <c r="E91" t="s">
        <v>416</v>
      </c>
      <c r="F91" t="s">
        <v>356</v>
      </c>
      <c r="G91" t="s">
        <v>356</v>
      </c>
    </row>
    <row r="92" spans="1:7" x14ac:dyDescent="0.2">
      <c r="A92" t="s">
        <v>417</v>
      </c>
      <c r="B92" t="s">
        <v>418</v>
      </c>
      <c r="C92" t="s">
        <v>419</v>
      </c>
      <c r="D92" t="s">
        <v>420</v>
      </c>
      <c r="E92" t="s">
        <v>418</v>
      </c>
      <c r="F92" t="s">
        <v>35</v>
      </c>
      <c r="G92" t="s">
        <v>35</v>
      </c>
    </row>
    <row r="93" spans="1:7" x14ac:dyDescent="0.2">
      <c r="A93" t="s">
        <v>421</v>
      </c>
      <c r="B93" t="s">
        <v>422</v>
      </c>
      <c r="C93" t="s">
        <v>423</v>
      </c>
      <c r="D93" t="s">
        <v>424</v>
      </c>
      <c r="E93" t="s">
        <v>425</v>
      </c>
      <c r="F93" t="s">
        <v>426</v>
      </c>
      <c r="G93" t="s">
        <v>426</v>
      </c>
    </row>
    <row r="94" spans="1:7" x14ac:dyDescent="0.2">
      <c r="A94" t="s">
        <v>427</v>
      </c>
      <c r="B94" t="s">
        <v>428</v>
      </c>
      <c r="C94" t="s">
        <v>429</v>
      </c>
      <c r="D94" t="s">
        <v>430</v>
      </c>
      <c r="E94" t="s">
        <v>431</v>
      </c>
      <c r="F94" t="s">
        <v>426</v>
      </c>
      <c r="G94" t="s">
        <v>426</v>
      </c>
    </row>
    <row r="95" spans="1:7" x14ac:dyDescent="0.2">
      <c r="A95" t="s">
        <v>432</v>
      </c>
      <c r="B95" t="s">
        <v>433</v>
      </c>
      <c r="C95" t="s">
        <v>434</v>
      </c>
      <c r="D95" t="s">
        <v>435</v>
      </c>
      <c r="E95" t="s">
        <v>436</v>
      </c>
      <c r="F95" t="s">
        <v>426</v>
      </c>
      <c r="G95" t="s">
        <v>437</v>
      </c>
    </row>
    <row r="96" spans="1:7" x14ac:dyDescent="0.2">
      <c r="A96" t="s">
        <v>438</v>
      </c>
      <c r="B96" t="s">
        <v>439</v>
      </c>
      <c r="C96" t="s">
        <v>440</v>
      </c>
      <c r="D96" t="s">
        <v>441</v>
      </c>
      <c r="E96" t="s">
        <v>442</v>
      </c>
      <c r="F96" t="s">
        <v>72</v>
      </c>
      <c r="G96" t="s">
        <v>73</v>
      </c>
    </row>
    <row r="97" spans="1:7" x14ac:dyDescent="0.2">
      <c r="A97" t="s">
        <v>443</v>
      </c>
      <c r="B97" t="s">
        <v>444</v>
      </c>
      <c r="D97" t="s">
        <v>445</v>
      </c>
      <c r="E97" t="s">
        <v>446</v>
      </c>
      <c r="F97" t="s">
        <v>442</v>
      </c>
      <c r="G97" t="s">
        <v>442</v>
      </c>
    </row>
    <row r="98" spans="1:7" x14ac:dyDescent="0.2">
      <c r="A98" t="s">
        <v>447</v>
      </c>
      <c r="B98" t="s">
        <v>448</v>
      </c>
      <c r="C98" t="s">
        <v>449</v>
      </c>
      <c r="D98" t="s">
        <v>450</v>
      </c>
      <c r="E98" t="s">
        <v>442</v>
      </c>
      <c r="F98" t="s">
        <v>72</v>
      </c>
      <c r="G98" t="s">
        <v>78</v>
      </c>
    </row>
    <row r="99" spans="1:7" x14ac:dyDescent="0.2">
      <c r="A99" t="s">
        <v>451</v>
      </c>
      <c r="B99" t="s">
        <v>452</v>
      </c>
      <c r="C99" t="s">
        <v>453</v>
      </c>
      <c r="D99" t="s">
        <v>454</v>
      </c>
      <c r="E99" t="s">
        <v>442</v>
      </c>
      <c r="F99" t="s">
        <v>72</v>
      </c>
      <c r="G99" t="s">
        <v>83</v>
      </c>
    </row>
    <row r="100" spans="1:7" x14ac:dyDescent="0.2">
      <c r="A100" t="s">
        <v>455</v>
      </c>
      <c r="B100" t="s">
        <v>456</v>
      </c>
      <c r="C100" t="s">
        <v>457</v>
      </c>
      <c r="D100" t="s">
        <v>458</v>
      </c>
      <c r="E100" t="s">
        <v>442</v>
      </c>
      <c r="F100" t="s">
        <v>72</v>
      </c>
      <c r="G100" t="s">
        <v>88</v>
      </c>
    </row>
    <row r="101" spans="1:7" x14ac:dyDescent="0.2">
      <c r="A101" t="s">
        <v>459</v>
      </c>
      <c r="B101" t="s">
        <v>460</v>
      </c>
      <c r="C101" t="s">
        <v>461</v>
      </c>
      <c r="D101" t="s">
        <v>462</v>
      </c>
      <c r="E101" t="s">
        <v>442</v>
      </c>
      <c r="F101" t="s">
        <v>72</v>
      </c>
      <c r="G101" t="s">
        <v>93</v>
      </c>
    </row>
    <row r="102" spans="1:7" x14ac:dyDescent="0.2">
      <c r="A102" t="s">
        <v>463</v>
      </c>
      <c r="B102" t="s">
        <v>464</v>
      </c>
      <c r="D102" t="s">
        <v>465</v>
      </c>
      <c r="E102" t="s">
        <v>466</v>
      </c>
      <c r="F102" t="s">
        <v>442</v>
      </c>
      <c r="G102" t="s">
        <v>442</v>
      </c>
    </row>
    <row r="103" spans="1:7" x14ac:dyDescent="0.2">
      <c r="A103" t="s">
        <v>467</v>
      </c>
      <c r="B103" t="s">
        <v>468</v>
      </c>
      <c r="C103" t="s">
        <v>469</v>
      </c>
      <c r="D103" t="s">
        <v>470</v>
      </c>
      <c r="E103" t="s">
        <v>442</v>
      </c>
      <c r="F103" t="s">
        <v>72</v>
      </c>
      <c r="G103" t="s">
        <v>98</v>
      </c>
    </row>
    <row r="104" spans="1:7" x14ac:dyDescent="0.2">
      <c r="A104" t="s">
        <v>471</v>
      </c>
      <c r="B104" t="s">
        <v>472</v>
      </c>
      <c r="C104" t="s">
        <v>473</v>
      </c>
      <c r="D104" t="s">
        <v>474</v>
      </c>
      <c r="E104" t="s">
        <v>442</v>
      </c>
      <c r="F104" t="s">
        <v>72</v>
      </c>
      <c r="G104" t="s">
        <v>103</v>
      </c>
    </row>
    <row r="105" spans="1:7" x14ac:dyDescent="0.2">
      <c r="A105" t="s">
        <v>475</v>
      </c>
      <c r="B105" t="s">
        <v>476</v>
      </c>
      <c r="C105" t="s">
        <v>477</v>
      </c>
      <c r="D105" t="s">
        <v>478</v>
      </c>
      <c r="E105" t="s">
        <v>442</v>
      </c>
      <c r="F105" t="s">
        <v>72</v>
      </c>
      <c r="G105" t="s">
        <v>108</v>
      </c>
    </row>
    <row r="106" spans="1:7" x14ac:dyDescent="0.2">
      <c r="A106" t="s">
        <v>479</v>
      </c>
      <c r="B106" t="s">
        <v>480</v>
      </c>
      <c r="C106" t="s">
        <v>481</v>
      </c>
      <c r="D106" t="s">
        <v>482</v>
      </c>
      <c r="E106" t="s">
        <v>442</v>
      </c>
      <c r="F106" t="s">
        <v>72</v>
      </c>
      <c r="G106" t="s">
        <v>113</v>
      </c>
    </row>
    <row r="107" spans="1:7" x14ac:dyDescent="0.2">
      <c r="A107" t="s">
        <v>483</v>
      </c>
      <c r="B107" t="s">
        <v>484</v>
      </c>
      <c r="C107" t="s">
        <v>485</v>
      </c>
      <c r="D107" t="s">
        <v>486</v>
      </c>
      <c r="E107" t="s">
        <v>442</v>
      </c>
      <c r="F107" t="s">
        <v>72</v>
      </c>
      <c r="G107" t="s">
        <v>118</v>
      </c>
    </row>
    <row r="108" spans="1:7" x14ac:dyDescent="0.2">
      <c r="A108" t="s">
        <v>487</v>
      </c>
      <c r="B108" t="s">
        <v>488</v>
      </c>
      <c r="C108" t="s">
        <v>489</v>
      </c>
      <c r="D108" t="s">
        <v>490</v>
      </c>
      <c r="E108" t="s">
        <v>442</v>
      </c>
      <c r="F108" t="s">
        <v>72</v>
      </c>
      <c r="G108" t="s">
        <v>123</v>
      </c>
    </row>
    <row r="109" spans="1:7" x14ac:dyDescent="0.2">
      <c r="A109" t="s">
        <v>491</v>
      </c>
      <c r="B109" t="s">
        <v>492</v>
      </c>
      <c r="C109" t="s">
        <v>493</v>
      </c>
      <c r="D109" t="s">
        <v>494</v>
      </c>
      <c r="E109" t="s">
        <v>442</v>
      </c>
      <c r="F109" t="s">
        <v>72</v>
      </c>
      <c r="G109" t="s">
        <v>128</v>
      </c>
    </row>
    <row r="110" spans="1:7" x14ac:dyDescent="0.2">
      <c r="A110" t="s">
        <v>495</v>
      </c>
      <c r="B110" t="s">
        <v>496</v>
      </c>
      <c r="C110" t="s">
        <v>497</v>
      </c>
      <c r="D110" t="s">
        <v>498</v>
      </c>
      <c r="E110" t="s">
        <v>442</v>
      </c>
      <c r="F110" t="s">
        <v>72</v>
      </c>
      <c r="G110" t="s">
        <v>133</v>
      </c>
    </row>
    <row r="111" spans="1:7" x14ac:dyDescent="0.2">
      <c r="A111" t="s">
        <v>499</v>
      </c>
      <c r="B111" t="s">
        <v>500</v>
      </c>
      <c r="C111" t="s">
        <v>501</v>
      </c>
      <c r="D111" t="s">
        <v>502</v>
      </c>
      <c r="E111" t="s">
        <v>442</v>
      </c>
      <c r="F111" t="s">
        <v>72</v>
      </c>
      <c r="G111" t="s">
        <v>138</v>
      </c>
    </row>
    <row r="112" spans="1:7" x14ac:dyDescent="0.2">
      <c r="A112" t="s">
        <v>503</v>
      </c>
      <c r="B112" t="s">
        <v>504</v>
      </c>
      <c r="D112" t="s">
        <v>505</v>
      </c>
      <c r="E112" t="s">
        <v>506</v>
      </c>
      <c r="F112" t="s">
        <v>442</v>
      </c>
      <c r="G112" t="s">
        <v>442</v>
      </c>
    </row>
    <row r="113" spans="1:7" x14ac:dyDescent="0.2">
      <c r="A113" t="s">
        <v>507</v>
      </c>
      <c r="B113" t="s">
        <v>508</v>
      </c>
      <c r="C113" t="s">
        <v>509</v>
      </c>
      <c r="D113" t="s">
        <v>510</v>
      </c>
      <c r="E113" t="s">
        <v>143</v>
      </c>
      <c r="F113" t="s">
        <v>144</v>
      </c>
      <c r="G113" t="s">
        <v>145</v>
      </c>
    </row>
    <row r="114" spans="1:7" x14ac:dyDescent="0.2">
      <c r="A114" t="s">
        <v>511</v>
      </c>
      <c r="B114" t="s">
        <v>512</v>
      </c>
      <c r="C114" t="s">
        <v>513</v>
      </c>
      <c r="D114" t="s">
        <v>514</v>
      </c>
      <c r="E114" t="s">
        <v>143</v>
      </c>
      <c r="F114" t="s">
        <v>144</v>
      </c>
      <c r="G114" t="s">
        <v>150</v>
      </c>
    </row>
    <row r="115" spans="1:7" x14ac:dyDescent="0.2">
      <c r="A115" t="s">
        <v>515</v>
      </c>
      <c r="B115" t="s">
        <v>516</v>
      </c>
      <c r="C115" t="s">
        <v>517</v>
      </c>
      <c r="D115" t="s">
        <v>518</v>
      </c>
      <c r="E115" t="s">
        <v>143</v>
      </c>
      <c r="F115" t="s">
        <v>144</v>
      </c>
      <c r="G115" t="s">
        <v>155</v>
      </c>
    </row>
    <row r="116" spans="1:7" x14ac:dyDescent="0.2">
      <c r="A116" t="s">
        <v>519</v>
      </c>
      <c r="B116" t="s">
        <v>520</v>
      </c>
      <c r="C116" t="s">
        <v>521</v>
      </c>
      <c r="D116" t="s">
        <v>522</v>
      </c>
      <c r="E116" t="s">
        <v>143</v>
      </c>
      <c r="F116" t="s">
        <v>144</v>
      </c>
      <c r="G116" t="s">
        <v>160</v>
      </c>
    </row>
    <row r="117" spans="1:7" x14ac:dyDescent="0.2">
      <c r="A117" t="s">
        <v>523</v>
      </c>
      <c r="B117" t="s">
        <v>524</v>
      </c>
      <c r="C117" t="s">
        <v>525</v>
      </c>
      <c r="D117" t="s">
        <v>526</v>
      </c>
      <c r="E117" t="s">
        <v>143</v>
      </c>
      <c r="F117" t="s">
        <v>144</v>
      </c>
      <c r="G117" t="s">
        <v>165</v>
      </c>
    </row>
    <row r="118" spans="1:7" x14ac:dyDescent="0.2">
      <c r="A118" t="s">
        <v>527</v>
      </c>
      <c r="B118" t="s">
        <v>528</v>
      </c>
      <c r="C118" t="s">
        <v>529</v>
      </c>
      <c r="D118" t="s">
        <v>530</v>
      </c>
      <c r="E118" t="s">
        <v>143</v>
      </c>
      <c r="F118" t="s">
        <v>144</v>
      </c>
      <c r="G118" t="s">
        <v>170</v>
      </c>
    </row>
    <row r="119" spans="1:7" x14ac:dyDescent="0.2">
      <c r="A119" t="s">
        <v>531</v>
      </c>
      <c r="B119" t="s">
        <v>532</v>
      </c>
      <c r="C119" t="s">
        <v>533</v>
      </c>
      <c r="D119" t="s">
        <v>534</v>
      </c>
      <c r="E119" t="s">
        <v>143</v>
      </c>
      <c r="F119" t="s">
        <v>144</v>
      </c>
      <c r="G119" t="s">
        <v>175</v>
      </c>
    </row>
    <row r="120" spans="1:7" x14ac:dyDescent="0.2">
      <c r="A120" t="s">
        <v>535</v>
      </c>
      <c r="B120" t="s">
        <v>536</v>
      </c>
      <c r="C120" t="s">
        <v>537</v>
      </c>
      <c r="D120" t="s">
        <v>538</v>
      </c>
      <c r="E120" t="s">
        <v>143</v>
      </c>
      <c r="F120" t="s">
        <v>144</v>
      </c>
      <c r="G120" t="s">
        <v>180</v>
      </c>
    </row>
    <row r="121" spans="1:7" x14ac:dyDescent="0.2">
      <c r="A121" t="s">
        <v>539</v>
      </c>
      <c r="B121" t="s">
        <v>540</v>
      </c>
      <c r="C121" t="s">
        <v>541</v>
      </c>
      <c r="D121" t="s">
        <v>542</v>
      </c>
      <c r="E121" t="s">
        <v>143</v>
      </c>
      <c r="F121" t="s">
        <v>144</v>
      </c>
      <c r="G121" t="s">
        <v>185</v>
      </c>
    </row>
    <row r="122" spans="1:7" x14ac:dyDescent="0.2">
      <c r="A122" t="s">
        <v>543</v>
      </c>
      <c r="B122" t="s">
        <v>544</v>
      </c>
      <c r="C122" t="s">
        <v>545</v>
      </c>
      <c r="D122" t="s">
        <v>546</v>
      </c>
      <c r="E122" t="s">
        <v>143</v>
      </c>
      <c r="F122" t="s">
        <v>144</v>
      </c>
      <c r="G122" t="s">
        <v>190</v>
      </c>
    </row>
    <row r="123" spans="1:7" x14ac:dyDescent="0.2">
      <c r="A123" t="s">
        <v>547</v>
      </c>
      <c r="B123" t="s">
        <v>548</v>
      </c>
      <c r="C123" t="s">
        <v>549</v>
      </c>
      <c r="D123" t="s">
        <v>550</v>
      </c>
      <c r="E123" t="s">
        <v>143</v>
      </c>
      <c r="F123" t="s">
        <v>144</v>
      </c>
      <c r="G123" t="s">
        <v>195</v>
      </c>
    </row>
    <row r="124" spans="1:7" x14ac:dyDescent="0.2">
      <c r="A124" t="s">
        <v>551</v>
      </c>
      <c r="B124" t="s">
        <v>552</v>
      </c>
      <c r="C124" t="s">
        <v>553</v>
      </c>
      <c r="D124" t="s">
        <v>554</v>
      </c>
      <c r="E124" t="s">
        <v>143</v>
      </c>
      <c r="F124" t="s">
        <v>144</v>
      </c>
      <c r="G124" t="s">
        <v>200</v>
      </c>
    </row>
    <row r="125" spans="1:7" x14ac:dyDescent="0.2">
      <c r="A125" t="s">
        <v>555</v>
      </c>
      <c r="B125" t="s">
        <v>556</v>
      </c>
      <c r="C125" t="s">
        <v>557</v>
      </c>
      <c r="D125" t="s">
        <v>558</v>
      </c>
      <c r="E125" t="s">
        <v>143</v>
      </c>
      <c r="F125" t="s">
        <v>144</v>
      </c>
      <c r="G125" t="s">
        <v>205</v>
      </c>
    </row>
    <row r="126" spans="1:7" x14ac:dyDescent="0.2">
      <c r="A126" t="s">
        <v>559</v>
      </c>
      <c r="B126" t="s">
        <v>560</v>
      </c>
      <c r="C126" t="s">
        <v>561</v>
      </c>
      <c r="D126" t="s">
        <v>562</v>
      </c>
      <c r="E126" t="s">
        <v>143</v>
      </c>
      <c r="F126" t="s">
        <v>144</v>
      </c>
      <c r="G126" t="s">
        <v>210</v>
      </c>
    </row>
    <row r="127" spans="1:7" x14ac:dyDescent="0.2">
      <c r="A127" t="s">
        <v>563</v>
      </c>
      <c r="B127" t="s">
        <v>564</v>
      </c>
      <c r="C127" t="s">
        <v>565</v>
      </c>
      <c r="D127" t="s">
        <v>566</v>
      </c>
      <c r="E127" t="s">
        <v>564</v>
      </c>
      <c r="F127" t="s">
        <v>341</v>
      </c>
      <c r="G127" t="s">
        <v>341</v>
      </c>
    </row>
    <row r="128" spans="1:7" x14ac:dyDescent="0.2">
      <c r="A128" t="s">
        <v>567</v>
      </c>
      <c r="B128" t="s">
        <v>568</v>
      </c>
      <c r="C128" t="s">
        <v>569</v>
      </c>
      <c r="D128" t="s">
        <v>570</v>
      </c>
      <c r="E128" t="s">
        <v>568</v>
      </c>
      <c r="F128" t="s">
        <v>30</v>
      </c>
      <c r="G128" t="s">
        <v>30</v>
      </c>
    </row>
    <row r="129" spans="1:7" x14ac:dyDescent="0.2">
      <c r="A129" t="s">
        <v>571</v>
      </c>
      <c r="B129" t="s">
        <v>572</v>
      </c>
      <c r="C129" t="s">
        <v>573</v>
      </c>
      <c r="D129" t="s">
        <v>574</v>
      </c>
      <c r="E129" t="s">
        <v>572</v>
      </c>
      <c r="F129" t="s">
        <v>30</v>
      </c>
      <c r="G129" t="s">
        <v>30</v>
      </c>
    </row>
    <row r="130" spans="1:7" x14ac:dyDescent="0.2">
      <c r="A130" t="s">
        <v>575</v>
      </c>
      <c r="B130" t="s">
        <v>576</v>
      </c>
      <c r="C130" t="s">
        <v>577</v>
      </c>
      <c r="D130" t="s">
        <v>578</v>
      </c>
      <c r="E130" t="s">
        <v>579</v>
      </c>
      <c r="F130" t="s">
        <v>580</v>
      </c>
      <c r="G130" t="s">
        <v>580</v>
      </c>
    </row>
    <row r="131" spans="1:7" x14ac:dyDescent="0.2">
      <c r="A131" t="s">
        <v>581</v>
      </c>
      <c r="B131" t="s">
        <v>582</v>
      </c>
      <c r="D131" t="s">
        <v>583</v>
      </c>
      <c r="E131" t="s">
        <v>584</v>
      </c>
      <c r="F131" t="s">
        <v>346</v>
      </c>
      <c r="G131" t="s">
        <v>346</v>
      </c>
    </row>
    <row r="132" spans="1:7" x14ac:dyDescent="0.2">
      <c r="A132" t="s">
        <v>585</v>
      </c>
      <c r="B132" t="s">
        <v>586</v>
      </c>
      <c r="C132" t="s">
        <v>587</v>
      </c>
      <c r="D132" t="s">
        <v>588</v>
      </c>
      <c r="E132" t="s">
        <v>586</v>
      </c>
      <c r="F132" t="s">
        <v>30</v>
      </c>
      <c r="G132" t="s">
        <v>30</v>
      </c>
    </row>
    <row r="133" spans="1:7" x14ac:dyDescent="0.2">
      <c r="A133" t="s">
        <v>589</v>
      </c>
      <c r="B133" t="s">
        <v>590</v>
      </c>
      <c r="C133" t="s">
        <v>591</v>
      </c>
      <c r="D133" t="s">
        <v>592</v>
      </c>
      <c r="E133" t="s">
        <v>590</v>
      </c>
      <c r="F133" t="s">
        <v>30</v>
      </c>
      <c r="G133" t="s">
        <v>593</v>
      </c>
    </row>
    <row r="134" spans="1:7" x14ac:dyDescent="0.2">
      <c r="A134" t="s">
        <v>594</v>
      </c>
      <c r="B134" t="s">
        <v>595</v>
      </c>
      <c r="C134" t="s">
        <v>596</v>
      </c>
      <c r="D134" t="s">
        <v>597</v>
      </c>
      <c r="E134" t="s">
        <v>595</v>
      </c>
      <c r="F134" t="s">
        <v>341</v>
      </c>
      <c r="G134" t="s">
        <v>341</v>
      </c>
    </row>
    <row r="135" spans="1:7" x14ac:dyDescent="0.2">
      <c r="A135" t="s">
        <v>598</v>
      </c>
      <c r="B135" t="s">
        <v>599</v>
      </c>
      <c r="D135" t="s">
        <v>600</v>
      </c>
      <c r="E135" t="s">
        <v>601</v>
      </c>
      <c r="F135" t="s">
        <v>346</v>
      </c>
      <c r="G135" t="s">
        <v>346</v>
      </c>
    </row>
    <row r="136" spans="1:7" x14ac:dyDescent="0.2">
      <c r="A136" t="s">
        <v>602</v>
      </c>
      <c r="B136" t="s">
        <v>603</v>
      </c>
      <c r="C136" t="s">
        <v>604</v>
      </c>
      <c r="D136" t="s">
        <v>605</v>
      </c>
      <c r="E136" t="s">
        <v>603</v>
      </c>
      <c r="F136" t="s">
        <v>30</v>
      </c>
      <c r="G136" t="s">
        <v>593</v>
      </c>
    </row>
    <row r="137" spans="1:7" x14ac:dyDescent="0.2">
      <c r="A137" t="s">
        <v>606</v>
      </c>
      <c r="B137" t="s">
        <v>607</v>
      </c>
      <c r="C137" t="s">
        <v>608</v>
      </c>
      <c r="D137" t="s">
        <v>609</v>
      </c>
      <c r="E137" t="s">
        <v>610</v>
      </c>
      <c r="F137" t="s">
        <v>426</v>
      </c>
      <c r="G137" t="s">
        <v>426</v>
      </c>
    </row>
    <row r="138" spans="1:7" x14ac:dyDescent="0.2">
      <c r="A138" t="s">
        <v>611</v>
      </c>
      <c r="B138" t="s">
        <v>612</v>
      </c>
      <c r="C138" t="s">
        <v>613</v>
      </c>
      <c r="D138" t="s">
        <v>614</v>
      </c>
      <c r="E138" t="s">
        <v>615</v>
      </c>
      <c r="F138" t="s">
        <v>426</v>
      </c>
      <c r="G138" t="s">
        <v>437</v>
      </c>
    </row>
    <row r="139" spans="1:7" x14ac:dyDescent="0.2">
      <c r="A139" t="s">
        <v>616</v>
      </c>
      <c r="B139" t="s">
        <v>617</v>
      </c>
      <c r="C139" t="s">
        <v>618</v>
      </c>
      <c r="D139" t="s">
        <v>619</v>
      </c>
      <c r="E139" t="s">
        <v>620</v>
      </c>
      <c r="F139" t="s">
        <v>426</v>
      </c>
      <c r="G139" t="s">
        <v>426</v>
      </c>
    </row>
    <row r="140" spans="1:7" x14ac:dyDescent="0.2">
      <c r="A140" t="s">
        <v>621</v>
      </c>
      <c r="B140" t="s">
        <v>622</v>
      </c>
      <c r="C140" t="s">
        <v>623</v>
      </c>
      <c r="D140" t="s">
        <v>624</v>
      </c>
      <c r="E140" t="s">
        <v>623</v>
      </c>
      <c r="F140" t="s">
        <v>426</v>
      </c>
      <c r="G140" t="s">
        <v>437</v>
      </c>
    </row>
    <row r="141" spans="1:7" x14ac:dyDescent="0.2">
      <c r="A141" t="s">
        <v>625</v>
      </c>
      <c r="B141" t="s">
        <v>626</v>
      </c>
      <c r="C141" t="s">
        <v>627</v>
      </c>
      <c r="D141" t="s">
        <v>628</v>
      </c>
      <c r="E141" t="s">
        <v>629</v>
      </c>
      <c r="F141" t="s">
        <v>426</v>
      </c>
      <c r="G141" t="s">
        <v>426</v>
      </c>
    </row>
    <row r="142" spans="1:7" x14ac:dyDescent="0.2">
      <c r="A142" t="s">
        <v>630</v>
      </c>
      <c r="B142" t="s">
        <v>631</v>
      </c>
      <c r="C142" t="s">
        <v>632</v>
      </c>
      <c r="D142" t="s">
        <v>633</v>
      </c>
      <c r="E142" t="s">
        <v>632</v>
      </c>
      <c r="F142" t="s">
        <v>426</v>
      </c>
      <c r="G142" t="s">
        <v>437</v>
      </c>
    </row>
    <row r="143" spans="1:7" x14ac:dyDescent="0.2">
      <c r="A143" t="s">
        <v>634</v>
      </c>
      <c r="B143" t="s">
        <v>635</v>
      </c>
      <c r="C143" t="s">
        <v>636</v>
      </c>
      <c r="D143" t="s">
        <v>637</v>
      </c>
      <c r="E143" t="s">
        <v>638</v>
      </c>
      <c r="F143" t="s">
        <v>426</v>
      </c>
      <c r="G143" t="s">
        <v>426</v>
      </c>
    </row>
    <row r="144" spans="1:7" x14ac:dyDescent="0.2">
      <c r="A144" t="s">
        <v>639</v>
      </c>
      <c r="B144" t="s">
        <v>640</v>
      </c>
      <c r="D144" t="s">
        <v>641</v>
      </c>
      <c r="E144" t="s">
        <v>642</v>
      </c>
      <c r="F144" t="s">
        <v>426</v>
      </c>
      <c r="G144" t="s">
        <v>437</v>
      </c>
    </row>
    <row r="145" spans="1:9" x14ac:dyDescent="0.2">
      <c r="A145" t="s">
        <v>643</v>
      </c>
      <c r="B145" t="s">
        <v>644</v>
      </c>
      <c r="C145" t="s">
        <v>645</v>
      </c>
      <c r="D145" t="s">
        <v>646</v>
      </c>
      <c r="E145" t="s">
        <v>645</v>
      </c>
      <c r="F145" t="s">
        <v>426</v>
      </c>
      <c r="G145" t="s">
        <v>437</v>
      </c>
    </row>
    <row r="146" spans="1:9" x14ac:dyDescent="0.2">
      <c r="A146" t="s">
        <v>647</v>
      </c>
      <c r="B146" t="s">
        <v>648</v>
      </c>
      <c r="C146" t="s">
        <v>649</v>
      </c>
      <c r="D146" t="s">
        <v>650</v>
      </c>
      <c r="E146" t="s">
        <v>648</v>
      </c>
      <c r="F146" t="s">
        <v>30</v>
      </c>
      <c r="G146" t="s">
        <v>651</v>
      </c>
    </row>
    <row r="147" spans="1:9" x14ac:dyDescent="0.2">
      <c r="A147" t="s">
        <v>652</v>
      </c>
      <c r="B147" t="s">
        <v>653</v>
      </c>
      <c r="C147" t="s">
        <v>654</v>
      </c>
      <c r="D147" t="s">
        <v>655</v>
      </c>
      <c r="E147" t="s">
        <v>653</v>
      </c>
      <c r="F147" t="s">
        <v>656</v>
      </c>
      <c r="G147" t="s">
        <v>656</v>
      </c>
    </row>
    <row r="148" spans="1:9" x14ac:dyDescent="0.2">
      <c r="A148" t="s">
        <v>657</v>
      </c>
      <c r="B148" t="s">
        <v>658</v>
      </c>
      <c r="C148" t="s">
        <v>659</v>
      </c>
      <c r="D148" t="s">
        <v>660</v>
      </c>
      <c r="E148" t="s">
        <v>658</v>
      </c>
      <c r="F148" t="s">
        <v>656</v>
      </c>
      <c r="G148" t="s">
        <v>656</v>
      </c>
    </row>
    <row r="149" spans="1:9" x14ac:dyDescent="0.2">
      <c r="A149" t="s">
        <v>661</v>
      </c>
      <c r="B149" t="s">
        <v>662</v>
      </c>
      <c r="C149" t="s">
        <v>663</v>
      </c>
      <c r="D149" t="s">
        <v>664</v>
      </c>
      <c r="E149" t="s">
        <v>665</v>
      </c>
      <c r="F149" t="s">
        <v>72</v>
      </c>
      <c r="G149" t="s">
        <v>73</v>
      </c>
      <c r="H149" t="b">
        <v>1</v>
      </c>
      <c r="I149" t="s">
        <v>666</v>
      </c>
    </row>
    <row r="150" spans="1:9" x14ac:dyDescent="0.2">
      <c r="A150" t="s">
        <v>667</v>
      </c>
      <c r="B150" t="s">
        <v>668</v>
      </c>
      <c r="D150" t="s">
        <v>669</v>
      </c>
      <c r="E150" t="s">
        <v>668</v>
      </c>
      <c r="F150" t="s">
        <v>665</v>
      </c>
      <c r="G150" t="s">
        <v>665</v>
      </c>
    </row>
    <row r="151" spans="1:9" x14ac:dyDescent="0.2">
      <c r="A151" t="s">
        <v>670</v>
      </c>
      <c r="B151" t="s">
        <v>671</v>
      </c>
      <c r="C151" t="s">
        <v>671</v>
      </c>
      <c r="D151" t="s">
        <v>672</v>
      </c>
      <c r="E151" t="s">
        <v>665</v>
      </c>
      <c r="F151" t="s">
        <v>72</v>
      </c>
      <c r="G151" t="s">
        <v>78</v>
      </c>
    </row>
    <row r="152" spans="1:9" x14ac:dyDescent="0.2">
      <c r="A152" t="s">
        <v>673</v>
      </c>
      <c r="B152" t="s">
        <v>674</v>
      </c>
      <c r="C152" t="s">
        <v>675</v>
      </c>
      <c r="D152" t="s">
        <v>676</v>
      </c>
      <c r="E152" t="s">
        <v>665</v>
      </c>
      <c r="F152" t="s">
        <v>72</v>
      </c>
      <c r="G152" t="s">
        <v>83</v>
      </c>
    </row>
    <row r="153" spans="1:9" x14ac:dyDescent="0.2">
      <c r="A153" t="s">
        <v>677</v>
      </c>
      <c r="B153" t="s">
        <v>678</v>
      </c>
      <c r="C153" t="s">
        <v>679</v>
      </c>
      <c r="D153" t="s">
        <v>680</v>
      </c>
      <c r="E153" t="s">
        <v>665</v>
      </c>
      <c r="F153" t="s">
        <v>72</v>
      </c>
      <c r="G153" t="s">
        <v>88</v>
      </c>
    </row>
    <row r="154" spans="1:9" x14ac:dyDescent="0.2">
      <c r="A154" t="s">
        <v>681</v>
      </c>
      <c r="B154" t="s">
        <v>682</v>
      </c>
      <c r="C154" t="s">
        <v>683</v>
      </c>
      <c r="D154" t="s">
        <v>684</v>
      </c>
      <c r="E154" t="s">
        <v>665</v>
      </c>
      <c r="F154" t="s">
        <v>72</v>
      </c>
      <c r="G154" t="s">
        <v>93</v>
      </c>
    </row>
    <row r="155" spans="1:9" x14ac:dyDescent="0.2">
      <c r="A155" t="s">
        <v>685</v>
      </c>
      <c r="B155" t="s">
        <v>686</v>
      </c>
      <c r="D155" t="s">
        <v>687</v>
      </c>
      <c r="E155" t="s">
        <v>686</v>
      </c>
      <c r="F155" t="s">
        <v>665</v>
      </c>
      <c r="G155" t="s">
        <v>665</v>
      </c>
    </row>
    <row r="156" spans="1:9" x14ac:dyDescent="0.2">
      <c r="A156" t="s">
        <v>688</v>
      </c>
      <c r="B156" t="s">
        <v>689</v>
      </c>
      <c r="C156" t="s">
        <v>690</v>
      </c>
      <c r="D156" t="s">
        <v>691</v>
      </c>
      <c r="E156" t="s">
        <v>665</v>
      </c>
      <c r="F156" t="s">
        <v>72</v>
      </c>
      <c r="G156" t="s">
        <v>98</v>
      </c>
    </row>
    <row r="157" spans="1:9" x14ac:dyDescent="0.2">
      <c r="A157" t="s">
        <v>692</v>
      </c>
      <c r="B157" t="s">
        <v>693</v>
      </c>
      <c r="C157" t="s">
        <v>694</v>
      </c>
      <c r="D157" t="s">
        <v>695</v>
      </c>
      <c r="E157" t="s">
        <v>665</v>
      </c>
      <c r="F157" t="s">
        <v>72</v>
      </c>
      <c r="G157" t="s">
        <v>103</v>
      </c>
    </row>
    <row r="158" spans="1:9" x14ac:dyDescent="0.2">
      <c r="A158" t="s">
        <v>696</v>
      </c>
      <c r="B158" t="s">
        <v>697</v>
      </c>
      <c r="C158" t="s">
        <v>698</v>
      </c>
      <c r="D158" t="s">
        <v>699</v>
      </c>
      <c r="E158" t="s">
        <v>665</v>
      </c>
      <c r="F158" t="s">
        <v>72</v>
      </c>
      <c r="G158" t="s">
        <v>108</v>
      </c>
    </row>
    <row r="159" spans="1:9" x14ac:dyDescent="0.2">
      <c r="A159" t="s">
        <v>700</v>
      </c>
      <c r="B159" t="s">
        <v>701</v>
      </c>
      <c r="C159" t="s">
        <v>702</v>
      </c>
      <c r="D159" t="s">
        <v>703</v>
      </c>
      <c r="E159" t="s">
        <v>665</v>
      </c>
      <c r="F159" t="s">
        <v>72</v>
      </c>
      <c r="G159" t="s">
        <v>113</v>
      </c>
    </row>
    <row r="160" spans="1:9" x14ac:dyDescent="0.2">
      <c r="A160" t="s">
        <v>704</v>
      </c>
      <c r="B160" t="s">
        <v>705</v>
      </c>
      <c r="C160" t="s">
        <v>706</v>
      </c>
      <c r="D160" t="s">
        <v>707</v>
      </c>
      <c r="E160" t="s">
        <v>665</v>
      </c>
      <c r="F160" t="s">
        <v>72</v>
      </c>
      <c r="G160" t="s">
        <v>118</v>
      </c>
    </row>
    <row r="161" spans="1:7" x14ac:dyDescent="0.2">
      <c r="A161" t="s">
        <v>708</v>
      </c>
      <c r="B161" t="s">
        <v>709</v>
      </c>
      <c r="C161" t="s">
        <v>710</v>
      </c>
      <c r="D161" t="s">
        <v>711</v>
      </c>
      <c r="E161" t="s">
        <v>665</v>
      </c>
      <c r="F161" t="s">
        <v>72</v>
      </c>
      <c r="G161" t="s">
        <v>123</v>
      </c>
    </row>
    <row r="162" spans="1:7" x14ac:dyDescent="0.2">
      <c r="A162" t="s">
        <v>712</v>
      </c>
      <c r="B162" t="s">
        <v>713</v>
      </c>
      <c r="C162" t="s">
        <v>714</v>
      </c>
      <c r="D162" t="s">
        <v>715</v>
      </c>
      <c r="E162" t="s">
        <v>665</v>
      </c>
      <c r="F162" t="s">
        <v>72</v>
      </c>
      <c r="G162" t="s">
        <v>128</v>
      </c>
    </row>
    <row r="163" spans="1:7" x14ac:dyDescent="0.2">
      <c r="A163" t="s">
        <v>716</v>
      </c>
      <c r="B163" t="s">
        <v>717</v>
      </c>
      <c r="C163" t="s">
        <v>718</v>
      </c>
      <c r="D163" t="s">
        <v>719</v>
      </c>
      <c r="E163" t="s">
        <v>665</v>
      </c>
      <c r="F163" t="s">
        <v>72</v>
      </c>
      <c r="G163" t="s">
        <v>133</v>
      </c>
    </row>
    <row r="164" spans="1:7" x14ac:dyDescent="0.2">
      <c r="A164" t="s">
        <v>720</v>
      </c>
      <c r="B164" t="s">
        <v>721</v>
      </c>
      <c r="C164" t="s">
        <v>722</v>
      </c>
      <c r="D164" t="s">
        <v>723</v>
      </c>
      <c r="E164" t="s">
        <v>665</v>
      </c>
      <c r="F164" t="s">
        <v>72</v>
      </c>
      <c r="G164" t="s">
        <v>138</v>
      </c>
    </row>
    <row r="165" spans="1:7" x14ac:dyDescent="0.2">
      <c r="A165" t="s">
        <v>724</v>
      </c>
      <c r="B165" t="s">
        <v>725</v>
      </c>
      <c r="D165" t="s">
        <v>726</v>
      </c>
      <c r="E165" t="s">
        <v>725</v>
      </c>
      <c r="F165" t="s">
        <v>665</v>
      </c>
      <c r="G165" t="s">
        <v>665</v>
      </c>
    </row>
    <row r="166" spans="1:7" x14ac:dyDescent="0.2">
      <c r="A166" t="s">
        <v>727</v>
      </c>
      <c r="B166" t="s">
        <v>728</v>
      </c>
      <c r="C166" t="s">
        <v>729</v>
      </c>
      <c r="D166" t="s">
        <v>730</v>
      </c>
      <c r="E166" t="s">
        <v>143</v>
      </c>
      <c r="F166" t="s">
        <v>144</v>
      </c>
      <c r="G166" t="s">
        <v>145</v>
      </c>
    </row>
    <row r="167" spans="1:7" x14ac:dyDescent="0.2">
      <c r="A167" t="s">
        <v>731</v>
      </c>
      <c r="B167" t="s">
        <v>732</v>
      </c>
      <c r="C167" t="s">
        <v>733</v>
      </c>
      <c r="D167" t="s">
        <v>734</v>
      </c>
      <c r="E167" t="s">
        <v>143</v>
      </c>
      <c r="F167" t="s">
        <v>144</v>
      </c>
      <c r="G167" t="s">
        <v>150</v>
      </c>
    </row>
    <row r="168" spans="1:7" x14ac:dyDescent="0.2">
      <c r="A168" t="s">
        <v>735</v>
      </c>
      <c r="B168" t="s">
        <v>736</v>
      </c>
      <c r="C168" t="s">
        <v>737</v>
      </c>
      <c r="D168" t="s">
        <v>738</v>
      </c>
      <c r="E168" t="s">
        <v>143</v>
      </c>
      <c r="F168" t="s">
        <v>144</v>
      </c>
      <c r="G168" t="s">
        <v>155</v>
      </c>
    </row>
    <row r="169" spans="1:7" x14ac:dyDescent="0.2">
      <c r="A169" t="s">
        <v>739</v>
      </c>
      <c r="B169" t="s">
        <v>740</v>
      </c>
      <c r="C169" t="s">
        <v>741</v>
      </c>
      <c r="D169" t="s">
        <v>742</v>
      </c>
      <c r="E169" t="s">
        <v>143</v>
      </c>
      <c r="F169" t="s">
        <v>144</v>
      </c>
      <c r="G169" t="s">
        <v>160</v>
      </c>
    </row>
    <row r="170" spans="1:7" x14ac:dyDescent="0.2">
      <c r="A170" t="s">
        <v>743</v>
      </c>
      <c r="B170" t="s">
        <v>744</v>
      </c>
      <c r="C170" t="s">
        <v>745</v>
      </c>
      <c r="D170" t="s">
        <v>746</v>
      </c>
      <c r="E170" t="s">
        <v>143</v>
      </c>
      <c r="F170" t="s">
        <v>144</v>
      </c>
      <c r="G170" t="s">
        <v>165</v>
      </c>
    </row>
    <row r="171" spans="1:7" x14ac:dyDescent="0.2">
      <c r="A171" t="s">
        <v>747</v>
      </c>
      <c r="B171" t="s">
        <v>748</v>
      </c>
      <c r="C171" t="s">
        <v>749</v>
      </c>
      <c r="D171" t="s">
        <v>750</v>
      </c>
      <c r="E171" t="s">
        <v>143</v>
      </c>
      <c r="F171" t="s">
        <v>144</v>
      </c>
      <c r="G171" t="s">
        <v>170</v>
      </c>
    </row>
    <row r="172" spans="1:7" x14ac:dyDescent="0.2">
      <c r="A172" t="s">
        <v>751</v>
      </c>
      <c r="B172" t="s">
        <v>752</v>
      </c>
      <c r="C172" t="s">
        <v>753</v>
      </c>
      <c r="D172" t="s">
        <v>754</v>
      </c>
      <c r="E172" t="s">
        <v>143</v>
      </c>
      <c r="F172" t="s">
        <v>144</v>
      </c>
      <c r="G172" t="s">
        <v>175</v>
      </c>
    </row>
    <row r="173" spans="1:7" x14ac:dyDescent="0.2">
      <c r="A173" t="s">
        <v>755</v>
      </c>
      <c r="B173" t="s">
        <v>756</v>
      </c>
      <c r="C173" t="s">
        <v>757</v>
      </c>
      <c r="D173" t="s">
        <v>758</v>
      </c>
      <c r="E173" t="s">
        <v>143</v>
      </c>
      <c r="F173" t="s">
        <v>144</v>
      </c>
      <c r="G173" t="s">
        <v>180</v>
      </c>
    </row>
    <row r="174" spans="1:7" x14ac:dyDescent="0.2">
      <c r="A174" t="s">
        <v>759</v>
      </c>
      <c r="B174" t="s">
        <v>760</v>
      </c>
      <c r="C174" t="s">
        <v>761</v>
      </c>
      <c r="D174" t="s">
        <v>762</v>
      </c>
      <c r="E174" t="s">
        <v>143</v>
      </c>
      <c r="F174" t="s">
        <v>144</v>
      </c>
      <c r="G174" t="s">
        <v>185</v>
      </c>
    </row>
    <row r="175" spans="1:7" x14ac:dyDescent="0.2">
      <c r="A175" t="s">
        <v>763</v>
      </c>
      <c r="B175" t="s">
        <v>764</v>
      </c>
      <c r="C175" t="s">
        <v>765</v>
      </c>
      <c r="D175" t="s">
        <v>766</v>
      </c>
      <c r="E175" t="s">
        <v>143</v>
      </c>
      <c r="F175" t="s">
        <v>144</v>
      </c>
      <c r="G175" t="s">
        <v>190</v>
      </c>
    </row>
    <row r="176" spans="1:7" x14ac:dyDescent="0.2">
      <c r="A176" t="s">
        <v>767</v>
      </c>
      <c r="B176" t="s">
        <v>768</v>
      </c>
      <c r="C176" t="s">
        <v>769</v>
      </c>
      <c r="D176" t="s">
        <v>770</v>
      </c>
      <c r="E176" t="s">
        <v>143</v>
      </c>
      <c r="F176" t="s">
        <v>144</v>
      </c>
      <c r="G176" t="s">
        <v>195</v>
      </c>
    </row>
    <row r="177" spans="1:9" x14ac:dyDescent="0.2">
      <c r="A177" t="s">
        <v>771</v>
      </c>
      <c r="B177" t="s">
        <v>772</v>
      </c>
      <c r="C177" t="s">
        <v>773</v>
      </c>
      <c r="D177" t="s">
        <v>774</v>
      </c>
      <c r="E177" t="s">
        <v>143</v>
      </c>
      <c r="F177" t="s">
        <v>144</v>
      </c>
      <c r="G177" t="s">
        <v>200</v>
      </c>
    </row>
    <row r="178" spans="1:9" x14ac:dyDescent="0.2">
      <c r="A178" t="s">
        <v>775</v>
      </c>
      <c r="B178" t="s">
        <v>776</v>
      </c>
      <c r="C178" t="s">
        <v>777</v>
      </c>
      <c r="D178" t="s">
        <v>778</v>
      </c>
      <c r="E178" t="s">
        <v>143</v>
      </c>
      <c r="F178" t="s">
        <v>144</v>
      </c>
      <c r="G178" t="s">
        <v>205</v>
      </c>
    </row>
    <row r="179" spans="1:9" x14ac:dyDescent="0.2">
      <c r="A179" t="s">
        <v>779</v>
      </c>
      <c r="B179" t="s">
        <v>780</v>
      </c>
      <c r="C179" t="s">
        <v>781</v>
      </c>
      <c r="D179" t="s">
        <v>782</v>
      </c>
      <c r="E179" t="s">
        <v>143</v>
      </c>
      <c r="F179" t="s">
        <v>144</v>
      </c>
      <c r="G179" t="s">
        <v>210</v>
      </c>
    </row>
    <row r="180" spans="1:9" x14ac:dyDescent="0.2">
      <c r="A180" t="s">
        <v>783</v>
      </c>
      <c r="B180" t="s">
        <v>784</v>
      </c>
      <c r="C180" t="s">
        <v>785</v>
      </c>
      <c r="D180" t="s">
        <v>786</v>
      </c>
      <c r="E180" t="s">
        <v>787</v>
      </c>
      <c r="F180" t="s">
        <v>426</v>
      </c>
      <c r="G180" t="s">
        <v>426</v>
      </c>
    </row>
    <row r="181" spans="1:9" x14ac:dyDescent="0.2">
      <c r="A181" t="s">
        <v>788</v>
      </c>
      <c r="B181" t="s">
        <v>789</v>
      </c>
      <c r="D181" t="s">
        <v>790</v>
      </c>
      <c r="E181" t="s">
        <v>791</v>
      </c>
      <c r="F181" t="s">
        <v>426</v>
      </c>
      <c r="G181" t="s">
        <v>437</v>
      </c>
    </row>
    <row r="182" spans="1:9" x14ac:dyDescent="0.2">
      <c r="A182" t="s">
        <v>792</v>
      </c>
      <c r="B182" t="s">
        <v>793</v>
      </c>
      <c r="C182" t="s">
        <v>794</v>
      </c>
      <c r="D182" t="s">
        <v>795</v>
      </c>
      <c r="E182" t="s">
        <v>794</v>
      </c>
      <c r="F182" t="s">
        <v>426</v>
      </c>
      <c r="G182" t="s">
        <v>437</v>
      </c>
    </row>
    <row r="183" spans="1:9" x14ac:dyDescent="0.2">
      <c r="A183" t="s">
        <v>796</v>
      </c>
      <c r="B183" t="s">
        <v>797</v>
      </c>
      <c r="C183" t="s">
        <v>798</v>
      </c>
      <c r="D183" t="s">
        <v>799</v>
      </c>
      <c r="E183" t="s">
        <v>797</v>
      </c>
      <c r="F183" t="s">
        <v>341</v>
      </c>
      <c r="G183" t="s">
        <v>341</v>
      </c>
    </row>
    <row r="184" spans="1:9" x14ac:dyDescent="0.2">
      <c r="A184" t="s">
        <v>800</v>
      </c>
      <c r="B184" t="s">
        <v>801</v>
      </c>
      <c r="C184" t="s">
        <v>802</v>
      </c>
      <c r="D184" t="s">
        <v>803</v>
      </c>
      <c r="E184" t="s">
        <v>804</v>
      </c>
      <c r="F184" t="s">
        <v>346</v>
      </c>
      <c r="G184" t="s">
        <v>346</v>
      </c>
    </row>
    <row r="185" spans="1:9" x14ac:dyDescent="0.2">
      <c r="A185" t="s">
        <v>805</v>
      </c>
      <c r="B185" t="s">
        <v>806</v>
      </c>
      <c r="C185" t="s">
        <v>807</v>
      </c>
      <c r="D185" t="s">
        <v>808</v>
      </c>
      <c r="E185" t="s">
        <v>807</v>
      </c>
      <c r="F185" t="s">
        <v>426</v>
      </c>
      <c r="G185" t="s">
        <v>426</v>
      </c>
    </row>
    <row r="186" spans="1:9" x14ac:dyDescent="0.2">
      <c r="A186" t="s">
        <v>809</v>
      </c>
      <c r="B186" t="s">
        <v>810</v>
      </c>
      <c r="C186" t="s">
        <v>811</v>
      </c>
      <c r="D186" t="s">
        <v>812</v>
      </c>
      <c r="E186" t="s">
        <v>811</v>
      </c>
      <c r="F186" t="s">
        <v>426</v>
      </c>
      <c r="G186" t="s">
        <v>437</v>
      </c>
    </row>
    <row r="187" spans="1:9" x14ac:dyDescent="0.2">
      <c r="A187" t="s">
        <v>813</v>
      </c>
      <c r="B187" t="s">
        <v>814</v>
      </c>
      <c r="C187" t="s">
        <v>815</v>
      </c>
      <c r="D187" t="s">
        <v>816</v>
      </c>
      <c r="E187" t="s">
        <v>814</v>
      </c>
      <c r="F187" t="s">
        <v>656</v>
      </c>
      <c r="G187" t="s">
        <v>656</v>
      </c>
    </row>
    <row r="188" spans="1:9" x14ac:dyDescent="0.2">
      <c r="A188" t="s">
        <v>817</v>
      </c>
      <c r="B188" t="s">
        <v>818</v>
      </c>
      <c r="C188" t="s">
        <v>819</v>
      </c>
      <c r="D188" t="s">
        <v>820</v>
      </c>
      <c r="E188" t="s">
        <v>71</v>
      </c>
      <c r="F188" t="s">
        <v>346</v>
      </c>
      <c r="G188" t="s">
        <v>346</v>
      </c>
      <c r="H188" t="b">
        <v>1</v>
      </c>
      <c r="I188" t="s">
        <v>821</v>
      </c>
    </row>
    <row r="189" spans="1:9" x14ac:dyDescent="0.2">
      <c r="A189" t="s">
        <v>822</v>
      </c>
      <c r="B189" t="s">
        <v>823</v>
      </c>
      <c r="D189" t="s">
        <v>824</v>
      </c>
      <c r="E189" t="s">
        <v>825</v>
      </c>
      <c r="F189" t="s">
        <v>346</v>
      </c>
      <c r="G189" t="s">
        <v>346</v>
      </c>
    </row>
    <row r="190" spans="1:9" x14ac:dyDescent="0.2">
      <c r="A190" t="s">
        <v>826</v>
      </c>
      <c r="B190" t="s">
        <v>827</v>
      </c>
      <c r="C190" t="s">
        <v>828</v>
      </c>
      <c r="D190" t="s">
        <v>829</v>
      </c>
      <c r="E190" t="s">
        <v>830</v>
      </c>
      <c r="F190" t="s">
        <v>656</v>
      </c>
      <c r="G190" t="s">
        <v>656</v>
      </c>
    </row>
    <row r="191" spans="1:9" x14ac:dyDescent="0.2">
      <c r="A191" t="s">
        <v>831</v>
      </c>
      <c r="B191" t="s">
        <v>832</v>
      </c>
      <c r="D191" t="s">
        <v>833</v>
      </c>
      <c r="E191" t="s">
        <v>834</v>
      </c>
      <c r="F191" t="s">
        <v>30</v>
      </c>
      <c r="G191" t="s">
        <v>593</v>
      </c>
    </row>
    <row r="192" spans="1:9" x14ac:dyDescent="0.2">
      <c r="A192" t="s">
        <v>835</v>
      </c>
      <c r="B192" t="s">
        <v>836</v>
      </c>
      <c r="D192" t="s">
        <v>837</v>
      </c>
      <c r="E192" t="s">
        <v>838</v>
      </c>
      <c r="F192" t="s">
        <v>356</v>
      </c>
      <c r="G192" t="s">
        <v>356</v>
      </c>
    </row>
    <row r="193" spans="1:7" x14ac:dyDescent="0.2">
      <c r="A193" t="s">
        <v>839</v>
      </c>
      <c r="B193" t="s">
        <v>840</v>
      </c>
      <c r="C193" t="s">
        <v>841</v>
      </c>
      <c r="D193" t="s">
        <v>842</v>
      </c>
      <c r="E193" t="s">
        <v>843</v>
      </c>
      <c r="F193" t="s">
        <v>220</v>
      </c>
      <c r="G193" t="s">
        <v>220</v>
      </c>
    </row>
    <row r="194" spans="1:7" x14ac:dyDescent="0.2">
      <c r="A194" t="s">
        <v>844</v>
      </c>
      <c r="B194" t="s">
        <v>845</v>
      </c>
      <c r="C194" t="s">
        <v>846</v>
      </c>
      <c r="D194" t="s">
        <v>847</v>
      </c>
      <c r="E194" t="s">
        <v>846</v>
      </c>
      <c r="F194" t="s">
        <v>426</v>
      </c>
      <c r="G194" t="s">
        <v>426</v>
      </c>
    </row>
    <row r="195" spans="1:7" x14ac:dyDescent="0.2">
      <c r="A195" t="s">
        <v>848</v>
      </c>
      <c r="B195" t="s">
        <v>849</v>
      </c>
      <c r="C195" t="s">
        <v>850</v>
      </c>
      <c r="D195" t="s">
        <v>851</v>
      </c>
      <c r="E195" t="s">
        <v>852</v>
      </c>
      <c r="F195" t="s">
        <v>442</v>
      </c>
      <c r="G195" t="s">
        <v>442</v>
      </c>
    </row>
    <row r="196" spans="1:7" x14ac:dyDescent="0.2">
      <c r="A196" t="s">
        <v>853</v>
      </c>
      <c r="B196" t="s">
        <v>854</v>
      </c>
      <c r="C196" t="s">
        <v>855</v>
      </c>
      <c r="D196" t="s">
        <v>856</v>
      </c>
      <c r="E196" t="s">
        <v>857</v>
      </c>
      <c r="F196" t="s">
        <v>72</v>
      </c>
      <c r="G196" t="s">
        <v>73</v>
      </c>
    </row>
    <row r="197" spans="1:7" x14ac:dyDescent="0.2">
      <c r="A197" t="s">
        <v>858</v>
      </c>
      <c r="B197" t="s">
        <v>859</v>
      </c>
      <c r="D197" t="s">
        <v>860</v>
      </c>
      <c r="E197" t="s">
        <v>861</v>
      </c>
      <c r="F197" t="s">
        <v>857</v>
      </c>
      <c r="G197" t="s">
        <v>857</v>
      </c>
    </row>
    <row r="198" spans="1:7" x14ac:dyDescent="0.2">
      <c r="A198" t="s">
        <v>862</v>
      </c>
      <c r="B198" t="s">
        <v>863</v>
      </c>
      <c r="C198" t="s">
        <v>864</v>
      </c>
      <c r="D198" t="s">
        <v>865</v>
      </c>
      <c r="E198" t="s">
        <v>857</v>
      </c>
      <c r="F198" t="s">
        <v>72</v>
      </c>
      <c r="G198" t="s">
        <v>78</v>
      </c>
    </row>
    <row r="199" spans="1:7" x14ac:dyDescent="0.2">
      <c r="A199" t="s">
        <v>866</v>
      </c>
      <c r="B199" t="s">
        <v>867</v>
      </c>
      <c r="C199" t="s">
        <v>868</v>
      </c>
      <c r="D199" t="s">
        <v>869</v>
      </c>
      <c r="E199" t="s">
        <v>857</v>
      </c>
      <c r="F199" t="s">
        <v>72</v>
      </c>
      <c r="G199" t="s">
        <v>83</v>
      </c>
    </row>
    <row r="200" spans="1:7" x14ac:dyDescent="0.2">
      <c r="A200" t="s">
        <v>870</v>
      </c>
      <c r="B200" t="s">
        <v>871</v>
      </c>
      <c r="C200" t="s">
        <v>872</v>
      </c>
      <c r="D200" t="s">
        <v>873</v>
      </c>
      <c r="E200" t="s">
        <v>857</v>
      </c>
      <c r="F200" t="s">
        <v>72</v>
      </c>
      <c r="G200" t="s">
        <v>88</v>
      </c>
    </row>
    <row r="201" spans="1:7" x14ac:dyDescent="0.2">
      <c r="A201" t="s">
        <v>874</v>
      </c>
      <c r="B201" t="s">
        <v>875</v>
      </c>
      <c r="C201" t="s">
        <v>876</v>
      </c>
      <c r="D201" t="s">
        <v>877</v>
      </c>
      <c r="E201" t="s">
        <v>857</v>
      </c>
      <c r="F201" t="s">
        <v>72</v>
      </c>
      <c r="G201" t="s">
        <v>93</v>
      </c>
    </row>
    <row r="202" spans="1:7" x14ac:dyDescent="0.2">
      <c r="A202" t="s">
        <v>878</v>
      </c>
      <c r="B202" t="s">
        <v>879</v>
      </c>
      <c r="D202" t="s">
        <v>880</v>
      </c>
      <c r="E202" t="s">
        <v>881</v>
      </c>
      <c r="F202" t="s">
        <v>857</v>
      </c>
      <c r="G202" t="s">
        <v>857</v>
      </c>
    </row>
    <row r="203" spans="1:7" x14ac:dyDescent="0.2">
      <c r="A203" t="s">
        <v>882</v>
      </c>
      <c r="B203" t="s">
        <v>883</v>
      </c>
      <c r="D203" t="s">
        <v>884</v>
      </c>
      <c r="E203" t="s">
        <v>885</v>
      </c>
      <c r="F203" t="s">
        <v>857</v>
      </c>
      <c r="G203" t="s">
        <v>857</v>
      </c>
    </row>
    <row r="204" spans="1:7" x14ac:dyDescent="0.2">
      <c r="A204" t="s">
        <v>886</v>
      </c>
      <c r="B204" t="s">
        <v>887</v>
      </c>
      <c r="C204" t="s">
        <v>888</v>
      </c>
      <c r="D204" t="s">
        <v>889</v>
      </c>
      <c r="E204" t="s">
        <v>857</v>
      </c>
      <c r="F204" t="s">
        <v>72</v>
      </c>
      <c r="G204" t="s">
        <v>98</v>
      </c>
    </row>
    <row r="205" spans="1:7" x14ac:dyDescent="0.2">
      <c r="A205" t="s">
        <v>890</v>
      </c>
      <c r="B205" t="s">
        <v>891</v>
      </c>
      <c r="C205" t="s">
        <v>892</v>
      </c>
      <c r="D205" t="s">
        <v>893</v>
      </c>
      <c r="E205" t="s">
        <v>857</v>
      </c>
      <c r="F205" t="s">
        <v>72</v>
      </c>
      <c r="G205" t="s">
        <v>103</v>
      </c>
    </row>
    <row r="206" spans="1:7" x14ac:dyDescent="0.2">
      <c r="A206" t="s">
        <v>894</v>
      </c>
      <c r="B206" t="s">
        <v>895</v>
      </c>
      <c r="C206" t="s">
        <v>896</v>
      </c>
      <c r="D206" t="s">
        <v>897</v>
      </c>
      <c r="E206" t="s">
        <v>857</v>
      </c>
      <c r="F206" t="s">
        <v>72</v>
      </c>
      <c r="G206" t="s">
        <v>108</v>
      </c>
    </row>
    <row r="207" spans="1:7" x14ac:dyDescent="0.2">
      <c r="A207" t="s">
        <v>898</v>
      </c>
      <c r="B207" t="s">
        <v>899</v>
      </c>
      <c r="C207" t="s">
        <v>900</v>
      </c>
      <c r="D207" t="s">
        <v>901</v>
      </c>
      <c r="E207" t="s">
        <v>857</v>
      </c>
      <c r="F207" t="s">
        <v>72</v>
      </c>
      <c r="G207" t="s">
        <v>113</v>
      </c>
    </row>
    <row r="208" spans="1:7" x14ac:dyDescent="0.2">
      <c r="A208" t="s">
        <v>902</v>
      </c>
      <c r="B208" t="s">
        <v>903</v>
      </c>
      <c r="C208" t="s">
        <v>904</v>
      </c>
      <c r="D208" t="s">
        <v>905</v>
      </c>
      <c r="E208" t="s">
        <v>857</v>
      </c>
      <c r="F208" t="s">
        <v>72</v>
      </c>
      <c r="G208" t="s">
        <v>118</v>
      </c>
    </row>
    <row r="209" spans="1:7" x14ac:dyDescent="0.2">
      <c r="A209" t="s">
        <v>906</v>
      </c>
      <c r="B209" t="s">
        <v>907</v>
      </c>
      <c r="C209" t="s">
        <v>908</v>
      </c>
      <c r="D209" t="s">
        <v>909</v>
      </c>
      <c r="E209" t="s">
        <v>857</v>
      </c>
      <c r="F209" t="s">
        <v>72</v>
      </c>
      <c r="G209" t="s">
        <v>123</v>
      </c>
    </row>
    <row r="210" spans="1:7" x14ac:dyDescent="0.2">
      <c r="A210" t="s">
        <v>910</v>
      </c>
      <c r="B210" t="s">
        <v>911</v>
      </c>
      <c r="C210" t="s">
        <v>912</v>
      </c>
      <c r="D210" t="s">
        <v>913</v>
      </c>
      <c r="E210" t="s">
        <v>857</v>
      </c>
      <c r="F210" t="s">
        <v>72</v>
      </c>
      <c r="G210" t="s">
        <v>128</v>
      </c>
    </row>
    <row r="211" spans="1:7" x14ac:dyDescent="0.2">
      <c r="A211" t="s">
        <v>914</v>
      </c>
      <c r="B211" t="s">
        <v>915</v>
      </c>
      <c r="C211" t="s">
        <v>916</v>
      </c>
      <c r="D211" t="s">
        <v>917</v>
      </c>
      <c r="E211" t="s">
        <v>857</v>
      </c>
      <c r="F211" t="s">
        <v>72</v>
      </c>
      <c r="G211" t="s">
        <v>133</v>
      </c>
    </row>
    <row r="212" spans="1:7" x14ac:dyDescent="0.2">
      <c r="A212" t="s">
        <v>918</v>
      </c>
      <c r="B212" t="s">
        <v>919</v>
      </c>
      <c r="C212" t="s">
        <v>920</v>
      </c>
      <c r="D212" t="s">
        <v>921</v>
      </c>
      <c r="E212" t="s">
        <v>857</v>
      </c>
      <c r="F212" t="s">
        <v>72</v>
      </c>
      <c r="G212" t="s">
        <v>138</v>
      </c>
    </row>
    <row r="213" spans="1:7" x14ac:dyDescent="0.2">
      <c r="A213" t="s">
        <v>922</v>
      </c>
      <c r="B213" t="s">
        <v>923</v>
      </c>
      <c r="D213" t="s">
        <v>924</v>
      </c>
      <c r="E213" t="s">
        <v>925</v>
      </c>
      <c r="F213" t="s">
        <v>857</v>
      </c>
      <c r="G213" t="s">
        <v>857</v>
      </c>
    </row>
    <row r="214" spans="1:7" x14ac:dyDescent="0.2">
      <c r="A214" t="s">
        <v>926</v>
      </c>
      <c r="B214" t="s">
        <v>927</v>
      </c>
      <c r="D214" t="s">
        <v>928</v>
      </c>
      <c r="E214" t="s">
        <v>929</v>
      </c>
      <c r="F214" t="s">
        <v>665</v>
      </c>
      <c r="G214" t="s">
        <v>665</v>
      </c>
    </row>
    <row r="215" spans="1:7" x14ac:dyDescent="0.2">
      <c r="A215" t="s">
        <v>930</v>
      </c>
      <c r="B215" t="s">
        <v>931</v>
      </c>
      <c r="C215" t="s">
        <v>932</v>
      </c>
      <c r="D215" t="s">
        <v>933</v>
      </c>
      <c r="E215" t="s">
        <v>934</v>
      </c>
      <c r="F215" t="s">
        <v>935</v>
      </c>
      <c r="G215" t="s">
        <v>935</v>
      </c>
    </row>
    <row r="216" spans="1:7" x14ac:dyDescent="0.2">
      <c r="A216" t="s">
        <v>936</v>
      </c>
      <c r="B216" t="s">
        <v>937</v>
      </c>
      <c r="C216" t="s">
        <v>938</v>
      </c>
      <c r="D216" t="s">
        <v>939</v>
      </c>
      <c r="E216" t="s">
        <v>935</v>
      </c>
      <c r="F216" t="s">
        <v>72</v>
      </c>
      <c r="G216" t="s">
        <v>73</v>
      </c>
    </row>
    <row r="217" spans="1:7" x14ac:dyDescent="0.2">
      <c r="A217" t="s">
        <v>940</v>
      </c>
      <c r="B217" t="s">
        <v>941</v>
      </c>
      <c r="C217" t="s">
        <v>942</v>
      </c>
      <c r="D217" t="s">
        <v>943</v>
      </c>
      <c r="E217" t="s">
        <v>944</v>
      </c>
      <c r="F217" t="s">
        <v>945</v>
      </c>
      <c r="G217" t="s">
        <v>945</v>
      </c>
    </row>
    <row r="218" spans="1:7" x14ac:dyDescent="0.2">
      <c r="A218" t="s">
        <v>946</v>
      </c>
      <c r="B218" t="s">
        <v>947</v>
      </c>
      <c r="C218" t="s">
        <v>947</v>
      </c>
      <c r="D218" t="s">
        <v>948</v>
      </c>
      <c r="E218" t="s">
        <v>935</v>
      </c>
      <c r="F218" t="s">
        <v>72</v>
      </c>
      <c r="G218" t="s">
        <v>78</v>
      </c>
    </row>
    <row r="219" spans="1:7" x14ac:dyDescent="0.2">
      <c r="A219" t="s">
        <v>949</v>
      </c>
      <c r="B219" t="s">
        <v>950</v>
      </c>
      <c r="C219" t="s">
        <v>951</v>
      </c>
      <c r="D219" t="s">
        <v>952</v>
      </c>
      <c r="E219" t="s">
        <v>935</v>
      </c>
      <c r="F219" t="s">
        <v>72</v>
      </c>
      <c r="G219" t="s">
        <v>83</v>
      </c>
    </row>
    <row r="220" spans="1:7" x14ac:dyDescent="0.2">
      <c r="A220" t="s">
        <v>953</v>
      </c>
      <c r="B220" t="s">
        <v>954</v>
      </c>
      <c r="C220" t="s">
        <v>955</v>
      </c>
      <c r="D220" t="s">
        <v>956</v>
      </c>
      <c r="E220" t="s">
        <v>935</v>
      </c>
      <c r="F220" t="s">
        <v>72</v>
      </c>
      <c r="G220" t="s">
        <v>88</v>
      </c>
    </row>
    <row r="221" spans="1:7" x14ac:dyDescent="0.2">
      <c r="A221" t="s">
        <v>957</v>
      </c>
      <c r="B221" t="s">
        <v>958</v>
      </c>
      <c r="C221" t="s">
        <v>959</v>
      </c>
      <c r="D221" t="s">
        <v>960</v>
      </c>
      <c r="E221" t="s">
        <v>935</v>
      </c>
      <c r="F221" t="s">
        <v>72</v>
      </c>
      <c r="G221" t="s">
        <v>93</v>
      </c>
    </row>
    <row r="222" spans="1:7" x14ac:dyDescent="0.2">
      <c r="A222" t="s">
        <v>961</v>
      </c>
      <c r="B222" t="s">
        <v>962</v>
      </c>
      <c r="C222" t="s">
        <v>963</v>
      </c>
      <c r="D222" t="s">
        <v>964</v>
      </c>
      <c r="E222" t="s">
        <v>965</v>
      </c>
      <c r="F222" t="s">
        <v>945</v>
      </c>
      <c r="G222" t="s">
        <v>945</v>
      </c>
    </row>
    <row r="223" spans="1:7" x14ac:dyDescent="0.2">
      <c r="A223" t="s">
        <v>966</v>
      </c>
      <c r="B223" t="s">
        <v>967</v>
      </c>
      <c r="C223" t="s">
        <v>968</v>
      </c>
      <c r="D223" t="s">
        <v>969</v>
      </c>
      <c r="E223" t="s">
        <v>935</v>
      </c>
      <c r="F223" t="s">
        <v>72</v>
      </c>
      <c r="G223" t="s">
        <v>98</v>
      </c>
    </row>
    <row r="224" spans="1:7" x14ac:dyDescent="0.2">
      <c r="A224" t="s">
        <v>970</v>
      </c>
      <c r="B224" t="s">
        <v>971</v>
      </c>
      <c r="C224" t="s">
        <v>972</v>
      </c>
      <c r="D224" t="s">
        <v>973</v>
      </c>
      <c r="E224" t="s">
        <v>935</v>
      </c>
      <c r="F224" t="s">
        <v>72</v>
      </c>
      <c r="G224" t="s">
        <v>103</v>
      </c>
    </row>
    <row r="225" spans="1:7" x14ac:dyDescent="0.2">
      <c r="A225" t="s">
        <v>974</v>
      </c>
      <c r="B225" t="s">
        <v>975</v>
      </c>
      <c r="C225" t="s">
        <v>976</v>
      </c>
      <c r="D225" t="s">
        <v>977</v>
      </c>
      <c r="E225" t="s">
        <v>935</v>
      </c>
      <c r="F225" t="s">
        <v>72</v>
      </c>
      <c r="G225" t="s">
        <v>108</v>
      </c>
    </row>
    <row r="226" spans="1:7" x14ac:dyDescent="0.2">
      <c r="A226" t="s">
        <v>978</v>
      </c>
      <c r="B226" t="s">
        <v>979</v>
      </c>
      <c r="C226" t="s">
        <v>980</v>
      </c>
      <c r="D226" t="s">
        <v>981</v>
      </c>
      <c r="E226" t="s">
        <v>935</v>
      </c>
      <c r="F226" t="s">
        <v>72</v>
      </c>
      <c r="G226" t="s">
        <v>113</v>
      </c>
    </row>
    <row r="227" spans="1:7" x14ac:dyDescent="0.2">
      <c r="A227" t="s">
        <v>982</v>
      </c>
      <c r="B227" t="s">
        <v>983</v>
      </c>
      <c r="C227" t="s">
        <v>984</v>
      </c>
      <c r="D227" t="s">
        <v>985</v>
      </c>
      <c r="E227" t="s">
        <v>935</v>
      </c>
      <c r="F227" t="s">
        <v>72</v>
      </c>
      <c r="G227" t="s">
        <v>118</v>
      </c>
    </row>
    <row r="228" spans="1:7" x14ac:dyDescent="0.2">
      <c r="A228" t="s">
        <v>986</v>
      </c>
      <c r="B228" t="s">
        <v>987</v>
      </c>
      <c r="C228" t="s">
        <v>988</v>
      </c>
      <c r="D228" t="s">
        <v>989</v>
      </c>
      <c r="E228" t="s">
        <v>935</v>
      </c>
      <c r="F228" t="s">
        <v>72</v>
      </c>
      <c r="G228" t="s">
        <v>123</v>
      </c>
    </row>
    <row r="229" spans="1:7" x14ac:dyDescent="0.2">
      <c r="A229" t="s">
        <v>990</v>
      </c>
      <c r="B229" t="s">
        <v>991</v>
      </c>
      <c r="C229" t="s">
        <v>992</v>
      </c>
      <c r="D229" t="s">
        <v>993</v>
      </c>
      <c r="E229" t="s">
        <v>935</v>
      </c>
      <c r="F229" t="s">
        <v>72</v>
      </c>
      <c r="G229" t="s">
        <v>128</v>
      </c>
    </row>
    <row r="230" spans="1:7" x14ac:dyDescent="0.2">
      <c r="A230" t="s">
        <v>994</v>
      </c>
      <c r="B230" t="s">
        <v>995</v>
      </c>
      <c r="C230" t="s">
        <v>996</v>
      </c>
      <c r="D230" t="s">
        <v>997</v>
      </c>
      <c r="E230" t="s">
        <v>935</v>
      </c>
      <c r="F230" t="s">
        <v>72</v>
      </c>
      <c r="G230" t="s">
        <v>133</v>
      </c>
    </row>
    <row r="231" spans="1:7" x14ac:dyDescent="0.2">
      <c r="A231" t="s">
        <v>998</v>
      </c>
      <c r="B231" t="s">
        <v>999</v>
      </c>
      <c r="C231" t="s">
        <v>1000</v>
      </c>
      <c r="D231" t="s">
        <v>1001</v>
      </c>
      <c r="E231" t="s">
        <v>935</v>
      </c>
      <c r="F231" t="s">
        <v>72</v>
      </c>
      <c r="G231" t="s">
        <v>138</v>
      </c>
    </row>
    <row r="232" spans="1:7" x14ac:dyDescent="0.2">
      <c r="A232" t="s">
        <v>1002</v>
      </c>
      <c r="B232" t="s">
        <v>1003</v>
      </c>
      <c r="C232" t="s">
        <v>1004</v>
      </c>
      <c r="D232" t="s">
        <v>1005</v>
      </c>
      <c r="E232" t="s">
        <v>1006</v>
      </c>
      <c r="F232" t="s">
        <v>945</v>
      </c>
      <c r="G232" t="s">
        <v>945</v>
      </c>
    </row>
    <row r="233" spans="1:7" x14ac:dyDescent="0.2">
      <c r="A233" t="s">
        <v>1007</v>
      </c>
      <c r="B233" t="s">
        <v>1008</v>
      </c>
      <c r="C233" t="s">
        <v>1009</v>
      </c>
      <c r="D233" t="s">
        <v>1010</v>
      </c>
      <c r="E233" t="s">
        <v>143</v>
      </c>
      <c r="F233" t="s">
        <v>1011</v>
      </c>
      <c r="G233" t="s">
        <v>1011</v>
      </c>
    </row>
    <row r="234" spans="1:7" x14ac:dyDescent="0.2">
      <c r="A234" t="s">
        <v>1012</v>
      </c>
      <c r="B234" t="s">
        <v>1013</v>
      </c>
      <c r="C234" t="s">
        <v>1014</v>
      </c>
      <c r="D234" t="s">
        <v>1015</v>
      </c>
      <c r="E234" t="s">
        <v>143</v>
      </c>
      <c r="F234" t="s">
        <v>144</v>
      </c>
      <c r="G234" t="s">
        <v>145</v>
      </c>
    </row>
    <row r="235" spans="1:7" x14ac:dyDescent="0.2">
      <c r="A235" t="s">
        <v>1016</v>
      </c>
      <c r="B235" t="s">
        <v>1017</v>
      </c>
      <c r="C235" t="s">
        <v>1018</v>
      </c>
      <c r="D235" t="s">
        <v>1019</v>
      </c>
      <c r="E235" t="s">
        <v>143</v>
      </c>
      <c r="F235" t="s">
        <v>144</v>
      </c>
      <c r="G235" t="s">
        <v>150</v>
      </c>
    </row>
    <row r="236" spans="1:7" x14ac:dyDescent="0.2">
      <c r="A236" t="s">
        <v>1020</v>
      </c>
      <c r="B236" t="s">
        <v>1021</v>
      </c>
      <c r="C236" t="s">
        <v>1022</v>
      </c>
      <c r="D236" t="s">
        <v>1023</v>
      </c>
      <c r="E236" t="s">
        <v>143</v>
      </c>
      <c r="F236" t="s">
        <v>144</v>
      </c>
      <c r="G236" t="s">
        <v>155</v>
      </c>
    </row>
    <row r="237" spans="1:7" x14ac:dyDescent="0.2">
      <c r="A237" t="s">
        <v>1024</v>
      </c>
      <c r="B237" t="s">
        <v>1025</v>
      </c>
      <c r="C237" t="s">
        <v>1026</v>
      </c>
      <c r="D237" t="s">
        <v>1027</v>
      </c>
      <c r="E237" t="s">
        <v>143</v>
      </c>
      <c r="F237" t="s">
        <v>144</v>
      </c>
      <c r="G237" t="s">
        <v>160</v>
      </c>
    </row>
    <row r="238" spans="1:7" x14ac:dyDescent="0.2">
      <c r="A238" t="s">
        <v>1028</v>
      </c>
      <c r="B238" t="s">
        <v>1029</v>
      </c>
      <c r="C238" t="s">
        <v>1030</v>
      </c>
      <c r="D238" t="s">
        <v>1031</v>
      </c>
      <c r="E238" t="s">
        <v>143</v>
      </c>
      <c r="F238" t="s">
        <v>144</v>
      </c>
      <c r="G238" t="s">
        <v>165</v>
      </c>
    </row>
    <row r="239" spans="1:7" x14ac:dyDescent="0.2">
      <c r="A239" t="s">
        <v>1032</v>
      </c>
      <c r="B239" t="s">
        <v>1033</v>
      </c>
      <c r="C239" t="s">
        <v>1034</v>
      </c>
      <c r="D239" t="s">
        <v>1035</v>
      </c>
      <c r="E239" t="s">
        <v>143</v>
      </c>
      <c r="F239" t="s">
        <v>144</v>
      </c>
      <c r="G239" t="s">
        <v>170</v>
      </c>
    </row>
    <row r="240" spans="1:7" x14ac:dyDescent="0.2">
      <c r="A240" t="s">
        <v>1036</v>
      </c>
      <c r="B240" t="s">
        <v>1037</v>
      </c>
      <c r="C240" t="s">
        <v>1038</v>
      </c>
      <c r="D240" t="s">
        <v>1039</v>
      </c>
      <c r="E240" t="s">
        <v>143</v>
      </c>
      <c r="F240" t="s">
        <v>144</v>
      </c>
      <c r="G240" t="s">
        <v>175</v>
      </c>
    </row>
    <row r="241" spans="1:7" x14ac:dyDescent="0.2">
      <c r="A241" t="s">
        <v>1040</v>
      </c>
      <c r="B241" t="s">
        <v>1041</v>
      </c>
      <c r="C241" t="s">
        <v>1042</v>
      </c>
      <c r="D241" t="s">
        <v>1043</v>
      </c>
      <c r="E241" t="s">
        <v>143</v>
      </c>
      <c r="F241" t="s">
        <v>144</v>
      </c>
      <c r="G241" t="s">
        <v>180</v>
      </c>
    </row>
    <row r="242" spans="1:7" x14ac:dyDescent="0.2">
      <c r="A242" t="s">
        <v>1044</v>
      </c>
      <c r="B242" t="s">
        <v>1045</v>
      </c>
      <c r="C242" t="s">
        <v>1046</v>
      </c>
      <c r="D242" t="s">
        <v>1047</v>
      </c>
      <c r="E242" t="s">
        <v>143</v>
      </c>
      <c r="F242" t="s">
        <v>144</v>
      </c>
      <c r="G242" t="s">
        <v>185</v>
      </c>
    </row>
    <row r="243" spans="1:7" x14ac:dyDescent="0.2">
      <c r="A243" t="s">
        <v>1048</v>
      </c>
      <c r="B243" t="s">
        <v>1049</v>
      </c>
      <c r="C243" t="s">
        <v>1050</v>
      </c>
      <c r="D243" t="s">
        <v>1051</v>
      </c>
      <c r="E243" t="s">
        <v>143</v>
      </c>
      <c r="F243" t="s">
        <v>144</v>
      </c>
      <c r="G243" t="s">
        <v>190</v>
      </c>
    </row>
    <row r="244" spans="1:7" x14ac:dyDescent="0.2">
      <c r="A244" t="s">
        <v>1052</v>
      </c>
      <c r="B244" t="s">
        <v>1053</v>
      </c>
      <c r="C244" t="s">
        <v>1054</v>
      </c>
      <c r="D244" t="s">
        <v>1055</v>
      </c>
      <c r="E244" t="s">
        <v>143</v>
      </c>
      <c r="F244" t="s">
        <v>144</v>
      </c>
      <c r="G244" t="s">
        <v>195</v>
      </c>
    </row>
    <row r="245" spans="1:7" x14ac:dyDescent="0.2">
      <c r="A245" t="s">
        <v>1056</v>
      </c>
      <c r="B245" t="s">
        <v>1057</v>
      </c>
      <c r="C245" t="s">
        <v>1058</v>
      </c>
      <c r="D245" t="s">
        <v>1059</v>
      </c>
      <c r="E245" t="s">
        <v>143</v>
      </c>
      <c r="F245" t="s">
        <v>144</v>
      </c>
      <c r="G245" t="s">
        <v>200</v>
      </c>
    </row>
    <row r="246" spans="1:7" x14ac:dyDescent="0.2">
      <c r="A246" t="s">
        <v>1060</v>
      </c>
      <c r="B246" t="s">
        <v>1061</v>
      </c>
      <c r="C246" t="s">
        <v>1062</v>
      </c>
      <c r="D246" t="s">
        <v>1063</v>
      </c>
      <c r="E246" t="s">
        <v>143</v>
      </c>
      <c r="F246" t="s">
        <v>144</v>
      </c>
      <c r="G246" t="s">
        <v>205</v>
      </c>
    </row>
    <row r="247" spans="1:7" x14ac:dyDescent="0.2">
      <c r="A247" t="s">
        <v>1064</v>
      </c>
      <c r="B247" t="s">
        <v>1065</v>
      </c>
      <c r="C247" t="s">
        <v>1066</v>
      </c>
      <c r="D247" t="s">
        <v>1067</v>
      </c>
      <c r="E247" t="s">
        <v>143</v>
      </c>
      <c r="F247" t="s">
        <v>144</v>
      </c>
      <c r="G247" t="s">
        <v>210</v>
      </c>
    </row>
    <row r="248" spans="1:7" x14ac:dyDescent="0.2">
      <c r="A248" t="s">
        <v>1068</v>
      </c>
      <c r="B248" t="s">
        <v>1069</v>
      </c>
      <c r="C248" t="s">
        <v>1070</v>
      </c>
      <c r="D248" t="s">
        <v>1071</v>
      </c>
      <c r="E248" t="s">
        <v>1069</v>
      </c>
      <c r="F248" t="s">
        <v>30</v>
      </c>
      <c r="G248" t="s">
        <v>651</v>
      </c>
    </row>
    <row r="249" spans="1:7" x14ac:dyDescent="0.2">
      <c r="A249" t="s">
        <v>1072</v>
      </c>
      <c r="B249" t="s">
        <v>1073</v>
      </c>
      <c r="C249" t="s">
        <v>1074</v>
      </c>
      <c r="D249" t="s">
        <v>1075</v>
      </c>
      <c r="E249" t="s">
        <v>1073</v>
      </c>
      <c r="F249" t="s">
        <v>30</v>
      </c>
      <c r="G249" t="s">
        <v>593</v>
      </c>
    </row>
    <row r="250" spans="1:7" x14ac:dyDescent="0.2">
      <c r="A250" t="s">
        <v>1076</v>
      </c>
      <c r="B250" t="s">
        <v>1077</v>
      </c>
      <c r="D250" t="s">
        <v>1078</v>
      </c>
      <c r="E250" t="s">
        <v>1079</v>
      </c>
      <c r="F250" t="s">
        <v>346</v>
      </c>
      <c r="G250" t="s">
        <v>346</v>
      </c>
    </row>
    <row r="251" spans="1:7" x14ac:dyDescent="0.2">
      <c r="C251" t="s">
        <v>1080</v>
      </c>
    </row>
    <row r="252" spans="1:7" x14ac:dyDescent="0.2">
      <c r="C252" t="s">
        <v>1081</v>
      </c>
    </row>
    <row r="253" spans="1:7" x14ac:dyDescent="0.2">
      <c r="C253" t="s">
        <v>1082</v>
      </c>
    </row>
    <row r="254" spans="1:7" x14ac:dyDescent="0.2">
      <c r="C254" t="s">
        <v>1083</v>
      </c>
      <c r="D254" t="s">
        <v>1084</v>
      </c>
      <c r="E254" t="s">
        <v>1085</v>
      </c>
      <c r="F254" t="s">
        <v>341</v>
      </c>
      <c r="G254" t="s">
        <v>341</v>
      </c>
    </row>
    <row r="255" spans="1:7" x14ac:dyDescent="0.2">
      <c r="C255" t="s">
        <v>1086</v>
      </c>
    </row>
    <row r="256" spans="1:7" x14ac:dyDescent="0.2">
      <c r="C256" t="s">
        <v>1087</v>
      </c>
    </row>
    <row r="257" spans="3:4" x14ac:dyDescent="0.2">
      <c r="C257" t="s">
        <v>1088</v>
      </c>
    </row>
    <row r="258" spans="3:4" x14ac:dyDescent="0.2">
      <c r="C258" t="s">
        <v>1089</v>
      </c>
    </row>
    <row r="259" spans="3:4" x14ac:dyDescent="0.2">
      <c r="C259" t="s">
        <v>1090</v>
      </c>
    </row>
    <row r="260" spans="3:4" x14ac:dyDescent="0.2">
      <c r="C260" t="s">
        <v>1091</v>
      </c>
    </row>
    <row r="261" spans="3:4" x14ac:dyDescent="0.2">
      <c r="C261" t="s">
        <v>1092</v>
      </c>
    </row>
    <row r="262" spans="3:4" x14ac:dyDescent="0.2">
      <c r="C262" t="s">
        <v>16</v>
      </c>
      <c r="D262" t="s">
        <v>17</v>
      </c>
    </row>
    <row r="263" spans="3:4" x14ac:dyDescent="0.2">
      <c r="C263" t="s">
        <v>24</v>
      </c>
      <c r="D263" t="s">
        <v>25</v>
      </c>
    </row>
    <row r="264" spans="3:4" x14ac:dyDescent="0.2">
      <c r="C264" t="s">
        <v>28</v>
      </c>
      <c r="D264" t="s">
        <v>29</v>
      </c>
    </row>
    <row r="265" spans="3:4" x14ac:dyDescent="0.2">
      <c r="C265" t="s">
        <v>33</v>
      </c>
      <c r="D265" t="s">
        <v>34</v>
      </c>
    </row>
    <row r="266" spans="3:4" x14ac:dyDescent="0.2">
      <c r="C266" t="s">
        <v>38</v>
      </c>
    </row>
    <row r="267" spans="3:4" x14ac:dyDescent="0.2">
      <c r="C267" t="s">
        <v>44</v>
      </c>
      <c r="D267" t="s">
        <v>45</v>
      </c>
    </row>
    <row r="268" spans="3:4" x14ac:dyDescent="0.2">
      <c r="C268" t="s">
        <v>48</v>
      </c>
      <c r="D268" t="s">
        <v>49</v>
      </c>
    </row>
    <row r="269" spans="3:4" x14ac:dyDescent="0.2">
      <c r="C269" t="s">
        <v>11</v>
      </c>
      <c r="D269" t="s">
        <v>12</v>
      </c>
    </row>
    <row r="270" spans="3:4" x14ac:dyDescent="0.2">
      <c r="C270" t="s">
        <v>339</v>
      </c>
      <c r="D270" t="s">
        <v>340</v>
      </c>
    </row>
    <row r="271" spans="3:4" x14ac:dyDescent="0.2">
      <c r="C271" t="s">
        <v>1080</v>
      </c>
    </row>
    <row r="272" spans="3:4" x14ac:dyDescent="0.2">
      <c r="C272" t="s">
        <v>1086</v>
      </c>
    </row>
    <row r="273" spans="3:4" x14ac:dyDescent="0.2">
      <c r="C273" t="s">
        <v>419</v>
      </c>
      <c r="D273" t="s">
        <v>420</v>
      </c>
    </row>
    <row r="274" spans="3:4" x14ac:dyDescent="0.2">
      <c r="C274" t="s">
        <v>1081</v>
      </c>
    </row>
    <row r="275" spans="3:4" x14ac:dyDescent="0.2">
      <c r="C275" t="s">
        <v>1087</v>
      </c>
    </row>
    <row r="276" spans="3:4" x14ac:dyDescent="0.2">
      <c r="C276" t="s">
        <v>429</v>
      </c>
    </row>
    <row r="277" spans="3:4" x14ac:dyDescent="0.2">
      <c r="C277" t="s">
        <v>434</v>
      </c>
    </row>
    <row r="278" spans="3:4" x14ac:dyDescent="0.2">
      <c r="C278" t="s">
        <v>841</v>
      </c>
    </row>
    <row r="279" spans="3:4" x14ac:dyDescent="0.2">
      <c r="C279" t="s">
        <v>1082</v>
      </c>
    </row>
    <row r="280" spans="3:4" x14ac:dyDescent="0.2">
      <c r="C280" t="s">
        <v>627</v>
      </c>
      <c r="D280" t="s">
        <v>628</v>
      </c>
    </row>
    <row r="281" spans="3:4" x14ac:dyDescent="0.2">
      <c r="C281" t="s">
        <v>632</v>
      </c>
      <c r="D281" t="s">
        <v>633</v>
      </c>
    </row>
    <row r="282" spans="3:4" x14ac:dyDescent="0.2">
      <c r="C282" t="s">
        <v>636</v>
      </c>
      <c r="D282" t="s">
        <v>637</v>
      </c>
    </row>
    <row r="283" spans="3:4" x14ac:dyDescent="0.2">
      <c r="C283" t="s">
        <v>645</v>
      </c>
      <c r="D283" t="s">
        <v>646</v>
      </c>
    </row>
    <row r="284" spans="3:4" x14ac:dyDescent="0.2">
      <c r="C284" t="s">
        <v>850</v>
      </c>
    </row>
    <row r="285" spans="3:4" x14ac:dyDescent="0.2">
      <c r="C285" t="s">
        <v>565</v>
      </c>
      <c r="D285" t="s">
        <v>566</v>
      </c>
    </row>
    <row r="286" spans="3:4" x14ac:dyDescent="0.2">
      <c r="C286" t="s">
        <v>569</v>
      </c>
      <c r="D286" t="s">
        <v>570</v>
      </c>
    </row>
    <row r="287" spans="3:4" x14ac:dyDescent="0.2">
      <c r="C287" t="s">
        <v>1083</v>
      </c>
      <c r="D287" t="s">
        <v>1084</v>
      </c>
    </row>
    <row r="288" spans="3:4" x14ac:dyDescent="0.2">
      <c r="C288" t="s">
        <v>573</v>
      </c>
      <c r="D288" t="s">
        <v>574</v>
      </c>
    </row>
    <row r="289" spans="3:4" x14ac:dyDescent="0.2">
      <c r="C289" t="s">
        <v>577</v>
      </c>
    </row>
    <row r="290" spans="3:4" x14ac:dyDescent="0.2">
      <c r="C290" t="s">
        <v>1088</v>
      </c>
      <c r="D290" t="s">
        <v>1093</v>
      </c>
    </row>
    <row r="291" spans="3:4" x14ac:dyDescent="0.2">
      <c r="C291" t="s">
        <v>1089</v>
      </c>
      <c r="D291" t="s">
        <v>1094</v>
      </c>
    </row>
    <row r="292" spans="3:4" x14ac:dyDescent="0.2">
      <c r="C292" t="s">
        <v>1090</v>
      </c>
    </row>
    <row r="293" spans="3:4" x14ac:dyDescent="0.2">
      <c r="C293" t="s">
        <v>53</v>
      </c>
    </row>
    <row r="294" spans="3:4" x14ac:dyDescent="0.2">
      <c r="C294" t="s">
        <v>942</v>
      </c>
    </row>
    <row r="295" spans="3:4" x14ac:dyDescent="0.2">
      <c r="C295" t="s">
        <v>587</v>
      </c>
      <c r="D295" t="s">
        <v>588</v>
      </c>
    </row>
    <row r="296" spans="3:4" x14ac:dyDescent="0.2">
      <c r="C296" t="s">
        <v>76</v>
      </c>
    </row>
    <row r="297" spans="3:4" x14ac:dyDescent="0.2">
      <c r="C297" t="s">
        <v>148</v>
      </c>
    </row>
    <row r="298" spans="3:4" x14ac:dyDescent="0.2">
      <c r="C298" t="s">
        <v>223</v>
      </c>
    </row>
    <row r="299" spans="3:4" x14ac:dyDescent="0.2">
      <c r="C299" t="s">
        <v>287</v>
      </c>
      <c r="D299" t="s">
        <v>288</v>
      </c>
    </row>
    <row r="300" spans="3:4" x14ac:dyDescent="0.2">
      <c r="C300" t="s">
        <v>449</v>
      </c>
      <c r="D300" t="s">
        <v>450</v>
      </c>
    </row>
    <row r="301" spans="3:4" x14ac:dyDescent="0.2">
      <c r="C301" t="s">
        <v>513</v>
      </c>
      <c r="D301" t="s">
        <v>514</v>
      </c>
    </row>
    <row r="302" spans="3:4" x14ac:dyDescent="0.2">
      <c r="C302" t="s">
        <v>864</v>
      </c>
      <c r="D302" t="s">
        <v>865</v>
      </c>
    </row>
    <row r="303" spans="3:4" x14ac:dyDescent="0.2">
      <c r="C303" t="s">
        <v>359</v>
      </c>
      <c r="D303" t="s">
        <v>360</v>
      </c>
    </row>
    <row r="304" spans="3:4" x14ac:dyDescent="0.2">
      <c r="C304" t="s">
        <v>671</v>
      </c>
      <c r="D304" t="s">
        <v>672</v>
      </c>
    </row>
    <row r="305" spans="3:4" x14ac:dyDescent="0.2">
      <c r="C305" t="s">
        <v>733</v>
      </c>
      <c r="D305" t="s">
        <v>734</v>
      </c>
    </row>
    <row r="306" spans="3:4" x14ac:dyDescent="0.2">
      <c r="C306" t="s">
        <v>947</v>
      </c>
      <c r="D306" t="s">
        <v>948</v>
      </c>
    </row>
    <row r="307" spans="3:4" x14ac:dyDescent="0.2">
      <c r="C307" t="s">
        <v>1018</v>
      </c>
      <c r="D307" t="s">
        <v>1019</v>
      </c>
    </row>
    <row r="308" spans="3:4" x14ac:dyDescent="0.2">
      <c r="C308" t="s">
        <v>591</v>
      </c>
      <c r="D308" t="s">
        <v>592</v>
      </c>
    </row>
    <row r="309" spans="3:4" x14ac:dyDescent="0.2">
      <c r="C309" t="s">
        <v>608</v>
      </c>
    </row>
    <row r="310" spans="3:4" x14ac:dyDescent="0.2">
      <c r="C310" t="s">
        <v>613</v>
      </c>
    </row>
    <row r="311" spans="3:4" x14ac:dyDescent="0.2">
      <c r="C311" t="s">
        <v>596</v>
      </c>
      <c r="D311" t="s">
        <v>597</v>
      </c>
    </row>
    <row r="312" spans="3:4" x14ac:dyDescent="0.2">
      <c r="C312" t="s">
        <v>1091</v>
      </c>
    </row>
    <row r="313" spans="3:4" x14ac:dyDescent="0.2">
      <c r="C313" t="s">
        <v>59</v>
      </c>
    </row>
    <row r="314" spans="3:4" x14ac:dyDescent="0.2">
      <c r="C314" t="s">
        <v>963</v>
      </c>
    </row>
    <row r="315" spans="3:4" x14ac:dyDescent="0.2">
      <c r="C315" t="s">
        <v>604</v>
      </c>
      <c r="D315" t="s">
        <v>605</v>
      </c>
    </row>
    <row r="316" spans="3:4" x14ac:dyDescent="0.2">
      <c r="C316" t="s">
        <v>81</v>
      </c>
    </row>
    <row r="317" spans="3:4" x14ac:dyDescent="0.2">
      <c r="C317" t="s">
        <v>153</v>
      </c>
    </row>
    <row r="318" spans="3:4" x14ac:dyDescent="0.2">
      <c r="C318" t="s">
        <v>227</v>
      </c>
    </row>
    <row r="319" spans="3:4" x14ac:dyDescent="0.2">
      <c r="C319" t="s">
        <v>291</v>
      </c>
      <c r="D319" t="s">
        <v>292</v>
      </c>
    </row>
    <row r="320" spans="3:4" x14ac:dyDescent="0.2">
      <c r="C320" t="s">
        <v>453</v>
      </c>
      <c r="D320" t="s">
        <v>454</v>
      </c>
    </row>
    <row r="321" spans="3:4" x14ac:dyDescent="0.2">
      <c r="C321" t="s">
        <v>517</v>
      </c>
      <c r="D321" t="s">
        <v>518</v>
      </c>
    </row>
    <row r="322" spans="3:4" x14ac:dyDescent="0.2">
      <c r="C322" t="s">
        <v>868</v>
      </c>
      <c r="D322" t="s">
        <v>869</v>
      </c>
    </row>
    <row r="323" spans="3:4" x14ac:dyDescent="0.2">
      <c r="C323" t="s">
        <v>363</v>
      </c>
      <c r="D323" t="s">
        <v>364</v>
      </c>
    </row>
    <row r="324" spans="3:4" x14ac:dyDescent="0.2">
      <c r="C324" t="s">
        <v>675</v>
      </c>
      <c r="D324" t="s">
        <v>676</v>
      </c>
    </row>
    <row r="325" spans="3:4" x14ac:dyDescent="0.2">
      <c r="C325" t="s">
        <v>737</v>
      </c>
      <c r="D325" t="s">
        <v>738</v>
      </c>
    </row>
    <row r="326" spans="3:4" x14ac:dyDescent="0.2">
      <c r="C326" t="s">
        <v>951</v>
      </c>
      <c r="D326" t="s">
        <v>952</v>
      </c>
    </row>
    <row r="327" spans="3:4" x14ac:dyDescent="0.2">
      <c r="C327" t="s">
        <v>1022</v>
      </c>
      <c r="D327" t="s">
        <v>1023</v>
      </c>
    </row>
    <row r="328" spans="3:4" x14ac:dyDescent="0.2">
      <c r="C328" t="s">
        <v>86</v>
      </c>
    </row>
    <row r="329" spans="3:4" x14ac:dyDescent="0.2">
      <c r="C329" t="s">
        <v>158</v>
      </c>
    </row>
    <row r="330" spans="3:4" x14ac:dyDescent="0.2">
      <c r="C330" t="s">
        <v>231</v>
      </c>
    </row>
    <row r="331" spans="3:4" x14ac:dyDescent="0.2">
      <c r="C331" t="s">
        <v>295</v>
      </c>
      <c r="D331" t="s">
        <v>296</v>
      </c>
    </row>
    <row r="332" spans="3:4" x14ac:dyDescent="0.2">
      <c r="C332" t="s">
        <v>457</v>
      </c>
      <c r="D332" t="s">
        <v>458</v>
      </c>
    </row>
    <row r="333" spans="3:4" x14ac:dyDescent="0.2">
      <c r="C333" t="s">
        <v>521</v>
      </c>
      <c r="D333" t="s">
        <v>522</v>
      </c>
    </row>
    <row r="334" spans="3:4" x14ac:dyDescent="0.2">
      <c r="C334" t="s">
        <v>872</v>
      </c>
      <c r="D334" t="s">
        <v>873</v>
      </c>
    </row>
    <row r="335" spans="3:4" x14ac:dyDescent="0.2">
      <c r="C335" t="s">
        <v>367</v>
      </c>
      <c r="D335" t="s">
        <v>368</v>
      </c>
    </row>
    <row r="336" spans="3:4" x14ac:dyDescent="0.2">
      <c r="C336" t="s">
        <v>679</v>
      </c>
      <c r="D336" t="s">
        <v>680</v>
      </c>
    </row>
    <row r="337" spans="3:4" x14ac:dyDescent="0.2">
      <c r="C337" t="s">
        <v>741</v>
      </c>
      <c r="D337" t="s">
        <v>742</v>
      </c>
    </row>
    <row r="338" spans="3:4" x14ac:dyDescent="0.2">
      <c r="C338" t="s">
        <v>955</v>
      </c>
      <c r="D338" t="s">
        <v>956</v>
      </c>
    </row>
    <row r="339" spans="3:4" x14ac:dyDescent="0.2">
      <c r="C339" t="s">
        <v>1026</v>
      </c>
      <c r="D339" t="s">
        <v>1027</v>
      </c>
    </row>
    <row r="340" spans="3:4" x14ac:dyDescent="0.2">
      <c r="C340" t="s">
        <v>91</v>
      </c>
    </row>
    <row r="341" spans="3:4" x14ac:dyDescent="0.2">
      <c r="C341" t="s">
        <v>163</v>
      </c>
    </row>
    <row r="342" spans="3:4" x14ac:dyDescent="0.2">
      <c r="C342" t="s">
        <v>235</v>
      </c>
    </row>
    <row r="343" spans="3:4" x14ac:dyDescent="0.2">
      <c r="C343" t="s">
        <v>299</v>
      </c>
      <c r="D343" t="s">
        <v>300</v>
      </c>
    </row>
    <row r="344" spans="3:4" x14ac:dyDescent="0.2">
      <c r="C344" t="s">
        <v>461</v>
      </c>
      <c r="D344" t="s">
        <v>462</v>
      </c>
    </row>
    <row r="345" spans="3:4" x14ac:dyDescent="0.2">
      <c r="C345" t="s">
        <v>525</v>
      </c>
      <c r="D345" t="s">
        <v>526</v>
      </c>
    </row>
    <row r="346" spans="3:4" x14ac:dyDescent="0.2">
      <c r="C346" t="s">
        <v>876</v>
      </c>
      <c r="D346" t="s">
        <v>877</v>
      </c>
    </row>
    <row r="347" spans="3:4" x14ac:dyDescent="0.2">
      <c r="C347" t="s">
        <v>371</v>
      </c>
      <c r="D347" t="s">
        <v>372</v>
      </c>
    </row>
    <row r="348" spans="3:4" x14ac:dyDescent="0.2">
      <c r="C348" t="s">
        <v>683</v>
      </c>
      <c r="D348" t="s">
        <v>684</v>
      </c>
    </row>
    <row r="349" spans="3:4" x14ac:dyDescent="0.2">
      <c r="C349" t="s">
        <v>745</v>
      </c>
      <c r="D349" t="s">
        <v>746</v>
      </c>
    </row>
    <row r="350" spans="3:4" x14ac:dyDescent="0.2">
      <c r="C350" t="s">
        <v>959</v>
      </c>
      <c r="D350" t="s">
        <v>960</v>
      </c>
    </row>
    <row r="351" spans="3:4" x14ac:dyDescent="0.2">
      <c r="C351" t="s">
        <v>1030</v>
      </c>
      <c r="D351" t="s">
        <v>1031</v>
      </c>
    </row>
    <row r="352" spans="3:4" x14ac:dyDescent="0.2">
      <c r="C352" t="s">
        <v>96</v>
      </c>
    </row>
    <row r="353" spans="3:4" x14ac:dyDescent="0.2">
      <c r="C353" t="s">
        <v>168</v>
      </c>
    </row>
    <row r="354" spans="3:4" x14ac:dyDescent="0.2">
      <c r="C354" t="s">
        <v>243</v>
      </c>
    </row>
    <row r="355" spans="3:4" x14ac:dyDescent="0.2">
      <c r="C355" t="s">
        <v>303</v>
      </c>
      <c r="D355" t="s">
        <v>304</v>
      </c>
    </row>
    <row r="356" spans="3:4" x14ac:dyDescent="0.2">
      <c r="C356" t="s">
        <v>469</v>
      </c>
      <c r="D356" t="s">
        <v>470</v>
      </c>
    </row>
    <row r="357" spans="3:4" x14ac:dyDescent="0.2">
      <c r="C357" t="s">
        <v>529</v>
      </c>
      <c r="D357" t="s">
        <v>530</v>
      </c>
    </row>
    <row r="358" spans="3:4" x14ac:dyDescent="0.2">
      <c r="C358" t="s">
        <v>888</v>
      </c>
      <c r="D358" t="s">
        <v>889</v>
      </c>
    </row>
    <row r="359" spans="3:4" x14ac:dyDescent="0.2">
      <c r="C359" t="s">
        <v>379</v>
      </c>
      <c r="D359" t="s">
        <v>380</v>
      </c>
    </row>
    <row r="360" spans="3:4" x14ac:dyDescent="0.2">
      <c r="C360" t="s">
        <v>690</v>
      </c>
      <c r="D360" t="s">
        <v>691</v>
      </c>
    </row>
    <row r="361" spans="3:4" x14ac:dyDescent="0.2">
      <c r="C361" t="s">
        <v>749</v>
      </c>
      <c r="D361" t="s">
        <v>750</v>
      </c>
    </row>
    <row r="362" spans="3:4" x14ac:dyDescent="0.2">
      <c r="C362" t="s">
        <v>968</v>
      </c>
      <c r="D362" t="s">
        <v>969</v>
      </c>
    </row>
    <row r="363" spans="3:4" x14ac:dyDescent="0.2">
      <c r="C363" t="s">
        <v>1034</v>
      </c>
      <c r="D363" t="s">
        <v>1035</v>
      </c>
    </row>
    <row r="364" spans="3:4" x14ac:dyDescent="0.2">
      <c r="C364" t="s">
        <v>101</v>
      </c>
    </row>
    <row r="365" spans="3:4" x14ac:dyDescent="0.2">
      <c r="C365" t="s">
        <v>173</v>
      </c>
    </row>
    <row r="366" spans="3:4" x14ac:dyDescent="0.2">
      <c r="C366" t="s">
        <v>247</v>
      </c>
    </row>
    <row r="367" spans="3:4" x14ac:dyDescent="0.2">
      <c r="C367" t="s">
        <v>307</v>
      </c>
      <c r="D367" t="s">
        <v>308</v>
      </c>
    </row>
    <row r="368" spans="3:4" x14ac:dyDescent="0.2">
      <c r="C368" t="s">
        <v>473</v>
      </c>
      <c r="D368" t="s">
        <v>474</v>
      </c>
    </row>
    <row r="369" spans="3:4" x14ac:dyDescent="0.2">
      <c r="C369" t="s">
        <v>533</v>
      </c>
      <c r="D369" t="s">
        <v>534</v>
      </c>
    </row>
    <row r="370" spans="3:4" x14ac:dyDescent="0.2">
      <c r="C370" t="s">
        <v>892</v>
      </c>
    </row>
    <row r="371" spans="3:4" x14ac:dyDescent="0.2">
      <c r="C371" t="s">
        <v>383</v>
      </c>
      <c r="D371" t="s">
        <v>384</v>
      </c>
    </row>
    <row r="372" spans="3:4" x14ac:dyDescent="0.2">
      <c r="C372" t="s">
        <v>694</v>
      </c>
      <c r="D372" t="s">
        <v>695</v>
      </c>
    </row>
    <row r="373" spans="3:4" x14ac:dyDescent="0.2">
      <c r="C373" t="s">
        <v>753</v>
      </c>
      <c r="D373" t="s">
        <v>754</v>
      </c>
    </row>
    <row r="374" spans="3:4" x14ac:dyDescent="0.2">
      <c r="C374" t="s">
        <v>972</v>
      </c>
      <c r="D374" t="s">
        <v>973</v>
      </c>
    </row>
    <row r="375" spans="3:4" x14ac:dyDescent="0.2">
      <c r="C375" t="s">
        <v>1038</v>
      </c>
      <c r="D375" t="s">
        <v>1039</v>
      </c>
    </row>
    <row r="376" spans="3:4" x14ac:dyDescent="0.2">
      <c r="C376" t="s">
        <v>618</v>
      </c>
    </row>
    <row r="377" spans="3:4" x14ac:dyDescent="0.2">
      <c r="C377" t="s">
        <v>623</v>
      </c>
      <c r="D377" t="s">
        <v>624</v>
      </c>
    </row>
    <row r="378" spans="3:4" x14ac:dyDescent="0.2">
      <c r="C378" t="s">
        <v>106</v>
      </c>
    </row>
    <row r="379" spans="3:4" x14ac:dyDescent="0.2">
      <c r="C379" t="s">
        <v>178</v>
      </c>
    </row>
    <row r="380" spans="3:4" x14ac:dyDescent="0.2">
      <c r="C380" t="s">
        <v>251</v>
      </c>
    </row>
    <row r="381" spans="3:4" x14ac:dyDescent="0.2">
      <c r="C381" t="s">
        <v>311</v>
      </c>
      <c r="D381" t="s">
        <v>312</v>
      </c>
    </row>
    <row r="382" spans="3:4" x14ac:dyDescent="0.2">
      <c r="C382" t="s">
        <v>477</v>
      </c>
      <c r="D382" t="s">
        <v>478</v>
      </c>
    </row>
    <row r="383" spans="3:4" x14ac:dyDescent="0.2">
      <c r="C383" t="s">
        <v>537</v>
      </c>
      <c r="D383" t="s">
        <v>538</v>
      </c>
    </row>
    <row r="384" spans="3:4" x14ac:dyDescent="0.2">
      <c r="C384" t="s">
        <v>896</v>
      </c>
      <c r="D384" t="s">
        <v>897</v>
      </c>
    </row>
    <row r="385" spans="3:4" x14ac:dyDescent="0.2">
      <c r="C385" t="s">
        <v>387</v>
      </c>
      <c r="D385" t="s">
        <v>388</v>
      </c>
    </row>
    <row r="386" spans="3:4" x14ac:dyDescent="0.2">
      <c r="C386" t="s">
        <v>698</v>
      </c>
      <c r="D386" t="s">
        <v>699</v>
      </c>
    </row>
    <row r="387" spans="3:4" x14ac:dyDescent="0.2">
      <c r="C387" t="s">
        <v>757</v>
      </c>
      <c r="D387" t="s">
        <v>758</v>
      </c>
    </row>
    <row r="388" spans="3:4" x14ac:dyDescent="0.2">
      <c r="C388" t="s">
        <v>976</v>
      </c>
      <c r="D388" t="s">
        <v>977</v>
      </c>
    </row>
    <row r="389" spans="3:4" x14ac:dyDescent="0.2">
      <c r="C389" t="s">
        <v>1042</v>
      </c>
      <c r="D389" t="s">
        <v>1043</v>
      </c>
    </row>
    <row r="390" spans="3:4" x14ac:dyDescent="0.2">
      <c r="C390" t="s">
        <v>654</v>
      </c>
    </row>
    <row r="391" spans="3:4" x14ac:dyDescent="0.2">
      <c r="C391" t="s">
        <v>649</v>
      </c>
      <c r="D391" t="s">
        <v>650</v>
      </c>
    </row>
    <row r="392" spans="3:4" x14ac:dyDescent="0.2">
      <c r="C392" t="s">
        <v>785</v>
      </c>
      <c r="D392" t="s">
        <v>786</v>
      </c>
    </row>
    <row r="393" spans="3:4" x14ac:dyDescent="0.2">
      <c r="C393" t="s">
        <v>794</v>
      </c>
      <c r="D393" t="s">
        <v>795</v>
      </c>
    </row>
    <row r="394" spans="3:4" x14ac:dyDescent="0.2">
      <c r="C394" t="s">
        <v>798</v>
      </c>
      <c r="D394" t="s">
        <v>799</v>
      </c>
    </row>
    <row r="395" spans="3:4" x14ac:dyDescent="0.2">
      <c r="C395" t="s">
        <v>802</v>
      </c>
      <c r="D395" t="s">
        <v>803</v>
      </c>
    </row>
    <row r="396" spans="3:4" x14ac:dyDescent="0.2">
      <c r="C396" t="s">
        <v>819</v>
      </c>
    </row>
    <row r="397" spans="3:4" x14ac:dyDescent="0.2">
      <c r="C397" t="s">
        <v>932</v>
      </c>
    </row>
    <row r="398" spans="3:4" x14ac:dyDescent="0.2">
      <c r="C398" t="s">
        <v>807</v>
      </c>
      <c r="D398" t="s">
        <v>808</v>
      </c>
    </row>
    <row r="399" spans="3:4" x14ac:dyDescent="0.2">
      <c r="C399" t="s">
        <v>811</v>
      </c>
      <c r="D399" t="s">
        <v>812</v>
      </c>
    </row>
    <row r="400" spans="3:4" x14ac:dyDescent="0.2">
      <c r="C400" t="s">
        <v>111</v>
      </c>
    </row>
    <row r="401" spans="3:4" x14ac:dyDescent="0.2">
      <c r="C401" t="s">
        <v>183</v>
      </c>
    </row>
    <row r="402" spans="3:4" x14ac:dyDescent="0.2">
      <c r="C402" t="s">
        <v>255</v>
      </c>
    </row>
    <row r="403" spans="3:4" x14ac:dyDescent="0.2">
      <c r="C403" t="s">
        <v>315</v>
      </c>
      <c r="D403" t="s">
        <v>316</v>
      </c>
    </row>
    <row r="404" spans="3:4" x14ac:dyDescent="0.2">
      <c r="C404" t="s">
        <v>481</v>
      </c>
      <c r="D404" t="s">
        <v>482</v>
      </c>
    </row>
    <row r="405" spans="3:4" x14ac:dyDescent="0.2">
      <c r="C405" t="s">
        <v>541</v>
      </c>
      <c r="D405" t="s">
        <v>542</v>
      </c>
    </row>
    <row r="406" spans="3:4" x14ac:dyDescent="0.2">
      <c r="C406" t="s">
        <v>900</v>
      </c>
      <c r="D406" t="s">
        <v>901</v>
      </c>
    </row>
    <row r="407" spans="3:4" x14ac:dyDescent="0.2">
      <c r="C407" t="s">
        <v>391</v>
      </c>
      <c r="D407" t="s">
        <v>392</v>
      </c>
    </row>
    <row r="408" spans="3:4" x14ac:dyDescent="0.2">
      <c r="C408" t="s">
        <v>702</v>
      </c>
      <c r="D408" t="s">
        <v>703</v>
      </c>
    </row>
    <row r="409" spans="3:4" x14ac:dyDescent="0.2">
      <c r="C409" t="s">
        <v>761</v>
      </c>
      <c r="D409" t="s">
        <v>762</v>
      </c>
    </row>
    <row r="410" spans="3:4" x14ac:dyDescent="0.2">
      <c r="C410" t="s">
        <v>980</v>
      </c>
      <c r="D410" t="s">
        <v>981</v>
      </c>
    </row>
    <row r="411" spans="3:4" x14ac:dyDescent="0.2">
      <c r="C411" t="s">
        <v>1046</v>
      </c>
      <c r="D411" t="s">
        <v>1047</v>
      </c>
    </row>
    <row r="412" spans="3:4" x14ac:dyDescent="0.2">
      <c r="C412" t="s">
        <v>116</v>
      </c>
    </row>
    <row r="413" spans="3:4" x14ac:dyDescent="0.2">
      <c r="C413" t="s">
        <v>188</v>
      </c>
    </row>
    <row r="414" spans="3:4" x14ac:dyDescent="0.2">
      <c r="C414" t="s">
        <v>259</v>
      </c>
    </row>
    <row r="415" spans="3:4" x14ac:dyDescent="0.2">
      <c r="C415" t="s">
        <v>319</v>
      </c>
      <c r="D415" t="s">
        <v>320</v>
      </c>
    </row>
    <row r="416" spans="3:4" x14ac:dyDescent="0.2">
      <c r="C416" t="s">
        <v>485</v>
      </c>
      <c r="D416" t="s">
        <v>486</v>
      </c>
    </row>
    <row r="417" spans="3:4" x14ac:dyDescent="0.2">
      <c r="C417" t="s">
        <v>545</v>
      </c>
      <c r="D417" t="s">
        <v>546</v>
      </c>
    </row>
    <row r="418" spans="3:4" x14ac:dyDescent="0.2">
      <c r="C418" t="s">
        <v>904</v>
      </c>
      <c r="D418" t="s">
        <v>905</v>
      </c>
    </row>
    <row r="419" spans="3:4" x14ac:dyDescent="0.2">
      <c r="C419" t="s">
        <v>395</v>
      </c>
      <c r="D419" t="s">
        <v>396</v>
      </c>
    </row>
    <row r="420" spans="3:4" x14ac:dyDescent="0.2">
      <c r="C420" t="s">
        <v>706</v>
      </c>
      <c r="D420" t="s">
        <v>707</v>
      </c>
    </row>
    <row r="421" spans="3:4" x14ac:dyDescent="0.2">
      <c r="C421" t="s">
        <v>765</v>
      </c>
      <c r="D421" t="s">
        <v>766</v>
      </c>
    </row>
    <row r="422" spans="3:4" x14ac:dyDescent="0.2">
      <c r="C422" t="s">
        <v>984</v>
      </c>
      <c r="D422" t="s">
        <v>985</v>
      </c>
    </row>
    <row r="423" spans="3:4" x14ac:dyDescent="0.2">
      <c r="C423" t="s">
        <v>1050</v>
      </c>
      <c r="D423" t="s">
        <v>1051</v>
      </c>
    </row>
    <row r="424" spans="3:4" x14ac:dyDescent="0.2">
      <c r="C424" t="s">
        <v>815</v>
      </c>
      <c r="D424" t="s">
        <v>816</v>
      </c>
    </row>
    <row r="425" spans="3:4" x14ac:dyDescent="0.2">
      <c r="C425" t="s">
        <v>121</v>
      </c>
    </row>
    <row r="426" spans="3:4" x14ac:dyDescent="0.2">
      <c r="C426" t="s">
        <v>193</v>
      </c>
    </row>
    <row r="427" spans="3:4" x14ac:dyDescent="0.2">
      <c r="C427" t="s">
        <v>263</v>
      </c>
    </row>
    <row r="428" spans="3:4" x14ac:dyDescent="0.2">
      <c r="C428" t="s">
        <v>323</v>
      </c>
      <c r="D428" t="s">
        <v>324</v>
      </c>
    </row>
    <row r="429" spans="3:4" x14ac:dyDescent="0.2">
      <c r="C429" t="s">
        <v>489</v>
      </c>
      <c r="D429" t="s">
        <v>490</v>
      </c>
    </row>
    <row r="430" spans="3:4" x14ac:dyDescent="0.2">
      <c r="C430" t="s">
        <v>549</v>
      </c>
      <c r="D430" t="s">
        <v>550</v>
      </c>
    </row>
    <row r="431" spans="3:4" x14ac:dyDescent="0.2">
      <c r="C431" t="s">
        <v>908</v>
      </c>
      <c r="D431" t="s">
        <v>909</v>
      </c>
    </row>
    <row r="432" spans="3:4" x14ac:dyDescent="0.2">
      <c r="C432" t="s">
        <v>399</v>
      </c>
      <c r="D432" t="s">
        <v>400</v>
      </c>
    </row>
    <row r="433" spans="3:4" x14ac:dyDescent="0.2">
      <c r="C433" t="s">
        <v>710</v>
      </c>
      <c r="D433" t="s">
        <v>711</v>
      </c>
    </row>
    <row r="434" spans="3:4" x14ac:dyDescent="0.2">
      <c r="C434" t="s">
        <v>769</v>
      </c>
      <c r="D434" t="s">
        <v>770</v>
      </c>
    </row>
    <row r="435" spans="3:4" x14ac:dyDescent="0.2">
      <c r="C435" t="s">
        <v>988</v>
      </c>
      <c r="D435" t="s">
        <v>989</v>
      </c>
    </row>
    <row r="436" spans="3:4" x14ac:dyDescent="0.2">
      <c r="C436" t="s">
        <v>1054</v>
      </c>
      <c r="D436" t="s">
        <v>1055</v>
      </c>
    </row>
    <row r="437" spans="3:4" x14ac:dyDescent="0.2">
      <c r="C437" t="s">
        <v>1009</v>
      </c>
      <c r="D437" t="s">
        <v>1010</v>
      </c>
    </row>
    <row r="438" spans="3:4" x14ac:dyDescent="0.2">
      <c r="C438" t="s">
        <v>828</v>
      </c>
      <c r="D438" t="s">
        <v>829</v>
      </c>
    </row>
    <row r="439" spans="3:4" x14ac:dyDescent="0.2">
      <c r="C439" t="s">
        <v>846</v>
      </c>
      <c r="D439" t="s">
        <v>847</v>
      </c>
    </row>
    <row r="440" spans="3:4" x14ac:dyDescent="0.2">
      <c r="C440" t="s">
        <v>659</v>
      </c>
    </row>
    <row r="441" spans="3:4" x14ac:dyDescent="0.2">
      <c r="C441" t="s">
        <v>1070</v>
      </c>
      <c r="D441" t="s">
        <v>1071</v>
      </c>
    </row>
    <row r="442" spans="3:4" x14ac:dyDescent="0.2">
      <c r="C442" t="s">
        <v>423</v>
      </c>
    </row>
    <row r="443" spans="3:4" x14ac:dyDescent="0.2">
      <c r="C443" t="s">
        <v>1074</v>
      </c>
      <c r="D443" t="s">
        <v>1075</v>
      </c>
    </row>
    <row r="444" spans="3:4" x14ac:dyDescent="0.2">
      <c r="C444" t="s">
        <v>1092</v>
      </c>
    </row>
    <row r="445" spans="3:4" x14ac:dyDescent="0.2">
      <c r="C445" t="s">
        <v>64</v>
      </c>
    </row>
    <row r="446" spans="3:4" x14ac:dyDescent="0.2">
      <c r="C446" t="s">
        <v>1004</v>
      </c>
    </row>
    <row r="447" spans="3:4" x14ac:dyDescent="0.2">
      <c r="C447" t="s">
        <v>126</v>
      </c>
    </row>
    <row r="448" spans="3:4" x14ac:dyDescent="0.2">
      <c r="C448" t="s">
        <v>198</v>
      </c>
    </row>
    <row r="449" spans="3:4" x14ac:dyDescent="0.2">
      <c r="C449" t="s">
        <v>267</v>
      </c>
    </row>
    <row r="450" spans="3:4" x14ac:dyDescent="0.2">
      <c r="C450" t="s">
        <v>327</v>
      </c>
      <c r="D450" t="s">
        <v>328</v>
      </c>
    </row>
    <row r="451" spans="3:4" x14ac:dyDescent="0.2">
      <c r="C451" t="s">
        <v>493</v>
      </c>
      <c r="D451" t="s">
        <v>494</v>
      </c>
    </row>
    <row r="452" spans="3:4" x14ac:dyDescent="0.2">
      <c r="C452" t="s">
        <v>553</v>
      </c>
      <c r="D452" t="s">
        <v>554</v>
      </c>
    </row>
    <row r="453" spans="3:4" x14ac:dyDescent="0.2">
      <c r="C453" t="s">
        <v>912</v>
      </c>
      <c r="D453" t="s">
        <v>913</v>
      </c>
    </row>
    <row r="454" spans="3:4" x14ac:dyDescent="0.2">
      <c r="C454" t="s">
        <v>403</v>
      </c>
      <c r="D454" t="s">
        <v>404</v>
      </c>
    </row>
    <row r="455" spans="3:4" x14ac:dyDescent="0.2">
      <c r="C455" t="s">
        <v>714</v>
      </c>
      <c r="D455" t="s">
        <v>715</v>
      </c>
    </row>
    <row r="456" spans="3:4" x14ac:dyDescent="0.2">
      <c r="C456" t="s">
        <v>773</v>
      </c>
      <c r="D456" t="s">
        <v>774</v>
      </c>
    </row>
    <row r="457" spans="3:4" x14ac:dyDescent="0.2">
      <c r="C457" t="s">
        <v>992</v>
      </c>
      <c r="D457" t="s">
        <v>993</v>
      </c>
    </row>
    <row r="458" spans="3:4" x14ac:dyDescent="0.2">
      <c r="C458" t="s">
        <v>1058</v>
      </c>
      <c r="D458" t="s">
        <v>1059</v>
      </c>
    </row>
    <row r="459" spans="3:4" x14ac:dyDescent="0.2">
      <c r="C459" t="s">
        <v>131</v>
      </c>
    </row>
    <row r="460" spans="3:4" x14ac:dyDescent="0.2">
      <c r="C460" t="s">
        <v>203</v>
      </c>
    </row>
    <row r="461" spans="3:4" x14ac:dyDescent="0.2">
      <c r="C461" t="s">
        <v>271</v>
      </c>
    </row>
    <row r="462" spans="3:4" x14ac:dyDescent="0.2">
      <c r="C462" t="s">
        <v>331</v>
      </c>
      <c r="D462" t="s">
        <v>332</v>
      </c>
    </row>
    <row r="463" spans="3:4" x14ac:dyDescent="0.2">
      <c r="C463" t="s">
        <v>497</v>
      </c>
      <c r="D463" t="s">
        <v>498</v>
      </c>
    </row>
    <row r="464" spans="3:4" x14ac:dyDescent="0.2">
      <c r="C464" t="s">
        <v>557</v>
      </c>
      <c r="D464" t="s">
        <v>558</v>
      </c>
    </row>
    <row r="465" spans="3:4" x14ac:dyDescent="0.2">
      <c r="C465" t="s">
        <v>916</v>
      </c>
      <c r="D465" t="s">
        <v>917</v>
      </c>
    </row>
    <row r="466" spans="3:4" x14ac:dyDescent="0.2">
      <c r="C466" t="s">
        <v>407</v>
      </c>
      <c r="D466" t="s">
        <v>408</v>
      </c>
    </row>
    <row r="467" spans="3:4" x14ac:dyDescent="0.2">
      <c r="C467" t="s">
        <v>718</v>
      </c>
      <c r="D467" t="s">
        <v>719</v>
      </c>
    </row>
    <row r="468" spans="3:4" x14ac:dyDescent="0.2">
      <c r="C468" t="s">
        <v>777</v>
      </c>
      <c r="D468" t="s">
        <v>778</v>
      </c>
    </row>
    <row r="469" spans="3:4" x14ac:dyDescent="0.2">
      <c r="C469" t="s">
        <v>996</v>
      </c>
      <c r="D469" t="s">
        <v>997</v>
      </c>
    </row>
    <row r="470" spans="3:4" x14ac:dyDescent="0.2">
      <c r="C470" t="s">
        <v>1062</v>
      </c>
      <c r="D470" t="s">
        <v>1063</v>
      </c>
    </row>
    <row r="471" spans="3:4" x14ac:dyDescent="0.2">
      <c r="C471" t="s">
        <v>136</v>
      </c>
    </row>
    <row r="472" spans="3:4" x14ac:dyDescent="0.2">
      <c r="C472" t="s">
        <v>208</v>
      </c>
    </row>
    <row r="473" spans="3:4" x14ac:dyDescent="0.2">
      <c r="C473" t="s">
        <v>275</v>
      </c>
    </row>
    <row r="474" spans="3:4" x14ac:dyDescent="0.2">
      <c r="C474" t="s">
        <v>335</v>
      </c>
      <c r="D474" t="s">
        <v>336</v>
      </c>
    </row>
    <row r="475" spans="3:4" x14ac:dyDescent="0.2">
      <c r="C475" t="s">
        <v>501</v>
      </c>
      <c r="D475" t="s">
        <v>502</v>
      </c>
    </row>
    <row r="476" spans="3:4" x14ac:dyDescent="0.2">
      <c r="C476" t="s">
        <v>561</v>
      </c>
      <c r="D476" t="s">
        <v>562</v>
      </c>
    </row>
    <row r="477" spans="3:4" x14ac:dyDescent="0.2">
      <c r="C477" t="s">
        <v>920</v>
      </c>
      <c r="D477" t="s">
        <v>921</v>
      </c>
    </row>
    <row r="478" spans="3:4" x14ac:dyDescent="0.2">
      <c r="C478" t="s">
        <v>411</v>
      </c>
      <c r="D478" t="s">
        <v>412</v>
      </c>
    </row>
    <row r="479" spans="3:4" x14ac:dyDescent="0.2">
      <c r="C479" t="s">
        <v>722</v>
      </c>
      <c r="D479" t="s">
        <v>723</v>
      </c>
    </row>
    <row r="480" spans="3:4" x14ac:dyDescent="0.2">
      <c r="C480" t="s">
        <v>781</v>
      </c>
      <c r="D480" t="s">
        <v>782</v>
      </c>
    </row>
    <row r="481" spans="3:4" x14ac:dyDescent="0.2">
      <c r="C481" t="s">
        <v>1000</v>
      </c>
      <c r="D481" t="s">
        <v>1001</v>
      </c>
    </row>
    <row r="482" spans="3:4" x14ac:dyDescent="0.2">
      <c r="C482" t="s">
        <v>1066</v>
      </c>
      <c r="D482" t="s">
        <v>1067</v>
      </c>
    </row>
    <row r="483" spans="3:4" x14ac:dyDescent="0.2">
      <c r="C483" t="s">
        <v>69</v>
      </c>
    </row>
    <row r="484" spans="3:4" x14ac:dyDescent="0.2">
      <c r="C484" t="s">
        <v>141</v>
      </c>
    </row>
    <row r="485" spans="3:4" x14ac:dyDescent="0.2">
      <c r="C485" t="s">
        <v>213</v>
      </c>
    </row>
    <row r="486" spans="3:4" x14ac:dyDescent="0.2">
      <c r="C486" t="s">
        <v>283</v>
      </c>
      <c r="D486" t="s">
        <v>284</v>
      </c>
    </row>
    <row r="487" spans="3:4" x14ac:dyDescent="0.2">
      <c r="C487" t="s">
        <v>440</v>
      </c>
    </row>
    <row r="488" spans="3:4" x14ac:dyDescent="0.2">
      <c r="C488" t="s">
        <v>509</v>
      </c>
      <c r="D488" t="s">
        <v>510</v>
      </c>
    </row>
    <row r="489" spans="3:4" x14ac:dyDescent="0.2">
      <c r="C489" t="s">
        <v>855</v>
      </c>
    </row>
    <row r="490" spans="3:4" x14ac:dyDescent="0.2">
      <c r="C490" t="s">
        <v>349</v>
      </c>
      <c r="D490" t="s">
        <v>350</v>
      </c>
    </row>
    <row r="491" spans="3:4" x14ac:dyDescent="0.2">
      <c r="C491" t="s">
        <v>663</v>
      </c>
    </row>
    <row r="492" spans="3:4" x14ac:dyDescent="0.2">
      <c r="C492" t="s">
        <v>729</v>
      </c>
      <c r="D492" t="s">
        <v>730</v>
      </c>
    </row>
    <row r="493" spans="3:4" x14ac:dyDescent="0.2">
      <c r="C493" t="s">
        <v>938</v>
      </c>
    </row>
    <row r="494" spans="3:4" x14ac:dyDescent="0.2">
      <c r="C494" t="s">
        <v>1014</v>
      </c>
      <c r="D494" t="s">
        <v>1015</v>
      </c>
    </row>
    <row r="495" spans="3:4" x14ac:dyDescent="0.2">
      <c r="C495" t="s">
        <v>1095</v>
      </c>
      <c r="D495" t="s">
        <v>1096</v>
      </c>
    </row>
    <row r="496" spans="3:4" x14ac:dyDescent="0.2">
      <c r="C496" t="s">
        <v>1097</v>
      </c>
      <c r="D496" t="s">
        <v>1098</v>
      </c>
    </row>
    <row r="497" spans="3:4" x14ac:dyDescent="0.2">
      <c r="C497" t="s">
        <v>1099</v>
      </c>
      <c r="D497" t="s">
        <v>1100</v>
      </c>
    </row>
    <row r="498" spans="3:4" x14ac:dyDescent="0.2">
      <c r="C498" t="s">
        <v>1101</v>
      </c>
      <c r="D498" t="s">
        <v>1102</v>
      </c>
    </row>
    <row r="499" spans="3:4" x14ac:dyDescent="0.2">
      <c r="C499" t="s">
        <v>1103</v>
      </c>
      <c r="D499" t="s">
        <v>1104</v>
      </c>
    </row>
    <row r="500" spans="3:4" x14ac:dyDescent="0.2">
      <c r="C500" t="s">
        <v>1105</v>
      </c>
      <c r="D500" t="s">
        <v>1106</v>
      </c>
    </row>
    <row r="501" spans="3:4" x14ac:dyDescent="0.2">
      <c r="C501" t="s">
        <v>1107</v>
      </c>
    </row>
    <row r="502" spans="3:4" x14ac:dyDescent="0.2">
      <c r="C502" t="s">
        <v>1108</v>
      </c>
      <c r="D502" t="s">
        <v>1109</v>
      </c>
    </row>
    <row r="503" spans="3:4" x14ac:dyDescent="0.2">
      <c r="C503" t="s">
        <v>1110</v>
      </c>
      <c r="D503" t="s">
        <v>1111</v>
      </c>
    </row>
    <row r="504" spans="3:4" x14ac:dyDescent="0.2">
      <c r="C504" t="s">
        <v>1112</v>
      </c>
      <c r="D504" t="s">
        <v>1113</v>
      </c>
    </row>
    <row r="505" spans="3:4" x14ac:dyDescent="0.2">
      <c r="C505" t="s">
        <v>1114</v>
      </c>
      <c r="D505" t="s">
        <v>1115</v>
      </c>
    </row>
    <row r="506" spans="3:4" x14ac:dyDescent="0.2">
      <c r="C506" t="s">
        <v>1116</v>
      </c>
      <c r="D506" t="s">
        <v>1117</v>
      </c>
    </row>
    <row r="507" spans="3:4" x14ac:dyDescent="0.2">
      <c r="C507" t="s">
        <v>1118</v>
      </c>
      <c r="D507" t="s">
        <v>1119</v>
      </c>
    </row>
    <row r="508" spans="3:4" x14ac:dyDescent="0.2">
      <c r="C508" t="s">
        <v>1120</v>
      </c>
      <c r="D508" t="s">
        <v>1121</v>
      </c>
    </row>
    <row r="509" spans="3:4" x14ac:dyDescent="0.2">
      <c r="C509" t="s">
        <v>1122</v>
      </c>
    </row>
    <row r="510" spans="3:4" x14ac:dyDescent="0.2">
      <c r="C510" t="s">
        <v>1123</v>
      </c>
      <c r="D510" t="s">
        <v>1124</v>
      </c>
    </row>
    <row r="511" spans="3:4" x14ac:dyDescent="0.2">
      <c r="C511" t="s">
        <v>1125</v>
      </c>
      <c r="D511" t="s">
        <v>1126</v>
      </c>
    </row>
    <row r="512" spans="3:4" x14ac:dyDescent="0.2">
      <c r="C512" t="s">
        <v>1127</v>
      </c>
      <c r="D512" t="s">
        <v>1128</v>
      </c>
    </row>
    <row r="513" spans="3:4" x14ac:dyDescent="0.2">
      <c r="C513" t="s">
        <v>1129</v>
      </c>
      <c r="D513" t="s">
        <v>1130</v>
      </c>
    </row>
    <row r="514" spans="3:4" x14ac:dyDescent="0.2">
      <c r="C514" t="s">
        <v>1131</v>
      </c>
      <c r="D514" t="s">
        <v>1132</v>
      </c>
    </row>
    <row r="515" spans="3:4" x14ac:dyDescent="0.2">
      <c r="C515" t="s">
        <v>1133</v>
      </c>
      <c r="D515" t="s">
        <v>1134</v>
      </c>
    </row>
    <row r="516" spans="3:4" x14ac:dyDescent="0.2">
      <c r="C516" t="s">
        <v>1135</v>
      </c>
      <c r="D516" t="s">
        <v>1136</v>
      </c>
    </row>
    <row r="517" spans="3:4" x14ac:dyDescent="0.2">
      <c r="C517" t="s">
        <v>1137</v>
      </c>
      <c r="D517" t="s">
        <v>1138</v>
      </c>
    </row>
    <row r="518" spans="3:4" x14ac:dyDescent="0.2">
      <c r="C518" t="s">
        <v>1139</v>
      </c>
      <c r="D518" t="s">
        <v>1140</v>
      </c>
    </row>
    <row r="519" spans="3:4" x14ac:dyDescent="0.2">
      <c r="C519" t="s">
        <v>1141</v>
      </c>
      <c r="D519" t="s">
        <v>1142</v>
      </c>
    </row>
    <row r="520" spans="3:4" x14ac:dyDescent="0.2">
      <c r="C520" t="s">
        <v>1143</v>
      </c>
      <c r="D520" t="s">
        <v>1144</v>
      </c>
    </row>
    <row r="521" spans="3:4" x14ac:dyDescent="0.2">
      <c r="C521" t="s">
        <v>1145</v>
      </c>
      <c r="D521" t="s">
        <v>1146</v>
      </c>
    </row>
    <row r="522" spans="3:4" x14ac:dyDescent="0.2">
      <c r="C522" t="s">
        <v>1147</v>
      </c>
      <c r="D522" t="s">
        <v>1148</v>
      </c>
    </row>
    <row r="523" spans="3:4" x14ac:dyDescent="0.2">
      <c r="C523" t="s">
        <v>1149</v>
      </c>
      <c r="D523" t="s">
        <v>1150</v>
      </c>
    </row>
    <row r="524" spans="3:4" x14ac:dyDescent="0.2">
      <c r="C524" t="s">
        <v>1151</v>
      </c>
      <c r="D524" t="s">
        <v>1152</v>
      </c>
    </row>
    <row r="525" spans="3:4" x14ac:dyDescent="0.2">
      <c r="C525" t="s">
        <v>1153</v>
      </c>
    </row>
    <row r="526" spans="3:4" x14ac:dyDescent="0.2">
      <c r="C526" t="s">
        <v>1154</v>
      </c>
      <c r="D526" t="s">
        <v>1155</v>
      </c>
    </row>
    <row r="527" spans="3:4" x14ac:dyDescent="0.2">
      <c r="C527" t="s">
        <v>1156</v>
      </c>
      <c r="D527" t="s">
        <v>1157</v>
      </c>
    </row>
    <row r="528" spans="3:4" x14ac:dyDescent="0.2">
      <c r="C528" t="s">
        <v>1158</v>
      </c>
      <c r="D528" t="s">
        <v>1159</v>
      </c>
    </row>
    <row r="529" spans="3:4" x14ac:dyDescent="0.2">
      <c r="C529" t="s">
        <v>1160</v>
      </c>
      <c r="D529" t="s">
        <v>1161</v>
      </c>
    </row>
    <row r="530" spans="3:4" x14ac:dyDescent="0.2">
      <c r="C530" t="s">
        <v>1162</v>
      </c>
      <c r="D530" t="s">
        <v>1163</v>
      </c>
    </row>
    <row r="531" spans="3:4" x14ac:dyDescent="0.2">
      <c r="C531" t="s">
        <v>1164</v>
      </c>
      <c r="D531" t="s">
        <v>1165</v>
      </c>
    </row>
    <row r="532" spans="3:4" x14ac:dyDescent="0.2">
      <c r="C532" t="s">
        <v>1166</v>
      </c>
      <c r="D532" t="s">
        <v>1167</v>
      </c>
    </row>
    <row r="533" spans="3:4" x14ac:dyDescent="0.2">
      <c r="C533" t="s">
        <v>1168</v>
      </c>
      <c r="D533" t="s">
        <v>1169</v>
      </c>
    </row>
    <row r="534" spans="3:4" x14ac:dyDescent="0.2">
      <c r="C534" t="s">
        <v>1170</v>
      </c>
      <c r="D534" t="s">
        <v>1171</v>
      </c>
    </row>
    <row r="535" spans="3:4" x14ac:dyDescent="0.2">
      <c r="C535" t="s">
        <v>1172</v>
      </c>
      <c r="D535" t="s">
        <v>1173</v>
      </c>
    </row>
    <row r="536" spans="3:4" x14ac:dyDescent="0.2">
      <c r="C536" t="s">
        <v>1174</v>
      </c>
      <c r="D536" t="s">
        <v>1175</v>
      </c>
    </row>
    <row r="537" spans="3:4" x14ac:dyDescent="0.2">
      <c r="C537" t="s">
        <v>1176</v>
      </c>
      <c r="D537" t="s">
        <v>1177</v>
      </c>
    </row>
    <row r="538" spans="3:4" x14ac:dyDescent="0.2">
      <c r="C538" t="s">
        <v>1178</v>
      </c>
      <c r="D538" t="s">
        <v>1179</v>
      </c>
    </row>
    <row r="539" spans="3:4" x14ac:dyDescent="0.2">
      <c r="C539" t="s">
        <v>1180</v>
      </c>
      <c r="D539" t="s">
        <v>1181</v>
      </c>
    </row>
    <row r="540" spans="3:4" x14ac:dyDescent="0.2">
      <c r="C540" t="s">
        <v>1182</v>
      </c>
      <c r="D540" t="s">
        <v>1183</v>
      </c>
    </row>
    <row r="541" spans="3:4" x14ac:dyDescent="0.2">
      <c r="C541" t="s">
        <v>1184</v>
      </c>
      <c r="D541" t="s">
        <v>1185</v>
      </c>
    </row>
    <row r="542" spans="3:4" x14ac:dyDescent="0.2">
      <c r="C542" t="s">
        <v>1186</v>
      </c>
    </row>
    <row r="543" spans="3:4" x14ac:dyDescent="0.2">
      <c r="C543" t="s">
        <v>1187</v>
      </c>
      <c r="D543" t="s">
        <v>1188</v>
      </c>
    </row>
    <row r="544" spans="3:4" x14ac:dyDescent="0.2">
      <c r="C544" t="s">
        <v>1189</v>
      </c>
    </row>
    <row r="545" spans="3:4" x14ac:dyDescent="0.2">
      <c r="C545" t="s">
        <v>1190</v>
      </c>
      <c r="D545" t="s">
        <v>1191</v>
      </c>
    </row>
    <row r="546" spans="3:4" x14ac:dyDescent="0.2">
      <c r="C546" t="s">
        <v>1192</v>
      </c>
      <c r="D546" t="s">
        <v>1193</v>
      </c>
    </row>
    <row r="547" spans="3:4" x14ac:dyDescent="0.2">
      <c r="C547" t="s">
        <v>1194</v>
      </c>
    </row>
    <row r="548" spans="3:4" x14ac:dyDescent="0.2">
      <c r="C548" t="s">
        <v>1195</v>
      </c>
      <c r="D548" t="s">
        <v>1196</v>
      </c>
    </row>
    <row r="549" spans="3:4" x14ac:dyDescent="0.2">
      <c r="C549" t="s">
        <v>1197</v>
      </c>
      <c r="D549" t="s">
        <v>1198</v>
      </c>
    </row>
    <row r="550" spans="3:4" x14ac:dyDescent="0.2">
      <c r="C550" t="s">
        <v>1199</v>
      </c>
      <c r="D550" t="s">
        <v>1200</v>
      </c>
    </row>
    <row r="551" spans="3:4" x14ac:dyDescent="0.2">
      <c r="C551" t="s">
        <v>1201</v>
      </c>
      <c r="D551" t="s">
        <v>1202</v>
      </c>
    </row>
    <row r="552" spans="3:4" x14ac:dyDescent="0.2">
      <c r="C552" t="s">
        <v>1203</v>
      </c>
      <c r="D552" t="s">
        <v>1204</v>
      </c>
    </row>
    <row r="553" spans="3:4" x14ac:dyDescent="0.2">
      <c r="C553" t="s">
        <v>1205</v>
      </c>
    </row>
    <row r="554" spans="3:4" x14ac:dyDescent="0.2">
      <c r="C554" t="s">
        <v>1206</v>
      </c>
      <c r="D554" t="s">
        <v>1207</v>
      </c>
    </row>
    <row r="555" spans="3:4" x14ac:dyDescent="0.2">
      <c r="C555" t="s">
        <v>1208</v>
      </c>
      <c r="D555" t="s">
        <v>1209</v>
      </c>
    </row>
    <row r="556" spans="3:4" x14ac:dyDescent="0.2">
      <c r="C556" t="s">
        <v>1210</v>
      </c>
      <c r="D556" t="s">
        <v>1211</v>
      </c>
    </row>
    <row r="557" spans="3:4" x14ac:dyDescent="0.2">
      <c r="C557" t="s">
        <v>1212</v>
      </c>
      <c r="D557" t="s">
        <v>1213</v>
      </c>
    </row>
    <row r="558" spans="3:4" x14ac:dyDescent="0.2">
      <c r="C558" t="s">
        <v>1214</v>
      </c>
      <c r="D558" t="s">
        <v>1215</v>
      </c>
    </row>
    <row r="559" spans="3:4" x14ac:dyDescent="0.2">
      <c r="C559" t="s">
        <v>1216</v>
      </c>
      <c r="D559" t="s">
        <v>1217</v>
      </c>
    </row>
    <row r="560" spans="3:4" x14ac:dyDescent="0.2">
      <c r="C560" t="s">
        <v>1218</v>
      </c>
      <c r="D560" t="s">
        <v>1219</v>
      </c>
    </row>
    <row r="561" spans="3:4" x14ac:dyDescent="0.2">
      <c r="C561" t="s">
        <v>1220</v>
      </c>
      <c r="D561" t="s">
        <v>1221</v>
      </c>
    </row>
    <row r="562" spans="3:4" x14ac:dyDescent="0.2">
      <c r="C562" t="s">
        <v>1222</v>
      </c>
      <c r="D562" t="s">
        <v>1223</v>
      </c>
    </row>
    <row r="563" spans="3:4" x14ac:dyDescent="0.2">
      <c r="C563" t="s">
        <v>1224</v>
      </c>
      <c r="D563" t="s">
        <v>1225</v>
      </c>
    </row>
    <row r="564" spans="3:4" x14ac:dyDescent="0.2">
      <c r="C564" t="s">
        <v>1226</v>
      </c>
      <c r="D564" t="s">
        <v>1227</v>
      </c>
    </row>
    <row r="565" spans="3:4" x14ac:dyDescent="0.2">
      <c r="C565" t="s">
        <v>1228</v>
      </c>
      <c r="D565" t="s">
        <v>1229</v>
      </c>
    </row>
    <row r="566" spans="3:4" x14ac:dyDescent="0.2">
      <c r="C566" t="s">
        <v>1230</v>
      </c>
    </row>
    <row r="567" spans="3:4" x14ac:dyDescent="0.2">
      <c r="C567" t="s">
        <v>1231</v>
      </c>
      <c r="D567" t="s">
        <v>1232</v>
      </c>
    </row>
    <row r="568" spans="3:4" x14ac:dyDescent="0.2">
      <c r="C568" t="s">
        <v>1233</v>
      </c>
      <c r="D568" t="s">
        <v>1234</v>
      </c>
    </row>
    <row r="569" spans="3:4" x14ac:dyDescent="0.2">
      <c r="C569" t="s">
        <v>1235</v>
      </c>
      <c r="D569" t="s">
        <v>1236</v>
      </c>
    </row>
    <row r="570" spans="3:4" x14ac:dyDescent="0.2">
      <c r="C570" t="s">
        <v>1237</v>
      </c>
      <c r="D570" t="s">
        <v>1238</v>
      </c>
    </row>
    <row r="571" spans="3:4" x14ac:dyDescent="0.2">
      <c r="C571" t="s">
        <v>1239</v>
      </c>
      <c r="D571" t="s">
        <v>1240</v>
      </c>
    </row>
    <row r="572" spans="3:4" x14ac:dyDescent="0.2">
      <c r="C572" t="s">
        <v>1241</v>
      </c>
      <c r="D572" t="s">
        <v>1242</v>
      </c>
    </row>
    <row r="573" spans="3:4" x14ac:dyDescent="0.2">
      <c r="C573" t="s">
        <v>1243</v>
      </c>
      <c r="D573" t="s">
        <v>1244</v>
      </c>
    </row>
    <row r="574" spans="3:4" x14ac:dyDescent="0.2">
      <c r="C574" t="s">
        <v>1245</v>
      </c>
      <c r="D574" t="s">
        <v>1246</v>
      </c>
    </row>
    <row r="575" spans="3:4" x14ac:dyDescent="0.2">
      <c r="C575" t="s">
        <v>1247</v>
      </c>
      <c r="D575" t="s">
        <v>1248</v>
      </c>
    </row>
    <row r="576" spans="3:4" x14ac:dyDescent="0.2">
      <c r="C576" t="s">
        <v>1249</v>
      </c>
      <c r="D576" t="s">
        <v>1250</v>
      </c>
    </row>
    <row r="577" spans="3:4" x14ac:dyDescent="0.2">
      <c r="C577" t="s">
        <v>1251</v>
      </c>
      <c r="D577" t="s">
        <v>1252</v>
      </c>
    </row>
    <row r="578" spans="3:4" x14ac:dyDescent="0.2">
      <c r="C578" t="s">
        <v>1253</v>
      </c>
      <c r="D578" t="s">
        <v>1254</v>
      </c>
    </row>
    <row r="579" spans="3:4" x14ac:dyDescent="0.2">
      <c r="C579" t="s">
        <v>1255</v>
      </c>
      <c r="D579" t="s">
        <v>1256</v>
      </c>
    </row>
    <row r="580" spans="3:4" x14ac:dyDescent="0.2">
      <c r="C580" t="s">
        <v>1257</v>
      </c>
      <c r="D580" t="s">
        <v>1258</v>
      </c>
    </row>
    <row r="581" spans="3:4" x14ac:dyDescent="0.2">
      <c r="C581" t="s">
        <v>1259</v>
      </c>
      <c r="D581" t="s">
        <v>1260</v>
      </c>
    </row>
    <row r="582" spans="3:4" x14ac:dyDescent="0.2">
      <c r="C582" t="s">
        <v>1261</v>
      </c>
      <c r="D582" t="s">
        <v>1262</v>
      </c>
    </row>
    <row r="583" spans="3:4" x14ac:dyDescent="0.2">
      <c r="C583" t="s">
        <v>1263</v>
      </c>
      <c r="D583" t="s">
        <v>1264</v>
      </c>
    </row>
    <row r="584" spans="3:4" x14ac:dyDescent="0.2">
      <c r="C584" t="s">
        <v>1265</v>
      </c>
    </row>
    <row r="585" spans="3:4" x14ac:dyDescent="0.2">
      <c r="C585" t="s">
        <v>1266</v>
      </c>
      <c r="D585" t="s">
        <v>1267</v>
      </c>
    </row>
    <row r="586" spans="3:4" x14ac:dyDescent="0.2">
      <c r="C586" t="s">
        <v>1268</v>
      </c>
      <c r="D586" t="s">
        <v>1269</v>
      </c>
    </row>
    <row r="587" spans="3:4" x14ac:dyDescent="0.2">
      <c r="C587" t="s">
        <v>1270</v>
      </c>
    </row>
    <row r="588" spans="3:4" x14ac:dyDescent="0.2">
      <c r="C588" t="s">
        <v>1271</v>
      </c>
      <c r="D588" t="s">
        <v>1272</v>
      </c>
    </row>
    <row r="589" spans="3:4" x14ac:dyDescent="0.2">
      <c r="C589" t="s">
        <v>1273</v>
      </c>
      <c r="D589" t="s">
        <v>1274</v>
      </c>
    </row>
    <row r="590" spans="3:4" x14ac:dyDescent="0.2">
      <c r="C590" t="s">
        <v>1275</v>
      </c>
      <c r="D590" t="s">
        <v>1276</v>
      </c>
    </row>
    <row r="591" spans="3:4" x14ac:dyDescent="0.2">
      <c r="C591" t="s">
        <v>1277</v>
      </c>
      <c r="D591" t="s">
        <v>1278</v>
      </c>
    </row>
    <row r="592" spans="3:4" x14ac:dyDescent="0.2">
      <c r="C592" t="s">
        <v>1279</v>
      </c>
      <c r="D592" t="s">
        <v>1280</v>
      </c>
    </row>
    <row r="593" spans="3:4" x14ac:dyDescent="0.2">
      <c r="C593" t="s">
        <v>1281</v>
      </c>
      <c r="D593" t="s">
        <v>1282</v>
      </c>
    </row>
    <row r="594" spans="3:4" x14ac:dyDescent="0.2">
      <c r="C594" t="s">
        <v>1283</v>
      </c>
      <c r="D594" t="s">
        <v>1284</v>
      </c>
    </row>
    <row r="595" spans="3:4" x14ac:dyDescent="0.2">
      <c r="C595" t="s">
        <v>1285</v>
      </c>
      <c r="D595" t="s">
        <v>1286</v>
      </c>
    </row>
    <row r="596" spans="3:4" x14ac:dyDescent="0.2">
      <c r="C596" t="s">
        <v>1287</v>
      </c>
      <c r="D596" t="s">
        <v>1288</v>
      </c>
    </row>
    <row r="597" spans="3:4" x14ac:dyDescent="0.2">
      <c r="C597" t="s">
        <v>1289</v>
      </c>
      <c r="D597" t="s">
        <v>1290</v>
      </c>
    </row>
    <row r="598" spans="3:4" x14ac:dyDescent="0.2">
      <c r="C598" t="s">
        <v>1291</v>
      </c>
      <c r="D598" t="s">
        <v>1292</v>
      </c>
    </row>
    <row r="599" spans="3:4" x14ac:dyDescent="0.2">
      <c r="C599" t="s">
        <v>1293</v>
      </c>
      <c r="D599" t="s">
        <v>1294</v>
      </c>
    </row>
    <row r="600" spans="3:4" x14ac:dyDescent="0.2">
      <c r="C600" t="s">
        <v>1295</v>
      </c>
      <c r="D600" t="s">
        <v>1296</v>
      </c>
    </row>
    <row r="601" spans="3:4" x14ac:dyDescent="0.2">
      <c r="C601" t="s">
        <v>1297</v>
      </c>
      <c r="D601" t="s">
        <v>1298</v>
      </c>
    </row>
    <row r="602" spans="3:4" x14ac:dyDescent="0.2">
      <c r="C602" t="s">
        <v>1299</v>
      </c>
      <c r="D602" t="s">
        <v>1300</v>
      </c>
    </row>
    <row r="603" spans="3:4" x14ac:dyDescent="0.2">
      <c r="C603" t="s">
        <v>1301</v>
      </c>
      <c r="D603" t="s">
        <v>1302</v>
      </c>
    </row>
    <row r="604" spans="3:4" x14ac:dyDescent="0.2">
      <c r="C604" t="s">
        <v>1303</v>
      </c>
      <c r="D604" t="s">
        <v>1304</v>
      </c>
    </row>
    <row r="605" spans="3:4" x14ac:dyDescent="0.2">
      <c r="C605" t="s">
        <v>1305</v>
      </c>
      <c r="D605" t="s">
        <v>1306</v>
      </c>
    </row>
    <row r="606" spans="3:4" x14ac:dyDescent="0.2">
      <c r="C606" t="s">
        <v>1307</v>
      </c>
      <c r="D606" t="s">
        <v>1308</v>
      </c>
    </row>
    <row r="607" spans="3:4" x14ac:dyDescent="0.2">
      <c r="C607" t="s">
        <v>1309</v>
      </c>
      <c r="D607" t="s">
        <v>1310</v>
      </c>
    </row>
    <row r="608" spans="3:4" x14ac:dyDescent="0.2">
      <c r="C608" t="s">
        <v>1311</v>
      </c>
      <c r="D608" t="s">
        <v>1312</v>
      </c>
    </row>
    <row r="609" spans="3:4" x14ac:dyDescent="0.2">
      <c r="C609" t="s">
        <v>1313</v>
      </c>
      <c r="D609" t="s">
        <v>1314</v>
      </c>
    </row>
    <row r="610" spans="3:4" x14ac:dyDescent="0.2">
      <c r="C610" t="s">
        <v>1315</v>
      </c>
      <c r="D610" t="s">
        <v>1316</v>
      </c>
    </row>
    <row r="611" spans="3:4" x14ac:dyDescent="0.2">
      <c r="C611" t="s">
        <v>1317</v>
      </c>
      <c r="D611" t="s">
        <v>1318</v>
      </c>
    </row>
    <row r="612" spans="3:4" x14ac:dyDescent="0.2">
      <c r="C612" t="s">
        <v>1319</v>
      </c>
      <c r="D612" t="s">
        <v>1320</v>
      </c>
    </row>
    <row r="613" spans="3:4" x14ac:dyDescent="0.2">
      <c r="C613" t="s">
        <v>1321</v>
      </c>
      <c r="D613" t="s">
        <v>1322</v>
      </c>
    </row>
    <row r="614" spans="3:4" x14ac:dyDescent="0.2">
      <c r="C614" t="s">
        <v>1323</v>
      </c>
      <c r="D614" t="s">
        <v>1324</v>
      </c>
    </row>
    <row r="615" spans="3:4" x14ac:dyDescent="0.2">
      <c r="C615" t="s">
        <v>1325</v>
      </c>
      <c r="D615" t="s">
        <v>1326</v>
      </c>
    </row>
    <row r="616" spans="3:4" x14ac:dyDescent="0.2">
      <c r="C616" t="s">
        <v>1327</v>
      </c>
      <c r="D616" t="s">
        <v>1328</v>
      </c>
    </row>
    <row r="617" spans="3:4" x14ac:dyDescent="0.2">
      <c r="C617" t="s">
        <v>1329</v>
      </c>
      <c r="D617" t="s">
        <v>1330</v>
      </c>
    </row>
    <row r="618" spans="3:4" x14ac:dyDescent="0.2">
      <c r="C618" t="s">
        <v>1331</v>
      </c>
      <c r="D618" t="s">
        <v>1332</v>
      </c>
    </row>
    <row r="619" spans="3:4" x14ac:dyDescent="0.2">
      <c r="C619" t="s">
        <v>1333</v>
      </c>
      <c r="D619" t="s">
        <v>1334</v>
      </c>
    </row>
    <row r="620" spans="3:4" x14ac:dyDescent="0.2">
      <c r="C620" t="s">
        <v>1335</v>
      </c>
      <c r="D620" t="s">
        <v>1336</v>
      </c>
    </row>
    <row r="621" spans="3:4" x14ac:dyDescent="0.2">
      <c r="C621" t="s">
        <v>1337</v>
      </c>
      <c r="D621" t="s">
        <v>1338</v>
      </c>
    </row>
    <row r="622" spans="3:4" x14ac:dyDescent="0.2">
      <c r="C622" t="s">
        <v>1339</v>
      </c>
      <c r="D622" t="s">
        <v>1340</v>
      </c>
    </row>
    <row r="623" spans="3:4" x14ac:dyDescent="0.2">
      <c r="C623" t="s">
        <v>1341</v>
      </c>
      <c r="D623" t="s">
        <v>1342</v>
      </c>
    </row>
    <row r="624" spans="3:4" x14ac:dyDescent="0.2">
      <c r="C624" t="s">
        <v>1343</v>
      </c>
    </row>
    <row r="625" spans="3:4" x14ac:dyDescent="0.2">
      <c r="C625" t="s">
        <v>1344</v>
      </c>
      <c r="D625" t="s">
        <v>1345</v>
      </c>
    </row>
    <row r="626" spans="3:4" x14ac:dyDescent="0.2">
      <c r="C626" t="s">
        <v>1346</v>
      </c>
      <c r="D626" t="s">
        <v>1347</v>
      </c>
    </row>
    <row r="627" spans="3:4" x14ac:dyDescent="0.2">
      <c r="C627" t="s">
        <v>1348</v>
      </c>
      <c r="D627" t="s">
        <v>1349</v>
      </c>
    </row>
    <row r="628" spans="3:4" x14ac:dyDescent="0.2">
      <c r="C628" t="s">
        <v>1350</v>
      </c>
      <c r="D628" t="s">
        <v>1351</v>
      </c>
    </row>
    <row r="629" spans="3:4" x14ac:dyDescent="0.2">
      <c r="C629" t="s">
        <v>1352</v>
      </c>
      <c r="D629" t="s">
        <v>1353</v>
      </c>
    </row>
    <row r="630" spans="3:4" x14ac:dyDescent="0.2">
      <c r="C630" t="s">
        <v>1354</v>
      </c>
    </row>
    <row r="631" spans="3:4" x14ac:dyDescent="0.2">
      <c r="C631" t="s">
        <v>1355</v>
      </c>
      <c r="D631" t="s">
        <v>1356</v>
      </c>
    </row>
    <row r="632" spans="3:4" x14ac:dyDescent="0.2">
      <c r="C632" t="s">
        <v>1357</v>
      </c>
      <c r="D632" t="s">
        <v>1358</v>
      </c>
    </row>
    <row r="633" spans="3:4" x14ac:dyDescent="0.2">
      <c r="C633" t="s">
        <v>1359</v>
      </c>
      <c r="D633" t="s">
        <v>1360</v>
      </c>
    </row>
    <row r="634" spans="3:4" x14ac:dyDescent="0.2">
      <c r="C634" t="s">
        <v>1361</v>
      </c>
      <c r="D634" t="s">
        <v>1362</v>
      </c>
    </row>
    <row r="635" spans="3:4" x14ac:dyDescent="0.2">
      <c r="C635" t="s">
        <v>1363</v>
      </c>
      <c r="D635" t="s">
        <v>1364</v>
      </c>
    </row>
    <row r="636" spans="3:4" x14ac:dyDescent="0.2">
      <c r="C636" t="s">
        <v>1365</v>
      </c>
      <c r="D636" t="s">
        <v>1366</v>
      </c>
    </row>
    <row r="637" spans="3:4" x14ac:dyDescent="0.2">
      <c r="C637" t="s">
        <v>1367</v>
      </c>
      <c r="D637" t="s">
        <v>1368</v>
      </c>
    </row>
    <row r="638" spans="3:4" x14ac:dyDescent="0.2">
      <c r="C638" t="s">
        <v>1369</v>
      </c>
      <c r="D638" t="s">
        <v>1370</v>
      </c>
    </row>
    <row r="639" spans="3:4" x14ac:dyDescent="0.2">
      <c r="C639" t="s">
        <v>1371</v>
      </c>
      <c r="D639" t="s">
        <v>1372</v>
      </c>
    </row>
    <row r="640" spans="3:4" x14ac:dyDescent="0.2">
      <c r="C640" t="s">
        <v>1373</v>
      </c>
      <c r="D640" t="s">
        <v>1374</v>
      </c>
    </row>
    <row r="641" spans="3:4" x14ac:dyDescent="0.2">
      <c r="C641" t="s">
        <v>1375</v>
      </c>
      <c r="D641" t="s">
        <v>1376</v>
      </c>
    </row>
    <row r="642" spans="3:4" x14ac:dyDescent="0.2">
      <c r="C642" t="s">
        <v>1377</v>
      </c>
      <c r="D642" t="s">
        <v>1378</v>
      </c>
    </row>
    <row r="643" spans="3:4" x14ac:dyDescent="0.2">
      <c r="C643" t="s">
        <v>1379</v>
      </c>
      <c r="D643" t="s">
        <v>1380</v>
      </c>
    </row>
    <row r="644" spans="3:4" x14ac:dyDescent="0.2">
      <c r="C644" t="s">
        <v>1381</v>
      </c>
      <c r="D644" t="s">
        <v>1382</v>
      </c>
    </row>
    <row r="645" spans="3:4" x14ac:dyDescent="0.2">
      <c r="C645" t="s">
        <v>1383</v>
      </c>
      <c r="D645" t="s">
        <v>1384</v>
      </c>
    </row>
    <row r="646" spans="3:4" x14ac:dyDescent="0.2">
      <c r="C646" t="s">
        <v>1385</v>
      </c>
      <c r="D646" t="s">
        <v>1386</v>
      </c>
    </row>
    <row r="647" spans="3:4" x14ac:dyDescent="0.2">
      <c r="C647" t="s">
        <v>1387</v>
      </c>
      <c r="D647" t="s">
        <v>1388</v>
      </c>
    </row>
    <row r="648" spans="3:4" x14ac:dyDescent="0.2">
      <c r="C648" t="s">
        <v>1389</v>
      </c>
      <c r="D648" t="s">
        <v>1390</v>
      </c>
    </row>
    <row r="649" spans="3:4" x14ac:dyDescent="0.2">
      <c r="C649" t="s">
        <v>1391</v>
      </c>
      <c r="D649" t="s">
        <v>1392</v>
      </c>
    </row>
    <row r="650" spans="3:4" x14ac:dyDescent="0.2">
      <c r="C650" t="s">
        <v>1393</v>
      </c>
    </row>
    <row r="651" spans="3:4" x14ac:dyDescent="0.2">
      <c r="C651" t="s">
        <v>1394</v>
      </c>
      <c r="D651" t="s">
        <v>1395</v>
      </c>
    </row>
    <row r="652" spans="3:4" x14ac:dyDescent="0.2">
      <c r="C652" t="s">
        <v>1396</v>
      </c>
      <c r="D652" t="s">
        <v>1397</v>
      </c>
    </row>
    <row r="653" spans="3:4" x14ac:dyDescent="0.2">
      <c r="C653" t="s">
        <v>1398</v>
      </c>
    </row>
    <row r="654" spans="3:4" x14ac:dyDescent="0.2">
      <c r="C654" t="s">
        <v>1399</v>
      </c>
      <c r="D654" t="s">
        <v>1400</v>
      </c>
    </row>
    <row r="655" spans="3:4" x14ac:dyDescent="0.2">
      <c r="C655" t="s">
        <v>1401</v>
      </c>
    </row>
    <row r="656" spans="3:4" x14ac:dyDescent="0.2">
      <c r="C656" t="s">
        <v>1402</v>
      </c>
    </row>
    <row r="657" spans="3:4" x14ac:dyDescent="0.2">
      <c r="C657" t="s">
        <v>1403</v>
      </c>
      <c r="D657" t="s">
        <v>1404</v>
      </c>
    </row>
    <row r="658" spans="3:4" x14ac:dyDescent="0.2">
      <c r="C658" t="s">
        <v>1405</v>
      </c>
      <c r="D658" t="s">
        <v>1406</v>
      </c>
    </row>
    <row r="659" spans="3:4" x14ac:dyDescent="0.2">
      <c r="C659" t="s">
        <v>1407</v>
      </c>
    </row>
    <row r="660" spans="3:4" x14ac:dyDescent="0.2">
      <c r="C660" t="s">
        <v>1408</v>
      </c>
      <c r="D660" t="s">
        <v>1409</v>
      </c>
    </row>
    <row r="661" spans="3:4" x14ac:dyDescent="0.2">
      <c r="C661" t="s">
        <v>1410</v>
      </c>
      <c r="D661" t="s">
        <v>1411</v>
      </c>
    </row>
    <row r="662" spans="3:4" x14ac:dyDescent="0.2">
      <c r="C662" t="s">
        <v>1412</v>
      </c>
      <c r="D662" t="s">
        <v>1413</v>
      </c>
    </row>
    <row r="663" spans="3:4" x14ac:dyDescent="0.2">
      <c r="C663" t="s">
        <v>1414</v>
      </c>
      <c r="D663" t="s">
        <v>1415</v>
      </c>
    </row>
    <row r="664" spans="3:4" x14ac:dyDescent="0.2">
      <c r="C664" t="s">
        <v>1416</v>
      </c>
      <c r="D664" t="s">
        <v>1417</v>
      </c>
    </row>
    <row r="665" spans="3:4" x14ac:dyDescent="0.2">
      <c r="C665" t="s">
        <v>1418</v>
      </c>
      <c r="D665" t="s">
        <v>1419</v>
      </c>
    </row>
    <row r="666" spans="3:4" x14ac:dyDescent="0.2">
      <c r="C666" t="s">
        <v>1420</v>
      </c>
      <c r="D666" t="s">
        <v>1421</v>
      </c>
    </row>
    <row r="667" spans="3:4" x14ac:dyDescent="0.2">
      <c r="C667" t="s">
        <v>1422</v>
      </c>
      <c r="D667" t="s">
        <v>1423</v>
      </c>
    </row>
    <row r="668" spans="3:4" x14ac:dyDescent="0.2">
      <c r="C668" t="s">
        <v>1424</v>
      </c>
      <c r="D668" t="s">
        <v>1425</v>
      </c>
    </row>
    <row r="669" spans="3:4" x14ac:dyDescent="0.2">
      <c r="C669" t="s">
        <v>1426</v>
      </c>
      <c r="D669" t="s">
        <v>1427</v>
      </c>
    </row>
    <row r="670" spans="3:4" x14ac:dyDescent="0.2">
      <c r="C670" t="s">
        <v>1428</v>
      </c>
      <c r="D670" t="s">
        <v>1429</v>
      </c>
    </row>
    <row r="671" spans="3:4" x14ac:dyDescent="0.2">
      <c r="C671" t="s">
        <v>1430</v>
      </c>
      <c r="D671" t="s">
        <v>1431</v>
      </c>
    </row>
    <row r="672" spans="3:4" x14ac:dyDescent="0.2">
      <c r="C672" t="s">
        <v>1432</v>
      </c>
      <c r="D672" t="s">
        <v>1433</v>
      </c>
    </row>
    <row r="673" spans="3:4" x14ac:dyDescent="0.2">
      <c r="C673" t="s">
        <v>1434</v>
      </c>
      <c r="D673" t="s">
        <v>1435</v>
      </c>
    </row>
    <row r="674" spans="3:4" x14ac:dyDescent="0.2">
      <c r="C674" t="s">
        <v>1436</v>
      </c>
      <c r="D674" t="s">
        <v>1437</v>
      </c>
    </row>
    <row r="675" spans="3:4" x14ac:dyDescent="0.2">
      <c r="C675" t="s">
        <v>1438</v>
      </c>
      <c r="D675" t="s">
        <v>1439</v>
      </c>
    </row>
    <row r="676" spans="3:4" x14ac:dyDescent="0.2">
      <c r="C676" t="s">
        <v>1440</v>
      </c>
      <c r="D676" t="s">
        <v>1441</v>
      </c>
    </row>
    <row r="677" spans="3:4" x14ac:dyDescent="0.2">
      <c r="C677" t="s">
        <v>1442</v>
      </c>
      <c r="D677" t="s">
        <v>1443</v>
      </c>
    </row>
    <row r="678" spans="3:4" x14ac:dyDescent="0.2">
      <c r="C678" t="s">
        <v>1444</v>
      </c>
      <c r="D678" t="s">
        <v>1445</v>
      </c>
    </row>
    <row r="679" spans="3:4" x14ac:dyDescent="0.2">
      <c r="C679" t="s">
        <v>1446</v>
      </c>
      <c r="D679" t="s">
        <v>1447</v>
      </c>
    </row>
    <row r="680" spans="3:4" x14ac:dyDescent="0.2">
      <c r="C680" t="s">
        <v>1448</v>
      </c>
      <c r="D680" t="s">
        <v>1449</v>
      </c>
    </row>
    <row r="681" spans="3:4" x14ac:dyDescent="0.2">
      <c r="C681" t="s">
        <v>1450</v>
      </c>
      <c r="D681" t="s">
        <v>1451</v>
      </c>
    </row>
    <row r="682" spans="3:4" x14ac:dyDescent="0.2">
      <c r="C682" t="s">
        <v>1452</v>
      </c>
      <c r="D682" t="s">
        <v>1453</v>
      </c>
    </row>
    <row r="683" spans="3:4" x14ac:dyDescent="0.2">
      <c r="C683" t="s">
        <v>1454</v>
      </c>
      <c r="D683" t="s">
        <v>1455</v>
      </c>
    </row>
    <row r="684" spans="3:4" x14ac:dyDescent="0.2">
      <c r="C684" t="s">
        <v>1456</v>
      </c>
      <c r="D684" t="s">
        <v>1457</v>
      </c>
    </row>
    <row r="685" spans="3:4" x14ac:dyDescent="0.2">
      <c r="C685" t="s">
        <v>1458</v>
      </c>
      <c r="D685" t="s">
        <v>1459</v>
      </c>
    </row>
    <row r="686" spans="3:4" x14ac:dyDescent="0.2">
      <c r="C686" t="s">
        <v>1460</v>
      </c>
      <c r="D686" t="s">
        <v>1461</v>
      </c>
    </row>
    <row r="687" spans="3:4" x14ac:dyDescent="0.2">
      <c r="C687" t="s">
        <v>1462</v>
      </c>
      <c r="D687" t="s">
        <v>1463</v>
      </c>
    </row>
    <row r="688" spans="3:4" x14ac:dyDescent="0.2">
      <c r="C688" t="s">
        <v>1464</v>
      </c>
      <c r="D688" t="s">
        <v>1465</v>
      </c>
    </row>
    <row r="689" spans="3:4" x14ac:dyDescent="0.2">
      <c r="C689" t="s">
        <v>1466</v>
      </c>
      <c r="D689" t="s">
        <v>1467</v>
      </c>
    </row>
    <row r="690" spans="3:4" x14ac:dyDescent="0.2">
      <c r="C690" t="s">
        <v>1468</v>
      </c>
      <c r="D690" t="s">
        <v>1469</v>
      </c>
    </row>
    <row r="691" spans="3:4" x14ac:dyDescent="0.2">
      <c r="C691" t="s">
        <v>1470</v>
      </c>
      <c r="D691" t="s">
        <v>1471</v>
      </c>
    </row>
    <row r="692" spans="3:4" x14ac:dyDescent="0.2">
      <c r="C692" t="s">
        <v>1472</v>
      </c>
      <c r="D692" t="s">
        <v>1473</v>
      </c>
    </row>
    <row r="693" spans="3:4" x14ac:dyDescent="0.2">
      <c r="C693" t="s">
        <v>1474</v>
      </c>
      <c r="D693" t="s">
        <v>1475</v>
      </c>
    </row>
    <row r="694" spans="3:4" x14ac:dyDescent="0.2">
      <c r="C694" t="s">
        <v>1476</v>
      </c>
      <c r="D694" t="s">
        <v>1477</v>
      </c>
    </row>
    <row r="695" spans="3:4" x14ac:dyDescent="0.2">
      <c r="C695" t="s">
        <v>1478</v>
      </c>
      <c r="D695" t="s">
        <v>1479</v>
      </c>
    </row>
    <row r="696" spans="3:4" x14ac:dyDescent="0.2">
      <c r="C696" t="s">
        <v>1480</v>
      </c>
      <c r="D696" t="s">
        <v>1481</v>
      </c>
    </row>
    <row r="697" spans="3:4" x14ac:dyDescent="0.2">
      <c r="C697" t="s">
        <v>1482</v>
      </c>
      <c r="D697" t="s">
        <v>1483</v>
      </c>
    </row>
    <row r="698" spans="3:4" x14ac:dyDescent="0.2">
      <c r="C698" t="s">
        <v>1484</v>
      </c>
      <c r="D698" t="s">
        <v>1485</v>
      </c>
    </row>
    <row r="699" spans="3:4" x14ac:dyDescent="0.2">
      <c r="C699" t="s">
        <v>1486</v>
      </c>
      <c r="D699" t="s">
        <v>1487</v>
      </c>
    </row>
    <row r="700" spans="3:4" x14ac:dyDescent="0.2">
      <c r="C700" t="s">
        <v>1488</v>
      </c>
      <c r="D700" t="s">
        <v>1489</v>
      </c>
    </row>
    <row r="701" spans="3:4" x14ac:dyDescent="0.2">
      <c r="C701" t="s">
        <v>1490</v>
      </c>
      <c r="D701" t="s">
        <v>1491</v>
      </c>
    </row>
    <row r="702" spans="3:4" x14ac:dyDescent="0.2">
      <c r="C702" t="s">
        <v>1492</v>
      </c>
      <c r="D702" t="s">
        <v>1493</v>
      </c>
    </row>
    <row r="703" spans="3:4" x14ac:dyDescent="0.2">
      <c r="C703" t="s">
        <v>1494</v>
      </c>
      <c r="D703" t="s">
        <v>1495</v>
      </c>
    </row>
    <row r="704" spans="3:4" x14ac:dyDescent="0.2">
      <c r="C704" t="s">
        <v>1496</v>
      </c>
      <c r="D704" t="s">
        <v>1497</v>
      </c>
    </row>
    <row r="705" spans="3:4" x14ac:dyDescent="0.2">
      <c r="C705" t="s">
        <v>1498</v>
      </c>
      <c r="D705" t="s">
        <v>1499</v>
      </c>
    </row>
    <row r="706" spans="3:4" x14ac:dyDescent="0.2">
      <c r="C706" t="s">
        <v>1500</v>
      </c>
      <c r="D706" t="s">
        <v>1501</v>
      </c>
    </row>
    <row r="707" spans="3:4" x14ac:dyDescent="0.2">
      <c r="C707" t="s">
        <v>1502</v>
      </c>
      <c r="D707" t="s">
        <v>1503</v>
      </c>
    </row>
    <row r="708" spans="3:4" x14ac:dyDescent="0.2">
      <c r="C708" t="s">
        <v>1504</v>
      </c>
      <c r="D708" t="s">
        <v>1505</v>
      </c>
    </row>
    <row r="709" spans="3:4" x14ac:dyDescent="0.2">
      <c r="C709" t="s">
        <v>1506</v>
      </c>
      <c r="D709" t="s">
        <v>1507</v>
      </c>
    </row>
    <row r="710" spans="3:4" x14ac:dyDescent="0.2">
      <c r="C710" t="s">
        <v>1508</v>
      </c>
      <c r="D710" t="s">
        <v>1509</v>
      </c>
    </row>
    <row r="711" spans="3:4" x14ac:dyDescent="0.2">
      <c r="C711" t="s">
        <v>1510</v>
      </c>
      <c r="D711" t="s">
        <v>1511</v>
      </c>
    </row>
    <row r="712" spans="3:4" x14ac:dyDescent="0.2">
      <c r="C712" t="s">
        <v>1512</v>
      </c>
      <c r="D712" t="s">
        <v>1513</v>
      </c>
    </row>
    <row r="713" spans="3:4" x14ac:dyDescent="0.2">
      <c r="C713" t="s">
        <v>1514</v>
      </c>
      <c r="D713" t="s">
        <v>1515</v>
      </c>
    </row>
    <row r="714" spans="3:4" x14ac:dyDescent="0.2">
      <c r="C714" t="s">
        <v>1516</v>
      </c>
      <c r="D714" t="s">
        <v>1517</v>
      </c>
    </row>
    <row r="715" spans="3:4" x14ac:dyDescent="0.2">
      <c r="C715" t="s">
        <v>1518</v>
      </c>
      <c r="D715" t="s">
        <v>1519</v>
      </c>
    </row>
    <row r="716" spans="3:4" x14ac:dyDescent="0.2">
      <c r="C716" t="s">
        <v>1520</v>
      </c>
      <c r="D716" t="s">
        <v>1521</v>
      </c>
    </row>
    <row r="717" spans="3:4" x14ac:dyDescent="0.2">
      <c r="C717" t="s">
        <v>1522</v>
      </c>
    </row>
    <row r="718" spans="3:4" x14ac:dyDescent="0.2">
      <c r="C718" t="s">
        <v>1523</v>
      </c>
      <c r="D718" t="s">
        <v>1524</v>
      </c>
    </row>
    <row r="719" spans="3:4" x14ac:dyDescent="0.2">
      <c r="C719" t="s">
        <v>1525</v>
      </c>
      <c r="D719" t="s">
        <v>1526</v>
      </c>
    </row>
    <row r="720" spans="3:4" x14ac:dyDescent="0.2">
      <c r="C720" t="s">
        <v>1527</v>
      </c>
      <c r="D720" t="s">
        <v>1528</v>
      </c>
    </row>
    <row r="721" spans="3:4" x14ac:dyDescent="0.2">
      <c r="C721" t="s">
        <v>1529</v>
      </c>
      <c r="D721" t="s">
        <v>1530</v>
      </c>
    </row>
    <row r="722" spans="3:4" x14ac:dyDescent="0.2">
      <c r="C722" t="s">
        <v>1531</v>
      </c>
    </row>
    <row r="723" spans="3:4" x14ac:dyDescent="0.2">
      <c r="C723" t="s">
        <v>1532</v>
      </c>
      <c r="D723" t="s">
        <v>1533</v>
      </c>
    </row>
    <row r="724" spans="3:4" x14ac:dyDescent="0.2">
      <c r="C724" t="s">
        <v>1534</v>
      </c>
      <c r="D724" t="s">
        <v>1535</v>
      </c>
    </row>
    <row r="725" spans="3:4" x14ac:dyDescent="0.2">
      <c r="C725" t="s">
        <v>1536</v>
      </c>
      <c r="D725" t="s">
        <v>1537</v>
      </c>
    </row>
    <row r="726" spans="3:4" x14ac:dyDescent="0.2">
      <c r="C726" t="s">
        <v>1538</v>
      </c>
      <c r="D726" t="s">
        <v>1539</v>
      </c>
    </row>
    <row r="727" spans="3:4" x14ac:dyDescent="0.2">
      <c r="C727" t="s">
        <v>1540</v>
      </c>
      <c r="D727" t="s">
        <v>1541</v>
      </c>
    </row>
    <row r="728" spans="3:4" x14ac:dyDescent="0.2">
      <c r="C728" t="s">
        <v>1542</v>
      </c>
      <c r="D728" t="s">
        <v>1543</v>
      </c>
    </row>
    <row r="729" spans="3:4" x14ac:dyDescent="0.2">
      <c r="C729" t="s">
        <v>1544</v>
      </c>
      <c r="D729" t="s">
        <v>1545</v>
      </c>
    </row>
    <row r="730" spans="3:4" x14ac:dyDescent="0.2">
      <c r="C730" t="s">
        <v>1546</v>
      </c>
      <c r="D730" t="s">
        <v>1547</v>
      </c>
    </row>
    <row r="731" spans="3:4" x14ac:dyDescent="0.2">
      <c r="C731" t="s">
        <v>1548</v>
      </c>
      <c r="D731" t="s">
        <v>1549</v>
      </c>
    </row>
    <row r="732" spans="3:4" x14ac:dyDescent="0.2">
      <c r="C732" t="s">
        <v>1550</v>
      </c>
      <c r="D732" t="s">
        <v>1551</v>
      </c>
    </row>
    <row r="733" spans="3:4" x14ac:dyDescent="0.2">
      <c r="C733" t="s">
        <v>1552</v>
      </c>
      <c r="D733" t="s">
        <v>1553</v>
      </c>
    </row>
    <row r="734" spans="3:4" x14ac:dyDescent="0.2">
      <c r="C734" t="s">
        <v>1554</v>
      </c>
      <c r="D734" t="s">
        <v>1555</v>
      </c>
    </row>
    <row r="735" spans="3:4" x14ac:dyDescent="0.2">
      <c r="C735" t="s">
        <v>1556</v>
      </c>
      <c r="D735" t="s">
        <v>1557</v>
      </c>
    </row>
    <row r="736" spans="3:4" x14ac:dyDescent="0.2">
      <c r="C736" t="s">
        <v>1558</v>
      </c>
      <c r="D736" t="s">
        <v>1559</v>
      </c>
    </row>
    <row r="737" spans="3:4" x14ac:dyDescent="0.2">
      <c r="C737" t="s">
        <v>1560</v>
      </c>
      <c r="D737" t="s">
        <v>1561</v>
      </c>
    </row>
    <row r="738" spans="3:4" x14ac:dyDescent="0.2">
      <c r="C738" t="s">
        <v>1562</v>
      </c>
      <c r="D738" t="s">
        <v>1563</v>
      </c>
    </row>
    <row r="739" spans="3:4" x14ac:dyDescent="0.2">
      <c r="C739" t="s">
        <v>1564</v>
      </c>
      <c r="D739" t="s">
        <v>1565</v>
      </c>
    </row>
    <row r="740" spans="3:4" x14ac:dyDescent="0.2">
      <c r="C740" t="s">
        <v>1566</v>
      </c>
      <c r="D740" t="s">
        <v>1567</v>
      </c>
    </row>
    <row r="741" spans="3:4" x14ac:dyDescent="0.2">
      <c r="C741" t="s">
        <v>1568</v>
      </c>
      <c r="D741" t="s">
        <v>1569</v>
      </c>
    </row>
    <row r="742" spans="3:4" x14ac:dyDescent="0.2">
      <c r="C742" t="s">
        <v>1570</v>
      </c>
      <c r="D742" t="s">
        <v>1571</v>
      </c>
    </row>
    <row r="743" spans="3:4" x14ac:dyDescent="0.2">
      <c r="C743" t="s">
        <v>1572</v>
      </c>
      <c r="D743" t="s">
        <v>1573</v>
      </c>
    </row>
    <row r="744" spans="3:4" x14ac:dyDescent="0.2">
      <c r="C744" t="s">
        <v>1574</v>
      </c>
      <c r="D744" t="s">
        <v>1575</v>
      </c>
    </row>
    <row r="745" spans="3:4" x14ac:dyDescent="0.2">
      <c r="C745" t="s">
        <v>1576</v>
      </c>
      <c r="D745" t="s">
        <v>1577</v>
      </c>
    </row>
    <row r="746" spans="3:4" x14ac:dyDescent="0.2">
      <c r="C746" t="s">
        <v>1578</v>
      </c>
      <c r="D746" t="s">
        <v>1579</v>
      </c>
    </row>
    <row r="747" spans="3:4" x14ac:dyDescent="0.2">
      <c r="C747" t="s">
        <v>1580</v>
      </c>
      <c r="D747" t="s">
        <v>1581</v>
      </c>
    </row>
    <row r="748" spans="3:4" x14ac:dyDescent="0.2">
      <c r="C748" t="s">
        <v>1582</v>
      </c>
    </row>
    <row r="749" spans="3:4" x14ac:dyDescent="0.2">
      <c r="C749" t="s">
        <v>1583</v>
      </c>
      <c r="D749" t="s">
        <v>1584</v>
      </c>
    </row>
    <row r="750" spans="3:4" x14ac:dyDescent="0.2">
      <c r="C750" t="s">
        <v>1585</v>
      </c>
      <c r="D750" t="s">
        <v>1586</v>
      </c>
    </row>
    <row r="751" spans="3:4" x14ac:dyDescent="0.2">
      <c r="C751" t="s">
        <v>1587</v>
      </c>
      <c r="D751" t="s">
        <v>1588</v>
      </c>
    </row>
    <row r="752" spans="3:4" x14ac:dyDescent="0.2">
      <c r="C752" t="s">
        <v>1589</v>
      </c>
      <c r="D752" t="s">
        <v>1590</v>
      </c>
    </row>
    <row r="753" spans="3:4" x14ac:dyDescent="0.2">
      <c r="C753" t="s">
        <v>1591</v>
      </c>
      <c r="D753" t="s">
        <v>1592</v>
      </c>
    </row>
    <row r="754" spans="3:4" x14ac:dyDescent="0.2">
      <c r="C754" t="s">
        <v>1593</v>
      </c>
      <c r="D754" t="s">
        <v>1594</v>
      </c>
    </row>
    <row r="755" spans="3:4" x14ac:dyDescent="0.2">
      <c r="C755" t="s">
        <v>1595</v>
      </c>
      <c r="D755" t="s">
        <v>1596</v>
      </c>
    </row>
    <row r="756" spans="3:4" x14ac:dyDescent="0.2">
      <c r="C756" t="s">
        <v>1597</v>
      </c>
      <c r="D756" t="s">
        <v>1598</v>
      </c>
    </row>
    <row r="757" spans="3:4" x14ac:dyDescent="0.2">
      <c r="C757" t="s">
        <v>1599</v>
      </c>
      <c r="D757" t="s">
        <v>1600</v>
      </c>
    </row>
    <row r="758" spans="3:4" x14ac:dyDescent="0.2">
      <c r="C758" t="s">
        <v>1601</v>
      </c>
      <c r="D758" t="s">
        <v>1602</v>
      </c>
    </row>
    <row r="759" spans="3:4" x14ac:dyDescent="0.2">
      <c r="C759" t="s">
        <v>1603</v>
      </c>
      <c r="D759" t="s">
        <v>1604</v>
      </c>
    </row>
    <row r="760" spans="3:4" x14ac:dyDescent="0.2">
      <c r="C760" t="s">
        <v>1605</v>
      </c>
      <c r="D760" t="s">
        <v>1606</v>
      </c>
    </row>
    <row r="761" spans="3:4" x14ac:dyDescent="0.2">
      <c r="C761" t="s">
        <v>1607</v>
      </c>
      <c r="D761" t="s">
        <v>1608</v>
      </c>
    </row>
    <row r="762" spans="3:4" x14ac:dyDescent="0.2">
      <c r="C762" t="s">
        <v>1609</v>
      </c>
      <c r="D762" t="s">
        <v>1610</v>
      </c>
    </row>
    <row r="763" spans="3:4" x14ac:dyDescent="0.2">
      <c r="C763" t="s">
        <v>1611</v>
      </c>
      <c r="D763" t="s">
        <v>1612</v>
      </c>
    </row>
    <row r="764" spans="3:4" x14ac:dyDescent="0.2">
      <c r="C764" t="s">
        <v>1613</v>
      </c>
      <c r="D764" t="s">
        <v>1614</v>
      </c>
    </row>
    <row r="765" spans="3:4" x14ac:dyDescent="0.2">
      <c r="C765" t="s">
        <v>1615</v>
      </c>
      <c r="D765" t="s">
        <v>1616</v>
      </c>
    </row>
    <row r="766" spans="3:4" x14ac:dyDescent="0.2">
      <c r="C766" t="s">
        <v>1617</v>
      </c>
      <c r="D766" t="s">
        <v>1618</v>
      </c>
    </row>
    <row r="767" spans="3:4" x14ac:dyDescent="0.2">
      <c r="C767" t="s">
        <v>1619</v>
      </c>
      <c r="D767" t="s">
        <v>1620</v>
      </c>
    </row>
    <row r="768" spans="3:4" x14ac:dyDescent="0.2">
      <c r="C768" t="s">
        <v>1621</v>
      </c>
    </row>
    <row r="769" spans="3:4" x14ac:dyDescent="0.2">
      <c r="C769" t="s">
        <v>1622</v>
      </c>
      <c r="D769" t="s">
        <v>1623</v>
      </c>
    </row>
    <row r="770" spans="3:4" x14ac:dyDescent="0.2">
      <c r="C770" t="s">
        <v>1624</v>
      </c>
      <c r="D770" t="s">
        <v>1625</v>
      </c>
    </row>
    <row r="771" spans="3:4" x14ac:dyDescent="0.2">
      <c r="C771" t="s">
        <v>1626</v>
      </c>
    </row>
    <row r="772" spans="3:4" x14ac:dyDescent="0.2">
      <c r="C772" t="s">
        <v>1627</v>
      </c>
      <c r="D772" t="s">
        <v>1628</v>
      </c>
    </row>
    <row r="773" spans="3:4" x14ac:dyDescent="0.2">
      <c r="C773" t="s">
        <v>1629</v>
      </c>
      <c r="D773" t="s">
        <v>1630</v>
      </c>
    </row>
    <row r="774" spans="3:4" x14ac:dyDescent="0.2">
      <c r="C774" t="s">
        <v>1631</v>
      </c>
      <c r="D774" t="s">
        <v>1632</v>
      </c>
    </row>
    <row r="775" spans="3:4" x14ac:dyDescent="0.2">
      <c r="C775" t="s">
        <v>1633</v>
      </c>
      <c r="D775" t="s">
        <v>1634</v>
      </c>
    </row>
    <row r="776" spans="3:4" x14ac:dyDescent="0.2">
      <c r="C776" t="s">
        <v>1635</v>
      </c>
      <c r="D776" t="s">
        <v>1636</v>
      </c>
    </row>
    <row r="777" spans="3:4" x14ac:dyDescent="0.2">
      <c r="C777" t="s">
        <v>1637</v>
      </c>
      <c r="D777" t="s">
        <v>1638</v>
      </c>
    </row>
    <row r="778" spans="3:4" x14ac:dyDescent="0.2">
      <c r="C778" t="s">
        <v>1639</v>
      </c>
      <c r="D778" t="s">
        <v>1640</v>
      </c>
    </row>
    <row r="779" spans="3:4" x14ac:dyDescent="0.2">
      <c r="C779" t="s">
        <v>1641</v>
      </c>
      <c r="D779" t="s">
        <v>1642</v>
      </c>
    </row>
    <row r="780" spans="3:4" x14ac:dyDescent="0.2">
      <c r="C780" t="s">
        <v>1643</v>
      </c>
      <c r="D780" t="s">
        <v>1644</v>
      </c>
    </row>
    <row r="781" spans="3:4" x14ac:dyDescent="0.2">
      <c r="C781" t="s">
        <v>1645</v>
      </c>
      <c r="D781" t="s">
        <v>1646</v>
      </c>
    </row>
    <row r="782" spans="3:4" x14ac:dyDescent="0.2">
      <c r="C782" t="s">
        <v>1647</v>
      </c>
      <c r="D782" t="s">
        <v>1648</v>
      </c>
    </row>
    <row r="783" spans="3:4" x14ac:dyDescent="0.2">
      <c r="C783" t="s">
        <v>1649</v>
      </c>
      <c r="D783" t="s">
        <v>1650</v>
      </c>
    </row>
    <row r="784" spans="3:4" x14ac:dyDescent="0.2">
      <c r="C784" t="s">
        <v>1651</v>
      </c>
      <c r="D784" t="s">
        <v>1652</v>
      </c>
    </row>
    <row r="785" spans="3:4" x14ac:dyDescent="0.2">
      <c r="C785" t="s">
        <v>1653</v>
      </c>
      <c r="D785" t="s">
        <v>1654</v>
      </c>
    </row>
    <row r="786" spans="3:4" x14ac:dyDescent="0.2">
      <c r="C786" t="s">
        <v>1655</v>
      </c>
      <c r="D786" t="s">
        <v>1656</v>
      </c>
    </row>
    <row r="787" spans="3:4" x14ac:dyDescent="0.2">
      <c r="C787" t="s">
        <v>1657</v>
      </c>
      <c r="D787" t="s">
        <v>1658</v>
      </c>
    </row>
    <row r="788" spans="3:4" x14ac:dyDescent="0.2">
      <c r="C788" t="s">
        <v>1659</v>
      </c>
      <c r="D788" t="s">
        <v>1660</v>
      </c>
    </row>
    <row r="789" spans="3:4" x14ac:dyDescent="0.2">
      <c r="C789" t="s">
        <v>1661</v>
      </c>
      <c r="D789" t="s">
        <v>1662</v>
      </c>
    </row>
    <row r="790" spans="3:4" x14ac:dyDescent="0.2">
      <c r="C790" t="s">
        <v>1663</v>
      </c>
    </row>
    <row r="791" spans="3:4" x14ac:dyDescent="0.2">
      <c r="C791" t="s">
        <v>1664</v>
      </c>
      <c r="D791" t="s">
        <v>1665</v>
      </c>
    </row>
    <row r="792" spans="3:4" x14ac:dyDescent="0.2">
      <c r="C792" t="s">
        <v>1666</v>
      </c>
    </row>
    <row r="793" spans="3:4" x14ac:dyDescent="0.2">
      <c r="C793" t="s">
        <v>1667</v>
      </c>
      <c r="D793" t="s">
        <v>1668</v>
      </c>
    </row>
    <row r="794" spans="3:4" x14ac:dyDescent="0.2">
      <c r="C794" t="s">
        <v>1669</v>
      </c>
      <c r="D794" t="s">
        <v>1670</v>
      </c>
    </row>
    <row r="795" spans="3:4" x14ac:dyDescent="0.2">
      <c r="C795" t="s">
        <v>1671</v>
      </c>
      <c r="D795" t="s">
        <v>1672</v>
      </c>
    </row>
    <row r="796" spans="3:4" x14ac:dyDescent="0.2">
      <c r="C796" t="s">
        <v>1673</v>
      </c>
      <c r="D796" t="s">
        <v>1674</v>
      </c>
    </row>
    <row r="797" spans="3:4" x14ac:dyDescent="0.2">
      <c r="C797" t="s">
        <v>1675</v>
      </c>
      <c r="D797" t="s">
        <v>1676</v>
      </c>
    </row>
    <row r="798" spans="3:4" x14ac:dyDescent="0.2">
      <c r="C798" t="s">
        <v>1677</v>
      </c>
      <c r="D798" t="s">
        <v>1678</v>
      </c>
    </row>
    <row r="799" spans="3:4" x14ac:dyDescent="0.2">
      <c r="C799" t="s">
        <v>1679</v>
      </c>
      <c r="D799" t="s">
        <v>1680</v>
      </c>
    </row>
    <row r="800" spans="3:4" x14ac:dyDescent="0.2">
      <c r="C800" t="s">
        <v>1681</v>
      </c>
      <c r="D800" t="s">
        <v>1682</v>
      </c>
    </row>
    <row r="801" spans="3:4" x14ac:dyDescent="0.2">
      <c r="C801" t="s">
        <v>1683</v>
      </c>
      <c r="D801" t="s">
        <v>1684</v>
      </c>
    </row>
    <row r="802" spans="3:4" x14ac:dyDescent="0.2">
      <c r="C802" t="s">
        <v>1685</v>
      </c>
      <c r="D802" t="s">
        <v>1686</v>
      </c>
    </row>
    <row r="803" spans="3:4" x14ac:dyDescent="0.2">
      <c r="C803" t="s">
        <v>1687</v>
      </c>
      <c r="D803" t="s">
        <v>1688</v>
      </c>
    </row>
    <row r="804" spans="3:4" x14ac:dyDescent="0.2">
      <c r="C804" t="s">
        <v>1689</v>
      </c>
      <c r="D804" t="s">
        <v>1690</v>
      </c>
    </row>
    <row r="805" spans="3:4" x14ac:dyDescent="0.2">
      <c r="C805" t="s">
        <v>1691</v>
      </c>
      <c r="D805" t="s">
        <v>1692</v>
      </c>
    </row>
    <row r="806" spans="3:4" x14ac:dyDescent="0.2">
      <c r="C806" t="s">
        <v>1693</v>
      </c>
      <c r="D806" t="s">
        <v>1694</v>
      </c>
    </row>
    <row r="807" spans="3:4" x14ac:dyDescent="0.2">
      <c r="C807" t="s">
        <v>1695</v>
      </c>
    </row>
    <row r="808" spans="3:4" x14ac:dyDescent="0.2">
      <c r="C808" t="s">
        <v>1696</v>
      </c>
      <c r="D808" t="s">
        <v>1697</v>
      </c>
    </row>
    <row r="809" spans="3:4" x14ac:dyDescent="0.2">
      <c r="C809" t="s">
        <v>1698</v>
      </c>
      <c r="D809" t="s">
        <v>1699</v>
      </c>
    </row>
    <row r="810" spans="3:4" x14ac:dyDescent="0.2">
      <c r="C810" t="s">
        <v>1700</v>
      </c>
    </row>
    <row r="811" spans="3:4" x14ac:dyDescent="0.2">
      <c r="C811" t="s">
        <v>1701</v>
      </c>
      <c r="D811" t="s">
        <v>1702</v>
      </c>
    </row>
    <row r="812" spans="3:4" x14ac:dyDescent="0.2">
      <c r="C812" t="s">
        <v>1703</v>
      </c>
      <c r="D812" t="s">
        <v>1704</v>
      </c>
    </row>
    <row r="813" spans="3:4" x14ac:dyDescent="0.2">
      <c r="C813" t="s">
        <v>1705</v>
      </c>
      <c r="D813" t="s">
        <v>1706</v>
      </c>
    </row>
    <row r="814" spans="3:4" x14ac:dyDescent="0.2">
      <c r="C814" t="s">
        <v>1707</v>
      </c>
      <c r="D814" t="s">
        <v>1708</v>
      </c>
    </row>
    <row r="815" spans="3:4" x14ac:dyDescent="0.2">
      <c r="C815" t="s">
        <v>1709</v>
      </c>
      <c r="D815" t="s">
        <v>1710</v>
      </c>
    </row>
    <row r="816" spans="3:4" x14ac:dyDescent="0.2">
      <c r="C816" t="s">
        <v>1711</v>
      </c>
      <c r="D816" t="s">
        <v>1712</v>
      </c>
    </row>
    <row r="817" spans="3:4" x14ac:dyDescent="0.2">
      <c r="C817" t="s">
        <v>1713</v>
      </c>
      <c r="D817" t="s">
        <v>1714</v>
      </c>
    </row>
    <row r="818" spans="3:4" x14ac:dyDescent="0.2">
      <c r="C818" t="s">
        <v>1715</v>
      </c>
    </row>
    <row r="819" spans="3:4" x14ac:dyDescent="0.2">
      <c r="C819" t="s">
        <v>1716</v>
      </c>
      <c r="D819" t="s">
        <v>1717</v>
      </c>
    </row>
    <row r="820" spans="3:4" x14ac:dyDescent="0.2">
      <c r="C820" t="s">
        <v>1718</v>
      </c>
    </row>
    <row r="821" spans="3:4" x14ac:dyDescent="0.2">
      <c r="C821" t="s">
        <v>1719</v>
      </c>
      <c r="D821" t="s">
        <v>1720</v>
      </c>
    </row>
    <row r="822" spans="3:4" x14ac:dyDescent="0.2">
      <c r="C822" t="s">
        <v>1721</v>
      </c>
      <c r="D822" t="s">
        <v>1722</v>
      </c>
    </row>
    <row r="823" spans="3:4" x14ac:dyDescent="0.2">
      <c r="C823" t="s">
        <v>1723</v>
      </c>
      <c r="D823" t="s">
        <v>1724</v>
      </c>
    </row>
    <row r="824" spans="3:4" x14ac:dyDescent="0.2">
      <c r="C824" t="s">
        <v>1725</v>
      </c>
      <c r="D824" t="s">
        <v>1726</v>
      </c>
    </row>
    <row r="825" spans="3:4" x14ac:dyDescent="0.2">
      <c r="C825" t="s">
        <v>1727</v>
      </c>
      <c r="D825" t="s">
        <v>1728</v>
      </c>
    </row>
    <row r="826" spans="3:4" x14ac:dyDescent="0.2">
      <c r="C826" t="s">
        <v>1729</v>
      </c>
      <c r="D826" t="s">
        <v>1730</v>
      </c>
    </row>
    <row r="827" spans="3:4" x14ac:dyDescent="0.2">
      <c r="C827" t="s">
        <v>1731</v>
      </c>
      <c r="D827" t="s">
        <v>1732</v>
      </c>
    </row>
    <row r="828" spans="3:4" x14ac:dyDescent="0.2">
      <c r="C828" t="s">
        <v>1733</v>
      </c>
      <c r="D828" t="s">
        <v>1734</v>
      </c>
    </row>
    <row r="829" spans="3:4" x14ac:dyDescent="0.2">
      <c r="C829" t="s">
        <v>1735</v>
      </c>
    </row>
    <row r="830" spans="3:4" x14ac:dyDescent="0.2">
      <c r="C830" t="s">
        <v>1736</v>
      </c>
      <c r="D830" t="s">
        <v>1737</v>
      </c>
    </row>
    <row r="831" spans="3:4" x14ac:dyDescent="0.2">
      <c r="C831" t="s">
        <v>1738</v>
      </c>
    </row>
    <row r="832" spans="3:4" x14ac:dyDescent="0.2">
      <c r="C832" t="s">
        <v>1739</v>
      </c>
      <c r="D832" t="s">
        <v>1740</v>
      </c>
    </row>
    <row r="833" spans="3:4" x14ac:dyDescent="0.2">
      <c r="C833" t="s">
        <v>1741</v>
      </c>
      <c r="D833" t="s">
        <v>1742</v>
      </c>
    </row>
    <row r="834" spans="3:4" x14ac:dyDescent="0.2">
      <c r="C834" t="s">
        <v>1743</v>
      </c>
      <c r="D834" t="s">
        <v>1744</v>
      </c>
    </row>
    <row r="835" spans="3:4" x14ac:dyDescent="0.2">
      <c r="C835" t="s">
        <v>1745</v>
      </c>
      <c r="D835" t="s">
        <v>1746</v>
      </c>
    </row>
    <row r="836" spans="3:4" x14ac:dyDescent="0.2">
      <c r="C836" t="s">
        <v>1747</v>
      </c>
      <c r="D836" t="s">
        <v>1748</v>
      </c>
    </row>
    <row r="837" spans="3:4" x14ac:dyDescent="0.2">
      <c r="C837" t="s">
        <v>1749</v>
      </c>
      <c r="D837" t="s">
        <v>1750</v>
      </c>
    </row>
    <row r="838" spans="3:4" x14ac:dyDescent="0.2">
      <c r="C838" t="s">
        <v>1751</v>
      </c>
      <c r="D838" t="s">
        <v>1752</v>
      </c>
    </row>
    <row r="839" spans="3:4" x14ac:dyDescent="0.2">
      <c r="C839" t="s">
        <v>1753</v>
      </c>
      <c r="D839" t="s">
        <v>1754</v>
      </c>
    </row>
    <row r="840" spans="3:4" x14ac:dyDescent="0.2">
      <c r="C840" t="s">
        <v>1755</v>
      </c>
      <c r="D840" t="s">
        <v>1756</v>
      </c>
    </row>
    <row r="841" spans="3:4" x14ac:dyDescent="0.2">
      <c r="C841" t="s">
        <v>1757</v>
      </c>
      <c r="D841" t="s">
        <v>1758</v>
      </c>
    </row>
    <row r="842" spans="3:4" x14ac:dyDescent="0.2">
      <c r="C842" t="s">
        <v>1759</v>
      </c>
      <c r="D842" t="s">
        <v>1760</v>
      </c>
    </row>
    <row r="843" spans="3:4" x14ac:dyDescent="0.2">
      <c r="C843" t="s">
        <v>1761</v>
      </c>
      <c r="D843" t="s">
        <v>1762</v>
      </c>
    </row>
    <row r="844" spans="3:4" x14ac:dyDescent="0.2">
      <c r="C844" t="s">
        <v>1763</v>
      </c>
      <c r="D844" t="s">
        <v>1764</v>
      </c>
    </row>
    <row r="845" spans="3:4" x14ac:dyDescent="0.2">
      <c r="C845" t="s">
        <v>1765</v>
      </c>
      <c r="D845" t="s">
        <v>1766</v>
      </c>
    </row>
    <row r="846" spans="3:4" x14ac:dyDescent="0.2">
      <c r="C846" t="s">
        <v>1767</v>
      </c>
      <c r="D846" t="s">
        <v>1768</v>
      </c>
    </row>
    <row r="847" spans="3:4" x14ac:dyDescent="0.2">
      <c r="C847" t="s">
        <v>1769</v>
      </c>
      <c r="D847" t="s">
        <v>1770</v>
      </c>
    </row>
    <row r="848" spans="3:4" x14ac:dyDescent="0.2">
      <c r="C848" t="s">
        <v>1771</v>
      </c>
      <c r="D848" t="s">
        <v>1772</v>
      </c>
    </row>
    <row r="849" spans="3:4" x14ac:dyDescent="0.2">
      <c r="C849" t="s">
        <v>1773</v>
      </c>
      <c r="D849" t="s">
        <v>1774</v>
      </c>
    </row>
    <row r="850" spans="3:4" x14ac:dyDescent="0.2">
      <c r="C850" t="s">
        <v>1775</v>
      </c>
      <c r="D850" t="s">
        <v>1776</v>
      </c>
    </row>
    <row r="851" spans="3:4" x14ac:dyDescent="0.2">
      <c r="C851" t="s">
        <v>1777</v>
      </c>
      <c r="D851" t="s">
        <v>1778</v>
      </c>
    </row>
    <row r="852" spans="3:4" x14ac:dyDescent="0.2">
      <c r="C852" t="s">
        <v>1779</v>
      </c>
      <c r="D852" t="s">
        <v>1780</v>
      </c>
    </row>
    <row r="853" spans="3:4" x14ac:dyDescent="0.2">
      <c r="C853" t="s">
        <v>1781</v>
      </c>
      <c r="D853" t="s">
        <v>1782</v>
      </c>
    </row>
    <row r="854" spans="3:4" x14ac:dyDescent="0.2">
      <c r="C854" t="s">
        <v>1783</v>
      </c>
    </row>
    <row r="855" spans="3:4" x14ac:dyDescent="0.2">
      <c r="C855" t="s">
        <v>1784</v>
      </c>
      <c r="D855" t="s">
        <v>1785</v>
      </c>
    </row>
    <row r="856" spans="3:4" x14ac:dyDescent="0.2">
      <c r="C856" t="s">
        <v>1786</v>
      </c>
      <c r="D856" t="s">
        <v>1787</v>
      </c>
    </row>
    <row r="857" spans="3:4" x14ac:dyDescent="0.2">
      <c r="C857" t="s">
        <v>1788</v>
      </c>
      <c r="D857" t="s">
        <v>1789</v>
      </c>
    </row>
    <row r="858" spans="3:4" x14ac:dyDescent="0.2">
      <c r="C858" t="s">
        <v>1790</v>
      </c>
    </row>
    <row r="859" spans="3:4" x14ac:dyDescent="0.2">
      <c r="C859" t="s">
        <v>1791</v>
      </c>
      <c r="D859" t="s">
        <v>1792</v>
      </c>
    </row>
    <row r="860" spans="3:4" x14ac:dyDescent="0.2">
      <c r="C860" t="s">
        <v>1793</v>
      </c>
      <c r="D860" t="s">
        <v>1794</v>
      </c>
    </row>
    <row r="861" spans="3:4" x14ac:dyDescent="0.2">
      <c r="C861" t="s">
        <v>1795</v>
      </c>
      <c r="D861" t="s">
        <v>1796</v>
      </c>
    </row>
    <row r="862" spans="3:4" x14ac:dyDescent="0.2">
      <c r="C862" t="s">
        <v>1797</v>
      </c>
      <c r="D862" t="s">
        <v>1798</v>
      </c>
    </row>
    <row r="863" spans="3:4" x14ac:dyDescent="0.2">
      <c r="C863" t="s">
        <v>1799</v>
      </c>
      <c r="D863" t="s">
        <v>1800</v>
      </c>
    </row>
    <row r="864" spans="3:4" x14ac:dyDescent="0.2">
      <c r="C864" t="s">
        <v>1801</v>
      </c>
      <c r="D864" t="s">
        <v>1802</v>
      </c>
    </row>
    <row r="865" spans="3:4" x14ac:dyDescent="0.2">
      <c r="C865" t="s">
        <v>1803</v>
      </c>
      <c r="D865" t="s">
        <v>1804</v>
      </c>
    </row>
    <row r="866" spans="3:4" x14ac:dyDescent="0.2">
      <c r="C866" t="s">
        <v>1805</v>
      </c>
      <c r="D866" t="s">
        <v>1806</v>
      </c>
    </row>
    <row r="867" spans="3:4" x14ac:dyDescent="0.2">
      <c r="C867" t="s">
        <v>1807</v>
      </c>
      <c r="D867" t="s">
        <v>1808</v>
      </c>
    </row>
    <row r="868" spans="3:4" x14ac:dyDescent="0.2">
      <c r="C868" t="s">
        <v>1809</v>
      </c>
    </row>
    <row r="869" spans="3:4" x14ac:dyDescent="0.2">
      <c r="C869" t="s">
        <v>1810</v>
      </c>
      <c r="D869" t="s">
        <v>1811</v>
      </c>
    </row>
    <row r="870" spans="3:4" x14ac:dyDescent="0.2">
      <c r="C870" t="s">
        <v>1812</v>
      </c>
      <c r="D870" t="s">
        <v>1813</v>
      </c>
    </row>
    <row r="871" spans="3:4" x14ac:dyDescent="0.2">
      <c r="C871" t="s">
        <v>1814</v>
      </c>
      <c r="D871" t="s">
        <v>1815</v>
      </c>
    </row>
    <row r="872" spans="3:4" x14ac:dyDescent="0.2">
      <c r="C872" t="s">
        <v>1816</v>
      </c>
      <c r="D872" t="s">
        <v>1817</v>
      </c>
    </row>
    <row r="873" spans="3:4" x14ac:dyDescent="0.2">
      <c r="C873" t="s">
        <v>1818</v>
      </c>
      <c r="D873" t="s">
        <v>1819</v>
      </c>
    </row>
    <row r="874" spans="3:4" x14ac:dyDescent="0.2">
      <c r="C874" t="s">
        <v>1820</v>
      </c>
      <c r="D874" t="s">
        <v>1821</v>
      </c>
    </row>
    <row r="875" spans="3:4" x14ac:dyDescent="0.2">
      <c r="C875" t="s">
        <v>1822</v>
      </c>
      <c r="D875" t="s">
        <v>1823</v>
      </c>
    </row>
    <row r="876" spans="3:4" x14ac:dyDescent="0.2">
      <c r="C876" t="s">
        <v>1824</v>
      </c>
      <c r="D876" t="s">
        <v>1825</v>
      </c>
    </row>
    <row r="877" spans="3:4" x14ac:dyDescent="0.2">
      <c r="C877" t="s">
        <v>1826</v>
      </c>
      <c r="D877" t="s">
        <v>1827</v>
      </c>
    </row>
    <row r="878" spans="3:4" x14ac:dyDescent="0.2">
      <c r="C878" t="s">
        <v>1828</v>
      </c>
      <c r="D878" t="s">
        <v>1829</v>
      </c>
    </row>
    <row r="879" spans="3:4" x14ac:dyDescent="0.2">
      <c r="C879" t="s">
        <v>1830</v>
      </c>
      <c r="D879" t="s">
        <v>1831</v>
      </c>
    </row>
    <row r="880" spans="3:4" x14ac:dyDescent="0.2">
      <c r="C880" t="s">
        <v>1832</v>
      </c>
      <c r="D880" t="s">
        <v>1833</v>
      </c>
    </row>
    <row r="881" spans="3:4" x14ac:dyDescent="0.2">
      <c r="C881" t="s">
        <v>1834</v>
      </c>
      <c r="D881" t="s">
        <v>1835</v>
      </c>
    </row>
    <row r="882" spans="3:4" x14ac:dyDescent="0.2">
      <c r="C882" t="s">
        <v>1836</v>
      </c>
      <c r="D882" t="s">
        <v>1837</v>
      </c>
    </row>
    <row r="883" spans="3:4" x14ac:dyDescent="0.2">
      <c r="C883" t="s">
        <v>1838</v>
      </c>
      <c r="D883" t="s">
        <v>1839</v>
      </c>
    </row>
    <row r="884" spans="3:4" x14ac:dyDescent="0.2">
      <c r="C884" t="s">
        <v>1840</v>
      </c>
      <c r="D884" t="s">
        <v>1841</v>
      </c>
    </row>
    <row r="885" spans="3:4" x14ac:dyDescent="0.2">
      <c r="C885" t="s">
        <v>1842</v>
      </c>
      <c r="D885" t="s">
        <v>1843</v>
      </c>
    </row>
    <row r="886" spans="3:4" x14ac:dyDescent="0.2">
      <c r="C886" t="s">
        <v>1844</v>
      </c>
      <c r="D886" t="s">
        <v>1845</v>
      </c>
    </row>
    <row r="887" spans="3:4" x14ac:dyDescent="0.2">
      <c r="C887" t="s">
        <v>1846</v>
      </c>
      <c r="D887" t="s">
        <v>1847</v>
      </c>
    </row>
    <row r="888" spans="3:4" x14ac:dyDescent="0.2">
      <c r="C888" t="s">
        <v>1848</v>
      </c>
      <c r="D888" t="s">
        <v>1849</v>
      </c>
    </row>
    <row r="889" spans="3:4" x14ac:dyDescent="0.2">
      <c r="C889" t="s">
        <v>1850</v>
      </c>
      <c r="D889" t="s">
        <v>1851</v>
      </c>
    </row>
    <row r="890" spans="3:4" x14ac:dyDescent="0.2">
      <c r="C890" t="s">
        <v>1852</v>
      </c>
      <c r="D890" t="s">
        <v>1853</v>
      </c>
    </row>
    <row r="891" spans="3:4" x14ac:dyDescent="0.2">
      <c r="C891" t="s">
        <v>1854</v>
      </c>
      <c r="D891" t="s">
        <v>1855</v>
      </c>
    </row>
    <row r="892" spans="3:4" x14ac:dyDescent="0.2">
      <c r="C892" t="s">
        <v>1856</v>
      </c>
      <c r="D892" t="s">
        <v>1857</v>
      </c>
    </row>
    <row r="893" spans="3:4" x14ac:dyDescent="0.2">
      <c r="C893" t="s">
        <v>1858</v>
      </c>
      <c r="D893" t="s">
        <v>1859</v>
      </c>
    </row>
    <row r="894" spans="3:4" x14ac:dyDescent="0.2">
      <c r="C894" t="s">
        <v>1860</v>
      </c>
      <c r="D894" t="s">
        <v>1861</v>
      </c>
    </row>
    <row r="895" spans="3:4" x14ac:dyDescent="0.2">
      <c r="C895" t="s">
        <v>1862</v>
      </c>
      <c r="D895" t="s">
        <v>1863</v>
      </c>
    </row>
    <row r="896" spans="3:4" x14ac:dyDescent="0.2">
      <c r="C896" t="s">
        <v>1864</v>
      </c>
      <c r="D896" t="s">
        <v>1865</v>
      </c>
    </row>
    <row r="897" spans="3:4" x14ac:dyDescent="0.2">
      <c r="C897" t="s">
        <v>1866</v>
      </c>
    </row>
    <row r="898" spans="3:4" x14ac:dyDescent="0.2">
      <c r="C898" t="s">
        <v>1867</v>
      </c>
      <c r="D898" t="s">
        <v>1868</v>
      </c>
    </row>
    <row r="899" spans="3:4" x14ac:dyDescent="0.2">
      <c r="C899" t="s">
        <v>1869</v>
      </c>
    </row>
    <row r="900" spans="3:4" x14ac:dyDescent="0.2">
      <c r="C900" t="s">
        <v>1870</v>
      </c>
      <c r="D900" t="s">
        <v>1871</v>
      </c>
    </row>
    <row r="901" spans="3:4" x14ac:dyDescent="0.2">
      <c r="C901" t="s">
        <v>1872</v>
      </c>
    </row>
    <row r="902" spans="3:4" x14ac:dyDescent="0.2">
      <c r="C902" t="s">
        <v>1873</v>
      </c>
      <c r="D902" t="s">
        <v>1874</v>
      </c>
    </row>
    <row r="903" spans="3:4" x14ac:dyDescent="0.2">
      <c r="C903" t="s">
        <v>1875</v>
      </c>
      <c r="D903" t="s">
        <v>1876</v>
      </c>
    </row>
    <row r="904" spans="3:4" x14ac:dyDescent="0.2">
      <c r="C904" t="s">
        <v>1877</v>
      </c>
      <c r="D904" t="s">
        <v>1878</v>
      </c>
    </row>
    <row r="905" spans="3:4" x14ac:dyDescent="0.2">
      <c r="C905" t="s">
        <v>1879</v>
      </c>
      <c r="D905" t="s">
        <v>1880</v>
      </c>
    </row>
    <row r="906" spans="3:4" x14ac:dyDescent="0.2">
      <c r="C906" t="s">
        <v>1881</v>
      </c>
      <c r="D906" t="s">
        <v>1882</v>
      </c>
    </row>
    <row r="907" spans="3:4" x14ac:dyDescent="0.2">
      <c r="C907" t="s">
        <v>1883</v>
      </c>
      <c r="D907" t="s">
        <v>1884</v>
      </c>
    </row>
    <row r="908" spans="3:4" x14ac:dyDescent="0.2">
      <c r="C908" t="s">
        <v>1885</v>
      </c>
      <c r="D908" t="s">
        <v>1886</v>
      </c>
    </row>
    <row r="909" spans="3:4" x14ac:dyDescent="0.2">
      <c r="C909" t="s">
        <v>1887</v>
      </c>
      <c r="D909" t="s">
        <v>1888</v>
      </c>
    </row>
    <row r="910" spans="3:4" x14ac:dyDescent="0.2">
      <c r="C910" t="s">
        <v>1889</v>
      </c>
      <c r="D910" t="s">
        <v>1890</v>
      </c>
    </row>
    <row r="911" spans="3:4" x14ac:dyDescent="0.2">
      <c r="C911" t="s">
        <v>1891</v>
      </c>
      <c r="D911" t="s">
        <v>1892</v>
      </c>
    </row>
    <row r="912" spans="3:4" x14ac:dyDescent="0.2">
      <c r="C912" t="s">
        <v>1893</v>
      </c>
      <c r="D912" t="s">
        <v>1894</v>
      </c>
    </row>
    <row r="913" spans="3:4" x14ac:dyDescent="0.2">
      <c r="C913" t="s">
        <v>1895</v>
      </c>
      <c r="D913" t="s">
        <v>1896</v>
      </c>
    </row>
    <row r="914" spans="3:4" x14ac:dyDescent="0.2">
      <c r="C914" t="s">
        <v>1897</v>
      </c>
      <c r="D914" t="s">
        <v>1898</v>
      </c>
    </row>
    <row r="915" spans="3:4" x14ac:dyDescent="0.2">
      <c r="C915" t="s">
        <v>1899</v>
      </c>
      <c r="D915" t="s">
        <v>1900</v>
      </c>
    </row>
    <row r="916" spans="3:4" x14ac:dyDescent="0.2">
      <c r="C916" t="s">
        <v>1901</v>
      </c>
      <c r="D916" t="s">
        <v>1902</v>
      </c>
    </row>
    <row r="917" spans="3:4" x14ac:dyDescent="0.2">
      <c r="C917" t="s">
        <v>1903</v>
      </c>
      <c r="D917" t="s">
        <v>1904</v>
      </c>
    </row>
    <row r="918" spans="3:4" x14ac:dyDescent="0.2">
      <c r="C918" t="s">
        <v>1905</v>
      </c>
      <c r="D918" t="s">
        <v>1906</v>
      </c>
    </row>
    <row r="919" spans="3:4" x14ac:dyDescent="0.2">
      <c r="C919" t="s">
        <v>1907</v>
      </c>
      <c r="D919" t="s">
        <v>1908</v>
      </c>
    </row>
    <row r="920" spans="3:4" x14ac:dyDescent="0.2">
      <c r="C920" t="s">
        <v>1909</v>
      </c>
      <c r="D920" t="s">
        <v>1910</v>
      </c>
    </row>
    <row r="921" spans="3:4" x14ac:dyDescent="0.2">
      <c r="C921" t="s">
        <v>1911</v>
      </c>
      <c r="D921" t="s">
        <v>1912</v>
      </c>
    </row>
    <row r="922" spans="3:4" x14ac:dyDescent="0.2">
      <c r="C922" t="s">
        <v>1913</v>
      </c>
      <c r="D922" t="s">
        <v>1914</v>
      </c>
    </row>
    <row r="923" spans="3:4" x14ac:dyDescent="0.2">
      <c r="C923" t="s">
        <v>1915</v>
      </c>
      <c r="D923" t="s">
        <v>1916</v>
      </c>
    </row>
    <row r="924" spans="3:4" x14ac:dyDescent="0.2">
      <c r="C924" t="s">
        <v>1917</v>
      </c>
      <c r="D924" t="s">
        <v>1918</v>
      </c>
    </row>
    <row r="925" spans="3:4" x14ac:dyDescent="0.2">
      <c r="C925" t="s">
        <v>1919</v>
      </c>
      <c r="D925" t="s">
        <v>1920</v>
      </c>
    </row>
    <row r="926" spans="3:4" x14ac:dyDescent="0.2">
      <c r="C926" t="s">
        <v>1921</v>
      </c>
      <c r="D926" t="s">
        <v>1922</v>
      </c>
    </row>
    <row r="927" spans="3:4" x14ac:dyDescent="0.2">
      <c r="C927" t="s">
        <v>1923</v>
      </c>
      <c r="D927" t="s">
        <v>1924</v>
      </c>
    </row>
    <row r="928" spans="3:4" x14ac:dyDescent="0.2">
      <c r="C928" t="s">
        <v>1925</v>
      </c>
      <c r="D928" t="s">
        <v>1926</v>
      </c>
    </row>
    <row r="929" spans="3:4" x14ac:dyDescent="0.2">
      <c r="C929" t="s">
        <v>1927</v>
      </c>
      <c r="D929" t="s">
        <v>1928</v>
      </c>
    </row>
    <row r="930" spans="3:4" x14ac:dyDescent="0.2">
      <c r="C930" t="s">
        <v>1929</v>
      </c>
      <c r="D930" t="s">
        <v>1930</v>
      </c>
    </row>
    <row r="931" spans="3:4" x14ac:dyDescent="0.2">
      <c r="C931" t="s">
        <v>1931</v>
      </c>
      <c r="D931" t="s">
        <v>1932</v>
      </c>
    </row>
    <row r="932" spans="3:4" x14ac:dyDescent="0.2">
      <c r="C932" t="s">
        <v>1933</v>
      </c>
      <c r="D932" t="s">
        <v>1934</v>
      </c>
    </row>
    <row r="933" spans="3:4" x14ac:dyDescent="0.2">
      <c r="C933" t="s">
        <v>1935</v>
      </c>
      <c r="D933" t="s">
        <v>1936</v>
      </c>
    </row>
    <row r="934" spans="3:4" x14ac:dyDescent="0.2">
      <c r="C934" t="s">
        <v>1937</v>
      </c>
      <c r="D934" t="s">
        <v>1938</v>
      </c>
    </row>
    <row r="935" spans="3:4" x14ac:dyDescent="0.2">
      <c r="C935" t="s">
        <v>1939</v>
      </c>
      <c r="D935" t="s">
        <v>1940</v>
      </c>
    </row>
    <row r="936" spans="3:4" x14ac:dyDescent="0.2">
      <c r="C936" t="s">
        <v>1941</v>
      </c>
      <c r="D936" t="s">
        <v>1942</v>
      </c>
    </row>
    <row r="937" spans="3:4" x14ac:dyDescent="0.2">
      <c r="C937" t="s">
        <v>1943</v>
      </c>
      <c r="D937" t="s">
        <v>1944</v>
      </c>
    </row>
    <row r="938" spans="3:4" x14ac:dyDescent="0.2">
      <c r="C938" t="s">
        <v>1945</v>
      </c>
      <c r="D938" t="s">
        <v>1946</v>
      </c>
    </row>
    <row r="939" spans="3:4" x14ac:dyDescent="0.2">
      <c r="C939" t="s">
        <v>1947</v>
      </c>
      <c r="D939" t="s">
        <v>1948</v>
      </c>
    </row>
    <row r="940" spans="3:4" x14ac:dyDescent="0.2">
      <c r="C940" t="s">
        <v>1949</v>
      </c>
      <c r="D940" t="s">
        <v>1950</v>
      </c>
    </row>
    <row r="941" spans="3:4" x14ac:dyDescent="0.2">
      <c r="C941" t="s">
        <v>1951</v>
      </c>
      <c r="D941" t="s">
        <v>1952</v>
      </c>
    </row>
    <row r="942" spans="3:4" x14ac:dyDescent="0.2">
      <c r="C942" t="s">
        <v>1953</v>
      </c>
    </row>
    <row r="943" spans="3:4" x14ac:dyDescent="0.2">
      <c r="C943" t="s">
        <v>1954</v>
      </c>
      <c r="D943" t="s">
        <v>1955</v>
      </c>
    </row>
    <row r="944" spans="3:4" x14ac:dyDescent="0.2">
      <c r="C944" t="s">
        <v>1956</v>
      </c>
      <c r="D944" t="s">
        <v>1957</v>
      </c>
    </row>
    <row r="945" spans="3:4" x14ac:dyDescent="0.2">
      <c r="C945" t="s">
        <v>1958</v>
      </c>
      <c r="D945" t="s">
        <v>1959</v>
      </c>
    </row>
    <row r="946" spans="3:4" x14ac:dyDescent="0.2">
      <c r="C946" t="s">
        <v>1960</v>
      </c>
      <c r="D946" t="s">
        <v>1961</v>
      </c>
    </row>
    <row r="947" spans="3:4" x14ac:dyDescent="0.2">
      <c r="C947" t="s">
        <v>1962</v>
      </c>
      <c r="D947" t="s">
        <v>1963</v>
      </c>
    </row>
    <row r="948" spans="3:4" x14ac:dyDescent="0.2">
      <c r="C948" t="s">
        <v>1964</v>
      </c>
      <c r="D948" t="s">
        <v>1965</v>
      </c>
    </row>
    <row r="949" spans="3:4" x14ac:dyDescent="0.2">
      <c r="C949" t="s">
        <v>1966</v>
      </c>
      <c r="D949" t="s">
        <v>1967</v>
      </c>
    </row>
    <row r="950" spans="3:4" x14ac:dyDescent="0.2">
      <c r="C950" t="s">
        <v>1968</v>
      </c>
      <c r="D950" t="s">
        <v>1969</v>
      </c>
    </row>
    <row r="951" spans="3:4" x14ac:dyDescent="0.2">
      <c r="C951" t="s">
        <v>1970</v>
      </c>
      <c r="D951" t="s">
        <v>1971</v>
      </c>
    </row>
    <row r="952" spans="3:4" x14ac:dyDescent="0.2">
      <c r="C952" t="s">
        <v>1972</v>
      </c>
      <c r="D952" t="s">
        <v>1973</v>
      </c>
    </row>
    <row r="953" spans="3:4" x14ac:dyDescent="0.2">
      <c r="C953" t="s">
        <v>1974</v>
      </c>
      <c r="D953" t="s">
        <v>1975</v>
      </c>
    </row>
    <row r="954" spans="3:4" x14ac:dyDescent="0.2">
      <c r="C954" t="s">
        <v>1976</v>
      </c>
      <c r="D954" t="s">
        <v>1977</v>
      </c>
    </row>
    <row r="955" spans="3:4" x14ac:dyDescent="0.2">
      <c r="C955" t="s">
        <v>1978</v>
      </c>
      <c r="D955" t="s">
        <v>1979</v>
      </c>
    </row>
    <row r="956" spans="3:4" x14ac:dyDescent="0.2">
      <c r="C956" t="s">
        <v>1980</v>
      </c>
      <c r="D956" t="s">
        <v>1981</v>
      </c>
    </row>
    <row r="957" spans="3:4" x14ac:dyDescent="0.2">
      <c r="C957" t="s">
        <v>1982</v>
      </c>
      <c r="D957" t="s">
        <v>1983</v>
      </c>
    </row>
    <row r="958" spans="3:4" x14ac:dyDescent="0.2">
      <c r="C958" t="s">
        <v>1984</v>
      </c>
      <c r="D958" t="s">
        <v>1985</v>
      </c>
    </row>
    <row r="959" spans="3:4" x14ac:dyDescent="0.2">
      <c r="C959" t="s">
        <v>1986</v>
      </c>
      <c r="D959" t="s">
        <v>1987</v>
      </c>
    </row>
    <row r="960" spans="3:4" x14ac:dyDescent="0.2">
      <c r="C960" t="s">
        <v>1988</v>
      </c>
      <c r="D960" t="s">
        <v>1989</v>
      </c>
    </row>
    <row r="961" spans="3:4" x14ac:dyDescent="0.2">
      <c r="C961" t="s">
        <v>1990</v>
      </c>
    </row>
    <row r="962" spans="3:4" x14ac:dyDescent="0.2">
      <c r="C962" t="s">
        <v>1991</v>
      </c>
      <c r="D962" t="s">
        <v>1992</v>
      </c>
    </row>
    <row r="963" spans="3:4" x14ac:dyDescent="0.2">
      <c r="C963" t="s">
        <v>1993</v>
      </c>
    </row>
    <row r="964" spans="3:4" x14ac:dyDescent="0.2">
      <c r="C964" t="s">
        <v>1994</v>
      </c>
      <c r="D964" t="s">
        <v>1995</v>
      </c>
    </row>
    <row r="965" spans="3:4" x14ac:dyDescent="0.2">
      <c r="C965" t="s">
        <v>1996</v>
      </c>
      <c r="D965" t="s">
        <v>1997</v>
      </c>
    </row>
    <row r="966" spans="3:4" x14ac:dyDescent="0.2">
      <c r="C966" t="s">
        <v>1998</v>
      </c>
      <c r="D966" t="s">
        <v>1999</v>
      </c>
    </row>
    <row r="967" spans="3:4" x14ac:dyDescent="0.2">
      <c r="C967" t="s">
        <v>2000</v>
      </c>
      <c r="D967" t="s">
        <v>2001</v>
      </c>
    </row>
    <row r="968" spans="3:4" x14ac:dyDescent="0.2">
      <c r="C968" t="s">
        <v>2002</v>
      </c>
      <c r="D968" t="s">
        <v>2003</v>
      </c>
    </row>
    <row r="969" spans="3:4" x14ac:dyDescent="0.2">
      <c r="C969" t="s">
        <v>2004</v>
      </c>
      <c r="D969" t="s">
        <v>2005</v>
      </c>
    </row>
    <row r="970" spans="3:4" x14ac:dyDescent="0.2">
      <c r="C970" t="s">
        <v>2006</v>
      </c>
    </row>
    <row r="971" spans="3:4" x14ac:dyDescent="0.2">
      <c r="C971" t="s">
        <v>2007</v>
      </c>
    </row>
    <row r="972" spans="3:4" x14ac:dyDescent="0.2">
      <c r="C972" t="s">
        <v>2008</v>
      </c>
      <c r="D972" t="s">
        <v>2009</v>
      </c>
    </row>
    <row r="973" spans="3:4" x14ac:dyDescent="0.2">
      <c r="C973" t="s">
        <v>2010</v>
      </c>
      <c r="D973" t="s">
        <v>2011</v>
      </c>
    </row>
    <row r="974" spans="3:4" x14ac:dyDescent="0.2">
      <c r="C974" t="s">
        <v>2012</v>
      </c>
      <c r="D974" t="s">
        <v>2013</v>
      </c>
    </row>
    <row r="975" spans="3:4" x14ac:dyDescent="0.2">
      <c r="C975" t="s">
        <v>2014</v>
      </c>
    </row>
    <row r="976" spans="3:4" x14ac:dyDescent="0.2">
      <c r="C976" t="s">
        <v>2015</v>
      </c>
      <c r="D976" t="s">
        <v>2016</v>
      </c>
    </row>
    <row r="977" spans="3:4" x14ac:dyDescent="0.2">
      <c r="C977" t="s">
        <v>2017</v>
      </c>
      <c r="D977" t="s">
        <v>2018</v>
      </c>
    </row>
    <row r="978" spans="3:4" x14ac:dyDescent="0.2">
      <c r="C978" t="s">
        <v>2019</v>
      </c>
      <c r="D978" t="s">
        <v>2020</v>
      </c>
    </row>
    <row r="979" spans="3:4" x14ac:dyDescent="0.2">
      <c r="C979" t="s">
        <v>2021</v>
      </c>
      <c r="D979" t="s">
        <v>2022</v>
      </c>
    </row>
    <row r="980" spans="3:4" x14ac:dyDescent="0.2">
      <c r="C980" t="s">
        <v>2023</v>
      </c>
      <c r="D980" t="s">
        <v>2024</v>
      </c>
    </row>
    <row r="981" spans="3:4" x14ac:dyDescent="0.2">
      <c r="C981" t="s">
        <v>2025</v>
      </c>
      <c r="D981" t="s">
        <v>2026</v>
      </c>
    </row>
    <row r="982" spans="3:4" x14ac:dyDescent="0.2">
      <c r="C982" t="s">
        <v>2027</v>
      </c>
      <c r="D982" t="s">
        <v>2028</v>
      </c>
    </row>
    <row r="983" spans="3:4" x14ac:dyDescent="0.2">
      <c r="C983" t="s">
        <v>2029</v>
      </c>
      <c r="D983" t="s">
        <v>2030</v>
      </c>
    </row>
    <row r="984" spans="3:4" x14ac:dyDescent="0.2">
      <c r="C984" t="s">
        <v>2031</v>
      </c>
      <c r="D984" t="s">
        <v>2032</v>
      </c>
    </row>
    <row r="985" spans="3:4" x14ac:dyDescent="0.2">
      <c r="C985" t="s">
        <v>2033</v>
      </c>
      <c r="D985" t="s">
        <v>2034</v>
      </c>
    </row>
    <row r="986" spans="3:4" x14ac:dyDescent="0.2">
      <c r="C986" t="s">
        <v>2035</v>
      </c>
      <c r="D986" t="s">
        <v>2036</v>
      </c>
    </row>
    <row r="987" spans="3:4" x14ac:dyDescent="0.2">
      <c r="C987" t="s">
        <v>2037</v>
      </c>
      <c r="D987" t="s">
        <v>2038</v>
      </c>
    </row>
    <row r="988" spans="3:4" x14ac:dyDescent="0.2">
      <c r="C988" t="s">
        <v>2039</v>
      </c>
      <c r="D988" t="s">
        <v>2040</v>
      </c>
    </row>
    <row r="989" spans="3:4" x14ac:dyDescent="0.2">
      <c r="C989" t="s">
        <v>2041</v>
      </c>
      <c r="D989" t="s">
        <v>2042</v>
      </c>
    </row>
    <row r="990" spans="3:4" x14ac:dyDescent="0.2">
      <c r="C990" t="s">
        <v>2043</v>
      </c>
      <c r="D990" t="s">
        <v>2044</v>
      </c>
    </row>
    <row r="991" spans="3:4" x14ac:dyDescent="0.2">
      <c r="C991" t="s">
        <v>2045</v>
      </c>
      <c r="D991" t="s">
        <v>2046</v>
      </c>
    </row>
    <row r="992" spans="3:4" x14ac:dyDescent="0.2">
      <c r="C992" t="s">
        <v>2047</v>
      </c>
      <c r="D992" t="s">
        <v>2048</v>
      </c>
    </row>
    <row r="993" spans="3:4" x14ac:dyDescent="0.2">
      <c r="C993" t="s">
        <v>2049</v>
      </c>
      <c r="D993" t="s">
        <v>2050</v>
      </c>
    </row>
    <row r="994" spans="3:4" x14ac:dyDescent="0.2">
      <c r="C994" t="s">
        <v>2051</v>
      </c>
      <c r="D994" t="s">
        <v>2052</v>
      </c>
    </row>
    <row r="995" spans="3:4" x14ac:dyDescent="0.2">
      <c r="C995" t="s">
        <v>2053</v>
      </c>
      <c r="D995" t="s">
        <v>2054</v>
      </c>
    </row>
    <row r="996" spans="3:4" x14ac:dyDescent="0.2">
      <c r="C996" t="s">
        <v>2055</v>
      </c>
      <c r="D996" t="s">
        <v>2056</v>
      </c>
    </row>
    <row r="997" spans="3:4" x14ac:dyDescent="0.2">
      <c r="C997" t="s">
        <v>2057</v>
      </c>
      <c r="D997" t="s">
        <v>2058</v>
      </c>
    </row>
    <row r="998" spans="3:4" x14ac:dyDescent="0.2">
      <c r="C998" t="s">
        <v>2059</v>
      </c>
      <c r="D998" t="s">
        <v>2060</v>
      </c>
    </row>
    <row r="999" spans="3:4" x14ac:dyDescent="0.2">
      <c r="C999" t="s">
        <v>2061</v>
      </c>
      <c r="D999" t="s">
        <v>2062</v>
      </c>
    </row>
    <row r="1000" spans="3:4" x14ac:dyDescent="0.2">
      <c r="C1000" t="s">
        <v>2063</v>
      </c>
      <c r="D1000" t="s">
        <v>2064</v>
      </c>
    </row>
    <row r="1001" spans="3:4" x14ac:dyDescent="0.2">
      <c r="C1001" t="s">
        <v>2065</v>
      </c>
      <c r="D1001" t="s">
        <v>2066</v>
      </c>
    </row>
    <row r="1002" spans="3:4" x14ac:dyDescent="0.2">
      <c r="C1002" t="s">
        <v>2067</v>
      </c>
      <c r="D1002" t="s">
        <v>2068</v>
      </c>
    </row>
    <row r="1003" spans="3:4" x14ac:dyDescent="0.2">
      <c r="C1003" t="s">
        <v>2069</v>
      </c>
      <c r="D1003" t="s">
        <v>2070</v>
      </c>
    </row>
    <row r="1004" spans="3:4" x14ac:dyDescent="0.2">
      <c r="C1004" t="s">
        <v>2071</v>
      </c>
      <c r="D1004" t="s">
        <v>2072</v>
      </c>
    </row>
    <row r="1005" spans="3:4" x14ac:dyDescent="0.2">
      <c r="C1005" t="s">
        <v>2073</v>
      </c>
      <c r="D1005" t="s">
        <v>2074</v>
      </c>
    </row>
    <row r="1006" spans="3:4" x14ac:dyDescent="0.2">
      <c r="C1006" t="s">
        <v>2075</v>
      </c>
      <c r="D1006" t="s">
        <v>2076</v>
      </c>
    </row>
    <row r="1007" spans="3:4" x14ac:dyDescent="0.2">
      <c r="C1007" t="s">
        <v>2077</v>
      </c>
    </row>
    <row r="1008" spans="3:4" x14ac:dyDescent="0.2">
      <c r="C1008" t="s">
        <v>2078</v>
      </c>
      <c r="D1008" t="s">
        <v>2079</v>
      </c>
    </row>
    <row r="1009" spans="3:4" x14ac:dyDescent="0.2">
      <c r="C1009" t="s">
        <v>2080</v>
      </c>
      <c r="D1009" t="s">
        <v>2081</v>
      </c>
    </row>
    <row r="1010" spans="3:4" x14ac:dyDescent="0.2">
      <c r="C1010" t="s">
        <v>2082</v>
      </c>
      <c r="D1010" t="s">
        <v>2083</v>
      </c>
    </row>
    <row r="1011" spans="3:4" x14ac:dyDescent="0.2">
      <c r="C1011" t="s">
        <v>2084</v>
      </c>
      <c r="D1011" t="s">
        <v>2085</v>
      </c>
    </row>
    <row r="1012" spans="3:4" x14ac:dyDescent="0.2">
      <c r="C1012" t="s">
        <v>2086</v>
      </c>
    </row>
    <row r="1013" spans="3:4" x14ac:dyDescent="0.2">
      <c r="C1013" t="s">
        <v>2087</v>
      </c>
      <c r="D1013" t="s">
        <v>2088</v>
      </c>
    </row>
    <row r="1014" spans="3:4" x14ac:dyDescent="0.2">
      <c r="C1014" t="s">
        <v>2089</v>
      </c>
      <c r="D1014" t="s">
        <v>2090</v>
      </c>
    </row>
    <row r="1015" spans="3:4" x14ac:dyDescent="0.2">
      <c r="C1015" t="s">
        <v>2091</v>
      </c>
      <c r="D1015" t="s">
        <v>2092</v>
      </c>
    </row>
    <row r="1016" spans="3:4" x14ac:dyDescent="0.2">
      <c r="C1016" t="s">
        <v>2093</v>
      </c>
      <c r="D1016" t="s">
        <v>2094</v>
      </c>
    </row>
    <row r="1017" spans="3:4" x14ac:dyDescent="0.2">
      <c r="C1017" t="s">
        <v>2095</v>
      </c>
      <c r="D1017" t="s">
        <v>2096</v>
      </c>
    </row>
    <row r="1018" spans="3:4" x14ac:dyDescent="0.2">
      <c r="C1018" t="s">
        <v>2097</v>
      </c>
      <c r="D1018" t="s">
        <v>2098</v>
      </c>
    </row>
    <row r="1019" spans="3:4" x14ac:dyDescent="0.2">
      <c r="C1019" t="s">
        <v>2099</v>
      </c>
      <c r="D1019" t="s">
        <v>2100</v>
      </c>
    </row>
    <row r="1020" spans="3:4" x14ac:dyDescent="0.2">
      <c r="C1020" t="s">
        <v>2101</v>
      </c>
      <c r="D1020" t="s">
        <v>2102</v>
      </c>
    </row>
    <row r="1021" spans="3:4" x14ac:dyDescent="0.2">
      <c r="C1021" t="s">
        <v>2103</v>
      </c>
      <c r="D1021" t="s">
        <v>2104</v>
      </c>
    </row>
    <row r="1022" spans="3:4" x14ac:dyDescent="0.2">
      <c r="C1022" t="s">
        <v>2105</v>
      </c>
      <c r="D1022" t="s">
        <v>2106</v>
      </c>
    </row>
    <row r="1023" spans="3:4" x14ac:dyDescent="0.2">
      <c r="C1023" t="s">
        <v>2107</v>
      </c>
      <c r="D1023" t="s">
        <v>2108</v>
      </c>
    </row>
    <row r="1024" spans="3:4" x14ac:dyDescent="0.2">
      <c r="C1024" t="s">
        <v>2109</v>
      </c>
      <c r="D1024" t="s">
        <v>2110</v>
      </c>
    </row>
    <row r="1025" spans="3:4" x14ac:dyDescent="0.2">
      <c r="C1025" t="s">
        <v>2111</v>
      </c>
      <c r="D1025" t="s">
        <v>2112</v>
      </c>
    </row>
    <row r="1026" spans="3:4" x14ac:dyDescent="0.2">
      <c r="C1026" t="s">
        <v>2113</v>
      </c>
    </row>
    <row r="1027" spans="3:4" x14ac:dyDescent="0.2">
      <c r="C1027" t="s">
        <v>2114</v>
      </c>
      <c r="D1027" t="s">
        <v>2115</v>
      </c>
    </row>
    <row r="1028" spans="3:4" x14ac:dyDescent="0.2">
      <c r="C1028" t="s">
        <v>2116</v>
      </c>
      <c r="D1028" t="s">
        <v>2117</v>
      </c>
    </row>
    <row r="1029" spans="3:4" x14ac:dyDescent="0.2">
      <c r="C1029" t="s">
        <v>2118</v>
      </c>
    </row>
    <row r="1030" spans="3:4" x14ac:dyDescent="0.2">
      <c r="C1030" t="s">
        <v>2119</v>
      </c>
      <c r="D1030" t="s">
        <v>2120</v>
      </c>
    </row>
    <row r="1031" spans="3:4" x14ac:dyDescent="0.2">
      <c r="C1031" t="s">
        <v>2121</v>
      </c>
      <c r="D1031" t="s">
        <v>2122</v>
      </c>
    </row>
    <row r="1032" spans="3:4" x14ac:dyDescent="0.2">
      <c r="C1032" t="s">
        <v>2123</v>
      </c>
      <c r="D1032" t="s">
        <v>2124</v>
      </c>
    </row>
    <row r="1033" spans="3:4" x14ac:dyDescent="0.2">
      <c r="C1033" t="s">
        <v>2125</v>
      </c>
      <c r="D1033" t="s">
        <v>2126</v>
      </c>
    </row>
    <row r="1034" spans="3:4" x14ac:dyDescent="0.2">
      <c r="C1034" t="s">
        <v>2127</v>
      </c>
      <c r="D1034" t="s">
        <v>2128</v>
      </c>
    </row>
    <row r="1035" spans="3:4" x14ac:dyDescent="0.2">
      <c r="C1035" t="s">
        <v>2129</v>
      </c>
      <c r="D1035" t="s">
        <v>2130</v>
      </c>
    </row>
    <row r="1036" spans="3:4" x14ac:dyDescent="0.2">
      <c r="C1036" t="s">
        <v>2131</v>
      </c>
    </row>
    <row r="1037" spans="3:4" x14ac:dyDescent="0.2">
      <c r="C1037" t="s">
        <v>2132</v>
      </c>
      <c r="D1037" t="s">
        <v>2133</v>
      </c>
    </row>
    <row r="1038" spans="3:4" x14ac:dyDescent="0.2">
      <c r="C1038" t="s">
        <v>2134</v>
      </c>
      <c r="D1038" t="s">
        <v>2135</v>
      </c>
    </row>
    <row r="1039" spans="3:4" x14ac:dyDescent="0.2">
      <c r="C1039" t="s">
        <v>2136</v>
      </c>
      <c r="D1039" t="s">
        <v>2137</v>
      </c>
    </row>
    <row r="1040" spans="3:4" x14ac:dyDescent="0.2">
      <c r="C1040" t="s">
        <v>2138</v>
      </c>
      <c r="D1040" t="s">
        <v>2139</v>
      </c>
    </row>
    <row r="1041" spans="3:4" x14ac:dyDescent="0.2">
      <c r="C1041" t="s">
        <v>2140</v>
      </c>
      <c r="D1041" t="s">
        <v>2141</v>
      </c>
    </row>
    <row r="1042" spans="3:4" x14ac:dyDescent="0.2">
      <c r="C1042" t="s">
        <v>2142</v>
      </c>
    </row>
    <row r="1043" spans="3:4" x14ac:dyDescent="0.2">
      <c r="C1043" t="s">
        <v>2143</v>
      </c>
      <c r="D1043" t="s">
        <v>2144</v>
      </c>
    </row>
    <row r="1044" spans="3:4" x14ac:dyDescent="0.2">
      <c r="C1044" t="s">
        <v>2145</v>
      </c>
      <c r="D1044" t="s">
        <v>2146</v>
      </c>
    </row>
    <row r="1045" spans="3:4" x14ac:dyDescent="0.2">
      <c r="C1045" t="s">
        <v>2147</v>
      </c>
      <c r="D1045" t="s">
        <v>2148</v>
      </c>
    </row>
    <row r="1046" spans="3:4" x14ac:dyDescent="0.2">
      <c r="C1046" t="s">
        <v>2149</v>
      </c>
    </row>
    <row r="1047" spans="3:4" x14ac:dyDescent="0.2">
      <c r="C1047" t="s">
        <v>2150</v>
      </c>
      <c r="D1047" t="s">
        <v>2151</v>
      </c>
    </row>
    <row r="1048" spans="3:4" x14ac:dyDescent="0.2">
      <c r="C1048" t="s">
        <v>2152</v>
      </c>
    </row>
    <row r="1049" spans="3:4" x14ac:dyDescent="0.2">
      <c r="C1049" t="s">
        <v>2153</v>
      </c>
      <c r="D1049" t="s">
        <v>2154</v>
      </c>
    </row>
    <row r="1050" spans="3:4" x14ac:dyDescent="0.2">
      <c r="C1050" t="s">
        <v>2155</v>
      </c>
      <c r="D1050" t="s">
        <v>2156</v>
      </c>
    </row>
    <row r="1051" spans="3:4" x14ac:dyDescent="0.2">
      <c r="C1051" t="s">
        <v>2157</v>
      </c>
    </row>
    <row r="1052" spans="3:4" x14ac:dyDescent="0.2">
      <c r="C1052" t="s">
        <v>2158</v>
      </c>
      <c r="D1052" t="s">
        <v>2159</v>
      </c>
    </row>
    <row r="1053" spans="3:4" x14ac:dyDescent="0.2">
      <c r="C1053" t="s">
        <v>2160</v>
      </c>
    </row>
    <row r="1054" spans="3:4" x14ac:dyDescent="0.2">
      <c r="C1054" t="s">
        <v>2161</v>
      </c>
    </row>
    <row r="1055" spans="3:4" x14ac:dyDescent="0.2">
      <c r="C1055" t="s">
        <v>2162</v>
      </c>
      <c r="D1055" t="s">
        <v>2163</v>
      </c>
    </row>
    <row r="1056" spans="3:4" x14ac:dyDescent="0.2">
      <c r="C1056" t="s">
        <v>2164</v>
      </c>
      <c r="D1056" t="s">
        <v>2165</v>
      </c>
    </row>
    <row r="1057" spans="3:4" x14ac:dyDescent="0.2">
      <c r="C1057" t="s">
        <v>2166</v>
      </c>
      <c r="D1057" t="s">
        <v>2167</v>
      </c>
    </row>
    <row r="1058" spans="3:4" x14ac:dyDescent="0.2">
      <c r="C1058" t="s">
        <v>2168</v>
      </c>
      <c r="D1058" t="s">
        <v>2169</v>
      </c>
    </row>
    <row r="1059" spans="3:4" x14ac:dyDescent="0.2">
      <c r="C1059" t="s">
        <v>2170</v>
      </c>
      <c r="D1059" t="s">
        <v>2171</v>
      </c>
    </row>
    <row r="1060" spans="3:4" x14ac:dyDescent="0.2">
      <c r="C1060" t="s">
        <v>2172</v>
      </c>
      <c r="D1060" t="s">
        <v>2173</v>
      </c>
    </row>
    <row r="1061" spans="3:4" x14ac:dyDescent="0.2">
      <c r="C1061" t="s">
        <v>2174</v>
      </c>
      <c r="D1061" t="s">
        <v>2175</v>
      </c>
    </row>
    <row r="1062" spans="3:4" x14ac:dyDescent="0.2">
      <c r="C1062" t="s">
        <v>2176</v>
      </c>
      <c r="D1062" t="s">
        <v>2177</v>
      </c>
    </row>
    <row r="1063" spans="3:4" x14ac:dyDescent="0.2">
      <c r="C1063" t="s">
        <v>2178</v>
      </c>
      <c r="D1063" t="s">
        <v>2179</v>
      </c>
    </row>
    <row r="1064" spans="3:4" x14ac:dyDescent="0.2">
      <c r="C1064" t="s">
        <v>2180</v>
      </c>
      <c r="D1064" t="s">
        <v>2181</v>
      </c>
    </row>
    <row r="1065" spans="3:4" x14ac:dyDescent="0.2">
      <c r="C1065" t="s">
        <v>2182</v>
      </c>
      <c r="D1065" t="s">
        <v>2183</v>
      </c>
    </row>
    <row r="1066" spans="3:4" x14ac:dyDescent="0.2">
      <c r="C1066" t="s">
        <v>2184</v>
      </c>
      <c r="D1066" t="s">
        <v>2185</v>
      </c>
    </row>
    <row r="1067" spans="3:4" x14ac:dyDescent="0.2">
      <c r="C1067" t="s">
        <v>2186</v>
      </c>
      <c r="D1067" t="s">
        <v>2187</v>
      </c>
    </row>
    <row r="1068" spans="3:4" x14ac:dyDescent="0.2">
      <c r="C1068" t="s">
        <v>2188</v>
      </c>
      <c r="D1068" t="s">
        <v>2189</v>
      </c>
    </row>
    <row r="1069" spans="3:4" x14ac:dyDescent="0.2">
      <c r="C1069" t="s">
        <v>2190</v>
      </c>
      <c r="D1069" t="s">
        <v>2191</v>
      </c>
    </row>
    <row r="1070" spans="3:4" x14ac:dyDescent="0.2">
      <c r="C1070" t="s">
        <v>2192</v>
      </c>
      <c r="D1070" t="s">
        <v>2193</v>
      </c>
    </row>
    <row r="1071" spans="3:4" x14ac:dyDescent="0.2">
      <c r="C1071" t="s">
        <v>2194</v>
      </c>
      <c r="D1071" t="s">
        <v>2195</v>
      </c>
    </row>
    <row r="1072" spans="3:4" x14ac:dyDescent="0.2">
      <c r="C1072" t="s">
        <v>2196</v>
      </c>
    </row>
    <row r="1073" spans="3:4" x14ac:dyDescent="0.2">
      <c r="C1073" t="s">
        <v>2197</v>
      </c>
      <c r="D1073" t="s">
        <v>2198</v>
      </c>
    </row>
    <row r="1074" spans="3:4" x14ac:dyDescent="0.2">
      <c r="C1074" t="s">
        <v>2199</v>
      </c>
      <c r="D1074" t="s">
        <v>2200</v>
      </c>
    </row>
    <row r="1075" spans="3:4" x14ac:dyDescent="0.2">
      <c r="C1075" t="s">
        <v>2201</v>
      </c>
      <c r="D1075" t="s">
        <v>2202</v>
      </c>
    </row>
    <row r="1076" spans="3:4" x14ac:dyDescent="0.2">
      <c r="C1076" t="s">
        <v>2203</v>
      </c>
    </row>
    <row r="1077" spans="3:4" x14ac:dyDescent="0.2">
      <c r="C1077" t="s">
        <v>2204</v>
      </c>
      <c r="D1077" t="s">
        <v>2205</v>
      </c>
    </row>
    <row r="1078" spans="3:4" x14ac:dyDescent="0.2">
      <c r="C1078" t="s">
        <v>2206</v>
      </c>
      <c r="D1078" t="s">
        <v>2207</v>
      </c>
    </row>
    <row r="1079" spans="3:4" x14ac:dyDescent="0.2">
      <c r="C1079" t="s">
        <v>2208</v>
      </c>
      <c r="D1079" t="s">
        <v>2209</v>
      </c>
    </row>
    <row r="1080" spans="3:4" x14ac:dyDescent="0.2">
      <c r="C1080" t="s">
        <v>2210</v>
      </c>
      <c r="D1080" t="s">
        <v>2211</v>
      </c>
    </row>
    <row r="1081" spans="3:4" x14ac:dyDescent="0.2">
      <c r="C1081" t="s">
        <v>2212</v>
      </c>
    </row>
    <row r="1082" spans="3:4" x14ac:dyDescent="0.2">
      <c r="C1082" t="s">
        <v>2213</v>
      </c>
      <c r="D1082" t="s">
        <v>2214</v>
      </c>
    </row>
    <row r="1083" spans="3:4" x14ac:dyDescent="0.2">
      <c r="C1083" t="s">
        <v>2215</v>
      </c>
      <c r="D1083" t="s">
        <v>2216</v>
      </c>
    </row>
    <row r="1084" spans="3:4" x14ac:dyDescent="0.2">
      <c r="C1084" t="s">
        <v>2217</v>
      </c>
      <c r="D1084" t="s">
        <v>2218</v>
      </c>
    </row>
    <row r="1085" spans="3:4" x14ac:dyDescent="0.2">
      <c r="C1085" t="s">
        <v>2219</v>
      </c>
      <c r="D1085" t="s">
        <v>2220</v>
      </c>
    </row>
    <row r="1086" spans="3:4" x14ac:dyDescent="0.2">
      <c r="C1086" t="s">
        <v>2221</v>
      </c>
      <c r="D1086" t="s">
        <v>2222</v>
      </c>
    </row>
    <row r="1087" spans="3:4" x14ac:dyDescent="0.2">
      <c r="C1087" t="s">
        <v>2223</v>
      </c>
      <c r="D1087" t="s">
        <v>2224</v>
      </c>
    </row>
    <row r="1088" spans="3:4" x14ac:dyDescent="0.2">
      <c r="C1088" t="s">
        <v>2225</v>
      </c>
      <c r="D1088" t="s">
        <v>2226</v>
      </c>
    </row>
    <row r="1089" spans="3:4" x14ac:dyDescent="0.2">
      <c r="C1089" t="s">
        <v>2227</v>
      </c>
      <c r="D1089" t="s">
        <v>2228</v>
      </c>
    </row>
    <row r="1090" spans="3:4" x14ac:dyDescent="0.2">
      <c r="C1090" t="s">
        <v>2229</v>
      </c>
      <c r="D1090" t="s">
        <v>2230</v>
      </c>
    </row>
    <row r="1091" spans="3:4" x14ac:dyDescent="0.2">
      <c r="C1091" t="s">
        <v>2231</v>
      </c>
      <c r="D1091" t="s">
        <v>2232</v>
      </c>
    </row>
    <row r="1092" spans="3:4" x14ac:dyDescent="0.2">
      <c r="C1092" t="s">
        <v>2233</v>
      </c>
      <c r="D1092" t="s">
        <v>2234</v>
      </c>
    </row>
    <row r="1093" spans="3:4" x14ac:dyDescent="0.2">
      <c r="C1093" t="s">
        <v>2235</v>
      </c>
      <c r="D1093" t="s">
        <v>2236</v>
      </c>
    </row>
    <row r="1094" spans="3:4" x14ac:dyDescent="0.2">
      <c r="C1094" t="s">
        <v>2237</v>
      </c>
      <c r="D1094" t="s">
        <v>2238</v>
      </c>
    </row>
    <row r="1095" spans="3:4" x14ac:dyDescent="0.2">
      <c r="C1095" t="s">
        <v>2239</v>
      </c>
      <c r="D1095" t="s">
        <v>2240</v>
      </c>
    </row>
    <row r="1096" spans="3:4" x14ac:dyDescent="0.2">
      <c r="C1096" t="s">
        <v>2241</v>
      </c>
      <c r="D1096" t="s">
        <v>2242</v>
      </c>
    </row>
    <row r="1097" spans="3:4" x14ac:dyDescent="0.2">
      <c r="C1097" t="s">
        <v>2243</v>
      </c>
      <c r="D1097" t="s">
        <v>2244</v>
      </c>
    </row>
    <row r="1098" spans="3:4" x14ac:dyDescent="0.2">
      <c r="C1098" t="s">
        <v>2245</v>
      </c>
      <c r="D1098" t="s">
        <v>2246</v>
      </c>
    </row>
    <row r="1099" spans="3:4" x14ac:dyDescent="0.2">
      <c r="C1099" t="s">
        <v>2247</v>
      </c>
      <c r="D1099" t="s">
        <v>2248</v>
      </c>
    </row>
    <row r="1100" spans="3:4" x14ac:dyDescent="0.2">
      <c r="C1100" t="s">
        <v>2249</v>
      </c>
      <c r="D1100" t="s">
        <v>2250</v>
      </c>
    </row>
    <row r="1101" spans="3:4" x14ac:dyDescent="0.2">
      <c r="C1101" t="s">
        <v>2251</v>
      </c>
    </row>
    <row r="1102" spans="3:4" x14ac:dyDescent="0.2">
      <c r="C1102" t="s">
        <v>2252</v>
      </c>
      <c r="D1102" t="s">
        <v>2253</v>
      </c>
    </row>
    <row r="1103" spans="3:4" x14ac:dyDescent="0.2">
      <c r="C1103" t="s">
        <v>2254</v>
      </c>
      <c r="D1103" t="s">
        <v>2255</v>
      </c>
    </row>
    <row r="1104" spans="3:4" x14ac:dyDescent="0.2">
      <c r="C1104" t="s">
        <v>2256</v>
      </c>
      <c r="D1104" t="s">
        <v>2257</v>
      </c>
    </row>
    <row r="1105" spans="3:4" x14ac:dyDescent="0.2">
      <c r="C1105" t="s">
        <v>2258</v>
      </c>
      <c r="D1105" t="s">
        <v>2259</v>
      </c>
    </row>
    <row r="1106" spans="3:4" x14ac:dyDescent="0.2">
      <c r="C1106" t="s">
        <v>2260</v>
      </c>
      <c r="D1106" t="s">
        <v>2261</v>
      </c>
    </row>
    <row r="1107" spans="3:4" x14ac:dyDescent="0.2">
      <c r="C1107" t="s">
        <v>2262</v>
      </c>
      <c r="D1107" t="s">
        <v>2263</v>
      </c>
    </row>
    <row r="1108" spans="3:4" x14ac:dyDescent="0.2">
      <c r="C1108" t="s">
        <v>2264</v>
      </c>
      <c r="D1108" t="s">
        <v>2265</v>
      </c>
    </row>
    <row r="1109" spans="3:4" x14ac:dyDescent="0.2">
      <c r="C1109" t="s">
        <v>2266</v>
      </c>
      <c r="D1109" t="s">
        <v>2267</v>
      </c>
    </row>
    <row r="1110" spans="3:4" x14ac:dyDescent="0.2">
      <c r="C1110" t="s">
        <v>2268</v>
      </c>
      <c r="D1110" t="s">
        <v>2269</v>
      </c>
    </row>
    <row r="1111" spans="3:4" x14ac:dyDescent="0.2">
      <c r="C1111" t="s">
        <v>2270</v>
      </c>
      <c r="D1111" t="s">
        <v>2271</v>
      </c>
    </row>
    <row r="1112" spans="3:4" x14ac:dyDescent="0.2">
      <c r="C1112" t="s">
        <v>2272</v>
      </c>
      <c r="D1112" t="s">
        <v>2273</v>
      </c>
    </row>
    <row r="1113" spans="3:4" x14ac:dyDescent="0.2">
      <c r="C1113" t="s">
        <v>2274</v>
      </c>
      <c r="D1113" t="s">
        <v>2275</v>
      </c>
    </row>
    <row r="1114" spans="3:4" x14ac:dyDescent="0.2">
      <c r="C1114" t="s">
        <v>2276</v>
      </c>
      <c r="D1114" t="s">
        <v>2277</v>
      </c>
    </row>
    <row r="1115" spans="3:4" x14ac:dyDescent="0.2">
      <c r="C1115" t="s">
        <v>2278</v>
      </c>
      <c r="D1115" t="s">
        <v>2279</v>
      </c>
    </row>
    <row r="1116" spans="3:4" x14ac:dyDescent="0.2">
      <c r="C1116" t="s">
        <v>2280</v>
      </c>
      <c r="D1116" t="s">
        <v>2281</v>
      </c>
    </row>
    <row r="1117" spans="3:4" x14ac:dyDescent="0.2">
      <c r="C1117" t="s">
        <v>2282</v>
      </c>
    </row>
    <row r="1118" spans="3:4" x14ac:dyDescent="0.2">
      <c r="C1118" t="s">
        <v>2283</v>
      </c>
    </row>
    <row r="1119" spans="3:4" x14ac:dyDescent="0.2">
      <c r="C1119" t="s">
        <v>2284</v>
      </c>
      <c r="D1119" t="s">
        <v>2285</v>
      </c>
    </row>
    <row r="1120" spans="3:4" x14ac:dyDescent="0.2">
      <c r="C1120" t="s">
        <v>2286</v>
      </c>
      <c r="D1120" t="s">
        <v>2287</v>
      </c>
    </row>
    <row r="1121" spans="3:4" x14ac:dyDescent="0.2">
      <c r="C1121" t="s">
        <v>2288</v>
      </c>
    </row>
    <row r="1122" spans="3:4" x14ac:dyDescent="0.2">
      <c r="C1122" t="s">
        <v>2289</v>
      </c>
    </row>
    <row r="1123" spans="3:4" x14ac:dyDescent="0.2">
      <c r="C1123" t="s">
        <v>2290</v>
      </c>
      <c r="D1123" t="s">
        <v>2291</v>
      </c>
    </row>
    <row r="1124" spans="3:4" x14ac:dyDescent="0.2">
      <c r="C1124" t="s">
        <v>2292</v>
      </c>
      <c r="D1124" t="s">
        <v>2293</v>
      </c>
    </row>
    <row r="1125" spans="3:4" x14ac:dyDescent="0.2">
      <c r="C1125" t="s">
        <v>2294</v>
      </c>
      <c r="D1125" t="s">
        <v>2295</v>
      </c>
    </row>
    <row r="1126" spans="3:4" x14ac:dyDescent="0.2">
      <c r="C1126" t="s">
        <v>2296</v>
      </c>
      <c r="D1126" t="s">
        <v>2297</v>
      </c>
    </row>
    <row r="1127" spans="3:4" x14ac:dyDescent="0.2">
      <c r="C1127" t="s">
        <v>2298</v>
      </c>
    </row>
    <row r="1128" spans="3:4" x14ac:dyDescent="0.2">
      <c r="C1128" t="s">
        <v>2299</v>
      </c>
    </row>
    <row r="1129" spans="3:4" x14ac:dyDescent="0.2">
      <c r="C1129" t="s">
        <v>2300</v>
      </c>
      <c r="D1129" t="s">
        <v>2301</v>
      </c>
    </row>
    <row r="1130" spans="3:4" x14ac:dyDescent="0.2">
      <c r="C1130" t="s">
        <v>2302</v>
      </c>
    </row>
    <row r="1131" spans="3:4" x14ac:dyDescent="0.2">
      <c r="C1131" t="s">
        <v>2303</v>
      </c>
      <c r="D1131" t="s">
        <v>2304</v>
      </c>
    </row>
    <row r="1132" spans="3:4" x14ac:dyDescent="0.2">
      <c r="C1132" t="s">
        <v>2305</v>
      </c>
      <c r="D1132" t="s">
        <v>2306</v>
      </c>
    </row>
    <row r="1133" spans="3:4" x14ac:dyDescent="0.2">
      <c r="C1133" t="s">
        <v>2307</v>
      </c>
      <c r="D1133" t="s">
        <v>2308</v>
      </c>
    </row>
    <row r="1134" spans="3:4" x14ac:dyDescent="0.2">
      <c r="C1134" t="s">
        <v>2309</v>
      </c>
    </row>
    <row r="1135" spans="3:4" x14ac:dyDescent="0.2">
      <c r="C1135" t="s">
        <v>2310</v>
      </c>
      <c r="D1135" t="s">
        <v>2311</v>
      </c>
    </row>
    <row r="1136" spans="3:4" x14ac:dyDescent="0.2">
      <c r="C1136" t="s">
        <v>2312</v>
      </c>
    </row>
    <row r="1137" spans="3:4" x14ac:dyDescent="0.2">
      <c r="C1137" t="s">
        <v>2313</v>
      </c>
      <c r="D1137" t="s">
        <v>2314</v>
      </c>
    </row>
    <row r="1138" spans="3:4" x14ac:dyDescent="0.2">
      <c r="C1138" t="s">
        <v>2315</v>
      </c>
    </row>
    <row r="1139" spans="3:4" x14ac:dyDescent="0.2">
      <c r="C1139" t="s">
        <v>2316</v>
      </c>
    </row>
    <row r="1140" spans="3:4" x14ac:dyDescent="0.2">
      <c r="C1140" t="s">
        <v>2317</v>
      </c>
      <c r="D1140" t="s">
        <v>2318</v>
      </c>
    </row>
    <row r="1141" spans="3:4" x14ac:dyDescent="0.2">
      <c r="C1141" t="s">
        <v>2319</v>
      </c>
      <c r="D1141" t="s">
        <v>2320</v>
      </c>
    </row>
    <row r="1142" spans="3:4" x14ac:dyDescent="0.2">
      <c r="C1142" t="s">
        <v>2321</v>
      </c>
      <c r="D1142" t="s">
        <v>2322</v>
      </c>
    </row>
    <row r="1143" spans="3:4" x14ac:dyDescent="0.2">
      <c r="C1143" t="s">
        <v>2323</v>
      </c>
    </row>
    <row r="1144" spans="3:4" x14ac:dyDescent="0.2">
      <c r="C1144" t="s">
        <v>2324</v>
      </c>
      <c r="D1144" t="s">
        <v>2325</v>
      </c>
    </row>
    <row r="1145" spans="3:4" x14ac:dyDescent="0.2">
      <c r="C1145" t="s">
        <v>2326</v>
      </c>
    </row>
    <row r="1146" spans="3:4" x14ac:dyDescent="0.2">
      <c r="C1146" t="s">
        <v>2327</v>
      </c>
      <c r="D1146" t="s">
        <v>2328</v>
      </c>
    </row>
    <row r="1147" spans="3:4" x14ac:dyDescent="0.2">
      <c r="C1147" t="s">
        <v>2329</v>
      </c>
    </row>
    <row r="1148" spans="3:4" x14ac:dyDescent="0.2">
      <c r="C1148" t="s">
        <v>2330</v>
      </c>
      <c r="D1148" t="s">
        <v>2331</v>
      </c>
    </row>
    <row r="1149" spans="3:4" x14ac:dyDescent="0.2">
      <c r="C1149" t="s">
        <v>2332</v>
      </c>
    </row>
    <row r="1150" spans="3:4" x14ac:dyDescent="0.2">
      <c r="C1150" t="s">
        <v>2333</v>
      </c>
      <c r="D1150" t="s">
        <v>2334</v>
      </c>
    </row>
    <row r="1151" spans="3:4" x14ac:dyDescent="0.2">
      <c r="C1151" t="s">
        <v>2335</v>
      </c>
    </row>
    <row r="1152" spans="3:4" x14ac:dyDescent="0.2">
      <c r="C1152" t="s">
        <v>2336</v>
      </c>
      <c r="D1152" t="s">
        <v>2337</v>
      </c>
    </row>
    <row r="1153" spans="3:4" x14ac:dyDescent="0.2">
      <c r="C1153" t="s">
        <v>2338</v>
      </c>
      <c r="D1153" t="s">
        <v>2339</v>
      </c>
    </row>
    <row r="1154" spans="3:4" x14ac:dyDescent="0.2">
      <c r="C1154" t="s">
        <v>2340</v>
      </c>
      <c r="D1154" t="s">
        <v>2341</v>
      </c>
    </row>
    <row r="1155" spans="3:4" x14ac:dyDescent="0.2">
      <c r="C1155" t="s">
        <v>2342</v>
      </c>
      <c r="D1155" t="s">
        <v>2343</v>
      </c>
    </row>
    <row r="1156" spans="3:4" x14ac:dyDescent="0.2">
      <c r="C1156" t="s">
        <v>2344</v>
      </c>
      <c r="D1156" t="s">
        <v>2345</v>
      </c>
    </row>
    <row r="1157" spans="3:4" x14ac:dyDescent="0.2">
      <c r="C1157" t="s">
        <v>2346</v>
      </c>
      <c r="D1157" t="s">
        <v>2347</v>
      </c>
    </row>
    <row r="1158" spans="3:4" x14ac:dyDescent="0.2">
      <c r="C1158" t="s">
        <v>2348</v>
      </c>
      <c r="D1158" t="s">
        <v>2349</v>
      </c>
    </row>
    <row r="1159" spans="3:4" x14ac:dyDescent="0.2">
      <c r="C1159" t="s">
        <v>2350</v>
      </c>
      <c r="D1159" t="s">
        <v>2351</v>
      </c>
    </row>
    <row r="1160" spans="3:4" x14ac:dyDescent="0.2">
      <c r="C1160" t="s">
        <v>2352</v>
      </c>
      <c r="D1160" t="s">
        <v>2353</v>
      </c>
    </row>
    <row r="1161" spans="3:4" x14ac:dyDescent="0.2">
      <c r="C1161" t="s">
        <v>2354</v>
      </c>
      <c r="D1161" t="s">
        <v>2355</v>
      </c>
    </row>
    <row r="1162" spans="3:4" x14ac:dyDescent="0.2">
      <c r="C1162" t="s">
        <v>2356</v>
      </c>
      <c r="D1162" t="s">
        <v>2357</v>
      </c>
    </row>
    <row r="1163" spans="3:4" x14ac:dyDescent="0.2">
      <c r="C1163" t="s">
        <v>2358</v>
      </c>
      <c r="D1163" t="s">
        <v>2359</v>
      </c>
    </row>
    <row r="1164" spans="3:4" x14ac:dyDescent="0.2">
      <c r="C1164" t="s">
        <v>2360</v>
      </c>
      <c r="D1164" t="s">
        <v>2361</v>
      </c>
    </row>
    <row r="1165" spans="3:4" x14ac:dyDescent="0.2">
      <c r="C1165" t="s">
        <v>2362</v>
      </c>
      <c r="D1165" t="s">
        <v>2363</v>
      </c>
    </row>
    <row r="1166" spans="3:4" x14ac:dyDescent="0.2">
      <c r="C1166" t="s">
        <v>2364</v>
      </c>
      <c r="D1166" t="s">
        <v>2365</v>
      </c>
    </row>
    <row r="1167" spans="3:4" x14ac:dyDescent="0.2">
      <c r="C1167" t="s">
        <v>2366</v>
      </c>
      <c r="D1167" t="s">
        <v>2367</v>
      </c>
    </row>
    <row r="1168" spans="3:4" x14ac:dyDescent="0.2">
      <c r="C1168" t="s">
        <v>2368</v>
      </c>
      <c r="D1168" t="s">
        <v>2369</v>
      </c>
    </row>
    <row r="1169" spans="3:4" x14ac:dyDescent="0.2">
      <c r="C1169" t="s">
        <v>2370</v>
      </c>
      <c r="D1169" t="s">
        <v>2371</v>
      </c>
    </row>
    <row r="1170" spans="3:4" x14ac:dyDescent="0.2">
      <c r="C1170" t="s">
        <v>2372</v>
      </c>
      <c r="D1170" t="s">
        <v>2373</v>
      </c>
    </row>
    <row r="1171" spans="3:4" x14ac:dyDescent="0.2">
      <c r="C1171" t="s">
        <v>2374</v>
      </c>
      <c r="D1171" t="s">
        <v>2375</v>
      </c>
    </row>
    <row r="1172" spans="3:4" x14ac:dyDescent="0.2">
      <c r="C1172" t="s">
        <v>2376</v>
      </c>
      <c r="D1172" t="s">
        <v>2377</v>
      </c>
    </row>
    <row r="1173" spans="3:4" x14ac:dyDescent="0.2">
      <c r="C1173" t="s">
        <v>2378</v>
      </c>
      <c r="D1173" t="s">
        <v>2379</v>
      </c>
    </row>
    <row r="1174" spans="3:4" x14ac:dyDescent="0.2">
      <c r="C1174" t="s">
        <v>2380</v>
      </c>
      <c r="D1174" t="s">
        <v>2381</v>
      </c>
    </row>
    <row r="1175" spans="3:4" x14ac:dyDescent="0.2">
      <c r="C1175" t="s">
        <v>2382</v>
      </c>
      <c r="D1175" t="s">
        <v>2383</v>
      </c>
    </row>
    <row r="1176" spans="3:4" x14ac:dyDescent="0.2">
      <c r="C1176" t="s">
        <v>2384</v>
      </c>
      <c r="D1176" t="s">
        <v>2385</v>
      </c>
    </row>
    <row r="1177" spans="3:4" x14ac:dyDescent="0.2">
      <c r="C1177" t="s">
        <v>2386</v>
      </c>
      <c r="D1177" t="s">
        <v>2387</v>
      </c>
    </row>
    <row r="1178" spans="3:4" x14ac:dyDescent="0.2">
      <c r="C1178" t="s">
        <v>2388</v>
      </c>
      <c r="D1178" t="s">
        <v>2389</v>
      </c>
    </row>
    <row r="1179" spans="3:4" x14ac:dyDescent="0.2">
      <c r="C1179" t="s">
        <v>2390</v>
      </c>
      <c r="D1179" t="s">
        <v>2391</v>
      </c>
    </row>
    <row r="1180" spans="3:4" x14ac:dyDescent="0.2">
      <c r="C1180" t="s">
        <v>2392</v>
      </c>
      <c r="D1180" t="s">
        <v>2393</v>
      </c>
    </row>
    <row r="1181" spans="3:4" x14ac:dyDescent="0.2">
      <c r="C1181" t="s">
        <v>2394</v>
      </c>
      <c r="D1181" t="s">
        <v>2395</v>
      </c>
    </row>
    <row r="1182" spans="3:4" x14ac:dyDescent="0.2">
      <c r="C1182" t="s">
        <v>2396</v>
      </c>
      <c r="D1182" t="s">
        <v>2397</v>
      </c>
    </row>
    <row r="1183" spans="3:4" x14ac:dyDescent="0.2">
      <c r="C1183" t="s">
        <v>2398</v>
      </c>
      <c r="D1183" t="s">
        <v>2399</v>
      </c>
    </row>
    <row r="1184" spans="3:4" x14ac:dyDescent="0.2">
      <c r="C1184" t="s">
        <v>2400</v>
      </c>
      <c r="D1184" t="s">
        <v>2401</v>
      </c>
    </row>
    <row r="1185" spans="3:4" x14ac:dyDescent="0.2">
      <c r="C1185" t="s">
        <v>2402</v>
      </c>
      <c r="D1185" t="s">
        <v>2403</v>
      </c>
    </row>
    <row r="1186" spans="3:4" x14ac:dyDescent="0.2">
      <c r="C1186" t="s">
        <v>2404</v>
      </c>
      <c r="D1186" t="s">
        <v>2405</v>
      </c>
    </row>
    <row r="1187" spans="3:4" x14ac:dyDescent="0.2">
      <c r="C1187" t="s">
        <v>2406</v>
      </c>
      <c r="D1187" t="s">
        <v>2407</v>
      </c>
    </row>
    <row r="1188" spans="3:4" x14ac:dyDescent="0.2">
      <c r="C1188" t="s">
        <v>2408</v>
      </c>
      <c r="D1188" t="s">
        <v>2409</v>
      </c>
    </row>
    <row r="1189" spans="3:4" x14ac:dyDescent="0.2">
      <c r="C1189" t="s">
        <v>2410</v>
      </c>
      <c r="D1189" t="s">
        <v>2411</v>
      </c>
    </row>
    <row r="1190" spans="3:4" x14ac:dyDescent="0.2">
      <c r="C1190" t="s">
        <v>2412</v>
      </c>
    </row>
    <row r="1191" spans="3:4" x14ac:dyDescent="0.2">
      <c r="C1191" t="s">
        <v>20</v>
      </c>
      <c r="D1191" t="s">
        <v>21</v>
      </c>
    </row>
    <row r="1192" spans="3:4" x14ac:dyDescent="0.2">
      <c r="C1192" t="s">
        <v>2413</v>
      </c>
      <c r="D1192" t="s">
        <v>2414</v>
      </c>
    </row>
    <row r="1193" spans="3:4" x14ac:dyDescent="0.2">
      <c r="C1193" t="s">
        <v>2415</v>
      </c>
      <c r="D1193" t="s">
        <v>2416</v>
      </c>
    </row>
    <row r="1194" spans="3:4" x14ac:dyDescent="0.2">
      <c r="C1194" t="s">
        <v>2417</v>
      </c>
      <c r="D1194" t="s">
        <v>2418</v>
      </c>
    </row>
    <row r="1195" spans="3:4" x14ac:dyDescent="0.2">
      <c r="C1195" t="s">
        <v>2419</v>
      </c>
      <c r="D1195" t="s">
        <v>2420</v>
      </c>
    </row>
    <row r="1196" spans="3:4" x14ac:dyDescent="0.2">
      <c r="C1196" t="s">
        <v>2421</v>
      </c>
      <c r="D1196" t="s">
        <v>2422</v>
      </c>
    </row>
    <row r="1197" spans="3:4" x14ac:dyDescent="0.2">
      <c r="C1197" t="s">
        <v>2423</v>
      </c>
      <c r="D1197" t="s">
        <v>2424</v>
      </c>
    </row>
    <row r="1198" spans="3:4" x14ac:dyDescent="0.2">
      <c r="C1198" t="s">
        <v>2425</v>
      </c>
      <c r="D1198" t="s">
        <v>2426</v>
      </c>
    </row>
    <row r="1199" spans="3:4" x14ac:dyDescent="0.2">
      <c r="C1199" t="s">
        <v>2427</v>
      </c>
      <c r="D1199" t="s">
        <v>2428</v>
      </c>
    </row>
    <row r="1200" spans="3:4" x14ac:dyDescent="0.2">
      <c r="C1200" t="s">
        <v>2429</v>
      </c>
      <c r="D1200" t="s">
        <v>2430</v>
      </c>
    </row>
    <row r="1201" spans="3:4" x14ac:dyDescent="0.2">
      <c r="C1201" t="s">
        <v>2431</v>
      </c>
    </row>
    <row r="1202" spans="3:4" x14ac:dyDescent="0.2">
      <c r="C1202" t="s">
        <v>2432</v>
      </c>
      <c r="D1202" t="s">
        <v>2433</v>
      </c>
    </row>
    <row r="1203" spans="3:4" x14ac:dyDescent="0.2">
      <c r="C1203" t="s">
        <v>2434</v>
      </c>
      <c r="D1203" t="s">
        <v>2435</v>
      </c>
    </row>
    <row r="1204" spans="3:4" x14ac:dyDescent="0.2">
      <c r="C1204" t="s">
        <v>2436</v>
      </c>
      <c r="D1204" t="s">
        <v>2437</v>
      </c>
    </row>
    <row r="1205" spans="3:4" x14ac:dyDescent="0.2">
      <c r="C1205" t="s">
        <v>2438</v>
      </c>
      <c r="D1205" t="s">
        <v>2439</v>
      </c>
    </row>
    <row r="1206" spans="3:4" x14ac:dyDescent="0.2">
      <c r="C1206" t="s">
        <v>2440</v>
      </c>
      <c r="D1206" t="s">
        <v>2441</v>
      </c>
    </row>
    <row r="1207" spans="3:4" x14ac:dyDescent="0.2">
      <c r="C1207" t="s">
        <v>2442</v>
      </c>
      <c r="D1207" t="s">
        <v>2443</v>
      </c>
    </row>
    <row r="1208" spans="3:4" x14ac:dyDescent="0.2">
      <c r="C1208" t="s">
        <v>2444</v>
      </c>
      <c r="D1208" t="s">
        <v>2445</v>
      </c>
    </row>
    <row r="1209" spans="3:4" x14ac:dyDescent="0.2">
      <c r="C1209" t="s">
        <v>2446</v>
      </c>
      <c r="D1209" t="s">
        <v>2447</v>
      </c>
    </row>
    <row r="1210" spans="3:4" x14ac:dyDescent="0.2">
      <c r="C1210" t="s">
        <v>2448</v>
      </c>
      <c r="D1210" t="s">
        <v>2449</v>
      </c>
    </row>
    <row r="1211" spans="3:4" x14ac:dyDescent="0.2">
      <c r="C1211" t="s">
        <v>2450</v>
      </c>
      <c r="D1211" t="s">
        <v>2451</v>
      </c>
    </row>
    <row r="1212" spans="3:4" x14ac:dyDescent="0.2">
      <c r="C1212" t="s">
        <v>2452</v>
      </c>
      <c r="D1212" t="s">
        <v>2453</v>
      </c>
    </row>
    <row r="1213" spans="3:4" x14ac:dyDescent="0.2">
      <c r="C1213" t="s">
        <v>2454</v>
      </c>
      <c r="D1213" t="s">
        <v>2455</v>
      </c>
    </row>
    <row r="1214" spans="3:4" x14ac:dyDescent="0.2">
      <c r="C1214" t="s">
        <v>2456</v>
      </c>
      <c r="D1214" t="s">
        <v>2457</v>
      </c>
    </row>
    <row r="1215" spans="3:4" x14ac:dyDescent="0.2">
      <c r="C1215" t="s">
        <v>2458</v>
      </c>
      <c r="D1215" t="s">
        <v>2459</v>
      </c>
    </row>
    <row r="1216" spans="3:4" x14ac:dyDescent="0.2">
      <c r="C1216" t="s">
        <v>2460</v>
      </c>
      <c r="D1216" t="s">
        <v>2461</v>
      </c>
    </row>
    <row r="1217" spans="3:4" x14ac:dyDescent="0.2">
      <c r="C1217" t="s">
        <v>2462</v>
      </c>
      <c r="D1217" t="s">
        <v>2463</v>
      </c>
    </row>
    <row r="1218" spans="3:4" x14ac:dyDescent="0.2">
      <c r="C1218" t="s">
        <v>2464</v>
      </c>
      <c r="D1218" t="s">
        <v>2465</v>
      </c>
    </row>
    <row r="1219" spans="3:4" x14ac:dyDescent="0.2">
      <c r="C1219" t="s">
        <v>2466</v>
      </c>
      <c r="D1219" t="s">
        <v>2467</v>
      </c>
    </row>
    <row r="1220" spans="3:4" x14ac:dyDescent="0.2">
      <c r="C1220" t="s">
        <v>2468</v>
      </c>
      <c r="D1220" t="s">
        <v>2469</v>
      </c>
    </row>
    <row r="1221" spans="3:4" x14ac:dyDescent="0.2">
      <c r="C1221" t="s">
        <v>2470</v>
      </c>
      <c r="D1221" t="s">
        <v>2471</v>
      </c>
    </row>
    <row r="1222" spans="3:4" x14ac:dyDescent="0.2">
      <c r="C1222" t="s">
        <v>2472</v>
      </c>
      <c r="D1222" t="s">
        <v>2473</v>
      </c>
    </row>
    <row r="1223" spans="3:4" x14ac:dyDescent="0.2">
      <c r="C1223" t="s">
        <v>2474</v>
      </c>
      <c r="D1223" t="s">
        <v>2475</v>
      </c>
    </row>
    <row r="1224" spans="3:4" x14ac:dyDescent="0.2">
      <c r="C1224" t="s">
        <v>2476</v>
      </c>
      <c r="D1224" t="s">
        <v>2477</v>
      </c>
    </row>
    <row r="1225" spans="3:4" x14ac:dyDescent="0.2">
      <c r="C1225" t="s">
        <v>2478</v>
      </c>
      <c r="D1225" t="s">
        <v>2479</v>
      </c>
    </row>
    <row r="1226" spans="3:4" x14ac:dyDescent="0.2">
      <c r="C1226" t="s">
        <v>2480</v>
      </c>
      <c r="D1226" t="s">
        <v>2481</v>
      </c>
    </row>
    <row r="1227" spans="3:4" x14ac:dyDescent="0.2">
      <c r="C1227" t="s">
        <v>2482</v>
      </c>
    </row>
    <row r="1228" spans="3:4" x14ac:dyDescent="0.2">
      <c r="C1228" t="s">
        <v>2483</v>
      </c>
      <c r="D1228" t="s">
        <v>2484</v>
      </c>
    </row>
    <row r="1229" spans="3:4" x14ac:dyDescent="0.2">
      <c r="C1229" t="s">
        <v>2485</v>
      </c>
    </row>
    <row r="1230" spans="3:4" x14ac:dyDescent="0.2">
      <c r="C1230" t="s">
        <v>2486</v>
      </c>
      <c r="D1230" t="s">
        <v>2487</v>
      </c>
    </row>
    <row r="1231" spans="3:4" x14ac:dyDescent="0.2">
      <c r="C1231" t="s">
        <v>2488</v>
      </c>
      <c r="D1231" t="s">
        <v>2489</v>
      </c>
    </row>
    <row r="1232" spans="3:4" x14ac:dyDescent="0.2">
      <c r="C1232" t="s">
        <v>2490</v>
      </c>
      <c r="D1232" t="s">
        <v>2491</v>
      </c>
    </row>
    <row r="1233" spans="3:4" x14ac:dyDescent="0.2">
      <c r="C1233" t="s">
        <v>2492</v>
      </c>
      <c r="D1233" t="s">
        <v>2493</v>
      </c>
    </row>
    <row r="1234" spans="3:4" x14ac:dyDescent="0.2">
      <c r="C1234" t="s">
        <v>2494</v>
      </c>
      <c r="D1234" t="s">
        <v>2495</v>
      </c>
    </row>
    <row r="1235" spans="3:4" x14ac:dyDescent="0.2">
      <c r="C1235" t="s">
        <v>2496</v>
      </c>
      <c r="D1235" t="s">
        <v>2497</v>
      </c>
    </row>
    <row r="1236" spans="3:4" x14ac:dyDescent="0.2">
      <c r="C1236" t="s">
        <v>2498</v>
      </c>
      <c r="D1236" t="s">
        <v>2499</v>
      </c>
    </row>
    <row r="1237" spans="3:4" x14ac:dyDescent="0.2">
      <c r="C1237" t="s">
        <v>2500</v>
      </c>
      <c r="D1237" t="s">
        <v>2501</v>
      </c>
    </row>
    <row r="1238" spans="3:4" x14ac:dyDescent="0.2">
      <c r="C1238" t="s">
        <v>2502</v>
      </c>
      <c r="D1238" t="s">
        <v>2503</v>
      </c>
    </row>
    <row r="1239" spans="3:4" x14ac:dyDescent="0.2">
      <c r="C1239" t="s">
        <v>2504</v>
      </c>
      <c r="D1239" t="s">
        <v>2505</v>
      </c>
    </row>
    <row r="1240" spans="3:4" x14ac:dyDescent="0.2">
      <c r="C1240" t="s">
        <v>2506</v>
      </c>
      <c r="D1240" t="s">
        <v>2507</v>
      </c>
    </row>
    <row r="1241" spans="3:4" x14ac:dyDescent="0.2">
      <c r="C1241" t="s">
        <v>2508</v>
      </c>
      <c r="D1241" t="s">
        <v>2509</v>
      </c>
    </row>
    <row r="1242" spans="3:4" x14ac:dyDescent="0.2">
      <c r="C1242" t="s">
        <v>2510</v>
      </c>
      <c r="D1242" t="s">
        <v>2511</v>
      </c>
    </row>
    <row r="1243" spans="3:4" x14ac:dyDescent="0.2">
      <c r="C1243" t="s">
        <v>2512</v>
      </c>
      <c r="D1243" t="s">
        <v>2513</v>
      </c>
    </row>
    <row r="1244" spans="3:4" x14ac:dyDescent="0.2">
      <c r="C1244" t="s">
        <v>2514</v>
      </c>
      <c r="D1244" t="s">
        <v>2515</v>
      </c>
    </row>
    <row r="1245" spans="3:4" x14ac:dyDescent="0.2">
      <c r="C1245" t="s">
        <v>2516</v>
      </c>
      <c r="D1245" t="s">
        <v>2517</v>
      </c>
    </row>
    <row r="1246" spans="3:4" x14ac:dyDescent="0.2">
      <c r="C1246" t="s">
        <v>2518</v>
      </c>
    </row>
    <row r="1247" spans="3:4" x14ac:dyDescent="0.2">
      <c r="C1247" t="s">
        <v>2519</v>
      </c>
      <c r="D1247" t="s">
        <v>2520</v>
      </c>
    </row>
    <row r="1248" spans="3:4" x14ac:dyDescent="0.2">
      <c r="C1248" t="s">
        <v>2521</v>
      </c>
      <c r="D1248" t="s">
        <v>2522</v>
      </c>
    </row>
    <row r="1249" spans="3:4" x14ac:dyDescent="0.2">
      <c r="C1249" t="s">
        <v>2523</v>
      </c>
      <c r="D1249" t="s">
        <v>2524</v>
      </c>
    </row>
    <row r="1250" spans="3:4" x14ac:dyDescent="0.2">
      <c r="C1250" t="s">
        <v>2525</v>
      </c>
      <c r="D1250" t="s">
        <v>2526</v>
      </c>
    </row>
    <row r="1251" spans="3:4" x14ac:dyDescent="0.2">
      <c r="C1251" t="s">
        <v>2527</v>
      </c>
      <c r="D1251" t="s">
        <v>2528</v>
      </c>
    </row>
    <row r="1252" spans="3:4" x14ac:dyDescent="0.2">
      <c r="C1252" t="s">
        <v>2529</v>
      </c>
      <c r="D1252" t="s">
        <v>2530</v>
      </c>
    </row>
    <row r="1253" spans="3:4" x14ac:dyDescent="0.2">
      <c r="C1253" t="s">
        <v>2531</v>
      </c>
      <c r="D1253" t="s">
        <v>2532</v>
      </c>
    </row>
    <row r="1254" spans="3:4" x14ac:dyDescent="0.2">
      <c r="C1254" t="s">
        <v>2533</v>
      </c>
      <c r="D1254" t="s">
        <v>2534</v>
      </c>
    </row>
    <row r="1255" spans="3:4" x14ac:dyDescent="0.2">
      <c r="C1255" t="s">
        <v>2535</v>
      </c>
      <c r="D1255" t="s">
        <v>2536</v>
      </c>
    </row>
    <row r="1256" spans="3:4" x14ac:dyDescent="0.2">
      <c r="C1256" t="s">
        <v>2537</v>
      </c>
      <c r="D1256" t="s">
        <v>2538</v>
      </c>
    </row>
    <row r="1257" spans="3:4" x14ac:dyDescent="0.2">
      <c r="C1257" t="s">
        <v>2539</v>
      </c>
      <c r="D1257" t="s">
        <v>2540</v>
      </c>
    </row>
    <row r="1258" spans="3:4" x14ac:dyDescent="0.2">
      <c r="C1258" t="s">
        <v>2541</v>
      </c>
      <c r="D1258" t="s">
        <v>2542</v>
      </c>
    </row>
    <row r="1259" spans="3:4" x14ac:dyDescent="0.2">
      <c r="C1259" t="s">
        <v>2543</v>
      </c>
      <c r="D1259" t="s">
        <v>2544</v>
      </c>
    </row>
    <row r="1260" spans="3:4" x14ac:dyDescent="0.2">
      <c r="C1260" t="s">
        <v>2545</v>
      </c>
      <c r="D1260" t="s">
        <v>2546</v>
      </c>
    </row>
    <row r="1261" spans="3:4" x14ac:dyDescent="0.2">
      <c r="C1261" t="s">
        <v>2547</v>
      </c>
      <c r="D1261" t="s">
        <v>2548</v>
      </c>
    </row>
    <row r="1262" spans="3:4" x14ac:dyDescent="0.2">
      <c r="C1262" t="s">
        <v>2549</v>
      </c>
      <c r="D1262" t="s">
        <v>2550</v>
      </c>
    </row>
    <row r="1263" spans="3:4" x14ac:dyDescent="0.2">
      <c r="C1263" t="s">
        <v>2551</v>
      </c>
    </row>
    <row r="1264" spans="3:4" x14ac:dyDescent="0.2">
      <c r="C1264" t="s">
        <v>2552</v>
      </c>
      <c r="D1264" t="s">
        <v>2553</v>
      </c>
    </row>
    <row r="1265" spans="3:4" x14ac:dyDescent="0.2">
      <c r="C1265" t="s">
        <v>2554</v>
      </c>
      <c r="D1265" t="s">
        <v>2555</v>
      </c>
    </row>
    <row r="1266" spans="3:4" x14ac:dyDescent="0.2">
      <c r="C1266" t="s">
        <v>2556</v>
      </c>
      <c r="D1266" t="s">
        <v>2557</v>
      </c>
    </row>
    <row r="1267" spans="3:4" x14ac:dyDescent="0.2">
      <c r="C1267" t="s">
        <v>2558</v>
      </c>
      <c r="D1267" t="s">
        <v>2559</v>
      </c>
    </row>
    <row r="1268" spans="3:4" x14ac:dyDescent="0.2">
      <c r="C1268" t="s">
        <v>2560</v>
      </c>
      <c r="D1268" t="s">
        <v>2561</v>
      </c>
    </row>
    <row r="1269" spans="3:4" x14ac:dyDescent="0.2">
      <c r="C1269" t="s">
        <v>2562</v>
      </c>
      <c r="D1269" t="s">
        <v>2563</v>
      </c>
    </row>
    <row r="1270" spans="3:4" x14ac:dyDescent="0.2">
      <c r="C1270" t="s">
        <v>2564</v>
      </c>
      <c r="D1270" t="s">
        <v>2565</v>
      </c>
    </row>
    <row r="1271" spans="3:4" x14ac:dyDescent="0.2">
      <c r="C1271" t="s">
        <v>2566</v>
      </c>
      <c r="D1271" t="s">
        <v>2567</v>
      </c>
    </row>
    <row r="1272" spans="3:4" x14ac:dyDescent="0.2">
      <c r="C1272" t="s">
        <v>2568</v>
      </c>
      <c r="D1272" t="s">
        <v>2569</v>
      </c>
    </row>
    <row r="1273" spans="3:4" x14ac:dyDescent="0.2">
      <c r="C1273" t="s">
        <v>2570</v>
      </c>
      <c r="D1273" t="s">
        <v>2571</v>
      </c>
    </row>
    <row r="1274" spans="3:4" x14ac:dyDescent="0.2">
      <c r="C1274" t="s">
        <v>2572</v>
      </c>
      <c r="D1274" t="s">
        <v>2573</v>
      </c>
    </row>
    <row r="1275" spans="3:4" x14ac:dyDescent="0.2">
      <c r="C1275" t="s">
        <v>2574</v>
      </c>
      <c r="D1275" t="s">
        <v>2575</v>
      </c>
    </row>
    <row r="1276" spans="3:4" x14ac:dyDescent="0.2">
      <c r="C1276" t="s">
        <v>2576</v>
      </c>
      <c r="D1276" t="s">
        <v>2577</v>
      </c>
    </row>
    <row r="1277" spans="3:4" x14ac:dyDescent="0.2">
      <c r="C1277" t="s">
        <v>2578</v>
      </c>
      <c r="D1277" t="s">
        <v>2579</v>
      </c>
    </row>
    <row r="1278" spans="3:4" x14ac:dyDescent="0.2">
      <c r="C1278" t="s">
        <v>2580</v>
      </c>
      <c r="D1278" t="s">
        <v>2581</v>
      </c>
    </row>
    <row r="1279" spans="3:4" x14ac:dyDescent="0.2">
      <c r="C1279" t="s">
        <v>2582</v>
      </c>
      <c r="D1279" t="s">
        <v>2583</v>
      </c>
    </row>
    <row r="1280" spans="3:4" x14ac:dyDescent="0.2">
      <c r="C1280" t="s">
        <v>2584</v>
      </c>
      <c r="D1280" t="s">
        <v>2585</v>
      </c>
    </row>
    <row r="1281" spans="3:4" x14ac:dyDescent="0.2">
      <c r="C1281" t="s">
        <v>2586</v>
      </c>
      <c r="D1281" t="s">
        <v>2587</v>
      </c>
    </row>
    <row r="1282" spans="3:4" x14ac:dyDescent="0.2">
      <c r="C1282" t="s">
        <v>2588</v>
      </c>
      <c r="D1282" t="s">
        <v>2589</v>
      </c>
    </row>
    <row r="1283" spans="3:4" x14ac:dyDescent="0.2">
      <c r="C1283" t="s">
        <v>2590</v>
      </c>
    </row>
    <row r="1284" spans="3:4" x14ac:dyDescent="0.2">
      <c r="C1284" t="s">
        <v>2591</v>
      </c>
      <c r="D1284" t="s">
        <v>2592</v>
      </c>
    </row>
    <row r="1285" spans="3:4" x14ac:dyDescent="0.2">
      <c r="C1285" t="s">
        <v>2593</v>
      </c>
      <c r="D1285" t="s">
        <v>2594</v>
      </c>
    </row>
    <row r="1286" spans="3:4" x14ac:dyDescent="0.2">
      <c r="C1286" t="s">
        <v>2595</v>
      </c>
      <c r="D1286" t="s">
        <v>2596</v>
      </c>
    </row>
    <row r="1287" spans="3:4" x14ac:dyDescent="0.2">
      <c r="C1287" t="s">
        <v>2597</v>
      </c>
      <c r="D1287" t="s">
        <v>2598</v>
      </c>
    </row>
    <row r="1288" spans="3:4" x14ac:dyDescent="0.2">
      <c r="C1288" t="s">
        <v>2599</v>
      </c>
      <c r="D1288" t="s">
        <v>2600</v>
      </c>
    </row>
    <row r="1289" spans="3:4" x14ac:dyDescent="0.2">
      <c r="C1289" t="s">
        <v>2601</v>
      </c>
      <c r="D1289" t="s">
        <v>2602</v>
      </c>
    </row>
    <row r="1290" spans="3:4" x14ac:dyDescent="0.2">
      <c r="C1290" t="s">
        <v>2603</v>
      </c>
    </row>
    <row r="1291" spans="3:4" x14ac:dyDescent="0.2">
      <c r="C1291" t="s">
        <v>2604</v>
      </c>
      <c r="D1291" t="s">
        <v>2605</v>
      </c>
    </row>
    <row r="1292" spans="3:4" x14ac:dyDescent="0.2">
      <c r="C1292" t="s">
        <v>2606</v>
      </c>
      <c r="D1292" t="s">
        <v>2607</v>
      </c>
    </row>
    <row r="1293" spans="3:4" x14ac:dyDescent="0.2">
      <c r="C1293" t="s">
        <v>2608</v>
      </c>
      <c r="D1293" t="s">
        <v>2609</v>
      </c>
    </row>
    <row r="1294" spans="3:4" x14ac:dyDescent="0.2">
      <c r="C1294" t="s">
        <v>2610</v>
      </c>
    </row>
    <row r="1295" spans="3:4" x14ac:dyDescent="0.2">
      <c r="C1295" t="s">
        <v>2611</v>
      </c>
      <c r="D1295" t="s">
        <v>2612</v>
      </c>
    </row>
    <row r="1296" spans="3:4" x14ac:dyDescent="0.2">
      <c r="C1296" t="s">
        <v>2613</v>
      </c>
      <c r="D1296" t="s">
        <v>2614</v>
      </c>
    </row>
    <row r="1297" spans="3:4" x14ac:dyDescent="0.2">
      <c r="C1297" t="s">
        <v>2615</v>
      </c>
      <c r="D1297" t="s">
        <v>2616</v>
      </c>
    </row>
    <row r="1298" spans="3:4" x14ac:dyDescent="0.2">
      <c r="C1298" t="s">
        <v>2617</v>
      </c>
      <c r="D1298" t="s">
        <v>2618</v>
      </c>
    </row>
    <row r="1299" spans="3:4" x14ac:dyDescent="0.2">
      <c r="C1299" t="s">
        <v>2619</v>
      </c>
    </row>
    <row r="1300" spans="3:4" x14ac:dyDescent="0.2">
      <c r="C1300" t="s">
        <v>2620</v>
      </c>
      <c r="D1300" t="s">
        <v>2621</v>
      </c>
    </row>
    <row r="1301" spans="3:4" x14ac:dyDescent="0.2">
      <c r="C1301" t="s">
        <v>2622</v>
      </c>
      <c r="D1301" t="s">
        <v>2623</v>
      </c>
    </row>
    <row r="1302" spans="3:4" x14ac:dyDescent="0.2">
      <c r="C1302" t="s">
        <v>2624</v>
      </c>
      <c r="D1302" t="s">
        <v>2625</v>
      </c>
    </row>
    <row r="1303" spans="3:4" x14ac:dyDescent="0.2">
      <c r="C1303" t="s">
        <v>2626</v>
      </c>
      <c r="D1303" t="s">
        <v>2627</v>
      </c>
    </row>
    <row r="1304" spans="3:4" x14ac:dyDescent="0.2">
      <c r="C1304" t="s">
        <v>2628</v>
      </c>
      <c r="D1304" t="s">
        <v>2629</v>
      </c>
    </row>
    <row r="1305" spans="3:4" x14ac:dyDescent="0.2">
      <c r="C1305" t="s">
        <v>2630</v>
      </c>
      <c r="D1305" t="s">
        <v>2631</v>
      </c>
    </row>
    <row r="1306" spans="3:4" x14ac:dyDescent="0.2">
      <c r="C1306" t="s">
        <v>2632</v>
      </c>
      <c r="D1306" t="s">
        <v>2633</v>
      </c>
    </row>
    <row r="1307" spans="3:4" x14ac:dyDescent="0.2">
      <c r="C1307" t="s">
        <v>2634</v>
      </c>
      <c r="D1307" t="s">
        <v>2635</v>
      </c>
    </row>
    <row r="1308" spans="3:4" x14ac:dyDescent="0.2">
      <c r="C1308" t="s">
        <v>2636</v>
      </c>
      <c r="D1308" t="s">
        <v>2637</v>
      </c>
    </row>
    <row r="1309" spans="3:4" x14ac:dyDescent="0.2">
      <c r="C1309" t="s">
        <v>2638</v>
      </c>
      <c r="D1309" t="s">
        <v>2639</v>
      </c>
    </row>
    <row r="1310" spans="3:4" x14ac:dyDescent="0.2">
      <c r="C1310" t="s">
        <v>2640</v>
      </c>
      <c r="D1310" t="s">
        <v>2641</v>
      </c>
    </row>
    <row r="1311" spans="3:4" x14ac:dyDescent="0.2">
      <c r="C1311" t="s">
        <v>2642</v>
      </c>
      <c r="D1311" t="s">
        <v>2643</v>
      </c>
    </row>
    <row r="1312" spans="3:4" x14ac:dyDescent="0.2">
      <c r="C1312" t="s">
        <v>2644</v>
      </c>
      <c r="D1312" t="s">
        <v>2645</v>
      </c>
    </row>
    <row r="1313" spans="3:4" x14ac:dyDescent="0.2">
      <c r="C1313" t="s">
        <v>2646</v>
      </c>
      <c r="D1313" t="s">
        <v>2647</v>
      </c>
    </row>
    <row r="1314" spans="3:4" x14ac:dyDescent="0.2">
      <c r="C1314" t="s">
        <v>2648</v>
      </c>
      <c r="D1314" t="s">
        <v>2649</v>
      </c>
    </row>
    <row r="1315" spans="3:4" x14ac:dyDescent="0.2">
      <c r="C1315" t="s">
        <v>2650</v>
      </c>
      <c r="D1315" t="s">
        <v>2651</v>
      </c>
    </row>
    <row r="1316" spans="3:4" x14ac:dyDescent="0.2">
      <c r="C1316" t="s">
        <v>2652</v>
      </c>
      <c r="D1316" t="s">
        <v>2653</v>
      </c>
    </row>
    <row r="1317" spans="3:4" x14ac:dyDescent="0.2">
      <c r="C1317" t="s">
        <v>2654</v>
      </c>
      <c r="D1317" t="s">
        <v>2655</v>
      </c>
    </row>
    <row r="1318" spans="3:4" x14ac:dyDescent="0.2">
      <c r="C1318" t="s">
        <v>2656</v>
      </c>
      <c r="D1318" t="s">
        <v>2657</v>
      </c>
    </row>
    <row r="1319" spans="3:4" x14ac:dyDescent="0.2">
      <c r="C1319" t="s">
        <v>2658</v>
      </c>
      <c r="D1319" t="s">
        <v>2659</v>
      </c>
    </row>
    <row r="1320" spans="3:4" x14ac:dyDescent="0.2">
      <c r="C1320" t="s">
        <v>2660</v>
      </c>
      <c r="D1320" t="s">
        <v>2661</v>
      </c>
    </row>
    <row r="1321" spans="3:4" x14ac:dyDescent="0.2">
      <c r="C1321" t="s">
        <v>2662</v>
      </c>
      <c r="D1321" t="s">
        <v>2663</v>
      </c>
    </row>
    <row r="1322" spans="3:4" x14ac:dyDescent="0.2">
      <c r="C1322" t="s">
        <v>2664</v>
      </c>
      <c r="D1322" t="s">
        <v>2665</v>
      </c>
    </row>
    <row r="1323" spans="3:4" x14ac:dyDescent="0.2">
      <c r="C1323" t="s">
        <v>2666</v>
      </c>
      <c r="D1323" t="s">
        <v>2667</v>
      </c>
    </row>
    <row r="1324" spans="3:4" x14ac:dyDescent="0.2">
      <c r="C1324" t="s">
        <v>2668</v>
      </c>
      <c r="D1324" t="s">
        <v>2669</v>
      </c>
    </row>
    <row r="1325" spans="3:4" x14ac:dyDescent="0.2">
      <c r="C1325" t="s">
        <v>2670</v>
      </c>
      <c r="D1325" t="s">
        <v>2671</v>
      </c>
    </row>
    <row r="1326" spans="3:4" x14ac:dyDescent="0.2">
      <c r="C1326" t="s">
        <v>2672</v>
      </c>
      <c r="D1326" t="s">
        <v>2673</v>
      </c>
    </row>
    <row r="1327" spans="3:4" x14ac:dyDescent="0.2">
      <c r="C1327" t="s">
        <v>2674</v>
      </c>
      <c r="D1327" t="s">
        <v>2675</v>
      </c>
    </row>
    <row r="1328" spans="3:4" x14ac:dyDescent="0.2">
      <c r="C1328" t="s">
        <v>2676</v>
      </c>
      <c r="D1328" t="s">
        <v>2677</v>
      </c>
    </row>
    <row r="1329" spans="3:4" x14ac:dyDescent="0.2">
      <c r="C1329" t="s">
        <v>2678</v>
      </c>
      <c r="D1329" t="s">
        <v>2679</v>
      </c>
    </row>
    <row r="1330" spans="3:4" x14ac:dyDescent="0.2">
      <c r="C1330" t="s">
        <v>2680</v>
      </c>
      <c r="D1330" t="s">
        <v>2681</v>
      </c>
    </row>
    <row r="1331" spans="3:4" x14ac:dyDescent="0.2">
      <c r="C1331" t="s">
        <v>2682</v>
      </c>
      <c r="D1331" t="s">
        <v>2683</v>
      </c>
    </row>
    <row r="1332" spans="3:4" x14ac:dyDescent="0.2">
      <c r="C1332" t="s">
        <v>2684</v>
      </c>
      <c r="D1332" t="s">
        <v>2685</v>
      </c>
    </row>
    <row r="1333" spans="3:4" x14ac:dyDescent="0.2">
      <c r="C1333" t="s">
        <v>2686</v>
      </c>
      <c r="D1333" t="s">
        <v>2687</v>
      </c>
    </row>
    <row r="1334" spans="3:4" x14ac:dyDescent="0.2">
      <c r="C1334" t="s">
        <v>2688</v>
      </c>
      <c r="D1334" t="s">
        <v>2689</v>
      </c>
    </row>
    <row r="1335" spans="3:4" x14ac:dyDescent="0.2">
      <c r="C1335" t="s">
        <v>2690</v>
      </c>
      <c r="D1335" t="s">
        <v>2691</v>
      </c>
    </row>
    <row r="1336" spans="3:4" x14ac:dyDescent="0.2">
      <c r="C1336" t="s">
        <v>2692</v>
      </c>
      <c r="D1336" t="s">
        <v>2693</v>
      </c>
    </row>
    <row r="1337" spans="3:4" x14ac:dyDescent="0.2">
      <c r="C1337" t="s">
        <v>2694</v>
      </c>
      <c r="D1337" t="s">
        <v>2695</v>
      </c>
    </row>
    <row r="1338" spans="3:4" x14ac:dyDescent="0.2">
      <c r="C1338" t="s">
        <v>2696</v>
      </c>
      <c r="D1338" t="s">
        <v>2697</v>
      </c>
    </row>
    <row r="1339" spans="3:4" x14ac:dyDescent="0.2">
      <c r="C1339" t="s">
        <v>2698</v>
      </c>
      <c r="D1339" t="s">
        <v>2699</v>
      </c>
    </row>
    <row r="1340" spans="3:4" x14ac:dyDescent="0.2">
      <c r="C1340" t="s">
        <v>2700</v>
      </c>
      <c r="D1340" t="s">
        <v>2701</v>
      </c>
    </row>
    <row r="1341" spans="3:4" x14ac:dyDescent="0.2">
      <c r="C1341" t="s">
        <v>2702</v>
      </c>
      <c r="D1341" t="s">
        <v>2703</v>
      </c>
    </row>
    <row r="1342" spans="3:4" x14ac:dyDescent="0.2">
      <c r="C1342" t="s">
        <v>2704</v>
      </c>
      <c r="D1342" t="s">
        <v>2705</v>
      </c>
    </row>
    <row r="1343" spans="3:4" x14ac:dyDescent="0.2">
      <c r="C1343" t="s">
        <v>2706</v>
      </c>
      <c r="D1343" t="s">
        <v>2707</v>
      </c>
    </row>
    <row r="1344" spans="3:4" x14ac:dyDescent="0.2">
      <c r="C1344" t="s">
        <v>2708</v>
      </c>
      <c r="D1344" t="s">
        <v>2709</v>
      </c>
    </row>
    <row r="1345" spans="3:4" x14ac:dyDescent="0.2">
      <c r="C1345" t="s">
        <v>2710</v>
      </c>
    </row>
    <row r="1346" spans="3:4" x14ac:dyDescent="0.2">
      <c r="C1346" t="s">
        <v>2711</v>
      </c>
      <c r="D1346" t="s">
        <v>2712</v>
      </c>
    </row>
    <row r="1347" spans="3:4" x14ac:dyDescent="0.2">
      <c r="C1347" t="s">
        <v>2713</v>
      </c>
    </row>
    <row r="1348" spans="3:4" x14ac:dyDescent="0.2">
      <c r="C1348" t="s">
        <v>2714</v>
      </c>
      <c r="D1348" t="s">
        <v>2715</v>
      </c>
    </row>
    <row r="1349" spans="3:4" x14ac:dyDescent="0.2">
      <c r="C1349" t="s">
        <v>2716</v>
      </c>
      <c r="D1349" t="s">
        <v>2717</v>
      </c>
    </row>
    <row r="1350" spans="3:4" x14ac:dyDescent="0.2">
      <c r="C1350" t="s">
        <v>2718</v>
      </c>
      <c r="D1350" t="s">
        <v>2719</v>
      </c>
    </row>
    <row r="1351" spans="3:4" x14ac:dyDescent="0.2">
      <c r="C1351" t="s">
        <v>2720</v>
      </c>
      <c r="D1351" t="s">
        <v>2721</v>
      </c>
    </row>
    <row r="1352" spans="3:4" x14ac:dyDescent="0.2">
      <c r="C1352" t="s">
        <v>2722</v>
      </c>
      <c r="D1352" t="s">
        <v>2723</v>
      </c>
    </row>
    <row r="1353" spans="3:4" x14ac:dyDescent="0.2">
      <c r="C1353" t="s">
        <v>2724</v>
      </c>
      <c r="D1353" t="s">
        <v>2725</v>
      </c>
    </row>
    <row r="1354" spans="3:4" x14ac:dyDescent="0.2">
      <c r="C1354" t="s">
        <v>2726</v>
      </c>
      <c r="D1354" t="s">
        <v>2727</v>
      </c>
    </row>
    <row r="1355" spans="3:4" x14ac:dyDescent="0.2">
      <c r="C1355" t="s">
        <v>2728</v>
      </c>
    </row>
    <row r="1356" spans="3:4" x14ac:dyDescent="0.2">
      <c r="C1356" t="s">
        <v>2729</v>
      </c>
      <c r="D1356" t="s">
        <v>2730</v>
      </c>
    </row>
    <row r="1357" spans="3:4" x14ac:dyDescent="0.2">
      <c r="C1357" t="s">
        <v>2731</v>
      </c>
    </row>
    <row r="1358" spans="3:4" x14ac:dyDescent="0.2">
      <c r="C1358" t="s">
        <v>2732</v>
      </c>
    </row>
    <row r="1359" spans="3:4" x14ac:dyDescent="0.2">
      <c r="C1359" t="s">
        <v>2733</v>
      </c>
    </row>
    <row r="1360" spans="3:4" x14ac:dyDescent="0.2">
      <c r="C1360" t="s">
        <v>2734</v>
      </c>
    </row>
    <row r="1361" spans="3:4" x14ac:dyDescent="0.2">
      <c r="C1361" t="s">
        <v>2735</v>
      </c>
      <c r="D1361" t="s">
        <v>2736</v>
      </c>
    </row>
    <row r="1362" spans="3:4" x14ac:dyDescent="0.2">
      <c r="C1362" t="s">
        <v>2737</v>
      </c>
      <c r="D1362" t="s">
        <v>2738</v>
      </c>
    </row>
    <row r="1363" spans="3:4" x14ac:dyDescent="0.2">
      <c r="C1363" t="s">
        <v>2739</v>
      </c>
      <c r="D1363" t="s">
        <v>2740</v>
      </c>
    </row>
    <row r="1364" spans="3:4" x14ac:dyDescent="0.2">
      <c r="C1364" t="s">
        <v>2741</v>
      </c>
    </row>
    <row r="1365" spans="3:4" x14ac:dyDescent="0.2">
      <c r="C1365" t="s">
        <v>2742</v>
      </c>
      <c r="D1365" t="s">
        <v>2743</v>
      </c>
    </row>
    <row r="1366" spans="3:4" x14ac:dyDescent="0.2">
      <c r="C1366" t="s">
        <v>2744</v>
      </c>
      <c r="D1366" t="s">
        <v>2745</v>
      </c>
    </row>
    <row r="1367" spans="3:4" x14ac:dyDescent="0.2">
      <c r="C1367" t="s">
        <v>2746</v>
      </c>
    </row>
    <row r="1368" spans="3:4" x14ac:dyDescent="0.2">
      <c r="C1368" t="s">
        <v>2747</v>
      </c>
      <c r="D1368" t="s">
        <v>2748</v>
      </c>
    </row>
    <row r="1369" spans="3:4" x14ac:dyDescent="0.2">
      <c r="C1369" t="s">
        <v>2749</v>
      </c>
      <c r="D1369" t="s">
        <v>2750</v>
      </c>
    </row>
    <row r="1370" spans="3:4" x14ac:dyDescent="0.2">
      <c r="C1370" t="s">
        <v>2751</v>
      </c>
      <c r="D1370" t="s">
        <v>2752</v>
      </c>
    </row>
    <row r="1371" spans="3:4" x14ac:dyDescent="0.2">
      <c r="C1371" t="s">
        <v>2753</v>
      </c>
      <c r="D1371" t="s">
        <v>2754</v>
      </c>
    </row>
    <row r="1372" spans="3:4" x14ac:dyDescent="0.2">
      <c r="C1372" t="s">
        <v>2755</v>
      </c>
      <c r="D1372" t="s">
        <v>2756</v>
      </c>
    </row>
    <row r="1373" spans="3:4" x14ac:dyDescent="0.2">
      <c r="C1373" t="s">
        <v>2757</v>
      </c>
      <c r="D1373" t="s">
        <v>2758</v>
      </c>
    </row>
    <row r="1374" spans="3:4" x14ac:dyDescent="0.2">
      <c r="C1374" t="s">
        <v>2759</v>
      </c>
    </row>
    <row r="1375" spans="3:4" x14ac:dyDescent="0.2">
      <c r="C1375" t="s">
        <v>2760</v>
      </c>
      <c r="D1375" t="s">
        <v>2761</v>
      </c>
    </row>
    <row r="1376" spans="3:4" x14ac:dyDescent="0.2">
      <c r="C1376" t="s">
        <v>2762</v>
      </c>
      <c r="D1376" t="s">
        <v>2763</v>
      </c>
    </row>
    <row r="1377" spans="3:4" x14ac:dyDescent="0.2">
      <c r="C1377" t="s">
        <v>2764</v>
      </c>
      <c r="D1377" t="s">
        <v>2765</v>
      </c>
    </row>
    <row r="1378" spans="3:4" x14ac:dyDescent="0.2">
      <c r="C1378" t="s">
        <v>2766</v>
      </c>
      <c r="D1378" t="s">
        <v>2767</v>
      </c>
    </row>
    <row r="1379" spans="3:4" x14ac:dyDescent="0.2">
      <c r="C1379" t="s">
        <v>2768</v>
      </c>
    </row>
    <row r="1380" spans="3:4" x14ac:dyDescent="0.2">
      <c r="C1380" t="s">
        <v>2769</v>
      </c>
      <c r="D1380" t="s">
        <v>2770</v>
      </c>
    </row>
    <row r="1381" spans="3:4" x14ac:dyDescent="0.2">
      <c r="C1381" t="s">
        <v>2771</v>
      </c>
      <c r="D1381" t="s">
        <v>2772</v>
      </c>
    </row>
    <row r="1382" spans="3:4" x14ac:dyDescent="0.2">
      <c r="C1382" t="s">
        <v>2773</v>
      </c>
      <c r="D1382" t="s">
        <v>2774</v>
      </c>
    </row>
    <row r="1383" spans="3:4" x14ac:dyDescent="0.2">
      <c r="C1383" t="s">
        <v>2775</v>
      </c>
    </row>
    <row r="1384" spans="3:4" x14ac:dyDescent="0.2">
      <c r="C1384" t="s">
        <v>2776</v>
      </c>
    </row>
    <row r="1385" spans="3:4" x14ac:dyDescent="0.2">
      <c r="C1385" t="s">
        <v>2777</v>
      </c>
      <c r="D1385" t="s">
        <v>2778</v>
      </c>
    </row>
    <row r="1386" spans="3:4" x14ac:dyDescent="0.2">
      <c r="C1386" t="s">
        <v>2779</v>
      </c>
      <c r="D1386" t="s">
        <v>2780</v>
      </c>
    </row>
    <row r="1387" spans="3:4" x14ac:dyDescent="0.2">
      <c r="C1387" t="s">
        <v>2781</v>
      </c>
      <c r="D1387" t="s">
        <v>2782</v>
      </c>
    </row>
    <row r="1388" spans="3:4" x14ac:dyDescent="0.2">
      <c r="C1388" t="s">
        <v>2783</v>
      </c>
      <c r="D1388" t="s">
        <v>2784</v>
      </c>
    </row>
    <row r="1389" spans="3:4" x14ac:dyDescent="0.2">
      <c r="C1389" t="s">
        <v>2785</v>
      </c>
      <c r="D1389" t="s">
        <v>2786</v>
      </c>
    </row>
    <row r="1390" spans="3:4" x14ac:dyDescent="0.2">
      <c r="C1390" t="s">
        <v>2787</v>
      </c>
      <c r="D1390" t="s">
        <v>2788</v>
      </c>
    </row>
    <row r="1391" spans="3:4" x14ac:dyDescent="0.2">
      <c r="C1391" t="s">
        <v>2789</v>
      </c>
      <c r="D1391" t="s">
        <v>2790</v>
      </c>
    </row>
    <row r="1392" spans="3:4" x14ac:dyDescent="0.2">
      <c r="C1392" t="s">
        <v>2791</v>
      </c>
      <c r="D1392" t="s">
        <v>2792</v>
      </c>
    </row>
    <row r="1393" spans="3:4" x14ac:dyDescent="0.2">
      <c r="C1393" t="s">
        <v>2793</v>
      </c>
      <c r="D1393" t="s">
        <v>2794</v>
      </c>
    </row>
    <row r="1394" spans="3:4" x14ac:dyDescent="0.2">
      <c r="C1394" t="s">
        <v>2795</v>
      </c>
      <c r="D1394" t="s">
        <v>2796</v>
      </c>
    </row>
    <row r="1395" spans="3:4" x14ac:dyDescent="0.2">
      <c r="C1395" t="s">
        <v>2797</v>
      </c>
      <c r="D1395" t="s">
        <v>2798</v>
      </c>
    </row>
    <row r="1396" spans="3:4" x14ac:dyDescent="0.2">
      <c r="C1396" t="s">
        <v>2799</v>
      </c>
      <c r="D1396" t="s">
        <v>2800</v>
      </c>
    </row>
    <row r="1397" spans="3:4" x14ac:dyDescent="0.2">
      <c r="C1397" t="s">
        <v>2801</v>
      </c>
      <c r="D1397" t="s">
        <v>2802</v>
      </c>
    </row>
    <row r="1398" spans="3:4" x14ac:dyDescent="0.2">
      <c r="C1398" t="s">
        <v>2803</v>
      </c>
      <c r="D1398" t="s">
        <v>2804</v>
      </c>
    </row>
    <row r="1399" spans="3:4" x14ac:dyDescent="0.2">
      <c r="C1399" t="s">
        <v>2805</v>
      </c>
      <c r="D1399" t="s">
        <v>2806</v>
      </c>
    </row>
    <row r="1400" spans="3:4" x14ac:dyDescent="0.2">
      <c r="C1400" t="s">
        <v>2807</v>
      </c>
    </row>
    <row r="1401" spans="3:4" x14ac:dyDescent="0.2">
      <c r="C1401" t="s">
        <v>2808</v>
      </c>
      <c r="D1401" t="s">
        <v>2809</v>
      </c>
    </row>
    <row r="1402" spans="3:4" x14ac:dyDescent="0.2">
      <c r="C1402" t="s">
        <v>2810</v>
      </c>
      <c r="D1402" t="s">
        <v>2811</v>
      </c>
    </row>
    <row r="1403" spans="3:4" x14ac:dyDescent="0.2">
      <c r="C1403" t="s">
        <v>2812</v>
      </c>
      <c r="D1403" t="s">
        <v>2813</v>
      </c>
    </row>
    <row r="1404" spans="3:4" x14ac:dyDescent="0.2">
      <c r="C1404" t="s">
        <v>2814</v>
      </c>
      <c r="D1404" t="s">
        <v>2815</v>
      </c>
    </row>
    <row r="1405" spans="3:4" x14ac:dyDescent="0.2">
      <c r="C1405" t="s">
        <v>2816</v>
      </c>
    </row>
    <row r="1406" spans="3:4" x14ac:dyDescent="0.2">
      <c r="C1406" t="s">
        <v>2817</v>
      </c>
      <c r="D1406" t="s">
        <v>2818</v>
      </c>
    </row>
    <row r="1407" spans="3:4" x14ac:dyDescent="0.2">
      <c r="C1407" t="s">
        <v>2819</v>
      </c>
      <c r="D1407" t="s">
        <v>2820</v>
      </c>
    </row>
    <row r="1408" spans="3:4" x14ac:dyDescent="0.2">
      <c r="C1408" t="s">
        <v>2821</v>
      </c>
      <c r="D1408" t="s">
        <v>2822</v>
      </c>
    </row>
    <row r="1409" spans="3:4" x14ac:dyDescent="0.2">
      <c r="C1409" t="s">
        <v>2823</v>
      </c>
      <c r="D1409" t="s">
        <v>2824</v>
      </c>
    </row>
    <row r="1410" spans="3:4" x14ac:dyDescent="0.2">
      <c r="C1410" t="s">
        <v>2825</v>
      </c>
      <c r="D1410" t="s">
        <v>2826</v>
      </c>
    </row>
    <row r="1411" spans="3:4" x14ac:dyDescent="0.2">
      <c r="C1411" t="s">
        <v>2827</v>
      </c>
      <c r="D1411" t="s">
        <v>2828</v>
      </c>
    </row>
    <row r="1412" spans="3:4" x14ac:dyDescent="0.2">
      <c r="C1412" t="s">
        <v>2829</v>
      </c>
      <c r="D1412" t="s">
        <v>2830</v>
      </c>
    </row>
    <row r="1413" spans="3:4" x14ac:dyDescent="0.2">
      <c r="C1413" t="s">
        <v>2831</v>
      </c>
    </row>
    <row r="1414" spans="3:4" x14ac:dyDescent="0.2">
      <c r="C1414" t="s">
        <v>2832</v>
      </c>
      <c r="D1414" t="s">
        <v>2833</v>
      </c>
    </row>
    <row r="1415" spans="3:4" x14ac:dyDescent="0.2">
      <c r="C1415" t="s">
        <v>2834</v>
      </c>
      <c r="D1415" t="s">
        <v>2835</v>
      </c>
    </row>
    <row r="1416" spans="3:4" x14ac:dyDescent="0.2">
      <c r="C1416" t="s">
        <v>2836</v>
      </c>
      <c r="D1416" t="s">
        <v>2837</v>
      </c>
    </row>
    <row r="1417" spans="3:4" x14ac:dyDescent="0.2">
      <c r="C1417" t="s">
        <v>2838</v>
      </c>
      <c r="D1417" t="s">
        <v>2839</v>
      </c>
    </row>
    <row r="1418" spans="3:4" x14ac:dyDescent="0.2">
      <c r="C1418" t="s">
        <v>2840</v>
      </c>
      <c r="D1418" t="s">
        <v>2841</v>
      </c>
    </row>
    <row r="1419" spans="3:4" x14ac:dyDescent="0.2">
      <c r="C1419" t="s">
        <v>2842</v>
      </c>
      <c r="D1419" t="s">
        <v>2843</v>
      </c>
    </row>
    <row r="1420" spans="3:4" x14ac:dyDescent="0.2">
      <c r="C1420" t="s">
        <v>2844</v>
      </c>
      <c r="D1420" t="s">
        <v>2845</v>
      </c>
    </row>
    <row r="1421" spans="3:4" x14ac:dyDescent="0.2">
      <c r="C1421" t="s">
        <v>2846</v>
      </c>
      <c r="D1421" t="s">
        <v>2847</v>
      </c>
    </row>
    <row r="1422" spans="3:4" x14ac:dyDescent="0.2">
      <c r="C1422" t="s">
        <v>2848</v>
      </c>
    </row>
    <row r="1423" spans="3:4" x14ac:dyDescent="0.2">
      <c r="C1423" t="s">
        <v>2849</v>
      </c>
      <c r="D1423" t="s">
        <v>2850</v>
      </c>
    </row>
    <row r="1424" spans="3:4" x14ac:dyDescent="0.2">
      <c r="C1424" t="s">
        <v>2851</v>
      </c>
      <c r="D1424" t="s">
        <v>2852</v>
      </c>
    </row>
    <row r="1425" spans="3:4" x14ac:dyDescent="0.2">
      <c r="C1425" t="s">
        <v>2853</v>
      </c>
      <c r="D1425" t="s">
        <v>2854</v>
      </c>
    </row>
    <row r="1426" spans="3:4" x14ac:dyDescent="0.2">
      <c r="C1426" t="s">
        <v>2855</v>
      </c>
      <c r="D1426" t="s">
        <v>2856</v>
      </c>
    </row>
    <row r="1427" spans="3:4" x14ac:dyDescent="0.2">
      <c r="C1427" t="s">
        <v>2857</v>
      </c>
      <c r="D1427" t="s">
        <v>2858</v>
      </c>
    </row>
    <row r="1428" spans="3:4" x14ac:dyDescent="0.2">
      <c r="C1428" t="s">
        <v>2859</v>
      </c>
      <c r="D1428" t="s">
        <v>2860</v>
      </c>
    </row>
    <row r="1429" spans="3:4" x14ac:dyDescent="0.2">
      <c r="C1429" t="s">
        <v>2861</v>
      </c>
      <c r="D1429" t="s">
        <v>2862</v>
      </c>
    </row>
    <row r="1430" spans="3:4" x14ac:dyDescent="0.2">
      <c r="C1430" t="s">
        <v>2863</v>
      </c>
      <c r="D1430" t="s">
        <v>2864</v>
      </c>
    </row>
    <row r="1431" spans="3:4" x14ac:dyDescent="0.2">
      <c r="C1431" t="s">
        <v>2865</v>
      </c>
    </row>
    <row r="1432" spans="3:4" x14ac:dyDescent="0.2">
      <c r="C1432" t="s">
        <v>2866</v>
      </c>
    </row>
    <row r="1433" spans="3:4" x14ac:dyDescent="0.2">
      <c r="C1433" t="s">
        <v>2867</v>
      </c>
      <c r="D1433" t="s">
        <v>2868</v>
      </c>
    </row>
    <row r="1434" spans="3:4" x14ac:dyDescent="0.2">
      <c r="C1434" t="s">
        <v>2869</v>
      </c>
      <c r="D1434" t="s">
        <v>2870</v>
      </c>
    </row>
    <row r="1435" spans="3:4" x14ac:dyDescent="0.2">
      <c r="C1435" t="s">
        <v>2871</v>
      </c>
      <c r="D1435" t="s">
        <v>2872</v>
      </c>
    </row>
    <row r="1436" spans="3:4" x14ac:dyDescent="0.2">
      <c r="C1436" t="s">
        <v>2873</v>
      </c>
      <c r="D1436" t="s">
        <v>2874</v>
      </c>
    </row>
    <row r="1437" spans="3:4" x14ac:dyDescent="0.2">
      <c r="C1437" t="s">
        <v>2875</v>
      </c>
      <c r="D1437" t="s">
        <v>2876</v>
      </c>
    </row>
    <row r="1438" spans="3:4" x14ac:dyDescent="0.2">
      <c r="C1438" t="s">
        <v>2877</v>
      </c>
      <c r="D1438" t="s">
        <v>2878</v>
      </c>
    </row>
    <row r="1439" spans="3:4" x14ac:dyDescent="0.2">
      <c r="C1439" t="s">
        <v>2879</v>
      </c>
      <c r="D1439" t="s">
        <v>2880</v>
      </c>
    </row>
    <row r="1440" spans="3:4" x14ac:dyDescent="0.2">
      <c r="C1440" t="s">
        <v>2881</v>
      </c>
      <c r="D1440" t="s">
        <v>2882</v>
      </c>
    </row>
    <row r="1441" spans="3:4" x14ac:dyDescent="0.2">
      <c r="C1441" t="s">
        <v>2883</v>
      </c>
      <c r="D1441" t="s">
        <v>2884</v>
      </c>
    </row>
    <row r="1442" spans="3:4" x14ac:dyDescent="0.2">
      <c r="C1442" t="s">
        <v>2885</v>
      </c>
    </row>
    <row r="1443" spans="3:4" x14ac:dyDescent="0.2">
      <c r="C1443" t="s">
        <v>2886</v>
      </c>
      <c r="D1443" t="s">
        <v>2887</v>
      </c>
    </row>
    <row r="1444" spans="3:4" x14ac:dyDescent="0.2">
      <c r="C1444" t="s">
        <v>2888</v>
      </c>
      <c r="D1444" t="s">
        <v>2889</v>
      </c>
    </row>
    <row r="1445" spans="3:4" x14ac:dyDescent="0.2">
      <c r="C1445" t="s">
        <v>2890</v>
      </c>
      <c r="D1445" t="s">
        <v>2891</v>
      </c>
    </row>
    <row r="1446" spans="3:4" x14ac:dyDescent="0.2">
      <c r="C1446" t="s">
        <v>2892</v>
      </c>
      <c r="D1446" t="s">
        <v>2893</v>
      </c>
    </row>
    <row r="1447" spans="3:4" x14ac:dyDescent="0.2">
      <c r="C1447" t="s">
        <v>2894</v>
      </c>
      <c r="D1447" t="s">
        <v>2895</v>
      </c>
    </row>
    <row r="1448" spans="3:4" x14ac:dyDescent="0.2">
      <c r="C1448" t="s">
        <v>2896</v>
      </c>
      <c r="D1448" t="s">
        <v>2897</v>
      </c>
    </row>
    <row r="1449" spans="3:4" x14ac:dyDescent="0.2">
      <c r="C1449" t="s">
        <v>2898</v>
      </c>
      <c r="D1449" t="s">
        <v>2899</v>
      </c>
    </row>
    <row r="1450" spans="3:4" x14ac:dyDescent="0.2">
      <c r="C1450" t="s">
        <v>2900</v>
      </c>
      <c r="D1450" t="s">
        <v>2901</v>
      </c>
    </row>
    <row r="1451" spans="3:4" x14ac:dyDescent="0.2">
      <c r="C1451" t="s">
        <v>2902</v>
      </c>
      <c r="D1451" t="s">
        <v>2903</v>
      </c>
    </row>
    <row r="1452" spans="3:4" x14ac:dyDescent="0.2">
      <c r="C1452" t="s">
        <v>2904</v>
      </c>
      <c r="D1452" t="s">
        <v>2905</v>
      </c>
    </row>
    <row r="1453" spans="3:4" x14ac:dyDescent="0.2">
      <c r="C1453" t="s">
        <v>2906</v>
      </c>
      <c r="D1453" t="s">
        <v>2907</v>
      </c>
    </row>
    <row r="1454" spans="3:4" x14ac:dyDescent="0.2">
      <c r="C1454" t="s">
        <v>2908</v>
      </c>
      <c r="D1454" t="s">
        <v>2909</v>
      </c>
    </row>
    <row r="1455" spans="3:4" x14ac:dyDescent="0.2">
      <c r="C1455" t="s">
        <v>2910</v>
      </c>
    </row>
    <row r="1456" spans="3:4" x14ac:dyDescent="0.2">
      <c r="C1456" t="s">
        <v>2911</v>
      </c>
      <c r="D1456" t="s">
        <v>2912</v>
      </c>
    </row>
    <row r="1457" spans="3:4" x14ac:dyDescent="0.2">
      <c r="C1457" t="s">
        <v>2913</v>
      </c>
      <c r="D1457" t="s">
        <v>2914</v>
      </c>
    </row>
    <row r="1458" spans="3:4" x14ac:dyDescent="0.2">
      <c r="C1458" t="s">
        <v>2915</v>
      </c>
      <c r="D1458" t="s">
        <v>2916</v>
      </c>
    </row>
    <row r="1459" spans="3:4" x14ac:dyDescent="0.2">
      <c r="C1459" t="s">
        <v>2917</v>
      </c>
      <c r="D1459" t="s">
        <v>2918</v>
      </c>
    </row>
    <row r="1460" spans="3:4" x14ac:dyDescent="0.2">
      <c r="C1460" t="s">
        <v>2919</v>
      </c>
      <c r="D1460" t="s">
        <v>2920</v>
      </c>
    </row>
    <row r="1461" spans="3:4" x14ac:dyDescent="0.2">
      <c r="C1461" t="s">
        <v>2921</v>
      </c>
      <c r="D1461" t="s">
        <v>2922</v>
      </c>
    </row>
    <row r="1462" spans="3:4" x14ac:dyDescent="0.2">
      <c r="C1462" t="s">
        <v>2923</v>
      </c>
    </row>
    <row r="1463" spans="3:4" x14ac:dyDescent="0.2">
      <c r="C1463" t="s">
        <v>2924</v>
      </c>
      <c r="D1463" t="s">
        <v>2925</v>
      </c>
    </row>
    <row r="1464" spans="3:4" x14ac:dyDescent="0.2">
      <c r="C1464" t="s">
        <v>2926</v>
      </c>
      <c r="D1464" t="s">
        <v>2927</v>
      </c>
    </row>
    <row r="1465" spans="3:4" x14ac:dyDescent="0.2">
      <c r="C1465" t="s">
        <v>2928</v>
      </c>
    </row>
    <row r="1466" spans="3:4" x14ac:dyDescent="0.2">
      <c r="C1466" t="s">
        <v>2929</v>
      </c>
      <c r="D1466" t="s">
        <v>2930</v>
      </c>
    </row>
    <row r="1467" spans="3:4" x14ac:dyDescent="0.2">
      <c r="C1467" t="s">
        <v>2931</v>
      </c>
      <c r="D1467" t="s">
        <v>2932</v>
      </c>
    </row>
    <row r="1468" spans="3:4" x14ac:dyDescent="0.2">
      <c r="C1468" t="s">
        <v>2933</v>
      </c>
      <c r="D1468" t="s">
        <v>2934</v>
      </c>
    </row>
    <row r="1469" spans="3:4" x14ac:dyDescent="0.2">
      <c r="C1469" t="s">
        <v>2935</v>
      </c>
      <c r="D1469" t="s">
        <v>2936</v>
      </c>
    </row>
    <row r="1470" spans="3:4" x14ac:dyDescent="0.2">
      <c r="C1470" t="s">
        <v>2937</v>
      </c>
    </row>
    <row r="1471" spans="3:4" x14ac:dyDescent="0.2">
      <c r="C1471" t="s">
        <v>2938</v>
      </c>
    </row>
    <row r="1472" spans="3:4" x14ac:dyDescent="0.2">
      <c r="C1472" t="s">
        <v>2939</v>
      </c>
      <c r="D1472" t="s">
        <v>2940</v>
      </c>
    </row>
    <row r="1473" spans="3:4" x14ac:dyDescent="0.2">
      <c r="C1473" t="s">
        <v>2941</v>
      </c>
      <c r="D1473" t="s">
        <v>2942</v>
      </c>
    </row>
    <row r="1474" spans="3:4" x14ac:dyDescent="0.2">
      <c r="C1474" t="s">
        <v>2943</v>
      </c>
      <c r="D1474" t="s">
        <v>2944</v>
      </c>
    </row>
    <row r="1475" spans="3:4" x14ac:dyDescent="0.2">
      <c r="C1475" t="s">
        <v>2945</v>
      </c>
      <c r="D1475" t="s">
        <v>2946</v>
      </c>
    </row>
    <row r="1476" spans="3:4" x14ac:dyDescent="0.2">
      <c r="C1476" t="s">
        <v>2947</v>
      </c>
      <c r="D1476" t="s">
        <v>2948</v>
      </c>
    </row>
    <row r="1477" spans="3:4" x14ac:dyDescent="0.2">
      <c r="C1477" t="s">
        <v>2949</v>
      </c>
      <c r="D1477" t="s">
        <v>2950</v>
      </c>
    </row>
    <row r="1478" spans="3:4" x14ac:dyDescent="0.2">
      <c r="C1478" t="s">
        <v>2951</v>
      </c>
      <c r="D1478" t="s">
        <v>2952</v>
      </c>
    </row>
    <row r="1479" spans="3:4" x14ac:dyDescent="0.2">
      <c r="C1479" t="s">
        <v>2953</v>
      </c>
      <c r="D1479" t="s">
        <v>2954</v>
      </c>
    </row>
    <row r="1480" spans="3:4" x14ac:dyDescent="0.2">
      <c r="C1480" t="s">
        <v>2955</v>
      </c>
      <c r="D1480" t="s">
        <v>2956</v>
      </c>
    </row>
    <row r="1481" spans="3:4" x14ac:dyDescent="0.2">
      <c r="C1481" t="s">
        <v>2957</v>
      </c>
      <c r="D1481" t="s">
        <v>2958</v>
      </c>
    </row>
    <row r="1482" spans="3:4" x14ac:dyDescent="0.2">
      <c r="C1482" t="s">
        <v>2959</v>
      </c>
      <c r="D1482" t="s">
        <v>2960</v>
      </c>
    </row>
    <row r="1483" spans="3:4" x14ac:dyDescent="0.2">
      <c r="C1483" t="s">
        <v>2961</v>
      </c>
      <c r="D1483" t="s">
        <v>2962</v>
      </c>
    </row>
    <row r="1484" spans="3:4" x14ac:dyDescent="0.2">
      <c r="C1484" t="s">
        <v>2963</v>
      </c>
    </row>
    <row r="1485" spans="3:4" x14ac:dyDescent="0.2">
      <c r="C1485" t="s">
        <v>2964</v>
      </c>
      <c r="D1485" t="s">
        <v>2965</v>
      </c>
    </row>
    <row r="1486" spans="3:4" x14ac:dyDescent="0.2">
      <c r="C1486" t="s">
        <v>2966</v>
      </c>
    </row>
    <row r="1487" spans="3:4" x14ac:dyDescent="0.2">
      <c r="C1487" t="s">
        <v>2967</v>
      </c>
      <c r="D1487" t="s">
        <v>2968</v>
      </c>
    </row>
    <row r="1488" spans="3:4" x14ac:dyDescent="0.2">
      <c r="C1488" t="s">
        <v>2969</v>
      </c>
      <c r="D1488" t="s">
        <v>2970</v>
      </c>
    </row>
    <row r="1489" spans="3:4" x14ac:dyDescent="0.2">
      <c r="C1489" t="s">
        <v>2971</v>
      </c>
      <c r="D1489" t="s">
        <v>2972</v>
      </c>
    </row>
    <row r="1490" spans="3:4" x14ac:dyDescent="0.2">
      <c r="C1490" t="s">
        <v>2973</v>
      </c>
    </row>
    <row r="1491" spans="3:4" x14ac:dyDescent="0.2">
      <c r="C1491" t="s">
        <v>2974</v>
      </c>
    </row>
    <row r="1492" spans="3:4" x14ac:dyDescent="0.2">
      <c r="C1492" t="s">
        <v>2975</v>
      </c>
      <c r="D1492" t="s">
        <v>2976</v>
      </c>
    </row>
    <row r="1493" spans="3:4" x14ac:dyDescent="0.2">
      <c r="C1493" t="s">
        <v>2977</v>
      </c>
    </row>
    <row r="1494" spans="3:4" x14ac:dyDescent="0.2">
      <c r="C1494" t="s">
        <v>2978</v>
      </c>
      <c r="D1494" t="s">
        <v>2979</v>
      </c>
    </row>
    <row r="1495" spans="3:4" x14ac:dyDescent="0.2">
      <c r="C1495" t="s">
        <v>2980</v>
      </c>
      <c r="D1495" t="s">
        <v>2981</v>
      </c>
    </row>
    <row r="1496" spans="3:4" x14ac:dyDescent="0.2">
      <c r="C1496" t="s">
        <v>2982</v>
      </c>
    </row>
    <row r="1497" spans="3:4" x14ac:dyDescent="0.2">
      <c r="C1497" t="s">
        <v>2983</v>
      </c>
      <c r="D1497" t="s">
        <v>2984</v>
      </c>
    </row>
    <row r="1498" spans="3:4" x14ac:dyDescent="0.2">
      <c r="C1498" t="s">
        <v>2985</v>
      </c>
    </row>
    <row r="1499" spans="3:4" x14ac:dyDescent="0.2">
      <c r="C1499" t="s">
        <v>2986</v>
      </c>
    </row>
    <row r="1500" spans="3:4" x14ac:dyDescent="0.2">
      <c r="C1500" t="s">
        <v>2987</v>
      </c>
    </row>
    <row r="1501" spans="3:4" x14ac:dyDescent="0.2">
      <c r="C1501" t="s">
        <v>2988</v>
      </c>
    </row>
    <row r="1502" spans="3:4" x14ac:dyDescent="0.2">
      <c r="C1502" t="s">
        <v>2989</v>
      </c>
      <c r="D1502" t="s">
        <v>2990</v>
      </c>
    </row>
    <row r="1503" spans="3:4" x14ac:dyDescent="0.2">
      <c r="C1503" t="s">
        <v>2991</v>
      </c>
      <c r="D1503" t="s">
        <v>2992</v>
      </c>
    </row>
    <row r="1504" spans="3:4" x14ac:dyDescent="0.2">
      <c r="C1504" t="s">
        <v>2993</v>
      </c>
    </row>
    <row r="1505" spans="3:4" x14ac:dyDescent="0.2">
      <c r="C1505" t="s">
        <v>2994</v>
      </c>
    </row>
    <row r="1506" spans="3:4" x14ac:dyDescent="0.2">
      <c r="C1506" t="s">
        <v>2995</v>
      </c>
    </row>
    <row r="1507" spans="3:4" x14ac:dyDescent="0.2">
      <c r="C1507" t="s">
        <v>2996</v>
      </c>
    </row>
    <row r="1508" spans="3:4" x14ac:dyDescent="0.2">
      <c r="C1508" t="s">
        <v>2997</v>
      </c>
      <c r="D1508" t="s">
        <v>2998</v>
      </c>
    </row>
    <row r="1509" spans="3:4" x14ac:dyDescent="0.2">
      <c r="C1509" t="s">
        <v>2999</v>
      </c>
      <c r="D1509" t="s">
        <v>3000</v>
      </c>
    </row>
    <row r="1510" spans="3:4" x14ac:dyDescent="0.2">
      <c r="C1510" t="s">
        <v>3001</v>
      </c>
      <c r="D1510" t="s">
        <v>3002</v>
      </c>
    </row>
    <row r="1511" spans="3:4" x14ac:dyDescent="0.2">
      <c r="C1511" t="s">
        <v>3003</v>
      </c>
      <c r="D1511" t="s">
        <v>3004</v>
      </c>
    </row>
    <row r="1512" spans="3:4" x14ac:dyDescent="0.2">
      <c r="C1512" t="s">
        <v>3005</v>
      </c>
      <c r="D1512" t="s">
        <v>3006</v>
      </c>
    </row>
    <row r="1513" spans="3:4" x14ac:dyDescent="0.2">
      <c r="C1513" t="s">
        <v>3007</v>
      </c>
    </row>
    <row r="1514" spans="3:4" x14ac:dyDescent="0.2">
      <c r="C1514" t="s">
        <v>3008</v>
      </c>
    </row>
    <row r="1515" spans="3:4" x14ac:dyDescent="0.2">
      <c r="C1515" t="s">
        <v>3009</v>
      </c>
      <c r="D1515" t="s">
        <v>3010</v>
      </c>
    </row>
    <row r="1516" spans="3:4" x14ac:dyDescent="0.2">
      <c r="C1516" t="s">
        <v>3011</v>
      </c>
      <c r="D1516" t="s">
        <v>3012</v>
      </c>
    </row>
    <row r="1517" spans="3:4" x14ac:dyDescent="0.2">
      <c r="C1517" t="s">
        <v>3013</v>
      </c>
    </row>
    <row r="1518" spans="3:4" x14ac:dyDescent="0.2">
      <c r="C1518" t="s">
        <v>3014</v>
      </c>
    </row>
    <row r="1519" spans="3:4" x14ac:dyDescent="0.2">
      <c r="C1519" t="s">
        <v>3015</v>
      </c>
    </row>
    <row r="1520" spans="3:4" x14ac:dyDescent="0.2">
      <c r="C1520" t="s">
        <v>3016</v>
      </c>
      <c r="D1520" t="s">
        <v>3017</v>
      </c>
    </row>
    <row r="1521" spans="3:4" x14ac:dyDescent="0.2">
      <c r="C1521" t="s">
        <v>3018</v>
      </c>
      <c r="D1521" t="s">
        <v>3019</v>
      </c>
    </row>
    <row r="1522" spans="3:4" x14ac:dyDescent="0.2">
      <c r="C1522" t="s">
        <v>3020</v>
      </c>
      <c r="D1522" t="s">
        <v>3021</v>
      </c>
    </row>
    <row r="1523" spans="3:4" x14ac:dyDescent="0.2">
      <c r="C1523" t="s">
        <v>3022</v>
      </c>
      <c r="D1523" t="s">
        <v>3023</v>
      </c>
    </row>
    <row r="1524" spans="3:4" x14ac:dyDescent="0.2">
      <c r="C1524" t="s">
        <v>3024</v>
      </c>
      <c r="D1524" t="s">
        <v>3025</v>
      </c>
    </row>
    <row r="1525" spans="3:4" x14ac:dyDescent="0.2">
      <c r="C1525" t="s">
        <v>3026</v>
      </c>
      <c r="D1525" t="s">
        <v>3027</v>
      </c>
    </row>
    <row r="1526" spans="3:4" x14ac:dyDescent="0.2">
      <c r="C1526" t="s">
        <v>3028</v>
      </c>
      <c r="D1526" t="s">
        <v>3029</v>
      </c>
    </row>
    <row r="1527" spans="3:4" x14ac:dyDescent="0.2">
      <c r="C1527" t="s">
        <v>3030</v>
      </c>
      <c r="D1527" t="s">
        <v>3031</v>
      </c>
    </row>
    <row r="1528" spans="3:4" x14ac:dyDescent="0.2">
      <c r="C1528" t="s">
        <v>3032</v>
      </c>
      <c r="D1528" t="s">
        <v>3033</v>
      </c>
    </row>
    <row r="1529" spans="3:4" x14ac:dyDescent="0.2">
      <c r="C1529" t="s">
        <v>3034</v>
      </c>
      <c r="D1529" t="s">
        <v>3035</v>
      </c>
    </row>
    <row r="1530" spans="3:4" x14ac:dyDescent="0.2">
      <c r="C1530" t="s">
        <v>3036</v>
      </c>
      <c r="D1530" t="s">
        <v>3037</v>
      </c>
    </row>
    <row r="1531" spans="3:4" x14ac:dyDescent="0.2">
      <c r="C1531" t="s">
        <v>3038</v>
      </c>
    </row>
    <row r="1532" spans="3:4" x14ac:dyDescent="0.2">
      <c r="C1532" t="s">
        <v>3039</v>
      </c>
      <c r="D1532" t="s">
        <v>3040</v>
      </c>
    </row>
    <row r="1533" spans="3:4" x14ac:dyDescent="0.2">
      <c r="C1533" t="s">
        <v>3041</v>
      </c>
      <c r="D1533" t="s">
        <v>3042</v>
      </c>
    </row>
    <row r="1534" spans="3:4" x14ac:dyDescent="0.2">
      <c r="C1534" t="s">
        <v>3043</v>
      </c>
      <c r="D1534" t="s">
        <v>3044</v>
      </c>
    </row>
    <row r="1535" spans="3:4" x14ac:dyDescent="0.2">
      <c r="C1535" t="s">
        <v>3045</v>
      </c>
      <c r="D1535" t="s">
        <v>3046</v>
      </c>
    </row>
    <row r="1536" spans="3:4" x14ac:dyDescent="0.2">
      <c r="C1536" t="s">
        <v>3047</v>
      </c>
      <c r="D1536" t="s">
        <v>3048</v>
      </c>
    </row>
    <row r="1537" spans="3:4" x14ac:dyDescent="0.2">
      <c r="C1537" t="s">
        <v>3049</v>
      </c>
      <c r="D1537" t="s">
        <v>3050</v>
      </c>
    </row>
    <row r="1538" spans="3:4" x14ac:dyDescent="0.2">
      <c r="C1538" t="s">
        <v>3051</v>
      </c>
      <c r="D1538" t="s">
        <v>3052</v>
      </c>
    </row>
    <row r="1539" spans="3:4" x14ac:dyDescent="0.2">
      <c r="C1539" t="s">
        <v>3053</v>
      </c>
      <c r="D1539" t="s">
        <v>3054</v>
      </c>
    </row>
    <row r="1540" spans="3:4" x14ac:dyDescent="0.2">
      <c r="C1540" t="s">
        <v>3055</v>
      </c>
      <c r="D1540" t="s">
        <v>3056</v>
      </c>
    </row>
    <row r="1541" spans="3:4" x14ac:dyDescent="0.2">
      <c r="C1541" t="s">
        <v>3057</v>
      </c>
    </row>
    <row r="1542" spans="3:4" x14ac:dyDescent="0.2">
      <c r="C1542" t="s">
        <v>3058</v>
      </c>
      <c r="D1542" t="s">
        <v>3059</v>
      </c>
    </row>
    <row r="1543" spans="3:4" x14ac:dyDescent="0.2">
      <c r="C1543" t="s">
        <v>3060</v>
      </c>
      <c r="D1543" t="s">
        <v>3061</v>
      </c>
    </row>
    <row r="1544" spans="3:4" x14ac:dyDescent="0.2">
      <c r="C1544" t="s">
        <v>3062</v>
      </c>
      <c r="D1544" t="s">
        <v>3063</v>
      </c>
    </row>
    <row r="1545" spans="3:4" x14ac:dyDescent="0.2">
      <c r="C1545" t="s">
        <v>3064</v>
      </c>
      <c r="D1545" t="s">
        <v>3065</v>
      </c>
    </row>
    <row r="1546" spans="3:4" x14ac:dyDescent="0.2">
      <c r="C1546" t="s">
        <v>3066</v>
      </c>
      <c r="D1546" t="s">
        <v>3067</v>
      </c>
    </row>
    <row r="1547" spans="3:4" x14ac:dyDescent="0.2">
      <c r="C1547" t="s">
        <v>3068</v>
      </c>
      <c r="D1547" t="s">
        <v>3069</v>
      </c>
    </row>
    <row r="1548" spans="3:4" x14ac:dyDescent="0.2">
      <c r="C1548" t="s">
        <v>3070</v>
      </c>
      <c r="D1548" t="s">
        <v>3071</v>
      </c>
    </row>
    <row r="1549" spans="3:4" x14ac:dyDescent="0.2">
      <c r="C1549" t="s">
        <v>3072</v>
      </c>
      <c r="D1549" t="s">
        <v>3073</v>
      </c>
    </row>
    <row r="1550" spans="3:4" x14ac:dyDescent="0.2">
      <c r="C1550" t="s">
        <v>3074</v>
      </c>
      <c r="D1550" t="s">
        <v>3075</v>
      </c>
    </row>
    <row r="1551" spans="3:4" x14ac:dyDescent="0.2">
      <c r="C1551" t="s">
        <v>3076</v>
      </c>
      <c r="D1551" t="s">
        <v>3077</v>
      </c>
    </row>
    <row r="1552" spans="3:4" x14ac:dyDescent="0.2">
      <c r="C1552" t="s">
        <v>3078</v>
      </c>
      <c r="D1552" t="s">
        <v>3079</v>
      </c>
    </row>
    <row r="1553" spans="3:4" x14ac:dyDescent="0.2">
      <c r="C1553" t="s">
        <v>3080</v>
      </c>
      <c r="D1553" t="s">
        <v>3081</v>
      </c>
    </row>
    <row r="1554" spans="3:4" x14ac:dyDescent="0.2">
      <c r="C1554" t="s">
        <v>3082</v>
      </c>
      <c r="D1554" t="s">
        <v>3083</v>
      </c>
    </row>
    <row r="1555" spans="3:4" x14ac:dyDescent="0.2">
      <c r="C1555" t="s">
        <v>3084</v>
      </c>
      <c r="D1555" t="s">
        <v>3085</v>
      </c>
    </row>
    <row r="1556" spans="3:4" x14ac:dyDescent="0.2">
      <c r="C1556" t="s">
        <v>3086</v>
      </c>
      <c r="D1556" t="s">
        <v>3087</v>
      </c>
    </row>
    <row r="1557" spans="3:4" x14ac:dyDescent="0.2">
      <c r="C1557" t="s">
        <v>3088</v>
      </c>
      <c r="D1557" t="s">
        <v>3089</v>
      </c>
    </row>
    <row r="1558" spans="3:4" x14ac:dyDescent="0.2">
      <c r="C1558" t="s">
        <v>3090</v>
      </c>
      <c r="D1558" t="s">
        <v>3091</v>
      </c>
    </row>
    <row r="1559" spans="3:4" x14ac:dyDescent="0.2">
      <c r="C1559" t="s">
        <v>3092</v>
      </c>
    </row>
    <row r="1560" spans="3:4" x14ac:dyDescent="0.2">
      <c r="C1560" t="s">
        <v>3093</v>
      </c>
    </row>
    <row r="1561" spans="3:4" x14ac:dyDescent="0.2">
      <c r="C1561" t="s">
        <v>3094</v>
      </c>
    </row>
    <row r="1562" spans="3:4" x14ac:dyDescent="0.2">
      <c r="C1562" t="s">
        <v>3095</v>
      </c>
    </row>
    <row r="1563" spans="3:4" x14ac:dyDescent="0.2">
      <c r="C1563" t="s">
        <v>3096</v>
      </c>
      <c r="D1563" t="s">
        <v>3097</v>
      </c>
    </row>
    <row r="1564" spans="3:4" x14ac:dyDescent="0.2">
      <c r="C1564" t="s">
        <v>3098</v>
      </c>
      <c r="D1564" t="s">
        <v>3099</v>
      </c>
    </row>
    <row r="1565" spans="3:4" x14ac:dyDescent="0.2">
      <c r="C1565" t="s">
        <v>3100</v>
      </c>
      <c r="D1565" t="s">
        <v>3101</v>
      </c>
    </row>
    <row r="1566" spans="3:4" x14ac:dyDescent="0.2">
      <c r="C1566" t="s">
        <v>3102</v>
      </c>
    </row>
    <row r="1567" spans="3:4" x14ac:dyDescent="0.2">
      <c r="C1567" t="s">
        <v>3103</v>
      </c>
      <c r="D1567" t="s">
        <v>3104</v>
      </c>
    </row>
    <row r="1568" spans="3:4" x14ac:dyDescent="0.2">
      <c r="C1568" t="s">
        <v>3105</v>
      </c>
      <c r="D1568" t="s">
        <v>3106</v>
      </c>
    </row>
    <row r="1569" spans="3:4" x14ac:dyDescent="0.2">
      <c r="C1569" t="s">
        <v>3107</v>
      </c>
      <c r="D1569" t="s">
        <v>3108</v>
      </c>
    </row>
    <row r="1570" spans="3:4" x14ac:dyDescent="0.2">
      <c r="C1570" t="s">
        <v>3109</v>
      </c>
    </row>
    <row r="1571" spans="3:4" x14ac:dyDescent="0.2">
      <c r="C1571" t="s">
        <v>3110</v>
      </c>
    </row>
    <row r="1572" spans="3:4" x14ac:dyDescent="0.2">
      <c r="C1572" t="s">
        <v>3111</v>
      </c>
    </row>
    <row r="1573" spans="3:4" x14ac:dyDescent="0.2">
      <c r="C1573" t="s">
        <v>3112</v>
      </c>
    </row>
    <row r="1574" spans="3:4" x14ac:dyDescent="0.2">
      <c r="C1574" t="s">
        <v>3113</v>
      </c>
    </row>
    <row r="1575" spans="3:4" x14ac:dyDescent="0.2">
      <c r="C1575" t="s">
        <v>3114</v>
      </c>
    </row>
    <row r="1576" spans="3:4" x14ac:dyDescent="0.2">
      <c r="C1576" t="s">
        <v>3115</v>
      </c>
    </row>
    <row r="1577" spans="3:4" x14ac:dyDescent="0.2">
      <c r="C1577" t="s">
        <v>3116</v>
      </c>
    </row>
    <row r="1578" spans="3:4" x14ac:dyDescent="0.2">
      <c r="C1578" t="s">
        <v>3117</v>
      </c>
    </row>
    <row r="1579" spans="3:4" x14ac:dyDescent="0.2">
      <c r="C1579" t="s">
        <v>3118</v>
      </c>
    </row>
    <row r="1580" spans="3:4" x14ac:dyDescent="0.2">
      <c r="C1580" t="s">
        <v>3119</v>
      </c>
    </row>
    <row r="1581" spans="3:4" x14ac:dyDescent="0.2">
      <c r="C1581" t="s">
        <v>3120</v>
      </c>
    </row>
    <row r="1582" spans="3:4" x14ac:dyDescent="0.2">
      <c r="C1582" t="s">
        <v>3121</v>
      </c>
    </row>
    <row r="1583" spans="3:4" x14ac:dyDescent="0.2">
      <c r="C1583" t="s">
        <v>3122</v>
      </c>
    </row>
    <row r="1584" spans="3:4" x14ac:dyDescent="0.2">
      <c r="C1584" t="s">
        <v>3123</v>
      </c>
    </row>
    <row r="1585" spans="3:3" x14ac:dyDescent="0.2">
      <c r="C1585" t="s">
        <v>3124</v>
      </c>
    </row>
    <row r="1586" spans="3:3" x14ac:dyDescent="0.2">
      <c r="C1586" t="s">
        <v>3125</v>
      </c>
    </row>
    <row r="1587" spans="3:3" x14ac:dyDescent="0.2">
      <c r="C1587" t="s">
        <v>3126</v>
      </c>
    </row>
    <row r="1588" spans="3:3" x14ac:dyDescent="0.2">
      <c r="C1588" t="s">
        <v>3127</v>
      </c>
    </row>
    <row r="1589" spans="3:3" x14ac:dyDescent="0.2">
      <c r="C1589" t="s">
        <v>3128</v>
      </c>
    </row>
    <row r="1590" spans="3:3" x14ac:dyDescent="0.2">
      <c r="C1590" t="s">
        <v>3129</v>
      </c>
    </row>
    <row r="1591" spans="3:3" x14ac:dyDescent="0.2">
      <c r="C1591" t="s">
        <v>3130</v>
      </c>
    </row>
    <row r="1592" spans="3:3" x14ac:dyDescent="0.2">
      <c r="C1592" t="s">
        <v>3131</v>
      </c>
    </row>
    <row r="1593" spans="3:3" x14ac:dyDescent="0.2">
      <c r="C1593" t="s">
        <v>3132</v>
      </c>
    </row>
    <row r="1594" spans="3:3" x14ac:dyDescent="0.2">
      <c r="C1594" t="s">
        <v>3133</v>
      </c>
    </row>
    <row r="1595" spans="3:3" x14ac:dyDescent="0.2">
      <c r="C1595" t="s">
        <v>3134</v>
      </c>
    </row>
    <row r="1596" spans="3:3" x14ac:dyDescent="0.2">
      <c r="C1596" t="s">
        <v>3135</v>
      </c>
    </row>
    <row r="1597" spans="3:3" x14ac:dyDescent="0.2">
      <c r="C1597" t="s">
        <v>3136</v>
      </c>
    </row>
    <row r="1598" spans="3:3" x14ac:dyDescent="0.2">
      <c r="C1598" t="s">
        <v>3137</v>
      </c>
    </row>
    <row r="1599" spans="3:3" x14ac:dyDescent="0.2">
      <c r="C1599" t="s">
        <v>3138</v>
      </c>
    </row>
    <row r="1600" spans="3:3" x14ac:dyDescent="0.2">
      <c r="C1600" t="s">
        <v>3139</v>
      </c>
    </row>
    <row r="1601" spans="3:3" x14ac:dyDescent="0.2">
      <c r="C1601" t="s">
        <v>3140</v>
      </c>
    </row>
    <row r="1602" spans="3:3" x14ac:dyDescent="0.2">
      <c r="C1602" t="s">
        <v>3141</v>
      </c>
    </row>
    <row r="1603" spans="3:3" x14ac:dyDescent="0.2">
      <c r="C1603" t="s">
        <v>3142</v>
      </c>
    </row>
    <row r="1604" spans="3:3" x14ac:dyDescent="0.2">
      <c r="C1604" t="s">
        <v>3143</v>
      </c>
    </row>
    <row r="1605" spans="3:3" x14ac:dyDescent="0.2">
      <c r="C1605" t="s">
        <v>3144</v>
      </c>
    </row>
    <row r="1606" spans="3:3" x14ac:dyDescent="0.2">
      <c r="C1606" t="s">
        <v>3145</v>
      </c>
    </row>
    <row r="1607" spans="3:3" x14ac:dyDescent="0.2">
      <c r="C1607" t="s">
        <v>3146</v>
      </c>
    </row>
    <row r="1608" spans="3:3" x14ac:dyDescent="0.2">
      <c r="C1608" t="s">
        <v>3147</v>
      </c>
    </row>
    <row r="1609" spans="3:3" x14ac:dyDescent="0.2">
      <c r="C1609" t="s">
        <v>3148</v>
      </c>
    </row>
    <row r="1610" spans="3:3" x14ac:dyDescent="0.2">
      <c r="C1610" t="s">
        <v>3149</v>
      </c>
    </row>
    <row r="1611" spans="3:3" x14ac:dyDescent="0.2">
      <c r="C1611" t="s">
        <v>3150</v>
      </c>
    </row>
    <row r="1612" spans="3:3" x14ac:dyDescent="0.2">
      <c r="C1612" t="s">
        <v>3151</v>
      </c>
    </row>
    <row r="1613" spans="3:3" x14ac:dyDescent="0.2">
      <c r="C1613" t="s">
        <v>3152</v>
      </c>
    </row>
    <row r="1614" spans="3:3" x14ac:dyDescent="0.2">
      <c r="C1614" t="s">
        <v>3153</v>
      </c>
    </row>
    <row r="1615" spans="3:3" x14ac:dyDescent="0.2">
      <c r="C1615" t="s">
        <v>3154</v>
      </c>
    </row>
    <row r="1616" spans="3:3" x14ac:dyDescent="0.2">
      <c r="C1616" t="s">
        <v>3155</v>
      </c>
    </row>
    <row r="1617" spans="3:3" x14ac:dyDescent="0.2">
      <c r="C1617" t="s">
        <v>3156</v>
      </c>
    </row>
    <row r="1618" spans="3:3" x14ac:dyDescent="0.2">
      <c r="C1618" t="s">
        <v>3157</v>
      </c>
    </row>
    <row r="1619" spans="3:3" x14ac:dyDescent="0.2">
      <c r="C1619" t="s">
        <v>3158</v>
      </c>
    </row>
    <row r="1620" spans="3:3" x14ac:dyDescent="0.2">
      <c r="C1620" t="s">
        <v>3159</v>
      </c>
    </row>
    <row r="1621" spans="3:3" x14ac:dyDescent="0.2">
      <c r="C1621" t="s">
        <v>3160</v>
      </c>
    </row>
    <row r="1622" spans="3:3" x14ac:dyDescent="0.2">
      <c r="C1622" t="s">
        <v>3161</v>
      </c>
    </row>
    <row r="1623" spans="3:3" x14ac:dyDescent="0.2">
      <c r="C1623" t="s">
        <v>3162</v>
      </c>
    </row>
    <row r="1624" spans="3:3" x14ac:dyDescent="0.2">
      <c r="C1624" t="s">
        <v>3163</v>
      </c>
    </row>
    <row r="1625" spans="3:3" x14ac:dyDescent="0.2">
      <c r="C1625" t="s">
        <v>3164</v>
      </c>
    </row>
    <row r="1626" spans="3:3" x14ac:dyDescent="0.2">
      <c r="C1626" t="s">
        <v>3165</v>
      </c>
    </row>
    <row r="1627" spans="3:3" x14ac:dyDescent="0.2">
      <c r="C1627" t="s">
        <v>3166</v>
      </c>
    </row>
    <row r="1628" spans="3:3" x14ac:dyDescent="0.2">
      <c r="C1628" t="s">
        <v>3167</v>
      </c>
    </row>
    <row r="1629" spans="3:3" x14ac:dyDescent="0.2">
      <c r="C1629" t="s">
        <v>3168</v>
      </c>
    </row>
    <row r="1630" spans="3:3" x14ac:dyDescent="0.2">
      <c r="C1630" t="s">
        <v>3169</v>
      </c>
    </row>
    <row r="1631" spans="3:3" x14ac:dyDescent="0.2">
      <c r="C1631" t="s">
        <v>3170</v>
      </c>
    </row>
    <row r="1632" spans="3:3" x14ac:dyDescent="0.2">
      <c r="C1632" t="s">
        <v>3171</v>
      </c>
    </row>
    <row r="1633" spans="3:3" x14ac:dyDescent="0.2">
      <c r="C1633" t="s">
        <v>3172</v>
      </c>
    </row>
    <row r="1634" spans="3:3" x14ac:dyDescent="0.2">
      <c r="C1634" t="s">
        <v>3173</v>
      </c>
    </row>
    <row r="1635" spans="3:3" x14ac:dyDescent="0.2">
      <c r="C1635" t="s">
        <v>3174</v>
      </c>
    </row>
    <row r="1636" spans="3:3" x14ac:dyDescent="0.2">
      <c r="C1636" t="s">
        <v>3175</v>
      </c>
    </row>
    <row r="1637" spans="3:3" x14ac:dyDescent="0.2">
      <c r="C1637" t="s">
        <v>3176</v>
      </c>
    </row>
    <row r="1638" spans="3:3" x14ac:dyDescent="0.2">
      <c r="C1638" t="s">
        <v>3177</v>
      </c>
    </row>
    <row r="1639" spans="3:3" x14ac:dyDescent="0.2">
      <c r="C1639" t="s">
        <v>3178</v>
      </c>
    </row>
    <row r="1640" spans="3:3" x14ac:dyDescent="0.2">
      <c r="C1640" t="s">
        <v>3179</v>
      </c>
    </row>
    <row r="1641" spans="3:3" x14ac:dyDescent="0.2">
      <c r="C1641" t="s">
        <v>3180</v>
      </c>
    </row>
    <row r="1642" spans="3:3" x14ac:dyDescent="0.2">
      <c r="C1642" t="s">
        <v>3181</v>
      </c>
    </row>
    <row r="1643" spans="3:3" x14ac:dyDescent="0.2">
      <c r="C1643" t="s">
        <v>3182</v>
      </c>
    </row>
    <row r="1644" spans="3:3" x14ac:dyDescent="0.2">
      <c r="C1644" t="s">
        <v>3183</v>
      </c>
    </row>
    <row r="1645" spans="3:3" x14ac:dyDescent="0.2">
      <c r="C1645" t="s">
        <v>3184</v>
      </c>
    </row>
    <row r="1646" spans="3:3" x14ac:dyDescent="0.2">
      <c r="C1646" t="s">
        <v>3185</v>
      </c>
    </row>
    <row r="1647" spans="3:3" x14ac:dyDescent="0.2">
      <c r="C1647" t="s">
        <v>3186</v>
      </c>
    </row>
    <row r="1648" spans="3:3" x14ac:dyDescent="0.2">
      <c r="C1648" t="s">
        <v>3187</v>
      </c>
    </row>
    <row r="1649" spans="3:3" x14ac:dyDescent="0.2">
      <c r="C1649" t="s">
        <v>3188</v>
      </c>
    </row>
    <row r="1650" spans="3:3" x14ac:dyDescent="0.2">
      <c r="C1650" t="s">
        <v>3189</v>
      </c>
    </row>
    <row r="1651" spans="3:3" x14ac:dyDescent="0.2">
      <c r="C1651" t="s">
        <v>3190</v>
      </c>
    </row>
    <row r="1652" spans="3:3" x14ac:dyDescent="0.2">
      <c r="C1652" t="s">
        <v>3191</v>
      </c>
    </row>
    <row r="1653" spans="3:3" x14ac:dyDescent="0.2">
      <c r="C1653" t="s">
        <v>3192</v>
      </c>
    </row>
    <row r="1654" spans="3:3" x14ac:dyDescent="0.2">
      <c r="C1654" t="s">
        <v>3193</v>
      </c>
    </row>
    <row r="1655" spans="3:3" x14ac:dyDescent="0.2">
      <c r="C1655" t="s">
        <v>3194</v>
      </c>
    </row>
    <row r="1656" spans="3:3" x14ac:dyDescent="0.2">
      <c r="C1656" t="s">
        <v>3195</v>
      </c>
    </row>
    <row r="1657" spans="3:3" x14ac:dyDescent="0.2">
      <c r="C1657" t="s">
        <v>3196</v>
      </c>
    </row>
    <row r="1658" spans="3:3" x14ac:dyDescent="0.2">
      <c r="C1658" t="s">
        <v>3197</v>
      </c>
    </row>
    <row r="1659" spans="3:3" x14ac:dyDescent="0.2">
      <c r="C1659" t="s">
        <v>3198</v>
      </c>
    </row>
    <row r="1660" spans="3:3" x14ac:dyDescent="0.2">
      <c r="C1660" t="s">
        <v>3199</v>
      </c>
    </row>
    <row r="1661" spans="3:3" x14ac:dyDescent="0.2">
      <c r="C1661" t="s">
        <v>3200</v>
      </c>
    </row>
    <row r="1662" spans="3:3" x14ac:dyDescent="0.2">
      <c r="C1662" t="s">
        <v>3201</v>
      </c>
    </row>
    <row r="1663" spans="3:3" x14ac:dyDescent="0.2">
      <c r="C1663" t="s">
        <v>3202</v>
      </c>
    </row>
    <row r="1664" spans="3:3" x14ac:dyDescent="0.2">
      <c r="C1664" t="s">
        <v>3203</v>
      </c>
    </row>
    <row r="1665" spans="3:3" x14ac:dyDescent="0.2">
      <c r="C1665" t="s">
        <v>3204</v>
      </c>
    </row>
    <row r="1666" spans="3:3" x14ac:dyDescent="0.2">
      <c r="C1666" t="s">
        <v>3205</v>
      </c>
    </row>
    <row r="1667" spans="3:3" x14ac:dyDescent="0.2">
      <c r="C1667" t="s">
        <v>3206</v>
      </c>
    </row>
    <row r="1668" spans="3:3" x14ac:dyDescent="0.2">
      <c r="C1668" t="s">
        <v>3207</v>
      </c>
    </row>
    <row r="1669" spans="3:3" x14ac:dyDescent="0.2">
      <c r="C1669" t="s">
        <v>3208</v>
      </c>
    </row>
    <row r="1670" spans="3:3" x14ac:dyDescent="0.2">
      <c r="C1670" t="s">
        <v>3209</v>
      </c>
    </row>
    <row r="1671" spans="3:3" x14ac:dyDescent="0.2">
      <c r="C1671" t="s">
        <v>3210</v>
      </c>
    </row>
    <row r="1672" spans="3:3" x14ac:dyDescent="0.2">
      <c r="C1672" t="s">
        <v>3211</v>
      </c>
    </row>
    <row r="1673" spans="3:3" x14ac:dyDescent="0.2">
      <c r="C1673" t="s">
        <v>3212</v>
      </c>
    </row>
    <row r="1674" spans="3:3" x14ac:dyDescent="0.2">
      <c r="C1674" t="s">
        <v>3213</v>
      </c>
    </row>
    <row r="1675" spans="3:3" x14ac:dyDescent="0.2">
      <c r="C1675" t="s">
        <v>3214</v>
      </c>
    </row>
    <row r="1676" spans="3:3" x14ac:dyDescent="0.2">
      <c r="C1676" t="s">
        <v>3215</v>
      </c>
    </row>
    <row r="1677" spans="3:3" x14ac:dyDescent="0.2">
      <c r="C1677" t="s">
        <v>3216</v>
      </c>
    </row>
    <row r="1678" spans="3:3" x14ac:dyDescent="0.2">
      <c r="C1678" t="s">
        <v>3217</v>
      </c>
    </row>
    <row r="1679" spans="3:3" x14ac:dyDescent="0.2">
      <c r="C1679" t="s">
        <v>3218</v>
      </c>
    </row>
    <row r="1680" spans="3:3" x14ac:dyDescent="0.2">
      <c r="C1680" t="s">
        <v>3219</v>
      </c>
    </row>
    <row r="1681" spans="3:3" x14ac:dyDescent="0.2">
      <c r="C1681" t="s">
        <v>3220</v>
      </c>
    </row>
    <row r="1682" spans="3:3" x14ac:dyDescent="0.2">
      <c r="C1682" t="s">
        <v>3221</v>
      </c>
    </row>
    <row r="1683" spans="3:3" x14ac:dyDescent="0.2">
      <c r="C1683" t="s">
        <v>3222</v>
      </c>
    </row>
    <row r="1684" spans="3:3" x14ac:dyDescent="0.2">
      <c r="C1684" t="s">
        <v>3223</v>
      </c>
    </row>
    <row r="1685" spans="3:3" x14ac:dyDescent="0.2">
      <c r="C1685" t="s">
        <v>3224</v>
      </c>
    </row>
    <row r="1686" spans="3:3" x14ac:dyDescent="0.2">
      <c r="C1686" t="s">
        <v>3225</v>
      </c>
    </row>
    <row r="1687" spans="3:3" x14ac:dyDescent="0.2">
      <c r="C1687" t="s">
        <v>3226</v>
      </c>
    </row>
    <row r="1688" spans="3:3" x14ac:dyDescent="0.2">
      <c r="C1688" t="s">
        <v>3227</v>
      </c>
    </row>
    <row r="1689" spans="3:3" x14ac:dyDescent="0.2">
      <c r="C1689" t="s">
        <v>3228</v>
      </c>
    </row>
    <row r="1690" spans="3:3" x14ac:dyDescent="0.2">
      <c r="C1690" t="s">
        <v>3229</v>
      </c>
    </row>
    <row r="1691" spans="3:3" x14ac:dyDescent="0.2">
      <c r="C1691" t="s">
        <v>3230</v>
      </c>
    </row>
    <row r="1692" spans="3:3" x14ac:dyDescent="0.2">
      <c r="C1692" t="s">
        <v>3231</v>
      </c>
    </row>
    <row r="1693" spans="3:3" x14ac:dyDescent="0.2">
      <c r="C1693" t="s">
        <v>3232</v>
      </c>
    </row>
    <row r="1694" spans="3:3" x14ac:dyDescent="0.2">
      <c r="C1694" t="s">
        <v>3233</v>
      </c>
    </row>
    <row r="1695" spans="3:3" x14ac:dyDescent="0.2">
      <c r="C1695" t="s">
        <v>3234</v>
      </c>
    </row>
    <row r="1696" spans="3:3" x14ac:dyDescent="0.2">
      <c r="C1696" t="s">
        <v>3235</v>
      </c>
    </row>
    <row r="1697" spans="3:3" x14ac:dyDescent="0.2">
      <c r="C1697" t="s">
        <v>3236</v>
      </c>
    </row>
    <row r="1698" spans="3:3" x14ac:dyDescent="0.2">
      <c r="C1698" t="s">
        <v>3237</v>
      </c>
    </row>
    <row r="1699" spans="3:3" x14ac:dyDescent="0.2">
      <c r="C1699" t="s">
        <v>3238</v>
      </c>
    </row>
    <row r="1700" spans="3:3" x14ac:dyDescent="0.2">
      <c r="C1700" t="s">
        <v>3239</v>
      </c>
    </row>
    <row r="1701" spans="3:3" x14ac:dyDescent="0.2">
      <c r="C1701" t="s">
        <v>3240</v>
      </c>
    </row>
    <row r="1702" spans="3:3" x14ac:dyDescent="0.2">
      <c r="C1702" t="s">
        <v>3241</v>
      </c>
    </row>
    <row r="1703" spans="3:3" x14ac:dyDescent="0.2">
      <c r="C1703" t="s">
        <v>3242</v>
      </c>
    </row>
    <row r="1704" spans="3:3" x14ac:dyDescent="0.2">
      <c r="C1704" t="s">
        <v>3243</v>
      </c>
    </row>
    <row r="1705" spans="3:3" x14ac:dyDescent="0.2">
      <c r="C1705" t="s">
        <v>3244</v>
      </c>
    </row>
    <row r="1706" spans="3:3" x14ac:dyDescent="0.2">
      <c r="C1706" t="s">
        <v>3245</v>
      </c>
    </row>
    <row r="1707" spans="3:3" x14ac:dyDescent="0.2">
      <c r="C1707" t="s">
        <v>3246</v>
      </c>
    </row>
    <row r="1708" spans="3:3" x14ac:dyDescent="0.2">
      <c r="C1708" t="s">
        <v>3247</v>
      </c>
    </row>
    <row r="1709" spans="3:3" x14ac:dyDescent="0.2">
      <c r="C1709" t="s">
        <v>3248</v>
      </c>
    </row>
    <row r="1710" spans="3:3" x14ac:dyDescent="0.2">
      <c r="C1710" t="s">
        <v>3249</v>
      </c>
    </row>
    <row r="1711" spans="3:3" x14ac:dyDescent="0.2">
      <c r="C1711" t="s">
        <v>3250</v>
      </c>
    </row>
    <row r="1712" spans="3:3" x14ac:dyDescent="0.2">
      <c r="C1712" t="s">
        <v>3251</v>
      </c>
    </row>
    <row r="1713" spans="3:3" x14ac:dyDescent="0.2">
      <c r="C1713" t="s">
        <v>3252</v>
      </c>
    </row>
    <row r="1714" spans="3:3" x14ac:dyDescent="0.2">
      <c r="C1714" t="s">
        <v>3253</v>
      </c>
    </row>
    <row r="1715" spans="3:3" x14ac:dyDescent="0.2">
      <c r="C1715" t="s">
        <v>3254</v>
      </c>
    </row>
    <row r="1716" spans="3:3" x14ac:dyDescent="0.2">
      <c r="C1716" t="s">
        <v>3255</v>
      </c>
    </row>
    <row r="1717" spans="3:3" x14ac:dyDescent="0.2">
      <c r="C1717" t="s">
        <v>3256</v>
      </c>
    </row>
    <row r="1718" spans="3:3" x14ac:dyDescent="0.2">
      <c r="C1718" t="s">
        <v>3257</v>
      </c>
    </row>
    <row r="1719" spans="3:3" x14ac:dyDescent="0.2">
      <c r="C1719" t="s">
        <v>3258</v>
      </c>
    </row>
    <row r="1720" spans="3:3" x14ac:dyDescent="0.2">
      <c r="C1720" t="s">
        <v>3259</v>
      </c>
    </row>
    <row r="1721" spans="3:3" x14ac:dyDescent="0.2">
      <c r="C1721" t="s">
        <v>3260</v>
      </c>
    </row>
    <row r="1722" spans="3:3" x14ac:dyDescent="0.2">
      <c r="C1722" t="s">
        <v>3261</v>
      </c>
    </row>
    <row r="1723" spans="3:3" x14ac:dyDescent="0.2">
      <c r="C1723" t="s">
        <v>3262</v>
      </c>
    </row>
    <row r="1724" spans="3:3" x14ac:dyDescent="0.2">
      <c r="C1724" t="s">
        <v>3263</v>
      </c>
    </row>
    <row r="1725" spans="3:3" x14ac:dyDescent="0.2">
      <c r="C1725" t="s">
        <v>3264</v>
      </c>
    </row>
    <row r="1726" spans="3:3" x14ac:dyDescent="0.2">
      <c r="C1726" t="s">
        <v>3265</v>
      </c>
    </row>
    <row r="1727" spans="3:3" x14ac:dyDescent="0.2">
      <c r="C1727" t="s">
        <v>3266</v>
      </c>
    </row>
    <row r="1728" spans="3:3" x14ac:dyDescent="0.2">
      <c r="C1728" t="s">
        <v>3267</v>
      </c>
    </row>
    <row r="1729" spans="3:3" x14ac:dyDescent="0.2">
      <c r="C1729" t="s">
        <v>3268</v>
      </c>
    </row>
    <row r="1730" spans="3:3" x14ac:dyDescent="0.2">
      <c r="C1730" t="s">
        <v>3269</v>
      </c>
    </row>
    <row r="1731" spans="3:3" x14ac:dyDescent="0.2">
      <c r="C1731" t="s">
        <v>3270</v>
      </c>
    </row>
    <row r="1732" spans="3:3" x14ac:dyDescent="0.2">
      <c r="C1732" t="s">
        <v>3271</v>
      </c>
    </row>
    <row r="1733" spans="3:3" x14ac:dyDescent="0.2">
      <c r="C1733" t="s">
        <v>3272</v>
      </c>
    </row>
    <row r="1734" spans="3:3" x14ac:dyDescent="0.2">
      <c r="C1734" t="s">
        <v>3273</v>
      </c>
    </row>
    <row r="1735" spans="3:3" x14ac:dyDescent="0.2">
      <c r="C1735" t="s">
        <v>3274</v>
      </c>
    </row>
    <row r="1736" spans="3:3" x14ac:dyDescent="0.2">
      <c r="C1736" t="s">
        <v>3275</v>
      </c>
    </row>
    <row r="1737" spans="3:3" x14ac:dyDescent="0.2">
      <c r="C1737" t="s">
        <v>3276</v>
      </c>
    </row>
    <row r="1738" spans="3:3" x14ac:dyDescent="0.2">
      <c r="C1738" t="s">
        <v>3277</v>
      </c>
    </row>
    <row r="1739" spans="3:3" x14ac:dyDescent="0.2">
      <c r="C1739" t="s">
        <v>3278</v>
      </c>
    </row>
    <row r="1740" spans="3:3" x14ac:dyDescent="0.2">
      <c r="C1740" t="s">
        <v>3279</v>
      </c>
    </row>
    <row r="1741" spans="3:3" x14ac:dyDescent="0.2">
      <c r="C1741" t="s">
        <v>3280</v>
      </c>
    </row>
    <row r="1742" spans="3:3" x14ac:dyDescent="0.2">
      <c r="C1742" t="s">
        <v>3281</v>
      </c>
    </row>
    <row r="1743" spans="3:3" x14ac:dyDescent="0.2">
      <c r="C1743" t="s">
        <v>3282</v>
      </c>
    </row>
    <row r="1744" spans="3:3" x14ac:dyDescent="0.2">
      <c r="C1744" t="s">
        <v>3283</v>
      </c>
    </row>
    <row r="1745" spans="3:3" x14ac:dyDescent="0.2">
      <c r="C1745" t="s">
        <v>3284</v>
      </c>
    </row>
    <row r="1746" spans="3:3" x14ac:dyDescent="0.2">
      <c r="C1746" t="s">
        <v>3285</v>
      </c>
    </row>
    <row r="1747" spans="3:3" x14ac:dyDescent="0.2">
      <c r="C1747" t="s">
        <v>3286</v>
      </c>
    </row>
    <row r="1748" spans="3:3" x14ac:dyDescent="0.2">
      <c r="C1748" t="s">
        <v>3287</v>
      </c>
    </row>
    <row r="1749" spans="3:3" x14ac:dyDescent="0.2">
      <c r="C1749" t="s">
        <v>3288</v>
      </c>
    </row>
    <row r="1750" spans="3:3" x14ac:dyDescent="0.2">
      <c r="C1750" t="s">
        <v>3289</v>
      </c>
    </row>
    <row r="1751" spans="3:3" x14ac:dyDescent="0.2">
      <c r="C1751" t="s">
        <v>3290</v>
      </c>
    </row>
    <row r="1752" spans="3:3" x14ac:dyDescent="0.2">
      <c r="C1752" t="s">
        <v>3291</v>
      </c>
    </row>
    <row r="1753" spans="3:3" x14ac:dyDescent="0.2">
      <c r="C1753" t="s">
        <v>3292</v>
      </c>
    </row>
    <row r="1754" spans="3:3" x14ac:dyDescent="0.2">
      <c r="C1754" t="s">
        <v>3293</v>
      </c>
    </row>
    <row r="1755" spans="3:3" x14ac:dyDescent="0.2">
      <c r="C1755" t="s">
        <v>3294</v>
      </c>
    </row>
    <row r="1756" spans="3:3" x14ac:dyDescent="0.2">
      <c r="C1756" t="s">
        <v>3295</v>
      </c>
    </row>
    <row r="1757" spans="3:3" x14ac:dyDescent="0.2">
      <c r="C1757" t="s">
        <v>3296</v>
      </c>
    </row>
    <row r="1758" spans="3:3" x14ac:dyDescent="0.2">
      <c r="C1758" t="s">
        <v>3297</v>
      </c>
    </row>
    <row r="1759" spans="3:3" x14ac:dyDescent="0.2">
      <c r="C1759" t="s">
        <v>3298</v>
      </c>
    </row>
    <row r="1760" spans="3:3" x14ac:dyDescent="0.2">
      <c r="C1760" t="s">
        <v>3299</v>
      </c>
    </row>
    <row r="1761" spans="3:3" x14ac:dyDescent="0.2">
      <c r="C1761" t="s">
        <v>3300</v>
      </c>
    </row>
    <row r="1762" spans="3:3" x14ac:dyDescent="0.2">
      <c r="C1762" t="s">
        <v>3301</v>
      </c>
    </row>
    <row r="1763" spans="3:3" x14ac:dyDescent="0.2">
      <c r="C1763" t="s">
        <v>3302</v>
      </c>
    </row>
    <row r="1764" spans="3:3" x14ac:dyDescent="0.2">
      <c r="C1764" t="s">
        <v>3303</v>
      </c>
    </row>
    <row r="1765" spans="3:3" x14ac:dyDescent="0.2">
      <c r="C1765" t="s">
        <v>3304</v>
      </c>
    </row>
    <row r="1766" spans="3:3" x14ac:dyDescent="0.2">
      <c r="C1766" t="s">
        <v>3305</v>
      </c>
    </row>
    <row r="1767" spans="3:3" x14ac:dyDescent="0.2">
      <c r="C1767" t="s">
        <v>3306</v>
      </c>
    </row>
    <row r="1768" spans="3:3" x14ac:dyDescent="0.2">
      <c r="C1768" t="s">
        <v>3307</v>
      </c>
    </row>
    <row r="1769" spans="3:3" x14ac:dyDescent="0.2">
      <c r="C1769" t="s">
        <v>3308</v>
      </c>
    </row>
    <row r="1770" spans="3:3" x14ac:dyDescent="0.2">
      <c r="C1770" t="s">
        <v>3309</v>
      </c>
    </row>
    <row r="1771" spans="3:3" x14ac:dyDescent="0.2">
      <c r="C1771" t="s">
        <v>3310</v>
      </c>
    </row>
    <row r="1772" spans="3:3" x14ac:dyDescent="0.2">
      <c r="C1772" t="s">
        <v>3311</v>
      </c>
    </row>
    <row r="1773" spans="3:3" x14ac:dyDescent="0.2">
      <c r="C1773" t="s">
        <v>3312</v>
      </c>
    </row>
    <row r="1774" spans="3:3" x14ac:dyDescent="0.2">
      <c r="C1774" t="s">
        <v>3313</v>
      </c>
    </row>
    <row r="1775" spans="3:3" x14ac:dyDescent="0.2">
      <c r="C1775" t="s">
        <v>3314</v>
      </c>
    </row>
    <row r="1776" spans="3:3" x14ac:dyDescent="0.2">
      <c r="C1776" t="s">
        <v>3315</v>
      </c>
    </row>
    <row r="1777" spans="3:3" x14ac:dyDescent="0.2">
      <c r="C1777" t="s">
        <v>3316</v>
      </c>
    </row>
    <row r="1778" spans="3:3" x14ac:dyDescent="0.2">
      <c r="C1778" t="s">
        <v>3317</v>
      </c>
    </row>
    <row r="1779" spans="3:3" x14ac:dyDescent="0.2">
      <c r="C1779" t="s">
        <v>3318</v>
      </c>
    </row>
    <row r="1780" spans="3:3" x14ac:dyDescent="0.2">
      <c r="C1780" t="s">
        <v>3319</v>
      </c>
    </row>
    <row r="1781" spans="3:3" x14ac:dyDescent="0.2">
      <c r="C1781" t="s">
        <v>3320</v>
      </c>
    </row>
    <row r="1782" spans="3:3" x14ac:dyDescent="0.2">
      <c r="C1782" t="s">
        <v>3321</v>
      </c>
    </row>
    <row r="1783" spans="3:3" x14ac:dyDescent="0.2">
      <c r="C1783" t="s">
        <v>3322</v>
      </c>
    </row>
    <row r="1784" spans="3:3" x14ac:dyDescent="0.2">
      <c r="C1784" t="s">
        <v>3323</v>
      </c>
    </row>
    <row r="1785" spans="3:3" x14ac:dyDescent="0.2">
      <c r="C1785" t="s">
        <v>3324</v>
      </c>
    </row>
    <row r="1786" spans="3:3" x14ac:dyDescent="0.2">
      <c r="C1786" t="s">
        <v>3325</v>
      </c>
    </row>
    <row r="1787" spans="3:3" x14ac:dyDescent="0.2">
      <c r="C1787" t="s">
        <v>3326</v>
      </c>
    </row>
    <row r="1788" spans="3:3" x14ac:dyDescent="0.2">
      <c r="C1788" t="s">
        <v>3327</v>
      </c>
    </row>
    <row r="1789" spans="3:3" x14ac:dyDescent="0.2">
      <c r="C1789" t="s">
        <v>3328</v>
      </c>
    </row>
    <row r="1790" spans="3:3" x14ac:dyDescent="0.2">
      <c r="C1790" t="s">
        <v>3329</v>
      </c>
    </row>
    <row r="1791" spans="3:3" x14ac:dyDescent="0.2">
      <c r="C1791" t="s">
        <v>3330</v>
      </c>
    </row>
    <row r="1792" spans="3:3" x14ac:dyDescent="0.2">
      <c r="C1792" t="s">
        <v>3331</v>
      </c>
    </row>
    <row r="1793" spans="3:3" x14ac:dyDescent="0.2">
      <c r="C1793" t="s">
        <v>3332</v>
      </c>
    </row>
    <row r="1794" spans="3:3" x14ac:dyDescent="0.2">
      <c r="C1794" t="s">
        <v>3333</v>
      </c>
    </row>
    <row r="1795" spans="3:3" x14ac:dyDescent="0.2">
      <c r="C1795" t="s">
        <v>3334</v>
      </c>
    </row>
    <row r="1796" spans="3:3" x14ac:dyDescent="0.2">
      <c r="C1796" t="s">
        <v>3335</v>
      </c>
    </row>
    <row r="1797" spans="3:3" x14ac:dyDescent="0.2">
      <c r="C1797" t="s">
        <v>3336</v>
      </c>
    </row>
    <row r="1798" spans="3:3" x14ac:dyDescent="0.2">
      <c r="C1798" t="s">
        <v>3337</v>
      </c>
    </row>
    <row r="1799" spans="3:3" x14ac:dyDescent="0.2">
      <c r="C1799" t="s">
        <v>3338</v>
      </c>
    </row>
    <row r="1800" spans="3:3" x14ac:dyDescent="0.2">
      <c r="C1800" t="s">
        <v>3339</v>
      </c>
    </row>
    <row r="1801" spans="3:3" x14ac:dyDescent="0.2">
      <c r="C1801" t="s">
        <v>3340</v>
      </c>
    </row>
    <row r="1802" spans="3:3" x14ac:dyDescent="0.2">
      <c r="C1802" t="s">
        <v>3341</v>
      </c>
    </row>
    <row r="1803" spans="3:3" x14ac:dyDescent="0.2">
      <c r="C1803" t="s">
        <v>3342</v>
      </c>
    </row>
    <row r="1804" spans="3:3" x14ac:dyDescent="0.2">
      <c r="C1804" t="s">
        <v>3343</v>
      </c>
    </row>
    <row r="1805" spans="3:3" x14ac:dyDescent="0.2">
      <c r="C1805" t="s">
        <v>3344</v>
      </c>
    </row>
    <row r="1806" spans="3:3" x14ac:dyDescent="0.2">
      <c r="C1806" t="s">
        <v>3345</v>
      </c>
    </row>
    <row r="1807" spans="3:3" x14ac:dyDescent="0.2">
      <c r="C1807" t="s">
        <v>3346</v>
      </c>
    </row>
    <row r="1808" spans="3:3" x14ac:dyDescent="0.2">
      <c r="C1808" t="s">
        <v>3347</v>
      </c>
    </row>
    <row r="1809" spans="3:3" x14ac:dyDescent="0.2">
      <c r="C1809" t="s">
        <v>3348</v>
      </c>
    </row>
    <row r="1810" spans="3:3" x14ac:dyDescent="0.2">
      <c r="C1810" t="s">
        <v>3349</v>
      </c>
    </row>
    <row r="1811" spans="3:3" x14ac:dyDescent="0.2">
      <c r="C1811" t="s">
        <v>3350</v>
      </c>
    </row>
    <row r="1812" spans="3:3" x14ac:dyDescent="0.2">
      <c r="C1812" t="s">
        <v>3351</v>
      </c>
    </row>
    <row r="1813" spans="3:3" x14ac:dyDescent="0.2">
      <c r="C1813" t="s">
        <v>3352</v>
      </c>
    </row>
    <row r="1814" spans="3:3" x14ac:dyDescent="0.2">
      <c r="C1814" t="s">
        <v>3353</v>
      </c>
    </row>
    <row r="1815" spans="3:3" x14ac:dyDescent="0.2">
      <c r="C1815" t="s">
        <v>3354</v>
      </c>
    </row>
    <row r="1816" spans="3:3" x14ac:dyDescent="0.2">
      <c r="C1816" t="s">
        <v>3355</v>
      </c>
    </row>
    <row r="1817" spans="3:3" x14ac:dyDescent="0.2">
      <c r="C1817" t="s">
        <v>3356</v>
      </c>
    </row>
    <row r="1818" spans="3:3" x14ac:dyDescent="0.2">
      <c r="C1818" t="s">
        <v>3357</v>
      </c>
    </row>
    <row r="1819" spans="3:3" x14ac:dyDescent="0.2">
      <c r="C1819" t="s">
        <v>3358</v>
      </c>
    </row>
    <row r="1820" spans="3:3" x14ac:dyDescent="0.2">
      <c r="C1820" t="s">
        <v>3359</v>
      </c>
    </row>
    <row r="1821" spans="3:3" x14ac:dyDescent="0.2">
      <c r="C1821" t="s">
        <v>3360</v>
      </c>
    </row>
    <row r="1822" spans="3:3" x14ac:dyDescent="0.2">
      <c r="C1822" t="s">
        <v>3361</v>
      </c>
    </row>
    <row r="1823" spans="3:3" x14ac:dyDescent="0.2">
      <c r="C1823" t="s">
        <v>3362</v>
      </c>
    </row>
    <row r="1824" spans="3:3" x14ac:dyDescent="0.2">
      <c r="C1824" t="s">
        <v>3363</v>
      </c>
    </row>
    <row r="1825" spans="3:3" x14ac:dyDescent="0.2">
      <c r="C1825" t="s">
        <v>3364</v>
      </c>
    </row>
    <row r="1826" spans="3:3" x14ac:dyDescent="0.2">
      <c r="C1826" t="s">
        <v>3365</v>
      </c>
    </row>
    <row r="1827" spans="3:3" x14ac:dyDescent="0.2">
      <c r="C1827" t="s">
        <v>3366</v>
      </c>
    </row>
    <row r="1828" spans="3:3" x14ac:dyDescent="0.2">
      <c r="C1828" t="s">
        <v>3367</v>
      </c>
    </row>
    <row r="1829" spans="3:3" x14ac:dyDescent="0.2">
      <c r="C1829" t="s">
        <v>3368</v>
      </c>
    </row>
    <row r="1830" spans="3:3" x14ac:dyDescent="0.2">
      <c r="C1830" t="s">
        <v>3369</v>
      </c>
    </row>
    <row r="1831" spans="3:3" x14ac:dyDescent="0.2">
      <c r="C1831" t="s">
        <v>3370</v>
      </c>
    </row>
    <row r="1832" spans="3:3" x14ac:dyDescent="0.2">
      <c r="C1832" t="s">
        <v>3371</v>
      </c>
    </row>
    <row r="1833" spans="3:3" x14ac:dyDescent="0.2">
      <c r="C1833" t="s">
        <v>3372</v>
      </c>
    </row>
    <row r="1834" spans="3:3" x14ac:dyDescent="0.2">
      <c r="C1834" t="s">
        <v>3373</v>
      </c>
    </row>
    <row r="1835" spans="3:3" x14ac:dyDescent="0.2">
      <c r="C1835" t="s">
        <v>3374</v>
      </c>
    </row>
    <row r="1836" spans="3:3" x14ac:dyDescent="0.2">
      <c r="C1836" t="s">
        <v>3375</v>
      </c>
    </row>
    <row r="1837" spans="3:3" x14ac:dyDescent="0.2">
      <c r="C1837" t="s">
        <v>3376</v>
      </c>
    </row>
    <row r="1838" spans="3:3" x14ac:dyDescent="0.2">
      <c r="C1838" t="s">
        <v>3377</v>
      </c>
    </row>
    <row r="1839" spans="3:3" x14ac:dyDescent="0.2">
      <c r="C1839" t="s">
        <v>3378</v>
      </c>
    </row>
    <row r="1840" spans="3:3" x14ac:dyDescent="0.2">
      <c r="C1840" t="s">
        <v>3379</v>
      </c>
    </row>
    <row r="1841" spans="3:3" x14ac:dyDescent="0.2">
      <c r="C1841" t="s">
        <v>3380</v>
      </c>
    </row>
    <row r="1842" spans="3:3" x14ac:dyDescent="0.2">
      <c r="C1842" t="s">
        <v>3381</v>
      </c>
    </row>
    <row r="1843" spans="3:3" x14ac:dyDescent="0.2">
      <c r="C1843" t="s">
        <v>3382</v>
      </c>
    </row>
    <row r="1844" spans="3:3" x14ac:dyDescent="0.2">
      <c r="C1844" t="s">
        <v>3383</v>
      </c>
    </row>
    <row r="1845" spans="3:3" x14ac:dyDescent="0.2">
      <c r="C1845" t="s">
        <v>3384</v>
      </c>
    </row>
    <row r="1846" spans="3:3" x14ac:dyDescent="0.2">
      <c r="C1846" t="s">
        <v>3385</v>
      </c>
    </row>
    <row r="1847" spans="3:3" x14ac:dyDescent="0.2">
      <c r="C1847" t="s">
        <v>3386</v>
      </c>
    </row>
    <row r="1848" spans="3:3" x14ac:dyDescent="0.2">
      <c r="C1848" t="s">
        <v>3387</v>
      </c>
    </row>
    <row r="1849" spans="3:3" x14ac:dyDescent="0.2">
      <c r="C1849" t="s">
        <v>3388</v>
      </c>
    </row>
    <row r="1850" spans="3:3" x14ac:dyDescent="0.2">
      <c r="C1850" t="s">
        <v>3389</v>
      </c>
    </row>
    <row r="1851" spans="3:3" x14ac:dyDescent="0.2">
      <c r="C1851" t="s">
        <v>3390</v>
      </c>
    </row>
    <row r="1852" spans="3:3" x14ac:dyDescent="0.2">
      <c r="C1852" t="s">
        <v>3391</v>
      </c>
    </row>
    <row r="1853" spans="3:3" x14ac:dyDescent="0.2">
      <c r="C1853" t="s">
        <v>3392</v>
      </c>
    </row>
    <row r="1854" spans="3:3" x14ac:dyDescent="0.2">
      <c r="C1854" t="s">
        <v>3393</v>
      </c>
    </row>
    <row r="1855" spans="3:3" x14ac:dyDescent="0.2">
      <c r="C1855" t="s">
        <v>3394</v>
      </c>
    </row>
    <row r="1856" spans="3:3" x14ac:dyDescent="0.2">
      <c r="C1856" t="s">
        <v>3395</v>
      </c>
    </row>
    <row r="1857" spans="3:3" x14ac:dyDescent="0.2">
      <c r="C1857" t="s">
        <v>3396</v>
      </c>
    </row>
    <row r="1858" spans="3:3" x14ac:dyDescent="0.2">
      <c r="C1858" t="s">
        <v>3397</v>
      </c>
    </row>
    <row r="1859" spans="3:3" x14ac:dyDescent="0.2">
      <c r="C1859" t="s">
        <v>3398</v>
      </c>
    </row>
    <row r="1860" spans="3:3" x14ac:dyDescent="0.2">
      <c r="C1860" t="s">
        <v>3399</v>
      </c>
    </row>
    <row r="1861" spans="3:3" x14ac:dyDescent="0.2">
      <c r="C1861" t="s">
        <v>3400</v>
      </c>
    </row>
    <row r="1862" spans="3:3" x14ac:dyDescent="0.2">
      <c r="C1862" t="s">
        <v>3401</v>
      </c>
    </row>
    <row r="1863" spans="3:3" x14ac:dyDescent="0.2">
      <c r="C1863" t="s">
        <v>3402</v>
      </c>
    </row>
    <row r="1864" spans="3:3" x14ac:dyDescent="0.2">
      <c r="C1864" t="s">
        <v>3403</v>
      </c>
    </row>
    <row r="1865" spans="3:3" x14ac:dyDescent="0.2">
      <c r="C1865" t="s">
        <v>3404</v>
      </c>
    </row>
    <row r="1866" spans="3:3" x14ac:dyDescent="0.2">
      <c r="C1866" t="s">
        <v>3405</v>
      </c>
    </row>
    <row r="1867" spans="3:3" x14ac:dyDescent="0.2">
      <c r="C1867" t="s">
        <v>3406</v>
      </c>
    </row>
    <row r="1868" spans="3:3" x14ac:dyDescent="0.2">
      <c r="C1868" t="s">
        <v>3407</v>
      </c>
    </row>
    <row r="1869" spans="3:3" x14ac:dyDescent="0.2">
      <c r="C1869" t="s">
        <v>3408</v>
      </c>
    </row>
    <row r="1870" spans="3:3" x14ac:dyDescent="0.2">
      <c r="C1870" t="s">
        <v>3409</v>
      </c>
    </row>
    <row r="1871" spans="3:3" x14ac:dyDescent="0.2">
      <c r="C1871" t="s">
        <v>3410</v>
      </c>
    </row>
    <row r="1872" spans="3:3" x14ac:dyDescent="0.2">
      <c r="C1872" t="s">
        <v>3411</v>
      </c>
    </row>
    <row r="1873" spans="3:3" x14ac:dyDescent="0.2">
      <c r="C1873" t="s">
        <v>3412</v>
      </c>
    </row>
    <row r="1874" spans="3:3" x14ac:dyDescent="0.2">
      <c r="C1874" t="s">
        <v>3413</v>
      </c>
    </row>
    <row r="1875" spans="3:3" x14ac:dyDescent="0.2">
      <c r="C1875" t="s">
        <v>3414</v>
      </c>
    </row>
    <row r="1876" spans="3:3" x14ac:dyDescent="0.2">
      <c r="C1876" t="s">
        <v>3415</v>
      </c>
    </row>
    <row r="1877" spans="3:3" x14ac:dyDescent="0.2">
      <c r="C1877" t="s">
        <v>3416</v>
      </c>
    </row>
    <row r="1878" spans="3:3" x14ac:dyDescent="0.2">
      <c r="C1878" t="s">
        <v>3417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AE07E-4D74-2744-A61F-D420ECFE16B6}">
  <dimension ref="A1:S1332"/>
  <sheetViews>
    <sheetView zoomScale="66" workbookViewId="0">
      <selection activeCell="A1115" sqref="A1115:XFD1115"/>
    </sheetView>
  </sheetViews>
  <sheetFormatPr baseColWidth="10" defaultRowHeight="16" x14ac:dyDescent="0.2"/>
  <cols>
    <col min="1" max="1" width="19.1640625" bestFit="1" customWidth="1"/>
    <col min="6" max="6" width="29" bestFit="1" customWidth="1"/>
    <col min="7" max="7" width="51.1640625" bestFit="1" customWidth="1"/>
  </cols>
  <sheetData>
    <row r="1" spans="1:19" x14ac:dyDescent="0.2">
      <c r="A1" t="s">
        <v>13424</v>
      </c>
      <c r="B1" t="s">
        <v>3418</v>
      </c>
      <c r="C1" t="s">
        <v>3419</v>
      </c>
      <c r="D1" t="s">
        <v>3420</v>
      </c>
      <c r="E1" t="s">
        <v>3421</v>
      </c>
      <c r="F1" t="s">
        <v>3422</v>
      </c>
      <c r="G1" t="s">
        <v>3423</v>
      </c>
      <c r="H1" t="s">
        <v>3424</v>
      </c>
      <c r="I1" t="s">
        <v>3425</v>
      </c>
      <c r="J1" t="s">
        <v>3426</v>
      </c>
      <c r="K1" t="s">
        <v>3427</v>
      </c>
      <c r="L1" t="s">
        <v>3428</v>
      </c>
      <c r="M1" t="s">
        <v>3429</v>
      </c>
      <c r="N1" t="s">
        <v>3430</v>
      </c>
      <c r="O1" t="s">
        <v>3431</v>
      </c>
      <c r="P1" t="s">
        <v>3432</v>
      </c>
      <c r="Q1" t="s">
        <v>3433</v>
      </c>
      <c r="R1" t="s">
        <v>3434</v>
      </c>
      <c r="S1" t="s">
        <v>3435</v>
      </c>
    </row>
    <row r="2" spans="1:19" x14ac:dyDescent="0.2">
      <c r="A2" t="str">
        <f t="shared" ref="A2:A65" si="0">_xlfn.CONCAT("metab_compid_", $D2)</f>
        <v>metab_compid_38768</v>
      </c>
      <c r="B2">
        <v>100002945</v>
      </c>
      <c r="C2">
        <v>209</v>
      </c>
      <c r="D2">
        <v>38768</v>
      </c>
      <c r="E2">
        <v>143701</v>
      </c>
      <c r="F2" t="s">
        <v>3459</v>
      </c>
      <c r="G2" t="s">
        <v>4101</v>
      </c>
      <c r="H2">
        <v>1660</v>
      </c>
      <c r="I2" t="s">
        <v>3438</v>
      </c>
      <c r="J2" t="s">
        <v>7757</v>
      </c>
      <c r="K2" t="s">
        <v>7758</v>
      </c>
      <c r="L2" t="s">
        <v>7759</v>
      </c>
      <c r="M2" t="s">
        <v>7759</v>
      </c>
      <c r="P2" t="s">
        <v>7760</v>
      </c>
      <c r="Q2" t="s">
        <v>7761</v>
      </c>
      <c r="R2" t="s">
        <v>7762</v>
      </c>
      <c r="S2" t="s">
        <v>3469</v>
      </c>
    </row>
    <row r="3" spans="1:19" x14ac:dyDescent="0.2">
      <c r="A3" t="str">
        <f t="shared" si="0"/>
        <v>metab_compid_38296</v>
      </c>
      <c r="B3">
        <v>100002356</v>
      </c>
      <c r="C3">
        <v>209</v>
      </c>
      <c r="D3">
        <v>38296</v>
      </c>
      <c r="E3">
        <v>141846</v>
      </c>
      <c r="F3" t="s">
        <v>3459</v>
      </c>
      <c r="G3" t="s">
        <v>4101</v>
      </c>
      <c r="H3">
        <v>1666</v>
      </c>
      <c r="I3" t="s">
        <v>3438</v>
      </c>
      <c r="J3" t="s">
        <v>7427</v>
      </c>
      <c r="K3" t="s">
        <v>7428</v>
      </c>
      <c r="L3" t="s">
        <v>7429</v>
      </c>
      <c r="M3" t="s">
        <v>7429</v>
      </c>
      <c r="N3" t="s">
        <v>7430</v>
      </c>
      <c r="O3" t="s">
        <v>7431</v>
      </c>
      <c r="P3" t="s">
        <v>7432</v>
      </c>
      <c r="R3" t="s">
        <v>7433</v>
      </c>
      <c r="S3" t="s">
        <v>3469</v>
      </c>
    </row>
    <row r="4" spans="1:19" x14ac:dyDescent="0.2">
      <c r="A4" t="str">
        <f t="shared" si="0"/>
        <v>metab_compid_63436</v>
      </c>
      <c r="B4">
        <v>100021502</v>
      </c>
      <c r="C4">
        <v>209</v>
      </c>
      <c r="D4">
        <v>63436</v>
      </c>
      <c r="E4">
        <v>222605</v>
      </c>
      <c r="F4" t="s">
        <v>3459</v>
      </c>
      <c r="G4" t="s">
        <v>3569</v>
      </c>
      <c r="H4">
        <v>1516</v>
      </c>
      <c r="I4" t="s">
        <v>3438</v>
      </c>
      <c r="J4" t="s">
        <v>10151</v>
      </c>
      <c r="K4" t="s">
        <v>10152</v>
      </c>
      <c r="L4" t="s">
        <v>10153</v>
      </c>
      <c r="M4" t="s">
        <v>10153</v>
      </c>
      <c r="S4" t="s">
        <v>3469</v>
      </c>
    </row>
    <row r="5" spans="1:19" x14ac:dyDescent="0.2">
      <c r="A5" t="str">
        <f t="shared" si="0"/>
        <v>metab_compid_62533</v>
      </c>
      <c r="B5">
        <v>100020519</v>
      </c>
      <c r="C5">
        <v>209</v>
      </c>
      <c r="D5">
        <v>62533</v>
      </c>
      <c r="E5">
        <v>219867</v>
      </c>
      <c r="F5" t="s">
        <v>3863</v>
      </c>
      <c r="G5" t="s">
        <v>3864</v>
      </c>
      <c r="H5">
        <v>5225</v>
      </c>
      <c r="I5" t="s">
        <v>3438</v>
      </c>
      <c r="J5" t="s">
        <v>9793</v>
      </c>
      <c r="K5" t="s">
        <v>9794</v>
      </c>
      <c r="L5" t="s">
        <v>9795</v>
      </c>
      <c r="M5" t="s">
        <v>9795</v>
      </c>
      <c r="S5" t="s">
        <v>3469</v>
      </c>
    </row>
    <row r="6" spans="1:19" x14ac:dyDescent="0.2">
      <c r="A6" t="str">
        <f t="shared" si="0"/>
        <v>metab_compid_57814</v>
      </c>
      <c r="B6">
        <v>100016038</v>
      </c>
      <c r="C6">
        <v>400</v>
      </c>
      <c r="D6">
        <v>57814</v>
      </c>
      <c r="E6">
        <v>213597</v>
      </c>
      <c r="F6" t="s">
        <v>3436</v>
      </c>
      <c r="G6" t="s">
        <v>3437</v>
      </c>
      <c r="H6">
        <v>558</v>
      </c>
      <c r="I6" t="s">
        <v>3438</v>
      </c>
      <c r="J6" t="s">
        <v>9557</v>
      </c>
      <c r="K6" t="s">
        <v>9558</v>
      </c>
      <c r="L6" t="s">
        <v>9559</v>
      </c>
      <c r="M6" t="s">
        <v>9559</v>
      </c>
      <c r="P6" t="s">
        <v>9560</v>
      </c>
      <c r="Q6" t="s">
        <v>9561</v>
      </c>
      <c r="R6" t="s">
        <v>9562</v>
      </c>
      <c r="S6" t="s">
        <v>3458</v>
      </c>
    </row>
    <row r="7" spans="1:19" x14ac:dyDescent="0.2">
      <c r="A7" t="str">
        <f t="shared" si="0"/>
        <v>metab_compid_43264</v>
      </c>
      <c r="B7">
        <v>100003926</v>
      </c>
      <c r="C7">
        <v>400</v>
      </c>
      <c r="D7">
        <v>43264</v>
      </c>
      <c r="E7">
        <v>156990</v>
      </c>
      <c r="F7" t="s">
        <v>3459</v>
      </c>
      <c r="G7" t="s">
        <v>7998</v>
      </c>
      <c r="H7">
        <v>1937</v>
      </c>
      <c r="I7" t="s">
        <v>3438</v>
      </c>
      <c r="J7" t="s">
        <v>7999</v>
      </c>
      <c r="K7" t="s">
        <v>8000</v>
      </c>
      <c r="L7" t="s">
        <v>8001</v>
      </c>
      <c r="M7" t="s">
        <v>8001</v>
      </c>
      <c r="P7" t="s">
        <v>8002</v>
      </c>
      <c r="R7" t="s">
        <v>8003</v>
      </c>
      <c r="S7" t="s">
        <v>3458</v>
      </c>
    </row>
    <row r="8" spans="1:19" x14ac:dyDescent="0.2">
      <c r="A8" t="str">
        <f t="shared" si="0"/>
        <v>metab_compid_52984</v>
      </c>
      <c r="B8">
        <v>100009271</v>
      </c>
      <c r="C8">
        <v>400</v>
      </c>
      <c r="D8">
        <v>52984</v>
      </c>
      <c r="E8">
        <v>166220</v>
      </c>
      <c r="F8" t="s">
        <v>3459</v>
      </c>
      <c r="G8" t="s">
        <v>7998</v>
      </c>
      <c r="H8">
        <v>1938</v>
      </c>
      <c r="I8" t="s">
        <v>3438</v>
      </c>
      <c r="J8" t="s">
        <v>7999</v>
      </c>
      <c r="K8" t="s">
        <v>9165</v>
      </c>
      <c r="L8" t="s">
        <v>9166</v>
      </c>
      <c r="M8" t="s">
        <v>9166</v>
      </c>
      <c r="P8" t="s">
        <v>8002</v>
      </c>
      <c r="R8" t="s">
        <v>9167</v>
      </c>
      <c r="S8" t="s">
        <v>3458</v>
      </c>
    </row>
    <row r="9" spans="1:19" x14ac:dyDescent="0.2">
      <c r="A9" t="str">
        <f t="shared" si="0"/>
        <v>metab_compid_44621</v>
      </c>
      <c r="B9">
        <v>100005372</v>
      </c>
      <c r="C9">
        <v>402</v>
      </c>
      <c r="D9">
        <v>44621</v>
      </c>
      <c r="E9">
        <v>163990</v>
      </c>
      <c r="F9" t="s">
        <v>3459</v>
      </c>
      <c r="G9" t="s">
        <v>7722</v>
      </c>
      <c r="H9">
        <v>2855</v>
      </c>
      <c r="I9" t="s">
        <v>3438</v>
      </c>
      <c r="J9" t="s">
        <v>8286</v>
      </c>
      <c r="K9" t="s">
        <v>8287</v>
      </c>
      <c r="L9" t="s">
        <v>8288</v>
      </c>
      <c r="M9" t="s">
        <v>8288</v>
      </c>
      <c r="S9" t="s">
        <v>3447</v>
      </c>
    </row>
    <row r="10" spans="1:19" x14ac:dyDescent="0.2">
      <c r="A10" t="str">
        <f t="shared" si="0"/>
        <v>metab_compid_52689</v>
      </c>
      <c r="B10">
        <v>100009014</v>
      </c>
      <c r="C10">
        <v>402</v>
      </c>
      <c r="D10">
        <v>52689</v>
      </c>
      <c r="E10">
        <v>165459</v>
      </c>
      <c r="F10" t="s">
        <v>3459</v>
      </c>
      <c r="G10" t="s">
        <v>8803</v>
      </c>
      <c r="H10">
        <v>2831</v>
      </c>
      <c r="I10" t="s">
        <v>3438</v>
      </c>
      <c r="J10" t="s">
        <v>8999</v>
      </c>
      <c r="K10" t="s">
        <v>9000</v>
      </c>
      <c r="L10" t="s">
        <v>9001</v>
      </c>
      <c r="M10" t="s">
        <v>9001</v>
      </c>
      <c r="O10" t="s">
        <v>9002</v>
      </c>
      <c r="P10" t="s">
        <v>9003</v>
      </c>
      <c r="S10" t="s">
        <v>3447</v>
      </c>
    </row>
    <row r="11" spans="1:19" x14ac:dyDescent="0.2">
      <c r="A11" t="str">
        <f t="shared" si="0"/>
        <v>metab_compid_52673</v>
      </c>
      <c r="B11">
        <v>100009002</v>
      </c>
      <c r="C11">
        <v>402</v>
      </c>
      <c r="D11">
        <v>52673</v>
      </c>
      <c r="E11">
        <v>165435</v>
      </c>
      <c r="F11" t="s">
        <v>3459</v>
      </c>
      <c r="G11" t="s">
        <v>8803</v>
      </c>
      <c r="H11">
        <v>2822</v>
      </c>
      <c r="I11" t="s">
        <v>3438</v>
      </c>
      <c r="J11" t="s">
        <v>8976</v>
      </c>
      <c r="K11" t="s">
        <v>8977</v>
      </c>
      <c r="L11" t="s">
        <v>8978</v>
      </c>
      <c r="M11" t="s">
        <v>8978</v>
      </c>
      <c r="O11" t="s">
        <v>8979</v>
      </c>
      <c r="P11" t="s">
        <v>8980</v>
      </c>
      <c r="R11" t="s">
        <v>8981</v>
      </c>
      <c r="S11" t="s">
        <v>3447</v>
      </c>
    </row>
    <row r="12" spans="1:19" x14ac:dyDescent="0.2">
      <c r="A12" t="str">
        <f t="shared" si="0"/>
        <v>metab_compid_52682</v>
      </c>
      <c r="B12">
        <v>100009009</v>
      </c>
      <c r="C12">
        <v>402</v>
      </c>
      <c r="D12">
        <v>52682</v>
      </c>
      <c r="E12">
        <v>165449</v>
      </c>
      <c r="F12" t="s">
        <v>3459</v>
      </c>
      <c r="G12" t="s">
        <v>8803</v>
      </c>
      <c r="H12">
        <v>2832</v>
      </c>
      <c r="I12" t="s">
        <v>3438</v>
      </c>
      <c r="J12" t="s">
        <v>8993</v>
      </c>
      <c r="K12" t="s">
        <v>8994</v>
      </c>
      <c r="L12" t="s">
        <v>8995</v>
      </c>
      <c r="M12" t="s">
        <v>8995</v>
      </c>
      <c r="O12" t="s">
        <v>8996</v>
      </c>
      <c r="P12" t="s">
        <v>8997</v>
      </c>
      <c r="R12" t="s">
        <v>8998</v>
      </c>
      <c r="S12" t="s">
        <v>3447</v>
      </c>
    </row>
    <row r="13" spans="1:19" x14ac:dyDescent="0.2">
      <c r="A13" t="str">
        <f t="shared" si="0"/>
        <v>metab_compid_52677</v>
      </c>
      <c r="B13">
        <v>100009069</v>
      </c>
      <c r="C13">
        <v>402</v>
      </c>
      <c r="D13">
        <v>52677</v>
      </c>
      <c r="E13">
        <v>165443</v>
      </c>
      <c r="F13" t="s">
        <v>3459</v>
      </c>
      <c r="G13" t="s">
        <v>8803</v>
      </c>
      <c r="H13">
        <v>2819</v>
      </c>
      <c r="I13" t="s">
        <v>3438</v>
      </c>
      <c r="J13" t="s">
        <v>9064</v>
      </c>
      <c r="K13" t="s">
        <v>9065</v>
      </c>
      <c r="L13" t="s">
        <v>9066</v>
      </c>
      <c r="M13" t="s">
        <v>9066</v>
      </c>
      <c r="O13" t="s">
        <v>9067</v>
      </c>
      <c r="P13" t="s">
        <v>9068</v>
      </c>
      <c r="R13" t="s">
        <v>9069</v>
      </c>
      <c r="S13" t="s">
        <v>3447</v>
      </c>
    </row>
    <row r="14" spans="1:19" x14ac:dyDescent="0.2">
      <c r="A14" t="str">
        <f t="shared" si="0"/>
        <v>metab_compid_52478</v>
      </c>
      <c r="B14">
        <v>100009007</v>
      </c>
      <c r="C14">
        <v>402</v>
      </c>
      <c r="D14">
        <v>52478</v>
      </c>
      <c r="E14">
        <v>165160</v>
      </c>
      <c r="F14" t="s">
        <v>3459</v>
      </c>
      <c r="G14" t="s">
        <v>8803</v>
      </c>
      <c r="H14">
        <v>2824</v>
      </c>
      <c r="I14" t="s">
        <v>3438</v>
      </c>
      <c r="J14" t="s">
        <v>8988</v>
      </c>
      <c r="K14" t="s">
        <v>8989</v>
      </c>
      <c r="L14" t="s">
        <v>8990</v>
      </c>
      <c r="M14" t="s">
        <v>8990</v>
      </c>
      <c r="P14" t="s">
        <v>8991</v>
      </c>
      <c r="R14" t="s">
        <v>8992</v>
      </c>
      <c r="S14" t="s">
        <v>3447</v>
      </c>
    </row>
    <row r="15" spans="1:19" x14ac:dyDescent="0.2">
      <c r="A15" t="str">
        <f t="shared" si="0"/>
        <v>metab_compid_52477</v>
      </c>
      <c r="B15">
        <v>100009005</v>
      </c>
      <c r="C15">
        <v>402</v>
      </c>
      <c r="D15">
        <v>52477</v>
      </c>
      <c r="E15">
        <v>165158</v>
      </c>
      <c r="F15" t="s">
        <v>3459</v>
      </c>
      <c r="G15" t="s">
        <v>8803</v>
      </c>
      <c r="H15">
        <v>2818</v>
      </c>
      <c r="I15" t="s">
        <v>3438</v>
      </c>
      <c r="J15" t="s">
        <v>8982</v>
      </c>
      <c r="K15" t="s">
        <v>8983</v>
      </c>
      <c r="L15" t="s">
        <v>8984</v>
      </c>
      <c r="M15" t="s">
        <v>8984</v>
      </c>
      <c r="O15" t="s">
        <v>8985</v>
      </c>
      <c r="P15" t="s">
        <v>8986</v>
      </c>
      <c r="R15" t="s">
        <v>8987</v>
      </c>
      <c r="S15" t="s">
        <v>3447</v>
      </c>
    </row>
    <row r="16" spans="1:19" x14ac:dyDescent="0.2">
      <c r="A16" t="str">
        <f t="shared" si="0"/>
        <v>metab_compid_52713</v>
      </c>
      <c r="B16">
        <v>100009160</v>
      </c>
      <c r="C16">
        <v>402</v>
      </c>
      <c r="D16">
        <v>52713</v>
      </c>
      <c r="E16">
        <v>165492</v>
      </c>
      <c r="F16" t="s">
        <v>3459</v>
      </c>
      <c r="G16" t="s">
        <v>8803</v>
      </c>
      <c r="H16">
        <v>2821</v>
      </c>
      <c r="I16" t="s">
        <v>3438</v>
      </c>
      <c r="J16" t="s">
        <v>9088</v>
      </c>
      <c r="K16" t="s">
        <v>9089</v>
      </c>
      <c r="L16" t="s">
        <v>9090</v>
      </c>
      <c r="M16" t="s">
        <v>9090</v>
      </c>
      <c r="O16" t="s">
        <v>9091</v>
      </c>
      <c r="P16" t="s">
        <v>9092</v>
      </c>
      <c r="R16" t="s">
        <v>9093</v>
      </c>
      <c r="S16" t="s">
        <v>3447</v>
      </c>
    </row>
    <row r="17" spans="1:19" x14ac:dyDescent="0.2">
      <c r="A17" t="str">
        <f t="shared" si="0"/>
        <v>metab_compid_52716</v>
      </c>
      <c r="B17">
        <v>100009162</v>
      </c>
      <c r="C17">
        <v>402</v>
      </c>
      <c r="D17">
        <v>52716</v>
      </c>
      <c r="E17">
        <v>165495</v>
      </c>
      <c r="F17" t="s">
        <v>3459</v>
      </c>
      <c r="G17" t="s">
        <v>8803</v>
      </c>
      <c r="H17">
        <v>2820</v>
      </c>
      <c r="I17" t="s">
        <v>3438</v>
      </c>
      <c r="J17" t="s">
        <v>9094</v>
      </c>
      <c r="K17" t="s">
        <v>9095</v>
      </c>
      <c r="L17" t="s">
        <v>9096</v>
      </c>
      <c r="M17" t="s">
        <v>9096</v>
      </c>
      <c r="O17" t="s">
        <v>9097</v>
      </c>
      <c r="P17" t="s">
        <v>9098</v>
      </c>
      <c r="R17" t="s">
        <v>9099</v>
      </c>
      <c r="S17" t="s">
        <v>3447</v>
      </c>
    </row>
    <row r="18" spans="1:19" x14ac:dyDescent="0.2">
      <c r="A18" t="str">
        <f t="shared" si="0"/>
        <v>metab_compid_52474</v>
      </c>
      <c r="B18">
        <v>100002875</v>
      </c>
      <c r="C18">
        <v>402</v>
      </c>
      <c r="D18">
        <v>52474</v>
      </c>
      <c r="E18">
        <v>165152</v>
      </c>
      <c r="F18" t="s">
        <v>3459</v>
      </c>
      <c r="G18" t="s">
        <v>7722</v>
      </c>
      <c r="H18">
        <v>2852</v>
      </c>
      <c r="I18" t="s">
        <v>3438</v>
      </c>
      <c r="J18" t="s">
        <v>7723</v>
      </c>
      <c r="K18" t="s">
        <v>7724</v>
      </c>
      <c r="L18" t="s">
        <v>7725</v>
      </c>
      <c r="M18" t="s">
        <v>7725</v>
      </c>
      <c r="O18" t="s">
        <v>7726</v>
      </c>
      <c r="P18" t="s">
        <v>7727</v>
      </c>
      <c r="R18" t="s">
        <v>7728</v>
      </c>
      <c r="S18" t="s">
        <v>3447</v>
      </c>
    </row>
    <row r="19" spans="1:19" x14ac:dyDescent="0.2">
      <c r="A19" t="str">
        <f t="shared" si="0"/>
        <v>metab_compid_39270</v>
      </c>
      <c r="B19">
        <v>100003000</v>
      </c>
      <c r="C19">
        <v>402</v>
      </c>
      <c r="D19">
        <v>39270</v>
      </c>
      <c r="E19">
        <v>163991</v>
      </c>
      <c r="F19" t="s">
        <v>3459</v>
      </c>
      <c r="G19" t="s">
        <v>7722</v>
      </c>
      <c r="H19">
        <v>2853</v>
      </c>
      <c r="I19" t="s">
        <v>3438</v>
      </c>
      <c r="J19" t="s">
        <v>7806</v>
      </c>
      <c r="K19" t="s">
        <v>7807</v>
      </c>
      <c r="L19" t="s">
        <v>7808</v>
      </c>
      <c r="M19" t="s">
        <v>7808</v>
      </c>
      <c r="O19" t="s">
        <v>7809</v>
      </c>
      <c r="P19" t="s">
        <v>7810</v>
      </c>
      <c r="S19" t="s">
        <v>3447</v>
      </c>
    </row>
    <row r="20" spans="1:19" x14ac:dyDescent="0.2">
      <c r="A20" t="str">
        <f t="shared" si="0"/>
        <v>metab_compid_52475</v>
      </c>
      <c r="B20">
        <v>100008999</v>
      </c>
      <c r="C20">
        <v>402</v>
      </c>
      <c r="D20">
        <v>52475</v>
      </c>
      <c r="E20">
        <v>165154</v>
      </c>
      <c r="F20" t="s">
        <v>3459</v>
      </c>
      <c r="G20" t="s">
        <v>8803</v>
      </c>
      <c r="H20">
        <v>2836</v>
      </c>
      <c r="I20" t="s">
        <v>3438</v>
      </c>
      <c r="J20" t="s">
        <v>8970</v>
      </c>
      <c r="K20" t="s">
        <v>8971</v>
      </c>
      <c r="L20" t="s">
        <v>8972</v>
      </c>
      <c r="M20" t="s">
        <v>8972</v>
      </c>
      <c r="O20" t="s">
        <v>8973</v>
      </c>
      <c r="P20" t="s">
        <v>8974</v>
      </c>
      <c r="R20" t="s">
        <v>8975</v>
      </c>
      <c r="S20" t="s">
        <v>3447</v>
      </c>
    </row>
    <row r="21" spans="1:19" x14ac:dyDescent="0.2">
      <c r="A21" t="str">
        <f t="shared" si="0"/>
        <v>metab_compid_52748</v>
      </c>
      <c r="B21">
        <v>100009225</v>
      </c>
      <c r="C21">
        <v>402</v>
      </c>
      <c r="D21">
        <v>52748</v>
      </c>
      <c r="E21">
        <v>165539</v>
      </c>
      <c r="F21" t="s">
        <v>3459</v>
      </c>
      <c r="G21" t="s">
        <v>8803</v>
      </c>
      <c r="H21">
        <v>2828</v>
      </c>
      <c r="I21" t="s">
        <v>3438</v>
      </c>
      <c r="J21" t="s">
        <v>9118</v>
      </c>
      <c r="K21" t="s">
        <v>9119</v>
      </c>
      <c r="L21" t="s">
        <v>9120</v>
      </c>
      <c r="M21" t="s">
        <v>9120</v>
      </c>
      <c r="O21" t="s">
        <v>9121</v>
      </c>
      <c r="P21" t="s">
        <v>9122</v>
      </c>
      <c r="S21" t="s">
        <v>3447</v>
      </c>
    </row>
    <row r="22" spans="1:19" x14ac:dyDescent="0.2">
      <c r="A22" t="str">
        <f t="shared" si="0"/>
        <v>metab_compid_52614</v>
      </c>
      <c r="B22">
        <v>100008919</v>
      </c>
      <c r="C22">
        <v>402</v>
      </c>
      <c r="D22">
        <v>52614</v>
      </c>
      <c r="E22">
        <v>165346</v>
      </c>
      <c r="F22" t="s">
        <v>3459</v>
      </c>
      <c r="G22" t="s">
        <v>8803</v>
      </c>
      <c r="H22">
        <v>2827</v>
      </c>
      <c r="I22" t="s">
        <v>3438</v>
      </c>
      <c r="J22" t="s">
        <v>8804</v>
      </c>
      <c r="K22" t="s">
        <v>8805</v>
      </c>
      <c r="L22" t="s">
        <v>8806</v>
      </c>
      <c r="M22" t="s">
        <v>8806</v>
      </c>
      <c r="N22" t="s">
        <v>8807</v>
      </c>
      <c r="O22" t="s">
        <v>8808</v>
      </c>
      <c r="P22" t="s">
        <v>8809</v>
      </c>
      <c r="R22" t="s">
        <v>8810</v>
      </c>
      <c r="S22" t="s">
        <v>3447</v>
      </c>
    </row>
    <row r="23" spans="1:19" x14ac:dyDescent="0.2">
      <c r="A23" t="str">
        <f t="shared" si="0"/>
        <v>metab_compid_39271</v>
      </c>
      <c r="B23">
        <v>100003001</v>
      </c>
      <c r="C23">
        <v>402</v>
      </c>
      <c r="D23">
        <v>39271</v>
      </c>
      <c r="E23">
        <v>180976</v>
      </c>
      <c r="F23" t="s">
        <v>3459</v>
      </c>
      <c r="G23" t="s">
        <v>7722</v>
      </c>
      <c r="H23">
        <v>2857</v>
      </c>
      <c r="I23" t="s">
        <v>3438</v>
      </c>
      <c r="J23" t="s">
        <v>7811</v>
      </c>
      <c r="K23" t="s">
        <v>7812</v>
      </c>
      <c r="L23" t="s">
        <v>7813</v>
      </c>
      <c r="M23" t="s">
        <v>7813</v>
      </c>
      <c r="P23" t="s">
        <v>7814</v>
      </c>
      <c r="S23" t="s">
        <v>3447</v>
      </c>
    </row>
    <row r="24" spans="1:19" x14ac:dyDescent="0.2">
      <c r="A24" t="str">
        <f t="shared" si="0"/>
        <v>metab_compid_33228</v>
      </c>
      <c r="B24">
        <v>100001551</v>
      </c>
      <c r="C24">
        <v>402</v>
      </c>
      <c r="D24">
        <v>33228</v>
      </c>
      <c r="E24">
        <v>158552</v>
      </c>
      <c r="F24" t="s">
        <v>3459</v>
      </c>
      <c r="G24" t="s">
        <v>5441</v>
      </c>
      <c r="H24">
        <v>2653</v>
      </c>
      <c r="I24" t="s">
        <v>3438</v>
      </c>
      <c r="J24" t="s">
        <v>6600</v>
      </c>
      <c r="K24" t="s">
        <v>6601</v>
      </c>
      <c r="L24" t="s">
        <v>6602</v>
      </c>
      <c r="M24" t="s">
        <v>6602</v>
      </c>
      <c r="O24" t="s">
        <v>6603</v>
      </c>
      <c r="P24" t="s">
        <v>6604</v>
      </c>
      <c r="Q24" t="s">
        <v>6605</v>
      </c>
      <c r="R24" t="s">
        <v>6606</v>
      </c>
      <c r="S24" t="s">
        <v>3447</v>
      </c>
    </row>
    <row r="25" spans="1:19" x14ac:dyDescent="0.2">
      <c r="A25" t="str">
        <f t="shared" si="0"/>
        <v>metab_compid_35186</v>
      </c>
      <c r="B25">
        <v>100001571</v>
      </c>
      <c r="C25">
        <v>402</v>
      </c>
      <c r="D25">
        <v>35186</v>
      </c>
      <c r="E25">
        <v>158719</v>
      </c>
      <c r="F25" t="s">
        <v>3459</v>
      </c>
      <c r="G25" t="s">
        <v>5441</v>
      </c>
      <c r="H25">
        <v>2704</v>
      </c>
      <c r="I25" t="s">
        <v>3438</v>
      </c>
      <c r="J25" t="s">
        <v>6639</v>
      </c>
      <c r="K25" t="s">
        <v>6640</v>
      </c>
      <c r="L25" t="s">
        <v>6641</v>
      </c>
      <c r="M25" t="s">
        <v>6641</v>
      </c>
      <c r="O25" t="s">
        <v>6642</v>
      </c>
      <c r="P25" t="s">
        <v>6643</v>
      </c>
      <c r="R25" t="s">
        <v>6644</v>
      </c>
      <c r="S25" t="s">
        <v>3447</v>
      </c>
    </row>
    <row r="26" spans="1:19" x14ac:dyDescent="0.2">
      <c r="A26" t="str">
        <f t="shared" si="0"/>
        <v>metab_compid_34214</v>
      </c>
      <c r="B26">
        <v>100001654</v>
      </c>
      <c r="C26">
        <v>209</v>
      </c>
      <c r="D26">
        <v>34214</v>
      </c>
      <c r="E26">
        <v>142524</v>
      </c>
      <c r="F26" t="s">
        <v>3459</v>
      </c>
      <c r="G26" t="s">
        <v>5441</v>
      </c>
      <c r="H26">
        <v>2749</v>
      </c>
      <c r="I26" t="s">
        <v>3438</v>
      </c>
      <c r="J26" t="s">
        <v>6819</v>
      </c>
      <c r="K26" t="s">
        <v>6820</v>
      </c>
      <c r="L26" t="s">
        <v>6821</v>
      </c>
      <c r="M26" t="s">
        <v>6821</v>
      </c>
      <c r="P26" t="s">
        <v>6822</v>
      </c>
      <c r="R26" t="s">
        <v>6823</v>
      </c>
      <c r="S26" t="s">
        <v>3469</v>
      </c>
    </row>
    <row r="27" spans="1:19" x14ac:dyDescent="0.2">
      <c r="A27" t="str">
        <f t="shared" si="0"/>
        <v>metab_compid_34397</v>
      </c>
      <c r="B27">
        <v>100001433</v>
      </c>
      <c r="C27">
        <v>209</v>
      </c>
      <c r="D27">
        <v>34397</v>
      </c>
      <c r="E27">
        <v>126918</v>
      </c>
      <c r="F27" t="s">
        <v>3459</v>
      </c>
      <c r="G27" t="s">
        <v>5418</v>
      </c>
      <c r="H27">
        <v>2881</v>
      </c>
      <c r="I27" t="s">
        <v>3438</v>
      </c>
      <c r="J27" t="s">
        <v>6451</v>
      </c>
      <c r="K27" t="s">
        <v>6452</v>
      </c>
      <c r="L27" t="s">
        <v>6453</v>
      </c>
      <c r="M27" t="s">
        <v>6453</v>
      </c>
      <c r="N27" t="s">
        <v>6454</v>
      </c>
      <c r="O27" t="s">
        <v>6455</v>
      </c>
      <c r="P27" t="s">
        <v>6456</v>
      </c>
      <c r="Q27" t="s">
        <v>6457</v>
      </c>
      <c r="R27" t="s">
        <v>6458</v>
      </c>
      <c r="S27" t="s">
        <v>3469</v>
      </c>
    </row>
    <row r="28" spans="1:19" x14ac:dyDescent="0.2">
      <c r="A28" t="str">
        <f t="shared" si="0"/>
        <v>metab_compid_61505</v>
      </c>
      <c r="B28">
        <v>100015772</v>
      </c>
      <c r="C28">
        <v>402</v>
      </c>
      <c r="D28">
        <v>61505</v>
      </c>
      <c r="E28">
        <v>217727</v>
      </c>
      <c r="F28" t="s">
        <v>3459</v>
      </c>
      <c r="G28" t="s">
        <v>5441</v>
      </c>
      <c r="H28">
        <v>2675</v>
      </c>
      <c r="I28" t="s">
        <v>3438</v>
      </c>
      <c r="J28" t="s">
        <v>9379</v>
      </c>
      <c r="K28" t="s">
        <v>9380</v>
      </c>
      <c r="L28" t="s">
        <v>9381</v>
      </c>
      <c r="M28" t="s">
        <v>9381</v>
      </c>
      <c r="O28" t="s">
        <v>9382</v>
      </c>
      <c r="P28" t="s">
        <v>9383</v>
      </c>
      <c r="S28" t="s">
        <v>3447</v>
      </c>
    </row>
    <row r="29" spans="1:19" x14ac:dyDescent="0.2">
      <c r="A29" t="str">
        <f t="shared" si="0"/>
        <v>metab_compid_48341</v>
      </c>
      <c r="B29">
        <v>100006121</v>
      </c>
      <c r="C29">
        <v>209</v>
      </c>
      <c r="D29">
        <v>48341</v>
      </c>
      <c r="E29">
        <v>153390</v>
      </c>
      <c r="F29" t="s">
        <v>3459</v>
      </c>
      <c r="G29" t="s">
        <v>5418</v>
      </c>
      <c r="H29">
        <v>2880</v>
      </c>
      <c r="I29" t="s">
        <v>3438</v>
      </c>
      <c r="J29" t="s">
        <v>8468</v>
      </c>
      <c r="K29" t="s">
        <v>8469</v>
      </c>
      <c r="L29" t="s">
        <v>8470</v>
      </c>
      <c r="M29" t="s">
        <v>8470</v>
      </c>
      <c r="P29" t="s">
        <v>8471</v>
      </c>
      <c r="S29" t="s">
        <v>3469</v>
      </c>
    </row>
    <row r="30" spans="1:19" x14ac:dyDescent="0.2">
      <c r="A30" t="str">
        <f t="shared" si="0"/>
        <v>metab_compid_35153</v>
      </c>
      <c r="B30">
        <v>100001481</v>
      </c>
      <c r="C30">
        <v>209</v>
      </c>
      <c r="D30">
        <v>35153</v>
      </c>
      <c r="E30">
        <v>128209</v>
      </c>
      <c r="F30" t="s">
        <v>3459</v>
      </c>
      <c r="G30" t="s">
        <v>5418</v>
      </c>
      <c r="H30">
        <v>2885</v>
      </c>
      <c r="I30" t="s">
        <v>3438</v>
      </c>
      <c r="J30" t="s">
        <v>6523</v>
      </c>
      <c r="K30" t="s">
        <v>6524</v>
      </c>
      <c r="L30" t="s">
        <v>6525</v>
      </c>
      <c r="M30" t="s">
        <v>6525</v>
      </c>
      <c r="O30" t="s">
        <v>6526</v>
      </c>
      <c r="P30" t="s">
        <v>6527</v>
      </c>
      <c r="R30" t="s">
        <v>6528</v>
      </c>
      <c r="S30" t="s">
        <v>3469</v>
      </c>
    </row>
    <row r="31" spans="1:19" x14ac:dyDescent="0.2">
      <c r="A31" t="str">
        <f t="shared" si="0"/>
        <v>metab_compid_62352</v>
      </c>
      <c r="B31">
        <v>100005376</v>
      </c>
      <c r="C31">
        <v>402</v>
      </c>
      <c r="D31">
        <v>62352</v>
      </c>
      <c r="E31">
        <v>240387</v>
      </c>
      <c r="F31" t="s">
        <v>3459</v>
      </c>
      <c r="G31" t="s">
        <v>5441</v>
      </c>
      <c r="H31">
        <v>2698</v>
      </c>
      <c r="I31" t="s">
        <v>3438</v>
      </c>
      <c r="J31" t="s">
        <v>8296</v>
      </c>
      <c r="K31" t="s">
        <v>8297</v>
      </c>
      <c r="L31" t="s">
        <v>8298</v>
      </c>
      <c r="M31" t="s">
        <v>8298</v>
      </c>
      <c r="P31" t="s">
        <v>8299</v>
      </c>
      <c r="R31" t="s">
        <v>8300</v>
      </c>
      <c r="S31" t="s">
        <v>3447</v>
      </c>
    </row>
    <row r="32" spans="1:19" x14ac:dyDescent="0.2">
      <c r="A32" t="str">
        <f t="shared" si="0"/>
        <v>metab_compid_38140</v>
      </c>
      <c r="B32">
        <v>100002394</v>
      </c>
      <c r="C32">
        <v>209</v>
      </c>
      <c r="D32">
        <v>38140</v>
      </c>
      <c r="E32">
        <v>153530</v>
      </c>
      <c r="F32" t="s">
        <v>3863</v>
      </c>
      <c r="G32" t="s">
        <v>7418</v>
      </c>
      <c r="H32">
        <v>6019</v>
      </c>
      <c r="I32" t="s">
        <v>3438</v>
      </c>
      <c r="J32" t="s">
        <v>7449</v>
      </c>
      <c r="K32" t="s">
        <v>7450</v>
      </c>
      <c r="L32" t="s">
        <v>7451</v>
      </c>
      <c r="M32" t="s">
        <v>7451</v>
      </c>
      <c r="N32" t="s">
        <v>7452</v>
      </c>
      <c r="O32" t="s">
        <v>7453</v>
      </c>
      <c r="Q32" t="s">
        <v>7454</v>
      </c>
      <c r="R32" t="s">
        <v>7455</v>
      </c>
      <c r="S32" t="s">
        <v>3469</v>
      </c>
    </row>
    <row r="33" spans="1:19" x14ac:dyDescent="0.2">
      <c r="A33" t="str">
        <f t="shared" si="0"/>
        <v>metab_compid_49617</v>
      </c>
      <c r="B33">
        <v>100002873</v>
      </c>
      <c r="C33">
        <v>402</v>
      </c>
      <c r="D33">
        <v>49617</v>
      </c>
      <c r="E33">
        <v>161405</v>
      </c>
      <c r="F33" t="s">
        <v>3459</v>
      </c>
      <c r="G33" t="s">
        <v>5441</v>
      </c>
      <c r="H33">
        <v>2667</v>
      </c>
      <c r="I33" t="s">
        <v>3438</v>
      </c>
      <c r="J33" t="s">
        <v>7715</v>
      </c>
      <c r="K33" t="s">
        <v>7716</v>
      </c>
      <c r="L33" t="s">
        <v>7717</v>
      </c>
      <c r="M33" t="s">
        <v>7717</v>
      </c>
      <c r="N33" t="s">
        <v>7718</v>
      </c>
      <c r="O33" t="s">
        <v>7719</v>
      </c>
      <c r="P33" t="s">
        <v>7720</v>
      </c>
      <c r="R33" t="s">
        <v>7721</v>
      </c>
      <c r="S33" t="s">
        <v>3447</v>
      </c>
    </row>
    <row r="34" spans="1:19" x14ac:dyDescent="0.2">
      <c r="A34" t="str">
        <f t="shared" si="0"/>
        <v>metab_compid_45951</v>
      </c>
      <c r="B34">
        <v>100005350</v>
      </c>
      <c r="C34">
        <v>402</v>
      </c>
      <c r="D34">
        <v>45951</v>
      </c>
      <c r="E34">
        <v>159653</v>
      </c>
      <c r="F34" t="s">
        <v>3459</v>
      </c>
      <c r="G34" t="s">
        <v>5441</v>
      </c>
      <c r="H34">
        <v>2636</v>
      </c>
      <c r="I34" t="s">
        <v>3438</v>
      </c>
      <c r="J34" t="s">
        <v>8279</v>
      </c>
      <c r="K34" t="s">
        <v>8280</v>
      </c>
      <c r="L34" t="s">
        <v>8281</v>
      </c>
      <c r="M34" t="s">
        <v>8281</v>
      </c>
      <c r="P34" t="s">
        <v>8282</v>
      </c>
      <c r="Q34" t="s">
        <v>6321</v>
      </c>
      <c r="S34" t="s">
        <v>3447</v>
      </c>
    </row>
    <row r="35" spans="1:19" x14ac:dyDescent="0.2">
      <c r="A35" t="str">
        <f t="shared" si="0"/>
        <v>metab_compid_34393</v>
      </c>
      <c r="B35">
        <v>100001435</v>
      </c>
      <c r="C35">
        <v>209</v>
      </c>
      <c r="D35">
        <v>34393</v>
      </c>
      <c r="E35">
        <v>126910</v>
      </c>
      <c r="F35" t="s">
        <v>3459</v>
      </c>
      <c r="G35" t="s">
        <v>5418</v>
      </c>
      <c r="H35">
        <v>2876</v>
      </c>
      <c r="I35" t="s">
        <v>3438</v>
      </c>
      <c r="J35" t="s">
        <v>6459</v>
      </c>
      <c r="K35" t="s">
        <v>6460</v>
      </c>
      <c r="L35" t="s">
        <v>6461</v>
      </c>
      <c r="M35" t="s">
        <v>6461</v>
      </c>
      <c r="N35" t="s">
        <v>6462</v>
      </c>
      <c r="O35" t="s">
        <v>6463</v>
      </c>
      <c r="P35" t="s">
        <v>6464</v>
      </c>
      <c r="R35" t="s">
        <v>6465</v>
      </c>
      <c r="S35" t="s">
        <v>3469</v>
      </c>
    </row>
    <row r="36" spans="1:19" x14ac:dyDescent="0.2">
      <c r="A36" t="str">
        <f t="shared" si="0"/>
        <v>metab_compid_52710</v>
      </c>
      <c r="B36">
        <v>100009131</v>
      </c>
      <c r="C36">
        <v>402</v>
      </c>
      <c r="D36">
        <v>52710</v>
      </c>
      <c r="E36">
        <v>165488</v>
      </c>
      <c r="F36" t="s">
        <v>3459</v>
      </c>
      <c r="G36" t="s">
        <v>5021</v>
      </c>
      <c r="H36">
        <v>2383</v>
      </c>
      <c r="I36" t="s">
        <v>3438</v>
      </c>
      <c r="J36" t="s">
        <v>9076</v>
      </c>
      <c r="K36" t="s">
        <v>9077</v>
      </c>
      <c r="L36" t="s">
        <v>9078</v>
      </c>
      <c r="M36" t="s">
        <v>9078</v>
      </c>
      <c r="O36" t="s">
        <v>9079</v>
      </c>
      <c r="P36" t="s">
        <v>9080</v>
      </c>
      <c r="Q36" t="s">
        <v>6605</v>
      </c>
      <c r="R36" t="s">
        <v>9081</v>
      </c>
      <c r="S36" t="s">
        <v>3447</v>
      </c>
    </row>
    <row r="37" spans="1:19" x14ac:dyDescent="0.2">
      <c r="A37" t="str">
        <f t="shared" si="0"/>
        <v>metab_compid_53189</v>
      </c>
      <c r="B37">
        <v>100009222</v>
      </c>
      <c r="C37">
        <v>402</v>
      </c>
      <c r="D37">
        <v>53189</v>
      </c>
      <c r="E37">
        <v>166619</v>
      </c>
      <c r="F37" t="s">
        <v>3459</v>
      </c>
      <c r="G37" t="s">
        <v>5006</v>
      </c>
      <c r="H37">
        <v>2472</v>
      </c>
      <c r="I37" t="s">
        <v>3438</v>
      </c>
      <c r="J37" t="s">
        <v>9112</v>
      </c>
      <c r="K37" t="s">
        <v>9113</v>
      </c>
      <c r="L37" t="s">
        <v>9114</v>
      </c>
      <c r="M37" t="s">
        <v>9114</v>
      </c>
      <c r="O37" t="s">
        <v>9115</v>
      </c>
      <c r="P37" t="s">
        <v>9116</v>
      </c>
      <c r="R37" t="s">
        <v>9117</v>
      </c>
      <c r="S37" t="s">
        <v>3447</v>
      </c>
    </row>
    <row r="38" spans="1:19" x14ac:dyDescent="0.2">
      <c r="A38" t="str">
        <f t="shared" si="0"/>
        <v>metab_compid_53176</v>
      </c>
      <c r="B38">
        <v>100009343</v>
      </c>
      <c r="C38">
        <v>402</v>
      </c>
      <c r="D38">
        <v>53176</v>
      </c>
      <c r="E38">
        <v>166602</v>
      </c>
      <c r="F38" t="s">
        <v>3459</v>
      </c>
      <c r="G38" t="s">
        <v>5021</v>
      </c>
      <c r="H38">
        <v>2378</v>
      </c>
      <c r="I38" t="s">
        <v>3438</v>
      </c>
      <c r="J38" t="s">
        <v>9209</v>
      </c>
      <c r="K38" t="s">
        <v>9210</v>
      </c>
      <c r="L38" t="s">
        <v>9211</v>
      </c>
      <c r="M38" t="s">
        <v>9211</v>
      </c>
      <c r="O38" t="s">
        <v>9212</v>
      </c>
      <c r="P38" t="s">
        <v>9213</v>
      </c>
      <c r="R38" t="s">
        <v>9214</v>
      </c>
      <c r="S38" t="s">
        <v>3447</v>
      </c>
    </row>
    <row r="39" spans="1:19" x14ac:dyDescent="0.2">
      <c r="A39" t="str">
        <f t="shared" si="0"/>
        <v>metab_compid_34419</v>
      </c>
      <c r="B39">
        <v>100001395</v>
      </c>
      <c r="C39">
        <v>402</v>
      </c>
      <c r="D39">
        <v>34419</v>
      </c>
      <c r="E39">
        <v>158662</v>
      </c>
      <c r="F39" t="s">
        <v>3459</v>
      </c>
      <c r="G39" t="s">
        <v>5441</v>
      </c>
      <c r="H39">
        <v>2634</v>
      </c>
      <c r="I39" t="s">
        <v>3438</v>
      </c>
      <c r="J39" t="s">
        <v>6316</v>
      </c>
      <c r="K39" t="s">
        <v>6317</v>
      </c>
      <c r="L39" t="s">
        <v>6318</v>
      </c>
      <c r="M39" t="s">
        <v>6318</v>
      </c>
      <c r="O39" t="s">
        <v>6319</v>
      </c>
      <c r="P39" t="s">
        <v>6320</v>
      </c>
      <c r="Q39" t="s">
        <v>6321</v>
      </c>
      <c r="R39" t="s">
        <v>6322</v>
      </c>
      <c r="S39" t="s">
        <v>3447</v>
      </c>
    </row>
    <row r="40" spans="1:19" x14ac:dyDescent="0.2">
      <c r="A40" t="str">
        <f t="shared" si="0"/>
        <v>metab_compid_36600</v>
      </c>
      <c r="B40">
        <v>100001570</v>
      </c>
      <c r="C40">
        <v>402</v>
      </c>
      <c r="D40">
        <v>36600</v>
      </c>
      <c r="E40">
        <v>158788</v>
      </c>
      <c r="F40" t="s">
        <v>3459</v>
      </c>
      <c r="G40" t="s">
        <v>5441</v>
      </c>
      <c r="H40">
        <v>2691</v>
      </c>
      <c r="I40" t="s">
        <v>3438</v>
      </c>
      <c r="J40" t="s">
        <v>6633</v>
      </c>
      <c r="K40" t="s">
        <v>6634</v>
      </c>
      <c r="L40" t="s">
        <v>6635</v>
      </c>
      <c r="M40" t="s">
        <v>6635</v>
      </c>
      <c r="O40" t="s">
        <v>6636</v>
      </c>
      <c r="P40" t="s">
        <v>6637</v>
      </c>
      <c r="R40" t="s">
        <v>6638</v>
      </c>
      <c r="S40" t="s">
        <v>3447</v>
      </c>
    </row>
    <row r="41" spans="1:19" x14ac:dyDescent="0.2">
      <c r="A41" t="str">
        <f t="shared" si="0"/>
        <v>metab_compid_54885</v>
      </c>
      <c r="B41">
        <v>100009227</v>
      </c>
      <c r="C41">
        <v>209</v>
      </c>
      <c r="D41">
        <v>54885</v>
      </c>
      <c r="E41">
        <v>207774</v>
      </c>
      <c r="F41" t="s">
        <v>3459</v>
      </c>
      <c r="G41" t="s">
        <v>5441</v>
      </c>
      <c r="H41">
        <v>2733</v>
      </c>
      <c r="I41" t="s">
        <v>3438</v>
      </c>
      <c r="J41" t="s">
        <v>9123</v>
      </c>
      <c r="K41" t="s">
        <v>9124</v>
      </c>
      <c r="L41" t="s">
        <v>9125</v>
      </c>
      <c r="M41" t="s">
        <v>9125</v>
      </c>
      <c r="P41" t="s">
        <v>9126</v>
      </c>
      <c r="S41" t="s">
        <v>3469</v>
      </c>
    </row>
    <row r="42" spans="1:19" x14ac:dyDescent="0.2">
      <c r="A42" t="str">
        <f t="shared" si="0"/>
        <v>metab_compid_36594</v>
      </c>
      <c r="B42">
        <v>100001778</v>
      </c>
      <c r="C42">
        <v>209</v>
      </c>
      <c r="D42">
        <v>36594</v>
      </c>
      <c r="E42">
        <v>146822</v>
      </c>
      <c r="F42" t="s">
        <v>3459</v>
      </c>
      <c r="G42" t="s">
        <v>5441</v>
      </c>
      <c r="H42">
        <v>2743</v>
      </c>
      <c r="I42" t="s">
        <v>3438</v>
      </c>
      <c r="J42" t="s">
        <v>6958</v>
      </c>
      <c r="K42" t="s">
        <v>6959</v>
      </c>
      <c r="L42" t="s">
        <v>6960</v>
      </c>
      <c r="M42" t="s">
        <v>6961</v>
      </c>
      <c r="P42" t="s">
        <v>6962</v>
      </c>
      <c r="R42" t="s">
        <v>6963</v>
      </c>
      <c r="S42" t="s">
        <v>3469</v>
      </c>
    </row>
    <row r="43" spans="1:19" x14ac:dyDescent="0.2">
      <c r="A43" t="str">
        <f t="shared" si="0"/>
        <v>metab_compid_27447</v>
      </c>
      <c r="B43">
        <v>100001040</v>
      </c>
      <c r="C43">
        <v>209</v>
      </c>
      <c r="D43">
        <v>27447</v>
      </c>
      <c r="E43">
        <v>126071</v>
      </c>
      <c r="F43" t="s">
        <v>3459</v>
      </c>
      <c r="G43" t="s">
        <v>5418</v>
      </c>
      <c r="H43">
        <v>2875</v>
      </c>
      <c r="I43" t="s">
        <v>3438</v>
      </c>
      <c r="J43" t="s">
        <v>5740</v>
      </c>
      <c r="K43" t="s">
        <v>5741</v>
      </c>
      <c r="L43" t="s">
        <v>5742</v>
      </c>
      <c r="M43" t="s">
        <v>5742</v>
      </c>
      <c r="N43" t="s">
        <v>5743</v>
      </c>
      <c r="O43" t="s">
        <v>5744</v>
      </c>
      <c r="P43" t="s">
        <v>5745</v>
      </c>
      <c r="R43" t="s">
        <v>5746</v>
      </c>
      <c r="S43" t="s">
        <v>3469</v>
      </c>
    </row>
    <row r="44" spans="1:19" x14ac:dyDescent="0.2">
      <c r="A44" t="str">
        <f t="shared" si="0"/>
        <v>metab_compid_32350</v>
      </c>
      <c r="B44">
        <v>100001208</v>
      </c>
      <c r="C44">
        <v>400</v>
      </c>
      <c r="D44">
        <v>32350</v>
      </c>
      <c r="E44">
        <v>155911</v>
      </c>
      <c r="F44" t="s">
        <v>3436</v>
      </c>
      <c r="G44" t="s">
        <v>3906</v>
      </c>
      <c r="H44">
        <v>93</v>
      </c>
      <c r="I44" t="s">
        <v>3438</v>
      </c>
      <c r="J44" t="s">
        <v>5966</v>
      </c>
      <c r="K44" t="s">
        <v>5967</v>
      </c>
      <c r="L44" t="s">
        <v>5968</v>
      </c>
      <c r="M44" t="s">
        <v>5968</v>
      </c>
      <c r="N44" t="s">
        <v>5969</v>
      </c>
      <c r="O44" t="s">
        <v>5970</v>
      </c>
      <c r="P44" t="s">
        <v>5971</v>
      </c>
      <c r="Q44" t="s">
        <v>5972</v>
      </c>
      <c r="R44" t="s">
        <v>5973</v>
      </c>
      <c r="S44" t="s">
        <v>3458</v>
      </c>
    </row>
    <row r="45" spans="1:19" x14ac:dyDescent="0.2">
      <c r="A45" t="str">
        <f t="shared" si="0"/>
        <v>metab_compid_62946</v>
      </c>
      <c r="B45">
        <v>100002910</v>
      </c>
      <c r="C45">
        <v>400</v>
      </c>
      <c r="D45">
        <v>62946</v>
      </c>
      <c r="E45">
        <v>220814</v>
      </c>
      <c r="F45" t="s">
        <v>3436</v>
      </c>
      <c r="G45" t="s">
        <v>3906</v>
      </c>
      <c r="H45">
        <v>94</v>
      </c>
      <c r="I45" t="s">
        <v>3438</v>
      </c>
      <c r="J45" t="s">
        <v>7729</v>
      </c>
      <c r="K45" t="s">
        <v>7730</v>
      </c>
      <c r="L45" t="s">
        <v>7731</v>
      </c>
      <c r="M45" t="s">
        <v>7731</v>
      </c>
      <c r="N45" t="s">
        <v>7732</v>
      </c>
      <c r="O45" t="s">
        <v>7733</v>
      </c>
      <c r="P45" t="s">
        <v>7734</v>
      </c>
      <c r="R45" t="s">
        <v>7735</v>
      </c>
      <c r="S45" t="s">
        <v>3458</v>
      </c>
    </row>
    <row r="46" spans="1:19" x14ac:dyDescent="0.2">
      <c r="A46" t="str">
        <f t="shared" si="0"/>
        <v>metab_compid_64596</v>
      </c>
      <c r="B46">
        <v>100021478</v>
      </c>
      <c r="C46">
        <v>400</v>
      </c>
      <c r="D46">
        <v>64596</v>
      </c>
      <c r="E46">
        <v>238817</v>
      </c>
      <c r="F46" t="s">
        <v>3436</v>
      </c>
      <c r="G46" t="s">
        <v>3906</v>
      </c>
      <c r="H46">
        <v>95</v>
      </c>
      <c r="I46" t="s">
        <v>3438</v>
      </c>
      <c r="J46" t="s">
        <v>10146</v>
      </c>
      <c r="K46" t="s">
        <v>10147</v>
      </c>
      <c r="L46" t="s">
        <v>10148</v>
      </c>
      <c r="M46" t="s">
        <v>10148</v>
      </c>
      <c r="N46" t="s">
        <v>10149</v>
      </c>
      <c r="O46" t="s">
        <v>10150</v>
      </c>
      <c r="S46" t="s">
        <v>3458</v>
      </c>
    </row>
    <row r="47" spans="1:19" x14ac:dyDescent="0.2">
      <c r="A47" t="str">
        <f t="shared" si="0"/>
        <v>metab_compid_30460</v>
      </c>
      <c r="B47">
        <v>100001051</v>
      </c>
      <c r="C47">
        <v>400</v>
      </c>
      <c r="D47">
        <v>30460</v>
      </c>
      <c r="E47">
        <v>155848</v>
      </c>
      <c r="F47" t="s">
        <v>3436</v>
      </c>
      <c r="G47" t="s">
        <v>3906</v>
      </c>
      <c r="H47">
        <v>73</v>
      </c>
      <c r="I47" t="s">
        <v>3438</v>
      </c>
      <c r="J47" t="s">
        <v>5747</v>
      </c>
      <c r="K47" t="s">
        <v>5748</v>
      </c>
      <c r="L47" t="s">
        <v>5749</v>
      </c>
      <c r="M47" t="s">
        <v>5749</v>
      </c>
      <c r="N47" t="s">
        <v>5750</v>
      </c>
      <c r="O47" t="s">
        <v>5751</v>
      </c>
      <c r="P47" t="s">
        <v>5752</v>
      </c>
      <c r="Q47" t="s">
        <v>5213</v>
      </c>
      <c r="R47" t="s">
        <v>5753</v>
      </c>
      <c r="S47" t="s">
        <v>3458</v>
      </c>
    </row>
    <row r="48" spans="1:19" x14ac:dyDescent="0.2">
      <c r="A48" t="str">
        <f t="shared" si="0"/>
        <v>metab_compid_27665</v>
      </c>
      <c r="B48">
        <v>55</v>
      </c>
      <c r="C48">
        <v>400</v>
      </c>
      <c r="D48">
        <v>27665</v>
      </c>
      <c r="E48">
        <v>155829</v>
      </c>
      <c r="F48" t="s">
        <v>3448</v>
      </c>
      <c r="G48" t="s">
        <v>3449</v>
      </c>
      <c r="H48">
        <v>4336</v>
      </c>
      <c r="I48" t="s">
        <v>3438</v>
      </c>
      <c r="J48" t="s">
        <v>3450</v>
      </c>
      <c r="K48" t="s">
        <v>3451</v>
      </c>
      <c r="L48" t="s">
        <v>3452</v>
      </c>
      <c r="M48" t="s">
        <v>3452</v>
      </c>
      <c r="N48" t="s">
        <v>3453</v>
      </c>
      <c r="O48" t="s">
        <v>3454</v>
      </c>
      <c r="P48" t="s">
        <v>3455</v>
      </c>
      <c r="Q48" t="s">
        <v>3456</v>
      </c>
      <c r="R48" t="s">
        <v>3457</v>
      </c>
      <c r="S48" t="s">
        <v>3458</v>
      </c>
    </row>
    <row r="49" spans="1:19" x14ac:dyDescent="0.2">
      <c r="A49" t="str">
        <f t="shared" si="0"/>
        <v>metab_compid_34395</v>
      </c>
      <c r="B49">
        <v>100001400</v>
      </c>
      <c r="C49">
        <v>400</v>
      </c>
      <c r="D49">
        <v>34395</v>
      </c>
      <c r="E49">
        <v>156098</v>
      </c>
      <c r="F49" t="s">
        <v>3863</v>
      </c>
      <c r="G49" t="s">
        <v>4373</v>
      </c>
      <c r="H49">
        <v>4616</v>
      </c>
      <c r="I49" t="s">
        <v>3438</v>
      </c>
      <c r="J49" t="s">
        <v>6355</v>
      </c>
      <c r="K49" t="s">
        <v>6356</v>
      </c>
      <c r="L49" t="s">
        <v>6357</v>
      </c>
      <c r="M49" t="s">
        <v>6357</v>
      </c>
      <c r="N49" t="s">
        <v>6358</v>
      </c>
      <c r="O49" t="s">
        <v>6359</v>
      </c>
      <c r="P49" t="s">
        <v>6360</v>
      </c>
      <c r="Q49" t="s">
        <v>6361</v>
      </c>
      <c r="R49" t="s">
        <v>6362</v>
      </c>
      <c r="S49" t="s">
        <v>3458</v>
      </c>
    </row>
    <row r="50" spans="1:19" x14ac:dyDescent="0.2">
      <c r="A50" t="str">
        <f t="shared" si="0"/>
        <v>metab_compid_34389</v>
      </c>
      <c r="B50">
        <v>100001405</v>
      </c>
      <c r="C50">
        <v>209</v>
      </c>
      <c r="D50">
        <v>34389</v>
      </c>
      <c r="E50">
        <v>126906</v>
      </c>
      <c r="F50" t="s">
        <v>3863</v>
      </c>
      <c r="G50" t="s">
        <v>4373</v>
      </c>
      <c r="H50">
        <v>4622</v>
      </c>
      <c r="I50" t="s">
        <v>3438</v>
      </c>
      <c r="J50" t="s">
        <v>6379</v>
      </c>
      <c r="K50" t="s">
        <v>6380</v>
      </c>
      <c r="L50" t="s">
        <v>6381</v>
      </c>
      <c r="M50" t="s">
        <v>6381</v>
      </c>
      <c r="N50" t="s">
        <v>6382</v>
      </c>
      <c r="O50" t="s">
        <v>6383</v>
      </c>
      <c r="P50" t="s">
        <v>6384</v>
      </c>
      <c r="Q50" t="s">
        <v>6385</v>
      </c>
      <c r="R50" t="s">
        <v>6386</v>
      </c>
      <c r="S50" t="s">
        <v>3469</v>
      </c>
    </row>
    <row r="51" spans="1:19" x14ac:dyDescent="0.2">
      <c r="A51" t="str">
        <f t="shared" si="0"/>
        <v>metab_compid_53195</v>
      </c>
      <c r="B51">
        <v>100009139</v>
      </c>
      <c r="C51">
        <v>402</v>
      </c>
      <c r="D51">
        <v>53195</v>
      </c>
      <c r="E51">
        <v>166625</v>
      </c>
      <c r="F51" t="s">
        <v>3459</v>
      </c>
      <c r="G51" t="s">
        <v>5021</v>
      </c>
      <c r="H51">
        <v>2284</v>
      </c>
      <c r="I51" t="s">
        <v>3438</v>
      </c>
      <c r="J51" t="s">
        <v>9082</v>
      </c>
      <c r="K51" t="s">
        <v>9083</v>
      </c>
      <c r="L51" t="s">
        <v>9084</v>
      </c>
      <c r="M51" t="s">
        <v>9084</v>
      </c>
      <c r="O51" t="s">
        <v>9085</v>
      </c>
      <c r="P51" t="s">
        <v>9086</v>
      </c>
      <c r="R51" t="s">
        <v>9087</v>
      </c>
      <c r="S51" t="s">
        <v>3447</v>
      </c>
    </row>
    <row r="52" spans="1:19" x14ac:dyDescent="0.2">
      <c r="A52" t="str">
        <f t="shared" si="0"/>
        <v>metab_compid_19258</v>
      </c>
      <c r="B52">
        <v>100000672</v>
      </c>
      <c r="C52">
        <v>402</v>
      </c>
      <c r="D52">
        <v>19258</v>
      </c>
      <c r="E52">
        <v>164196</v>
      </c>
      <c r="F52" t="s">
        <v>3459</v>
      </c>
      <c r="G52" t="s">
        <v>5021</v>
      </c>
      <c r="H52">
        <v>2280</v>
      </c>
      <c r="I52" t="s">
        <v>3438</v>
      </c>
      <c r="J52" t="s">
        <v>5465</v>
      </c>
      <c r="K52" t="s">
        <v>5466</v>
      </c>
      <c r="L52" t="s">
        <v>5467</v>
      </c>
      <c r="M52" t="s">
        <v>5467</v>
      </c>
      <c r="N52" t="s">
        <v>5468</v>
      </c>
      <c r="O52" t="s">
        <v>5469</v>
      </c>
      <c r="P52" t="s">
        <v>5470</v>
      </c>
      <c r="R52" t="s">
        <v>5471</v>
      </c>
      <c r="S52" t="s">
        <v>3447</v>
      </c>
    </row>
    <row r="53" spans="1:19" x14ac:dyDescent="0.2">
      <c r="A53" t="str">
        <f t="shared" si="0"/>
        <v>metab_compid_35625</v>
      </c>
      <c r="B53">
        <v>100001618</v>
      </c>
      <c r="C53">
        <v>209</v>
      </c>
      <c r="D53">
        <v>35625</v>
      </c>
      <c r="E53">
        <v>128233</v>
      </c>
      <c r="F53" t="s">
        <v>3459</v>
      </c>
      <c r="G53" t="s">
        <v>5418</v>
      </c>
      <c r="H53">
        <v>2867</v>
      </c>
      <c r="I53" t="s">
        <v>3438</v>
      </c>
      <c r="J53" t="s">
        <v>6782</v>
      </c>
      <c r="K53" t="s">
        <v>6783</v>
      </c>
      <c r="L53" t="s">
        <v>6784</v>
      </c>
      <c r="M53" t="s">
        <v>6784</v>
      </c>
      <c r="N53" t="s">
        <v>6785</v>
      </c>
      <c r="O53" t="s">
        <v>6786</v>
      </c>
      <c r="P53" t="s">
        <v>6787</v>
      </c>
      <c r="Q53" t="s">
        <v>6788</v>
      </c>
      <c r="R53" t="s">
        <v>6789</v>
      </c>
      <c r="S53" t="s">
        <v>3469</v>
      </c>
    </row>
    <row r="54" spans="1:19" x14ac:dyDescent="0.2">
      <c r="A54" t="str">
        <f t="shared" si="0"/>
        <v>metab_compid_55041</v>
      </c>
      <c r="B54">
        <v>100009219</v>
      </c>
      <c r="C54">
        <v>402</v>
      </c>
      <c r="D54">
        <v>55041</v>
      </c>
      <c r="E54">
        <v>210837</v>
      </c>
      <c r="F54" t="s">
        <v>3459</v>
      </c>
      <c r="G54" t="s">
        <v>5006</v>
      </c>
      <c r="H54">
        <v>2465</v>
      </c>
      <c r="I54" t="s">
        <v>3438</v>
      </c>
      <c r="J54" t="s">
        <v>9100</v>
      </c>
      <c r="K54" t="s">
        <v>9101</v>
      </c>
      <c r="L54" t="s">
        <v>9102</v>
      </c>
      <c r="M54" t="s">
        <v>9102</v>
      </c>
      <c r="O54" t="s">
        <v>9103</v>
      </c>
      <c r="P54" t="s">
        <v>9104</v>
      </c>
      <c r="R54" t="s">
        <v>9105</v>
      </c>
      <c r="S54" t="s">
        <v>3447</v>
      </c>
    </row>
    <row r="55" spans="1:19" x14ac:dyDescent="0.2">
      <c r="A55" t="str">
        <f t="shared" si="0"/>
        <v>metab_compid_52697</v>
      </c>
      <c r="B55">
        <v>100009130</v>
      </c>
      <c r="C55">
        <v>402</v>
      </c>
      <c r="D55">
        <v>52697</v>
      </c>
      <c r="E55">
        <v>165470</v>
      </c>
      <c r="F55" t="s">
        <v>3459</v>
      </c>
      <c r="G55" t="s">
        <v>5021</v>
      </c>
      <c r="H55">
        <v>2376</v>
      </c>
      <c r="I55" t="s">
        <v>3438</v>
      </c>
      <c r="J55" t="s">
        <v>9070</v>
      </c>
      <c r="K55" t="s">
        <v>9071</v>
      </c>
      <c r="L55" t="s">
        <v>9072</v>
      </c>
      <c r="M55" t="s">
        <v>9072</v>
      </c>
      <c r="O55" t="s">
        <v>9073</v>
      </c>
      <c r="P55" t="s">
        <v>9074</v>
      </c>
      <c r="R55" t="s">
        <v>9075</v>
      </c>
      <c r="S55" t="s">
        <v>3447</v>
      </c>
    </row>
    <row r="56" spans="1:19" x14ac:dyDescent="0.2">
      <c r="A56" t="str">
        <f t="shared" si="0"/>
        <v>metab_compid_53209</v>
      </c>
      <c r="B56">
        <v>100009220</v>
      </c>
      <c r="C56">
        <v>402</v>
      </c>
      <c r="D56">
        <v>53209</v>
      </c>
      <c r="E56">
        <v>166647</v>
      </c>
      <c r="F56" t="s">
        <v>3459</v>
      </c>
      <c r="G56" t="s">
        <v>5006</v>
      </c>
      <c r="H56">
        <v>2469</v>
      </c>
      <c r="I56" t="s">
        <v>3438</v>
      </c>
      <c r="J56" t="s">
        <v>9106</v>
      </c>
      <c r="K56" t="s">
        <v>9107</v>
      </c>
      <c r="L56" t="s">
        <v>9108</v>
      </c>
      <c r="M56" t="s">
        <v>9108</v>
      </c>
      <c r="O56" t="s">
        <v>9109</v>
      </c>
      <c r="P56" t="s">
        <v>9110</v>
      </c>
      <c r="R56" t="s">
        <v>9111</v>
      </c>
      <c r="S56" t="s">
        <v>3447</v>
      </c>
    </row>
    <row r="57" spans="1:19" x14ac:dyDescent="0.2">
      <c r="A57" t="str">
        <f t="shared" si="0"/>
        <v>metab_compid_48258</v>
      </c>
      <c r="B57">
        <v>100001272</v>
      </c>
      <c r="C57">
        <v>402</v>
      </c>
      <c r="D57">
        <v>48258</v>
      </c>
      <c r="E57">
        <v>160285</v>
      </c>
      <c r="F57" t="s">
        <v>3459</v>
      </c>
      <c r="G57" t="s">
        <v>5441</v>
      </c>
      <c r="H57">
        <v>2631</v>
      </c>
      <c r="I57" t="s">
        <v>3438</v>
      </c>
      <c r="J57" t="s">
        <v>6096</v>
      </c>
      <c r="K57" t="s">
        <v>6097</v>
      </c>
      <c r="L57" t="s">
        <v>6098</v>
      </c>
      <c r="M57" t="s">
        <v>6098</v>
      </c>
      <c r="N57" t="s">
        <v>6099</v>
      </c>
      <c r="O57" t="s">
        <v>6100</v>
      </c>
      <c r="P57" t="s">
        <v>6101</v>
      </c>
      <c r="Q57" t="s">
        <v>6102</v>
      </c>
      <c r="R57" t="s">
        <v>6103</v>
      </c>
      <c r="S57" t="s">
        <v>3447</v>
      </c>
    </row>
    <row r="58" spans="1:19" x14ac:dyDescent="0.2">
      <c r="A58" t="str">
        <f t="shared" si="0"/>
        <v>metab_compid_35628</v>
      </c>
      <c r="B58">
        <v>100001569</v>
      </c>
      <c r="C58">
        <v>402</v>
      </c>
      <c r="D58">
        <v>35628</v>
      </c>
      <c r="E58">
        <v>158745</v>
      </c>
      <c r="F58" t="s">
        <v>3459</v>
      </c>
      <c r="G58" t="s">
        <v>5441</v>
      </c>
      <c r="H58">
        <v>2689</v>
      </c>
      <c r="I58" t="s">
        <v>3438</v>
      </c>
      <c r="J58" t="s">
        <v>6626</v>
      </c>
      <c r="K58" t="s">
        <v>6627</v>
      </c>
      <c r="L58" t="s">
        <v>6628</v>
      </c>
      <c r="M58" t="s">
        <v>6628</v>
      </c>
      <c r="N58" t="s">
        <v>6629</v>
      </c>
      <c r="O58" t="s">
        <v>6630</v>
      </c>
      <c r="P58" t="s">
        <v>6631</v>
      </c>
      <c r="R58" t="s">
        <v>6632</v>
      </c>
      <c r="S58" t="s">
        <v>3447</v>
      </c>
    </row>
    <row r="59" spans="1:19" x14ac:dyDescent="0.2">
      <c r="A59" t="str">
        <f t="shared" si="0"/>
        <v>metab_compid_45968</v>
      </c>
      <c r="B59">
        <v>100005716</v>
      </c>
      <c r="C59">
        <v>209</v>
      </c>
      <c r="D59">
        <v>45968</v>
      </c>
      <c r="E59">
        <v>144192</v>
      </c>
      <c r="F59" t="s">
        <v>3459</v>
      </c>
      <c r="G59" t="s">
        <v>5441</v>
      </c>
      <c r="H59">
        <v>2731</v>
      </c>
      <c r="I59" t="s">
        <v>3438</v>
      </c>
      <c r="J59" t="s">
        <v>8335</v>
      </c>
      <c r="K59" t="s">
        <v>8336</v>
      </c>
      <c r="L59" t="s">
        <v>8337</v>
      </c>
      <c r="M59" t="s">
        <v>8337</v>
      </c>
      <c r="O59" t="s">
        <v>8338</v>
      </c>
      <c r="P59" t="s">
        <v>8339</v>
      </c>
      <c r="S59" t="s">
        <v>3469</v>
      </c>
    </row>
    <row r="60" spans="1:19" x14ac:dyDescent="0.2">
      <c r="A60" t="str">
        <f t="shared" si="0"/>
        <v>metab_compid_36602</v>
      </c>
      <c r="B60">
        <v>100001777</v>
      </c>
      <c r="C60">
        <v>209</v>
      </c>
      <c r="D60">
        <v>36602</v>
      </c>
      <c r="E60">
        <v>146821</v>
      </c>
      <c r="F60" t="s">
        <v>3459</v>
      </c>
      <c r="G60" t="s">
        <v>5441</v>
      </c>
      <c r="H60">
        <v>2741</v>
      </c>
      <c r="I60" t="s">
        <v>3438</v>
      </c>
      <c r="J60" t="s">
        <v>6953</v>
      </c>
      <c r="K60" t="s">
        <v>6954</v>
      </c>
      <c r="L60" t="s">
        <v>6955</v>
      </c>
      <c r="M60" t="s">
        <v>6955</v>
      </c>
      <c r="P60" t="s">
        <v>6956</v>
      </c>
      <c r="R60" t="s">
        <v>6957</v>
      </c>
      <c r="S60" t="s">
        <v>3469</v>
      </c>
    </row>
    <row r="61" spans="1:19" x14ac:dyDescent="0.2">
      <c r="A61" t="str">
        <f t="shared" si="0"/>
        <v>metab_compid_21184</v>
      </c>
      <c r="B61">
        <v>100000924</v>
      </c>
      <c r="C61">
        <v>209</v>
      </c>
      <c r="D61">
        <v>21184</v>
      </c>
      <c r="E61">
        <v>126057</v>
      </c>
      <c r="F61" t="s">
        <v>3459</v>
      </c>
      <c r="G61" t="s">
        <v>5418</v>
      </c>
      <c r="H61">
        <v>2874</v>
      </c>
      <c r="I61" t="s">
        <v>3438</v>
      </c>
      <c r="J61" t="s">
        <v>5641</v>
      </c>
      <c r="K61" t="s">
        <v>5642</v>
      </c>
      <c r="L61" t="s">
        <v>5643</v>
      </c>
      <c r="M61" t="s">
        <v>5643</v>
      </c>
      <c r="N61" t="s">
        <v>5644</v>
      </c>
      <c r="O61" t="s">
        <v>5645</v>
      </c>
      <c r="P61" t="s">
        <v>5646</v>
      </c>
      <c r="R61" t="s">
        <v>5647</v>
      </c>
      <c r="S61" t="s">
        <v>3469</v>
      </c>
    </row>
    <row r="62" spans="1:19" x14ac:dyDescent="0.2">
      <c r="A62" t="str">
        <f t="shared" si="0"/>
        <v>metab_compid_64896</v>
      </c>
      <c r="B62">
        <v>100022517</v>
      </c>
      <c r="C62">
        <v>402</v>
      </c>
      <c r="D62">
        <v>64896</v>
      </c>
      <c r="E62">
        <v>240146</v>
      </c>
      <c r="F62" t="s">
        <v>3459</v>
      </c>
      <c r="G62" t="s">
        <v>7722</v>
      </c>
      <c r="H62">
        <v>2847</v>
      </c>
      <c r="I62" t="s">
        <v>3438</v>
      </c>
      <c r="K62" t="s">
        <v>10293</v>
      </c>
      <c r="L62" t="s">
        <v>10294</v>
      </c>
      <c r="M62" t="s">
        <v>10294</v>
      </c>
      <c r="S62" t="s">
        <v>3447</v>
      </c>
    </row>
    <row r="63" spans="1:19" x14ac:dyDescent="0.2">
      <c r="A63" t="str">
        <f t="shared" si="0"/>
        <v>metab_compid_53180</v>
      </c>
      <c r="B63">
        <v>100009345</v>
      </c>
      <c r="C63">
        <v>402</v>
      </c>
      <c r="D63">
        <v>53180</v>
      </c>
      <c r="E63">
        <v>166609</v>
      </c>
      <c r="F63" t="s">
        <v>3459</v>
      </c>
      <c r="G63" t="s">
        <v>5021</v>
      </c>
      <c r="H63">
        <v>2328</v>
      </c>
      <c r="I63" t="s">
        <v>3438</v>
      </c>
      <c r="J63" t="s">
        <v>9215</v>
      </c>
      <c r="K63" t="s">
        <v>9216</v>
      </c>
      <c r="L63" t="s">
        <v>9217</v>
      </c>
      <c r="M63" t="s">
        <v>9217</v>
      </c>
      <c r="O63" t="s">
        <v>9218</v>
      </c>
      <c r="P63" t="s">
        <v>9219</v>
      </c>
      <c r="R63" t="s">
        <v>9220</v>
      </c>
      <c r="S63" t="s">
        <v>3447</v>
      </c>
    </row>
    <row r="64" spans="1:19" x14ac:dyDescent="0.2">
      <c r="A64" t="str">
        <f t="shared" si="0"/>
        <v>metab_compid_33230</v>
      </c>
      <c r="B64">
        <v>100001511</v>
      </c>
      <c r="C64">
        <v>402</v>
      </c>
      <c r="D64">
        <v>33230</v>
      </c>
      <c r="E64">
        <v>158553</v>
      </c>
      <c r="F64" t="s">
        <v>3459</v>
      </c>
      <c r="G64" t="s">
        <v>5441</v>
      </c>
      <c r="H64">
        <v>2620</v>
      </c>
      <c r="I64" t="s">
        <v>3438</v>
      </c>
      <c r="J64" t="s">
        <v>6558</v>
      </c>
      <c r="K64" t="s">
        <v>6559</v>
      </c>
      <c r="L64" t="s">
        <v>6560</v>
      </c>
      <c r="M64" t="s">
        <v>6560</v>
      </c>
      <c r="O64" t="s">
        <v>6561</v>
      </c>
      <c r="P64" t="s">
        <v>6562</v>
      </c>
      <c r="R64" t="s">
        <v>6563</v>
      </c>
      <c r="S64" t="s">
        <v>3447</v>
      </c>
    </row>
    <row r="65" spans="1:19" x14ac:dyDescent="0.2">
      <c r="A65" t="str">
        <f t="shared" si="0"/>
        <v>metab_compid_52431</v>
      </c>
      <c r="B65">
        <v>100008952</v>
      </c>
      <c r="C65">
        <v>209</v>
      </c>
      <c r="D65">
        <v>52431</v>
      </c>
      <c r="E65">
        <v>164555</v>
      </c>
      <c r="F65" t="s">
        <v>3459</v>
      </c>
      <c r="G65" t="s">
        <v>5418</v>
      </c>
      <c r="H65">
        <v>2871</v>
      </c>
      <c r="I65" t="s">
        <v>3438</v>
      </c>
      <c r="J65" t="s">
        <v>8856</v>
      </c>
      <c r="K65" t="s">
        <v>8857</v>
      </c>
      <c r="L65" t="s">
        <v>8858</v>
      </c>
      <c r="M65" t="s">
        <v>8858</v>
      </c>
      <c r="P65" t="s">
        <v>8859</v>
      </c>
      <c r="S65" t="s">
        <v>3469</v>
      </c>
    </row>
    <row r="66" spans="1:19" x14ac:dyDescent="0.2">
      <c r="A66" t="str">
        <f t="shared" ref="A66:A129" si="1">_xlfn.CONCAT("metab_compid_", $D66)</f>
        <v>metab_compid_52462</v>
      </c>
      <c r="B66">
        <v>100008914</v>
      </c>
      <c r="C66">
        <v>402</v>
      </c>
      <c r="D66">
        <v>52462</v>
      </c>
      <c r="E66">
        <v>165128</v>
      </c>
      <c r="F66" t="s">
        <v>3459</v>
      </c>
      <c r="G66" t="s">
        <v>5021</v>
      </c>
      <c r="H66">
        <v>2315</v>
      </c>
      <c r="I66" t="s">
        <v>3438</v>
      </c>
      <c r="J66" t="s">
        <v>8783</v>
      </c>
      <c r="K66" t="s">
        <v>8784</v>
      </c>
      <c r="L66" t="s">
        <v>8785</v>
      </c>
      <c r="M66" t="s">
        <v>8785</v>
      </c>
      <c r="N66" t="s">
        <v>8786</v>
      </c>
      <c r="O66" t="s">
        <v>8787</v>
      </c>
      <c r="P66" t="s">
        <v>8788</v>
      </c>
      <c r="Q66" t="s">
        <v>6605</v>
      </c>
      <c r="R66" t="s">
        <v>8789</v>
      </c>
      <c r="S66" t="s">
        <v>3447</v>
      </c>
    </row>
    <row r="67" spans="1:19" x14ac:dyDescent="0.2">
      <c r="A67" t="str">
        <f t="shared" si="1"/>
        <v>metab_compid_52464</v>
      </c>
      <c r="B67">
        <v>100008990</v>
      </c>
      <c r="C67">
        <v>402</v>
      </c>
      <c r="D67">
        <v>52464</v>
      </c>
      <c r="E67">
        <v>165131</v>
      </c>
      <c r="F67" t="s">
        <v>3459</v>
      </c>
      <c r="G67" t="s">
        <v>5006</v>
      </c>
      <c r="H67">
        <v>2434</v>
      </c>
      <c r="I67" t="s">
        <v>3438</v>
      </c>
      <c r="J67" t="s">
        <v>8937</v>
      </c>
      <c r="K67" t="s">
        <v>8938</v>
      </c>
      <c r="L67" t="s">
        <v>8939</v>
      </c>
      <c r="M67" t="s">
        <v>8939</v>
      </c>
      <c r="O67" t="s">
        <v>8940</v>
      </c>
      <c r="P67" t="s">
        <v>8941</v>
      </c>
      <c r="Q67" t="s">
        <v>8922</v>
      </c>
      <c r="R67" t="s">
        <v>8942</v>
      </c>
      <c r="S67" t="s">
        <v>3447</v>
      </c>
    </row>
    <row r="68" spans="1:19" x14ac:dyDescent="0.2">
      <c r="A68" t="str">
        <f t="shared" si="1"/>
        <v>metab_compid_52467</v>
      </c>
      <c r="B68">
        <v>100008993</v>
      </c>
      <c r="C68">
        <v>402</v>
      </c>
      <c r="D68">
        <v>52467</v>
      </c>
      <c r="E68">
        <v>208085</v>
      </c>
      <c r="F68" t="s">
        <v>3459</v>
      </c>
      <c r="G68" t="s">
        <v>5014</v>
      </c>
      <c r="H68">
        <v>2557</v>
      </c>
      <c r="I68" t="s">
        <v>3438</v>
      </c>
      <c r="J68" t="s">
        <v>8955</v>
      </c>
      <c r="K68" t="s">
        <v>8956</v>
      </c>
      <c r="L68" t="s">
        <v>8957</v>
      </c>
      <c r="M68" t="s">
        <v>8957</v>
      </c>
      <c r="O68" t="s">
        <v>8958</v>
      </c>
      <c r="P68" t="s">
        <v>8959</v>
      </c>
      <c r="S68" t="s">
        <v>3447</v>
      </c>
    </row>
    <row r="69" spans="1:19" x14ac:dyDescent="0.2">
      <c r="A69" t="str">
        <f t="shared" si="1"/>
        <v>metab_compid_52454</v>
      </c>
      <c r="B69">
        <v>100008985</v>
      </c>
      <c r="C69">
        <v>402</v>
      </c>
      <c r="D69">
        <v>52454</v>
      </c>
      <c r="E69">
        <v>165119</v>
      </c>
      <c r="F69" t="s">
        <v>3459</v>
      </c>
      <c r="G69" t="s">
        <v>5021</v>
      </c>
      <c r="H69">
        <v>2311</v>
      </c>
      <c r="I69" t="s">
        <v>3438</v>
      </c>
      <c r="J69" t="s">
        <v>8934</v>
      </c>
      <c r="K69" t="s">
        <v>8935</v>
      </c>
      <c r="L69" t="s">
        <v>8936</v>
      </c>
      <c r="M69" t="s">
        <v>8936</v>
      </c>
      <c r="S69" t="s">
        <v>3447</v>
      </c>
    </row>
    <row r="70" spans="1:19" x14ac:dyDescent="0.2">
      <c r="A70" t="str">
        <f t="shared" si="1"/>
        <v>metab_compid_52610</v>
      </c>
      <c r="B70">
        <v>100008915</v>
      </c>
      <c r="C70">
        <v>402</v>
      </c>
      <c r="D70">
        <v>52610</v>
      </c>
      <c r="E70">
        <v>165342</v>
      </c>
      <c r="F70" t="s">
        <v>3459</v>
      </c>
      <c r="G70" t="s">
        <v>5021</v>
      </c>
      <c r="H70">
        <v>2321</v>
      </c>
      <c r="I70" t="s">
        <v>3438</v>
      </c>
      <c r="J70" t="s">
        <v>8790</v>
      </c>
      <c r="K70" t="s">
        <v>8791</v>
      </c>
      <c r="L70" t="s">
        <v>8792</v>
      </c>
      <c r="M70" t="s">
        <v>8792</v>
      </c>
      <c r="N70" t="s">
        <v>8793</v>
      </c>
      <c r="O70" t="s">
        <v>8794</v>
      </c>
      <c r="P70" t="s">
        <v>8795</v>
      </c>
      <c r="R70" t="s">
        <v>8796</v>
      </c>
      <c r="S70" t="s">
        <v>3447</v>
      </c>
    </row>
    <row r="71" spans="1:19" x14ac:dyDescent="0.2">
      <c r="A71" t="str">
        <f t="shared" si="1"/>
        <v>metab_compid_52465</v>
      </c>
      <c r="B71">
        <v>100008991</v>
      </c>
      <c r="C71">
        <v>402</v>
      </c>
      <c r="D71">
        <v>52465</v>
      </c>
      <c r="E71">
        <v>165133</v>
      </c>
      <c r="F71" t="s">
        <v>3459</v>
      </c>
      <c r="G71" t="s">
        <v>5006</v>
      </c>
      <c r="H71">
        <v>2436</v>
      </c>
      <c r="I71" t="s">
        <v>3438</v>
      </c>
      <c r="J71" t="s">
        <v>8943</v>
      </c>
      <c r="K71" t="s">
        <v>8944</v>
      </c>
      <c r="L71" t="s">
        <v>8945</v>
      </c>
      <c r="M71" t="s">
        <v>8945</v>
      </c>
      <c r="O71" t="s">
        <v>8946</v>
      </c>
      <c r="P71" t="s">
        <v>8947</v>
      </c>
      <c r="R71" t="s">
        <v>8948</v>
      </c>
      <c r="S71" t="s">
        <v>3447</v>
      </c>
    </row>
    <row r="72" spans="1:19" x14ac:dyDescent="0.2">
      <c r="A72" t="str">
        <f t="shared" si="1"/>
        <v>metab_compid_42446</v>
      </c>
      <c r="B72">
        <v>1537</v>
      </c>
      <c r="C72">
        <v>402</v>
      </c>
      <c r="D72">
        <v>42446</v>
      </c>
      <c r="E72">
        <v>165129</v>
      </c>
      <c r="F72" t="s">
        <v>3459</v>
      </c>
      <c r="G72" t="s">
        <v>5021</v>
      </c>
      <c r="H72">
        <v>2304</v>
      </c>
      <c r="I72" t="s">
        <v>3438</v>
      </c>
      <c r="J72" t="s">
        <v>5022</v>
      </c>
      <c r="K72" t="s">
        <v>5023</v>
      </c>
      <c r="L72" t="s">
        <v>5024</v>
      </c>
      <c r="M72" t="s">
        <v>5024</v>
      </c>
      <c r="N72" t="s">
        <v>5025</v>
      </c>
      <c r="O72" t="s">
        <v>5026</v>
      </c>
      <c r="P72" t="s">
        <v>5027</v>
      </c>
      <c r="R72" t="s">
        <v>5028</v>
      </c>
      <c r="S72" t="s">
        <v>3447</v>
      </c>
    </row>
    <row r="73" spans="1:19" x14ac:dyDescent="0.2">
      <c r="A73" t="str">
        <f t="shared" si="1"/>
        <v>metab_compid_42449</v>
      </c>
      <c r="B73">
        <v>100001870</v>
      </c>
      <c r="C73">
        <v>402</v>
      </c>
      <c r="D73">
        <v>42449</v>
      </c>
      <c r="E73">
        <v>164197</v>
      </c>
      <c r="F73" t="s">
        <v>3459</v>
      </c>
      <c r="G73" t="s">
        <v>5006</v>
      </c>
      <c r="H73">
        <v>2428</v>
      </c>
      <c r="I73" t="s">
        <v>3438</v>
      </c>
      <c r="J73" t="s">
        <v>7068</v>
      </c>
      <c r="K73" t="s">
        <v>7069</v>
      </c>
      <c r="L73" t="s">
        <v>7070</v>
      </c>
      <c r="M73" t="s">
        <v>7070</v>
      </c>
      <c r="O73" t="s">
        <v>7071</v>
      </c>
      <c r="P73" t="s">
        <v>7072</v>
      </c>
      <c r="R73" t="s">
        <v>7073</v>
      </c>
      <c r="S73" t="s">
        <v>3447</v>
      </c>
    </row>
    <row r="74" spans="1:19" x14ac:dyDescent="0.2">
      <c r="A74" t="str">
        <f t="shared" si="1"/>
        <v>metab_compid_52450</v>
      </c>
      <c r="B74">
        <v>1528</v>
      </c>
      <c r="C74">
        <v>402</v>
      </c>
      <c r="D74">
        <v>52450</v>
      </c>
      <c r="E74">
        <v>210818</v>
      </c>
      <c r="F74" t="s">
        <v>3459</v>
      </c>
      <c r="G74" t="s">
        <v>5014</v>
      </c>
      <c r="H74">
        <v>2554</v>
      </c>
      <c r="I74" t="s">
        <v>3438</v>
      </c>
      <c r="J74" t="s">
        <v>5015</v>
      </c>
      <c r="K74" t="s">
        <v>5016</v>
      </c>
      <c r="L74" t="s">
        <v>5017</v>
      </c>
      <c r="M74" t="s">
        <v>5017</v>
      </c>
      <c r="O74" t="s">
        <v>5018</v>
      </c>
      <c r="P74" t="s">
        <v>5019</v>
      </c>
      <c r="R74" t="s">
        <v>5020</v>
      </c>
      <c r="S74" t="s">
        <v>3447</v>
      </c>
    </row>
    <row r="75" spans="1:19" x14ac:dyDescent="0.2">
      <c r="A75" t="str">
        <f t="shared" si="1"/>
        <v>metab_compid_52461</v>
      </c>
      <c r="B75">
        <v>1539</v>
      </c>
      <c r="C75">
        <v>402</v>
      </c>
      <c r="D75">
        <v>52461</v>
      </c>
      <c r="E75">
        <v>165127</v>
      </c>
      <c r="F75" t="s">
        <v>3459</v>
      </c>
      <c r="G75" t="s">
        <v>5021</v>
      </c>
      <c r="H75">
        <v>2301</v>
      </c>
      <c r="I75" t="s">
        <v>3438</v>
      </c>
      <c r="J75" t="s">
        <v>5037</v>
      </c>
      <c r="K75" t="s">
        <v>5038</v>
      </c>
      <c r="L75" t="s">
        <v>5039</v>
      </c>
      <c r="M75" t="s">
        <v>5039</v>
      </c>
      <c r="N75" t="s">
        <v>5040</v>
      </c>
      <c r="O75" t="s">
        <v>5041</v>
      </c>
      <c r="P75" t="s">
        <v>5042</v>
      </c>
      <c r="Q75" t="s">
        <v>5043</v>
      </c>
      <c r="R75" t="s">
        <v>5044</v>
      </c>
      <c r="S75" t="s">
        <v>3447</v>
      </c>
    </row>
    <row r="76" spans="1:19" x14ac:dyDescent="0.2">
      <c r="A76" t="str">
        <f t="shared" si="1"/>
        <v>metab_compid_19263</v>
      </c>
      <c r="B76">
        <v>1526</v>
      </c>
      <c r="C76">
        <v>402</v>
      </c>
      <c r="D76">
        <v>19263</v>
      </c>
      <c r="E76">
        <v>164198</v>
      </c>
      <c r="F76" t="s">
        <v>3459</v>
      </c>
      <c r="G76" t="s">
        <v>5006</v>
      </c>
      <c r="H76">
        <v>2426</v>
      </c>
      <c r="I76" t="s">
        <v>3438</v>
      </c>
      <c r="J76" t="s">
        <v>5007</v>
      </c>
      <c r="K76" t="s">
        <v>5008</v>
      </c>
      <c r="L76" t="s">
        <v>5009</v>
      </c>
      <c r="M76" t="s">
        <v>5009</v>
      </c>
      <c r="N76" t="s">
        <v>5010</v>
      </c>
      <c r="O76" t="s">
        <v>5011</v>
      </c>
      <c r="P76" t="s">
        <v>5012</v>
      </c>
      <c r="R76" t="s">
        <v>5013</v>
      </c>
      <c r="S76" t="s">
        <v>3447</v>
      </c>
    </row>
    <row r="77" spans="1:19" x14ac:dyDescent="0.2">
      <c r="A77" t="str">
        <f t="shared" si="1"/>
        <v>metab_compid_52669</v>
      </c>
      <c r="B77">
        <v>100009066</v>
      </c>
      <c r="C77">
        <v>305</v>
      </c>
      <c r="D77">
        <v>52669</v>
      </c>
      <c r="E77">
        <v>165429</v>
      </c>
      <c r="F77" t="s">
        <v>3459</v>
      </c>
      <c r="G77" t="s">
        <v>5014</v>
      </c>
      <c r="H77">
        <v>2552</v>
      </c>
      <c r="I77" t="s">
        <v>3438</v>
      </c>
      <c r="J77" t="s">
        <v>9058</v>
      </c>
      <c r="K77" t="s">
        <v>9059</v>
      </c>
      <c r="L77" t="s">
        <v>9060</v>
      </c>
      <c r="M77" t="s">
        <v>9060</v>
      </c>
      <c r="O77" t="s">
        <v>9061</v>
      </c>
      <c r="P77" t="s">
        <v>9062</v>
      </c>
      <c r="R77" t="s">
        <v>9063</v>
      </c>
      <c r="S77" t="s">
        <v>3489</v>
      </c>
    </row>
    <row r="78" spans="1:19" x14ac:dyDescent="0.2">
      <c r="A78" t="str">
        <f t="shared" si="1"/>
        <v>metab_compid_52470</v>
      </c>
      <c r="B78">
        <v>100008984</v>
      </c>
      <c r="C78">
        <v>402</v>
      </c>
      <c r="D78">
        <v>52470</v>
      </c>
      <c r="E78">
        <v>165143</v>
      </c>
      <c r="F78" t="s">
        <v>3459</v>
      </c>
      <c r="G78" t="s">
        <v>5021</v>
      </c>
      <c r="H78">
        <v>2297</v>
      </c>
      <c r="I78" t="s">
        <v>3438</v>
      </c>
      <c r="J78" t="s">
        <v>8929</v>
      </c>
      <c r="K78" t="s">
        <v>8930</v>
      </c>
      <c r="L78" t="s">
        <v>8931</v>
      </c>
      <c r="M78" t="s">
        <v>8931</v>
      </c>
      <c r="P78" t="s">
        <v>8932</v>
      </c>
      <c r="R78" t="s">
        <v>8933</v>
      </c>
      <c r="S78" t="s">
        <v>3447</v>
      </c>
    </row>
    <row r="79" spans="1:19" x14ac:dyDescent="0.2">
      <c r="A79" t="str">
        <f t="shared" si="1"/>
        <v>metab_compid_52616</v>
      </c>
      <c r="B79">
        <v>100008921</v>
      </c>
      <c r="C79">
        <v>402</v>
      </c>
      <c r="D79">
        <v>52616</v>
      </c>
      <c r="E79">
        <v>165348</v>
      </c>
      <c r="F79" t="s">
        <v>3459</v>
      </c>
      <c r="G79" t="s">
        <v>5021</v>
      </c>
      <c r="H79">
        <v>2299</v>
      </c>
      <c r="I79" t="s">
        <v>3438</v>
      </c>
      <c r="J79" t="s">
        <v>8817</v>
      </c>
      <c r="K79" t="s">
        <v>8818</v>
      </c>
      <c r="L79" t="s">
        <v>8819</v>
      </c>
      <c r="M79" t="s">
        <v>8819</v>
      </c>
      <c r="N79" t="s">
        <v>8820</v>
      </c>
      <c r="O79" t="s">
        <v>8821</v>
      </c>
      <c r="P79" t="s">
        <v>8822</v>
      </c>
      <c r="Q79" t="s">
        <v>8823</v>
      </c>
      <c r="R79" t="s">
        <v>8824</v>
      </c>
      <c r="S79" t="s">
        <v>3447</v>
      </c>
    </row>
    <row r="80" spans="1:19" x14ac:dyDescent="0.2">
      <c r="A80" t="str">
        <f t="shared" si="1"/>
        <v>metab_compid_34428</v>
      </c>
      <c r="B80">
        <v>100001445</v>
      </c>
      <c r="C80">
        <v>305</v>
      </c>
      <c r="D80">
        <v>34428</v>
      </c>
      <c r="E80">
        <v>165178</v>
      </c>
      <c r="F80" t="s">
        <v>3459</v>
      </c>
      <c r="G80" t="s">
        <v>5441</v>
      </c>
      <c r="H80">
        <v>2600</v>
      </c>
      <c r="I80" t="s">
        <v>3438</v>
      </c>
      <c r="J80" t="s">
        <v>6474</v>
      </c>
      <c r="K80" t="s">
        <v>6475</v>
      </c>
      <c r="L80" t="s">
        <v>6476</v>
      </c>
      <c r="M80" t="s">
        <v>6476</v>
      </c>
      <c r="N80" t="s">
        <v>6477</v>
      </c>
      <c r="O80" t="s">
        <v>6478</v>
      </c>
      <c r="P80" t="s">
        <v>6479</v>
      </c>
      <c r="Q80" t="s">
        <v>6480</v>
      </c>
      <c r="R80" t="s">
        <v>6481</v>
      </c>
      <c r="S80" t="s">
        <v>3489</v>
      </c>
    </row>
    <row r="81" spans="1:19" x14ac:dyDescent="0.2">
      <c r="A81" t="str">
        <f t="shared" si="1"/>
        <v>metab_compid_33955</v>
      </c>
      <c r="B81">
        <v>100001263</v>
      </c>
      <c r="C81">
        <v>402</v>
      </c>
      <c r="D81">
        <v>33955</v>
      </c>
      <c r="E81">
        <v>158599</v>
      </c>
      <c r="F81" t="s">
        <v>3459</v>
      </c>
      <c r="G81" t="s">
        <v>5441</v>
      </c>
      <c r="H81">
        <v>2618</v>
      </c>
      <c r="I81" t="s">
        <v>3438</v>
      </c>
      <c r="J81" t="s">
        <v>6058</v>
      </c>
      <c r="K81" t="s">
        <v>6059</v>
      </c>
      <c r="L81" t="s">
        <v>6060</v>
      </c>
      <c r="M81" t="s">
        <v>6060</v>
      </c>
      <c r="N81" t="s">
        <v>6061</v>
      </c>
      <c r="O81" t="s">
        <v>6062</v>
      </c>
      <c r="P81" t="s">
        <v>6063</v>
      </c>
      <c r="Q81" t="s">
        <v>6064</v>
      </c>
      <c r="R81" t="s">
        <v>6065</v>
      </c>
      <c r="S81" t="s">
        <v>3447</v>
      </c>
    </row>
    <row r="82" spans="1:19" x14ac:dyDescent="0.2">
      <c r="A82" t="str">
        <f t="shared" si="1"/>
        <v>metab_compid_35631</v>
      </c>
      <c r="B82">
        <v>100001567</v>
      </c>
      <c r="C82">
        <v>402</v>
      </c>
      <c r="D82">
        <v>35631</v>
      </c>
      <c r="E82">
        <v>158748</v>
      </c>
      <c r="F82" t="s">
        <v>3459</v>
      </c>
      <c r="G82" t="s">
        <v>5441</v>
      </c>
      <c r="H82">
        <v>2680</v>
      </c>
      <c r="I82" t="s">
        <v>3438</v>
      </c>
      <c r="J82" t="s">
        <v>6619</v>
      </c>
      <c r="K82" t="s">
        <v>6620</v>
      </c>
      <c r="L82" t="s">
        <v>6621</v>
      </c>
      <c r="M82" t="s">
        <v>6621</v>
      </c>
      <c r="N82" t="s">
        <v>6622</v>
      </c>
      <c r="O82" t="s">
        <v>6623</v>
      </c>
      <c r="P82" t="s">
        <v>6624</v>
      </c>
      <c r="R82" t="s">
        <v>6625</v>
      </c>
      <c r="S82" t="s">
        <v>3447</v>
      </c>
    </row>
    <row r="83" spans="1:19" x14ac:dyDescent="0.2">
      <c r="A83" t="str">
        <f t="shared" si="1"/>
        <v>metab_compid_45970</v>
      </c>
      <c r="B83">
        <v>100005717</v>
      </c>
      <c r="C83">
        <v>209</v>
      </c>
      <c r="D83">
        <v>45970</v>
      </c>
      <c r="E83">
        <v>144193</v>
      </c>
      <c r="F83" t="s">
        <v>3459</v>
      </c>
      <c r="G83" t="s">
        <v>5441</v>
      </c>
      <c r="H83">
        <v>2726</v>
      </c>
      <c r="I83" t="s">
        <v>3438</v>
      </c>
      <c r="J83" t="s">
        <v>8340</v>
      </c>
      <c r="K83" t="s">
        <v>8341</v>
      </c>
      <c r="L83" t="s">
        <v>8342</v>
      </c>
      <c r="M83" t="s">
        <v>8342</v>
      </c>
      <c r="O83" t="s">
        <v>8343</v>
      </c>
      <c r="P83" t="s">
        <v>8344</v>
      </c>
      <c r="R83" t="s">
        <v>8345</v>
      </c>
      <c r="S83" t="s">
        <v>3469</v>
      </c>
    </row>
    <row r="84" spans="1:19" x14ac:dyDescent="0.2">
      <c r="A84" t="str">
        <f t="shared" si="1"/>
        <v>metab_compid_35305</v>
      </c>
      <c r="B84">
        <v>100001655</v>
      </c>
      <c r="C84">
        <v>209</v>
      </c>
      <c r="D84">
        <v>35305</v>
      </c>
      <c r="E84">
        <v>146820</v>
      </c>
      <c r="F84" t="s">
        <v>3459</v>
      </c>
      <c r="G84" t="s">
        <v>5441</v>
      </c>
      <c r="H84">
        <v>2735</v>
      </c>
      <c r="I84" t="s">
        <v>3438</v>
      </c>
      <c r="J84" t="s">
        <v>6824</v>
      </c>
      <c r="K84" t="s">
        <v>6825</v>
      </c>
      <c r="L84" t="s">
        <v>6826</v>
      </c>
      <c r="M84" t="s">
        <v>6826</v>
      </c>
      <c r="P84" t="s">
        <v>6827</v>
      </c>
      <c r="R84" t="s">
        <v>6828</v>
      </c>
      <c r="S84" t="s">
        <v>3469</v>
      </c>
    </row>
    <row r="85" spans="1:19" x14ac:dyDescent="0.2">
      <c r="A85" t="str">
        <f t="shared" si="1"/>
        <v>metab_compid_21127</v>
      </c>
      <c r="B85">
        <v>100000827</v>
      </c>
      <c r="C85">
        <v>209</v>
      </c>
      <c r="D85">
        <v>21127</v>
      </c>
      <c r="E85">
        <v>126053</v>
      </c>
      <c r="F85" t="s">
        <v>3459</v>
      </c>
      <c r="G85" t="s">
        <v>5418</v>
      </c>
      <c r="H85">
        <v>2870</v>
      </c>
      <c r="I85" t="s">
        <v>3438</v>
      </c>
      <c r="J85" t="s">
        <v>5585</v>
      </c>
      <c r="K85" t="s">
        <v>5586</v>
      </c>
      <c r="L85" t="s">
        <v>5587</v>
      </c>
      <c r="M85" t="s">
        <v>5587</v>
      </c>
      <c r="N85" t="s">
        <v>5588</v>
      </c>
      <c r="O85" t="s">
        <v>5589</v>
      </c>
      <c r="P85" t="s">
        <v>5590</v>
      </c>
      <c r="R85" t="s">
        <v>5591</v>
      </c>
      <c r="S85" t="s">
        <v>3469</v>
      </c>
    </row>
    <row r="86" spans="1:19" x14ac:dyDescent="0.2">
      <c r="A86" t="str">
        <f t="shared" si="1"/>
        <v>metab_compid_61868</v>
      </c>
      <c r="B86">
        <v>100001668</v>
      </c>
      <c r="C86">
        <v>400</v>
      </c>
      <c r="D86">
        <v>61868</v>
      </c>
      <c r="E86">
        <v>218616</v>
      </c>
      <c r="F86" t="s">
        <v>3436</v>
      </c>
      <c r="G86" t="s">
        <v>3906</v>
      </c>
      <c r="H86">
        <v>98</v>
      </c>
      <c r="I86" t="s">
        <v>3438</v>
      </c>
      <c r="J86" t="s">
        <v>6859</v>
      </c>
      <c r="K86" t="s">
        <v>6860</v>
      </c>
      <c r="L86" t="s">
        <v>6861</v>
      </c>
      <c r="M86" t="s">
        <v>6861</v>
      </c>
      <c r="N86" t="s">
        <v>6862</v>
      </c>
      <c r="O86" t="s">
        <v>6863</v>
      </c>
      <c r="P86" t="s">
        <v>6864</v>
      </c>
      <c r="Q86" t="s">
        <v>6865</v>
      </c>
      <c r="R86" t="s">
        <v>6866</v>
      </c>
      <c r="S86" t="s">
        <v>3458</v>
      </c>
    </row>
    <row r="87" spans="1:19" x14ac:dyDescent="0.2">
      <c r="A87" t="str">
        <f t="shared" si="1"/>
        <v>metab_compid_42450</v>
      </c>
      <c r="B87">
        <v>100001869</v>
      </c>
      <c r="C87">
        <v>402</v>
      </c>
      <c r="D87">
        <v>42450</v>
      </c>
      <c r="E87">
        <v>164205</v>
      </c>
      <c r="F87" t="s">
        <v>3459</v>
      </c>
      <c r="G87" t="s">
        <v>5021</v>
      </c>
      <c r="H87">
        <v>2351</v>
      </c>
      <c r="I87" t="s">
        <v>3438</v>
      </c>
      <c r="J87" t="s">
        <v>7061</v>
      </c>
      <c r="K87" t="s">
        <v>7062</v>
      </c>
      <c r="L87" t="s">
        <v>7063</v>
      </c>
      <c r="M87" t="s">
        <v>7063</v>
      </c>
      <c r="N87" t="s">
        <v>7064</v>
      </c>
      <c r="O87" t="s">
        <v>7065</v>
      </c>
      <c r="P87" t="s">
        <v>7066</v>
      </c>
      <c r="R87" t="s">
        <v>7067</v>
      </c>
      <c r="S87" t="s">
        <v>3447</v>
      </c>
    </row>
    <row r="88" spans="1:19" x14ac:dyDescent="0.2">
      <c r="A88" t="str">
        <f t="shared" si="1"/>
        <v>metab_compid_52447</v>
      </c>
      <c r="B88">
        <v>100008977</v>
      </c>
      <c r="C88">
        <v>402</v>
      </c>
      <c r="D88">
        <v>52447</v>
      </c>
      <c r="E88">
        <v>165110</v>
      </c>
      <c r="F88" t="s">
        <v>3459</v>
      </c>
      <c r="G88" t="s">
        <v>5006</v>
      </c>
      <c r="H88">
        <v>2456</v>
      </c>
      <c r="I88" t="s">
        <v>3438</v>
      </c>
      <c r="J88" t="s">
        <v>8917</v>
      </c>
      <c r="K88" t="s">
        <v>8918</v>
      </c>
      <c r="L88" t="s">
        <v>8919</v>
      </c>
      <c r="M88" t="s">
        <v>8919</v>
      </c>
      <c r="O88" t="s">
        <v>8920</v>
      </c>
      <c r="P88" t="s">
        <v>8921</v>
      </c>
      <c r="Q88" t="s">
        <v>8922</v>
      </c>
      <c r="R88" t="s">
        <v>8923</v>
      </c>
      <c r="S88" t="s">
        <v>3447</v>
      </c>
    </row>
    <row r="89" spans="1:19" x14ac:dyDescent="0.2">
      <c r="A89" t="str">
        <f t="shared" si="1"/>
        <v>metab_compid_52449</v>
      </c>
      <c r="B89">
        <v>100000616</v>
      </c>
      <c r="C89">
        <v>402</v>
      </c>
      <c r="D89">
        <v>52449</v>
      </c>
      <c r="E89">
        <v>208070</v>
      </c>
      <c r="F89" t="s">
        <v>3459</v>
      </c>
      <c r="G89" t="s">
        <v>5014</v>
      </c>
      <c r="H89">
        <v>2574</v>
      </c>
      <c r="I89" t="s">
        <v>3438</v>
      </c>
      <c r="J89" t="s">
        <v>5427</v>
      </c>
      <c r="K89" t="s">
        <v>5428</v>
      </c>
      <c r="L89" t="s">
        <v>5429</v>
      </c>
      <c r="M89" t="s">
        <v>5429</v>
      </c>
      <c r="N89" t="s">
        <v>5430</v>
      </c>
      <c r="O89" t="s">
        <v>5431</v>
      </c>
      <c r="P89" t="s">
        <v>5432</v>
      </c>
      <c r="S89" t="s">
        <v>3447</v>
      </c>
    </row>
    <row r="90" spans="1:19" x14ac:dyDescent="0.2">
      <c r="A90" t="str">
        <f t="shared" si="1"/>
        <v>metab_compid_52611</v>
      </c>
      <c r="B90">
        <v>100008916</v>
      </c>
      <c r="C90">
        <v>402</v>
      </c>
      <c r="D90">
        <v>52611</v>
      </c>
      <c r="E90">
        <v>165343</v>
      </c>
      <c r="F90" t="s">
        <v>3459</v>
      </c>
      <c r="G90" t="s">
        <v>5021</v>
      </c>
      <c r="H90">
        <v>2357</v>
      </c>
      <c r="I90" t="s">
        <v>3438</v>
      </c>
      <c r="J90" t="s">
        <v>8797</v>
      </c>
      <c r="K90" t="s">
        <v>8798</v>
      </c>
      <c r="L90" t="s">
        <v>8799</v>
      </c>
      <c r="M90" t="s">
        <v>8799</v>
      </c>
      <c r="N90" t="s">
        <v>8800</v>
      </c>
      <c r="P90" t="s">
        <v>8801</v>
      </c>
      <c r="R90" t="s">
        <v>8802</v>
      </c>
      <c r="S90" t="s">
        <v>3447</v>
      </c>
    </row>
    <row r="91" spans="1:19" x14ac:dyDescent="0.2">
      <c r="A91" t="str">
        <f t="shared" si="1"/>
        <v>metab_compid_52466</v>
      </c>
      <c r="B91">
        <v>100008992</v>
      </c>
      <c r="C91">
        <v>402</v>
      </c>
      <c r="D91">
        <v>52466</v>
      </c>
      <c r="E91">
        <v>165134</v>
      </c>
      <c r="F91" t="s">
        <v>3459</v>
      </c>
      <c r="G91" t="s">
        <v>5006</v>
      </c>
      <c r="H91">
        <v>2460</v>
      </c>
      <c r="I91" t="s">
        <v>3438</v>
      </c>
      <c r="J91" t="s">
        <v>8949</v>
      </c>
      <c r="K91" t="s">
        <v>8950</v>
      </c>
      <c r="L91" t="s">
        <v>8951</v>
      </c>
      <c r="M91" t="s">
        <v>8951</v>
      </c>
      <c r="O91" t="s">
        <v>8952</v>
      </c>
      <c r="P91" t="s">
        <v>8953</v>
      </c>
      <c r="R91" t="s">
        <v>8954</v>
      </c>
      <c r="S91" t="s">
        <v>3447</v>
      </c>
    </row>
    <row r="92" spans="1:19" x14ac:dyDescent="0.2">
      <c r="A92" t="str">
        <f t="shared" si="1"/>
        <v>metab_compid_52452</v>
      </c>
      <c r="B92">
        <v>100008980</v>
      </c>
      <c r="C92">
        <v>402</v>
      </c>
      <c r="D92">
        <v>52452</v>
      </c>
      <c r="E92">
        <v>165115</v>
      </c>
      <c r="F92" t="s">
        <v>3459</v>
      </c>
      <c r="G92" t="s">
        <v>5021</v>
      </c>
      <c r="H92">
        <v>2343</v>
      </c>
      <c r="I92" t="s">
        <v>3438</v>
      </c>
      <c r="J92" t="s">
        <v>8924</v>
      </c>
      <c r="K92" t="s">
        <v>8925</v>
      </c>
      <c r="L92" t="s">
        <v>8926</v>
      </c>
      <c r="M92" t="s">
        <v>8926</v>
      </c>
      <c r="P92" t="s">
        <v>8927</v>
      </c>
      <c r="R92" t="s">
        <v>8928</v>
      </c>
      <c r="S92" t="s">
        <v>3447</v>
      </c>
    </row>
    <row r="93" spans="1:19" x14ac:dyDescent="0.2">
      <c r="A93" t="str">
        <f t="shared" si="1"/>
        <v>metab_compid_52446</v>
      </c>
      <c r="B93">
        <v>100008976</v>
      </c>
      <c r="C93">
        <v>402</v>
      </c>
      <c r="D93">
        <v>52446</v>
      </c>
      <c r="E93">
        <v>165108</v>
      </c>
      <c r="F93" t="s">
        <v>3459</v>
      </c>
      <c r="G93" t="s">
        <v>5006</v>
      </c>
      <c r="H93">
        <v>2447</v>
      </c>
      <c r="I93" t="s">
        <v>3438</v>
      </c>
      <c r="J93" t="s">
        <v>8911</v>
      </c>
      <c r="K93" t="s">
        <v>8912</v>
      </c>
      <c r="L93" t="s">
        <v>8913</v>
      </c>
      <c r="M93" t="s">
        <v>8913</v>
      </c>
      <c r="O93" t="s">
        <v>8914</v>
      </c>
      <c r="P93" t="s">
        <v>8915</v>
      </c>
      <c r="R93" t="s">
        <v>8916</v>
      </c>
      <c r="S93" t="s">
        <v>3447</v>
      </c>
    </row>
    <row r="94" spans="1:19" x14ac:dyDescent="0.2">
      <c r="A94" t="str">
        <f t="shared" si="1"/>
        <v>metab_compid_52468</v>
      </c>
      <c r="B94">
        <v>100008994</v>
      </c>
      <c r="C94">
        <v>402</v>
      </c>
      <c r="D94">
        <v>52468</v>
      </c>
      <c r="E94">
        <v>208084</v>
      </c>
      <c r="F94" t="s">
        <v>3459</v>
      </c>
      <c r="G94" t="s">
        <v>5014</v>
      </c>
      <c r="H94">
        <v>2561</v>
      </c>
      <c r="I94" t="s">
        <v>3438</v>
      </c>
      <c r="J94" t="s">
        <v>8960</v>
      </c>
      <c r="K94" t="s">
        <v>8961</v>
      </c>
      <c r="L94" t="s">
        <v>8962</v>
      </c>
      <c r="M94" t="s">
        <v>8962</v>
      </c>
      <c r="O94" t="s">
        <v>8963</v>
      </c>
      <c r="P94" t="s">
        <v>8964</v>
      </c>
      <c r="S94" t="s">
        <v>3447</v>
      </c>
    </row>
    <row r="95" spans="1:19" x14ac:dyDescent="0.2">
      <c r="A95" t="str">
        <f t="shared" si="1"/>
        <v>metab_compid_52438</v>
      </c>
      <c r="B95">
        <v>100008904</v>
      </c>
      <c r="C95">
        <v>402</v>
      </c>
      <c r="D95">
        <v>52438</v>
      </c>
      <c r="E95">
        <v>164562</v>
      </c>
      <c r="F95" t="s">
        <v>3459</v>
      </c>
      <c r="G95" t="s">
        <v>5021</v>
      </c>
      <c r="H95">
        <v>2340</v>
      </c>
      <c r="I95" t="s">
        <v>3438</v>
      </c>
      <c r="J95" t="s">
        <v>8776</v>
      </c>
      <c r="K95" t="s">
        <v>8777</v>
      </c>
      <c r="L95" t="s">
        <v>8778</v>
      </c>
      <c r="M95" t="s">
        <v>8778</v>
      </c>
      <c r="N95" t="s">
        <v>8779</v>
      </c>
      <c r="O95" t="s">
        <v>8780</v>
      </c>
      <c r="P95" t="s">
        <v>8781</v>
      </c>
      <c r="R95" t="s">
        <v>8782</v>
      </c>
      <c r="S95" t="s">
        <v>3447</v>
      </c>
    </row>
    <row r="96" spans="1:19" x14ac:dyDescent="0.2">
      <c r="A96" t="str">
        <f t="shared" si="1"/>
        <v>metab_compid_42448</v>
      </c>
      <c r="B96">
        <v>100001856</v>
      </c>
      <c r="C96">
        <v>402</v>
      </c>
      <c r="D96">
        <v>42448</v>
      </c>
      <c r="E96">
        <v>164202</v>
      </c>
      <c r="F96" t="s">
        <v>3459</v>
      </c>
      <c r="G96" t="s">
        <v>5006</v>
      </c>
      <c r="H96">
        <v>2443</v>
      </c>
      <c r="I96" t="s">
        <v>3438</v>
      </c>
      <c r="J96" t="s">
        <v>7045</v>
      </c>
      <c r="K96" t="s">
        <v>7046</v>
      </c>
      <c r="L96" t="s">
        <v>7047</v>
      </c>
      <c r="M96" t="s">
        <v>7047</v>
      </c>
      <c r="P96" t="s">
        <v>7048</v>
      </c>
      <c r="R96" t="s">
        <v>7049</v>
      </c>
      <c r="S96" t="s">
        <v>3447</v>
      </c>
    </row>
    <row r="97" spans="1:19" x14ac:dyDescent="0.2">
      <c r="A97" t="str">
        <f t="shared" si="1"/>
        <v>metab_compid_33961</v>
      </c>
      <c r="B97">
        <v>100001271</v>
      </c>
      <c r="C97">
        <v>402</v>
      </c>
      <c r="D97">
        <v>33961</v>
      </c>
      <c r="E97">
        <v>158603</v>
      </c>
      <c r="F97" t="s">
        <v>3459</v>
      </c>
      <c r="G97" t="s">
        <v>5441</v>
      </c>
      <c r="H97">
        <v>2629</v>
      </c>
      <c r="I97" t="s">
        <v>3438</v>
      </c>
      <c r="J97" t="s">
        <v>6089</v>
      </c>
      <c r="K97" t="s">
        <v>6090</v>
      </c>
      <c r="L97" t="s">
        <v>6091</v>
      </c>
      <c r="M97" t="s">
        <v>6091</v>
      </c>
      <c r="N97" t="s">
        <v>6092</v>
      </c>
      <c r="O97" t="s">
        <v>6093</v>
      </c>
      <c r="P97" t="s">
        <v>6094</v>
      </c>
      <c r="R97" t="s">
        <v>6095</v>
      </c>
      <c r="S97" t="s">
        <v>3447</v>
      </c>
    </row>
    <row r="98" spans="1:19" x14ac:dyDescent="0.2">
      <c r="A98" t="str">
        <f t="shared" si="1"/>
        <v>metab_compid_42398</v>
      </c>
      <c r="B98">
        <v>100001461</v>
      </c>
      <c r="C98">
        <v>402</v>
      </c>
      <c r="D98">
        <v>42398</v>
      </c>
      <c r="E98">
        <v>159466</v>
      </c>
      <c r="F98" t="s">
        <v>3459</v>
      </c>
      <c r="G98" t="s">
        <v>5441</v>
      </c>
      <c r="H98">
        <v>2687</v>
      </c>
      <c r="I98" t="s">
        <v>3438</v>
      </c>
      <c r="J98" t="s">
        <v>6504</v>
      </c>
      <c r="K98" t="s">
        <v>6505</v>
      </c>
      <c r="L98" t="s">
        <v>6506</v>
      </c>
      <c r="M98" t="s">
        <v>6506</v>
      </c>
      <c r="N98" t="s">
        <v>6507</v>
      </c>
      <c r="O98" t="s">
        <v>6508</v>
      </c>
      <c r="P98" t="s">
        <v>6509</v>
      </c>
      <c r="R98" t="s">
        <v>6510</v>
      </c>
      <c r="S98" t="s">
        <v>3447</v>
      </c>
    </row>
    <row r="99" spans="1:19" x14ac:dyDescent="0.2">
      <c r="A99" t="str">
        <f t="shared" si="1"/>
        <v>metab_compid_34437</v>
      </c>
      <c r="B99">
        <v>100001462</v>
      </c>
      <c r="C99">
        <v>209</v>
      </c>
      <c r="D99">
        <v>34437</v>
      </c>
      <c r="E99">
        <v>126952</v>
      </c>
      <c r="F99" t="s">
        <v>3459</v>
      </c>
      <c r="G99" t="s">
        <v>5441</v>
      </c>
      <c r="H99">
        <v>2729</v>
      </c>
      <c r="I99" t="s">
        <v>3438</v>
      </c>
      <c r="J99" t="s">
        <v>6511</v>
      </c>
      <c r="K99" t="s">
        <v>6512</v>
      </c>
      <c r="L99" t="s">
        <v>6513</v>
      </c>
      <c r="M99" t="s">
        <v>6513</v>
      </c>
      <c r="O99" t="s">
        <v>6514</v>
      </c>
      <c r="S99" t="s">
        <v>3469</v>
      </c>
    </row>
    <row r="100" spans="1:19" x14ac:dyDescent="0.2">
      <c r="A100" t="str">
        <f t="shared" si="1"/>
        <v>metab_compid_19324</v>
      </c>
      <c r="B100">
        <v>100000656</v>
      </c>
      <c r="C100">
        <v>209</v>
      </c>
      <c r="D100">
        <v>19324</v>
      </c>
      <c r="E100">
        <v>128173</v>
      </c>
      <c r="F100" t="s">
        <v>3459</v>
      </c>
      <c r="G100" t="s">
        <v>5441</v>
      </c>
      <c r="H100">
        <v>2739</v>
      </c>
      <c r="I100" t="s">
        <v>3438</v>
      </c>
      <c r="J100" t="s">
        <v>5442</v>
      </c>
      <c r="K100" t="s">
        <v>5443</v>
      </c>
      <c r="L100" t="s">
        <v>5444</v>
      </c>
      <c r="M100" t="s">
        <v>5444</v>
      </c>
      <c r="N100" t="s">
        <v>5445</v>
      </c>
      <c r="O100" t="s">
        <v>5446</v>
      </c>
      <c r="P100" t="s">
        <v>5447</v>
      </c>
      <c r="R100" t="s">
        <v>5448</v>
      </c>
      <c r="S100" t="s">
        <v>3469</v>
      </c>
    </row>
    <row r="101" spans="1:19" x14ac:dyDescent="0.2">
      <c r="A101" t="str">
        <f t="shared" si="1"/>
        <v>metab_compid_45966</v>
      </c>
      <c r="B101">
        <v>100004327</v>
      </c>
      <c r="C101">
        <v>209</v>
      </c>
      <c r="D101">
        <v>45966</v>
      </c>
      <c r="E101">
        <v>148646</v>
      </c>
      <c r="F101" t="s">
        <v>3459</v>
      </c>
      <c r="G101" t="s">
        <v>5441</v>
      </c>
      <c r="H101">
        <v>2720</v>
      </c>
      <c r="I101" t="s">
        <v>3438</v>
      </c>
      <c r="J101" t="s">
        <v>8185</v>
      </c>
      <c r="K101" t="s">
        <v>8186</v>
      </c>
      <c r="L101" t="s">
        <v>8187</v>
      </c>
      <c r="M101" t="s">
        <v>8187</v>
      </c>
      <c r="O101" t="s">
        <v>8188</v>
      </c>
      <c r="P101" t="s">
        <v>8189</v>
      </c>
      <c r="R101" t="s">
        <v>8190</v>
      </c>
      <c r="S101" t="s">
        <v>3469</v>
      </c>
    </row>
    <row r="102" spans="1:19" x14ac:dyDescent="0.2">
      <c r="A102" t="str">
        <f t="shared" si="1"/>
        <v>metab_compid_52603</v>
      </c>
      <c r="B102">
        <v>100008903</v>
      </c>
      <c r="C102">
        <v>402</v>
      </c>
      <c r="D102">
        <v>52603</v>
      </c>
      <c r="E102">
        <v>165331</v>
      </c>
      <c r="F102" t="s">
        <v>3459</v>
      </c>
      <c r="G102" t="s">
        <v>5021</v>
      </c>
      <c r="H102">
        <v>2377</v>
      </c>
      <c r="I102" t="s">
        <v>3438</v>
      </c>
      <c r="J102" t="s">
        <v>8769</v>
      </c>
      <c r="K102" t="s">
        <v>8770</v>
      </c>
      <c r="L102" t="s">
        <v>8771</v>
      </c>
      <c r="M102" t="s">
        <v>8771</v>
      </c>
      <c r="N102" t="s">
        <v>8772</v>
      </c>
      <c r="O102" t="s">
        <v>8773</v>
      </c>
      <c r="P102" t="s">
        <v>8774</v>
      </c>
      <c r="R102" t="s">
        <v>8775</v>
      </c>
      <c r="S102" t="s">
        <v>3447</v>
      </c>
    </row>
    <row r="103" spans="1:19" x14ac:dyDescent="0.2">
      <c r="A103" t="str">
        <f t="shared" si="1"/>
        <v>metab_compid_19130</v>
      </c>
      <c r="B103">
        <v>100000657</v>
      </c>
      <c r="C103">
        <v>402</v>
      </c>
      <c r="D103">
        <v>19130</v>
      </c>
      <c r="E103">
        <v>164201</v>
      </c>
      <c r="F103" t="s">
        <v>3459</v>
      </c>
      <c r="G103" t="s">
        <v>5021</v>
      </c>
      <c r="H103">
        <v>2296</v>
      </c>
      <c r="I103" t="s">
        <v>3438</v>
      </c>
      <c r="J103" t="s">
        <v>5449</v>
      </c>
      <c r="K103" t="s">
        <v>5450</v>
      </c>
      <c r="L103" t="s">
        <v>5451</v>
      </c>
      <c r="M103" t="s">
        <v>5451</v>
      </c>
      <c r="N103" t="s">
        <v>5452</v>
      </c>
      <c r="O103" t="s">
        <v>5453</v>
      </c>
      <c r="P103" t="s">
        <v>5454</v>
      </c>
      <c r="Q103" t="s">
        <v>5455</v>
      </c>
      <c r="R103" t="s">
        <v>5456</v>
      </c>
      <c r="S103" t="s">
        <v>3447</v>
      </c>
    </row>
    <row r="104" spans="1:19" x14ac:dyDescent="0.2">
      <c r="A104" t="str">
        <f t="shared" si="1"/>
        <v>metab_compid_48762</v>
      </c>
      <c r="B104">
        <v>100006374</v>
      </c>
      <c r="C104">
        <v>209</v>
      </c>
      <c r="D104">
        <v>48762</v>
      </c>
      <c r="E104">
        <v>155125</v>
      </c>
      <c r="F104" t="s">
        <v>3863</v>
      </c>
      <c r="G104" t="s">
        <v>5632</v>
      </c>
      <c r="H104">
        <v>6249</v>
      </c>
      <c r="I104" t="s">
        <v>3438</v>
      </c>
      <c r="J104" t="s">
        <v>8654</v>
      </c>
      <c r="K104" t="s">
        <v>8655</v>
      </c>
      <c r="L104" t="s">
        <v>8656</v>
      </c>
      <c r="M104" t="s">
        <v>8656</v>
      </c>
      <c r="P104" t="s">
        <v>8657</v>
      </c>
      <c r="R104" t="s">
        <v>8658</v>
      </c>
      <c r="S104" t="s">
        <v>3469</v>
      </c>
    </row>
    <row r="105" spans="1:19" x14ac:dyDescent="0.2">
      <c r="A105" t="str">
        <f t="shared" si="1"/>
        <v>metab_compid_32391</v>
      </c>
      <c r="B105">
        <v>100001106</v>
      </c>
      <c r="C105">
        <v>209</v>
      </c>
      <c r="D105">
        <v>32391</v>
      </c>
      <c r="E105">
        <v>125804</v>
      </c>
      <c r="F105" t="s">
        <v>3863</v>
      </c>
      <c r="G105" t="s">
        <v>4373</v>
      </c>
      <c r="H105">
        <v>4618</v>
      </c>
      <c r="I105" t="s">
        <v>3438</v>
      </c>
      <c r="J105" t="s">
        <v>5836</v>
      </c>
      <c r="K105" t="s">
        <v>5837</v>
      </c>
      <c r="L105" t="s">
        <v>5838</v>
      </c>
      <c r="M105" t="s">
        <v>5838</v>
      </c>
      <c r="N105" t="s">
        <v>5839</v>
      </c>
      <c r="O105" t="s">
        <v>5840</v>
      </c>
      <c r="P105" t="s">
        <v>5841</v>
      </c>
      <c r="R105" t="s">
        <v>5842</v>
      </c>
      <c r="S105" t="s">
        <v>3469</v>
      </c>
    </row>
    <row r="106" spans="1:19" x14ac:dyDescent="0.2">
      <c r="A106" t="str">
        <f t="shared" si="1"/>
        <v>metab_compid_34404</v>
      </c>
      <c r="B106">
        <v>100001397</v>
      </c>
      <c r="C106">
        <v>209</v>
      </c>
      <c r="D106">
        <v>34404</v>
      </c>
      <c r="E106">
        <v>126930</v>
      </c>
      <c r="F106" t="s">
        <v>3863</v>
      </c>
      <c r="G106" t="s">
        <v>4373</v>
      </c>
      <c r="H106">
        <v>4621</v>
      </c>
      <c r="I106" t="s">
        <v>3438</v>
      </c>
      <c r="J106" t="s">
        <v>6331</v>
      </c>
      <c r="K106" t="s">
        <v>6332</v>
      </c>
      <c r="L106" t="s">
        <v>6333</v>
      </c>
      <c r="M106" t="s">
        <v>6333</v>
      </c>
      <c r="N106" t="s">
        <v>6334</v>
      </c>
      <c r="O106" t="s">
        <v>6335</v>
      </c>
      <c r="P106" t="s">
        <v>6336</v>
      </c>
      <c r="Q106" t="s">
        <v>6337</v>
      </c>
      <c r="R106" t="s">
        <v>6338</v>
      </c>
      <c r="S106" t="s">
        <v>3469</v>
      </c>
    </row>
    <row r="107" spans="1:19" x14ac:dyDescent="0.2">
      <c r="A107" t="str">
        <f t="shared" si="1"/>
        <v>metab_compid_20675</v>
      </c>
      <c r="B107">
        <v>100000580</v>
      </c>
      <c r="C107">
        <v>209</v>
      </c>
      <c r="D107">
        <v>20675</v>
      </c>
      <c r="E107">
        <v>123293</v>
      </c>
      <c r="F107" t="s">
        <v>3977</v>
      </c>
      <c r="G107" t="s">
        <v>4084</v>
      </c>
      <c r="H107">
        <v>1237</v>
      </c>
      <c r="I107" t="s">
        <v>3438</v>
      </c>
      <c r="J107" t="s">
        <v>5411</v>
      </c>
      <c r="K107" t="s">
        <v>5412</v>
      </c>
      <c r="L107" t="s">
        <v>5413</v>
      </c>
      <c r="M107" t="s">
        <v>5413</v>
      </c>
      <c r="N107" t="s">
        <v>5414</v>
      </c>
      <c r="P107" t="s">
        <v>5415</v>
      </c>
      <c r="Q107" t="s">
        <v>5416</v>
      </c>
      <c r="R107" t="s">
        <v>5417</v>
      </c>
      <c r="S107" t="s">
        <v>3469</v>
      </c>
    </row>
    <row r="108" spans="1:19" x14ac:dyDescent="0.2">
      <c r="A108" t="str">
        <f t="shared" si="1"/>
        <v>metab_compid_34400</v>
      </c>
      <c r="B108">
        <v>100001399</v>
      </c>
      <c r="C108">
        <v>209</v>
      </c>
      <c r="D108">
        <v>34400</v>
      </c>
      <c r="E108">
        <v>126924</v>
      </c>
      <c r="F108" t="s">
        <v>3863</v>
      </c>
      <c r="G108" t="s">
        <v>4373</v>
      </c>
      <c r="H108">
        <v>4619</v>
      </c>
      <c r="I108" t="s">
        <v>3438</v>
      </c>
      <c r="J108" t="s">
        <v>6347</v>
      </c>
      <c r="K108" t="s">
        <v>6348</v>
      </c>
      <c r="L108" t="s">
        <v>6349</v>
      </c>
      <c r="M108" t="s">
        <v>6349</v>
      </c>
      <c r="N108" t="s">
        <v>6350</v>
      </c>
      <c r="O108" t="s">
        <v>6351</v>
      </c>
      <c r="P108" t="s">
        <v>6352</v>
      </c>
      <c r="Q108" t="s">
        <v>6353</v>
      </c>
      <c r="R108" t="s">
        <v>6354</v>
      </c>
      <c r="S108" t="s">
        <v>3469</v>
      </c>
    </row>
    <row r="109" spans="1:19" x14ac:dyDescent="0.2">
      <c r="A109" t="str">
        <f t="shared" si="1"/>
        <v>metab_compid_33971</v>
      </c>
      <c r="B109">
        <v>100001278</v>
      </c>
      <c r="C109">
        <v>209</v>
      </c>
      <c r="D109">
        <v>33971</v>
      </c>
      <c r="E109">
        <v>126129</v>
      </c>
      <c r="F109" t="s">
        <v>3459</v>
      </c>
      <c r="G109" t="s">
        <v>4059</v>
      </c>
      <c r="H109">
        <v>1549</v>
      </c>
      <c r="I109" t="s">
        <v>3438</v>
      </c>
      <c r="J109" t="s">
        <v>6125</v>
      </c>
      <c r="K109" t="s">
        <v>6126</v>
      </c>
      <c r="L109" t="s">
        <v>6127</v>
      </c>
      <c r="M109" t="s">
        <v>6127</v>
      </c>
      <c r="N109" t="s">
        <v>6128</v>
      </c>
      <c r="O109" t="s">
        <v>6129</v>
      </c>
      <c r="P109" t="s">
        <v>6130</v>
      </c>
      <c r="R109" t="s">
        <v>6131</v>
      </c>
      <c r="S109" t="s">
        <v>3469</v>
      </c>
    </row>
    <row r="110" spans="1:19" x14ac:dyDescent="0.2">
      <c r="A110" t="str">
        <f t="shared" si="1"/>
        <v>metab_compid_62970</v>
      </c>
      <c r="B110">
        <v>100020811</v>
      </c>
      <c r="C110">
        <v>209</v>
      </c>
      <c r="D110">
        <v>62970</v>
      </c>
      <c r="E110">
        <v>221490</v>
      </c>
      <c r="F110" t="s">
        <v>3863</v>
      </c>
      <c r="G110" t="s">
        <v>7216</v>
      </c>
      <c r="H110">
        <v>5694</v>
      </c>
      <c r="I110" t="s">
        <v>3438</v>
      </c>
      <c r="J110" t="s">
        <v>9870</v>
      </c>
      <c r="K110" t="s">
        <v>9871</v>
      </c>
      <c r="L110" t="s">
        <v>9872</v>
      </c>
      <c r="M110" t="s">
        <v>9872</v>
      </c>
      <c r="O110" t="s">
        <v>9873</v>
      </c>
      <c r="P110" t="s">
        <v>9874</v>
      </c>
      <c r="R110" t="s">
        <v>9875</v>
      </c>
      <c r="S110" t="s">
        <v>3469</v>
      </c>
    </row>
    <row r="111" spans="1:19" x14ac:dyDescent="0.2">
      <c r="A111" t="str">
        <f t="shared" si="1"/>
        <v>metab_compid_33972</v>
      </c>
      <c r="B111">
        <v>100001277</v>
      </c>
      <c r="C111">
        <v>209</v>
      </c>
      <c r="D111">
        <v>33972</v>
      </c>
      <c r="E111">
        <v>126131</v>
      </c>
      <c r="F111" t="s">
        <v>3459</v>
      </c>
      <c r="G111" t="s">
        <v>4059</v>
      </c>
      <c r="H111">
        <v>1558</v>
      </c>
      <c r="I111" t="s">
        <v>3438</v>
      </c>
      <c r="J111" t="s">
        <v>6118</v>
      </c>
      <c r="K111" t="s">
        <v>6119</v>
      </c>
      <c r="L111" t="s">
        <v>6120</v>
      </c>
      <c r="M111" t="s">
        <v>6120</v>
      </c>
      <c r="N111" t="s">
        <v>6121</v>
      </c>
      <c r="O111" t="s">
        <v>6122</v>
      </c>
      <c r="P111" t="s">
        <v>6123</v>
      </c>
      <c r="R111" t="s">
        <v>6124</v>
      </c>
      <c r="S111" t="s">
        <v>3469</v>
      </c>
    </row>
    <row r="112" spans="1:19" x14ac:dyDescent="0.2">
      <c r="A112" t="str">
        <f t="shared" si="1"/>
        <v>metab_compid_32497</v>
      </c>
      <c r="B112">
        <v>100001197</v>
      </c>
      <c r="C112">
        <v>209</v>
      </c>
      <c r="D112">
        <v>32497</v>
      </c>
      <c r="E112">
        <v>125854</v>
      </c>
      <c r="F112" t="s">
        <v>3459</v>
      </c>
      <c r="G112" t="s">
        <v>3569</v>
      </c>
      <c r="H112">
        <v>1518</v>
      </c>
      <c r="I112" t="s">
        <v>3438</v>
      </c>
      <c r="J112" t="s">
        <v>5950</v>
      </c>
      <c r="K112" t="s">
        <v>5951</v>
      </c>
      <c r="L112" t="s">
        <v>5952</v>
      </c>
      <c r="M112" t="s">
        <v>5952</v>
      </c>
      <c r="N112" t="s">
        <v>5953</v>
      </c>
      <c r="O112" t="s">
        <v>5954</v>
      </c>
      <c r="P112" t="s">
        <v>5955</v>
      </c>
      <c r="Q112" t="s">
        <v>5956</v>
      </c>
      <c r="R112" t="s">
        <v>5957</v>
      </c>
      <c r="S112" t="s">
        <v>3469</v>
      </c>
    </row>
    <row r="113" spans="1:19" x14ac:dyDescent="0.2">
      <c r="A113" t="str">
        <f t="shared" si="1"/>
        <v>metab_compid_47135</v>
      </c>
      <c r="B113">
        <v>100005402</v>
      </c>
      <c r="C113">
        <v>209</v>
      </c>
      <c r="D113">
        <v>47135</v>
      </c>
      <c r="E113">
        <v>149413</v>
      </c>
      <c r="F113" t="s">
        <v>3459</v>
      </c>
      <c r="G113" t="s">
        <v>5559</v>
      </c>
      <c r="H113">
        <v>3356</v>
      </c>
      <c r="I113" t="s">
        <v>3438</v>
      </c>
      <c r="J113" t="s">
        <v>8316</v>
      </c>
      <c r="K113" t="s">
        <v>8317</v>
      </c>
      <c r="L113" t="s">
        <v>8318</v>
      </c>
      <c r="M113" t="s">
        <v>8318</v>
      </c>
      <c r="N113" t="s">
        <v>8319</v>
      </c>
      <c r="S113" t="s">
        <v>3469</v>
      </c>
    </row>
    <row r="114" spans="1:19" x14ac:dyDescent="0.2">
      <c r="A114" t="str">
        <f t="shared" si="1"/>
        <v>metab_compid_63251</v>
      </c>
      <c r="B114">
        <v>100020541</v>
      </c>
      <c r="C114">
        <v>209</v>
      </c>
      <c r="D114">
        <v>63251</v>
      </c>
      <c r="E114">
        <v>222126</v>
      </c>
      <c r="F114" t="s">
        <v>3459</v>
      </c>
      <c r="G114" t="s">
        <v>5559</v>
      </c>
      <c r="H114">
        <v>3421</v>
      </c>
      <c r="I114" t="s">
        <v>3438</v>
      </c>
      <c r="J114" t="s">
        <v>9799</v>
      </c>
      <c r="K114" t="s">
        <v>9800</v>
      </c>
      <c r="L114" t="s">
        <v>9801</v>
      </c>
      <c r="M114" t="s">
        <v>9801</v>
      </c>
      <c r="P114" t="s">
        <v>9802</v>
      </c>
      <c r="S114" t="s">
        <v>3469</v>
      </c>
    </row>
    <row r="115" spans="1:19" x14ac:dyDescent="0.2">
      <c r="A115" t="str">
        <f t="shared" si="1"/>
        <v>metab_compid_64418</v>
      </c>
      <c r="B115">
        <v>100020542</v>
      </c>
      <c r="C115">
        <v>209</v>
      </c>
      <c r="D115">
        <v>64418</v>
      </c>
      <c r="E115">
        <v>237607</v>
      </c>
      <c r="F115" t="s">
        <v>3459</v>
      </c>
      <c r="G115" t="s">
        <v>5559</v>
      </c>
      <c r="H115">
        <v>3377</v>
      </c>
      <c r="I115" t="s">
        <v>3438</v>
      </c>
      <c r="J115" t="s">
        <v>9803</v>
      </c>
      <c r="K115" t="s">
        <v>9804</v>
      </c>
      <c r="L115" t="s">
        <v>9805</v>
      </c>
      <c r="M115" t="s">
        <v>9805</v>
      </c>
      <c r="N115" t="s">
        <v>9806</v>
      </c>
      <c r="S115" t="s">
        <v>3469</v>
      </c>
    </row>
    <row r="116" spans="1:19" x14ac:dyDescent="0.2">
      <c r="A116" t="str">
        <f t="shared" si="1"/>
        <v>metab_compid_37536</v>
      </c>
      <c r="B116">
        <v>100002167</v>
      </c>
      <c r="C116">
        <v>209</v>
      </c>
      <c r="D116">
        <v>37536</v>
      </c>
      <c r="E116">
        <v>143754</v>
      </c>
      <c r="F116" t="s">
        <v>3459</v>
      </c>
      <c r="G116" t="s">
        <v>4910</v>
      </c>
      <c r="H116">
        <v>2159</v>
      </c>
      <c r="I116" t="s">
        <v>3438</v>
      </c>
      <c r="J116" t="s">
        <v>7324</v>
      </c>
      <c r="K116" t="s">
        <v>7325</v>
      </c>
      <c r="L116" t="s">
        <v>7326</v>
      </c>
      <c r="M116" t="s">
        <v>7326</v>
      </c>
      <c r="N116" t="s">
        <v>7327</v>
      </c>
      <c r="O116" t="s">
        <v>7328</v>
      </c>
      <c r="P116" t="s">
        <v>7329</v>
      </c>
      <c r="Q116" t="s">
        <v>7330</v>
      </c>
      <c r="R116" t="s">
        <v>7331</v>
      </c>
      <c r="S116" t="s">
        <v>3469</v>
      </c>
    </row>
    <row r="117" spans="1:19" x14ac:dyDescent="0.2">
      <c r="A117" t="str">
        <f t="shared" si="1"/>
        <v>metab_compid_57393</v>
      </c>
      <c r="B117">
        <v>1261</v>
      </c>
      <c r="C117">
        <v>209</v>
      </c>
      <c r="D117">
        <v>57393</v>
      </c>
      <c r="E117">
        <v>210941</v>
      </c>
      <c r="F117" t="s">
        <v>3459</v>
      </c>
      <c r="G117" t="s">
        <v>4910</v>
      </c>
      <c r="H117">
        <v>2166</v>
      </c>
      <c r="I117" t="s">
        <v>3438</v>
      </c>
      <c r="J117" t="s">
        <v>4911</v>
      </c>
      <c r="K117" t="s">
        <v>4912</v>
      </c>
      <c r="L117" t="s">
        <v>4913</v>
      </c>
      <c r="M117" t="s">
        <v>4913</v>
      </c>
      <c r="N117" t="s">
        <v>4914</v>
      </c>
      <c r="O117" t="s">
        <v>4915</v>
      </c>
      <c r="P117" t="s">
        <v>4916</v>
      </c>
      <c r="Q117" t="s">
        <v>4917</v>
      </c>
      <c r="R117" t="s">
        <v>4918</v>
      </c>
      <c r="S117" t="s">
        <v>3469</v>
      </c>
    </row>
    <row r="118" spans="1:19" x14ac:dyDescent="0.2">
      <c r="A118" t="str">
        <f t="shared" si="1"/>
        <v>metab_compid_38395</v>
      </c>
      <c r="B118">
        <v>62</v>
      </c>
      <c r="C118">
        <v>209</v>
      </c>
      <c r="D118">
        <v>38395</v>
      </c>
      <c r="E118">
        <v>143675</v>
      </c>
      <c r="F118" t="s">
        <v>3459</v>
      </c>
      <c r="G118" t="s">
        <v>3460</v>
      </c>
      <c r="H118">
        <v>2048</v>
      </c>
      <c r="I118" t="s">
        <v>3438</v>
      </c>
      <c r="J118" t="s">
        <v>3461</v>
      </c>
      <c r="K118" t="s">
        <v>3462</v>
      </c>
      <c r="L118" t="s">
        <v>3463</v>
      </c>
      <c r="M118" t="s">
        <v>3463</v>
      </c>
      <c r="N118" t="s">
        <v>3464</v>
      </c>
      <c r="O118" t="s">
        <v>3465</v>
      </c>
      <c r="P118" t="s">
        <v>3466</v>
      </c>
      <c r="Q118" t="s">
        <v>3467</v>
      </c>
      <c r="R118" t="s">
        <v>3468</v>
      </c>
      <c r="S118" t="s">
        <v>3469</v>
      </c>
    </row>
    <row r="119" spans="1:19" x14ac:dyDescent="0.2">
      <c r="A119" t="str">
        <f t="shared" si="1"/>
        <v>metab_compid_37752</v>
      </c>
      <c r="B119">
        <v>100002196</v>
      </c>
      <c r="C119">
        <v>209</v>
      </c>
      <c r="D119">
        <v>37752</v>
      </c>
      <c r="E119">
        <v>145686</v>
      </c>
      <c r="F119" t="s">
        <v>3459</v>
      </c>
      <c r="G119" t="s">
        <v>4869</v>
      </c>
      <c r="H119">
        <v>2032</v>
      </c>
      <c r="I119" t="s">
        <v>3438</v>
      </c>
      <c r="J119" t="s">
        <v>7347</v>
      </c>
      <c r="K119" t="s">
        <v>7348</v>
      </c>
      <c r="L119" t="s">
        <v>7349</v>
      </c>
      <c r="M119" t="s">
        <v>7349</v>
      </c>
      <c r="P119" t="s">
        <v>7350</v>
      </c>
      <c r="Q119" t="s">
        <v>7351</v>
      </c>
      <c r="R119" t="s">
        <v>7352</v>
      </c>
      <c r="S119" t="s">
        <v>3469</v>
      </c>
    </row>
    <row r="120" spans="1:19" x14ac:dyDescent="0.2">
      <c r="A120" t="str">
        <f t="shared" si="1"/>
        <v>metab_compid_39609</v>
      </c>
      <c r="B120">
        <v>100002953</v>
      </c>
      <c r="C120">
        <v>209</v>
      </c>
      <c r="D120">
        <v>39609</v>
      </c>
      <c r="E120">
        <v>141922</v>
      </c>
      <c r="F120" t="s">
        <v>3459</v>
      </c>
      <c r="G120" t="s">
        <v>4869</v>
      </c>
      <c r="H120">
        <v>2028</v>
      </c>
      <c r="I120" t="s">
        <v>3438</v>
      </c>
      <c r="J120" t="s">
        <v>7776</v>
      </c>
      <c r="K120" t="s">
        <v>7777</v>
      </c>
      <c r="L120" t="s">
        <v>7778</v>
      </c>
      <c r="M120" t="s">
        <v>7778</v>
      </c>
      <c r="N120" t="s">
        <v>7779</v>
      </c>
      <c r="O120" t="s">
        <v>7780</v>
      </c>
      <c r="P120" t="s">
        <v>7781</v>
      </c>
      <c r="Q120" t="s">
        <v>7782</v>
      </c>
      <c r="R120" t="s">
        <v>7783</v>
      </c>
      <c r="S120" t="s">
        <v>3469</v>
      </c>
    </row>
    <row r="121" spans="1:19" x14ac:dyDescent="0.2">
      <c r="A121" t="str">
        <f t="shared" si="1"/>
        <v>metab_compid_38168</v>
      </c>
      <c r="B121">
        <v>100002126</v>
      </c>
      <c r="C121">
        <v>209</v>
      </c>
      <c r="D121">
        <v>38168</v>
      </c>
      <c r="E121">
        <v>143871</v>
      </c>
      <c r="F121" t="s">
        <v>3459</v>
      </c>
      <c r="G121" t="s">
        <v>5559</v>
      </c>
      <c r="H121">
        <v>3359</v>
      </c>
      <c r="I121" t="s">
        <v>3438</v>
      </c>
      <c r="J121" t="s">
        <v>7289</v>
      </c>
      <c r="K121" t="s">
        <v>7290</v>
      </c>
      <c r="L121" t="s">
        <v>7291</v>
      </c>
      <c r="M121" t="s">
        <v>7291</v>
      </c>
      <c r="P121" t="s">
        <v>7292</v>
      </c>
      <c r="R121" t="s">
        <v>7293</v>
      </c>
      <c r="S121" t="s">
        <v>3469</v>
      </c>
    </row>
    <row r="122" spans="1:19" x14ac:dyDescent="0.2">
      <c r="A122" t="str">
        <f t="shared" si="1"/>
        <v>metab_compid_47403</v>
      </c>
      <c r="B122">
        <v>100005418</v>
      </c>
      <c r="C122">
        <v>209</v>
      </c>
      <c r="D122">
        <v>47403</v>
      </c>
      <c r="E122">
        <v>149441</v>
      </c>
      <c r="F122" t="s">
        <v>3459</v>
      </c>
      <c r="G122" t="s">
        <v>7151</v>
      </c>
      <c r="H122">
        <v>3268</v>
      </c>
      <c r="I122" t="s">
        <v>3438</v>
      </c>
      <c r="J122" t="s">
        <v>8326</v>
      </c>
      <c r="K122" t="s">
        <v>8327</v>
      </c>
      <c r="L122" t="s">
        <v>8328</v>
      </c>
      <c r="M122" t="s">
        <v>8328</v>
      </c>
      <c r="S122" t="s">
        <v>3469</v>
      </c>
    </row>
    <row r="123" spans="1:19" x14ac:dyDescent="0.2">
      <c r="A123" t="str">
        <f t="shared" si="1"/>
        <v>metab_compid_37482</v>
      </c>
      <c r="B123">
        <v>100002128</v>
      </c>
      <c r="C123">
        <v>209</v>
      </c>
      <c r="D123">
        <v>37482</v>
      </c>
      <c r="E123">
        <v>151073</v>
      </c>
      <c r="F123" t="s">
        <v>3459</v>
      </c>
      <c r="G123" t="s">
        <v>7151</v>
      </c>
      <c r="H123">
        <v>3267</v>
      </c>
      <c r="I123" t="s">
        <v>3438</v>
      </c>
      <c r="J123" t="s">
        <v>7294</v>
      </c>
      <c r="K123" t="s">
        <v>7295</v>
      </c>
      <c r="L123" t="s">
        <v>7296</v>
      </c>
      <c r="M123" t="s">
        <v>7296</v>
      </c>
      <c r="N123" t="s">
        <v>7297</v>
      </c>
      <c r="O123" t="s">
        <v>7298</v>
      </c>
      <c r="P123" t="s">
        <v>7299</v>
      </c>
      <c r="R123" t="s">
        <v>7300</v>
      </c>
      <c r="S123" t="s">
        <v>3469</v>
      </c>
    </row>
    <row r="124" spans="1:19" x14ac:dyDescent="0.2">
      <c r="A124" t="str">
        <f t="shared" si="1"/>
        <v>metab_compid_57783</v>
      </c>
      <c r="B124">
        <v>100004601</v>
      </c>
      <c r="C124">
        <v>209</v>
      </c>
      <c r="D124">
        <v>57783</v>
      </c>
      <c r="E124">
        <v>213695</v>
      </c>
      <c r="F124" t="s">
        <v>3863</v>
      </c>
      <c r="G124" t="s">
        <v>8265</v>
      </c>
      <c r="H124">
        <v>5351</v>
      </c>
      <c r="I124" t="s">
        <v>3438</v>
      </c>
      <c r="J124" t="s">
        <v>8266</v>
      </c>
      <c r="K124" t="s">
        <v>8267</v>
      </c>
      <c r="L124" t="s">
        <v>8268</v>
      </c>
      <c r="M124" t="s">
        <v>8268</v>
      </c>
      <c r="N124" t="s">
        <v>8269</v>
      </c>
      <c r="O124" t="s">
        <v>8270</v>
      </c>
      <c r="R124" t="s">
        <v>8271</v>
      </c>
      <c r="S124" t="s">
        <v>3469</v>
      </c>
    </row>
    <row r="125" spans="1:19" x14ac:dyDescent="0.2">
      <c r="A125" t="str">
        <f t="shared" si="1"/>
        <v>metab_compid_48580</v>
      </c>
      <c r="B125">
        <v>100006190</v>
      </c>
      <c r="C125">
        <v>209</v>
      </c>
      <c r="D125">
        <v>48580</v>
      </c>
      <c r="E125">
        <v>155103</v>
      </c>
      <c r="F125" t="s">
        <v>3863</v>
      </c>
      <c r="G125" t="s">
        <v>3864</v>
      </c>
      <c r="H125">
        <v>5272</v>
      </c>
      <c r="I125" t="s">
        <v>3438</v>
      </c>
      <c r="J125" t="s">
        <v>8508</v>
      </c>
      <c r="K125" t="s">
        <v>8509</v>
      </c>
      <c r="L125" t="s">
        <v>8510</v>
      </c>
      <c r="M125" t="s">
        <v>8510</v>
      </c>
      <c r="N125" t="s">
        <v>8511</v>
      </c>
      <c r="O125" t="s">
        <v>8512</v>
      </c>
      <c r="R125" t="s">
        <v>8513</v>
      </c>
      <c r="S125" t="s">
        <v>3469</v>
      </c>
    </row>
    <row r="126" spans="1:19" x14ac:dyDescent="0.2">
      <c r="A126" t="str">
        <f t="shared" si="1"/>
        <v>metab_compid_6146</v>
      </c>
      <c r="B126">
        <v>381</v>
      </c>
      <c r="C126">
        <v>305</v>
      </c>
      <c r="D126">
        <v>6146</v>
      </c>
      <c r="E126">
        <v>147948</v>
      </c>
      <c r="F126" t="s">
        <v>3436</v>
      </c>
      <c r="G126" t="s">
        <v>3586</v>
      </c>
      <c r="H126">
        <v>125</v>
      </c>
      <c r="I126" t="s">
        <v>3438</v>
      </c>
      <c r="J126" t="s">
        <v>3953</v>
      </c>
      <c r="K126" t="s">
        <v>3954</v>
      </c>
      <c r="L126" t="s">
        <v>3955</v>
      </c>
      <c r="M126" t="s">
        <v>3955</v>
      </c>
      <c r="N126" t="s">
        <v>3956</v>
      </c>
      <c r="O126" t="s">
        <v>3957</v>
      </c>
      <c r="P126" t="s">
        <v>3958</v>
      </c>
      <c r="Q126" t="s">
        <v>3959</v>
      </c>
      <c r="R126" t="s">
        <v>3960</v>
      </c>
      <c r="S126" t="s">
        <v>3489</v>
      </c>
    </row>
    <row r="127" spans="1:19" x14ac:dyDescent="0.2">
      <c r="A127" t="str">
        <f t="shared" si="1"/>
        <v>metab_compid_42374</v>
      </c>
      <c r="B127">
        <v>1128</v>
      </c>
      <c r="C127">
        <v>400</v>
      </c>
      <c r="D127">
        <v>42374</v>
      </c>
      <c r="E127">
        <v>156916</v>
      </c>
      <c r="F127" t="s">
        <v>3436</v>
      </c>
      <c r="G127" t="s">
        <v>3793</v>
      </c>
      <c r="H127">
        <v>588</v>
      </c>
      <c r="I127" t="s">
        <v>3438</v>
      </c>
      <c r="J127" t="s">
        <v>4742</v>
      </c>
      <c r="K127" t="s">
        <v>4743</v>
      </c>
      <c r="L127" t="s">
        <v>4744</v>
      </c>
      <c r="M127" t="s">
        <v>4744</v>
      </c>
      <c r="N127" t="s">
        <v>4745</v>
      </c>
      <c r="O127" t="s">
        <v>4746</v>
      </c>
      <c r="P127" t="s">
        <v>4747</v>
      </c>
      <c r="Q127" t="s">
        <v>4748</v>
      </c>
      <c r="R127" t="s">
        <v>4749</v>
      </c>
      <c r="S127" t="s">
        <v>3458</v>
      </c>
    </row>
    <row r="128" spans="1:19" x14ac:dyDescent="0.2">
      <c r="A128" t="str">
        <f t="shared" si="1"/>
        <v>metab_compid_43761</v>
      </c>
      <c r="B128">
        <v>100004542</v>
      </c>
      <c r="C128">
        <v>400</v>
      </c>
      <c r="D128">
        <v>43761</v>
      </c>
      <c r="E128">
        <v>157045</v>
      </c>
      <c r="F128" t="s">
        <v>3459</v>
      </c>
      <c r="G128" t="s">
        <v>8139</v>
      </c>
      <c r="H128">
        <v>1768</v>
      </c>
      <c r="I128" t="s">
        <v>3438</v>
      </c>
      <c r="J128" t="s">
        <v>8243</v>
      </c>
      <c r="K128" t="s">
        <v>8244</v>
      </c>
      <c r="L128" t="s">
        <v>8245</v>
      </c>
      <c r="M128" t="s">
        <v>8245</v>
      </c>
      <c r="N128" t="s">
        <v>8246</v>
      </c>
      <c r="O128" t="s">
        <v>8247</v>
      </c>
      <c r="P128" t="s">
        <v>8248</v>
      </c>
      <c r="R128" t="s">
        <v>8249</v>
      </c>
      <c r="S128" t="s">
        <v>3458</v>
      </c>
    </row>
    <row r="129" spans="1:19" x14ac:dyDescent="0.2">
      <c r="A129" t="str">
        <f t="shared" si="1"/>
        <v>metab_compid_43343</v>
      </c>
      <c r="B129">
        <v>100004227</v>
      </c>
      <c r="C129">
        <v>209</v>
      </c>
      <c r="D129">
        <v>43343</v>
      </c>
      <c r="E129">
        <v>143991</v>
      </c>
      <c r="F129" t="s">
        <v>3459</v>
      </c>
      <c r="G129" t="s">
        <v>8139</v>
      </c>
      <c r="H129">
        <v>1773</v>
      </c>
      <c r="I129" t="s">
        <v>3438</v>
      </c>
      <c r="J129" t="s">
        <v>8140</v>
      </c>
      <c r="K129" t="s">
        <v>8141</v>
      </c>
      <c r="L129" t="s">
        <v>8142</v>
      </c>
      <c r="M129" t="s">
        <v>8142</v>
      </c>
      <c r="N129" t="s">
        <v>8143</v>
      </c>
      <c r="O129" t="s">
        <v>8144</v>
      </c>
      <c r="P129" t="s">
        <v>8145</v>
      </c>
      <c r="R129" t="s">
        <v>8146</v>
      </c>
      <c r="S129" t="s">
        <v>3469</v>
      </c>
    </row>
    <row r="130" spans="1:19" x14ac:dyDescent="0.2">
      <c r="A130" t="str">
        <f t="shared" ref="A130:A193" si="2">_xlfn.CONCAT("metab_compid_", $D130)</f>
        <v>metab_compid_43266</v>
      </c>
      <c r="B130">
        <v>100004322</v>
      </c>
      <c r="C130">
        <v>209</v>
      </c>
      <c r="D130">
        <v>43266</v>
      </c>
      <c r="E130">
        <v>143737</v>
      </c>
      <c r="F130" t="s">
        <v>3863</v>
      </c>
      <c r="G130" t="s">
        <v>3864</v>
      </c>
      <c r="H130">
        <v>5273</v>
      </c>
      <c r="I130" t="s">
        <v>3438</v>
      </c>
      <c r="J130" t="s">
        <v>8179</v>
      </c>
      <c r="K130" t="s">
        <v>8180</v>
      </c>
      <c r="L130" t="s">
        <v>8181</v>
      </c>
      <c r="M130" t="s">
        <v>8181</v>
      </c>
      <c r="O130" t="s">
        <v>8182</v>
      </c>
      <c r="P130" t="s">
        <v>8183</v>
      </c>
      <c r="R130" t="s">
        <v>8184</v>
      </c>
      <c r="S130" t="s">
        <v>3469</v>
      </c>
    </row>
    <row r="131" spans="1:19" x14ac:dyDescent="0.2">
      <c r="A131" t="str">
        <f t="shared" si="2"/>
        <v>metab_compid_19266</v>
      </c>
      <c r="B131">
        <v>100000584</v>
      </c>
      <c r="C131">
        <v>209</v>
      </c>
      <c r="D131">
        <v>19266</v>
      </c>
      <c r="E131">
        <v>125764</v>
      </c>
      <c r="F131" t="s">
        <v>3459</v>
      </c>
      <c r="G131" t="s">
        <v>5418</v>
      </c>
      <c r="H131">
        <v>2892</v>
      </c>
      <c r="I131" t="s">
        <v>3438</v>
      </c>
      <c r="J131" t="s">
        <v>5419</v>
      </c>
      <c r="K131" t="s">
        <v>5420</v>
      </c>
      <c r="L131" t="s">
        <v>5421</v>
      </c>
      <c r="M131" t="s">
        <v>5421</v>
      </c>
      <c r="N131" t="s">
        <v>5422</v>
      </c>
      <c r="O131" t="s">
        <v>5423</v>
      </c>
      <c r="P131" t="s">
        <v>5424</v>
      </c>
      <c r="Q131" t="s">
        <v>5425</v>
      </c>
      <c r="R131" t="s">
        <v>5426</v>
      </c>
      <c r="S131" t="s">
        <v>3469</v>
      </c>
    </row>
    <row r="132" spans="1:19" x14ac:dyDescent="0.2">
      <c r="A132" t="str">
        <f t="shared" si="2"/>
        <v>metab_compid_61785</v>
      </c>
      <c r="B132">
        <v>100016110</v>
      </c>
      <c r="C132">
        <v>209</v>
      </c>
      <c r="D132">
        <v>61785</v>
      </c>
      <c r="E132">
        <v>218163</v>
      </c>
      <c r="F132" t="s">
        <v>3459</v>
      </c>
      <c r="G132" t="s">
        <v>4991</v>
      </c>
      <c r="H132">
        <v>1846</v>
      </c>
      <c r="I132" t="s">
        <v>3438</v>
      </c>
      <c r="J132" t="s">
        <v>9568</v>
      </c>
      <c r="K132" t="s">
        <v>9569</v>
      </c>
      <c r="L132" t="s">
        <v>9570</v>
      </c>
      <c r="M132" t="s">
        <v>9570</v>
      </c>
      <c r="N132" t="s">
        <v>9571</v>
      </c>
      <c r="O132" t="s">
        <v>9572</v>
      </c>
      <c r="R132" t="s">
        <v>9573</v>
      </c>
      <c r="S132" t="s">
        <v>3469</v>
      </c>
    </row>
    <row r="133" spans="1:19" x14ac:dyDescent="0.2">
      <c r="A133" t="str">
        <f t="shared" si="2"/>
        <v>metab_compid_36746</v>
      </c>
      <c r="B133">
        <v>100001541</v>
      </c>
      <c r="C133">
        <v>209</v>
      </c>
      <c r="D133">
        <v>36746</v>
      </c>
      <c r="E133">
        <v>128281</v>
      </c>
      <c r="F133" t="s">
        <v>3436</v>
      </c>
      <c r="G133" t="s">
        <v>3498</v>
      </c>
      <c r="H133">
        <v>400</v>
      </c>
      <c r="I133" t="s">
        <v>3438</v>
      </c>
      <c r="J133" t="s">
        <v>6585</v>
      </c>
      <c r="K133" t="s">
        <v>6586</v>
      </c>
      <c r="L133" t="s">
        <v>6587</v>
      </c>
      <c r="M133" t="s">
        <v>6587</v>
      </c>
      <c r="N133" t="s">
        <v>6588</v>
      </c>
      <c r="O133" t="s">
        <v>6589</v>
      </c>
      <c r="P133" t="s">
        <v>6590</v>
      </c>
      <c r="R133" t="s">
        <v>6591</v>
      </c>
      <c r="S133" t="s">
        <v>3469</v>
      </c>
    </row>
    <row r="134" spans="1:19" x14ac:dyDescent="0.2">
      <c r="A134" t="str">
        <f t="shared" si="2"/>
        <v>metab_compid_63739</v>
      </c>
      <c r="B134">
        <v>100021372</v>
      </c>
      <c r="C134">
        <v>305</v>
      </c>
      <c r="D134">
        <v>63739</v>
      </c>
      <c r="E134">
        <v>223275</v>
      </c>
      <c r="F134" t="s">
        <v>3436</v>
      </c>
      <c r="G134" t="s">
        <v>3603</v>
      </c>
      <c r="H134">
        <v>455</v>
      </c>
      <c r="I134" t="s">
        <v>3438</v>
      </c>
      <c r="J134" t="s">
        <v>10136</v>
      </c>
      <c r="K134" t="s">
        <v>10137</v>
      </c>
      <c r="L134" t="s">
        <v>10138</v>
      </c>
      <c r="M134" t="s">
        <v>10138</v>
      </c>
      <c r="N134" t="s">
        <v>10139</v>
      </c>
      <c r="P134" t="s">
        <v>10140</v>
      </c>
      <c r="R134" t="s">
        <v>10141</v>
      </c>
      <c r="S134" t="s">
        <v>3489</v>
      </c>
    </row>
    <row r="135" spans="1:19" x14ac:dyDescent="0.2">
      <c r="A135" t="str">
        <f t="shared" si="2"/>
        <v>metab_compid_33173</v>
      </c>
      <c r="B135">
        <v>100001791</v>
      </c>
      <c r="C135">
        <v>209</v>
      </c>
      <c r="D135">
        <v>33173</v>
      </c>
      <c r="E135">
        <v>142539</v>
      </c>
      <c r="F135" t="s">
        <v>3863</v>
      </c>
      <c r="G135" t="s">
        <v>4942</v>
      </c>
      <c r="H135">
        <v>5409</v>
      </c>
      <c r="I135" t="s">
        <v>3438</v>
      </c>
      <c r="J135" t="s">
        <v>6983</v>
      </c>
      <c r="K135" t="s">
        <v>6984</v>
      </c>
      <c r="L135" t="s">
        <v>6985</v>
      </c>
      <c r="M135" t="s">
        <v>6985</v>
      </c>
      <c r="O135" t="s">
        <v>6986</v>
      </c>
      <c r="P135" t="s">
        <v>6987</v>
      </c>
      <c r="R135" t="s">
        <v>6988</v>
      </c>
      <c r="S135" t="s">
        <v>3469</v>
      </c>
    </row>
    <row r="136" spans="1:19" x14ac:dyDescent="0.2">
      <c r="A136" t="str">
        <f t="shared" si="2"/>
        <v>metab_compid_61700</v>
      </c>
      <c r="B136">
        <v>100019892</v>
      </c>
      <c r="C136">
        <v>209</v>
      </c>
      <c r="D136">
        <v>61700</v>
      </c>
      <c r="E136">
        <v>218003</v>
      </c>
      <c r="F136" t="s">
        <v>3459</v>
      </c>
      <c r="G136" t="s">
        <v>4869</v>
      </c>
      <c r="H136">
        <v>1991</v>
      </c>
      <c r="I136" t="s">
        <v>3438</v>
      </c>
      <c r="J136" t="s">
        <v>9586</v>
      </c>
      <c r="K136" t="s">
        <v>9587</v>
      </c>
      <c r="L136" t="s">
        <v>9588</v>
      </c>
      <c r="M136" t="s">
        <v>9588</v>
      </c>
      <c r="O136" t="s">
        <v>9589</v>
      </c>
      <c r="R136" t="s">
        <v>9590</v>
      </c>
      <c r="S136" t="s">
        <v>3469</v>
      </c>
    </row>
    <row r="137" spans="1:19" x14ac:dyDescent="0.2">
      <c r="A137" t="str">
        <f t="shared" si="2"/>
        <v>metab_compid_57663</v>
      </c>
      <c r="B137">
        <v>100015637</v>
      </c>
      <c r="C137">
        <v>209</v>
      </c>
      <c r="D137">
        <v>57663</v>
      </c>
      <c r="E137">
        <v>212725</v>
      </c>
      <c r="F137" t="s">
        <v>3459</v>
      </c>
      <c r="G137" t="s">
        <v>4869</v>
      </c>
      <c r="H137">
        <v>1992</v>
      </c>
      <c r="I137" t="s">
        <v>3438</v>
      </c>
      <c r="J137" t="s">
        <v>9313</v>
      </c>
      <c r="K137" t="s">
        <v>9314</v>
      </c>
      <c r="L137" t="s">
        <v>9315</v>
      </c>
      <c r="M137" t="s">
        <v>9315</v>
      </c>
      <c r="O137" t="s">
        <v>9316</v>
      </c>
      <c r="P137" t="s">
        <v>9317</v>
      </c>
      <c r="R137" t="s">
        <v>9318</v>
      </c>
      <c r="S137" t="s">
        <v>3469</v>
      </c>
    </row>
    <row r="138" spans="1:19" x14ac:dyDescent="0.2">
      <c r="A138" t="str">
        <f t="shared" si="2"/>
        <v>metab_compid_52281</v>
      </c>
      <c r="B138">
        <v>100008928</v>
      </c>
      <c r="C138">
        <v>305</v>
      </c>
      <c r="D138">
        <v>52281</v>
      </c>
      <c r="E138">
        <v>164309</v>
      </c>
      <c r="F138" t="s">
        <v>3436</v>
      </c>
      <c r="G138" t="s">
        <v>3793</v>
      </c>
      <c r="H138">
        <v>590</v>
      </c>
      <c r="I138" t="s">
        <v>3438</v>
      </c>
      <c r="J138" t="s">
        <v>8825</v>
      </c>
      <c r="K138" t="s">
        <v>8826</v>
      </c>
      <c r="L138" t="s">
        <v>8827</v>
      </c>
      <c r="M138" t="s">
        <v>8827</v>
      </c>
      <c r="P138" t="s">
        <v>8828</v>
      </c>
      <c r="Q138" t="s">
        <v>8829</v>
      </c>
      <c r="R138" t="s">
        <v>8830</v>
      </c>
      <c r="S138" t="s">
        <v>3489</v>
      </c>
    </row>
    <row r="139" spans="1:19" x14ac:dyDescent="0.2">
      <c r="A139" t="str">
        <f t="shared" si="2"/>
        <v>metab_compid_42489</v>
      </c>
      <c r="B139">
        <v>100004089</v>
      </c>
      <c r="C139">
        <v>209</v>
      </c>
      <c r="D139">
        <v>42489</v>
      </c>
      <c r="E139">
        <v>144357</v>
      </c>
      <c r="F139" t="s">
        <v>3459</v>
      </c>
      <c r="G139" t="s">
        <v>4869</v>
      </c>
      <c r="H139">
        <v>1980</v>
      </c>
      <c r="I139" t="s">
        <v>3438</v>
      </c>
      <c r="J139" t="s">
        <v>8058</v>
      </c>
      <c r="K139" t="s">
        <v>8059</v>
      </c>
      <c r="L139" t="s">
        <v>8060</v>
      </c>
      <c r="M139" t="s">
        <v>8060</v>
      </c>
      <c r="N139" t="s">
        <v>8061</v>
      </c>
      <c r="O139" t="s">
        <v>8062</v>
      </c>
      <c r="P139" t="s">
        <v>8063</v>
      </c>
      <c r="R139" t="s">
        <v>8064</v>
      </c>
      <c r="S139" t="s">
        <v>3469</v>
      </c>
    </row>
    <row r="140" spans="1:19" x14ac:dyDescent="0.2">
      <c r="A140" t="str">
        <f t="shared" si="2"/>
        <v>metab_compid_37253</v>
      </c>
      <c r="B140">
        <v>100002070</v>
      </c>
      <c r="C140">
        <v>305</v>
      </c>
      <c r="D140">
        <v>37253</v>
      </c>
      <c r="E140">
        <v>147606</v>
      </c>
      <c r="F140" t="s">
        <v>3459</v>
      </c>
      <c r="G140" t="s">
        <v>3873</v>
      </c>
      <c r="H140">
        <v>1681</v>
      </c>
      <c r="I140" t="s">
        <v>3438</v>
      </c>
      <c r="J140" t="s">
        <v>7232</v>
      </c>
      <c r="K140" t="s">
        <v>7233</v>
      </c>
      <c r="L140" t="s">
        <v>7234</v>
      </c>
      <c r="M140" t="s">
        <v>7234</v>
      </c>
      <c r="N140" t="s">
        <v>7235</v>
      </c>
      <c r="O140" t="s">
        <v>7236</v>
      </c>
      <c r="P140" t="s">
        <v>7237</v>
      </c>
      <c r="Q140" t="s">
        <v>7238</v>
      </c>
      <c r="R140" t="s">
        <v>7239</v>
      </c>
      <c r="S140" t="s">
        <v>3489</v>
      </c>
    </row>
    <row r="141" spans="1:19" x14ac:dyDescent="0.2">
      <c r="A141" t="str">
        <f t="shared" si="2"/>
        <v>metab_compid_61827</v>
      </c>
      <c r="B141">
        <v>100019960</v>
      </c>
      <c r="C141">
        <v>305</v>
      </c>
      <c r="D141">
        <v>61827</v>
      </c>
      <c r="E141">
        <v>218249</v>
      </c>
      <c r="F141" t="s">
        <v>3459</v>
      </c>
      <c r="G141" t="s">
        <v>4869</v>
      </c>
      <c r="H141">
        <v>1977</v>
      </c>
      <c r="I141" t="s">
        <v>3438</v>
      </c>
      <c r="J141" t="s">
        <v>9599</v>
      </c>
      <c r="K141" t="s">
        <v>9600</v>
      </c>
      <c r="L141" t="s">
        <v>9601</v>
      </c>
      <c r="M141" t="s">
        <v>9601</v>
      </c>
      <c r="O141" t="s">
        <v>9602</v>
      </c>
      <c r="R141" t="s">
        <v>9603</v>
      </c>
      <c r="S141" t="s">
        <v>3489</v>
      </c>
    </row>
    <row r="142" spans="1:19" x14ac:dyDescent="0.2">
      <c r="A142" t="str">
        <f t="shared" si="2"/>
        <v>metab_compid_18281</v>
      </c>
      <c r="B142">
        <v>1869</v>
      </c>
      <c r="C142">
        <v>209</v>
      </c>
      <c r="D142">
        <v>18281</v>
      </c>
      <c r="E142">
        <v>124655</v>
      </c>
      <c r="F142" t="s">
        <v>3863</v>
      </c>
      <c r="G142" t="s">
        <v>5082</v>
      </c>
      <c r="H142">
        <v>4487</v>
      </c>
      <c r="I142" t="s">
        <v>3438</v>
      </c>
      <c r="J142" t="s">
        <v>5083</v>
      </c>
      <c r="K142" t="s">
        <v>5084</v>
      </c>
      <c r="L142" t="s">
        <v>5085</v>
      </c>
      <c r="M142" t="s">
        <v>5085</v>
      </c>
      <c r="N142" t="s">
        <v>5086</v>
      </c>
      <c r="O142" t="s">
        <v>5087</v>
      </c>
      <c r="P142" t="s">
        <v>5088</v>
      </c>
      <c r="Q142" t="s">
        <v>5089</v>
      </c>
      <c r="R142" t="s">
        <v>5090</v>
      </c>
      <c r="S142" t="s">
        <v>3469</v>
      </c>
    </row>
    <row r="143" spans="1:19" x14ac:dyDescent="0.2">
      <c r="A143" t="str">
        <f t="shared" si="2"/>
        <v>metab_compid_43330</v>
      </c>
      <c r="B143">
        <v>100004169</v>
      </c>
      <c r="C143">
        <v>209</v>
      </c>
      <c r="D143">
        <v>43330</v>
      </c>
      <c r="E143">
        <v>143981</v>
      </c>
      <c r="F143" t="s">
        <v>3863</v>
      </c>
      <c r="G143" t="s">
        <v>4942</v>
      </c>
      <c r="H143">
        <v>5425</v>
      </c>
      <c r="I143" t="s">
        <v>3438</v>
      </c>
      <c r="J143" t="s">
        <v>8081</v>
      </c>
      <c r="K143" t="s">
        <v>8082</v>
      </c>
      <c r="L143" t="s">
        <v>8083</v>
      </c>
      <c r="M143" t="s">
        <v>8083</v>
      </c>
      <c r="N143" t="s">
        <v>8084</v>
      </c>
      <c r="P143" t="s">
        <v>8085</v>
      </c>
      <c r="R143" t="s">
        <v>8086</v>
      </c>
      <c r="S143" t="s">
        <v>3469</v>
      </c>
    </row>
    <row r="144" spans="1:19" x14ac:dyDescent="0.2">
      <c r="A144" t="str">
        <f t="shared" si="2"/>
        <v>metab_compid_52916</v>
      </c>
      <c r="B144">
        <v>100008934</v>
      </c>
      <c r="C144">
        <v>209</v>
      </c>
      <c r="D144">
        <v>52916</v>
      </c>
      <c r="E144">
        <v>166016</v>
      </c>
      <c r="F144" t="s">
        <v>3459</v>
      </c>
      <c r="G144" t="s">
        <v>4869</v>
      </c>
      <c r="H144">
        <v>1984</v>
      </c>
      <c r="I144" t="s">
        <v>3438</v>
      </c>
      <c r="J144" t="s">
        <v>8843</v>
      </c>
      <c r="K144" t="s">
        <v>8844</v>
      </c>
      <c r="L144" t="s">
        <v>8845</v>
      </c>
      <c r="M144" t="s">
        <v>8845</v>
      </c>
      <c r="N144" t="s">
        <v>8846</v>
      </c>
      <c r="O144" t="s">
        <v>8847</v>
      </c>
      <c r="R144" t="s">
        <v>8848</v>
      </c>
      <c r="S144" t="s">
        <v>3469</v>
      </c>
    </row>
    <row r="145" spans="1:19" x14ac:dyDescent="0.2">
      <c r="A145" t="str">
        <f t="shared" si="2"/>
        <v>metab_compid_61698</v>
      </c>
      <c r="B145">
        <v>100015638</v>
      </c>
      <c r="C145">
        <v>209</v>
      </c>
      <c r="D145">
        <v>61698</v>
      </c>
      <c r="E145">
        <v>217999</v>
      </c>
      <c r="F145" t="s">
        <v>3459</v>
      </c>
      <c r="G145" t="s">
        <v>4869</v>
      </c>
      <c r="H145">
        <v>1994</v>
      </c>
      <c r="I145" t="s">
        <v>3438</v>
      </c>
      <c r="J145" t="s">
        <v>9319</v>
      </c>
      <c r="K145" t="s">
        <v>9320</v>
      </c>
      <c r="L145" t="s">
        <v>9321</v>
      </c>
      <c r="M145" t="s">
        <v>9321</v>
      </c>
      <c r="O145" t="s">
        <v>9322</v>
      </c>
      <c r="R145" t="s">
        <v>9323</v>
      </c>
      <c r="S145" t="s">
        <v>3469</v>
      </c>
    </row>
    <row r="146" spans="1:19" x14ac:dyDescent="0.2">
      <c r="A146" t="str">
        <f t="shared" si="2"/>
        <v>metab_compid_22036</v>
      </c>
      <c r="B146">
        <v>100000743</v>
      </c>
      <c r="C146">
        <v>209</v>
      </c>
      <c r="D146">
        <v>22036</v>
      </c>
      <c r="E146">
        <v>126061</v>
      </c>
      <c r="F146" t="s">
        <v>3459</v>
      </c>
      <c r="G146" t="s">
        <v>4869</v>
      </c>
      <c r="H146">
        <v>1978</v>
      </c>
      <c r="I146" t="s">
        <v>3438</v>
      </c>
      <c r="J146" t="s">
        <v>5503</v>
      </c>
      <c r="K146" t="s">
        <v>5504</v>
      </c>
      <c r="L146" t="s">
        <v>5505</v>
      </c>
      <c r="M146" t="s">
        <v>5505</v>
      </c>
      <c r="N146" t="s">
        <v>5506</v>
      </c>
      <c r="O146" t="s">
        <v>5507</v>
      </c>
      <c r="P146" t="s">
        <v>5508</v>
      </c>
      <c r="R146" t="s">
        <v>5509</v>
      </c>
      <c r="S146" t="s">
        <v>3469</v>
      </c>
    </row>
    <row r="147" spans="1:19" x14ac:dyDescent="0.2">
      <c r="A147" t="str">
        <f t="shared" si="2"/>
        <v>metab_compid_35675</v>
      </c>
      <c r="B147">
        <v>100001579</v>
      </c>
      <c r="C147">
        <v>209</v>
      </c>
      <c r="D147">
        <v>35675</v>
      </c>
      <c r="E147">
        <v>128275</v>
      </c>
      <c r="F147" t="s">
        <v>3459</v>
      </c>
      <c r="G147" t="s">
        <v>4869</v>
      </c>
      <c r="H147">
        <v>1986</v>
      </c>
      <c r="I147" t="s">
        <v>3438</v>
      </c>
      <c r="J147" t="s">
        <v>6653</v>
      </c>
      <c r="K147" t="s">
        <v>6654</v>
      </c>
      <c r="L147" t="s">
        <v>6655</v>
      </c>
      <c r="M147" t="s">
        <v>6655</v>
      </c>
      <c r="N147" t="s">
        <v>6656</v>
      </c>
      <c r="O147" t="s">
        <v>6657</v>
      </c>
      <c r="P147" t="s">
        <v>6658</v>
      </c>
      <c r="R147" t="s">
        <v>6659</v>
      </c>
      <c r="S147" t="s">
        <v>3469</v>
      </c>
    </row>
    <row r="148" spans="1:19" x14ac:dyDescent="0.2">
      <c r="A148" t="str">
        <f t="shared" si="2"/>
        <v>metab_compid_1432</v>
      </c>
      <c r="B148">
        <v>235</v>
      </c>
      <c r="C148">
        <v>305</v>
      </c>
      <c r="D148">
        <v>1432</v>
      </c>
      <c r="E148">
        <v>145724</v>
      </c>
      <c r="F148" t="s">
        <v>3436</v>
      </c>
      <c r="G148" t="s">
        <v>3524</v>
      </c>
      <c r="H148">
        <v>161</v>
      </c>
      <c r="I148" t="s">
        <v>3438</v>
      </c>
      <c r="J148" t="s">
        <v>3679</v>
      </c>
      <c r="K148" t="s">
        <v>3680</v>
      </c>
      <c r="L148" t="s">
        <v>3681</v>
      </c>
      <c r="M148" t="s">
        <v>3681</v>
      </c>
      <c r="N148" t="s">
        <v>3682</v>
      </c>
      <c r="O148" t="s">
        <v>3683</v>
      </c>
      <c r="P148" t="s">
        <v>3684</v>
      </c>
      <c r="Q148" t="s">
        <v>3685</v>
      </c>
      <c r="R148" t="s">
        <v>3686</v>
      </c>
      <c r="S148" t="s">
        <v>3489</v>
      </c>
    </row>
    <row r="149" spans="1:19" x14ac:dyDescent="0.2">
      <c r="A149" t="str">
        <f t="shared" si="2"/>
        <v>metab_compid_17945</v>
      </c>
      <c r="B149">
        <v>1239</v>
      </c>
      <c r="C149">
        <v>209</v>
      </c>
      <c r="D149">
        <v>17945</v>
      </c>
      <c r="E149">
        <v>126830</v>
      </c>
      <c r="F149" t="s">
        <v>3459</v>
      </c>
      <c r="G149" t="s">
        <v>4869</v>
      </c>
      <c r="H149">
        <v>1989</v>
      </c>
      <c r="I149" t="s">
        <v>3438</v>
      </c>
      <c r="J149" t="s">
        <v>4870</v>
      </c>
      <c r="K149" t="s">
        <v>4871</v>
      </c>
      <c r="L149" t="s">
        <v>4872</v>
      </c>
      <c r="M149" t="s">
        <v>4872</v>
      </c>
      <c r="N149" t="s">
        <v>4873</v>
      </c>
      <c r="O149" t="s">
        <v>4874</v>
      </c>
      <c r="P149" t="s">
        <v>4875</v>
      </c>
      <c r="Q149" t="s">
        <v>4876</v>
      </c>
      <c r="R149" t="s">
        <v>4877</v>
      </c>
      <c r="S149" t="s">
        <v>3469</v>
      </c>
    </row>
    <row r="150" spans="1:19" x14ac:dyDescent="0.2">
      <c r="A150" t="str">
        <f t="shared" si="2"/>
        <v>metab_compid_15667</v>
      </c>
      <c r="B150">
        <v>100000409</v>
      </c>
      <c r="C150">
        <v>305</v>
      </c>
      <c r="D150">
        <v>15667</v>
      </c>
      <c r="E150">
        <v>152132</v>
      </c>
      <c r="F150" t="s">
        <v>3863</v>
      </c>
      <c r="G150" t="s">
        <v>3864</v>
      </c>
      <c r="H150">
        <v>4802</v>
      </c>
      <c r="I150" t="s">
        <v>3438</v>
      </c>
      <c r="J150" t="s">
        <v>5311</v>
      </c>
      <c r="K150" t="s">
        <v>5312</v>
      </c>
      <c r="L150" t="s">
        <v>5313</v>
      </c>
      <c r="M150" t="s">
        <v>5313</v>
      </c>
      <c r="N150" t="s">
        <v>5314</v>
      </c>
      <c r="O150" t="s">
        <v>5315</v>
      </c>
      <c r="P150" t="s">
        <v>5316</v>
      </c>
      <c r="Q150" t="s">
        <v>5317</v>
      </c>
      <c r="R150" t="s">
        <v>5318</v>
      </c>
      <c r="S150" t="s">
        <v>3489</v>
      </c>
    </row>
    <row r="151" spans="1:19" x14ac:dyDescent="0.2">
      <c r="A151" t="str">
        <f t="shared" si="2"/>
        <v>metab_compid_48141</v>
      </c>
      <c r="B151">
        <v>100005946</v>
      </c>
      <c r="C151">
        <v>305</v>
      </c>
      <c r="D151">
        <v>48141</v>
      </c>
      <c r="E151">
        <v>160468</v>
      </c>
      <c r="F151" t="s">
        <v>3863</v>
      </c>
      <c r="G151" t="s">
        <v>3864</v>
      </c>
      <c r="H151">
        <v>5152</v>
      </c>
      <c r="I151" t="s">
        <v>3438</v>
      </c>
      <c r="J151" t="s">
        <v>8372</v>
      </c>
      <c r="K151" t="s">
        <v>8373</v>
      </c>
      <c r="L151" t="s">
        <v>8374</v>
      </c>
      <c r="M151" t="s">
        <v>8374</v>
      </c>
      <c r="N151" t="s">
        <v>8375</v>
      </c>
      <c r="O151" t="s">
        <v>8376</v>
      </c>
      <c r="P151" t="s">
        <v>8377</v>
      </c>
      <c r="Q151" t="s">
        <v>8378</v>
      </c>
      <c r="R151" t="s">
        <v>8379</v>
      </c>
      <c r="S151" t="s">
        <v>3489</v>
      </c>
    </row>
    <row r="152" spans="1:19" x14ac:dyDescent="0.2">
      <c r="A152" t="str">
        <f t="shared" si="2"/>
        <v>metab_compid_63120</v>
      </c>
      <c r="B152">
        <v>100020833</v>
      </c>
      <c r="C152">
        <v>209</v>
      </c>
      <c r="D152">
        <v>63120</v>
      </c>
      <c r="E152">
        <v>221782</v>
      </c>
      <c r="F152" t="s">
        <v>3436</v>
      </c>
      <c r="G152" t="s">
        <v>3498</v>
      </c>
      <c r="H152">
        <v>353</v>
      </c>
      <c r="I152" t="s">
        <v>3438</v>
      </c>
      <c r="J152" t="s">
        <v>9906</v>
      </c>
      <c r="K152" t="s">
        <v>9907</v>
      </c>
      <c r="L152" t="s">
        <v>9908</v>
      </c>
      <c r="M152" t="s">
        <v>9908</v>
      </c>
      <c r="N152" t="s">
        <v>9909</v>
      </c>
      <c r="O152" t="s">
        <v>9910</v>
      </c>
      <c r="P152" t="s">
        <v>9911</v>
      </c>
      <c r="R152" t="s">
        <v>9912</v>
      </c>
      <c r="S152" t="s">
        <v>3469</v>
      </c>
    </row>
    <row r="153" spans="1:19" x14ac:dyDescent="0.2">
      <c r="A153" t="str">
        <f t="shared" si="2"/>
        <v>metab_compid_32506</v>
      </c>
      <c r="B153">
        <v>100000987</v>
      </c>
      <c r="C153">
        <v>209</v>
      </c>
      <c r="D153">
        <v>32506</v>
      </c>
      <c r="E153">
        <v>125864</v>
      </c>
      <c r="F153" t="s">
        <v>3459</v>
      </c>
      <c r="G153" t="s">
        <v>5418</v>
      </c>
      <c r="H153">
        <v>2891</v>
      </c>
      <c r="I153" t="s">
        <v>3438</v>
      </c>
      <c r="J153" t="s">
        <v>5679</v>
      </c>
      <c r="K153" t="s">
        <v>5680</v>
      </c>
      <c r="L153" t="s">
        <v>5681</v>
      </c>
      <c r="M153" t="s">
        <v>5681</v>
      </c>
      <c r="N153" t="s">
        <v>5682</v>
      </c>
      <c r="O153" t="s">
        <v>5683</v>
      </c>
      <c r="P153" t="s">
        <v>5684</v>
      </c>
      <c r="R153" t="s">
        <v>5685</v>
      </c>
      <c r="S153" t="s">
        <v>3469</v>
      </c>
    </row>
    <row r="154" spans="1:19" x14ac:dyDescent="0.2">
      <c r="A154" t="str">
        <f t="shared" si="2"/>
        <v>metab_compid_33161</v>
      </c>
      <c r="B154">
        <v>100001795</v>
      </c>
      <c r="C154">
        <v>209</v>
      </c>
      <c r="D154">
        <v>33161</v>
      </c>
      <c r="E154">
        <v>153167</v>
      </c>
      <c r="F154" t="s">
        <v>3863</v>
      </c>
      <c r="G154" t="s">
        <v>4942</v>
      </c>
      <c r="H154">
        <v>5411</v>
      </c>
      <c r="I154" t="s">
        <v>3438</v>
      </c>
      <c r="J154" t="s">
        <v>6995</v>
      </c>
      <c r="K154" t="s">
        <v>6996</v>
      </c>
      <c r="L154" t="s">
        <v>6997</v>
      </c>
      <c r="M154" t="s">
        <v>6997</v>
      </c>
      <c r="O154" t="s">
        <v>6998</v>
      </c>
      <c r="P154" t="s">
        <v>6999</v>
      </c>
      <c r="R154" t="s">
        <v>7000</v>
      </c>
      <c r="S154" t="s">
        <v>3469</v>
      </c>
    </row>
    <row r="155" spans="1:19" x14ac:dyDescent="0.2">
      <c r="A155" t="str">
        <f t="shared" si="2"/>
        <v>metab_compid_47031</v>
      </c>
      <c r="B155">
        <v>100001793</v>
      </c>
      <c r="C155">
        <v>209</v>
      </c>
      <c r="D155">
        <v>47031</v>
      </c>
      <c r="E155">
        <v>148286</v>
      </c>
      <c r="F155" t="s">
        <v>3863</v>
      </c>
      <c r="G155" t="s">
        <v>4942</v>
      </c>
      <c r="H155">
        <v>5410</v>
      </c>
      <c r="I155" t="s">
        <v>3438</v>
      </c>
      <c r="J155" t="s">
        <v>6989</v>
      </c>
      <c r="K155" t="s">
        <v>6990</v>
      </c>
      <c r="L155" t="s">
        <v>6991</v>
      </c>
      <c r="M155" t="s">
        <v>6991</v>
      </c>
      <c r="O155" t="s">
        <v>6992</v>
      </c>
      <c r="P155" t="s">
        <v>6993</v>
      </c>
      <c r="R155" t="s">
        <v>6994</v>
      </c>
      <c r="S155" t="s">
        <v>3469</v>
      </c>
    </row>
    <row r="156" spans="1:19" x14ac:dyDescent="0.2">
      <c r="A156" t="str">
        <f t="shared" si="2"/>
        <v>metab_compid_64049</v>
      </c>
      <c r="B156">
        <v>100021839</v>
      </c>
      <c r="C156">
        <v>209</v>
      </c>
      <c r="D156">
        <v>64049</v>
      </c>
      <c r="E156">
        <v>233195</v>
      </c>
      <c r="F156" t="s">
        <v>3863</v>
      </c>
      <c r="G156" t="s">
        <v>5082</v>
      </c>
      <c r="H156">
        <v>4606</v>
      </c>
      <c r="I156" t="s">
        <v>3438</v>
      </c>
      <c r="J156" t="s">
        <v>10206</v>
      </c>
      <c r="K156" t="s">
        <v>10207</v>
      </c>
      <c r="L156" t="s">
        <v>10208</v>
      </c>
      <c r="M156" t="s">
        <v>10208</v>
      </c>
      <c r="S156" t="s">
        <v>3469</v>
      </c>
    </row>
    <row r="157" spans="1:19" x14ac:dyDescent="0.2">
      <c r="A157" t="str">
        <f t="shared" si="2"/>
        <v>metab_compid_48445</v>
      </c>
      <c r="B157">
        <v>100006184</v>
      </c>
      <c r="C157">
        <v>209</v>
      </c>
      <c r="D157">
        <v>48445</v>
      </c>
      <c r="E157">
        <v>155085</v>
      </c>
      <c r="F157" t="s">
        <v>3863</v>
      </c>
      <c r="G157" t="s">
        <v>5632</v>
      </c>
      <c r="H157">
        <v>6251</v>
      </c>
      <c r="I157" t="s">
        <v>3438</v>
      </c>
      <c r="J157" t="s">
        <v>8496</v>
      </c>
      <c r="K157" t="s">
        <v>8497</v>
      </c>
      <c r="L157" t="s">
        <v>8498</v>
      </c>
      <c r="M157" t="s">
        <v>8498</v>
      </c>
      <c r="N157" t="s">
        <v>8499</v>
      </c>
      <c r="S157" t="s">
        <v>3469</v>
      </c>
    </row>
    <row r="158" spans="1:19" x14ac:dyDescent="0.2">
      <c r="A158" t="str">
        <f t="shared" si="2"/>
        <v>metab_compid_45095</v>
      </c>
      <c r="B158">
        <v>100001509</v>
      </c>
      <c r="C158">
        <v>400</v>
      </c>
      <c r="D158">
        <v>45095</v>
      </c>
      <c r="E158">
        <v>157090</v>
      </c>
      <c r="F158" t="s">
        <v>3436</v>
      </c>
      <c r="G158" t="s">
        <v>3498</v>
      </c>
      <c r="H158">
        <v>402</v>
      </c>
      <c r="I158" t="s">
        <v>3438</v>
      </c>
      <c r="J158" t="s">
        <v>6543</v>
      </c>
      <c r="K158" t="s">
        <v>6544</v>
      </c>
      <c r="L158" t="s">
        <v>6545</v>
      </c>
      <c r="M158" t="s">
        <v>6545</v>
      </c>
      <c r="N158" t="s">
        <v>6546</v>
      </c>
      <c r="O158" t="s">
        <v>6547</v>
      </c>
      <c r="P158" t="s">
        <v>6548</v>
      </c>
      <c r="R158" t="s">
        <v>6549</v>
      </c>
      <c r="S158" t="s">
        <v>3458</v>
      </c>
    </row>
    <row r="159" spans="1:19" x14ac:dyDescent="0.2">
      <c r="A159" t="str">
        <f t="shared" si="2"/>
        <v>metab_compid_52282</v>
      </c>
      <c r="B159">
        <v>100008929</v>
      </c>
      <c r="C159">
        <v>209</v>
      </c>
      <c r="D159">
        <v>52282</v>
      </c>
      <c r="E159">
        <v>164310</v>
      </c>
      <c r="F159" t="s">
        <v>3479</v>
      </c>
      <c r="G159" t="s">
        <v>3480</v>
      </c>
      <c r="H159">
        <v>1478</v>
      </c>
      <c r="I159" t="s">
        <v>3438</v>
      </c>
      <c r="J159" t="s">
        <v>8831</v>
      </c>
      <c r="K159" t="s">
        <v>8832</v>
      </c>
      <c r="L159" t="s">
        <v>8833</v>
      </c>
      <c r="M159" t="s">
        <v>8833</v>
      </c>
      <c r="P159" t="s">
        <v>8834</v>
      </c>
      <c r="Q159" t="s">
        <v>8835</v>
      </c>
      <c r="R159" t="s">
        <v>8836</v>
      </c>
      <c r="S159" t="s">
        <v>3469</v>
      </c>
    </row>
    <row r="160" spans="1:19" x14ac:dyDescent="0.2">
      <c r="A160" t="str">
        <f t="shared" si="2"/>
        <v>metab_compid_62520</v>
      </c>
      <c r="B160">
        <v>100020515</v>
      </c>
      <c r="C160">
        <v>209</v>
      </c>
      <c r="D160">
        <v>62520</v>
      </c>
      <c r="E160">
        <v>219835</v>
      </c>
      <c r="F160" t="s">
        <v>3863</v>
      </c>
      <c r="G160" t="s">
        <v>5632</v>
      </c>
      <c r="H160">
        <v>6206</v>
      </c>
      <c r="I160" t="s">
        <v>3438</v>
      </c>
      <c r="J160" t="s">
        <v>9788</v>
      </c>
      <c r="K160" t="s">
        <v>9789</v>
      </c>
      <c r="L160" t="s">
        <v>9790</v>
      </c>
      <c r="M160" t="s">
        <v>9790</v>
      </c>
      <c r="O160" t="s">
        <v>9791</v>
      </c>
      <c r="R160" t="s">
        <v>9792</v>
      </c>
      <c r="S160" t="s">
        <v>3469</v>
      </c>
    </row>
    <row r="161" spans="1:19" x14ac:dyDescent="0.2">
      <c r="A161" t="str">
        <f t="shared" si="2"/>
        <v>metab_compid_63990</v>
      </c>
      <c r="B161">
        <v>100003258</v>
      </c>
      <c r="C161">
        <v>305</v>
      </c>
      <c r="D161">
        <v>63990</v>
      </c>
      <c r="E161">
        <v>232912</v>
      </c>
      <c r="F161" t="s">
        <v>3448</v>
      </c>
      <c r="G161" t="s">
        <v>5600</v>
      </c>
      <c r="H161">
        <v>4373</v>
      </c>
      <c r="I161" t="s">
        <v>3438</v>
      </c>
      <c r="J161" t="s">
        <v>7855</v>
      </c>
      <c r="K161" t="s">
        <v>7856</v>
      </c>
      <c r="L161" t="s">
        <v>7857</v>
      </c>
      <c r="M161" t="s">
        <v>7857</v>
      </c>
      <c r="N161" t="s">
        <v>7858</v>
      </c>
      <c r="O161" t="s">
        <v>7859</v>
      </c>
      <c r="P161" t="s">
        <v>7860</v>
      </c>
      <c r="R161" t="s">
        <v>7861</v>
      </c>
      <c r="S161" t="s">
        <v>3489</v>
      </c>
    </row>
    <row r="162" spans="1:19" x14ac:dyDescent="0.2">
      <c r="A162" t="str">
        <f t="shared" si="2"/>
        <v>metab_compid_21232</v>
      </c>
      <c r="B162">
        <v>100000943</v>
      </c>
      <c r="C162">
        <v>209</v>
      </c>
      <c r="D162">
        <v>21232</v>
      </c>
      <c r="E162">
        <v>126858</v>
      </c>
      <c r="F162" t="s">
        <v>3459</v>
      </c>
      <c r="G162" t="s">
        <v>5418</v>
      </c>
      <c r="H162">
        <v>2890</v>
      </c>
      <c r="I162" t="s">
        <v>3438</v>
      </c>
      <c r="J162" t="s">
        <v>5656</v>
      </c>
      <c r="K162" t="s">
        <v>5657</v>
      </c>
      <c r="L162" t="s">
        <v>5658</v>
      </c>
      <c r="M162" t="s">
        <v>5658</v>
      </c>
      <c r="N162" t="s">
        <v>5659</v>
      </c>
      <c r="O162" t="s">
        <v>5660</v>
      </c>
      <c r="P162" t="s">
        <v>5661</v>
      </c>
      <c r="R162" t="s">
        <v>5662</v>
      </c>
      <c r="S162" t="s">
        <v>3469</v>
      </c>
    </row>
    <row r="163" spans="1:19" x14ac:dyDescent="0.2">
      <c r="A163" t="str">
        <f t="shared" si="2"/>
        <v>metab_compid_55072</v>
      </c>
      <c r="B163">
        <v>100002784</v>
      </c>
      <c r="C163">
        <v>400</v>
      </c>
      <c r="D163">
        <v>55072</v>
      </c>
      <c r="E163">
        <v>208196</v>
      </c>
      <c r="F163" t="s">
        <v>3436</v>
      </c>
      <c r="G163" t="s">
        <v>3661</v>
      </c>
      <c r="H163">
        <v>498</v>
      </c>
      <c r="I163" t="s">
        <v>3438</v>
      </c>
      <c r="J163" t="s">
        <v>7653</v>
      </c>
      <c r="K163" t="s">
        <v>7654</v>
      </c>
      <c r="L163" t="s">
        <v>7655</v>
      </c>
      <c r="M163" t="s">
        <v>7655</v>
      </c>
      <c r="N163" t="s">
        <v>7656</v>
      </c>
      <c r="O163" t="s">
        <v>7657</v>
      </c>
      <c r="P163" t="s">
        <v>7658</v>
      </c>
      <c r="Q163" t="s">
        <v>7659</v>
      </c>
      <c r="R163" t="s">
        <v>7660</v>
      </c>
      <c r="S163" t="s">
        <v>3458</v>
      </c>
    </row>
    <row r="164" spans="1:19" x14ac:dyDescent="0.2">
      <c r="A164" t="str">
        <f t="shared" si="2"/>
        <v>metab_compid_47118</v>
      </c>
      <c r="B164">
        <v>100001561</v>
      </c>
      <c r="C164">
        <v>209</v>
      </c>
      <c r="D164">
        <v>47118</v>
      </c>
      <c r="E164">
        <v>148450</v>
      </c>
      <c r="F164" t="s">
        <v>3459</v>
      </c>
      <c r="G164" t="s">
        <v>5441</v>
      </c>
      <c r="H164">
        <v>2621</v>
      </c>
      <c r="I164" t="s">
        <v>3438</v>
      </c>
      <c r="J164" t="s">
        <v>6607</v>
      </c>
      <c r="K164" t="s">
        <v>6608</v>
      </c>
      <c r="L164" t="s">
        <v>6609</v>
      </c>
      <c r="M164" t="s">
        <v>6609</v>
      </c>
      <c r="O164" t="s">
        <v>6610</v>
      </c>
      <c r="P164" t="s">
        <v>6611</v>
      </c>
      <c r="R164" t="s">
        <v>6612</v>
      </c>
      <c r="S164" t="s">
        <v>3469</v>
      </c>
    </row>
    <row r="165" spans="1:19" x14ac:dyDescent="0.2">
      <c r="A165" t="str">
        <f t="shared" si="2"/>
        <v>metab_compid_35253</v>
      </c>
      <c r="B165">
        <v>100001562</v>
      </c>
      <c r="C165">
        <v>209</v>
      </c>
      <c r="D165">
        <v>35253</v>
      </c>
      <c r="E165">
        <v>126137</v>
      </c>
      <c r="F165" t="s">
        <v>3459</v>
      </c>
      <c r="G165" t="s">
        <v>5441</v>
      </c>
      <c r="H165">
        <v>2619</v>
      </c>
      <c r="I165" t="s">
        <v>3438</v>
      </c>
      <c r="J165" t="s">
        <v>6613</v>
      </c>
      <c r="K165" t="s">
        <v>6614</v>
      </c>
      <c r="L165" t="s">
        <v>6615</v>
      </c>
      <c r="M165" t="s">
        <v>6615</v>
      </c>
      <c r="O165" t="s">
        <v>6616</v>
      </c>
      <c r="P165" t="s">
        <v>6617</v>
      </c>
      <c r="R165" t="s">
        <v>6618</v>
      </c>
      <c r="S165" t="s">
        <v>3469</v>
      </c>
    </row>
    <row r="166" spans="1:19" x14ac:dyDescent="0.2">
      <c r="A166" t="str">
        <f t="shared" si="2"/>
        <v>metab_compid_43400</v>
      </c>
      <c r="B166">
        <v>100004295</v>
      </c>
      <c r="C166">
        <v>400</v>
      </c>
      <c r="D166">
        <v>43400</v>
      </c>
      <c r="E166">
        <v>157005</v>
      </c>
      <c r="F166" t="s">
        <v>3863</v>
      </c>
      <c r="G166" t="s">
        <v>3864</v>
      </c>
      <c r="H166">
        <v>4658</v>
      </c>
      <c r="I166" t="s">
        <v>3438</v>
      </c>
      <c r="J166" t="s">
        <v>8167</v>
      </c>
      <c r="K166" t="s">
        <v>8168</v>
      </c>
      <c r="L166" t="s">
        <v>8169</v>
      </c>
      <c r="M166" t="s">
        <v>8169</v>
      </c>
      <c r="N166" t="s">
        <v>8170</v>
      </c>
      <c r="O166" t="s">
        <v>8171</v>
      </c>
      <c r="P166" t="s">
        <v>8172</v>
      </c>
      <c r="R166" t="s">
        <v>8173</v>
      </c>
      <c r="S166" t="s">
        <v>3458</v>
      </c>
    </row>
    <row r="167" spans="1:19" x14ac:dyDescent="0.2">
      <c r="A167" t="str">
        <f t="shared" si="2"/>
        <v>metab_compid_31675</v>
      </c>
      <c r="B167">
        <v>100001081</v>
      </c>
      <c r="C167">
        <v>400</v>
      </c>
      <c r="D167">
        <v>31675</v>
      </c>
      <c r="E167">
        <v>155868</v>
      </c>
      <c r="F167" t="s">
        <v>3436</v>
      </c>
      <c r="G167" t="s">
        <v>4215</v>
      </c>
      <c r="H167">
        <v>62</v>
      </c>
      <c r="I167" t="s">
        <v>3438</v>
      </c>
      <c r="J167" t="s">
        <v>5791</v>
      </c>
      <c r="K167" t="s">
        <v>5792</v>
      </c>
      <c r="L167" t="s">
        <v>5793</v>
      </c>
      <c r="M167" t="s">
        <v>5793</v>
      </c>
      <c r="N167" t="s">
        <v>5794</v>
      </c>
      <c r="O167" t="s">
        <v>5795</v>
      </c>
      <c r="P167" t="s">
        <v>5796</v>
      </c>
      <c r="R167" t="s">
        <v>5797</v>
      </c>
      <c r="S167" t="s">
        <v>3458</v>
      </c>
    </row>
    <row r="168" spans="1:19" x14ac:dyDescent="0.2">
      <c r="A168" t="str">
        <f t="shared" si="2"/>
        <v>metab_compid_41220</v>
      </c>
      <c r="B168">
        <v>100003901</v>
      </c>
      <c r="C168">
        <v>209</v>
      </c>
      <c r="D168">
        <v>41220</v>
      </c>
      <c r="E168">
        <v>142786</v>
      </c>
      <c r="F168" t="s">
        <v>3459</v>
      </c>
      <c r="G168" t="s">
        <v>5441</v>
      </c>
      <c r="H168">
        <v>2688</v>
      </c>
      <c r="I168" t="s">
        <v>3438</v>
      </c>
      <c r="J168" t="s">
        <v>7992</v>
      </c>
      <c r="K168" t="s">
        <v>7993</v>
      </c>
      <c r="L168" t="s">
        <v>7994</v>
      </c>
      <c r="M168" t="s">
        <v>7994</v>
      </c>
      <c r="O168" t="s">
        <v>7995</v>
      </c>
      <c r="P168" t="s">
        <v>7996</v>
      </c>
      <c r="R168" t="s">
        <v>7997</v>
      </c>
      <c r="S168" t="s">
        <v>3469</v>
      </c>
    </row>
    <row r="169" spans="1:19" x14ac:dyDescent="0.2">
      <c r="A169" t="str">
        <f t="shared" si="2"/>
        <v>metab_compid_62885</v>
      </c>
      <c r="B169">
        <v>100020373</v>
      </c>
      <c r="C169">
        <v>209</v>
      </c>
      <c r="D169">
        <v>62885</v>
      </c>
      <c r="E169">
        <v>220736</v>
      </c>
      <c r="F169" t="s">
        <v>3863</v>
      </c>
      <c r="G169" t="s">
        <v>5632</v>
      </c>
      <c r="H169">
        <v>6277</v>
      </c>
      <c r="I169" t="s">
        <v>3438</v>
      </c>
      <c r="J169" t="s">
        <v>9734</v>
      </c>
      <c r="K169" t="s">
        <v>9735</v>
      </c>
      <c r="L169" t="s">
        <v>9736</v>
      </c>
      <c r="M169" t="s">
        <v>9736</v>
      </c>
      <c r="N169" t="s">
        <v>9737</v>
      </c>
      <c r="O169" t="s">
        <v>9738</v>
      </c>
      <c r="R169" t="s">
        <v>9739</v>
      </c>
      <c r="S169" t="s">
        <v>3469</v>
      </c>
    </row>
    <row r="170" spans="1:19" x14ac:dyDescent="0.2">
      <c r="A170" t="str">
        <f t="shared" si="2"/>
        <v>metab_compid_57547</v>
      </c>
      <c r="B170">
        <v>100010869</v>
      </c>
      <c r="C170">
        <v>209</v>
      </c>
      <c r="D170">
        <v>57547</v>
      </c>
      <c r="E170">
        <v>212076</v>
      </c>
      <c r="F170" t="s">
        <v>3436</v>
      </c>
      <c r="G170" t="s">
        <v>3498</v>
      </c>
      <c r="H170">
        <v>434</v>
      </c>
      <c r="I170" t="s">
        <v>3438</v>
      </c>
      <c r="J170" t="s">
        <v>9244</v>
      </c>
      <c r="K170" t="s">
        <v>9245</v>
      </c>
      <c r="L170" t="s">
        <v>9246</v>
      </c>
      <c r="M170" t="s">
        <v>9246</v>
      </c>
      <c r="N170" t="s">
        <v>9247</v>
      </c>
      <c r="O170" t="s">
        <v>9248</v>
      </c>
      <c r="P170" t="s">
        <v>9249</v>
      </c>
      <c r="R170" t="s">
        <v>9250</v>
      </c>
      <c r="S170" t="s">
        <v>3469</v>
      </c>
    </row>
    <row r="171" spans="1:19" x14ac:dyDescent="0.2">
      <c r="A171" t="str">
        <f t="shared" si="2"/>
        <v>metab_compid_62805</v>
      </c>
      <c r="B171">
        <v>100020893</v>
      </c>
      <c r="C171">
        <v>209</v>
      </c>
      <c r="D171">
        <v>62805</v>
      </c>
      <c r="E171">
        <v>220431</v>
      </c>
      <c r="F171" t="s">
        <v>3436</v>
      </c>
      <c r="G171" t="s">
        <v>3603</v>
      </c>
      <c r="H171">
        <v>454</v>
      </c>
      <c r="I171" t="s">
        <v>3438</v>
      </c>
      <c r="J171" t="s">
        <v>9956</v>
      </c>
      <c r="K171" t="s">
        <v>9957</v>
      </c>
      <c r="L171" t="s">
        <v>9958</v>
      </c>
      <c r="M171" t="s">
        <v>9958</v>
      </c>
      <c r="P171" t="s">
        <v>9959</v>
      </c>
      <c r="S171" t="s">
        <v>3469</v>
      </c>
    </row>
    <row r="172" spans="1:19" x14ac:dyDescent="0.2">
      <c r="A172" t="str">
        <f t="shared" si="2"/>
        <v>metab_compid_38276</v>
      </c>
      <c r="B172">
        <v>100002417</v>
      </c>
      <c r="C172">
        <v>305</v>
      </c>
      <c r="D172">
        <v>38276</v>
      </c>
      <c r="E172">
        <v>152194</v>
      </c>
      <c r="F172" t="s">
        <v>3863</v>
      </c>
      <c r="G172" t="s">
        <v>3864</v>
      </c>
      <c r="H172">
        <v>4794</v>
      </c>
      <c r="I172" t="s">
        <v>3438</v>
      </c>
      <c r="J172" t="s">
        <v>7486</v>
      </c>
      <c r="K172" t="s">
        <v>7487</v>
      </c>
      <c r="L172" t="s">
        <v>7488</v>
      </c>
      <c r="M172" t="s">
        <v>7488</v>
      </c>
      <c r="N172" t="s">
        <v>7489</v>
      </c>
      <c r="O172" t="s">
        <v>7490</v>
      </c>
      <c r="P172" t="s">
        <v>7491</v>
      </c>
      <c r="Q172" t="s">
        <v>7492</v>
      </c>
      <c r="R172" t="s">
        <v>7493</v>
      </c>
      <c r="S172" t="s">
        <v>3489</v>
      </c>
    </row>
    <row r="173" spans="1:19" x14ac:dyDescent="0.2">
      <c r="A173" t="str">
        <f t="shared" si="2"/>
        <v>metab_compid_64328</v>
      </c>
      <c r="B173">
        <v>100021918</v>
      </c>
      <c r="C173">
        <v>209</v>
      </c>
      <c r="D173">
        <v>64328</v>
      </c>
      <c r="E173">
        <v>237314</v>
      </c>
      <c r="F173" t="s">
        <v>3863</v>
      </c>
      <c r="G173" t="s">
        <v>5632</v>
      </c>
      <c r="H173">
        <v>6208</v>
      </c>
      <c r="I173" t="s">
        <v>3438</v>
      </c>
      <c r="J173" t="s">
        <v>10221</v>
      </c>
      <c r="K173" t="s">
        <v>10222</v>
      </c>
      <c r="L173" t="s">
        <v>10223</v>
      </c>
      <c r="M173" t="s">
        <v>10223</v>
      </c>
      <c r="N173" t="s">
        <v>10224</v>
      </c>
      <c r="S173" t="s">
        <v>3469</v>
      </c>
    </row>
    <row r="174" spans="1:19" x14ac:dyDescent="0.2">
      <c r="A174" t="str">
        <f t="shared" si="2"/>
        <v>metab_compid_63042</v>
      </c>
      <c r="B174">
        <v>100020837</v>
      </c>
      <c r="C174">
        <v>209</v>
      </c>
      <c r="D174">
        <v>63042</v>
      </c>
      <c r="E174">
        <v>221621</v>
      </c>
      <c r="F174" t="s">
        <v>3863</v>
      </c>
      <c r="G174" t="s">
        <v>4142</v>
      </c>
      <c r="H174">
        <v>5991</v>
      </c>
      <c r="I174" t="s">
        <v>3438</v>
      </c>
      <c r="J174" t="s">
        <v>9913</v>
      </c>
      <c r="K174" t="s">
        <v>9914</v>
      </c>
      <c r="L174" t="s">
        <v>9915</v>
      </c>
      <c r="M174" t="s">
        <v>9915</v>
      </c>
      <c r="N174" t="s">
        <v>9916</v>
      </c>
      <c r="O174" t="s">
        <v>9917</v>
      </c>
      <c r="P174" t="s">
        <v>9918</v>
      </c>
      <c r="R174" t="s">
        <v>9919</v>
      </c>
      <c r="S174" t="s">
        <v>3469</v>
      </c>
    </row>
    <row r="175" spans="1:19" x14ac:dyDescent="0.2">
      <c r="A175" t="str">
        <f t="shared" si="2"/>
        <v>metab_compid_52602</v>
      </c>
      <c r="B175">
        <v>536</v>
      </c>
      <c r="C175">
        <v>209</v>
      </c>
      <c r="D175">
        <v>52602</v>
      </c>
      <c r="E175">
        <v>165330</v>
      </c>
      <c r="F175" t="s">
        <v>3533</v>
      </c>
      <c r="G175" t="s">
        <v>3705</v>
      </c>
      <c r="H175">
        <v>4255</v>
      </c>
      <c r="I175" t="s">
        <v>3438</v>
      </c>
      <c r="J175" t="s">
        <v>4199</v>
      </c>
      <c r="K175" t="s">
        <v>4200</v>
      </c>
      <c r="L175" t="s">
        <v>4201</v>
      </c>
      <c r="M175" t="s">
        <v>4201</v>
      </c>
      <c r="N175" t="s">
        <v>4202</v>
      </c>
      <c r="O175" t="s">
        <v>4203</v>
      </c>
      <c r="P175" t="s">
        <v>4204</v>
      </c>
      <c r="Q175" t="s">
        <v>4205</v>
      </c>
      <c r="R175" t="s">
        <v>4206</v>
      </c>
      <c r="S175" t="s">
        <v>3469</v>
      </c>
    </row>
    <row r="176" spans="1:19" x14ac:dyDescent="0.2">
      <c r="A176" t="str">
        <f t="shared" si="2"/>
        <v>metab_compid_57554</v>
      </c>
      <c r="B176">
        <v>100010895</v>
      </c>
      <c r="C176">
        <v>400</v>
      </c>
      <c r="D176">
        <v>57554</v>
      </c>
      <c r="E176">
        <v>211532</v>
      </c>
      <c r="F176" t="s">
        <v>3533</v>
      </c>
      <c r="G176" t="s">
        <v>4356</v>
      </c>
      <c r="H176">
        <v>4284</v>
      </c>
      <c r="I176" t="s">
        <v>3438</v>
      </c>
      <c r="J176" t="s">
        <v>9251</v>
      </c>
      <c r="K176" t="s">
        <v>9252</v>
      </c>
      <c r="L176" t="s">
        <v>9253</v>
      </c>
      <c r="M176" t="s">
        <v>9253</v>
      </c>
      <c r="N176" t="s">
        <v>9254</v>
      </c>
      <c r="O176" t="s">
        <v>9255</v>
      </c>
      <c r="R176" t="s">
        <v>9256</v>
      </c>
      <c r="S176" t="s">
        <v>3458</v>
      </c>
    </row>
    <row r="177" spans="1:19" x14ac:dyDescent="0.2">
      <c r="A177" t="str">
        <f t="shared" si="2"/>
        <v>metab_compid_57655</v>
      </c>
      <c r="B177">
        <v>100010896</v>
      </c>
      <c r="C177">
        <v>209</v>
      </c>
      <c r="D177">
        <v>57655</v>
      </c>
      <c r="E177">
        <v>212709</v>
      </c>
      <c r="F177" t="s">
        <v>3533</v>
      </c>
      <c r="G177" t="s">
        <v>3705</v>
      </c>
      <c r="H177">
        <v>4243</v>
      </c>
      <c r="I177" t="s">
        <v>3438</v>
      </c>
      <c r="J177" t="s">
        <v>9257</v>
      </c>
      <c r="K177" t="s">
        <v>9258</v>
      </c>
      <c r="L177" t="s">
        <v>9259</v>
      </c>
      <c r="M177" t="s">
        <v>9259</v>
      </c>
      <c r="N177" t="s">
        <v>9260</v>
      </c>
      <c r="O177" t="s">
        <v>9261</v>
      </c>
      <c r="P177" t="s">
        <v>9262</v>
      </c>
      <c r="R177" t="s">
        <v>9263</v>
      </c>
      <c r="S177" t="s">
        <v>3469</v>
      </c>
    </row>
    <row r="178" spans="1:19" x14ac:dyDescent="0.2">
      <c r="A178" t="str">
        <f t="shared" si="2"/>
        <v>metab_compid_46115</v>
      </c>
      <c r="B178">
        <v>100001999</v>
      </c>
      <c r="C178">
        <v>209</v>
      </c>
      <c r="D178">
        <v>46115</v>
      </c>
      <c r="E178">
        <v>143743</v>
      </c>
      <c r="F178" t="s">
        <v>3459</v>
      </c>
      <c r="G178" t="s">
        <v>7151</v>
      </c>
      <c r="H178">
        <v>3273</v>
      </c>
      <c r="I178" t="s">
        <v>3438</v>
      </c>
      <c r="J178" t="s">
        <v>7158</v>
      </c>
      <c r="K178" t="s">
        <v>7159</v>
      </c>
      <c r="L178" t="s">
        <v>7160</v>
      </c>
      <c r="M178" t="s">
        <v>7160</v>
      </c>
      <c r="N178" t="s">
        <v>7161</v>
      </c>
      <c r="O178" t="s">
        <v>7162</v>
      </c>
      <c r="R178" t="s">
        <v>7163</v>
      </c>
      <c r="S178" t="s">
        <v>3469</v>
      </c>
    </row>
    <row r="179" spans="1:19" x14ac:dyDescent="0.2">
      <c r="A179" t="str">
        <f t="shared" si="2"/>
        <v>metab_compid_63109</v>
      </c>
      <c r="B179">
        <v>100002367</v>
      </c>
      <c r="C179">
        <v>305</v>
      </c>
      <c r="D179">
        <v>63109</v>
      </c>
      <c r="E179">
        <v>221751</v>
      </c>
      <c r="F179" t="s">
        <v>3459</v>
      </c>
      <c r="G179" t="s">
        <v>3460</v>
      </c>
      <c r="H179">
        <v>2052</v>
      </c>
      <c r="I179" t="s">
        <v>3438</v>
      </c>
      <c r="J179" t="s">
        <v>7434</v>
      </c>
      <c r="K179" t="s">
        <v>7435</v>
      </c>
      <c r="L179" t="s">
        <v>7436</v>
      </c>
      <c r="M179" t="s">
        <v>7436</v>
      </c>
      <c r="N179" t="s">
        <v>7437</v>
      </c>
      <c r="O179" t="s">
        <v>7438</v>
      </c>
      <c r="P179" t="s">
        <v>7439</v>
      </c>
      <c r="R179" t="s">
        <v>7440</v>
      </c>
      <c r="S179" t="s">
        <v>3489</v>
      </c>
    </row>
    <row r="180" spans="1:19" x14ac:dyDescent="0.2">
      <c r="A180" t="str">
        <f t="shared" si="2"/>
        <v>metab_compid_62950</v>
      </c>
      <c r="B180">
        <v>100002284</v>
      </c>
      <c r="C180">
        <v>305</v>
      </c>
      <c r="D180">
        <v>62950</v>
      </c>
      <c r="E180">
        <v>220825</v>
      </c>
      <c r="F180" t="s">
        <v>3459</v>
      </c>
      <c r="G180" t="s">
        <v>3460</v>
      </c>
      <c r="H180">
        <v>2051</v>
      </c>
      <c r="I180" t="s">
        <v>3438</v>
      </c>
      <c r="J180" t="s">
        <v>7399</v>
      </c>
      <c r="K180" t="s">
        <v>7400</v>
      </c>
      <c r="L180" t="s">
        <v>7401</v>
      </c>
      <c r="M180" t="s">
        <v>7401</v>
      </c>
      <c r="N180" t="s">
        <v>7402</v>
      </c>
      <c r="O180" t="s">
        <v>7403</v>
      </c>
      <c r="P180" t="s">
        <v>7404</v>
      </c>
      <c r="R180" t="s">
        <v>7405</v>
      </c>
      <c r="S180" t="s">
        <v>3489</v>
      </c>
    </row>
    <row r="181" spans="1:19" x14ac:dyDescent="0.2">
      <c r="A181" t="str">
        <f t="shared" si="2"/>
        <v>metab_compid_62924</v>
      </c>
      <c r="B181">
        <v>100001426</v>
      </c>
      <c r="C181">
        <v>209</v>
      </c>
      <c r="D181">
        <v>62924</v>
      </c>
      <c r="E181">
        <v>220780</v>
      </c>
      <c r="F181" t="s">
        <v>3533</v>
      </c>
      <c r="G181" t="s">
        <v>3705</v>
      </c>
      <c r="H181">
        <v>4264</v>
      </c>
      <c r="I181" t="s">
        <v>3438</v>
      </c>
      <c r="J181" t="s">
        <v>6445</v>
      </c>
      <c r="K181" t="s">
        <v>6446</v>
      </c>
      <c r="L181" t="s">
        <v>6447</v>
      </c>
      <c r="M181" t="s">
        <v>6447</v>
      </c>
      <c r="N181" t="s">
        <v>6448</v>
      </c>
      <c r="O181" t="s">
        <v>6449</v>
      </c>
      <c r="R181" t="s">
        <v>6450</v>
      </c>
      <c r="S181" t="s">
        <v>3469</v>
      </c>
    </row>
    <row r="182" spans="1:19" x14ac:dyDescent="0.2">
      <c r="A182" t="str">
        <f t="shared" si="2"/>
        <v>metab_compid_35635</v>
      </c>
      <c r="B182">
        <v>100001624</v>
      </c>
      <c r="C182">
        <v>209</v>
      </c>
      <c r="D182">
        <v>35635</v>
      </c>
      <c r="E182">
        <v>128251</v>
      </c>
      <c r="F182" t="s">
        <v>3863</v>
      </c>
      <c r="G182" t="s">
        <v>5082</v>
      </c>
      <c r="H182">
        <v>4593</v>
      </c>
      <c r="I182" t="s">
        <v>3438</v>
      </c>
      <c r="J182" t="s">
        <v>6803</v>
      </c>
      <c r="K182" t="s">
        <v>6804</v>
      </c>
      <c r="L182" t="s">
        <v>6805</v>
      </c>
      <c r="M182" t="s">
        <v>6805</v>
      </c>
      <c r="N182" t="s">
        <v>6806</v>
      </c>
      <c r="O182" t="s">
        <v>6807</v>
      </c>
      <c r="P182" t="s">
        <v>6808</v>
      </c>
      <c r="Q182" t="s">
        <v>6809</v>
      </c>
      <c r="R182" t="s">
        <v>6810</v>
      </c>
      <c r="S182" t="s">
        <v>3469</v>
      </c>
    </row>
    <row r="183" spans="1:19" x14ac:dyDescent="0.2">
      <c r="A183" t="str">
        <f t="shared" si="2"/>
        <v>metab_compid_32197</v>
      </c>
      <c r="B183">
        <v>240</v>
      </c>
      <c r="C183">
        <v>209</v>
      </c>
      <c r="D183">
        <v>32197</v>
      </c>
      <c r="E183">
        <v>123321</v>
      </c>
      <c r="F183" t="s">
        <v>3436</v>
      </c>
      <c r="G183" t="s">
        <v>3687</v>
      </c>
      <c r="H183">
        <v>186</v>
      </c>
      <c r="I183" t="s">
        <v>3438</v>
      </c>
      <c r="J183" t="s">
        <v>3688</v>
      </c>
      <c r="K183" t="s">
        <v>3689</v>
      </c>
      <c r="L183" t="s">
        <v>3690</v>
      </c>
      <c r="M183" t="s">
        <v>3691</v>
      </c>
      <c r="N183" t="s">
        <v>3692</v>
      </c>
      <c r="O183" t="s">
        <v>3693</v>
      </c>
      <c r="P183" t="s">
        <v>3694</v>
      </c>
      <c r="Q183" t="s">
        <v>3695</v>
      </c>
      <c r="R183" t="s">
        <v>3696</v>
      </c>
      <c r="S183" t="s">
        <v>3469</v>
      </c>
    </row>
    <row r="184" spans="1:19" x14ac:dyDescent="0.2">
      <c r="A184" t="str">
        <f t="shared" si="2"/>
        <v>metab_compid_34365</v>
      </c>
      <c r="B184">
        <v>100001797</v>
      </c>
      <c r="C184">
        <v>400</v>
      </c>
      <c r="D184">
        <v>34365</v>
      </c>
      <c r="E184">
        <v>156081</v>
      </c>
      <c r="F184" t="s">
        <v>3863</v>
      </c>
      <c r="G184" t="s">
        <v>4942</v>
      </c>
      <c r="H184">
        <v>5412</v>
      </c>
      <c r="I184" t="s">
        <v>3438</v>
      </c>
      <c r="J184" t="s">
        <v>7001</v>
      </c>
      <c r="K184" t="s">
        <v>7002</v>
      </c>
      <c r="L184" t="s">
        <v>7003</v>
      </c>
      <c r="M184" t="s">
        <v>7003</v>
      </c>
      <c r="N184" t="s">
        <v>7004</v>
      </c>
      <c r="O184" t="s">
        <v>7005</v>
      </c>
      <c r="P184" t="s">
        <v>7006</v>
      </c>
      <c r="R184" t="s">
        <v>7007</v>
      </c>
      <c r="S184" t="s">
        <v>3458</v>
      </c>
    </row>
    <row r="185" spans="1:19" x14ac:dyDescent="0.2">
      <c r="A185" t="str">
        <f t="shared" si="2"/>
        <v>metab_compid_62567</v>
      </c>
      <c r="B185">
        <v>100020827</v>
      </c>
      <c r="C185">
        <v>209</v>
      </c>
      <c r="D185">
        <v>62567</v>
      </c>
      <c r="E185">
        <v>219930</v>
      </c>
      <c r="F185" t="s">
        <v>3863</v>
      </c>
      <c r="G185" t="s">
        <v>4942</v>
      </c>
      <c r="H185">
        <v>5416</v>
      </c>
      <c r="I185" t="s">
        <v>3438</v>
      </c>
      <c r="J185" t="s">
        <v>9903</v>
      </c>
      <c r="K185" t="s">
        <v>9904</v>
      </c>
      <c r="L185" t="s">
        <v>9905</v>
      </c>
      <c r="M185" t="s">
        <v>9905</v>
      </c>
      <c r="S185" t="s">
        <v>3469</v>
      </c>
    </row>
    <row r="186" spans="1:19" x14ac:dyDescent="0.2">
      <c r="A186" t="str">
        <f t="shared" si="2"/>
        <v>metab_compid_45721</v>
      </c>
      <c r="B186">
        <v>2048</v>
      </c>
      <c r="C186">
        <v>209</v>
      </c>
      <c r="D186">
        <v>45721</v>
      </c>
      <c r="E186">
        <v>145263</v>
      </c>
      <c r="F186" t="s">
        <v>3863</v>
      </c>
      <c r="G186" t="s">
        <v>4942</v>
      </c>
      <c r="H186">
        <v>5406</v>
      </c>
      <c r="I186" t="s">
        <v>3438</v>
      </c>
      <c r="J186" t="s">
        <v>5099</v>
      </c>
      <c r="K186" t="s">
        <v>5100</v>
      </c>
      <c r="L186" t="s">
        <v>5101</v>
      </c>
      <c r="M186" t="s">
        <v>5101</v>
      </c>
      <c r="N186" t="s">
        <v>5102</v>
      </c>
      <c r="O186" t="s">
        <v>5103</v>
      </c>
      <c r="R186" t="s">
        <v>5104</v>
      </c>
      <c r="S186" t="s">
        <v>3469</v>
      </c>
    </row>
    <row r="187" spans="1:19" x14ac:dyDescent="0.2">
      <c r="A187" t="str">
        <f t="shared" si="2"/>
        <v>metab_compid_62853</v>
      </c>
      <c r="B187">
        <v>100020361</v>
      </c>
      <c r="C187">
        <v>400</v>
      </c>
      <c r="D187">
        <v>62853</v>
      </c>
      <c r="E187">
        <v>220624</v>
      </c>
      <c r="F187" t="s">
        <v>3436</v>
      </c>
      <c r="G187" t="s">
        <v>3661</v>
      </c>
      <c r="H187">
        <v>496</v>
      </c>
      <c r="I187" t="s">
        <v>3438</v>
      </c>
      <c r="J187" t="s">
        <v>9715</v>
      </c>
      <c r="K187" t="s">
        <v>9716</v>
      </c>
      <c r="L187" t="s">
        <v>9717</v>
      </c>
      <c r="M187" t="s">
        <v>9717</v>
      </c>
      <c r="N187" t="s">
        <v>9718</v>
      </c>
      <c r="O187" t="s">
        <v>9719</v>
      </c>
      <c r="P187" t="s">
        <v>9720</v>
      </c>
      <c r="R187" t="s">
        <v>9721</v>
      </c>
      <c r="S187" t="s">
        <v>3458</v>
      </c>
    </row>
    <row r="188" spans="1:19" x14ac:dyDescent="0.2">
      <c r="A188" t="str">
        <f t="shared" si="2"/>
        <v>metab_compid_1566</v>
      </c>
      <c r="B188">
        <v>1114</v>
      </c>
      <c r="C188">
        <v>400</v>
      </c>
      <c r="D188">
        <v>1566</v>
      </c>
      <c r="E188">
        <v>155405</v>
      </c>
      <c r="F188" t="s">
        <v>3533</v>
      </c>
      <c r="G188" t="s">
        <v>3534</v>
      </c>
      <c r="H188">
        <v>4303</v>
      </c>
      <c r="I188" t="s">
        <v>3438</v>
      </c>
      <c r="J188" t="s">
        <v>4712</v>
      </c>
      <c r="K188" t="s">
        <v>4713</v>
      </c>
      <c r="L188" t="s">
        <v>4714</v>
      </c>
      <c r="M188" t="s">
        <v>4714</v>
      </c>
      <c r="N188" t="s">
        <v>4715</v>
      </c>
      <c r="O188" t="s">
        <v>4716</v>
      </c>
      <c r="P188" t="s">
        <v>4717</v>
      </c>
      <c r="Q188" t="s">
        <v>4718</v>
      </c>
      <c r="R188" t="s">
        <v>4719</v>
      </c>
      <c r="S188" t="s">
        <v>3458</v>
      </c>
    </row>
    <row r="189" spans="1:19" x14ac:dyDescent="0.2">
      <c r="A189" t="str">
        <f t="shared" si="2"/>
        <v>metab_compid_63681</v>
      </c>
      <c r="B189">
        <v>100021707</v>
      </c>
      <c r="C189">
        <v>209</v>
      </c>
      <c r="D189">
        <v>63681</v>
      </c>
      <c r="E189">
        <v>223106</v>
      </c>
      <c r="F189" t="s">
        <v>3863</v>
      </c>
      <c r="G189" t="s">
        <v>5632</v>
      </c>
      <c r="H189">
        <v>6291</v>
      </c>
      <c r="I189" t="s">
        <v>3438</v>
      </c>
      <c r="J189" t="s">
        <v>10171</v>
      </c>
      <c r="K189" t="s">
        <v>10172</v>
      </c>
      <c r="L189" t="s">
        <v>10173</v>
      </c>
      <c r="M189" t="s">
        <v>10173</v>
      </c>
      <c r="R189" t="s">
        <v>10174</v>
      </c>
      <c r="S189" t="s">
        <v>3469</v>
      </c>
    </row>
    <row r="190" spans="1:19" x14ac:dyDescent="0.2">
      <c r="A190" t="str">
        <f t="shared" si="2"/>
        <v>metab_compid_61871</v>
      </c>
      <c r="B190">
        <v>100020004</v>
      </c>
      <c r="C190">
        <v>209</v>
      </c>
      <c r="D190">
        <v>61871</v>
      </c>
      <c r="E190">
        <v>218621</v>
      </c>
      <c r="F190" t="s">
        <v>3459</v>
      </c>
      <c r="G190" t="s">
        <v>3873</v>
      </c>
      <c r="H190">
        <v>1725</v>
      </c>
      <c r="I190" t="s">
        <v>3438</v>
      </c>
      <c r="J190" t="s">
        <v>9627</v>
      </c>
      <c r="K190" t="s">
        <v>9628</v>
      </c>
      <c r="L190" t="s">
        <v>9629</v>
      </c>
      <c r="M190" t="s">
        <v>9629</v>
      </c>
      <c r="O190" t="s">
        <v>9630</v>
      </c>
      <c r="P190" t="s">
        <v>9631</v>
      </c>
      <c r="R190" t="s">
        <v>9632</v>
      </c>
      <c r="S190" t="s">
        <v>3469</v>
      </c>
    </row>
    <row r="191" spans="1:19" x14ac:dyDescent="0.2">
      <c r="A191" t="str">
        <f t="shared" si="2"/>
        <v>metab_compid_31787</v>
      </c>
      <c r="B191">
        <v>100001178</v>
      </c>
      <c r="C191">
        <v>209</v>
      </c>
      <c r="D191">
        <v>31787</v>
      </c>
      <c r="E191">
        <v>142911</v>
      </c>
      <c r="F191" t="s">
        <v>3459</v>
      </c>
      <c r="G191" t="s">
        <v>3873</v>
      </c>
      <c r="H191">
        <v>1723</v>
      </c>
      <c r="I191" t="s">
        <v>3438</v>
      </c>
      <c r="J191" t="s">
        <v>5919</v>
      </c>
      <c r="K191" t="s">
        <v>5920</v>
      </c>
      <c r="L191" t="s">
        <v>5921</v>
      </c>
      <c r="M191" t="s">
        <v>5921</v>
      </c>
      <c r="N191" t="s">
        <v>5922</v>
      </c>
      <c r="O191" t="s">
        <v>5923</v>
      </c>
      <c r="P191" t="s">
        <v>5924</v>
      </c>
      <c r="R191" t="s">
        <v>5925</v>
      </c>
      <c r="S191" t="s">
        <v>3469</v>
      </c>
    </row>
    <row r="192" spans="1:19" x14ac:dyDescent="0.2">
      <c r="A192" t="str">
        <f t="shared" si="2"/>
        <v>metab_compid_63361</v>
      </c>
      <c r="B192">
        <v>100021136</v>
      </c>
      <c r="C192">
        <v>402</v>
      </c>
      <c r="D192">
        <v>63361</v>
      </c>
      <c r="E192">
        <v>222432</v>
      </c>
      <c r="F192" t="s">
        <v>3459</v>
      </c>
      <c r="G192" t="s">
        <v>6535</v>
      </c>
      <c r="H192">
        <v>1897</v>
      </c>
      <c r="I192" t="s">
        <v>3438</v>
      </c>
      <c r="J192" t="s">
        <v>10092</v>
      </c>
      <c r="K192" t="s">
        <v>10093</v>
      </c>
      <c r="L192" t="s">
        <v>10094</v>
      </c>
      <c r="M192" t="s">
        <v>10094</v>
      </c>
      <c r="S192" t="s">
        <v>3447</v>
      </c>
    </row>
    <row r="193" spans="1:19" x14ac:dyDescent="0.2">
      <c r="A193" t="str">
        <f t="shared" si="2"/>
        <v>metab_compid_62796</v>
      </c>
      <c r="B193">
        <v>100020851</v>
      </c>
      <c r="C193">
        <v>209</v>
      </c>
      <c r="D193">
        <v>62796</v>
      </c>
      <c r="E193">
        <v>220411</v>
      </c>
      <c r="F193" t="s">
        <v>3863</v>
      </c>
      <c r="G193" t="s">
        <v>3864</v>
      </c>
      <c r="H193">
        <v>4919</v>
      </c>
      <c r="I193" t="s">
        <v>3438</v>
      </c>
      <c r="J193" t="s">
        <v>9926</v>
      </c>
      <c r="K193" t="s">
        <v>9927</v>
      </c>
      <c r="L193" t="s">
        <v>9928</v>
      </c>
      <c r="M193" t="s">
        <v>9928</v>
      </c>
      <c r="S193" t="s">
        <v>3469</v>
      </c>
    </row>
    <row r="194" spans="1:19" x14ac:dyDescent="0.2">
      <c r="A194" t="str">
        <f t="shared" ref="A194:A257" si="3">_xlfn.CONCAT("metab_compid_", $D194)</f>
        <v>metab_compid_62863</v>
      </c>
      <c r="B194">
        <v>100020219</v>
      </c>
      <c r="C194">
        <v>400</v>
      </c>
      <c r="D194">
        <v>62863</v>
      </c>
      <c r="E194">
        <v>220648</v>
      </c>
      <c r="F194" t="s">
        <v>3863</v>
      </c>
      <c r="G194" t="s">
        <v>3864</v>
      </c>
      <c r="H194">
        <v>4807</v>
      </c>
      <c r="I194" t="s">
        <v>3438</v>
      </c>
      <c r="J194" t="s">
        <v>9677</v>
      </c>
      <c r="K194" t="s">
        <v>9678</v>
      </c>
      <c r="L194" t="s">
        <v>9679</v>
      </c>
      <c r="M194" t="s">
        <v>9679</v>
      </c>
      <c r="N194" t="s">
        <v>9680</v>
      </c>
      <c r="O194" t="s">
        <v>9681</v>
      </c>
      <c r="P194" t="s">
        <v>9682</v>
      </c>
      <c r="Q194" t="s">
        <v>9683</v>
      </c>
      <c r="R194" t="s">
        <v>9684</v>
      </c>
      <c r="S194" t="s">
        <v>3458</v>
      </c>
    </row>
    <row r="195" spans="1:19" x14ac:dyDescent="0.2">
      <c r="A195" t="str">
        <f t="shared" si="3"/>
        <v>metab_compid_32397</v>
      </c>
      <c r="B195">
        <v>100001170</v>
      </c>
      <c r="C195">
        <v>209</v>
      </c>
      <c r="D195">
        <v>32397</v>
      </c>
      <c r="E195">
        <v>125810</v>
      </c>
      <c r="F195" t="s">
        <v>3436</v>
      </c>
      <c r="G195" t="s">
        <v>3498</v>
      </c>
      <c r="H195">
        <v>410</v>
      </c>
      <c r="I195" t="s">
        <v>3438</v>
      </c>
      <c r="J195" t="s">
        <v>5912</v>
      </c>
      <c r="K195" t="s">
        <v>5913</v>
      </c>
      <c r="L195" t="s">
        <v>5914</v>
      </c>
      <c r="M195" t="s">
        <v>5914</v>
      </c>
      <c r="N195" t="s">
        <v>5915</v>
      </c>
      <c r="O195" t="s">
        <v>5916</v>
      </c>
      <c r="P195" t="s">
        <v>5917</v>
      </c>
      <c r="R195" t="s">
        <v>5918</v>
      </c>
      <c r="S195" t="s">
        <v>3469</v>
      </c>
    </row>
    <row r="196" spans="1:19" x14ac:dyDescent="0.2">
      <c r="A196" t="str">
        <f t="shared" si="3"/>
        <v>metab_compid_63227</v>
      </c>
      <c r="B196">
        <v>100020975</v>
      </c>
      <c r="C196">
        <v>209</v>
      </c>
      <c r="D196">
        <v>63227</v>
      </c>
      <c r="E196">
        <v>222084</v>
      </c>
      <c r="F196" t="s">
        <v>3863</v>
      </c>
      <c r="G196" t="s">
        <v>5632</v>
      </c>
      <c r="H196">
        <v>6285</v>
      </c>
      <c r="I196" t="s">
        <v>3438</v>
      </c>
      <c r="J196" t="s">
        <v>10047</v>
      </c>
      <c r="K196" t="s">
        <v>10048</v>
      </c>
      <c r="L196" t="s">
        <v>10049</v>
      </c>
      <c r="M196" t="s">
        <v>10049</v>
      </c>
      <c r="S196" t="s">
        <v>3469</v>
      </c>
    </row>
    <row r="197" spans="1:19" x14ac:dyDescent="0.2">
      <c r="A197" t="str">
        <f t="shared" si="3"/>
        <v>metab_compid_531</v>
      </c>
      <c r="B197">
        <v>112</v>
      </c>
      <c r="C197">
        <v>305</v>
      </c>
      <c r="D197">
        <v>531</v>
      </c>
      <c r="E197">
        <v>146400</v>
      </c>
      <c r="F197" t="s">
        <v>3459</v>
      </c>
      <c r="G197" t="s">
        <v>3507</v>
      </c>
      <c r="H197">
        <v>3195</v>
      </c>
      <c r="I197" t="s">
        <v>3438</v>
      </c>
      <c r="J197" t="s">
        <v>3508</v>
      </c>
      <c r="K197" t="s">
        <v>3509</v>
      </c>
      <c r="L197" t="s">
        <v>3510</v>
      </c>
      <c r="M197" t="s">
        <v>3510</v>
      </c>
      <c r="N197" t="s">
        <v>3511</v>
      </c>
      <c r="O197" t="s">
        <v>3512</v>
      </c>
      <c r="P197" t="s">
        <v>3513</v>
      </c>
      <c r="Q197" t="s">
        <v>3514</v>
      </c>
      <c r="R197" t="s">
        <v>3515</v>
      </c>
      <c r="S197" t="s">
        <v>3489</v>
      </c>
    </row>
    <row r="198" spans="1:19" x14ac:dyDescent="0.2">
      <c r="A198" t="str">
        <f t="shared" si="3"/>
        <v>metab_compid_62069</v>
      </c>
      <c r="B198">
        <v>100004396</v>
      </c>
      <c r="C198">
        <v>305</v>
      </c>
      <c r="D198">
        <v>62069</v>
      </c>
      <c r="E198">
        <v>218878</v>
      </c>
      <c r="F198" t="s">
        <v>3459</v>
      </c>
      <c r="G198" t="s">
        <v>3873</v>
      </c>
      <c r="H198">
        <v>1686</v>
      </c>
      <c r="I198" t="s">
        <v>3438</v>
      </c>
      <c r="J198" t="s">
        <v>8201</v>
      </c>
      <c r="K198" t="s">
        <v>8202</v>
      </c>
      <c r="L198" t="s">
        <v>8203</v>
      </c>
      <c r="M198" t="s">
        <v>8203</v>
      </c>
      <c r="O198" t="s">
        <v>8204</v>
      </c>
      <c r="P198" t="s">
        <v>8205</v>
      </c>
      <c r="R198" t="s">
        <v>8206</v>
      </c>
      <c r="S198" t="s">
        <v>3489</v>
      </c>
    </row>
    <row r="199" spans="1:19" x14ac:dyDescent="0.2">
      <c r="A199" t="str">
        <f t="shared" si="3"/>
        <v>metab_compid_542</v>
      </c>
      <c r="B199">
        <v>254</v>
      </c>
      <c r="C199">
        <v>305</v>
      </c>
      <c r="D199">
        <v>542</v>
      </c>
      <c r="E199">
        <v>145710</v>
      </c>
      <c r="F199" t="s">
        <v>3459</v>
      </c>
      <c r="G199" t="s">
        <v>3740</v>
      </c>
      <c r="H199">
        <v>1956</v>
      </c>
      <c r="I199" t="s">
        <v>3438</v>
      </c>
      <c r="J199" t="s">
        <v>3741</v>
      </c>
      <c r="K199" t="s">
        <v>3742</v>
      </c>
      <c r="L199" t="s">
        <v>3743</v>
      </c>
      <c r="M199" t="s">
        <v>3743</v>
      </c>
      <c r="N199" t="s">
        <v>3744</v>
      </c>
      <c r="O199" t="s">
        <v>3745</v>
      </c>
      <c r="P199" t="s">
        <v>3746</v>
      </c>
      <c r="Q199" t="s">
        <v>3747</v>
      </c>
      <c r="R199" t="s">
        <v>3748</v>
      </c>
      <c r="S199" t="s">
        <v>3489</v>
      </c>
    </row>
    <row r="200" spans="1:19" x14ac:dyDescent="0.2">
      <c r="A200" t="str">
        <f t="shared" si="3"/>
        <v>metab_compid_62064</v>
      </c>
      <c r="B200">
        <v>100020211</v>
      </c>
      <c r="C200">
        <v>400</v>
      </c>
      <c r="D200">
        <v>62064</v>
      </c>
      <c r="E200">
        <v>218870</v>
      </c>
      <c r="F200" t="s">
        <v>3459</v>
      </c>
      <c r="G200" t="s">
        <v>4991</v>
      </c>
      <c r="H200">
        <v>1849</v>
      </c>
      <c r="I200" t="s">
        <v>3438</v>
      </c>
      <c r="J200" t="s">
        <v>9663</v>
      </c>
      <c r="K200" t="s">
        <v>9664</v>
      </c>
      <c r="L200" t="s">
        <v>9665</v>
      </c>
      <c r="M200" t="s">
        <v>9665</v>
      </c>
      <c r="S200" t="s">
        <v>3458</v>
      </c>
    </row>
    <row r="201" spans="1:19" x14ac:dyDescent="0.2">
      <c r="A201" t="str">
        <f t="shared" si="3"/>
        <v>metab_compid_57788</v>
      </c>
      <c r="B201">
        <v>100015982</v>
      </c>
      <c r="C201">
        <v>209</v>
      </c>
      <c r="D201">
        <v>57788</v>
      </c>
      <c r="E201">
        <v>213705</v>
      </c>
      <c r="F201" t="s">
        <v>3863</v>
      </c>
      <c r="G201" t="s">
        <v>4959</v>
      </c>
      <c r="H201">
        <v>5856</v>
      </c>
      <c r="I201" t="s">
        <v>3438</v>
      </c>
      <c r="J201" t="s">
        <v>9549</v>
      </c>
      <c r="K201" t="s">
        <v>9550</v>
      </c>
      <c r="L201" t="s">
        <v>9551</v>
      </c>
      <c r="M201" t="s">
        <v>9551</v>
      </c>
      <c r="N201" t="s">
        <v>9552</v>
      </c>
      <c r="O201" t="s">
        <v>9553</v>
      </c>
      <c r="P201" t="s">
        <v>9554</v>
      </c>
      <c r="Q201" t="s">
        <v>9555</v>
      </c>
      <c r="R201" t="s">
        <v>9556</v>
      </c>
      <c r="S201" t="s">
        <v>3469</v>
      </c>
    </row>
    <row r="202" spans="1:19" x14ac:dyDescent="0.2">
      <c r="A202" t="str">
        <f t="shared" si="3"/>
        <v>metab_compid_22053</v>
      </c>
      <c r="B202">
        <v>100000997</v>
      </c>
      <c r="C202">
        <v>209</v>
      </c>
      <c r="D202">
        <v>22053</v>
      </c>
      <c r="E202">
        <v>123301</v>
      </c>
      <c r="F202" t="s">
        <v>3459</v>
      </c>
      <c r="G202" t="s">
        <v>4869</v>
      </c>
      <c r="H202">
        <v>2000</v>
      </c>
      <c r="I202" t="s">
        <v>3438</v>
      </c>
      <c r="J202" t="s">
        <v>5686</v>
      </c>
      <c r="K202" t="s">
        <v>5687</v>
      </c>
      <c r="L202" t="s">
        <v>5688</v>
      </c>
      <c r="M202" t="s">
        <v>5688</v>
      </c>
      <c r="N202" t="s">
        <v>5689</v>
      </c>
      <c r="O202" t="s">
        <v>5690</v>
      </c>
      <c r="P202" t="s">
        <v>5691</v>
      </c>
      <c r="R202" t="s">
        <v>5692</v>
      </c>
      <c r="S202" t="s">
        <v>3469</v>
      </c>
    </row>
    <row r="203" spans="1:19" x14ac:dyDescent="0.2">
      <c r="A203" t="str">
        <f t="shared" si="3"/>
        <v>metab_compid_63358</v>
      </c>
      <c r="B203">
        <v>100021141</v>
      </c>
      <c r="C203">
        <v>402</v>
      </c>
      <c r="D203">
        <v>63358</v>
      </c>
      <c r="E203">
        <v>222426</v>
      </c>
      <c r="F203" t="s">
        <v>3459</v>
      </c>
      <c r="G203" t="s">
        <v>7998</v>
      </c>
      <c r="H203">
        <v>1945</v>
      </c>
      <c r="I203" t="s">
        <v>3438</v>
      </c>
      <c r="J203" t="s">
        <v>10095</v>
      </c>
      <c r="K203" t="s">
        <v>10096</v>
      </c>
      <c r="L203" t="s">
        <v>10097</v>
      </c>
      <c r="M203" t="s">
        <v>10097</v>
      </c>
      <c r="O203" t="s">
        <v>10098</v>
      </c>
      <c r="P203" t="s">
        <v>10099</v>
      </c>
      <c r="R203" t="s">
        <v>10100</v>
      </c>
      <c r="S203" t="s">
        <v>3447</v>
      </c>
    </row>
    <row r="204" spans="1:19" x14ac:dyDescent="0.2">
      <c r="A204" t="str">
        <f t="shared" si="3"/>
        <v>metab_compid_62915</v>
      </c>
      <c r="B204">
        <v>100001454</v>
      </c>
      <c r="C204">
        <v>209</v>
      </c>
      <c r="D204">
        <v>62915</v>
      </c>
      <c r="E204">
        <v>220767</v>
      </c>
      <c r="F204" t="s">
        <v>3459</v>
      </c>
      <c r="G204" t="s">
        <v>3873</v>
      </c>
      <c r="H204">
        <v>1705</v>
      </c>
      <c r="I204" t="s">
        <v>3438</v>
      </c>
      <c r="J204" t="s">
        <v>6489</v>
      </c>
      <c r="K204" t="s">
        <v>6490</v>
      </c>
      <c r="L204" t="s">
        <v>6491</v>
      </c>
      <c r="M204" t="s">
        <v>6491</v>
      </c>
      <c r="N204" t="s">
        <v>6492</v>
      </c>
      <c r="O204" t="s">
        <v>6493</v>
      </c>
      <c r="P204" t="s">
        <v>6494</v>
      </c>
      <c r="R204" t="s">
        <v>6495</v>
      </c>
      <c r="S204" t="s">
        <v>3469</v>
      </c>
    </row>
    <row r="205" spans="1:19" x14ac:dyDescent="0.2">
      <c r="A205" t="str">
        <f t="shared" si="3"/>
        <v>metab_compid_53230</v>
      </c>
      <c r="B205">
        <v>100006367</v>
      </c>
      <c r="C205">
        <v>209</v>
      </c>
      <c r="D205">
        <v>53230</v>
      </c>
      <c r="E205">
        <v>179135</v>
      </c>
      <c r="F205" t="s">
        <v>3459</v>
      </c>
      <c r="G205" t="s">
        <v>4869</v>
      </c>
      <c r="H205">
        <v>1997</v>
      </c>
      <c r="I205" t="s">
        <v>3438</v>
      </c>
      <c r="J205" t="s">
        <v>8634</v>
      </c>
      <c r="K205" t="s">
        <v>8635</v>
      </c>
      <c r="L205" t="s">
        <v>8636</v>
      </c>
      <c r="M205" t="s">
        <v>8636</v>
      </c>
      <c r="N205" t="s">
        <v>8637</v>
      </c>
      <c r="O205" t="s">
        <v>8638</v>
      </c>
      <c r="P205" t="s">
        <v>8639</v>
      </c>
      <c r="R205" t="s">
        <v>8640</v>
      </c>
      <c r="S205" t="s">
        <v>3469</v>
      </c>
    </row>
    <row r="206" spans="1:19" x14ac:dyDescent="0.2">
      <c r="A206" t="str">
        <f t="shared" si="3"/>
        <v>metab_compid_62557</v>
      </c>
      <c r="B206">
        <v>100020825</v>
      </c>
      <c r="C206">
        <v>400</v>
      </c>
      <c r="D206">
        <v>62557</v>
      </c>
      <c r="E206">
        <v>219908</v>
      </c>
      <c r="F206" t="s">
        <v>3459</v>
      </c>
      <c r="G206" t="s">
        <v>7998</v>
      </c>
      <c r="H206">
        <v>1939</v>
      </c>
      <c r="I206" t="s">
        <v>3438</v>
      </c>
      <c r="J206" t="s">
        <v>9900</v>
      </c>
      <c r="K206" t="s">
        <v>9901</v>
      </c>
      <c r="L206" t="s">
        <v>9902</v>
      </c>
      <c r="M206" t="s">
        <v>9902</v>
      </c>
      <c r="S206" t="s">
        <v>3458</v>
      </c>
    </row>
    <row r="207" spans="1:19" x14ac:dyDescent="0.2">
      <c r="A207" t="str">
        <f t="shared" si="3"/>
        <v>metab_compid_39600</v>
      </c>
      <c r="B207">
        <v>100002122</v>
      </c>
      <c r="C207">
        <v>209</v>
      </c>
      <c r="D207">
        <v>39600</v>
      </c>
      <c r="E207">
        <v>141918</v>
      </c>
      <c r="F207" t="s">
        <v>3863</v>
      </c>
      <c r="G207" t="s">
        <v>5082</v>
      </c>
      <c r="H207">
        <v>4489</v>
      </c>
      <c r="I207" t="s">
        <v>3438</v>
      </c>
      <c r="J207" t="s">
        <v>7282</v>
      </c>
      <c r="K207" t="s">
        <v>7283</v>
      </c>
      <c r="L207" t="s">
        <v>7284</v>
      </c>
      <c r="M207" t="s">
        <v>7284</v>
      </c>
      <c r="N207" t="s">
        <v>7285</v>
      </c>
      <c r="O207" t="s">
        <v>7286</v>
      </c>
      <c r="P207" t="s">
        <v>7287</v>
      </c>
      <c r="R207" t="s">
        <v>7288</v>
      </c>
      <c r="S207" t="s">
        <v>3469</v>
      </c>
    </row>
    <row r="208" spans="1:19" x14ac:dyDescent="0.2">
      <c r="A208" t="str">
        <f t="shared" si="3"/>
        <v>metab_compid_62530</v>
      </c>
      <c r="B208">
        <v>100020410</v>
      </c>
      <c r="C208">
        <v>209</v>
      </c>
      <c r="D208">
        <v>62530</v>
      </c>
      <c r="E208">
        <v>219863</v>
      </c>
      <c r="F208" t="s">
        <v>3863</v>
      </c>
      <c r="G208" t="s">
        <v>5082</v>
      </c>
      <c r="H208">
        <v>4490</v>
      </c>
      <c r="I208" t="s">
        <v>3438</v>
      </c>
      <c r="J208" t="s">
        <v>9750</v>
      </c>
      <c r="K208" t="s">
        <v>9751</v>
      </c>
      <c r="L208" t="s">
        <v>9752</v>
      </c>
      <c r="M208" t="s">
        <v>9752</v>
      </c>
      <c r="O208" t="s">
        <v>9753</v>
      </c>
      <c r="R208" t="s">
        <v>9754</v>
      </c>
      <c r="S208" t="s">
        <v>3469</v>
      </c>
    </row>
    <row r="209" spans="1:19" x14ac:dyDescent="0.2">
      <c r="A209" t="str">
        <f t="shared" si="3"/>
        <v>metab_compid_1549</v>
      </c>
      <c r="B209">
        <v>111</v>
      </c>
      <c r="C209">
        <v>305</v>
      </c>
      <c r="D209">
        <v>1549</v>
      </c>
      <c r="E209">
        <v>147711</v>
      </c>
      <c r="F209" t="s">
        <v>3436</v>
      </c>
      <c r="G209" t="s">
        <v>3498</v>
      </c>
      <c r="H209">
        <v>433</v>
      </c>
      <c r="I209" t="s">
        <v>3438</v>
      </c>
      <c r="J209" t="s">
        <v>3499</v>
      </c>
      <c r="K209" t="s">
        <v>3500</v>
      </c>
      <c r="L209" t="s">
        <v>3501</v>
      </c>
      <c r="M209" t="s">
        <v>3501</v>
      </c>
      <c r="N209" t="s">
        <v>3502</v>
      </c>
      <c r="O209" t="s">
        <v>3503</v>
      </c>
      <c r="P209" t="s">
        <v>3504</v>
      </c>
      <c r="Q209" t="s">
        <v>3505</v>
      </c>
      <c r="R209" t="s">
        <v>3506</v>
      </c>
      <c r="S209" t="s">
        <v>3489</v>
      </c>
    </row>
    <row r="210" spans="1:19" x14ac:dyDescent="0.2">
      <c r="A210" t="str">
        <f t="shared" si="3"/>
        <v>metab_compid_32457</v>
      </c>
      <c r="B210">
        <v>100001112</v>
      </c>
      <c r="C210">
        <v>209</v>
      </c>
      <c r="D210">
        <v>32457</v>
      </c>
      <c r="E210">
        <v>151499</v>
      </c>
      <c r="F210" t="s">
        <v>3459</v>
      </c>
      <c r="G210" t="s">
        <v>4869</v>
      </c>
      <c r="H210">
        <v>2003</v>
      </c>
      <c r="I210" t="s">
        <v>3438</v>
      </c>
      <c r="J210" t="s">
        <v>5851</v>
      </c>
      <c r="K210" t="s">
        <v>5852</v>
      </c>
      <c r="L210" t="s">
        <v>5853</v>
      </c>
      <c r="M210" t="s">
        <v>5853</v>
      </c>
      <c r="N210" t="s">
        <v>5854</v>
      </c>
      <c r="O210" t="s">
        <v>5855</v>
      </c>
      <c r="P210" t="s">
        <v>5856</v>
      </c>
      <c r="R210" t="s">
        <v>5857</v>
      </c>
      <c r="S210" t="s">
        <v>3469</v>
      </c>
    </row>
    <row r="211" spans="1:19" x14ac:dyDescent="0.2">
      <c r="A211" t="str">
        <f t="shared" si="3"/>
        <v>metab_compid_21158</v>
      </c>
      <c r="B211">
        <v>100000882</v>
      </c>
      <c r="C211">
        <v>209</v>
      </c>
      <c r="D211">
        <v>21158</v>
      </c>
      <c r="E211">
        <v>152464</v>
      </c>
      <c r="F211" t="s">
        <v>3459</v>
      </c>
      <c r="G211" t="s">
        <v>4869</v>
      </c>
      <c r="H211">
        <v>2004</v>
      </c>
      <c r="I211" t="s">
        <v>3438</v>
      </c>
      <c r="J211" t="s">
        <v>5625</v>
      </c>
      <c r="K211" t="s">
        <v>5626</v>
      </c>
      <c r="L211" t="s">
        <v>5627</v>
      </c>
      <c r="M211" t="s">
        <v>5627</v>
      </c>
      <c r="N211" t="s">
        <v>5628</v>
      </c>
      <c r="O211" t="s">
        <v>5629</v>
      </c>
      <c r="P211" t="s">
        <v>5630</v>
      </c>
      <c r="R211" t="s">
        <v>5631</v>
      </c>
      <c r="S211" t="s">
        <v>3469</v>
      </c>
    </row>
    <row r="212" spans="1:19" x14ac:dyDescent="0.2">
      <c r="A212" t="str">
        <f t="shared" si="3"/>
        <v>metab_compid_22001</v>
      </c>
      <c r="B212">
        <v>100000773</v>
      </c>
      <c r="C212">
        <v>209</v>
      </c>
      <c r="D212">
        <v>22001</v>
      </c>
      <c r="E212">
        <v>126860</v>
      </c>
      <c r="F212" t="s">
        <v>3459</v>
      </c>
      <c r="G212" t="s">
        <v>4869</v>
      </c>
      <c r="H212">
        <v>1998</v>
      </c>
      <c r="I212" t="s">
        <v>3438</v>
      </c>
      <c r="J212" t="s">
        <v>5510</v>
      </c>
      <c r="K212" t="s">
        <v>5511</v>
      </c>
      <c r="L212" t="s">
        <v>5512</v>
      </c>
      <c r="M212" t="s">
        <v>5512</v>
      </c>
      <c r="N212" t="s">
        <v>5513</v>
      </c>
      <c r="O212" t="s">
        <v>5514</v>
      </c>
      <c r="P212" t="s">
        <v>5515</v>
      </c>
      <c r="Q212" t="s">
        <v>5516</v>
      </c>
      <c r="R212" t="s">
        <v>5517</v>
      </c>
      <c r="S212" t="s">
        <v>3469</v>
      </c>
    </row>
    <row r="213" spans="1:19" x14ac:dyDescent="0.2">
      <c r="A213" t="str">
        <f t="shared" si="3"/>
        <v>metab_compid_64393</v>
      </c>
      <c r="B213">
        <v>100021990</v>
      </c>
      <c r="C213">
        <v>400</v>
      </c>
      <c r="D213">
        <v>64393</v>
      </c>
      <c r="E213">
        <v>237477</v>
      </c>
      <c r="F213" t="s">
        <v>3459</v>
      </c>
      <c r="G213" t="s">
        <v>7998</v>
      </c>
      <c r="H213">
        <v>1942</v>
      </c>
      <c r="I213" t="s">
        <v>3438</v>
      </c>
      <c r="J213" t="s">
        <v>10229</v>
      </c>
      <c r="K213" t="s">
        <v>10230</v>
      </c>
      <c r="L213" t="s">
        <v>10231</v>
      </c>
      <c r="M213" t="s">
        <v>10231</v>
      </c>
      <c r="S213" t="s">
        <v>3458</v>
      </c>
    </row>
    <row r="214" spans="1:19" x14ac:dyDescent="0.2">
      <c r="A214" t="str">
        <f t="shared" si="3"/>
        <v>metab_compid_64394</v>
      </c>
      <c r="B214">
        <v>100021991</v>
      </c>
      <c r="C214">
        <v>400</v>
      </c>
      <c r="D214">
        <v>64394</v>
      </c>
      <c r="E214">
        <v>237478</v>
      </c>
      <c r="F214" t="s">
        <v>3459</v>
      </c>
      <c r="G214" t="s">
        <v>7998</v>
      </c>
      <c r="H214">
        <v>1943</v>
      </c>
      <c r="I214" t="s">
        <v>3438</v>
      </c>
      <c r="J214" t="s">
        <v>10229</v>
      </c>
      <c r="K214" t="s">
        <v>10230</v>
      </c>
      <c r="L214" t="s">
        <v>10232</v>
      </c>
      <c r="M214" t="s">
        <v>10232</v>
      </c>
      <c r="S214" t="s">
        <v>3458</v>
      </c>
    </row>
    <row r="215" spans="1:19" x14ac:dyDescent="0.2">
      <c r="A215" t="str">
        <f t="shared" si="3"/>
        <v>metab_compid_61840</v>
      </c>
      <c r="B215">
        <v>100019801</v>
      </c>
      <c r="C215">
        <v>402</v>
      </c>
      <c r="D215">
        <v>61840</v>
      </c>
      <c r="E215">
        <v>218539</v>
      </c>
      <c r="F215" t="s">
        <v>3459</v>
      </c>
      <c r="G215" t="s">
        <v>7998</v>
      </c>
      <c r="H215">
        <v>1947</v>
      </c>
      <c r="I215" t="s">
        <v>3438</v>
      </c>
      <c r="J215" t="s">
        <v>9577</v>
      </c>
      <c r="K215" t="s">
        <v>9578</v>
      </c>
      <c r="L215" t="s">
        <v>9579</v>
      </c>
      <c r="M215" t="s">
        <v>9579</v>
      </c>
      <c r="O215" t="s">
        <v>9580</v>
      </c>
      <c r="R215" t="s">
        <v>9581</v>
      </c>
      <c r="S215" t="s">
        <v>3447</v>
      </c>
    </row>
    <row r="216" spans="1:19" x14ac:dyDescent="0.2">
      <c r="A216" t="str">
        <f t="shared" si="3"/>
        <v>metab_compid_63236</v>
      </c>
      <c r="B216">
        <v>100020591</v>
      </c>
      <c r="C216">
        <v>400</v>
      </c>
      <c r="D216">
        <v>63236</v>
      </c>
      <c r="E216">
        <v>222109</v>
      </c>
      <c r="F216" t="s">
        <v>3863</v>
      </c>
      <c r="G216" t="s">
        <v>5632</v>
      </c>
      <c r="H216">
        <v>6253</v>
      </c>
      <c r="I216" t="s">
        <v>3438</v>
      </c>
      <c r="J216" t="s">
        <v>9824</v>
      </c>
      <c r="K216" t="s">
        <v>9825</v>
      </c>
      <c r="L216" t="s">
        <v>9826</v>
      </c>
      <c r="M216" t="s">
        <v>9826</v>
      </c>
      <c r="S216" t="s">
        <v>3458</v>
      </c>
    </row>
    <row r="217" spans="1:19" x14ac:dyDescent="0.2">
      <c r="A217" t="str">
        <f t="shared" si="3"/>
        <v>metab_compid_48448</v>
      </c>
      <c r="B217">
        <v>100006098</v>
      </c>
      <c r="C217">
        <v>209</v>
      </c>
      <c r="D217">
        <v>48448</v>
      </c>
      <c r="E217">
        <v>155087</v>
      </c>
      <c r="F217" t="s">
        <v>3863</v>
      </c>
      <c r="G217" t="s">
        <v>5632</v>
      </c>
      <c r="H217">
        <v>6252</v>
      </c>
      <c r="I217" t="s">
        <v>3438</v>
      </c>
      <c r="J217" t="s">
        <v>8443</v>
      </c>
      <c r="K217" t="s">
        <v>8444</v>
      </c>
      <c r="L217" t="s">
        <v>8445</v>
      </c>
      <c r="M217" t="s">
        <v>8445</v>
      </c>
      <c r="N217" t="s">
        <v>8446</v>
      </c>
      <c r="O217" t="s">
        <v>8447</v>
      </c>
      <c r="S217" t="s">
        <v>3469</v>
      </c>
    </row>
    <row r="218" spans="1:19" x14ac:dyDescent="0.2">
      <c r="A218" t="str">
        <f t="shared" si="3"/>
        <v>metab_compid_43496</v>
      </c>
      <c r="B218">
        <v>100002410</v>
      </c>
      <c r="C218">
        <v>400</v>
      </c>
      <c r="D218">
        <v>43496</v>
      </c>
      <c r="E218">
        <v>157018</v>
      </c>
      <c r="F218" t="s">
        <v>3863</v>
      </c>
      <c r="G218" t="s">
        <v>7477</v>
      </c>
      <c r="H218">
        <v>5550</v>
      </c>
      <c r="I218" t="s">
        <v>3438</v>
      </c>
      <c r="J218" t="s">
        <v>7478</v>
      </c>
      <c r="K218" t="s">
        <v>7479</v>
      </c>
      <c r="L218" t="s">
        <v>7480</v>
      </c>
      <c r="M218" t="s">
        <v>7480</v>
      </c>
      <c r="N218" t="s">
        <v>7481</v>
      </c>
      <c r="O218" t="s">
        <v>7482</v>
      </c>
      <c r="P218" t="s">
        <v>7483</v>
      </c>
      <c r="Q218" t="s">
        <v>7484</v>
      </c>
      <c r="R218" t="s">
        <v>7485</v>
      </c>
      <c r="S218" t="s">
        <v>3458</v>
      </c>
    </row>
    <row r="219" spans="1:19" x14ac:dyDescent="0.2">
      <c r="A219" t="str">
        <f t="shared" si="3"/>
        <v>metab_compid_62062</v>
      </c>
      <c r="B219">
        <v>100020203</v>
      </c>
      <c r="C219">
        <v>400</v>
      </c>
      <c r="D219">
        <v>62062</v>
      </c>
      <c r="E219">
        <v>218866</v>
      </c>
      <c r="F219" t="s">
        <v>3863</v>
      </c>
      <c r="G219" t="s">
        <v>3864</v>
      </c>
      <c r="H219">
        <v>5087</v>
      </c>
      <c r="I219" t="s">
        <v>3438</v>
      </c>
      <c r="J219" t="s">
        <v>9638</v>
      </c>
      <c r="K219" t="s">
        <v>9639</v>
      </c>
      <c r="L219" t="s">
        <v>9640</v>
      </c>
      <c r="M219" t="s">
        <v>9640</v>
      </c>
      <c r="O219" t="s">
        <v>9641</v>
      </c>
      <c r="Q219" t="s">
        <v>9642</v>
      </c>
      <c r="R219" t="s">
        <v>9643</v>
      </c>
      <c r="S219" t="s">
        <v>3458</v>
      </c>
    </row>
    <row r="220" spans="1:19" x14ac:dyDescent="0.2">
      <c r="A220" t="str">
        <f t="shared" si="3"/>
        <v>metab_compid_63583</v>
      </c>
      <c r="B220">
        <v>100020372</v>
      </c>
      <c r="C220">
        <v>209</v>
      </c>
      <c r="D220">
        <v>63583</v>
      </c>
      <c r="E220">
        <v>222852</v>
      </c>
      <c r="F220" t="s">
        <v>3863</v>
      </c>
      <c r="G220" t="s">
        <v>3864</v>
      </c>
      <c r="H220">
        <v>5237</v>
      </c>
      <c r="I220" t="s">
        <v>3438</v>
      </c>
      <c r="J220" t="s">
        <v>9728</v>
      </c>
      <c r="K220" t="s">
        <v>9729</v>
      </c>
      <c r="L220" t="s">
        <v>9730</v>
      </c>
      <c r="M220" t="s">
        <v>9730</v>
      </c>
      <c r="N220" t="s">
        <v>9731</v>
      </c>
      <c r="O220" t="s">
        <v>9732</v>
      </c>
      <c r="R220" t="s">
        <v>9733</v>
      </c>
      <c r="S220" t="s">
        <v>3469</v>
      </c>
    </row>
    <row r="221" spans="1:19" x14ac:dyDescent="0.2">
      <c r="A221" t="str">
        <f t="shared" si="3"/>
        <v>metab_compid_27672</v>
      </c>
      <c r="B221">
        <v>100000467</v>
      </c>
      <c r="C221">
        <v>209</v>
      </c>
      <c r="D221">
        <v>27672</v>
      </c>
      <c r="E221">
        <v>123315</v>
      </c>
      <c r="F221" t="s">
        <v>3436</v>
      </c>
      <c r="G221" t="s">
        <v>3470</v>
      </c>
      <c r="H221">
        <v>327</v>
      </c>
      <c r="I221" t="s">
        <v>3438</v>
      </c>
      <c r="J221" t="s">
        <v>5374</v>
      </c>
      <c r="K221" t="s">
        <v>5375</v>
      </c>
      <c r="L221" t="s">
        <v>5376</v>
      </c>
      <c r="M221" t="s">
        <v>5376</v>
      </c>
      <c r="N221" t="s">
        <v>5377</v>
      </c>
      <c r="O221" t="s">
        <v>5378</v>
      </c>
      <c r="P221" t="s">
        <v>5379</v>
      </c>
      <c r="R221" t="s">
        <v>5380</v>
      </c>
      <c r="S221" t="s">
        <v>3469</v>
      </c>
    </row>
    <row r="222" spans="1:19" x14ac:dyDescent="0.2">
      <c r="A222" t="str">
        <f t="shared" si="3"/>
        <v>metab_compid_48763</v>
      </c>
      <c r="B222">
        <v>100006375</v>
      </c>
      <c r="C222">
        <v>209</v>
      </c>
      <c r="D222">
        <v>48763</v>
      </c>
      <c r="E222">
        <v>155127</v>
      </c>
      <c r="F222" t="s">
        <v>3863</v>
      </c>
      <c r="G222" t="s">
        <v>5082</v>
      </c>
      <c r="H222">
        <v>4563</v>
      </c>
      <c r="I222" t="s">
        <v>3438</v>
      </c>
      <c r="J222" t="s">
        <v>8659</v>
      </c>
      <c r="K222" t="s">
        <v>8660</v>
      </c>
      <c r="L222" t="s">
        <v>8661</v>
      </c>
      <c r="M222" t="s">
        <v>8661</v>
      </c>
      <c r="R222" t="s">
        <v>8662</v>
      </c>
      <c r="S222" t="s">
        <v>3469</v>
      </c>
    </row>
    <row r="223" spans="1:19" x14ac:dyDescent="0.2">
      <c r="A223" t="str">
        <f t="shared" si="3"/>
        <v>metab_compid_48752</v>
      </c>
      <c r="B223">
        <v>100006376</v>
      </c>
      <c r="C223">
        <v>209</v>
      </c>
      <c r="D223">
        <v>48752</v>
      </c>
      <c r="E223">
        <v>155119</v>
      </c>
      <c r="F223" t="s">
        <v>3863</v>
      </c>
      <c r="G223" t="s">
        <v>5082</v>
      </c>
      <c r="H223">
        <v>4564</v>
      </c>
      <c r="I223" t="s">
        <v>3438</v>
      </c>
      <c r="J223" t="s">
        <v>8659</v>
      </c>
      <c r="K223" t="s">
        <v>8663</v>
      </c>
      <c r="L223" t="s">
        <v>8664</v>
      </c>
      <c r="M223" t="s">
        <v>8664</v>
      </c>
      <c r="S223" t="s">
        <v>3469</v>
      </c>
    </row>
    <row r="224" spans="1:19" x14ac:dyDescent="0.2">
      <c r="A224" t="str">
        <f t="shared" si="3"/>
        <v>metab_compid_12017</v>
      </c>
      <c r="B224">
        <v>1342</v>
      </c>
      <c r="C224">
        <v>400</v>
      </c>
      <c r="D224">
        <v>12017</v>
      </c>
      <c r="E224">
        <v>155509</v>
      </c>
      <c r="F224" t="s">
        <v>3436</v>
      </c>
      <c r="G224" t="s">
        <v>3687</v>
      </c>
      <c r="H224">
        <v>209</v>
      </c>
      <c r="I224" t="s">
        <v>3438</v>
      </c>
      <c r="J224" t="s">
        <v>4926</v>
      </c>
      <c r="K224" t="s">
        <v>4927</v>
      </c>
      <c r="L224" t="s">
        <v>4928</v>
      </c>
      <c r="M224" t="s">
        <v>4928</v>
      </c>
      <c r="N224" t="s">
        <v>4929</v>
      </c>
      <c r="O224" t="s">
        <v>4930</v>
      </c>
      <c r="P224" t="s">
        <v>4931</v>
      </c>
      <c r="R224" t="s">
        <v>4932</v>
      </c>
      <c r="S224" t="s">
        <v>3458</v>
      </c>
    </row>
    <row r="225" spans="1:19" x14ac:dyDescent="0.2">
      <c r="A225" t="str">
        <f t="shared" si="3"/>
        <v>metab_compid_46165</v>
      </c>
      <c r="B225">
        <v>100004112</v>
      </c>
      <c r="C225">
        <v>209</v>
      </c>
      <c r="D225">
        <v>46165</v>
      </c>
      <c r="E225">
        <v>144278</v>
      </c>
      <c r="F225" t="s">
        <v>3863</v>
      </c>
      <c r="G225" t="s">
        <v>5082</v>
      </c>
      <c r="H225">
        <v>4524</v>
      </c>
      <c r="I225" t="s">
        <v>3438</v>
      </c>
      <c r="J225" t="s">
        <v>8077</v>
      </c>
      <c r="K225" t="s">
        <v>8078</v>
      </c>
      <c r="L225" t="s">
        <v>8079</v>
      </c>
      <c r="M225" t="s">
        <v>8079</v>
      </c>
      <c r="R225" t="s">
        <v>8080</v>
      </c>
      <c r="S225" t="s">
        <v>3469</v>
      </c>
    </row>
    <row r="226" spans="1:19" x14ac:dyDescent="0.2">
      <c r="A226" t="str">
        <f t="shared" si="3"/>
        <v>metab_compid_44526</v>
      </c>
      <c r="B226">
        <v>100000936</v>
      </c>
      <c r="C226">
        <v>209</v>
      </c>
      <c r="D226">
        <v>44526</v>
      </c>
      <c r="E226">
        <v>124713</v>
      </c>
      <c r="F226" t="s">
        <v>3436</v>
      </c>
      <c r="G226" t="s">
        <v>3498</v>
      </c>
      <c r="H226">
        <v>428</v>
      </c>
      <c r="I226" t="s">
        <v>3438</v>
      </c>
      <c r="J226" t="s">
        <v>5648</v>
      </c>
      <c r="K226" t="s">
        <v>5649</v>
      </c>
      <c r="L226" t="s">
        <v>5650</v>
      </c>
      <c r="M226" t="s">
        <v>5650</v>
      </c>
      <c r="N226" t="s">
        <v>5651</v>
      </c>
      <c r="O226" t="s">
        <v>5652</v>
      </c>
      <c r="P226" t="s">
        <v>5653</v>
      </c>
      <c r="Q226" t="s">
        <v>5654</v>
      </c>
      <c r="R226" t="s">
        <v>5655</v>
      </c>
      <c r="S226" t="s">
        <v>3469</v>
      </c>
    </row>
    <row r="227" spans="1:19" x14ac:dyDescent="0.2">
      <c r="A227" t="str">
        <f t="shared" si="3"/>
        <v>metab_compid_15676</v>
      </c>
      <c r="B227">
        <v>100000036</v>
      </c>
      <c r="C227">
        <v>209</v>
      </c>
      <c r="D227">
        <v>15676</v>
      </c>
      <c r="E227">
        <v>123263</v>
      </c>
      <c r="F227" t="s">
        <v>3436</v>
      </c>
      <c r="G227" t="s">
        <v>3498</v>
      </c>
      <c r="H227">
        <v>399</v>
      </c>
      <c r="I227" t="s">
        <v>3438</v>
      </c>
      <c r="J227" t="s">
        <v>5191</v>
      </c>
      <c r="K227" t="s">
        <v>5192</v>
      </c>
      <c r="L227" t="s">
        <v>5193</v>
      </c>
      <c r="M227" t="s">
        <v>5193</v>
      </c>
      <c r="N227" t="s">
        <v>5194</v>
      </c>
      <c r="O227" t="s">
        <v>5195</v>
      </c>
      <c r="P227" t="s">
        <v>5196</v>
      </c>
      <c r="Q227" t="s">
        <v>5197</v>
      </c>
      <c r="R227" t="s">
        <v>5198</v>
      </c>
      <c r="S227" t="s">
        <v>3469</v>
      </c>
    </row>
    <row r="228" spans="1:19" x14ac:dyDescent="0.2">
      <c r="A228" t="str">
        <f t="shared" si="3"/>
        <v>metab_compid_36749</v>
      </c>
      <c r="B228">
        <v>100001765</v>
      </c>
      <c r="C228">
        <v>305</v>
      </c>
      <c r="D228">
        <v>36749</v>
      </c>
      <c r="E228">
        <v>146966</v>
      </c>
      <c r="F228" t="s">
        <v>3459</v>
      </c>
      <c r="G228" t="s">
        <v>3873</v>
      </c>
      <c r="H228">
        <v>1687</v>
      </c>
      <c r="I228" t="s">
        <v>3438</v>
      </c>
      <c r="J228" t="s">
        <v>6938</v>
      </c>
      <c r="K228" t="s">
        <v>6939</v>
      </c>
      <c r="L228" t="s">
        <v>6940</v>
      </c>
      <c r="M228" t="s">
        <v>6940</v>
      </c>
      <c r="N228" t="s">
        <v>6941</v>
      </c>
      <c r="O228" t="s">
        <v>6942</v>
      </c>
      <c r="P228" t="s">
        <v>6943</v>
      </c>
      <c r="R228" t="s">
        <v>6944</v>
      </c>
      <c r="S228" t="s">
        <v>3489</v>
      </c>
    </row>
    <row r="229" spans="1:19" x14ac:dyDescent="0.2">
      <c r="A229" t="str">
        <f t="shared" si="3"/>
        <v>metab_compid_57747</v>
      </c>
      <c r="B229">
        <v>100002458</v>
      </c>
      <c r="C229">
        <v>305</v>
      </c>
      <c r="D229">
        <v>57747</v>
      </c>
      <c r="E229">
        <v>213342</v>
      </c>
      <c r="F229" t="s">
        <v>3436</v>
      </c>
      <c r="G229" t="s">
        <v>3498</v>
      </c>
      <c r="H229">
        <v>372</v>
      </c>
      <c r="I229" t="s">
        <v>3438</v>
      </c>
      <c r="J229" t="s">
        <v>7500</v>
      </c>
      <c r="K229" t="s">
        <v>7501</v>
      </c>
      <c r="L229" t="s">
        <v>7502</v>
      </c>
      <c r="M229" t="s">
        <v>7502</v>
      </c>
      <c r="N229" t="s">
        <v>7503</v>
      </c>
      <c r="O229" t="s">
        <v>7504</v>
      </c>
      <c r="P229" t="s">
        <v>7505</v>
      </c>
      <c r="R229" t="s">
        <v>7506</v>
      </c>
      <c r="S229" t="s">
        <v>3489</v>
      </c>
    </row>
    <row r="230" spans="1:19" x14ac:dyDescent="0.2">
      <c r="A230" t="str">
        <f t="shared" si="3"/>
        <v>metab_compid_46548</v>
      </c>
      <c r="B230">
        <v>100005850</v>
      </c>
      <c r="C230">
        <v>400</v>
      </c>
      <c r="D230">
        <v>46548</v>
      </c>
      <c r="E230">
        <v>157257</v>
      </c>
      <c r="F230" t="s">
        <v>3436</v>
      </c>
      <c r="G230" t="s">
        <v>3498</v>
      </c>
      <c r="H230">
        <v>380</v>
      </c>
      <c r="I230" t="s">
        <v>3438</v>
      </c>
      <c r="J230" t="s">
        <v>8361</v>
      </c>
      <c r="K230" t="s">
        <v>8362</v>
      </c>
      <c r="L230" t="s">
        <v>8363</v>
      </c>
      <c r="M230" t="s">
        <v>8363</v>
      </c>
      <c r="O230" t="s">
        <v>8364</v>
      </c>
      <c r="P230" t="s">
        <v>8365</v>
      </c>
      <c r="R230" t="s">
        <v>8366</v>
      </c>
      <c r="S230" t="s">
        <v>3458</v>
      </c>
    </row>
    <row r="231" spans="1:19" x14ac:dyDescent="0.2">
      <c r="A231" t="str">
        <f t="shared" si="3"/>
        <v>metab_compid_15677</v>
      </c>
      <c r="B231">
        <v>100000042</v>
      </c>
      <c r="C231">
        <v>209</v>
      </c>
      <c r="D231">
        <v>15677</v>
      </c>
      <c r="E231">
        <v>123265</v>
      </c>
      <c r="F231" t="s">
        <v>3436</v>
      </c>
      <c r="G231" t="s">
        <v>3906</v>
      </c>
      <c r="H231">
        <v>74</v>
      </c>
      <c r="I231" t="s">
        <v>3438</v>
      </c>
      <c r="J231" t="s">
        <v>5207</v>
      </c>
      <c r="K231" t="s">
        <v>5208</v>
      </c>
      <c r="L231" t="s">
        <v>5209</v>
      </c>
      <c r="M231" t="s">
        <v>5209</v>
      </c>
      <c r="N231" t="s">
        <v>5210</v>
      </c>
      <c r="O231" t="s">
        <v>5211</v>
      </c>
      <c r="P231" t="s">
        <v>5212</v>
      </c>
      <c r="Q231" t="s">
        <v>5213</v>
      </c>
      <c r="R231" t="s">
        <v>5214</v>
      </c>
      <c r="S231" t="s">
        <v>3469</v>
      </c>
    </row>
    <row r="232" spans="1:19" x14ac:dyDescent="0.2">
      <c r="A232" t="str">
        <f t="shared" si="3"/>
        <v>metab_compid_32445</v>
      </c>
      <c r="B232">
        <v>100001108</v>
      </c>
      <c r="C232">
        <v>209</v>
      </c>
      <c r="D232">
        <v>32445</v>
      </c>
      <c r="E232">
        <v>125834</v>
      </c>
      <c r="F232" t="s">
        <v>3863</v>
      </c>
      <c r="G232" t="s">
        <v>4373</v>
      </c>
      <c r="H232">
        <v>4623</v>
      </c>
      <c r="I232" t="s">
        <v>3438</v>
      </c>
      <c r="J232" t="s">
        <v>5843</v>
      </c>
      <c r="K232" t="s">
        <v>5844</v>
      </c>
      <c r="L232" t="s">
        <v>5845</v>
      </c>
      <c r="M232" t="s">
        <v>5845</v>
      </c>
      <c r="N232" t="s">
        <v>5846</v>
      </c>
      <c r="O232" t="s">
        <v>5847</v>
      </c>
      <c r="P232" t="s">
        <v>5848</v>
      </c>
      <c r="Q232" t="s">
        <v>5849</v>
      </c>
      <c r="R232" t="s">
        <v>5850</v>
      </c>
      <c r="S232" t="s">
        <v>3469</v>
      </c>
    </row>
    <row r="233" spans="1:19" x14ac:dyDescent="0.2">
      <c r="A233" t="str">
        <f t="shared" si="3"/>
        <v>metab_compid_15749</v>
      </c>
      <c r="B233">
        <v>100000010</v>
      </c>
      <c r="C233">
        <v>209</v>
      </c>
      <c r="D233">
        <v>15749</v>
      </c>
      <c r="E233">
        <v>126035</v>
      </c>
      <c r="F233" t="s">
        <v>3863</v>
      </c>
      <c r="G233" t="s">
        <v>5082</v>
      </c>
      <c r="H233">
        <v>4596</v>
      </c>
      <c r="I233" t="s">
        <v>3438</v>
      </c>
      <c r="J233" t="s">
        <v>5151</v>
      </c>
      <c r="K233" t="s">
        <v>5152</v>
      </c>
      <c r="L233" t="s">
        <v>5153</v>
      </c>
      <c r="M233" t="s">
        <v>5153</v>
      </c>
      <c r="N233" t="s">
        <v>5154</v>
      </c>
      <c r="O233" t="s">
        <v>5155</v>
      </c>
      <c r="P233" t="s">
        <v>5156</v>
      </c>
      <c r="Q233" t="s">
        <v>5157</v>
      </c>
      <c r="R233" t="s">
        <v>5158</v>
      </c>
      <c r="S233" t="s">
        <v>3469</v>
      </c>
    </row>
    <row r="234" spans="1:19" x14ac:dyDescent="0.2">
      <c r="A234" t="str">
        <f t="shared" si="3"/>
        <v>metab_compid_47089</v>
      </c>
      <c r="B234">
        <v>382</v>
      </c>
      <c r="C234">
        <v>305</v>
      </c>
      <c r="D234">
        <v>47089</v>
      </c>
      <c r="E234">
        <v>180870</v>
      </c>
      <c r="F234" t="s">
        <v>3436</v>
      </c>
      <c r="G234" t="s">
        <v>3603</v>
      </c>
      <c r="H234">
        <v>487</v>
      </c>
      <c r="I234" t="s">
        <v>3438</v>
      </c>
      <c r="J234" t="s">
        <v>3961</v>
      </c>
      <c r="K234" t="s">
        <v>3962</v>
      </c>
      <c r="L234" t="s">
        <v>3963</v>
      </c>
      <c r="M234" t="s">
        <v>3963</v>
      </c>
      <c r="N234" t="s">
        <v>3964</v>
      </c>
      <c r="O234" t="s">
        <v>3965</v>
      </c>
      <c r="P234" t="s">
        <v>3966</v>
      </c>
      <c r="Q234" t="s">
        <v>3967</v>
      </c>
      <c r="R234" t="s">
        <v>3968</v>
      </c>
      <c r="S234" t="s">
        <v>3489</v>
      </c>
    </row>
    <row r="235" spans="1:19" x14ac:dyDescent="0.2">
      <c r="A235" t="str">
        <f t="shared" si="3"/>
        <v>metab_compid_3155</v>
      </c>
      <c r="B235">
        <v>1053</v>
      </c>
      <c r="C235">
        <v>400</v>
      </c>
      <c r="D235">
        <v>3155</v>
      </c>
      <c r="E235">
        <v>155489</v>
      </c>
      <c r="F235" t="s">
        <v>3533</v>
      </c>
      <c r="G235" t="s">
        <v>3705</v>
      </c>
      <c r="H235">
        <v>4258</v>
      </c>
      <c r="I235" t="s">
        <v>3438</v>
      </c>
      <c r="J235" t="s">
        <v>4600</v>
      </c>
      <c r="K235" t="s">
        <v>4601</v>
      </c>
      <c r="L235" t="s">
        <v>4602</v>
      </c>
      <c r="M235" t="s">
        <v>4602</v>
      </c>
      <c r="N235" t="s">
        <v>4603</v>
      </c>
      <c r="O235" t="s">
        <v>4604</v>
      </c>
      <c r="P235" t="s">
        <v>4605</v>
      </c>
      <c r="Q235" t="s">
        <v>4606</v>
      </c>
      <c r="R235" t="s">
        <v>4607</v>
      </c>
      <c r="S235" t="s">
        <v>3458</v>
      </c>
    </row>
    <row r="236" spans="1:19" x14ac:dyDescent="0.2">
      <c r="A236" t="str">
        <f t="shared" si="3"/>
        <v>metab_compid_62952</v>
      </c>
      <c r="B236">
        <v>100001730</v>
      </c>
      <c r="C236">
        <v>305</v>
      </c>
      <c r="D236">
        <v>62952</v>
      </c>
      <c r="E236">
        <v>220827</v>
      </c>
      <c r="F236" t="s">
        <v>3459</v>
      </c>
      <c r="G236" t="s">
        <v>3460</v>
      </c>
      <c r="H236">
        <v>2055</v>
      </c>
      <c r="I236" t="s">
        <v>3438</v>
      </c>
      <c r="J236" t="s">
        <v>6867</v>
      </c>
      <c r="K236" t="s">
        <v>6868</v>
      </c>
      <c r="L236" t="s">
        <v>6869</v>
      </c>
      <c r="M236" t="s">
        <v>6869</v>
      </c>
      <c r="N236" t="s">
        <v>6870</v>
      </c>
      <c r="P236" t="s">
        <v>6871</v>
      </c>
      <c r="R236" t="s">
        <v>6872</v>
      </c>
      <c r="S236" t="s">
        <v>3489</v>
      </c>
    </row>
    <row r="237" spans="1:19" x14ac:dyDescent="0.2">
      <c r="A237" t="str">
        <f t="shared" si="3"/>
        <v>metab_compid_63589</v>
      </c>
      <c r="B237">
        <v>100021324</v>
      </c>
      <c r="C237">
        <v>305</v>
      </c>
      <c r="D237">
        <v>63589</v>
      </c>
      <c r="E237">
        <v>222870</v>
      </c>
      <c r="F237" t="s">
        <v>3863</v>
      </c>
      <c r="G237" t="s">
        <v>5632</v>
      </c>
      <c r="H237">
        <v>6290</v>
      </c>
      <c r="I237" t="s">
        <v>3438</v>
      </c>
      <c r="J237" t="s">
        <v>10122</v>
      </c>
      <c r="K237" t="s">
        <v>10123</v>
      </c>
      <c r="L237" t="s">
        <v>10124</v>
      </c>
      <c r="M237" t="s">
        <v>10124</v>
      </c>
      <c r="O237" t="s">
        <v>10125</v>
      </c>
      <c r="R237" t="s">
        <v>10126</v>
      </c>
      <c r="S237" t="s">
        <v>3489</v>
      </c>
    </row>
    <row r="238" spans="1:19" x14ac:dyDescent="0.2">
      <c r="A238" t="str">
        <f t="shared" si="3"/>
        <v>metab_compid_34399</v>
      </c>
      <c r="B238">
        <v>100001398</v>
      </c>
      <c r="C238">
        <v>209</v>
      </c>
      <c r="D238">
        <v>34399</v>
      </c>
      <c r="E238">
        <v>126922</v>
      </c>
      <c r="F238" t="s">
        <v>3863</v>
      </c>
      <c r="G238" t="s">
        <v>4373</v>
      </c>
      <c r="H238">
        <v>4620</v>
      </c>
      <c r="I238" t="s">
        <v>3438</v>
      </c>
      <c r="J238" t="s">
        <v>6339</v>
      </c>
      <c r="K238" t="s">
        <v>6340</v>
      </c>
      <c r="L238" t="s">
        <v>6341</v>
      </c>
      <c r="M238" t="s">
        <v>6341</v>
      </c>
      <c r="N238" t="s">
        <v>6342</v>
      </c>
      <c r="O238" t="s">
        <v>6343</v>
      </c>
      <c r="P238" t="s">
        <v>6344</v>
      </c>
      <c r="Q238" t="s">
        <v>6345</v>
      </c>
      <c r="R238" t="s">
        <v>6346</v>
      </c>
      <c r="S238" t="s">
        <v>3469</v>
      </c>
    </row>
    <row r="239" spans="1:19" x14ac:dyDescent="0.2">
      <c r="A239" t="str">
        <f t="shared" si="3"/>
        <v>metab_compid_43507</v>
      </c>
      <c r="B239">
        <v>100004182</v>
      </c>
      <c r="C239">
        <v>209</v>
      </c>
      <c r="D239">
        <v>43507</v>
      </c>
      <c r="E239">
        <v>144005</v>
      </c>
      <c r="F239" t="s">
        <v>3459</v>
      </c>
      <c r="G239" t="s">
        <v>3819</v>
      </c>
      <c r="H239">
        <v>3559</v>
      </c>
      <c r="I239" t="s">
        <v>3438</v>
      </c>
      <c r="J239" t="s">
        <v>8126</v>
      </c>
      <c r="K239" t="s">
        <v>8127</v>
      </c>
      <c r="L239" t="s">
        <v>8128</v>
      </c>
      <c r="M239" t="s">
        <v>8128</v>
      </c>
      <c r="N239" t="s">
        <v>8129</v>
      </c>
      <c r="O239" t="s">
        <v>8130</v>
      </c>
      <c r="P239" t="s">
        <v>8131</v>
      </c>
      <c r="R239" t="s">
        <v>8132</v>
      </c>
      <c r="S239" t="s">
        <v>3469</v>
      </c>
    </row>
    <row r="240" spans="1:19" x14ac:dyDescent="0.2">
      <c r="A240" t="str">
        <f t="shared" si="3"/>
        <v>metab_compid_54805</v>
      </c>
      <c r="B240">
        <v>100006370</v>
      </c>
      <c r="C240">
        <v>209</v>
      </c>
      <c r="D240">
        <v>54805</v>
      </c>
      <c r="E240">
        <v>207701</v>
      </c>
      <c r="F240" t="s">
        <v>3459</v>
      </c>
      <c r="G240" t="s">
        <v>3749</v>
      </c>
      <c r="H240">
        <v>3229</v>
      </c>
      <c r="I240" t="s">
        <v>3438</v>
      </c>
      <c r="J240" t="s">
        <v>8647</v>
      </c>
      <c r="K240" t="s">
        <v>8648</v>
      </c>
      <c r="L240" t="s">
        <v>8649</v>
      </c>
      <c r="M240" t="s">
        <v>8649</v>
      </c>
      <c r="N240" t="s">
        <v>8650</v>
      </c>
      <c r="P240" t="s">
        <v>8651</v>
      </c>
      <c r="Q240" t="s">
        <v>8652</v>
      </c>
      <c r="R240" t="s">
        <v>8653</v>
      </c>
      <c r="S240" t="s">
        <v>3469</v>
      </c>
    </row>
    <row r="241" spans="1:19" x14ac:dyDescent="0.2">
      <c r="A241" t="str">
        <f t="shared" si="3"/>
        <v>metab_compid_36803</v>
      </c>
      <c r="B241">
        <v>100001611</v>
      </c>
      <c r="C241">
        <v>209</v>
      </c>
      <c r="D241">
        <v>36803</v>
      </c>
      <c r="E241">
        <v>143803</v>
      </c>
      <c r="F241" t="s">
        <v>3459</v>
      </c>
      <c r="G241" t="s">
        <v>3749</v>
      </c>
      <c r="H241">
        <v>3228</v>
      </c>
      <c r="I241" t="s">
        <v>3438</v>
      </c>
      <c r="J241" t="s">
        <v>6734</v>
      </c>
      <c r="K241" t="s">
        <v>6735</v>
      </c>
      <c r="L241" t="s">
        <v>6736</v>
      </c>
      <c r="M241" t="s">
        <v>6736</v>
      </c>
      <c r="N241" t="s">
        <v>6737</v>
      </c>
      <c r="O241" t="s">
        <v>6738</v>
      </c>
      <c r="P241" t="s">
        <v>6739</v>
      </c>
      <c r="Q241" t="s">
        <v>6740</v>
      </c>
      <c r="R241" t="s">
        <v>6741</v>
      </c>
      <c r="S241" t="s">
        <v>3469</v>
      </c>
    </row>
    <row r="242" spans="1:19" x14ac:dyDescent="0.2">
      <c r="A242" t="str">
        <f t="shared" si="3"/>
        <v>metab_compid_1558</v>
      </c>
      <c r="B242">
        <v>1113</v>
      </c>
      <c r="C242">
        <v>400</v>
      </c>
      <c r="D242">
        <v>1558</v>
      </c>
      <c r="E242">
        <v>155399</v>
      </c>
      <c r="F242" t="s">
        <v>3436</v>
      </c>
      <c r="G242" t="s">
        <v>3437</v>
      </c>
      <c r="H242">
        <v>568</v>
      </c>
      <c r="I242" t="s">
        <v>3438</v>
      </c>
      <c r="J242" t="s">
        <v>4704</v>
      </c>
      <c r="K242" t="s">
        <v>4705</v>
      </c>
      <c r="L242" t="s">
        <v>4706</v>
      </c>
      <c r="M242" t="s">
        <v>4706</v>
      </c>
      <c r="N242" t="s">
        <v>4707</v>
      </c>
      <c r="O242" t="s">
        <v>4708</v>
      </c>
      <c r="P242" t="s">
        <v>4709</v>
      </c>
      <c r="Q242" t="s">
        <v>4710</v>
      </c>
      <c r="R242" t="s">
        <v>4711</v>
      </c>
      <c r="S242" t="s">
        <v>3458</v>
      </c>
    </row>
    <row r="243" spans="1:19" x14ac:dyDescent="0.2">
      <c r="A243" t="str">
        <f t="shared" si="3"/>
        <v>metab_compid_12032</v>
      </c>
      <c r="B243">
        <v>1383</v>
      </c>
      <c r="C243">
        <v>209</v>
      </c>
      <c r="D243">
        <v>12032</v>
      </c>
      <c r="E243">
        <v>126015</v>
      </c>
      <c r="F243" t="s">
        <v>3863</v>
      </c>
      <c r="G243" t="s">
        <v>4942</v>
      </c>
      <c r="H243">
        <v>5404</v>
      </c>
      <c r="I243" t="s">
        <v>3438</v>
      </c>
      <c r="J243" t="s">
        <v>4943</v>
      </c>
      <c r="K243" t="s">
        <v>4944</v>
      </c>
      <c r="L243" t="s">
        <v>4945</v>
      </c>
      <c r="M243" t="s">
        <v>4945</v>
      </c>
      <c r="N243" t="s">
        <v>4946</v>
      </c>
      <c r="O243" t="s">
        <v>4947</v>
      </c>
      <c r="P243" t="s">
        <v>4948</v>
      </c>
      <c r="Q243" t="s">
        <v>4949</v>
      </c>
      <c r="R243" t="s">
        <v>4950</v>
      </c>
      <c r="S243" t="s">
        <v>3469</v>
      </c>
    </row>
    <row r="244" spans="1:19" x14ac:dyDescent="0.2">
      <c r="A244" t="str">
        <f t="shared" si="3"/>
        <v>metab_compid_15736</v>
      </c>
      <c r="B244">
        <v>100000043</v>
      </c>
      <c r="C244">
        <v>209</v>
      </c>
      <c r="D244">
        <v>15736</v>
      </c>
      <c r="E244">
        <v>126033</v>
      </c>
      <c r="F244" t="s">
        <v>3863</v>
      </c>
      <c r="G244" t="s">
        <v>4942</v>
      </c>
      <c r="H244">
        <v>5408</v>
      </c>
      <c r="I244" t="s">
        <v>3438</v>
      </c>
      <c r="J244" t="s">
        <v>5215</v>
      </c>
      <c r="K244" t="s">
        <v>5216</v>
      </c>
      <c r="L244" t="s">
        <v>5217</v>
      </c>
      <c r="M244" t="s">
        <v>5217</v>
      </c>
      <c r="N244" t="s">
        <v>5218</v>
      </c>
      <c r="O244" t="s">
        <v>5219</v>
      </c>
      <c r="P244" t="s">
        <v>5220</v>
      </c>
      <c r="R244" t="s">
        <v>5221</v>
      </c>
      <c r="S244" t="s">
        <v>3469</v>
      </c>
    </row>
    <row r="245" spans="1:19" x14ac:dyDescent="0.2">
      <c r="A245" t="str">
        <f t="shared" si="3"/>
        <v>metab_compid_37475</v>
      </c>
      <c r="B245">
        <v>2049</v>
      </c>
      <c r="C245">
        <v>209</v>
      </c>
      <c r="D245">
        <v>37475</v>
      </c>
      <c r="E245">
        <v>127693</v>
      </c>
      <c r="F245" t="s">
        <v>3863</v>
      </c>
      <c r="G245" t="s">
        <v>4942</v>
      </c>
      <c r="H245">
        <v>5407</v>
      </c>
      <c r="I245" t="s">
        <v>3438</v>
      </c>
      <c r="J245" t="s">
        <v>5105</v>
      </c>
      <c r="K245" t="s">
        <v>5106</v>
      </c>
      <c r="L245" t="s">
        <v>5107</v>
      </c>
      <c r="M245" t="s">
        <v>5107</v>
      </c>
      <c r="N245" t="s">
        <v>5108</v>
      </c>
      <c r="O245" t="s">
        <v>5109</v>
      </c>
      <c r="P245" t="s">
        <v>5110</v>
      </c>
      <c r="Q245" t="s">
        <v>4949</v>
      </c>
      <c r="R245" t="s">
        <v>5111</v>
      </c>
      <c r="S245" t="s">
        <v>3469</v>
      </c>
    </row>
    <row r="246" spans="1:19" x14ac:dyDescent="0.2">
      <c r="A246" t="str">
        <f t="shared" si="3"/>
        <v>metab_compid_62798</v>
      </c>
      <c r="B246">
        <v>100020853</v>
      </c>
      <c r="C246">
        <v>209</v>
      </c>
      <c r="D246">
        <v>62798</v>
      </c>
      <c r="E246">
        <v>220413</v>
      </c>
      <c r="F246" t="s">
        <v>3863</v>
      </c>
      <c r="G246" t="s">
        <v>3864</v>
      </c>
      <c r="H246">
        <v>4834</v>
      </c>
      <c r="I246" t="s">
        <v>3438</v>
      </c>
      <c r="J246" t="s">
        <v>9929</v>
      </c>
      <c r="K246" t="s">
        <v>9930</v>
      </c>
      <c r="L246" t="s">
        <v>9931</v>
      </c>
      <c r="M246" t="s">
        <v>9931</v>
      </c>
      <c r="S246" t="s">
        <v>3469</v>
      </c>
    </row>
    <row r="247" spans="1:19" x14ac:dyDescent="0.2">
      <c r="A247" t="str">
        <f t="shared" si="3"/>
        <v>metab_compid_44620</v>
      </c>
      <c r="B247">
        <v>100000711</v>
      </c>
      <c r="C247">
        <v>209</v>
      </c>
      <c r="D247">
        <v>44620</v>
      </c>
      <c r="E247">
        <v>126992</v>
      </c>
      <c r="F247" t="s">
        <v>3863</v>
      </c>
      <c r="G247" t="s">
        <v>5082</v>
      </c>
      <c r="H247">
        <v>4539</v>
      </c>
      <c r="I247" t="s">
        <v>3438</v>
      </c>
      <c r="J247" t="s">
        <v>5497</v>
      </c>
      <c r="K247" t="s">
        <v>5498</v>
      </c>
      <c r="L247" t="s">
        <v>5499</v>
      </c>
      <c r="M247" t="s">
        <v>5500</v>
      </c>
      <c r="O247" t="s">
        <v>5501</v>
      </c>
      <c r="R247" t="s">
        <v>5502</v>
      </c>
      <c r="S247" t="s">
        <v>3469</v>
      </c>
    </row>
    <row r="248" spans="1:19" x14ac:dyDescent="0.2">
      <c r="A248" t="str">
        <f t="shared" si="3"/>
        <v>metab_compid_63597</v>
      </c>
      <c r="B248">
        <v>100020578</v>
      </c>
      <c r="C248">
        <v>209</v>
      </c>
      <c r="D248">
        <v>63597</v>
      </c>
      <c r="E248">
        <v>222898</v>
      </c>
      <c r="F248" t="s">
        <v>3863</v>
      </c>
      <c r="G248" t="s">
        <v>5082</v>
      </c>
      <c r="H248">
        <v>4528</v>
      </c>
      <c r="I248" t="s">
        <v>3438</v>
      </c>
      <c r="J248" t="s">
        <v>9821</v>
      </c>
      <c r="K248" t="s">
        <v>9822</v>
      </c>
      <c r="L248" t="s">
        <v>9823</v>
      </c>
      <c r="M248" t="s">
        <v>9823</v>
      </c>
      <c r="S248" t="s">
        <v>3469</v>
      </c>
    </row>
    <row r="249" spans="1:19" x14ac:dyDescent="0.2">
      <c r="A249" t="str">
        <f t="shared" si="3"/>
        <v>metab_compid_37181</v>
      </c>
      <c r="B249">
        <v>100001868</v>
      </c>
      <c r="C249">
        <v>209</v>
      </c>
      <c r="D249">
        <v>37181</v>
      </c>
      <c r="E249">
        <v>144354</v>
      </c>
      <c r="F249" t="s">
        <v>3863</v>
      </c>
      <c r="G249" t="s">
        <v>3864</v>
      </c>
      <c r="H249">
        <v>5111</v>
      </c>
      <c r="I249" t="s">
        <v>3438</v>
      </c>
      <c r="J249" t="s">
        <v>7057</v>
      </c>
      <c r="K249" t="s">
        <v>7058</v>
      </c>
      <c r="L249" t="s">
        <v>7059</v>
      </c>
      <c r="M249" t="s">
        <v>7059</v>
      </c>
      <c r="R249" t="s">
        <v>7060</v>
      </c>
      <c r="S249" t="s">
        <v>3469</v>
      </c>
    </row>
    <row r="250" spans="1:19" x14ac:dyDescent="0.2">
      <c r="A250" t="str">
        <f t="shared" si="3"/>
        <v>metab_compid_38125</v>
      </c>
      <c r="B250">
        <v>100002227</v>
      </c>
      <c r="C250">
        <v>402</v>
      </c>
      <c r="D250">
        <v>38125</v>
      </c>
      <c r="E250">
        <v>164218</v>
      </c>
      <c r="F250" t="s">
        <v>3459</v>
      </c>
      <c r="G250" t="s">
        <v>3749</v>
      </c>
      <c r="H250">
        <v>3239</v>
      </c>
      <c r="I250" t="s">
        <v>3438</v>
      </c>
      <c r="J250" t="s">
        <v>7370</v>
      </c>
      <c r="K250" t="s">
        <v>7371</v>
      </c>
      <c r="L250" t="s">
        <v>7372</v>
      </c>
      <c r="M250" t="s">
        <v>7372</v>
      </c>
      <c r="N250" t="s">
        <v>7373</v>
      </c>
      <c r="O250" t="s">
        <v>7374</v>
      </c>
      <c r="P250" t="s">
        <v>7375</v>
      </c>
      <c r="Q250" t="s">
        <v>7376</v>
      </c>
      <c r="R250" t="s">
        <v>7377</v>
      </c>
      <c r="S250" t="s">
        <v>3447</v>
      </c>
    </row>
    <row r="251" spans="1:19" x14ac:dyDescent="0.2">
      <c r="A251" t="str">
        <f t="shared" si="3"/>
        <v>metab_compid_63072</v>
      </c>
      <c r="B251">
        <v>100020536</v>
      </c>
      <c r="C251">
        <v>209</v>
      </c>
      <c r="D251">
        <v>63072</v>
      </c>
      <c r="E251">
        <v>221702</v>
      </c>
      <c r="F251" t="s">
        <v>3863</v>
      </c>
      <c r="G251" t="s">
        <v>5082</v>
      </c>
      <c r="H251">
        <v>4526</v>
      </c>
      <c r="I251" t="s">
        <v>3438</v>
      </c>
      <c r="J251" t="s">
        <v>9796</v>
      </c>
      <c r="K251" t="s">
        <v>9797</v>
      </c>
      <c r="L251" t="s">
        <v>9798</v>
      </c>
      <c r="M251" t="s">
        <v>9798</v>
      </c>
      <c r="S251" t="s">
        <v>3469</v>
      </c>
    </row>
    <row r="252" spans="1:19" x14ac:dyDescent="0.2">
      <c r="A252" t="str">
        <f t="shared" si="3"/>
        <v>metab_compid_36099</v>
      </c>
      <c r="B252">
        <v>100001756</v>
      </c>
      <c r="C252">
        <v>209</v>
      </c>
      <c r="D252">
        <v>36099</v>
      </c>
      <c r="E252">
        <v>144224</v>
      </c>
      <c r="F252" t="s">
        <v>3863</v>
      </c>
      <c r="G252" t="s">
        <v>5082</v>
      </c>
      <c r="H252">
        <v>4545</v>
      </c>
      <c r="I252" t="s">
        <v>3438</v>
      </c>
      <c r="J252" t="s">
        <v>6922</v>
      </c>
      <c r="K252" t="s">
        <v>6923</v>
      </c>
      <c r="L252" t="s">
        <v>6924</v>
      </c>
      <c r="M252" t="s">
        <v>6925</v>
      </c>
      <c r="N252" t="s">
        <v>6926</v>
      </c>
      <c r="P252" t="s">
        <v>6927</v>
      </c>
      <c r="Q252" t="s">
        <v>6928</v>
      </c>
      <c r="R252" t="s">
        <v>6929</v>
      </c>
      <c r="S252" t="s">
        <v>3469</v>
      </c>
    </row>
    <row r="253" spans="1:19" x14ac:dyDescent="0.2">
      <c r="A253" t="str">
        <f t="shared" si="3"/>
        <v>metab_compid_15681</v>
      </c>
      <c r="B253">
        <v>100000096</v>
      </c>
      <c r="C253">
        <v>400</v>
      </c>
      <c r="D253">
        <v>15681</v>
      </c>
      <c r="E253">
        <v>155572</v>
      </c>
      <c r="F253" t="s">
        <v>3436</v>
      </c>
      <c r="G253" t="s">
        <v>5230</v>
      </c>
      <c r="H253">
        <v>571</v>
      </c>
      <c r="I253" t="s">
        <v>3438</v>
      </c>
      <c r="J253" t="s">
        <v>5231</v>
      </c>
      <c r="K253" t="s">
        <v>5232</v>
      </c>
      <c r="L253" t="s">
        <v>5233</v>
      </c>
      <c r="M253" t="s">
        <v>5233</v>
      </c>
      <c r="N253" t="s">
        <v>5234</v>
      </c>
      <c r="O253" t="s">
        <v>5235</v>
      </c>
      <c r="P253" t="s">
        <v>5236</v>
      </c>
      <c r="Q253" t="s">
        <v>5237</v>
      </c>
      <c r="R253" t="s">
        <v>5238</v>
      </c>
      <c r="S253" t="s">
        <v>3458</v>
      </c>
    </row>
    <row r="254" spans="1:19" x14ac:dyDescent="0.2">
      <c r="A254" t="str">
        <f t="shared" si="3"/>
        <v>metab_compid_62480</v>
      </c>
      <c r="B254">
        <v>100020796</v>
      </c>
      <c r="C254">
        <v>209</v>
      </c>
      <c r="D254">
        <v>62480</v>
      </c>
      <c r="E254">
        <v>219746</v>
      </c>
      <c r="F254" t="s">
        <v>3863</v>
      </c>
      <c r="G254" t="s">
        <v>4933</v>
      </c>
      <c r="H254">
        <v>5910</v>
      </c>
      <c r="I254" t="s">
        <v>3438</v>
      </c>
      <c r="J254" t="s">
        <v>9850</v>
      </c>
      <c r="K254" t="s">
        <v>9851</v>
      </c>
      <c r="L254" t="s">
        <v>9852</v>
      </c>
      <c r="M254" t="s">
        <v>9852</v>
      </c>
      <c r="O254" t="s">
        <v>9853</v>
      </c>
      <c r="P254" t="s">
        <v>9854</v>
      </c>
      <c r="R254" t="s">
        <v>9855</v>
      </c>
      <c r="S254" t="s">
        <v>3469</v>
      </c>
    </row>
    <row r="255" spans="1:19" x14ac:dyDescent="0.2">
      <c r="A255" t="str">
        <f t="shared" si="3"/>
        <v>metab_compid_48441</v>
      </c>
      <c r="B255">
        <v>100006082</v>
      </c>
      <c r="C255">
        <v>209</v>
      </c>
      <c r="D255">
        <v>48441</v>
      </c>
      <c r="E255">
        <v>154475</v>
      </c>
      <c r="F255" t="s">
        <v>3863</v>
      </c>
      <c r="G255" t="s">
        <v>5632</v>
      </c>
      <c r="H255">
        <v>6244</v>
      </c>
      <c r="I255" t="s">
        <v>3438</v>
      </c>
      <c r="J255" t="s">
        <v>8424</v>
      </c>
      <c r="K255" t="s">
        <v>8425</v>
      </c>
      <c r="L255" t="s">
        <v>8426</v>
      </c>
      <c r="M255" t="s">
        <v>8426</v>
      </c>
      <c r="N255" t="s">
        <v>8427</v>
      </c>
      <c r="O255" t="s">
        <v>8428</v>
      </c>
      <c r="P255" t="s">
        <v>8429</v>
      </c>
      <c r="R255" t="s">
        <v>8430</v>
      </c>
      <c r="S255" t="s">
        <v>3469</v>
      </c>
    </row>
    <row r="256" spans="1:19" x14ac:dyDescent="0.2">
      <c r="A256" t="str">
        <f t="shared" si="3"/>
        <v>metab_compid_37445</v>
      </c>
      <c r="B256">
        <v>100002049</v>
      </c>
      <c r="C256">
        <v>209</v>
      </c>
      <c r="D256">
        <v>37445</v>
      </c>
      <c r="E256">
        <v>151041</v>
      </c>
      <c r="F256" t="s">
        <v>3863</v>
      </c>
      <c r="G256" t="s">
        <v>7216</v>
      </c>
      <c r="H256">
        <v>5685</v>
      </c>
      <c r="I256" t="s">
        <v>3438</v>
      </c>
      <c r="J256" t="s">
        <v>7217</v>
      </c>
      <c r="K256" t="s">
        <v>7218</v>
      </c>
      <c r="L256" t="s">
        <v>7219</v>
      </c>
      <c r="M256" t="s">
        <v>7219</v>
      </c>
      <c r="N256" t="s">
        <v>7220</v>
      </c>
      <c r="O256" t="s">
        <v>7221</v>
      </c>
      <c r="Q256" t="s">
        <v>7222</v>
      </c>
      <c r="R256" t="s">
        <v>7223</v>
      </c>
      <c r="S256" t="s">
        <v>3469</v>
      </c>
    </row>
    <row r="257" spans="1:19" x14ac:dyDescent="0.2">
      <c r="A257" t="str">
        <f t="shared" si="3"/>
        <v>metab_compid_40499</v>
      </c>
      <c r="B257">
        <v>100002544</v>
      </c>
      <c r="C257">
        <v>400</v>
      </c>
      <c r="D257">
        <v>40499</v>
      </c>
      <c r="E257">
        <v>156749</v>
      </c>
      <c r="F257" t="s">
        <v>3436</v>
      </c>
      <c r="G257" t="s">
        <v>4215</v>
      </c>
      <c r="H257">
        <v>53</v>
      </c>
      <c r="I257" t="s">
        <v>3438</v>
      </c>
      <c r="J257" t="s">
        <v>7559</v>
      </c>
      <c r="K257" t="s">
        <v>7560</v>
      </c>
      <c r="L257" t="s">
        <v>7561</v>
      </c>
      <c r="M257" t="s">
        <v>7561</v>
      </c>
      <c r="N257" t="s">
        <v>7562</v>
      </c>
      <c r="O257" t="s">
        <v>7563</v>
      </c>
      <c r="P257" t="s">
        <v>7564</v>
      </c>
      <c r="Q257" t="s">
        <v>7565</v>
      </c>
      <c r="R257" t="s">
        <v>7566</v>
      </c>
      <c r="S257" t="s">
        <v>3458</v>
      </c>
    </row>
    <row r="258" spans="1:19" x14ac:dyDescent="0.2">
      <c r="A258" t="str">
        <f t="shared" ref="A258:A321" si="4">_xlfn.CONCAT("metab_compid_", $D258)</f>
        <v>metab_compid_35527</v>
      </c>
      <c r="B258">
        <v>100001423</v>
      </c>
      <c r="C258">
        <v>209</v>
      </c>
      <c r="D258">
        <v>35527</v>
      </c>
      <c r="E258">
        <v>127577</v>
      </c>
      <c r="F258" t="s">
        <v>3863</v>
      </c>
      <c r="G258" t="s">
        <v>5082</v>
      </c>
      <c r="H258">
        <v>4491</v>
      </c>
      <c r="I258" t="s">
        <v>3438</v>
      </c>
      <c r="J258" t="s">
        <v>6431</v>
      </c>
      <c r="K258" t="s">
        <v>6432</v>
      </c>
      <c r="L258" t="s">
        <v>6433</v>
      </c>
      <c r="M258" t="s">
        <v>6433</v>
      </c>
      <c r="N258" t="s">
        <v>6434</v>
      </c>
      <c r="O258" t="s">
        <v>6435</v>
      </c>
      <c r="P258" t="s">
        <v>6436</v>
      </c>
      <c r="R258" t="s">
        <v>6437</v>
      </c>
      <c r="S258" t="s">
        <v>3469</v>
      </c>
    </row>
    <row r="259" spans="1:19" x14ac:dyDescent="0.2">
      <c r="A259" t="str">
        <f t="shared" si="4"/>
        <v>metab_compid_541</v>
      </c>
      <c r="B259">
        <v>144</v>
      </c>
      <c r="C259">
        <v>209</v>
      </c>
      <c r="D259">
        <v>541</v>
      </c>
      <c r="E259">
        <v>123169</v>
      </c>
      <c r="F259" t="s">
        <v>3436</v>
      </c>
      <c r="G259" t="s">
        <v>3524</v>
      </c>
      <c r="H259">
        <v>164</v>
      </c>
      <c r="I259" t="s">
        <v>3438</v>
      </c>
      <c r="J259" t="s">
        <v>3525</v>
      </c>
      <c r="K259" t="s">
        <v>3526</v>
      </c>
      <c r="L259" t="s">
        <v>3527</v>
      </c>
      <c r="M259" t="s">
        <v>3527</v>
      </c>
      <c r="N259" t="s">
        <v>3528</v>
      </c>
      <c r="O259" t="s">
        <v>3529</v>
      </c>
      <c r="P259" t="s">
        <v>3530</v>
      </c>
      <c r="Q259" t="s">
        <v>3531</v>
      </c>
      <c r="R259" t="s">
        <v>3532</v>
      </c>
      <c r="S259" t="s">
        <v>3469</v>
      </c>
    </row>
    <row r="260" spans="1:19" x14ac:dyDescent="0.2">
      <c r="A260" t="str">
        <f t="shared" si="4"/>
        <v>metab_compid_55017</v>
      </c>
      <c r="B260">
        <v>100010850</v>
      </c>
      <c r="C260">
        <v>209</v>
      </c>
      <c r="D260">
        <v>55017</v>
      </c>
      <c r="E260">
        <v>208352</v>
      </c>
      <c r="F260" t="s">
        <v>3853</v>
      </c>
      <c r="G260" t="s">
        <v>6422</v>
      </c>
      <c r="H260">
        <v>1206</v>
      </c>
      <c r="I260" t="s">
        <v>3438</v>
      </c>
      <c r="J260" t="s">
        <v>9241</v>
      </c>
      <c r="K260" t="s">
        <v>9242</v>
      </c>
      <c r="L260" t="s">
        <v>9243</v>
      </c>
      <c r="M260" t="s">
        <v>9243</v>
      </c>
      <c r="S260" t="s">
        <v>3469</v>
      </c>
    </row>
    <row r="261" spans="1:19" x14ac:dyDescent="0.2">
      <c r="A261" t="str">
        <f t="shared" si="4"/>
        <v>metab_compid_1669</v>
      </c>
      <c r="B261">
        <v>1141</v>
      </c>
      <c r="C261">
        <v>209</v>
      </c>
      <c r="D261">
        <v>1669</v>
      </c>
      <c r="E261">
        <v>124595</v>
      </c>
      <c r="F261" t="s">
        <v>3436</v>
      </c>
      <c r="G261" t="s">
        <v>3687</v>
      </c>
      <c r="H261">
        <v>180</v>
      </c>
      <c r="I261" t="s">
        <v>3438</v>
      </c>
      <c r="J261" t="s">
        <v>4790</v>
      </c>
      <c r="K261" t="s">
        <v>4791</v>
      </c>
      <c r="L261" t="s">
        <v>4792</v>
      </c>
      <c r="M261" t="s">
        <v>4792</v>
      </c>
      <c r="N261" t="s">
        <v>4793</v>
      </c>
      <c r="O261" t="s">
        <v>4794</v>
      </c>
      <c r="P261" t="s">
        <v>4795</v>
      </c>
      <c r="Q261" t="s">
        <v>4796</v>
      </c>
      <c r="R261" t="s">
        <v>4797</v>
      </c>
      <c r="S261" t="s">
        <v>3469</v>
      </c>
    </row>
    <row r="262" spans="1:19" x14ac:dyDescent="0.2">
      <c r="A262" t="str">
        <f t="shared" si="4"/>
        <v>metab_compid_48457</v>
      </c>
      <c r="B262">
        <v>100006262</v>
      </c>
      <c r="C262">
        <v>209</v>
      </c>
      <c r="D262">
        <v>48457</v>
      </c>
      <c r="E262">
        <v>219302</v>
      </c>
      <c r="F262" t="s">
        <v>3436</v>
      </c>
      <c r="G262" t="s">
        <v>3687</v>
      </c>
      <c r="H262">
        <v>198</v>
      </c>
      <c r="I262" t="s">
        <v>3438</v>
      </c>
      <c r="J262" t="s">
        <v>8561</v>
      </c>
      <c r="K262" t="s">
        <v>8562</v>
      </c>
      <c r="L262" t="s">
        <v>8563</v>
      </c>
      <c r="M262" t="s">
        <v>8563</v>
      </c>
      <c r="N262" t="s">
        <v>8564</v>
      </c>
      <c r="S262" t="s">
        <v>3469</v>
      </c>
    </row>
    <row r="263" spans="1:19" x14ac:dyDescent="0.2">
      <c r="A263" t="str">
        <f t="shared" si="4"/>
        <v>metab_compid_22116</v>
      </c>
      <c r="B263">
        <v>100000551</v>
      </c>
      <c r="C263">
        <v>209</v>
      </c>
      <c r="D263">
        <v>22116</v>
      </c>
      <c r="E263">
        <v>124905</v>
      </c>
      <c r="F263" t="s">
        <v>3436</v>
      </c>
      <c r="G263" t="s">
        <v>3498</v>
      </c>
      <c r="H263">
        <v>348</v>
      </c>
      <c r="I263" t="s">
        <v>3438</v>
      </c>
      <c r="J263" t="s">
        <v>5396</v>
      </c>
      <c r="K263" t="s">
        <v>5397</v>
      </c>
      <c r="L263" t="s">
        <v>5398</v>
      </c>
      <c r="M263" t="s">
        <v>5398</v>
      </c>
      <c r="N263" t="s">
        <v>5399</v>
      </c>
      <c r="O263" t="s">
        <v>5400</v>
      </c>
      <c r="P263" t="s">
        <v>5401</v>
      </c>
      <c r="Q263" t="s">
        <v>5402</v>
      </c>
      <c r="R263" t="s">
        <v>5403</v>
      </c>
      <c r="S263" t="s">
        <v>3469</v>
      </c>
    </row>
    <row r="264" spans="1:19" x14ac:dyDescent="0.2">
      <c r="A264" t="str">
        <f t="shared" si="4"/>
        <v>metab_compid_43592</v>
      </c>
      <c r="B264">
        <v>100002390</v>
      </c>
      <c r="C264">
        <v>209</v>
      </c>
      <c r="D264">
        <v>43592</v>
      </c>
      <c r="E264">
        <v>152936</v>
      </c>
      <c r="F264" t="s">
        <v>3863</v>
      </c>
      <c r="G264" t="s">
        <v>5632</v>
      </c>
      <c r="H264">
        <v>6241</v>
      </c>
      <c r="I264" t="s">
        <v>3438</v>
      </c>
      <c r="J264" t="s">
        <v>7441</v>
      </c>
      <c r="K264" t="s">
        <v>7442</v>
      </c>
      <c r="L264" t="s">
        <v>7443</v>
      </c>
      <c r="M264" t="s">
        <v>7443</v>
      </c>
      <c r="N264" t="s">
        <v>7444</v>
      </c>
      <c r="O264" t="s">
        <v>7445</v>
      </c>
      <c r="P264" t="s">
        <v>7446</v>
      </c>
      <c r="Q264" t="s">
        <v>7447</v>
      </c>
      <c r="R264" t="s">
        <v>7448</v>
      </c>
      <c r="S264" t="s">
        <v>3469</v>
      </c>
    </row>
    <row r="265" spans="1:19" x14ac:dyDescent="0.2">
      <c r="A265" t="str">
        <f t="shared" si="4"/>
        <v>metab_compid_46146</v>
      </c>
      <c r="B265">
        <v>100004111</v>
      </c>
      <c r="C265">
        <v>209</v>
      </c>
      <c r="D265">
        <v>46146</v>
      </c>
      <c r="E265">
        <v>144253</v>
      </c>
      <c r="F265" t="s">
        <v>3863</v>
      </c>
      <c r="G265" t="s">
        <v>5082</v>
      </c>
      <c r="H265">
        <v>4527</v>
      </c>
      <c r="I265" t="s">
        <v>3438</v>
      </c>
      <c r="J265" t="s">
        <v>8072</v>
      </c>
      <c r="K265" t="s">
        <v>8073</v>
      </c>
      <c r="L265" t="s">
        <v>8074</v>
      </c>
      <c r="M265" t="s">
        <v>8074</v>
      </c>
      <c r="P265" t="s">
        <v>8075</v>
      </c>
      <c r="R265" t="s">
        <v>8076</v>
      </c>
      <c r="S265" t="s">
        <v>3469</v>
      </c>
    </row>
    <row r="266" spans="1:19" x14ac:dyDescent="0.2">
      <c r="A266" t="str">
        <f t="shared" si="4"/>
        <v>metab_compid_48418</v>
      </c>
      <c r="B266">
        <v>100006105</v>
      </c>
      <c r="C266">
        <v>209</v>
      </c>
      <c r="D266">
        <v>48418</v>
      </c>
      <c r="E266">
        <v>219297</v>
      </c>
      <c r="F266" t="s">
        <v>3863</v>
      </c>
      <c r="G266" t="s">
        <v>5082</v>
      </c>
      <c r="H266">
        <v>4522</v>
      </c>
      <c r="I266" t="s">
        <v>3438</v>
      </c>
      <c r="J266" t="s">
        <v>8448</v>
      </c>
      <c r="K266" t="s">
        <v>8449</v>
      </c>
      <c r="L266" t="s">
        <v>8450</v>
      </c>
      <c r="M266" t="s">
        <v>8450</v>
      </c>
      <c r="N266" t="s">
        <v>8451</v>
      </c>
      <c r="S266" t="s">
        <v>3469</v>
      </c>
    </row>
    <row r="267" spans="1:19" x14ac:dyDescent="0.2">
      <c r="A267" t="str">
        <f t="shared" si="4"/>
        <v>metab_compid_62735</v>
      </c>
      <c r="B267">
        <v>100020631</v>
      </c>
      <c r="C267">
        <v>209</v>
      </c>
      <c r="D267">
        <v>62735</v>
      </c>
      <c r="E267">
        <v>220261</v>
      </c>
      <c r="F267" t="s">
        <v>3459</v>
      </c>
      <c r="G267" t="s">
        <v>6878</v>
      </c>
      <c r="H267">
        <v>1802</v>
      </c>
      <c r="I267" t="s">
        <v>3438</v>
      </c>
      <c r="J267" t="s">
        <v>9833</v>
      </c>
      <c r="K267" t="s">
        <v>9834</v>
      </c>
      <c r="L267" t="s">
        <v>9835</v>
      </c>
      <c r="M267" t="s">
        <v>9835</v>
      </c>
      <c r="S267" t="s">
        <v>3469</v>
      </c>
    </row>
    <row r="268" spans="1:19" x14ac:dyDescent="0.2">
      <c r="A268" t="str">
        <f t="shared" si="4"/>
        <v>metab_compid_64579</v>
      </c>
      <c r="B268">
        <v>100021208</v>
      </c>
      <c r="C268">
        <v>209</v>
      </c>
      <c r="D268">
        <v>64579</v>
      </c>
      <c r="E268">
        <v>238261</v>
      </c>
      <c r="F268" t="s">
        <v>3863</v>
      </c>
      <c r="G268" t="s">
        <v>5082</v>
      </c>
      <c r="H268">
        <v>4552</v>
      </c>
      <c r="I268" t="s">
        <v>3438</v>
      </c>
      <c r="J268" t="s">
        <v>10112</v>
      </c>
      <c r="K268" t="s">
        <v>10113</v>
      </c>
      <c r="L268" t="s">
        <v>10114</v>
      </c>
      <c r="M268" t="s">
        <v>10114</v>
      </c>
      <c r="S268" t="s">
        <v>3469</v>
      </c>
    </row>
    <row r="269" spans="1:19" x14ac:dyDescent="0.2">
      <c r="A269" t="str">
        <f t="shared" si="4"/>
        <v>metab_compid_48442</v>
      </c>
      <c r="B269">
        <v>100006126</v>
      </c>
      <c r="C269">
        <v>209</v>
      </c>
      <c r="D269">
        <v>48442</v>
      </c>
      <c r="E269">
        <v>155083</v>
      </c>
      <c r="F269" t="s">
        <v>3863</v>
      </c>
      <c r="G269" t="s">
        <v>3864</v>
      </c>
      <c r="H269">
        <v>5139</v>
      </c>
      <c r="I269" t="s">
        <v>3438</v>
      </c>
      <c r="J269" t="s">
        <v>8472</v>
      </c>
      <c r="K269" t="s">
        <v>8473</v>
      </c>
      <c r="L269" t="s">
        <v>8474</v>
      </c>
      <c r="M269" t="s">
        <v>8474</v>
      </c>
      <c r="P269" t="s">
        <v>8475</v>
      </c>
      <c r="R269" t="s">
        <v>8476</v>
      </c>
      <c r="S269" t="s">
        <v>3469</v>
      </c>
    </row>
    <row r="270" spans="1:19" x14ac:dyDescent="0.2">
      <c r="A270" t="str">
        <f t="shared" si="4"/>
        <v>metab_compid_36098</v>
      </c>
      <c r="B270">
        <v>100001755</v>
      </c>
      <c r="C270">
        <v>209</v>
      </c>
      <c r="D270">
        <v>36098</v>
      </c>
      <c r="E270">
        <v>144223</v>
      </c>
      <c r="F270" t="s">
        <v>3863</v>
      </c>
      <c r="G270" t="s">
        <v>5082</v>
      </c>
      <c r="H270">
        <v>4547</v>
      </c>
      <c r="I270" t="s">
        <v>3438</v>
      </c>
      <c r="J270" t="s">
        <v>6914</v>
      </c>
      <c r="K270" t="s">
        <v>6915</v>
      </c>
      <c r="L270" t="s">
        <v>6916</v>
      </c>
      <c r="M270" t="s">
        <v>6916</v>
      </c>
      <c r="N270" t="s">
        <v>6917</v>
      </c>
      <c r="O270" t="s">
        <v>6918</v>
      </c>
      <c r="P270" t="s">
        <v>6919</v>
      </c>
      <c r="Q270" t="s">
        <v>6920</v>
      </c>
      <c r="R270" t="s">
        <v>6921</v>
      </c>
      <c r="S270" t="s">
        <v>3469</v>
      </c>
    </row>
    <row r="271" spans="1:19" x14ac:dyDescent="0.2">
      <c r="A271" t="str">
        <f t="shared" si="4"/>
        <v>metab_compid_64593</v>
      </c>
      <c r="B271">
        <v>100021885</v>
      </c>
      <c r="C271">
        <v>209</v>
      </c>
      <c r="D271">
        <v>64593</v>
      </c>
      <c r="E271">
        <v>238599</v>
      </c>
      <c r="F271" t="s">
        <v>3863</v>
      </c>
      <c r="G271" t="s">
        <v>10209</v>
      </c>
      <c r="H271">
        <v>5754</v>
      </c>
      <c r="I271" t="s">
        <v>3438</v>
      </c>
      <c r="J271" t="s">
        <v>10210</v>
      </c>
      <c r="K271" t="s">
        <v>10211</v>
      </c>
      <c r="L271" t="s">
        <v>10212</v>
      </c>
      <c r="M271" t="s">
        <v>10212</v>
      </c>
      <c r="P271" t="s">
        <v>10213</v>
      </c>
      <c r="R271" t="s">
        <v>10214</v>
      </c>
      <c r="S271" t="s">
        <v>3469</v>
      </c>
    </row>
    <row r="272" spans="1:19" x14ac:dyDescent="0.2">
      <c r="A272" t="str">
        <f t="shared" si="4"/>
        <v>metab_compid_43582</v>
      </c>
      <c r="B272">
        <v>100002462</v>
      </c>
      <c r="C272">
        <v>400</v>
      </c>
      <c r="D272">
        <v>43582</v>
      </c>
      <c r="E272">
        <v>208402</v>
      </c>
      <c r="F272" t="s">
        <v>3436</v>
      </c>
      <c r="G272" t="s">
        <v>3586</v>
      </c>
      <c r="H272">
        <v>122</v>
      </c>
      <c r="I272" t="s">
        <v>3438</v>
      </c>
      <c r="J272" t="s">
        <v>7507</v>
      </c>
      <c r="K272" t="s">
        <v>7508</v>
      </c>
      <c r="L272" t="s">
        <v>7509</v>
      </c>
      <c r="M272" t="s">
        <v>7509</v>
      </c>
      <c r="N272" t="s">
        <v>7510</v>
      </c>
      <c r="R272" t="s">
        <v>7511</v>
      </c>
      <c r="S272" t="s">
        <v>3458</v>
      </c>
    </row>
    <row r="273" spans="1:19" x14ac:dyDescent="0.2">
      <c r="A273" t="str">
        <f t="shared" si="4"/>
        <v>metab_compid_34424</v>
      </c>
      <c r="B273">
        <v>100001403</v>
      </c>
      <c r="C273">
        <v>305</v>
      </c>
      <c r="D273">
        <v>34424</v>
      </c>
      <c r="E273">
        <v>165245</v>
      </c>
      <c r="F273" t="s">
        <v>3863</v>
      </c>
      <c r="G273" t="s">
        <v>4373</v>
      </c>
      <c r="H273">
        <v>4625</v>
      </c>
      <c r="I273" t="s">
        <v>3438</v>
      </c>
      <c r="J273" t="s">
        <v>6363</v>
      </c>
      <c r="K273" t="s">
        <v>6364</v>
      </c>
      <c r="L273" t="s">
        <v>6365</v>
      </c>
      <c r="M273" t="s">
        <v>6365</v>
      </c>
      <c r="N273" t="s">
        <v>6366</v>
      </c>
      <c r="O273" t="s">
        <v>6367</v>
      </c>
      <c r="P273" t="s">
        <v>6368</v>
      </c>
      <c r="Q273" t="s">
        <v>6369</v>
      </c>
      <c r="R273" t="s">
        <v>6370</v>
      </c>
      <c r="S273" t="s">
        <v>3489</v>
      </c>
    </row>
    <row r="274" spans="1:19" x14ac:dyDescent="0.2">
      <c r="A274" t="str">
        <f t="shared" si="4"/>
        <v>metab_compid_33968</v>
      </c>
      <c r="B274">
        <v>100001232</v>
      </c>
      <c r="C274">
        <v>209</v>
      </c>
      <c r="D274">
        <v>33968</v>
      </c>
      <c r="E274">
        <v>126127</v>
      </c>
      <c r="F274" t="s">
        <v>3459</v>
      </c>
      <c r="G274" t="s">
        <v>3569</v>
      </c>
      <c r="H274">
        <v>1522</v>
      </c>
      <c r="I274" t="s">
        <v>3438</v>
      </c>
      <c r="J274" t="s">
        <v>5998</v>
      </c>
      <c r="K274" t="s">
        <v>5999</v>
      </c>
      <c r="L274" t="s">
        <v>6000</v>
      </c>
      <c r="M274" t="s">
        <v>6000</v>
      </c>
      <c r="N274" t="s">
        <v>6001</v>
      </c>
      <c r="O274" t="s">
        <v>6002</v>
      </c>
      <c r="P274" t="s">
        <v>6003</v>
      </c>
      <c r="R274" t="s">
        <v>6004</v>
      </c>
      <c r="S274" t="s">
        <v>3469</v>
      </c>
    </row>
    <row r="275" spans="1:19" x14ac:dyDescent="0.2">
      <c r="A275" t="str">
        <f t="shared" si="4"/>
        <v>metab_compid_61769</v>
      </c>
      <c r="B275">
        <v>100016069</v>
      </c>
      <c r="C275">
        <v>402</v>
      </c>
      <c r="D275">
        <v>61769</v>
      </c>
      <c r="E275">
        <v>218137</v>
      </c>
      <c r="F275" t="s">
        <v>3459</v>
      </c>
      <c r="G275" t="s">
        <v>6535</v>
      </c>
      <c r="H275">
        <v>1900</v>
      </c>
      <c r="I275" t="s">
        <v>3438</v>
      </c>
      <c r="J275" t="s">
        <v>9563</v>
      </c>
      <c r="K275" t="s">
        <v>9564</v>
      </c>
      <c r="L275" t="s">
        <v>9565</v>
      </c>
      <c r="M275" t="s">
        <v>9565</v>
      </c>
      <c r="P275" t="s">
        <v>9566</v>
      </c>
      <c r="R275" t="s">
        <v>9567</v>
      </c>
      <c r="S275" t="s">
        <v>3447</v>
      </c>
    </row>
    <row r="276" spans="1:19" x14ac:dyDescent="0.2">
      <c r="A276" t="str">
        <f t="shared" si="4"/>
        <v>metab_compid_37372</v>
      </c>
      <c r="B276">
        <v>100002137</v>
      </c>
      <c r="C276">
        <v>209</v>
      </c>
      <c r="D276">
        <v>37372</v>
      </c>
      <c r="E276">
        <v>143751</v>
      </c>
      <c r="F276" t="s">
        <v>3459</v>
      </c>
      <c r="G276" t="s">
        <v>4910</v>
      </c>
      <c r="H276">
        <v>2153</v>
      </c>
      <c r="I276" t="s">
        <v>3438</v>
      </c>
      <c r="J276" t="s">
        <v>7305</v>
      </c>
      <c r="K276" t="s">
        <v>7306</v>
      </c>
      <c r="L276" t="s">
        <v>7307</v>
      </c>
      <c r="M276" t="s">
        <v>7307</v>
      </c>
      <c r="N276" t="s">
        <v>7308</v>
      </c>
      <c r="O276" t="s">
        <v>7309</v>
      </c>
      <c r="P276" t="s">
        <v>7310</v>
      </c>
      <c r="Q276" t="s">
        <v>7311</v>
      </c>
      <c r="R276" t="s">
        <v>7312</v>
      </c>
      <c r="S276" t="s">
        <v>3469</v>
      </c>
    </row>
    <row r="277" spans="1:19" x14ac:dyDescent="0.2">
      <c r="A277" t="str">
        <f t="shared" si="4"/>
        <v>metab_compid_63230</v>
      </c>
      <c r="B277">
        <v>100020973</v>
      </c>
      <c r="C277">
        <v>209</v>
      </c>
      <c r="D277">
        <v>63230</v>
      </c>
      <c r="E277">
        <v>222087</v>
      </c>
      <c r="F277" t="s">
        <v>3863</v>
      </c>
      <c r="G277" t="s">
        <v>5632</v>
      </c>
      <c r="H277">
        <v>6283</v>
      </c>
      <c r="I277" t="s">
        <v>3438</v>
      </c>
      <c r="J277" t="s">
        <v>10044</v>
      </c>
      <c r="K277" t="s">
        <v>10045</v>
      </c>
      <c r="L277" t="s">
        <v>10046</v>
      </c>
      <c r="M277" t="s">
        <v>10046</v>
      </c>
      <c r="S277" t="s">
        <v>3469</v>
      </c>
    </row>
    <row r="278" spans="1:19" x14ac:dyDescent="0.2">
      <c r="A278" t="str">
        <f t="shared" si="4"/>
        <v>metab_compid_62481</v>
      </c>
      <c r="B278">
        <v>100020798</v>
      </c>
      <c r="C278">
        <v>209</v>
      </c>
      <c r="D278">
        <v>62481</v>
      </c>
      <c r="E278">
        <v>219747</v>
      </c>
      <c r="F278" t="s">
        <v>3863</v>
      </c>
      <c r="G278" t="s">
        <v>4933</v>
      </c>
      <c r="H278">
        <v>5911</v>
      </c>
      <c r="I278" t="s">
        <v>3438</v>
      </c>
      <c r="J278" t="s">
        <v>9856</v>
      </c>
      <c r="K278" t="s">
        <v>9857</v>
      </c>
      <c r="L278" t="s">
        <v>9858</v>
      </c>
      <c r="M278" t="s">
        <v>9858</v>
      </c>
      <c r="O278" t="s">
        <v>9859</v>
      </c>
      <c r="S278" t="s">
        <v>3469</v>
      </c>
    </row>
    <row r="279" spans="1:19" x14ac:dyDescent="0.2">
      <c r="A279" t="str">
        <f t="shared" si="4"/>
        <v>metab_compid_43011</v>
      </c>
      <c r="B279">
        <v>100004091</v>
      </c>
      <c r="C279">
        <v>209</v>
      </c>
      <c r="D279">
        <v>43011</v>
      </c>
      <c r="E279">
        <v>152914</v>
      </c>
      <c r="F279" t="s">
        <v>3459</v>
      </c>
      <c r="G279" t="s">
        <v>4869</v>
      </c>
      <c r="H279">
        <v>2014</v>
      </c>
      <c r="I279" t="s">
        <v>3438</v>
      </c>
      <c r="J279" t="s">
        <v>8065</v>
      </c>
      <c r="K279" t="s">
        <v>8066</v>
      </c>
      <c r="L279" t="s">
        <v>8067</v>
      </c>
      <c r="M279" t="s">
        <v>8067</v>
      </c>
      <c r="N279" t="s">
        <v>8068</v>
      </c>
      <c r="O279" t="s">
        <v>8069</v>
      </c>
      <c r="P279" t="s">
        <v>8070</v>
      </c>
      <c r="R279" t="s">
        <v>8071</v>
      </c>
      <c r="S279" t="s">
        <v>3469</v>
      </c>
    </row>
    <row r="280" spans="1:19" x14ac:dyDescent="0.2">
      <c r="A280" t="str">
        <f t="shared" si="4"/>
        <v>metab_compid_52914</v>
      </c>
      <c r="B280">
        <v>100009042</v>
      </c>
      <c r="C280">
        <v>209</v>
      </c>
      <c r="D280">
        <v>52914</v>
      </c>
      <c r="E280">
        <v>166012</v>
      </c>
      <c r="F280" t="s">
        <v>3436</v>
      </c>
      <c r="G280" t="s">
        <v>3470</v>
      </c>
      <c r="H280">
        <v>325</v>
      </c>
      <c r="I280" t="s">
        <v>3438</v>
      </c>
      <c r="J280" t="s">
        <v>9049</v>
      </c>
      <c r="K280" t="s">
        <v>9050</v>
      </c>
      <c r="L280" t="s">
        <v>9051</v>
      </c>
      <c r="M280" t="s">
        <v>9051</v>
      </c>
      <c r="S280" t="s">
        <v>3469</v>
      </c>
    </row>
    <row r="281" spans="1:19" x14ac:dyDescent="0.2">
      <c r="A281" t="str">
        <f t="shared" si="4"/>
        <v>metab_compid_437</v>
      </c>
      <c r="B281">
        <v>71</v>
      </c>
      <c r="C281">
        <v>209</v>
      </c>
      <c r="D281">
        <v>437</v>
      </c>
      <c r="E281">
        <v>123157</v>
      </c>
      <c r="F281" t="s">
        <v>3436</v>
      </c>
      <c r="G281" t="s">
        <v>3470</v>
      </c>
      <c r="H281">
        <v>295</v>
      </c>
      <c r="I281" t="s">
        <v>3438</v>
      </c>
      <c r="J281" t="s">
        <v>3471</v>
      </c>
      <c r="K281" t="s">
        <v>3472</v>
      </c>
      <c r="L281" t="s">
        <v>3473</v>
      </c>
      <c r="M281" t="s">
        <v>3473</v>
      </c>
      <c r="N281" t="s">
        <v>3474</v>
      </c>
      <c r="O281" t="s">
        <v>3475</v>
      </c>
      <c r="P281" t="s">
        <v>3476</v>
      </c>
      <c r="Q281" t="s">
        <v>3477</v>
      </c>
      <c r="R281" t="s">
        <v>3478</v>
      </c>
      <c r="S281" t="s">
        <v>3469</v>
      </c>
    </row>
    <row r="282" spans="1:19" x14ac:dyDescent="0.2">
      <c r="A282" t="str">
        <f t="shared" si="4"/>
        <v>metab_compid_15685</v>
      </c>
      <c r="B282">
        <v>100000054</v>
      </c>
      <c r="C282">
        <v>400</v>
      </c>
      <c r="D282">
        <v>15685</v>
      </c>
      <c r="E282">
        <v>155573</v>
      </c>
      <c r="F282" t="s">
        <v>3436</v>
      </c>
      <c r="G282" t="s">
        <v>3586</v>
      </c>
      <c r="H282">
        <v>121</v>
      </c>
      <c r="I282" t="s">
        <v>3438</v>
      </c>
      <c r="J282" t="s">
        <v>5222</v>
      </c>
      <c r="K282" t="s">
        <v>5223</v>
      </c>
      <c r="L282" t="s">
        <v>5224</v>
      </c>
      <c r="M282" t="s">
        <v>5224</v>
      </c>
      <c r="N282" t="s">
        <v>5225</v>
      </c>
      <c r="O282" t="s">
        <v>5226</v>
      </c>
      <c r="P282" t="s">
        <v>5227</v>
      </c>
      <c r="Q282" t="s">
        <v>5228</v>
      </c>
      <c r="R282" t="s">
        <v>5229</v>
      </c>
      <c r="S282" t="s">
        <v>3458</v>
      </c>
    </row>
    <row r="283" spans="1:19" x14ac:dyDescent="0.2">
      <c r="A283" t="str">
        <f t="shared" si="4"/>
        <v>metab_compid_1419</v>
      </c>
      <c r="B283">
        <v>212</v>
      </c>
      <c r="C283">
        <v>400</v>
      </c>
      <c r="D283">
        <v>1419</v>
      </c>
      <c r="E283">
        <v>155365</v>
      </c>
      <c r="F283" t="s">
        <v>3436</v>
      </c>
      <c r="G283" t="s">
        <v>3437</v>
      </c>
      <c r="H283">
        <v>564</v>
      </c>
      <c r="I283" t="s">
        <v>3438</v>
      </c>
      <c r="J283" t="s">
        <v>3630</v>
      </c>
      <c r="K283" t="s">
        <v>3631</v>
      </c>
      <c r="L283" t="s">
        <v>3632</v>
      </c>
      <c r="M283" t="s">
        <v>3632</v>
      </c>
      <c r="N283" t="s">
        <v>3633</v>
      </c>
      <c r="O283" t="s">
        <v>3634</v>
      </c>
      <c r="P283" t="s">
        <v>3635</v>
      </c>
      <c r="Q283" t="s">
        <v>3636</v>
      </c>
      <c r="R283" t="s">
        <v>3637</v>
      </c>
      <c r="S283" t="s">
        <v>3458</v>
      </c>
    </row>
    <row r="284" spans="1:19" x14ac:dyDescent="0.2">
      <c r="A284" t="str">
        <f t="shared" si="4"/>
        <v>metab_compid_62100</v>
      </c>
      <c r="B284">
        <v>100002103</v>
      </c>
      <c r="C284">
        <v>400</v>
      </c>
      <c r="D284">
        <v>62100</v>
      </c>
      <c r="E284">
        <v>218945</v>
      </c>
      <c r="F284" t="s">
        <v>3436</v>
      </c>
      <c r="G284" t="s">
        <v>3603</v>
      </c>
      <c r="H284">
        <v>453</v>
      </c>
      <c r="I284" t="s">
        <v>3438</v>
      </c>
      <c r="J284" t="s">
        <v>7255</v>
      </c>
      <c r="K284" t="s">
        <v>7256</v>
      </c>
      <c r="L284" t="s">
        <v>7257</v>
      </c>
      <c r="M284" t="s">
        <v>7257</v>
      </c>
      <c r="N284" t="s">
        <v>7258</v>
      </c>
      <c r="O284" t="s">
        <v>7259</v>
      </c>
      <c r="P284" t="s">
        <v>7260</v>
      </c>
      <c r="R284" t="s">
        <v>7261</v>
      </c>
      <c r="S284" t="s">
        <v>3458</v>
      </c>
    </row>
    <row r="285" spans="1:19" x14ac:dyDescent="0.2">
      <c r="A285" t="str">
        <f t="shared" si="4"/>
        <v>metab_compid_35136</v>
      </c>
      <c r="B285">
        <v>100001446</v>
      </c>
      <c r="C285">
        <v>209</v>
      </c>
      <c r="D285">
        <v>35136</v>
      </c>
      <c r="E285">
        <v>128207</v>
      </c>
      <c r="F285" t="s">
        <v>3533</v>
      </c>
      <c r="G285" t="s">
        <v>3705</v>
      </c>
      <c r="H285">
        <v>4244</v>
      </c>
      <c r="I285" t="s">
        <v>3438</v>
      </c>
      <c r="J285" t="s">
        <v>6482</v>
      </c>
      <c r="K285" t="s">
        <v>6483</v>
      </c>
      <c r="L285" t="s">
        <v>6484</v>
      </c>
      <c r="M285" t="s">
        <v>6484</v>
      </c>
      <c r="N285" t="s">
        <v>6485</v>
      </c>
      <c r="O285" t="s">
        <v>6486</v>
      </c>
      <c r="P285" t="s">
        <v>6487</v>
      </c>
      <c r="R285" t="s">
        <v>6488</v>
      </c>
      <c r="S285" t="s">
        <v>3469</v>
      </c>
    </row>
    <row r="286" spans="1:19" x14ac:dyDescent="0.2">
      <c r="A286" t="str">
        <f t="shared" si="4"/>
        <v>metab_compid_1494</v>
      </c>
      <c r="B286">
        <v>1021</v>
      </c>
      <c r="C286">
        <v>209</v>
      </c>
      <c r="D286">
        <v>1494</v>
      </c>
      <c r="E286">
        <v>123209</v>
      </c>
      <c r="F286" t="s">
        <v>3436</v>
      </c>
      <c r="G286" t="s">
        <v>3793</v>
      </c>
      <c r="H286">
        <v>587</v>
      </c>
      <c r="I286" t="s">
        <v>3438</v>
      </c>
      <c r="J286" t="s">
        <v>4544</v>
      </c>
      <c r="K286" t="s">
        <v>4545</v>
      </c>
      <c r="L286" t="s">
        <v>4546</v>
      </c>
      <c r="M286" t="s">
        <v>4546</v>
      </c>
      <c r="N286" t="s">
        <v>4547</v>
      </c>
      <c r="O286" t="s">
        <v>4548</v>
      </c>
      <c r="P286" t="s">
        <v>4549</v>
      </c>
      <c r="Q286" t="s">
        <v>4550</v>
      </c>
      <c r="R286" t="s">
        <v>4551</v>
      </c>
      <c r="S286" t="s">
        <v>3469</v>
      </c>
    </row>
    <row r="287" spans="1:19" x14ac:dyDescent="0.2">
      <c r="A287" t="str">
        <f t="shared" si="4"/>
        <v>metab_compid_1418</v>
      </c>
      <c r="B287">
        <v>158</v>
      </c>
      <c r="C287">
        <v>209</v>
      </c>
      <c r="D287">
        <v>1418</v>
      </c>
      <c r="E287">
        <v>123205</v>
      </c>
      <c r="F287" t="s">
        <v>3533</v>
      </c>
      <c r="G287" t="s">
        <v>3534</v>
      </c>
      <c r="H287">
        <v>4300</v>
      </c>
      <c r="I287" t="s">
        <v>3438</v>
      </c>
      <c r="J287" t="s">
        <v>3535</v>
      </c>
      <c r="K287" t="s">
        <v>3536</v>
      </c>
      <c r="L287" t="s">
        <v>3537</v>
      </c>
      <c r="M287" t="s">
        <v>3537</v>
      </c>
      <c r="N287" t="s">
        <v>3538</v>
      </c>
      <c r="O287" t="s">
        <v>3539</v>
      </c>
      <c r="P287" t="s">
        <v>3540</v>
      </c>
      <c r="Q287" t="s">
        <v>3541</v>
      </c>
      <c r="R287" t="s">
        <v>3542</v>
      </c>
      <c r="S287" t="s">
        <v>3469</v>
      </c>
    </row>
    <row r="288" spans="1:19" x14ac:dyDescent="0.2">
      <c r="A288" t="str">
        <f t="shared" si="4"/>
        <v>metab_compid_1559</v>
      </c>
      <c r="B288">
        <v>1125</v>
      </c>
      <c r="C288">
        <v>209</v>
      </c>
      <c r="D288">
        <v>1559</v>
      </c>
      <c r="E288">
        <v>124573</v>
      </c>
      <c r="F288" t="s">
        <v>3533</v>
      </c>
      <c r="G288" t="s">
        <v>3705</v>
      </c>
      <c r="H288">
        <v>4251</v>
      </c>
      <c r="I288" t="s">
        <v>3438</v>
      </c>
      <c r="J288" t="s">
        <v>4734</v>
      </c>
      <c r="K288" t="s">
        <v>4735</v>
      </c>
      <c r="L288" t="s">
        <v>4736</v>
      </c>
      <c r="M288" t="s">
        <v>4736</v>
      </c>
      <c r="N288" t="s">
        <v>4737</v>
      </c>
      <c r="O288" t="s">
        <v>4738</v>
      </c>
      <c r="P288" t="s">
        <v>4739</v>
      </c>
      <c r="Q288" t="s">
        <v>4740</v>
      </c>
      <c r="R288" t="s">
        <v>4741</v>
      </c>
      <c r="S288" t="s">
        <v>3469</v>
      </c>
    </row>
    <row r="289" spans="1:19" x14ac:dyDescent="0.2">
      <c r="A289" t="str">
        <f t="shared" si="4"/>
        <v>metab_compid_61833</v>
      </c>
      <c r="B289">
        <v>100001425</v>
      </c>
      <c r="C289">
        <v>209</v>
      </c>
      <c r="D289">
        <v>61833</v>
      </c>
      <c r="E289">
        <v>218435</v>
      </c>
      <c r="F289" t="s">
        <v>3533</v>
      </c>
      <c r="G289" t="s">
        <v>3705</v>
      </c>
      <c r="H289">
        <v>4242</v>
      </c>
      <c r="I289" t="s">
        <v>3438</v>
      </c>
      <c r="J289" t="s">
        <v>6438</v>
      </c>
      <c r="K289" t="s">
        <v>6439</v>
      </c>
      <c r="L289" t="s">
        <v>6440</v>
      </c>
      <c r="M289" t="s">
        <v>6440</v>
      </c>
      <c r="N289" t="s">
        <v>6441</v>
      </c>
      <c r="O289" t="s">
        <v>6442</v>
      </c>
      <c r="P289" t="s">
        <v>6443</v>
      </c>
      <c r="R289" t="s">
        <v>6444</v>
      </c>
      <c r="S289" t="s">
        <v>3469</v>
      </c>
    </row>
    <row r="290" spans="1:19" x14ac:dyDescent="0.2">
      <c r="A290" t="str">
        <f t="shared" si="4"/>
        <v>metab_compid_37183</v>
      </c>
      <c r="B290">
        <v>100002008</v>
      </c>
      <c r="C290">
        <v>209</v>
      </c>
      <c r="D290">
        <v>37183</v>
      </c>
      <c r="E290">
        <v>144260</v>
      </c>
      <c r="F290" t="s">
        <v>3459</v>
      </c>
      <c r="G290" t="s">
        <v>5559</v>
      </c>
      <c r="H290">
        <v>3378</v>
      </c>
      <c r="I290" t="s">
        <v>3438</v>
      </c>
      <c r="J290" t="s">
        <v>7164</v>
      </c>
      <c r="K290" t="s">
        <v>7165</v>
      </c>
      <c r="L290" t="s">
        <v>7166</v>
      </c>
      <c r="M290" t="s">
        <v>7166</v>
      </c>
      <c r="P290" t="s">
        <v>7167</v>
      </c>
      <c r="S290" t="s">
        <v>3469</v>
      </c>
    </row>
    <row r="291" spans="1:19" x14ac:dyDescent="0.2">
      <c r="A291" t="str">
        <f t="shared" si="4"/>
        <v>metab_compid_47132</v>
      </c>
      <c r="B291">
        <v>100005396</v>
      </c>
      <c r="C291">
        <v>209</v>
      </c>
      <c r="D291">
        <v>47132</v>
      </c>
      <c r="E291">
        <v>149409</v>
      </c>
      <c r="F291" t="s">
        <v>3459</v>
      </c>
      <c r="G291" t="s">
        <v>5559</v>
      </c>
      <c r="H291">
        <v>3401</v>
      </c>
      <c r="I291" t="s">
        <v>3438</v>
      </c>
      <c r="J291" t="s">
        <v>8313</v>
      </c>
      <c r="K291" t="s">
        <v>8314</v>
      </c>
      <c r="L291" t="s">
        <v>8315</v>
      </c>
      <c r="M291" t="s">
        <v>8315</v>
      </c>
      <c r="S291" t="s">
        <v>3469</v>
      </c>
    </row>
    <row r="292" spans="1:19" x14ac:dyDescent="0.2">
      <c r="A292" t="str">
        <f t="shared" si="4"/>
        <v>metab_compid_37184</v>
      </c>
      <c r="B292">
        <v>100002017</v>
      </c>
      <c r="C292">
        <v>209</v>
      </c>
      <c r="D292">
        <v>37184</v>
      </c>
      <c r="E292">
        <v>144264</v>
      </c>
      <c r="F292" t="s">
        <v>3459</v>
      </c>
      <c r="G292" t="s">
        <v>5559</v>
      </c>
      <c r="H292">
        <v>3400</v>
      </c>
      <c r="I292" t="s">
        <v>3438</v>
      </c>
      <c r="J292" t="s">
        <v>7181</v>
      </c>
      <c r="K292" t="s">
        <v>7182</v>
      </c>
      <c r="L292" t="s">
        <v>7183</v>
      </c>
      <c r="M292" t="s">
        <v>7183</v>
      </c>
      <c r="P292" t="s">
        <v>7184</v>
      </c>
      <c r="R292" t="s">
        <v>7185</v>
      </c>
      <c r="S292" t="s">
        <v>3469</v>
      </c>
    </row>
    <row r="293" spans="1:19" x14ac:dyDescent="0.2">
      <c r="A293" t="str">
        <f t="shared" si="4"/>
        <v>metab_compid_37186</v>
      </c>
      <c r="B293">
        <v>100002018</v>
      </c>
      <c r="C293">
        <v>209</v>
      </c>
      <c r="D293">
        <v>37186</v>
      </c>
      <c r="E293">
        <v>144270</v>
      </c>
      <c r="F293" t="s">
        <v>3459</v>
      </c>
      <c r="G293" t="s">
        <v>5559</v>
      </c>
      <c r="H293">
        <v>3398</v>
      </c>
      <c r="I293" t="s">
        <v>3438</v>
      </c>
      <c r="J293" t="s">
        <v>7186</v>
      </c>
      <c r="K293" t="s">
        <v>7187</v>
      </c>
      <c r="L293" t="s">
        <v>7188</v>
      </c>
      <c r="M293" t="s">
        <v>7188</v>
      </c>
      <c r="R293" t="s">
        <v>7189</v>
      </c>
      <c r="S293" t="s">
        <v>3469</v>
      </c>
    </row>
    <row r="294" spans="1:19" x14ac:dyDescent="0.2">
      <c r="A294" t="str">
        <f t="shared" si="4"/>
        <v>metab_compid_37185</v>
      </c>
      <c r="B294">
        <v>100006005</v>
      </c>
      <c r="C294">
        <v>209</v>
      </c>
      <c r="D294">
        <v>37185</v>
      </c>
      <c r="E294">
        <v>144272</v>
      </c>
      <c r="F294" t="s">
        <v>3459</v>
      </c>
      <c r="G294" t="s">
        <v>5559</v>
      </c>
      <c r="H294">
        <v>3399</v>
      </c>
      <c r="I294" t="s">
        <v>3438</v>
      </c>
      <c r="J294" t="s">
        <v>7186</v>
      </c>
      <c r="K294" t="s">
        <v>7187</v>
      </c>
      <c r="L294" t="s">
        <v>8408</v>
      </c>
      <c r="M294" t="s">
        <v>8408</v>
      </c>
      <c r="R294" t="s">
        <v>8409</v>
      </c>
      <c r="S294" t="s">
        <v>3469</v>
      </c>
    </row>
    <row r="295" spans="1:19" x14ac:dyDescent="0.2">
      <c r="A295" t="str">
        <f t="shared" si="4"/>
        <v>metab_compid_37187</v>
      </c>
      <c r="B295">
        <v>100002021</v>
      </c>
      <c r="C295">
        <v>209</v>
      </c>
      <c r="D295">
        <v>37187</v>
      </c>
      <c r="E295">
        <v>144291</v>
      </c>
      <c r="F295" t="s">
        <v>3459</v>
      </c>
      <c r="G295" t="s">
        <v>5559</v>
      </c>
      <c r="H295">
        <v>3409</v>
      </c>
      <c r="I295" t="s">
        <v>3438</v>
      </c>
      <c r="J295" t="s">
        <v>7190</v>
      </c>
      <c r="K295" t="s">
        <v>7191</v>
      </c>
      <c r="L295" t="s">
        <v>7192</v>
      </c>
      <c r="M295" t="s">
        <v>7192</v>
      </c>
      <c r="P295" t="s">
        <v>7184</v>
      </c>
      <c r="R295" t="s">
        <v>7185</v>
      </c>
      <c r="S295" t="s">
        <v>3469</v>
      </c>
    </row>
    <row r="296" spans="1:19" x14ac:dyDescent="0.2">
      <c r="A296" t="str">
        <f t="shared" si="4"/>
        <v>metab_compid_37190</v>
      </c>
      <c r="B296">
        <v>100001987</v>
      </c>
      <c r="C296">
        <v>209</v>
      </c>
      <c r="D296">
        <v>37190</v>
      </c>
      <c r="E296">
        <v>144226</v>
      </c>
      <c r="F296" t="s">
        <v>3459</v>
      </c>
      <c r="G296" t="s">
        <v>5559</v>
      </c>
      <c r="H296">
        <v>3406</v>
      </c>
      <c r="I296" t="s">
        <v>3438</v>
      </c>
      <c r="J296" t="s">
        <v>7126</v>
      </c>
      <c r="K296" t="s">
        <v>7127</v>
      </c>
      <c r="L296" t="s">
        <v>7128</v>
      </c>
      <c r="M296" t="s">
        <v>7128</v>
      </c>
      <c r="N296" t="s">
        <v>7129</v>
      </c>
      <c r="P296" t="s">
        <v>7130</v>
      </c>
      <c r="Q296" t="s">
        <v>7131</v>
      </c>
      <c r="R296" t="s">
        <v>7132</v>
      </c>
      <c r="S296" t="s">
        <v>3469</v>
      </c>
    </row>
    <row r="297" spans="1:19" x14ac:dyDescent="0.2">
      <c r="A297" t="str">
        <f t="shared" si="4"/>
        <v>metab_compid_37192</v>
      </c>
      <c r="B297">
        <v>100002024</v>
      </c>
      <c r="C297">
        <v>209</v>
      </c>
      <c r="D297">
        <v>37192</v>
      </c>
      <c r="E297">
        <v>144276</v>
      </c>
      <c r="F297" t="s">
        <v>3459</v>
      </c>
      <c r="G297" t="s">
        <v>5559</v>
      </c>
      <c r="H297">
        <v>3405</v>
      </c>
      <c r="I297" t="s">
        <v>3438</v>
      </c>
      <c r="J297" t="s">
        <v>7193</v>
      </c>
      <c r="K297" t="s">
        <v>7194</v>
      </c>
      <c r="L297" t="s">
        <v>7195</v>
      </c>
      <c r="M297" t="s">
        <v>7195</v>
      </c>
      <c r="S297" t="s">
        <v>3469</v>
      </c>
    </row>
    <row r="298" spans="1:19" x14ac:dyDescent="0.2">
      <c r="A298" t="str">
        <f t="shared" si="4"/>
        <v>metab_compid_37480</v>
      </c>
      <c r="B298">
        <v>100002035</v>
      </c>
      <c r="C298">
        <v>209</v>
      </c>
      <c r="D298">
        <v>37480</v>
      </c>
      <c r="E298">
        <v>212653</v>
      </c>
      <c r="F298" t="s">
        <v>3459</v>
      </c>
      <c r="G298" t="s">
        <v>7133</v>
      </c>
      <c r="H298">
        <v>3290</v>
      </c>
      <c r="I298" t="s">
        <v>3438</v>
      </c>
      <c r="J298" t="s">
        <v>7212</v>
      </c>
      <c r="K298" t="s">
        <v>7213</v>
      </c>
      <c r="L298" t="s">
        <v>7214</v>
      </c>
      <c r="M298" t="s">
        <v>7214</v>
      </c>
      <c r="N298" t="s">
        <v>7215</v>
      </c>
      <c r="S298" t="s">
        <v>3469</v>
      </c>
    </row>
    <row r="299" spans="1:19" x14ac:dyDescent="0.2">
      <c r="A299" t="str">
        <f t="shared" si="4"/>
        <v>metab_compid_37198</v>
      </c>
      <c r="B299">
        <v>100001988</v>
      </c>
      <c r="C299">
        <v>209</v>
      </c>
      <c r="D299">
        <v>37198</v>
      </c>
      <c r="E299">
        <v>144254</v>
      </c>
      <c r="F299" t="s">
        <v>3459</v>
      </c>
      <c r="G299" t="s">
        <v>7133</v>
      </c>
      <c r="H299">
        <v>3300</v>
      </c>
      <c r="I299" t="s">
        <v>3438</v>
      </c>
      <c r="J299" t="s">
        <v>7134</v>
      </c>
      <c r="K299" t="s">
        <v>7135</v>
      </c>
      <c r="L299" t="s">
        <v>7136</v>
      </c>
      <c r="M299" t="s">
        <v>7136</v>
      </c>
      <c r="P299" t="s">
        <v>7137</v>
      </c>
      <c r="R299" t="s">
        <v>7138</v>
      </c>
      <c r="S299" t="s">
        <v>3469</v>
      </c>
    </row>
    <row r="300" spans="1:19" x14ac:dyDescent="0.2">
      <c r="A300" t="str">
        <f t="shared" si="4"/>
        <v>metab_compid_37200</v>
      </c>
      <c r="B300">
        <v>100002014</v>
      </c>
      <c r="C300">
        <v>209</v>
      </c>
      <c r="D300">
        <v>37200</v>
      </c>
      <c r="E300">
        <v>144283</v>
      </c>
      <c r="F300" t="s">
        <v>3459</v>
      </c>
      <c r="G300" t="s">
        <v>7133</v>
      </c>
      <c r="H300">
        <v>3294</v>
      </c>
      <c r="I300" t="s">
        <v>3438</v>
      </c>
      <c r="J300" t="s">
        <v>7172</v>
      </c>
      <c r="K300" t="s">
        <v>7173</v>
      </c>
      <c r="L300" t="s">
        <v>7174</v>
      </c>
      <c r="M300" t="s">
        <v>7174</v>
      </c>
      <c r="S300" t="s">
        <v>3469</v>
      </c>
    </row>
    <row r="301" spans="1:19" x14ac:dyDescent="0.2">
      <c r="A301" t="str">
        <f t="shared" si="4"/>
        <v>metab_compid_37196</v>
      </c>
      <c r="B301">
        <v>100002009</v>
      </c>
      <c r="C301">
        <v>209</v>
      </c>
      <c r="D301">
        <v>37196</v>
      </c>
      <c r="E301">
        <v>144279</v>
      </c>
      <c r="F301" t="s">
        <v>3459</v>
      </c>
      <c r="G301" t="s">
        <v>7133</v>
      </c>
      <c r="H301">
        <v>3291</v>
      </c>
      <c r="I301" t="s">
        <v>3438</v>
      </c>
      <c r="J301" t="s">
        <v>7168</v>
      </c>
      <c r="K301" t="s">
        <v>7169</v>
      </c>
      <c r="L301" t="s">
        <v>7170</v>
      </c>
      <c r="M301" t="s">
        <v>7170</v>
      </c>
      <c r="P301" t="s">
        <v>7171</v>
      </c>
      <c r="S301" t="s">
        <v>3469</v>
      </c>
    </row>
    <row r="302" spans="1:19" x14ac:dyDescent="0.2">
      <c r="A302" t="str">
        <f t="shared" si="4"/>
        <v>metab_compid_46172</v>
      </c>
      <c r="B302">
        <v>100002015</v>
      </c>
      <c r="C302">
        <v>209</v>
      </c>
      <c r="D302">
        <v>46172</v>
      </c>
      <c r="E302">
        <v>144285</v>
      </c>
      <c r="F302" t="s">
        <v>3459</v>
      </c>
      <c r="G302" t="s">
        <v>7133</v>
      </c>
      <c r="H302">
        <v>3301</v>
      </c>
      <c r="I302" t="s">
        <v>3438</v>
      </c>
      <c r="J302" t="s">
        <v>7175</v>
      </c>
      <c r="K302" t="s">
        <v>7176</v>
      </c>
      <c r="L302" t="s">
        <v>7177</v>
      </c>
      <c r="M302" t="s">
        <v>7177</v>
      </c>
      <c r="O302" t="s">
        <v>7178</v>
      </c>
      <c r="P302" t="s">
        <v>7179</v>
      </c>
      <c r="R302" t="s">
        <v>7180</v>
      </c>
      <c r="S302" t="s">
        <v>3469</v>
      </c>
    </row>
    <row r="303" spans="1:19" x14ac:dyDescent="0.2">
      <c r="A303" t="str">
        <f t="shared" si="4"/>
        <v>metab_compid_62503</v>
      </c>
      <c r="B303">
        <v>100020414</v>
      </c>
      <c r="C303">
        <v>209</v>
      </c>
      <c r="D303">
        <v>62503</v>
      </c>
      <c r="E303">
        <v>219798</v>
      </c>
      <c r="F303" t="s">
        <v>3436</v>
      </c>
      <c r="G303" t="s">
        <v>3470</v>
      </c>
      <c r="H303">
        <v>332</v>
      </c>
      <c r="I303" t="s">
        <v>3438</v>
      </c>
      <c r="J303" t="s">
        <v>9755</v>
      </c>
      <c r="K303" t="s">
        <v>9756</v>
      </c>
      <c r="L303" t="s">
        <v>9757</v>
      </c>
      <c r="M303" t="s">
        <v>9757</v>
      </c>
      <c r="R303" t="s">
        <v>9758</v>
      </c>
      <c r="S303" t="s">
        <v>3469</v>
      </c>
    </row>
    <row r="304" spans="1:19" x14ac:dyDescent="0.2">
      <c r="A304" t="str">
        <f t="shared" si="4"/>
        <v>metab_compid_48698</v>
      </c>
      <c r="B304">
        <v>100006260</v>
      </c>
      <c r="C304">
        <v>209</v>
      </c>
      <c r="D304">
        <v>48698</v>
      </c>
      <c r="E304">
        <v>166006</v>
      </c>
      <c r="F304" t="s">
        <v>3863</v>
      </c>
      <c r="G304" t="s">
        <v>5632</v>
      </c>
      <c r="H304">
        <v>6266</v>
      </c>
      <c r="I304" t="s">
        <v>3438</v>
      </c>
      <c r="J304" t="s">
        <v>8557</v>
      </c>
      <c r="K304" t="s">
        <v>8558</v>
      </c>
      <c r="L304" t="s">
        <v>8559</v>
      </c>
      <c r="M304" t="s">
        <v>8559</v>
      </c>
      <c r="P304" t="s">
        <v>5379</v>
      </c>
      <c r="R304" t="s">
        <v>8560</v>
      </c>
      <c r="S304" t="s">
        <v>3469</v>
      </c>
    </row>
    <row r="305" spans="1:19" x14ac:dyDescent="0.2">
      <c r="A305" t="str">
        <f t="shared" si="4"/>
        <v>metab_compid_62973</v>
      </c>
      <c r="B305">
        <v>100020814</v>
      </c>
      <c r="C305">
        <v>209</v>
      </c>
      <c r="D305">
        <v>62973</v>
      </c>
      <c r="E305">
        <v>221496</v>
      </c>
      <c r="F305" t="s">
        <v>3863</v>
      </c>
      <c r="G305" t="s">
        <v>7216</v>
      </c>
      <c r="H305">
        <v>5692</v>
      </c>
      <c r="I305" t="s">
        <v>3438</v>
      </c>
      <c r="J305" t="s">
        <v>9882</v>
      </c>
      <c r="K305" t="s">
        <v>9883</v>
      </c>
      <c r="L305" t="s">
        <v>9884</v>
      </c>
      <c r="M305" t="s">
        <v>9884</v>
      </c>
      <c r="O305" t="s">
        <v>9885</v>
      </c>
      <c r="P305" t="s">
        <v>9886</v>
      </c>
      <c r="R305" t="s">
        <v>9887</v>
      </c>
      <c r="S305" t="s">
        <v>3469</v>
      </c>
    </row>
    <row r="306" spans="1:19" x14ac:dyDescent="0.2">
      <c r="A306" t="str">
        <f t="shared" si="4"/>
        <v>metab_compid_43231</v>
      </c>
      <c r="B306">
        <v>100004499</v>
      </c>
      <c r="C306">
        <v>209</v>
      </c>
      <c r="D306">
        <v>43231</v>
      </c>
      <c r="E306">
        <v>143979</v>
      </c>
      <c r="F306" t="s">
        <v>3436</v>
      </c>
      <c r="G306" t="s">
        <v>3586</v>
      </c>
      <c r="H306">
        <v>135</v>
      </c>
      <c r="I306" t="s">
        <v>3438</v>
      </c>
      <c r="J306" t="s">
        <v>8207</v>
      </c>
      <c r="K306" t="s">
        <v>8208</v>
      </c>
      <c r="L306" t="s">
        <v>8209</v>
      </c>
      <c r="M306" t="s">
        <v>8209</v>
      </c>
      <c r="N306" t="s">
        <v>8210</v>
      </c>
      <c r="O306" t="s">
        <v>8211</v>
      </c>
      <c r="P306" t="s">
        <v>8212</v>
      </c>
      <c r="R306" t="s">
        <v>8213</v>
      </c>
      <c r="S306" t="s">
        <v>3469</v>
      </c>
    </row>
    <row r="307" spans="1:19" x14ac:dyDescent="0.2">
      <c r="A307" t="str">
        <f t="shared" si="4"/>
        <v>metab_compid_62972</v>
      </c>
      <c r="B307">
        <v>100020813</v>
      </c>
      <c r="C307">
        <v>209</v>
      </c>
      <c r="D307">
        <v>62972</v>
      </c>
      <c r="E307">
        <v>221494</v>
      </c>
      <c r="F307" t="s">
        <v>3863</v>
      </c>
      <c r="G307" t="s">
        <v>7216</v>
      </c>
      <c r="H307">
        <v>5693</v>
      </c>
      <c r="I307" t="s">
        <v>3438</v>
      </c>
      <c r="J307" t="s">
        <v>9876</v>
      </c>
      <c r="K307" t="s">
        <v>9877</v>
      </c>
      <c r="L307" t="s">
        <v>9878</v>
      </c>
      <c r="M307" t="s">
        <v>9878</v>
      </c>
      <c r="O307" t="s">
        <v>9879</v>
      </c>
      <c r="P307" t="s">
        <v>9880</v>
      </c>
      <c r="R307" t="s">
        <v>9881</v>
      </c>
      <c r="S307" t="s">
        <v>3469</v>
      </c>
    </row>
    <row r="308" spans="1:19" x14ac:dyDescent="0.2">
      <c r="A308" t="str">
        <f t="shared" si="4"/>
        <v>metab_compid_31904</v>
      </c>
      <c r="B308">
        <v>100001063</v>
      </c>
      <c r="C308">
        <v>209</v>
      </c>
      <c r="D308">
        <v>31904</v>
      </c>
      <c r="E308">
        <v>125786</v>
      </c>
      <c r="F308" t="s">
        <v>3459</v>
      </c>
      <c r="G308" t="s">
        <v>3819</v>
      </c>
      <c r="H308">
        <v>3557</v>
      </c>
      <c r="I308" t="s">
        <v>3438</v>
      </c>
      <c r="J308" t="s">
        <v>5769</v>
      </c>
      <c r="K308" t="s">
        <v>5770</v>
      </c>
      <c r="L308" t="s">
        <v>5771</v>
      </c>
      <c r="M308" t="s">
        <v>5771</v>
      </c>
      <c r="N308" t="s">
        <v>5772</v>
      </c>
      <c r="O308" t="s">
        <v>5773</v>
      </c>
      <c r="P308" t="s">
        <v>5774</v>
      </c>
      <c r="R308" t="s">
        <v>5775</v>
      </c>
      <c r="S308" t="s">
        <v>3469</v>
      </c>
    </row>
    <row r="309" spans="1:19" x14ac:dyDescent="0.2">
      <c r="A309" t="str">
        <f t="shared" si="4"/>
        <v>metab_compid_35114</v>
      </c>
      <c r="B309">
        <v>100001456</v>
      </c>
      <c r="C309">
        <v>400</v>
      </c>
      <c r="D309">
        <v>35114</v>
      </c>
      <c r="E309">
        <v>156140</v>
      </c>
      <c r="F309" t="s">
        <v>3533</v>
      </c>
      <c r="G309" t="s">
        <v>4656</v>
      </c>
      <c r="H309">
        <v>4206</v>
      </c>
      <c r="I309" t="s">
        <v>3438</v>
      </c>
      <c r="J309" t="s">
        <v>6496</v>
      </c>
      <c r="K309" t="s">
        <v>6497</v>
      </c>
      <c r="L309" t="s">
        <v>6498</v>
      </c>
      <c r="M309" t="s">
        <v>6498</v>
      </c>
      <c r="N309" t="s">
        <v>6499</v>
      </c>
      <c r="O309" t="s">
        <v>6500</v>
      </c>
      <c r="P309" t="s">
        <v>6501</v>
      </c>
      <c r="Q309" t="s">
        <v>6502</v>
      </c>
      <c r="R309" t="s">
        <v>6503</v>
      </c>
      <c r="S309" t="s">
        <v>3458</v>
      </c>
    </row>
    <row r="310" spans="1:19" x14ac:dyDescent="0.2">
      <c r="A310" t="str">
        <f t="shared" si="4"/>
        <v>metab_compid_34390</v>
      </c>
      <c r="B310">
        <v>100001396</v>
      </c>
      <c r="C310">
        <v>400</v>
      </c>
      <c r="D310">
        <v>34390</v>
      </c>
      <c r="E310">
        <v>156093</v>
      </c>
      <c r="F310" t="s">
        <v>3863</v>
      </c>
      <c r="G310" t="s">
        <v>4373</v>
      </c>
      <c r="H310">
        <v>4624</v>
      </c>
      <c r="I310" t="s">
        <v>3438</v>
      </c>
      <c r="J310" t="s">
        <v>6323</v>
      </c>
      <c r="K310" t="s">
        <v>6324</v>
      </c>
      <c r="L310" t="s">
        <v>6325</v>
      </c>
      <c r="M310" t="s">
        <v>6325</v>
      </c>
      <c r="N310" t="s">
        <v>6326</v>
      </c>
      <c r="O310" t="s">
        <v>6327</v>
      </c>
      <c r="P310" t="s">
        <v>6328</v>
      </c>
      <c r="Q310" t="s">
        <v>6329</v>
      </c>
      <c r="R310" t="s">
        <v>6330</v>
      </c>
      <c r="S310" t="s">
        <v>3458</v>
      </c>
    </row>
    <row r="311" spans="1:19" x14ac:dyDescent="0.2">
      <c r="A311" t="str">
        <f t="shared" si="4"/>
        <v>metab_compid_36776</v>
      </c>
      <c r="B311">
        <v>100001609</v>
      </c>
      <c r="C311">
        <v>209</v>
      </c>
      <c r="D311">
        <v>36776</v>
      </c>
      <c r="E311">
        <v>128301</v>
      </c>
      <c r="F311" t="s">
        <v>3459</v>
      </c>
      <c r="G311" t="s">
        <v>3749</v>
      </c>
      <c r="H311">
        <v>3226</v>
      </c>
      <c r="I311" t="s">
        <v>3438</v>
      </c>
      <c r="J311" t="s">
        <v>6725</v>
      </c>
      <c r="K311" t="s">
        <v>6726</v>
      </c>
      <c r="L311" t="s">
        <v>6727</v>
      </c>
      <c r="M311" t="s">
        <v>6728</v>
      </c>
      <c r="N311" t="s">
        <v>6729</v>
      </c>
      <c r="O311" t="s">
        <v>6730</v>
      </c>
      <c r="P311" t="s">
        <v>6731</v>
      </c>
      <c r="Q311" t="s">
        <v>6732</v>
      </c>
      <c r="R311" t="s">
        <v>6733</v>
      </c>
      <c r="S311" t="s">
        <v>3469</v>
      </c>
    </row>
    <row r="312" spans="1:19" x14ac:dyDescent="0.2">
      <c r="A312" t="str">
        <f t="shared" si="4"/>
        <v>metab_compid_47120</v>
      </c>
      <c r="B312">
        <v>100005834</v>
      </c>
      <c r="C312">
        <v>209</v>
      </c>
      <c r="D312">
        <v>47120</v>
      </c>
      <c r="E312">
        <v>149393</v>
      </c>
      <c r="F312" t="s">
        <v>3459</v>
      </c>
      <c r="G312" t="s">
        <v>4869</v>
      </c>
      <c r="H312">
        <v>2020</v>
      </c>
      <c r="I312" t="s">
        <v>3438</v>
      </c>
      <c r="J312" t="s">
        <v>8354</v>
      </c>
      <c r="K312" t="s">
        <v>8355</v>
      </c>
      <c r="L312" t="s">
        <v>8356</v>
      </c>
      <c r="M312" t="s">
        <v>8356</v>
      </c>
      <c r="N312" t="s">
        <v>8357</v>
      </c>
      <c r="O312" t="s">
        <v>8358</v>
      </c>
      <c r="P312" t="s">
        <v>8359</v>
      </c>
      <c r="R312" t="s">
        <v>8360</v>
      </c>
      <c r="S312" t="s">
        <v>3469</v>
      </c>
    </row>
    <row r="313" spans="1:19" x14ac:dyDescent="0.2">
      <c r="A313" t="str">
        <f t="shared" si="4"/>
        <v>metab_compid_38399</v>
      </c>
      <c r="B313">
        <v>179</v>
      </c>
      <c r="C313">
        <v>209</v>
      </c>
      <c r="D313">
        <v>38399</v>
      </c>
      <c r="E313">
        <v>143740</v>
      </c>
      <c r="F313" t="s">
        <v>3459</v>
      </c>
      <c r="G313" t="s">
        <v>3460</v>
      </c>
      <c r="H313">
        <v>2049</v>
      </c>
      <c r="I313" t="s">
        <v>3438</v>
      </c>
      <c r="J313" t="s">
        <v>3552</v>
      </c>
      <c r="K313" t="s">
        <v>3553</v>
      </c>
      <c r="L313" t="s">
        <v>3554</v>
      </c>
      <c r="M313" t="s">
        <v>3554</v>
      </c>
      <c r="N313" t="s">
        <v>3555</v>
      </c>
      <c r="O313" t="s">
        <v>3556</v>
      </c>
      <c r="P313" t="s">
        <v>3557</v>
      </c>
      <c r="Q313" t="s">
        <v>3558</v>
      </c>
      <c r="R313" t="s">
        <v>3559</v>
      </c>
      <c r="S313" t="s">
        <v>3469</v>
      </c>
    </row>
    <row r="314" spans="1:19" x14ac:dyDescent="0.2">
      <c r="A314" t="str">
        <f t="shared" si="4"/>
        <v>metab_compid_48569</v>
      </c>
      <c r="B314">
        <v>100006203</v>
      </c>
      <c r="C314">
        <v>209</v>
      </c>
      <c r="D314">
        <v>48569</v>
      </c>
      <c r="E314">
        <v>179131</v>
      </c>
      <c r="F314" t="s">
        <v>3863</v>
      </c>
      <c r="G314" t="s">
        <v>3864</v>
      </c>
      <c r="H314">
        <v>5066</v>
      </c>
      <c r="I314" t="s">
        <v>3438</v>
      </c>
      <c r="J314" t="s">
        <v>8521</v>
      </c>
      <c r="K314" t="s">
        <v>8522</v>
      </c>
      <c r="L314" t="s">
        <v>8523</v>
      </c>
      <c r="M314" t="s">
        <v>8523</v>
      </c>
      <c r="N314" t="s">
        <v>8524</v>
      </c>
      <c r="O314" t="s">
        <v>8525</v>
      </c>
      <c r="P314" t="s">
        <v>8526</v>
      </c>
      <c r="R314" t="s">
        <v>8527</v>
      </c>
      <c r="S314" t="s">
        <v>3469</v>
      </c>
    </row>
    <row r="315" spans="1:19" x14ac:dyDescent="0.2">
      <c r="A315" t="str">
        <f t="shared" si="4"/>
        <v>metab_compid_33963</v>
      </c>
      <c r="B315">
        <v>1218</v>
      </c>
      <c r="C315">
        <v>400</v>
      </c>
      <c r="D315">
        <v>33963</v>
      </c>
      <c r="E315">
        <v>156059</v>
      </c>
      <c r="F315" t="s">
        <v>3459</v>
      </c>
      <c r="G315" t="s">
        <v>3740</v>
      </c>
      <c r="H315">
        <v>1954</v>
      </c>
      <c r="I315" t="s">
        <v>3438</v>
      </c>
      <c r="J315" t="s">
        <v>4823</v>
      </c>
      <c r="K315" t="s">
        <v>4824</v>
      </c>
      <c r="L315" t="s">
        <v>18</v>
      </c>
      <c r="M315" t="s">
        <v>18</v>
      </c>
      <c r="N315" t="s">
        <v>4825</v>
      </c>
      <c r="O315" t="s">
        <v>4826</v>
      </c>
      <c r="P315" t="s">
        <v>4827</v>
      </c>
      <c r="Q315" t="s">
        <v>4828</v>
      </c>
      <c r="R315" t="s">
        <v>4829</v>
      </c>
      <c r="S315" t="s">
        <v>3458</v>
      </c>
    </row>
    <row r="316" spans="1:19" x14ac:dyDescent="0.2">
      <c r="A316" t="str">
        <f t="shared" si="4"/>
        <v>metab_compid_32198</v>
      </c>
      <c r="B316">
        <v>100000802</v>
      </c>
      <c r="C316">
        <v>400</v>
      </c>
      <c r="D316">
        <v>32198</v>
      </c>
      <c r="E316">
        <v>155890</v>
      </c>
      <c r="F316" t="s">
        <v>3459</v>
      </c>
      <c r="G316" t="s">
        <v>5568</v>
      </c>
      <c r="H316">
        <v>1858</v>
      </c>
      <c r="I316" t="s">
        <v>3438</v>
      </c>
      <c r="J316" t="s">
        <v>5569</v>
      </c>
      <c r="K316" t="s">
        <v>5570</v>
      </c>
      <c r="L316" t="s">
        <v>5571</v>
      </c>
      <c r="M316" t="s">
        <v>5571</v>
      </c>
      <c r="N316" t="s">
        <v>5572</v>
      </c>
      <c r="O316" t="s">
        <v>5573</v>
      </c>
      <c r="P316" t="s">
        <v>5574</v>
      </c>
      <c r="Q316" t="s">
        <v>5575</v>
      </c>
      <c r="R316" t="s">
        <v>5576</v>
      </c>
      <c r="S316" t="s">
        <v>3458</v>
      </c>
    </row>
    <row r="317" spans="1:19" x14ac:dyDescent="0.2">
      <c r="A317" t="str">
        <f t="shared" si="4"/>
        <v>metab_compid_43258</v>
      </c>
      <c r="B317">
        <v>100004541</v>
      </c>
      <c r="C317">
        <v>209</v>
      </c>
      <c r="D317">
        <v>43258</v>
      </c>
      <c r="E317">
        <v>144587</v>
      </c>
      <c r="F317" t="s">
        <v>3436</v>
      </c>
      <c r="G317" t="s">
        <v>3437</v>
      </c>
      <c r="H317">
        <v>559</v>
      </c>
      <c r="I317" t="s">
        <v>3438</v>
      </c>
      <c r="J317" t="s">
        <v>8236</v>
      </c>
      <c r="K317" t="s">
        <v>8237</v>
      </c>
      <c r="L317" t="s">
        <v>8238</v>
      </c>
      <c r="M317" t="s">
        <v>8238</v>
      </c>
      <c r="N317" t="s">
        <v>8239</v>
      </c>
      <c r="O317" t="s">
        <v>8240</v>
      </c>
      <c r="P317" t="s">
        <v>8241</v>
      </c>
      <c r="R317" t="s">
        <v>8242</v>
      </c>
      <c r="S317" t="s">
        <v>3469</v>
      </c>
    </row>
    <row r="318" spans="1:19" x14ac:dyDescent="0.2">
      <c r="A318" t="str">
        <f t="shared" si="4"/>
        <v>metab_compid_46173</v>
      </c>
      <c r="B318">
        <v>100001359</v>
      </c>
      <c r="C318">
        <v>209</v>
      </c>
      <c r="D318">
        <v>46173</v>
      </c>
      <c r="E318">
        <v>144239</v>
      </c>
      <c r="F318" t="s">
        <v>3479</v>
      </c>
      <c r="G318" t="s">
        <v>3480</v>
      </c>
      <c r="H318">
        <v>1459</v>
      </c>
      <c r="I318" t="s">
        <v>3438</v>
      </c>
      <c r="L318" t="s">
        <v>6283</v>
      </c>
      <c r="M318" t="s">
        <v>6283</v>
      </c>
      <c r="P318" t="s">
        <v>6284</v>
      </c>
      <c r="Q318" t="s">
        <v>6285</v>
      </c>
      <c r="R318" t="s">
        <v>6286</v>
      </c>
      <c r="S318" t="s">
        <v>3469</v>
      </c>
    </row>
    <row r="319" spans="1:19" x14ac:dyDescent="0.2">
      <c r="A319" t="str">
        <f t="shared" si="4"/>
        <v>metab_compid_554</v>
      </c>
      <c r="B319">
        <v>880</v>
      </c>
      <c r="C319">
        <v>400</v>
      </c>
      <c r="D319">
        <v>554</v>
      </c>
      <c r="E319">
        <v>155319</v>
      </c>
      <c r="F319" t="s">
        <v>3533</v>
      </c>
      <c r="G319" t="s">
        <v>3620</v>
      </c>
      <c r="H319">
        <v>4167</v>
      </c>
      <c r="I319" t="s">
        <v>3438</v>
      </c>
      <c r="J319" t="s">
        <v>4390</v>
      </c>
      <c r="K319" t="s">
        <v>4391</v>
      </c>
      <c r="L319" t="s">
        <v>4392</v>
      </c>
      <c r="M319" t="s">
        <v>4392</v>
      </c>
      <c r="N319" t="s">
        <v>4393</v>
      </c>
      <c r="O319" t="s">
        <v>4394</v>
      </c>
      <c r="P319" t="s">
        <v>4395</v>
      </c>
      <c r="Q319" t="s">
        <v>4396</v>
      </c>
      <c r="R319" t="s">
        <v>4397</v>
      </c>
      <c r="S319" t="s">
        <v>3458</v>
      </c>
    </row>
    <row r="320" spans="1:19" x14ac:dyDescent="0.2">
      <c r="A320" t="str">
        <f t="shared" si="4"/>
        <v>metab_compid_555</v>
      </c>
      <c r="B320">
        <v>798</v>
      </c>
      <c r="C320">
        <v>209</v>
      </c>
      <c r="D320">
        <v>555</v>
      </c>
      <c r="E320">
        <v>124777</v>
      </c>
      <c r="F320" t="s">
        <v>3533</v>
      </c>
      <c r="G320" t="s">
        <v>3620</v>
      </c>
      <c r="H320">
        <v>4166</v>
      </c>
      <c r="I320" t="s">
        <v>3438</v>
      </c>
      <c r="J320" t="s">
        <v>4269</v>
      </c>
      <c r="K320" t="s">
        <v>4270</v>
      </c>
      <c r="L320" t="s">
        <v>4271</v>
      </c>
      <c r="M320" t="s">
        <v>4271</v>
      </c>
      <c r="N320" t="s">
        <v>4272</v>
      </c>
      <c r="O320" t="s">
        <v>4273</v>
      </c>
      <c r="P320" t="s">
        <v>4274</v>
      </c>
      <c r="Q320" t="s">
        <v>4275</v>
      </c>
      <c r="R320" t="s">
        <v>4276</v>
      </c>
      <c r="S320" t="s">
        <v>3469</v>
      </c>
    </row>
    <row r="321" spans="1:19" x14ac:dyDescent="0.2">
      <c r="A321" t="str">
        <f t="shared" si="4"/>
        <v>metab_compid_558</v>
      </c>
      <c r="B321">
        <v>215</v>
      </c>
      <c r="C321">
        <v>209</v>
      </c>
      <c r="D321">
        <v>558</v>
      </c>
      <c r="E321">
        <v>125963</v>
      </c>
      <c r="F321" t="s">
        <v>3448</v>
      </c>
      <c r="G321" t="s">
        <v>3449</v>
      </c>
      <c r="H321">
        <v>4346</v>
      </c>
      <c r="I321" t="s">
        <v>3438</v>
      </c>
      <c r="J321" t="s">
        <v>3645</v>
      </c>
      <c r="K321" t="s">
        <v>3646</v>
      </c>
      <c r="L321" t="s">
        <v>3647</v>
      </c>
      <c r="M321" t="s">
        <v>3647</v>
      </c>
      <c r="N321" t="s">
        <v>3648</v>
      </c>
      <c r="O321" t="s">
        <v>3649</v>
      </c>
      <c r="P321" t="s">
        <v>3650</v>
      </c>
      <c r="Q321" t="s">
        <v>3651</v>
      </c>
      <c r="R321" t="s">
        <v>3652</v>
      </c>
      <c r="S321" t="s">
        <v>3469</v>
      </c>
    </row>
    <row r="322" spans="1:19" x14ac:dyDescent="0.2">
      <c r="A322" t="str">
        <f t="shared" ref="A322:A385" si="5">_xlfn.CONCAT("metab_compid_", $D322)</f>
        <v>metab_compid_32342</v>
      </c>
      <c r="B322">
        <v>209</v>
      </c>
      <c r="C322">
        <v>400</v>
      </c>
      <c r="D322">
        <v>32342</v>
      </c>
      <c r="E322">
        <v>155907</v>
      </c>
      <c r="F322" t="s">
        <v>3533</v>
      </c>
      <c r="G322" t="s">
        <v>3620</v>
      </c>
      <c r="H322">
        <v>4159</v>
      </c>
      <c r="I322" t="s">
        <v>3438</v>
      </c>
      <c r="J322" t="s">
        <v>3621</v>
      </c>
      <c r="K322" t="s">
        <v>3622</v>
      </c>
      <c r="L322" t="s">
        <v>3623</v>
      </c>
      <c r="M322" t="s">
        <v>3624</v>
      </c>
      <c r="N322" t="s">
        <v>3625</v>
      </c>
      <c r="O322" t="s">
        <v>3626</v>
      </c>
      <c r="P322" t="s">
        <v>3627</v>
      </c>
      <c r="Q322" t="s">
        <v>3628</v>
      </c>
      <c r="R322" t="s">
        <v>3629</v>
      </c>
      <c r="S322" t="s">
        <v>3458</v>
      </c>
    </row>
    <row r="323" spans="1:19" x14ac:dyDescent="0.2">
      <c r="A323" t="str">
        <f t="shared" si="5"/>
        <v>metab_compid_52988</v>
      </c>
      <c r="B323">
        <v>100006614</v>
      </c>
      <c r="C323">
        <v>400</v>
      </c>
      <c r="D323">
        <v>52988</v>
      </c>
      <c r="E323">
        <v>166228</v>
      </c>
      <c r="F323" t="s">
        <v>3459</v>
      </c>
      <c r="G323" t="s">
        <v>8397</v>
      </c>
      <c r="H323">
        <v>1925</v>
      </c>
      <c r="I323" t="s">
        <v>3438</v>
      </c>
      <c r="J323" t="s">
        <v>8717</v>
      </c>
      <c r="K323" t="s">
        <v>8718</v>
      </c>
      <c r="L323" t="s">
        <v>8719</v>
      </c>
      <c r="M323" t="s">
        <v>8719</v>
      </c>
      <c r="O323" t="s">
        <v>8720</v>
      </c>
      <c r="P323" t="s">
        <v>8721</v>
      </c>
      <c r="R323" t="s">
        <v>8722</v>
      </c>
      <c r="S323" t="s">
        <v>3458</v>
      </c>
    </row>
    <row r="324" spans="1:19" x14ac:dyDescent="0.2">
      <c r="A324" t="str">
        <f t="shared" si="5"/>
        <v>metab_compid_32980</v>
      </c>
      <c r="B324">
        <v>100001193</v>
      </c>
      <c r="C324">
        <v>209</v>
      </c>
      <c r="D324">
        <v>32980</v>
      </c>
      <c r="E324">
        <v>125866</v>
      </c>
      <c r="F324" t="s">
        <v>3459</v>
      </c>
      <c r="G324" t="s">
        <v>3560</v>
      </c>
      <c r="H324">
        <v>1593</v>
      </c>
      <c r="I324" t="s">
        <v>3438</v>
      </c>
      <c r="J324" t="s">
        <v>5942</v>
      </c>
      <c r="K324" t="s">
        <v>5943</v>
      </c>
      <c r="L324" t="s">
        <v>5944</v>
      </c>
      <c r="M324" t="s">
        <v>5944</v>
      </c>
      <c r="N324" t="s">
        <v>5945</v>
      </c>
      <c r="O324" t="s">
        <v>5946</v>
      </c>
      <c r="P324" t="s">
        <v>5947</v>
      </c>
      <c r="Q324" t="s">
        <v>5948</v>
      </c>
      <c r="R324" t="s">
        <v>5949</v>
      </c>
      <c r="S324" t="s">
        <v>3469</v>
      </c>
    </row>
    <row r="325" spans="1:19" x14ac:dyDescent="0.2">
      <c r="A325" t="str">
        <f t="shared" si="5"/>
        <v>metab_compid_1126</v>
      </c>
      <c r="B325">
        <v>811</v>
      </c>
      <c r="C325">
        <v>400</v>
      </c>
      <c r="D325">
        <v>1126</v>
      </c>
      <c r="E325">
        <v>155351</v>
      </c>
      <c r="F325" t="s">
        <v>3436</v>
      </c>
      <c r="G325" t="s">
        <v>3670</v>
      </c>
      <c r="H325">
        <v>29</v>
      </c>
      <c r="I325" t="s">
        <v>3438</v>
      </c>
      <c r="J325" t="s">
        <v>4310</v>
      </c>
      <c r="K325" t="s">
        <v>4311</v>
      </c>
      <c r="L325" t="s">
        <v>26</v>
      </c>
      <c r="M325" t="s">
        <v>26</v>
      </c>
      <c r="N325" t="s">
        <v>4312</v>
      </c>
      <c r="O325" t="s">
        <v>4313</v>
      </c>
      <c r="P325" t="s">
        <v>4314</v>
      </c>
      <c r="Q325" t="s">
        <v>4315</v>
      </c>
      <c r="R325" t="s">
        <v>4316</v>
      </c>
      <c r="S325" t="s">
        <v>3458</v>
      </c>
    </row>
    <row r="326" spans="1:19" x14ac:dyDescent="0.2">
      <c r="A326" t="str">
        <f t="shared" si="5"/>
        <v>metab_compid_1107</v>
      </c>
      <c r="B326">
        <v>1002</v>
      </c>
      <c r="C326">
        <v>305</v>
      </c>
      <c r="D326">
        <v>1107</v>
      </c>
      <c r="E326">
        <v>146424</v>
      </c>
      <c r="F326" t="s">
        <v>3533</v>
      </c>
      <c r="G326" t="s">
        <v>3543</v>
      </c>
      <c r="H326">
        <v>4153</v>
      </c>
      <c r="I326" t="s">
        <v>3438</v>
      </c>
      <c r="J326" t="s">
        <v>4528</v>
      </c>
      <c r="K326" t="s">
        <v>4529</v>
      </c>
      <c r="L326" t="s">
        <v>4530</v>
      </c>
      <c r="M326" t="s">
        <v>4530</v>
      </c>
      <c r="N326" t="s">
        <v>4531</v>
      </c>
      <c r="O326" t="s">
        <v>4532</v>
      </c>
      <c r="P326" t="s">
        <v>4533</v>
      </c>
      <c r="Q326" t="s">
        <v>4534</v>
      </c>
      <c r="R326" t="s">
        <v>4535</v>
      </c>
      <c r="S326" t="s">
        <v>3489</v>
      </c>
    </row>
    <row r="327" spans="1:19" x14ac:dyDescent="0.2">
      <c r="A327" t="str">
        <f t="shared" si="5"/>
        <v>metab_compid_41494</v>
      </c>
      <c r="B327">
        <v>100003473</v>
      </c>
      <c r="C327">
        <v>400</v>
      </c>
      <c r="D327">
        <v>41494</v>
      </c>
      <c r="E327">
        <v>156849</v>
      </c>
      <c r="F327" t="s">
        <v>3863</v>
      </c>
      <c r="G327" t="s">
        <v>3864</v>
      </c>
      <c r="H327">
        <v>4838</v>
      </c>
      <c r="I327" t="s">
        <v>3438</v>
      </c>
      <c r="J327" t="s">
        <v>7930</v>
      </c>
      <c r="K327" t="s">
        <v>7931</v>
      </c>
      <c r="L327" t="s">
        <v>7932</v>
      </c>
      <c r="M327" t="s">
        <v>7932</v>
      </c>
      <c r="N327" t="s">
        <v>7933</v>
      </c>
      <c r="O327" t="s">
        <v>7934</v>
      </c>
      <c r="P327" t="s">
        <v>7935</v>
      </c>
      <c r="Q327" t="s">
        <v>7936</v>
      </c>
      <c r="R327" t="s">
        <v>7937</v>
      </c>
      <c r="S327" t="s">
        <v>3458</v>
      </c>
    </row>
    <row r="328" spans="1:19" x14ac:dyDescent="0.2">
      <c r="A328" t="str">
        <f t="shared" si="5"/>
        <v>metab_compid_43534</v>
      </c>
      <c r="B328">
        <v>100004518</v>
      </c>
      <c r="C328">
        <v>209</v>
      </c>
      <c r="D328">
        <v>43534</v>
      </c>
      <c r="E328">
        <v>150400</v>
      </c>
      <c r="F328" t="s">
        <v>3863</v>
      </c>
      <c r="G328" t="s">
        <v>6220</v>
      </c>
      <c r="H328">
        <v>5830</v>
      </c>
      <c r="I328" t="s">
        <v>3438</v>
      </c>
      <c r="J328" t="s">
        <v>8221</v>
      </c>
      <c r="K328" t="s">
        <v>8222</v>
      </c>
      <c r="L328" t="s">
        <v>8223</v>
      </c>
      <c r="M328" t="s">
        <v>8223</v>
      </c>
      <c r="N328" t="s">
        <v>8224</v>
      </c>
      <c r="O328" t="s">
        <v>8225</v>
      </c>
      <c r="P328" t="s">
        <v>8226</v>
      </c>
      <c r="Q328" t="s">
        <v>8227</v>
      </c>
      <c r="R328" t="s">
        <v>8228</v>
      </c>
      <c r="S328" t="s">
        <v>3469</v>
      </c>
    </row>
    <row r="329" spans="1:19" x14ac:dyDescent="0.2">
      <c r="A329" t="str">
        <f t="shared" si="5"/>
        <v>metab_compid_38321</v>
      </c>
      <c r="B329">
        <v>100002454</v>
      </c>
      <c r="C329">
        <v>209</v>
      </c>
      <c r="D329">
        <v>38321</v>
      </c>
      <c r="E329">
        <v>141858</v>
      </c>
      <c r="F329" t="s">
        <v>3863</v>
      </c>
      <c r="G329" t="s">
        <v>6220</v>
      </c>
      <c r="H329">
        <v>5831</v>
      </c>
      <c r="I329" t="s">
        <v>3438</v>
      </c>
      <c r="J329" t="s">
        <v>7494</v>
      </c>
      <c r="K329" t="s">
        <v>7495</v>
      </c>
      <c r="L329" t="s">
        <v>7496</v>
      </c>
      <c r="M329" t="s">
        <v>7496</v>
      </c>
      <c r="N329" t="s">
        <v>7497</v>
      </c>
      <c r="P329" t="s">
        <v>7498</v>
      </c>
      <c r="R329" t="s">
        <v>7499</v>
      </c>
      <c r="S329" t="s">
        <v>3469</v>
      </c>
    </row>
    <row r="330" spans="1:19" x14ac:dyDescent="0.2">
      <c r="A330" t="str">
        <f t="shared" si="5"/>
        <v>metab_compid_48188</v>
      </c>
      <c r="B330">
        <v>100002206</v>
      </c>
      <c r="C330">
        <v>209</v>
      </c>
      <c r="D330">
        <v>48188</v>
      </c>
      <c r="E330">
        <v>153115</v>
      </c>
      <c r="F330" t="s">
        <v>3448</v>
      </c>
      <c r="G330" t="s">
        <v>4679</v>
      </c>
      <c r="H330">
        <v>4395</v>
      </c>
      <c r="I330" t="s">
        <v>3438</v>
      </c>
      <c r="J330" t="s">
        <v>7363</v>
      </c>
      <c r="K330" t="s">
        <v>7364</v>
      </c>
      <c r="L330" t="s">
        <v>7365</v>
      </c>
      <c r="M330" t="s">
        <v>7365</v>
      </c>
      <c r="N330" t="s">
        <v>7366</v>
      </c>
      <c r="O330" t="s">
        <v>7367</v>
      </c>
      <c r="P330" t="s">
        <v>7368</v>
      </c>
      <c r="R330" t="s">
        <v>7369</v>
      </c>
      <c r="S330" t="s">
        <v>3469</v>
      </c>
    </row>
    <row r="331" spans="1:19" x14ac:dyDescent="0.2">
      <c r="A331" t="str">
        <f t="shared" si="5"/>
        <v>metab_compid_47666</v>
      </c>
      <c r="B331">
        <v>100005972</v>
      </c>
      <c r="C331">
        <v>209</v>
      </c>
      <c r="D331">
        <v>47666</v>
      </c>
      <c r="E331">
        <v>153114</v>
      </c>
      <c r="F331" t="s">
        <v>3448</v>
      </c>
      <c r="G331" t="s">
        <v>4679</v>
      </c>
      <c r="H331">
        <v>4392</v>
      </c>
      <c r="I331" t="s">
        <v>3438</v>
      </c>
      <c r="J331" t="s">
        <v>8380</v>
      </c>
      <c r="K331" t="s">
        <v>8381</v>
      </c>
      <c r="L331" t="s">
        <v>8382</v>
      </c>
      <c r="M331" t="s">
        <v>8382</v>
      </c>
      <c r="S331" t="s">
        <v>3469</v>
      </c>
    </row>
    <row r="332" spans="1:19" x14ac:dyDescent="0.2">
      <c r="A332" t="str">
        <f t="shared" si="5"/>
        <v>metab_compid_63926</v>
      </c>
      <c r="B332">
        <v>100005977</v>
      </c>
      <c r="C332">
        <v>209</v>
      </c>
      <c r="D332">
        <v>63926</v>
      </c>
      <c r="E332">
        <v>223841</v>
      </c>
      <c r="F332" t="s">
        <v>3448</v>
      </c>
      <c r="G332" t="s">
        <v>4679</v>
      </c>
      <c r="H332">
        <v>4380</v>
      </c>
      <c r="I332" t="s">
        <v>3438</v>
      </c>
      <c r="J332" t="s">
        <v>8383</v>
      </c>
      <c r="K332" t="s">
        <v>8384</v>
      </c>
      <c r="L332" t="s">
        <v>8385</v>
      </c>
      <c r="M332" t="s">
        <v>8385</v>
      </c>
      <c r="S332" t="s">
        <v>3469</v>
      </c>
    </row>
    <row r="333" spans="1:19" x14ac:dyDescent="0.2">
      <c r="A333" t="str">
        <f t="shared" si="5"/>
        <v>metab_compid_22132</v>
      </c>
      <c r="B333">
        <v>100000706</v>
      </c>
      <c r="C333">
        <v>209</v>
      </c>
      <c r="D333">
        <v>22132</v>
      </c>
      <c r="E333">
        <v>124683</v>
      </c>
      <c r="F333" t="s">
        <v>3436</v>
      </c>
      <c r="G333" t="s">
        <v>3498</v>
      </c>
      <c r="H333">
        <v>352</v>
      </c>
      <c r="I333" t="s">
        <v>3438</v>
      </c>
      <c r="J333" t="s">
        <v>5472</v>
      </c>
      <c r="K333" t="s">
        <v>5473</v>
      </c>
      <c r="L333" t="s">
        <v>5474</v>
      </c>
      <c r="M333" t="s">
        <v>5474</v>
      </c>
      <c r="N333" t="s">
        <v>5475</v>
      </c>
      <c r="O333" t="s">
        <v>5476</v>
      </c>
      <c r="P333" t="s">
        <v>5477</v>
      </c>
      <c r="Q333" t="s">
        <v>5478</v>
      </c>
      <c r="R333" t="s">
        <v>5479</v>
      </c>
      <c r="S333" t="s">
        <v>3469</v>
      </c>
    </row>
    <row r="334" spans="1:19" x14ac:dyDescent="0.2">
      <c r="A334" t="str">
        <f t="shared" si="5"/>
        <v>metab_compid_33937</v>
      </c>
      <c r="B334">
        <v>100001300</v>
      </c>
      <c r="C334">
        <v>209</v>
      </c>
      <c r="D334">
        <v>33937</v>
      </c>
      <c r="E334">
        <v>126093</v>
      </c>
      <c r="F334" t="s">
        <v>3436</v>
      </c>
      <c r="G334" t="s">
        <v>3498</v>
      </c>
      <c r="H334">
        <v>429</v>
      </c>
      <c r="I334" t="s">
        <v>3438</v>
      </c>
      <c r="J334" t="s">
        <v>6186</v>
      </c>
      <c r="K334" t="s">
        <v>6187</v>
      </c>
      <c r="L334" t="s">
        <v>6188</v>
      </c>
      <c r="M334" t="s">
        <v>6188</v>
      </c>
      <c r="N334" t="s">
        <v>6189</v>
      </c>
      <c r="O334" t="s">
        <v>6190</v>
      </c>
      <c r="P334" t="s">
        <v>6191</v>
      </c>
      <c r="R334" t="s">
        <v>6192</v>
      </c>
      <c r="S334" t="s">
        <v>3469</v>
      </c>
    </row>
    <row r="335" spans="1:19" x14ac:dyDescent="0.2">
      <c r="A335" t="str">
        <f t="shared" si="5"/>
        <v>metab_compid_4968</v>
      </c>
      <c r="B335">
        <v>796</v>
      </c>
      <c r="C335">
        <v>209</v>
      </c>
      <c r="D335">
        <v>4968</v>
      </c>
      <c r="E335">
        <v>128149</v>
      </c>
      <c r="F335" t="s">
        <v>3436</v>
      </c>
      <c r="G335" t="s">
        <v>3603</v>
      </c>
      <c r="H335">
        <v>460</v>
      </c>
      <c r="I335" t="s">
        <v>3438</v>
      </c>
      <c r="J335" t="s">
        <v>4261</v>
      </c>
      <c r="K335" t="s">
        <v>4262</v>
      </c>
      <c r="L335" t="s">
        <v>4263</v>
      </c>
      <c r="M335" t="s">
        <v>4263</v>
      </c>
      <c r="N335" t="s">
        <v>4264</v>
      </c>
      <c r="O335" t="s">
        <v>4265</v>
      </c>
      <c r="P335" t="s">
        <v>4266</v>
      </c>
      <c r="Q335" t="s">
        <v>4267</v>
      </c>
      <c r="R335" t="s">
        <v>4268</v>
      </c>
      <c r="S335" t="s">
        <v>3469</v>
      </c>
    </row>
    <row r="336" spans="1:19" x14ac:dyDescent="0.2">
      <c r="A336" t="str">
        <f t="shared" si="5"/>
        <v>metab_compid_62101</v>
      </c>
      <c r="B336">
        <v>100002397</v>
      </c>
      <c r="C336">
        <v>305</v>
      </c>
      <c r="D336">
        <v>62101</v>
      </c>
      <c r="E336">
        <v>218946</v>
      </c>
      <c r="F336" t="s">
        <v>3436</v>
      </c>
      <c r="G336" t="s">
        <v>4215</v>
      </c>
      <c r="H336">
        <v>48</v>
      </c>
      <c r="I336" t="s">
        <v>3438</v>
      </c>
      <c r="J336" t="s">
        <v>7456</v>
      </c>
      <c r="K336" t="s">
        <v>7457</v>
      </c>
      <c r="L336" t="s">
        <v>7458</v>
      </c>
      <c r="M336" t="s">
        <v>7458</v>
      </c>
      <c r="N336" t="s">
        <v>7459</v>
      </c>
      <c r="P336" t="s">
        <v>7460</v>
      </c>
      <c r="Q336" t="s">
        <v>7461</v>
      </c>
      <c r="R336" t="s">
        <v>5652</v>
      </c>
      <c r="S336" t="s">
        <v>3489</v>
      </c>
    </row>
    <row r="337" spans="1:19" x14ac:dyDescent="0.2">
      <c r="A337" t="str">
        <f t="shared" si="5"/>
        <v>metab_compid_528</v>
      </c>
      <c r="B337">
        <v>93</v>
      </c>
      <c r="C337">
        <v>305</v>
      </c>
      <c r="D337">
        <v>528</v>
      </c>
      <c r="E337">
        <v>146398</v>
      </c>
      <c r="F337" t="s">
        <v>3479</v>
      </c>
      <c r="G337" t="s">
        <v>3480</v>
      </c>
      <c r="H337">
        <v>1463</v>
      </c>
      <c r="I337" t="s">
        <v>3438</v>
      </c>
      <c r="J337" t="s">
        <v>3481</v>
      </c>
      <c r="K337" t="s">
        <v>3482</v>
      </c>
      <c r="L337" t="s">
        <v>3483</v>
      </c>
      <c r="M337" t="s">
        <v>3483</v>
      </c>
      <c r="N337" t="s">
        <v>3484</v>
      </c>
      <c r="O337" t="s">
        <v>3485</v>
      </c>
      <c r="P337" t="s">
        <v>3486</v>
      </c>
      <c r="Q337" t="s">
        <v>3487</v>
      </c>
      <c r="R337" t="s">
        <v>3488</v>
      </c>
      <c r="S337" t="s">
        <v>3489</v>
      </c>
    </row>
    <row r="338" spans="1:19" x14ac:dyDescent="0.2">
      <c r="A338" t="str">
        <f t="shared" si="5"/>
        <v>metab_compid_1561</v>
      </c>
      <c r="B338">
        <v>1105</v>
      </c>
      <c r="C338">
        <v>402</v>
      </c>
      <c r="D338">
        <v>1561</v>
      </c>
      <c r="E338">
        <v>164189</v>
      </c>
      <c r="F338" t="s">
        <v>3448</v>
      </c>
      <c r="G338" t="s">
        <v>4679</v>
      </c>
      <c r="H338">
        <v>4381</v>
      </c>
      <c r="I338" t="s">
        <v>3438</v>
      </c>
      <c r="J338" t="s">
        <v>4680</v>
      </c>
      <c r="K338" t="s">
        <v>4681</v>
      </c>
      <c r="L338" t="s">
        <v>4682</v>
      </c>
      <c r="M338" t="s">
        <v>4682</v>
      </c>
      <c r="N338" t="s">
        <v>4683</v>
      </c>
      <c r="O338" t="s">
        <v>4684</v>
      </c>
      <c r="P338" t="s">
        <v>4685</v>
      </c>
      <c r="Q338" t="s">
        <v>4686</v>
      </c>
      <c r="R338" t="s">
        <v>4687</v>
      </c>
      <c r="S338" t="s">
        <v>3447</v>
      </c>
    </row>
    <row r="339" spans="1:19" x14ac:dyDescent="0.2">
      <c r="A339" t="str">
        <f t="shared" si="5"/>
        <v>metab_compid_52948</v>
      </c>
      <c r="B339">
        <v>100008962</v>
      </c>
      <c r="C339">
        <v>209</v>
      </c>
      <c r="D339">
        <v>52948</v>
      </c>
      <c r="E339">
        <v>166074</v>
      </c>
      <c r="F339" t="s">
        <v>3863</v>
      </c>
      <c r="G339" t="s">
        <v>7477</v>
      </c>
      <c r="H339">
        <v>5487</v>
      </c>
      <c r="I339" t="s">
        <v>3438</v>
      </c>
      <c r="J339" t="s">
        <v>8888</v>
      </c>
      <c r="K339" t="s">
        <v>8889</v>
      </c>
      <c r="L339" t="s">
        <v>8890</v>
      </c>
      <c r="M339" t="s">
        <v>8890</v>
      </c>
      <c r="N339" t="s">
        <v>8891</v>
      </c>
      <c r="O339" t="s">
        <v>8892</v>
      </c>
      <c r="P339" t="s">
        <v>8893</v>
      </c>
      <c r="Q339" t="s">
        <v>8894</v>
      </c>
      <c r="R339" t="s">
        <v>8895</v>
      </c>
      <c r="S339" t="s">
        <v>3469</v>
      </c>
    </row>
    <row r="340" spans="1:19" x14ac:dyDescent="0.2">
      <c r="A340" t="str">
        <f t="shared" si="5"/>
        <v>metab_compid_32827</v>
      </c>
      <c r="B340">
        <v>100002152</v>
      </c>
      <c r="C340">
        <v>209</v>
      </c>
      <c r="D340">
        <v>32827</v>
      </c>
      <c r="E340">
        <v>149822</v>
      </c>
      <c r="F340" t="s">
        <v>3459</v>
      </c>
      <c r="G340" t="s">
        <v>5559</v>
      </c>
      <c r="H340">
        <v>3413</v>
      </c>
      <c r="I340" t="s">
        <v>3438</v>
      </c>
      <c r="J340" t="s">
        <v>7313</v>
      </c>
      <c r="K340" t="s">
        <v>7314</v>
      </c>
      <c r="L340" t="s">
        <v>7315</v>
      </c>
      <c r="M340" t="s">
        <v>7315</v>
      </c>
      <c r="P340" t="s">
        <v>5789</v>
      </c>
      <c r="R340" t="s">
        <v>5790</v>
      </c>
      <c r="S340" t="s">
        <v>3469</v>
      </c>
    </row>
    <row r="341" spans="1:19" x14ac:dyDescent="0.2">
      <c r="A341" t="str">
        <f t="shared" si="5"/>
        <v>metab_compid_37207</v>
      </c>
      <c r="B341">
        <v>100002026</v>
      </c>
      <c r="C341">
        <v>209</v>
      </c>
      <c r="D341">
        <v>37207</v>
      </c>
      <c r="E341">
        <v>144213</v>
      </c>
      <c r="F341" t="s">
        <v>3459</v>
      </c>
      <c r="G341" t="s">
        <v>5559</v>
      </c>
      <c r="H341">
        <v>3387</v>
      </c>
      <c r="I341" t="s">
        <v>3438</v>
      </c>
      <c r="J341" t="s">
        <v>7196</v>
      </c>
      <c r="K341" t="s">
        <v>7197</v>
      </c>
      <c r="L341" t="s">
        <v>7198</v>
      </c>
      <c r="M341" t="s">
        <v>7198</v>
      </c>
      <c r="S341" t="s">
        <v>3469</v>
      </c>
    </row>
    <row r="342" spans="1:19" x14ac:dyDescent="0.2">
      <c r="A342" t="str">
        <f t="shared" si="5"/>
        <v>metab_compid_37209</v>
      </c>
      <c r="B342">
        <v>100002027</v>
      </c>
      <c r="C342">
        <v>209</v>
      </c>
      <c r="D342">
        <v>37209</v>
      </c>
      <c r="E342">
        <v>144214</v>
      </c>
      <c r="F342" t="s">
        <v>3459</v>
      </c>
      <c r="G342" t="s">
        <v>5559</v>
      </c>
      <c r="H342">
        <v>3388</v>
      </c>
      <c r="I342" t="s">
        <v>3438</v>
      </c>
      <c r="J342" t="s">
        <v>7199</v>
      </c>
      <c r="K342" t="s">
        <v>7200</v>
      </c>
      <c r="L342" t="s">
        <v>7201</v>
      </c>
      <c r="M342" t="s">
        <v>7201</v>
      </c>
      <c r="S342" t="s">
        <v>3469</v>
      </c>
    </row>
    <row r="343" spans="1:19" x14ac:dyDescent="0.2">
      <c r="A343" t="str">
        <f t="shared" si="5"/>
        <v>metab_compid_37202</v>
      </c>
      <c r="B343">
        <v>100001992</v>
      </c>
      <c r="C343">
        <v>209</v>
      </c>
      <c r="D343">
        <v>37202</v>
      </c>
      <c r="E343">
        <v>144229</v>
      </c>
      <c r="F343" t="s">
        <v>3459</v>
      </c>
      <c r="G343" t="s">
        <v>5559</v>
      </c>
      <c r="H343">
        <v>3383</v>
      </c>
      <c r="I343" t="s">
        <v>3438</v>
      </c>
      <c r="J343" t="s">
        <v>7145</v>
      </c>
      <c r="K343" t="s">
        <v>7146</v>
      </c>
      <c r="L343" t="s">
        <v>7147</v>
      </c>
      <c r="M343" t="s">
        <v>7147</v>
      </c>
      <c r="P343" t="s">
        <v>7148</v>
      </c>
      <c r="Q343" t="s">
        <v>7149</v>
      </c>
      <c r="R343" t="s">
        <v>7150</v>
      </c>
      <c r="S343" t="s">
        <v>3469</v>
      </c>
    </row>
    <row r="344" spans="1:19" x14ac:dyDescent="0.2">
      <c r="A344" t="str">
        <f t="shared" si="5"/>
        <v>metab_compid_37203</v>
      </c>
      <c r="B344">
        <v>100001994</v>
      </c>
      <c r="C344">
        <v>209</v>
      </c>
      <c r="D344">
        <v>37203</v>
      </c>
      <c r="E344">
        <v>144269</v>
      </c>
      <c r="F344" t="s">
        <v>3459</v>
      </c>
      <c r="G344" t="s">
        <v>5559</v>
      </c>
      <c r="H344">
        <v>3384</v>
      </c>
      <c r="I344" t="s">
        <v>3438</v>
      </c>
      <c r="J344" t="s">
        <v>7145</v>
      </c>
      <c r="K344" t="s">
        <v>7156</v>
      </c>
      <c r="L344" t="s">
        <v>7157</v>
      </c>
      <c r="M344" t="s">
        <v>7157</v>
      </c>
      <c r="P344" t="s">
        <v>7148</v>
      </c>
      <c r="R344" t="s">
        <v>7150</v>
      </c>
      <c r="S344" t="s">
        <v>3469</v>
      </c>
    </row>
    <row r="345" spans="1:19" x14ac:dyDescent="0.2">
      <c r="A345" t="str">
        <f t="shared" si="5"/>
        <v>metab_compid_37211</v>
      </c>
      <c r="B345">
        <v>100002028</v>
      </c>
      <c r="C345">
        <v>209</v>
      </c>
      <c r="D345">
        <v>37211</v>
      </c>
      <c r="E345">
        <v>144263</v>
      </c>
      <c r="F345" t="s">
        <v>3459</v>
      </c>
      <c r="G345" t="s">
        <v>5559</v>
      </c>
      <c r="H345">
        <v>3380</v>
      </c>
      <c r="I345" t="s">
        <v>3438</v>
      </c>
      <c r="J345" t="s">
        <v>7202</v>
      </c>
      <c r="K345" t="s">
        <v>7203</v>
      </c>
      <c r="L345" t="s">
        <v>7204</v>
      </c>
      <c r="M345" t="s">
        <v>7204</v>
      </c>
      <c r="N345" t="s">
        <v>7205</v>
      </c>
      <c r="P345" t="s">
        <v>7206</v>
      </c>
      <c r="R345" t="s">
        <v>7207</v>
      </c>
      <c r="S345" t="s">
        <v>3469</v>
      </c>
    </row>
    <row r="346" spans="1:19" x14ac:dyDescent="0.2">
      <c r="A346" t="str">
        <f t="shared" si="5"/>
        <v>metab_compid_37210</v>
      </c>
      <c r="B346">
        <v>100002029</v>
      </c>
      <c r="C346">
        <v>209</v>
      </c>
      <c r="D346">
        <v>37210</v>
      </c>
      <c r="E346">
        <v>144261</v>
      </c>
      <c r="F346" t="s">
        <v>3459</v>
      </c>
      <c r="G346" t="s">
        <v>5559</v>
      </c>
      <c r="H346">
        <v>3381</v>
      </c>
      <c r="I346" t="s">
        <v>3438</v>
      </c>
      <c r="J346" t="s">
        <v>7208</v>
      </c>
      <c r="K346" t="s">
        <v>7209</v>
      </c>
      <c r="L346" t="s">
        <v>7210</v>
      </c>
      <c r="M346" t="s">
        <v>7210</v>
      </c>
      <c r="P346" t="s">
        <v>7211</v>
      </c>
      <c r="S346" t="s">
        <v>3469</v>
      </c>
    </row>
    <row r="347" spans="1:19" x14ac:dyDescent="0.2">
      <c r="A347" t="str">
        <f t="shared" si="5"/>
        <v>metab_compid_61846</v>
      </c>
      <c r="B347">
        <v>100002761</v>
      </c>
      <c r="C347">
        <v>209</v>
      </c>
      <c r="D347">
        <v>61846</v>
      </c>
      <c r="E347">
        <v>218457</v>
      </c>
      <c r="F347" t="s">
        <v>3459</v>
      </c>
      <c r="G347" t="s">
        <v>5559</v>
      </c>
      <c r="H347">
        <v>3360</v>
      </c>
      <c r="I347" t="s">
        <v>3438</v>
      </c>
      <c r="J347" t="s">
        <v>7630</v>
      </c>
      <c r="K347" t="s">
        <v>7631</v>
      </c>
      <c r="L347" t="s">
        <v>7632</v>
      </c>
      <c r="M347" t="s">
        <v>7632</v>
      </c>
      <c r="N347" t="s">
        <v>7633</v>
      </c>
      <c r="O347" t="s">
        <v>7634</v>
      </c>
      <c r="P347" t="s">
        <v>7635</v>
      </c>
      <c r="Q347" t="s">
        <v>7636</v>
      </c>
      <c r="R347" t="s">
        <v>7637</v>
      </c>
      <c r="S347" t="s">
        <v>3469</v>
      </c>
    </row>
    <row r="348" spans="1:19" x14ac:dyDescent="0.2">
      <c r="A348" t="str">
        <f t="shared" si="5"/>
        <v>metab_compid_31591</v>
      </c>
      <c r="B348">
        <v>100001073</v>
      </c>
      <c r="C348">
        <v>209</v>
      </c>
      <c r="D348">
        <v>31591</v>
      </c>
      <c r="E348">
        <v>126075</v>
      </c>
      <c r="F348" t="s">
        <v>3459</v>
      </c>
      <c r="G348" t="s">
        <v>5559</v>
      </c>
      <c r="H348">
        <v>3370</v>
      </c>
      <c r="I348" t="s">
        <v>3438</v>
      </c>
      <c r="J348" t="s">
        <v>5784</v>
      </c>
      <c r="K348" t="s">
        <v>5785</v>
      </c>
      <c r="L348" t="s">
        <v>5786</v>
      </c>
      <c r="M348" t="s">
        <v>5786</v>
      </c>
      <c r="N348" t="s">
        <v>5787</v>
      </c>
      <c r="O348" t="s">
        <v>5788</v>
      </c>
      <c r="P348" t="s">
        <v>5789</v>
      </c>
      <c r="R348" t="s">
        <v>5790</v>
      </c>
      <c r="S348" t="s">
        <v>3469</v>
      </c>
    </row>
    <row r="349" spans="1:19" x14ac:dyDescent="0.2">
      <c r="A349" t="str">
        <f t="shared" si="5"/>
        <v>metab_compid_4970</v>
      </c>
      <c r="B349">
        <v>1258</v>
      </c>
      <c r="C349">
        <v>400</v>
      </c>
      <c r="D349">
        <v>4970</v>
      </c>
      <c r="E349">
        <v>155491</v>
      </c>
      <c r="F349" t="s">
        <v>3436</v>
      </c>
      <c r="G349" t="s">
        <v>3470</v>
      </c>
      <c r="H349">
        <v>280</v>
      </c>
      <c r="I349" t="s">
        <v>3438</v>
      </c>
      <c r="J349" t="s">
        <v>4903</v>
      </c>
      <c r="K349" t="s">
        <v>4904</v>
      </c>
      <c r="L349" t="s">
        <v>4905</v>
      </c>
      <c r="M349" t="s">
        <v>4905</v>
      </c>
      <c r="N349" t="s">
        <v>4906</v>
      </c>
      <c r="O349" t="s">
        <v>4907</v>
      </c>
      <c r="P349" t="s">
        <v>4908</v>
      </c>
      <c r="Q349" t="s">
        <v>4909</v>
      </c>
      <c r="R349" t="s">
        <v>3666</v>
      </c>
      <c r="S349" t="s">
        <v>3458</v>
      </c>
    </row>
    <row r="350" spans="1:19" x14ac:dyDescent="0.2">
      <c r="A350" t="str">
        <f t="shared" si="5"/>
        <v>metab_compid_48885</v>
      </c>
      <c r="B350">
        <v>100006430</v>
      </c>
      <c r="C350">
        <v>305</v>
      </c>
      <c r="D350">
        <v>48885</v>
      </c>
      <c r="E350">
        <v>160479</v>
      </c>
      <c r="F350" t="s">
        <v>3977</v>
      </c>
      <c r="G350" t="s">
        <v>4446</v>
      </c>
      <c r="H350">
        <v>1294</v>
      </c>
      <c r="I350" t="s">
        <v>3438</v>
      </c>
      <c r="J350" t="s">
        <v>8699</v>
      </c>
      <c r="K350" t="s">
        <v>8700</v>
      </c>
      <c r="L350" t="s">
        <v>8701</v>
      </c>
      <c r="M350" t="s">
        <v>8701</v>
      </c>
      <c r="P350" t="s">
        <v>8702</v>
      </c>
      <c r="Q350" t="s">
        <v>8703</v>
      </c>
      <c r="R350" t="s">
        <v>8704</v>
      </c>
      <c r="S350" t="s">
        <v>3489</v>
      </c>
    </row>
    <row r="351" spans="1:19" x14ac:dyDescent="0.2">
      <c r="A351" t="str">
        <f t="shared" si="5"/>
        <v>metab_compid_48255</v>
      </c>
      <c r="B351">
        <v>100006115</v>
      </c>
      <c r="C351">
        <v>305</v>
      </c>
      <c r="D351">
        <v>48255</v>
      </c>
      <c r="E351">
        <v>153226</v>
      </c>
      <c r="F351" t="s">
        <v>3977</v>
      </c>
      <c r="G351" t="s">
        <v>4446</v>
      </c>
      <c r="H351">
        <v>1300</v>
      </c>
      <c r="I351" t="s">
        <v>3438</v>
      </c>
      <c r="J351" t="s">
        <v>8457</v>
      </c>
      <c r="K351" t="s">
        <v>8458</v>
      </c>
      <c r="L351" t="s">
        <v>8459</v>
      </c>
      <c r="M351" t="s">
        <v>8459</v>
      </c>
      <c r="P351" t="s">
        <v>8460</v>
      </c>
      <c r="Q351" t="s">
        <v>8461</v>
      </c>
      <c r="R351" t="s">
        <v>8462</v>
      </c>
      <c r="S351" t="s">
        <v>3489</v>
      </c>
    </row>
    <row r="352" spans="1:19" x14ac:dyDescent="0.2">
      <c r="A352" t="str">
        <f t="shared" si="5"/>
        <v>metab_compid_1118</v>
      </c>
      <c r="B352">
        <v>893</v>
      </c>
      <c r="C352">
        <v>209</v>
      </c>
      <c r="D352">
        <v>1118</v>
      </c>
      <c r="E352">
        <v>125716</v>
      </c>
      <c r="F352" t="s">
        <v>3459</v>
      </c>
      <c r="G352" t="s">
        <v>4017</v>
      </c>
      <c r="H352">
        <v>1535</v>
      </c>
      <c r="I352" t="s">
        <v>3438</v>
      </c>
      <c r="J352" t="s">
        <v>4429</v>
      </c>
      <c r="K352" t="s">
        <v>4430</v>
      </c>
      <c r="L352" t="s">
        <v>4431</v>
      </c>
      <c r="M352" t="s">
        <v>4431</v>
      </c>
      <c r="N352" t="s">
        <v>4432</v>
      </c>
      <c r="O352" t="s">
        <v>4433</v>
      </c>
      <c r="P352" t="s">
        <v>4434</v>
      </c>
      <c r="Q352" t="s">
        <v>4435</v>
      </c>
      <c r="R352" t="s">
        <v>4436</v>
      </c>
      <c r="S352" t="s">
        <v>3469</v>
      </c>
    </row>
    <row r="353" spans="1:19" x14ac:dyDescent="0.2">
      <c r="A353" t="str">
        <f t="shared" si="5"/>
        <v>metab_compid_1110</v>
      </c>
      <c r="B353">
        <v>229</v>
      </c>
      <c r="C353">
        <v>209</v>
      </c>
      <c r="D353">
        <v>1110</v>
      </c>
      <c r="E353">
        <v>125971</v>
      </c>
      <c r="F353" t="s">
        <v>3459</v>
      </c>
      <c r="G353" t="s">
        <v>3560</v>
      </c>
      <c r="H353">
        <v>1591</v>
      </c>
      <c r="I353" t="s">
        <v>3438</v>
      </c>
      <c r="J353" t="s">
        <v>3653</v>
      </c>
      <c r="K353" t="s">
        <v>3654</v>
      </c>
      <c r="L353" t="s">
        <v>3655</v>
      </c>
      <c r="M353" t="s">
        <v>3655</v>
      </c>
      <c r="N353" t="s">
        <v>3656</v>
      </c>
      <c r="O353" t="s">
        <v>3657</v>
      </c>
      <c r="P353" t="s">
        <v>3658</v>
      </c>
      <c r="Q353" t="s">
        <v>3659</v>
      </c>
      <c r="R353" t="s">
        <v>3660</v>
      </c>
      <c r="S353" t="s">
        <v>3469</v>
      </c>
    </row>
    <row r="354" spans="1:19" x14ac:dyDescent="0.2">
      <c r="A354" t="str">
        <f t="shared" si="5"/>
        <v>metab_compid_57518</v>
      </c>
      <c r="B354">
        <v>100015837</v>
      </c>
      <c r="C354">
        <v>402</v>
      </c>
      <c r="D354">
        <v>57518</v>
      </c>
      <c r="E354">
        <v>211219</v>
      </c>
      <c r="F354" t="s">
        <v>3459</v>
      </c>
      <c r="G354" t="s">
        <v>7821</v>
      </c>
      <c r="H354">
        <v>1912</v>
      </c>
      <c r="I354" t="s">
        <v>3438</v>
      </c>
      <c r="J354" t="s">
        <v>9488</v>
      </c>
      <c r="K354" t="s">
        <v>9489</v>
      </c>
      <c r="L354" t="s">
        <v>9490</v>
      </c>
      <c r="M354" t="s">
        <v>9490</v>
      </c>
      <c r="P354" t="s">
        <v>9491</v>
      </c>
      <c r="R354" t="s">
        <v>9492</v>
      </c>
      <c r="S354" t="s">
        <v>3447</v>
      </c>
    </row>
    <row r="355" spans="1:19" x14ac:dyDescent="0.2">
      <c r="A355" t="str">
        <f t="shared" si="5"/>
        <v>metab_compid_53261</v>
      </c>
      <c r="B355">
        <v>100009332</v>
      </c>
      <c r="C355">
        <v>402</v>
      </c>
      <c r="D355">
        <v>53261</v>
      </c>
      <c r="E355">
        <v>179347</v>
      </c>
      <c r="F355" t="s">
        <v>3459</v>
      </c>
      <c r="G355" t="s">
        <v>9134</v>
      </c>
      <c r="H355">
        <v>1970</v>
      </c>
      <c r="I355" t="s">
        <v>3438</v>
      </c>
      <c r="J355" t="s">
        <v>9183</v>
      </c>
      <c r="K355" t="s">
        <v>9184</v>
      </c>
      <c r="L355" t="s">
        <v>9185</v>
      </c>
      <c r="M355" t="s">
        <v>9185</v>
      </c>
      <c r="P355" t="s">
        <v>9186</v>
      </c>
      <c r="R355" t="s">
        <v>9187</v>
      </c>
      <c r="S355" t="s">
        <v>3447</v>
      </c>
    </row>
    <row r="356" spans="1:19" x14ac:dyDescent="0.2">
      <c r="A356" t="str">
        <f t="shared" si="5"/>
        <v>metab_compid_57513</v>
      </c>
      <c r="B356">
        <v>100015833</v>
      </c>
      <c r="C356">
        <v>402</v>
      </c>
      <c r="D356">
        <v>57513</v>
      </c>
      <c r="E356">
        <v>211214</v>
      </c>
      <c r="F356" t="s">
        <v>3459</v>
      </c>
      <c r="G356" t="s">
        <v>5526</v>
      </c>
      <c r="H356">
        <v>1885</v>
      </c>
      <c r="I356" t="s">
        <v>3438</v>
      </c>
      <c r="J356" t="s">
        <v>9469</v>
      </c>
      <c r="K356" t="s">
        <v>9470</v>
      </c>
      <c r="L356" t="s">
        <v>9471</v>
      </c>
      <c r="M356" t="s">
        <v>9471</v>
      </c>
      <c r="O356" t="s">
        <v>9472</v>
      </c>
      <c r="P356" t="s">
        <v>9473</v>
      </c>
      <c r="R356" t="s">
        <v>9474</v>
      </c>
      <c r="S356" t="s">
        <v>3447</v>
      </c>
    </row>
    <row r="357" spans="1:19" x14ac:dyDescent="0.2">
      <c r="A357" t="str">
        <f t="shared" si="5"/>
        <v>metab_compid_57461</v>
      </c>
      <c r="B357">
        <v>100002769</v>
      </c>
      <c r="C357">
        <v>400</v>
      </c>
      <c r="D357">
        <v>57461</v>
      </c>
      <c r="E357">
        <v>211115</v>
      </c>
      <c r="F357" t="s">
        <v>3436</v>
      </c>
      <c r="G357" t="s">
        <v>3661</v>
      </c>
      <c r="H357">
        <v>529</v>
      </c>
      <c r="I357" t="s">
        <v>3438</v>
      </c>
      <c r="J357" t="s">
        <v>7638</v>
      </c>
      <c r="K357" t="s">
        <v>7639</v>
      </c>
      <c r="L357" t="s">
        <v>7640</v>
      </c>
      <c r="M357" t="s">
        <v>7640</v>
      </c>
      <c r="N357" t="s">
        <v>7641</v>
      </c>
      <c r="O357" t="s">
        <v>7642</v>
      </c>
      <c r="P357" t="s">
        <v>7643</v>
      </c>
      <c r="R357" t="s">
        <v>7644</v>
      </c>
      <c r="S357" t="s">
        <v>3458</v>
      </c>
    </row>
    <row r="358" spans="1:19" x14ac:dyDescent="0.2">
      <c r="A358" t="str">
        <f t="shared" si="5"/>
        <v>metab_compid_1638</v>
      </c>
      <c r="B358">
        <v>231</v>
      </c>
      <c r="C358">
        <v>400</v>
      </c>
      <c r="D358">
        <v>1638</v>
      </c>
      <c r="E358">
        <v>155435</v>
      </c>
      <c r="F358" t="s">
        <v>3436</v>
      </c>
      <c r="G358" t="s">
        <v>3661</v>
      </c>
      <c r="H358">
        <v>490</v>
      </c>
      <c r="I358" t="s">
        <v>3438</v>
      </c>
      <c r="J358" t="s">
        <v>3662</v>
      </c>
      <c r="K358" t="s">
        <v>3663</v>
      </c>
      <c r="L358" t="s">
        <v>3664</v>
      </c>
      <c r="M358" t="s">
        <v>3664</v>
      </c>
      <c r="N358" t="s">
        <v>3665</v>
      </c>
      <c r="O358" t="s">
        <v>3666</v>
      </c>
      <c r="P358" t="s">
        <v>3667</v>
      </c>
      <c r="Q358" t="s">
        <v>3668</v>
      </c>
      <c r="R358" t="s">
        <v>3669</v>
      </c>
      <c r="S358" t="s">
        <v>3458</v>
      </c>
    </row>
    <row r="359" spans="1:19" x14ac:dyDescent="0.2">
      <c r="A359" t="str">
        <f t="shared" si="5"/>
        <v>metab_compid_63590</v>
      </c>
      <c r="B359">
        <v>100009329</v>
      </c>
      <c r="C359">
        <v>305</v>
      </c>
      <c r="D359">
        <v>63590</v>
      </c>
      <c r="E359">
        <v>222872</v>
      </c>
      <c r="F359" t="s">
        <v>3448</v>
      </c>
      <c r="G359" t="s">
        <v>5600</v>
      </c>
      <c r="H359">
        <v>4369</v>
      </c>
      <c r="I359" t="s">
        <v>3438</v>
      </c>
      <c r="J359" t="s">
        <v>9171</v>
      </c>
      <c r="K359" t="s">
        <v>9172</v>
      </c>
      <c r="L359" t="s">
        <v>9173</v>
      </c>
      <c r="M359" t="s">
        <v>9173</v>
      </c>
      <c r="N359" t="s">
        <v>9174</v>
      </c>
      <c r="O359" t="s">
        <v>9175</v>
      </c>
      <c r="P359" t="s">
        <v>9176</v>
      </c>
      <c r="R359" t="s">
        <v>9177</v>
      </c>
      <c r="S359" t="s">
        <v>3489</v>
      </c>
    </row>
    <row r="360" spans="1:19" x14ac:dyDescent="0.2">
      <c r="A360" t="str">
        <f t="shared" si="5"/>
        <v>metab_compid_63687</v>
      </c>
      <c r="B360">
        <v>100020409</v>
      </c>
      <c r="C360">
        <v>305</v>
      </c>
      <c r="D360">
        <v>63687</v>
      </c>
      <c r="E360">
        <v>223113</v>
      </c>
      <c r="F360" t="s">
        <v>3448</v>
      </c>
      <c r="G360" t="s">
        <v>5600</v>
      </c>
      <c r="H360">
        <v>4370</v>
      </c>
      <c r="I360" t="s">
        <v>3438</v>
      </c>
      <c r="J360" t="s">
        <v>9745</v>
      </c>
      <c r="K360" t="s">
        <v>9746</v>
      </c>
      <c r="L360" t="s">
        <v>9747</v>
      </c>
      <c r="M360" t="s">
        <v>9747</v>
      </c>
      <c r="O360" t="s">
        <v>9748</v>
      </c>
      <c r="R360" t="s">
        <v>9749</v>
      </c>
      <c r="S360" t="s">
        <v>3489</v>
      </c>
    </row>
    <row r="361" spans="1:19" x14ac:dyDescent="0.2">
      <c r="A361" t="str">
        <f t="shared" si="5"/>
        <v>metab_compid_512</v>
      </c>
      <c r="B361">
        <v>917</v>
      </c>
      <c r="C361">
        <v>400</v>
      </c>
      <c r="D361">
        <v>512</v>
      </c>
      <c r="E361">
        <v>155306</v>
      </c>
      <c r="F361" t="s">
        <v>3436</v>
      </c>
      <c r="G361" t="s">
        <v>3670</v>
      </c>
      <c r="H361">
        <v>40</v>
      </c>
      <c r="I361" t="s">
        <v>3438</v>
      </c>
      <c r="J361" t="s">
        <v>4455</v>
      </c>
      <c r="K361" t="s">
        <v>4456</v>
      </c>
      <c r="L361" t="s">
        <v>4457</v>
      </c>
      <c r="M361" t="s">
        <v>4457</v>
      </c>
      <c r="N361" t="s">
        <v>4458</v>
      </c>
      <c r="O361" t="s">
        <v>4459</v>
      </c>
      <c r="P361" t="s">
        <v>4460</v>
      </c>
      <c r="Q361" t="s">
        <v>4461</v>
      </c>
      <c r="R361" t="s">
        <v>4462</v>
      </c>
      <c r="S361" t="s">
        <v>3458</v>
      </c>
    </row>
    <row r="362" spans="1:19" x14ac:dyDescent="0.2">
      <c r="A362" t="str">
        <f t="shared" si="5"/>
        <v>metab_compid_443</v>
      </c>
      <c r="B362">
        <v>234</v>
      </c>
      <c r="C362">
        <v>400</v>
      </c>
      <c r="D362">
        <v>443</v>
      </c>
      <c r="E362">
        <v>155304</v>
      </c>
      <c r="F362" t="s">
        <v>3436</v>
      </c>
      <c r="G362" t="s">
        <v>3670</v>
      </c>
      <c r="H362">
        <v>36</v>
      </c>
      <c r="I362" t="s">
        <v>3438</v>
      </c>
      <c r="J362" t="s">
        <v>3671</v>
      </c>
      <c r="K362" t="s">
        <v>3672</v>
      </c>
      <c r="L362" t="s">
        <v>3673</v>
      </c>
      <c r="M362" t="s">
        <v>3673</v>
      </c>
      <c r="N362" t="s">
        <v>3674</v>
      </c>
      <c r="O362" t="s">
        <v>3675</v>
      </c>
      <c r="P362" t="s">
        <v>3676</v>
      </c>
      <c r="Q362" t="s">
        <v>3677</v>
      </c>
      <c r="R362" t="s">
        <v>3678</v>
      </c>
      <c r="S362" t="s">
        <v>3458</v>
      </c>
    </row>
    <row r="363" spans="1:19" x14ac:dyDescent="0.2">
      <c r="A363" t="str">
        <f t="shared" si="5"/>
        <v>metab_compid_63279</v>
      </c>
      <c r="B363">
        <v>100020926</v>
      </c>
      <c r="C363">
        <v>209</v>
      </c>
      <c r="D363">
        <v>63279</v>
      </c>
      <c r="E363">
        <v>222253</v>
      </c>
      <c r="F363" t="s">
        <v>3863</v>
      </c>
      <c r="G363" t="s">
        <v>10004</v>
      </c>
      <c r="H363">
        <v>5591</v>
      </c>
      <c r="I363" t="s">
        <v>3438</v>
      </c>
      <c r="J363" t="s">
        <v>10021</v>
      </c>
      <c r="K363" t="s">
        <v>10022</v>
      </c>
      <c r="L363" t="s">
        <v>10023</v>
      </c>
      <c r="M363" t="s">
        <v>10023</v>
      </c>
      <c r="N363" t="s">
        <v>10024</v>
      </c>
      <c r="O363" t="s">
        <v>10025</v>
      </c>
      <c r="P363" t="s">
        <v>10026</v>
      </c>
      <c r="Q363" t="s">
        <v>10027</v>
      </c>
      <c r="R363" t="s">
        <v>10028</v>
      </c>
      <c r="S363" t="s">
        <v>3469</v>
      </c>
    </row>
    <row r="364" spans="1:19" x14ac:dyDescent="0.2">
      <c r="A364" t="str">
        <f t="shared" si="5"/>
        <v>metab_compid_38658</v>
      </c>
      <c r="B364">
        <v>100002726</v>
      </c>
      <c r="C364">
        <v>400</v>
      </c>
      <c r="D364">
        <v>38658</v>
      </c>
      <c r="E364">
        <v>156554</v>
      </c>
      <c r="F364" t="s">
        <v>3863</v>
      </c>
      <c r="G364" t="s">
        <v>7216</v>
      </c>
      <c r="H364">
        <v>5677</v>
      </c>
      <c r="I364" t="s">
        <v>3438</v>
      </c>
      <c r="J364" t="s">
        <v>7599</v>
      </c>
      <c r="K364" t="s">
        <v>7600</v>
      </c>
      <c r="L364" t="s">
        <v>7601</v>
      </c>
      <c r="M364" t="s">
        <v>7601</v>
      </c>
      <c r="N364" t="s">
        <v>7602</v>
      </c>
      <c r="O364" t="s">
        <v>7603</v>
      </c>
      <c r="P364" t="s">
        <v>7604</v>
      </c>
      <c r="Q364" t="s">
        <v>7605</v>
      </c>
      <c r="R364" t="s">
        <v>7606</v>
      </c>
      <c r="S364" t="s">
        <v>3458</v>
      </c>
    </row>
    <row r="365" spans="1:19" x14ac:dyDescent="0.2">
      <c r="A365" t="str">
        <f t="shared" si="5"/>
        <v>metab_compid_18362</v>
      </c>
      <c r="B365">
        <v>2029</v>
      </c>
      <c r="C365">
        <v>305</v>
      </c>
      <c r="D365">
        <v>18362</v>
      </c>
      <c r="E365">
        <v>146908</v>
      </c>
      <c r="F365" t="s">
        <v>3459</v>
      </c>
      <c r="G365" t="s">
        <v>3873</v>
      </c>
      <c r="H365">
        <v>1697</v>
      </c>
      <c r="I365" t="s">
        <v>3438</v>
      </c>
      <c r="J365" t="s">
        <v>5091</v>
      </c>
      <c r="K365" t="s">
        <v>5092</v>
      </c>
      <c r="L365" t="s">
        <v>5093</v>
      </c>
      <c r="M365" t="s">
        <v>5093</v>
      </c>
      <c r="N365" t="s">
        <v>5094</v>
      </c>
      <c r="O365" t="s">
        <v>5095</v>
      </c>
      <c r="P365" t="s">
        <v>5096</v>
      </c>
      <c r="Q365" t="s">
        <v>5097</v>
      </c>
      <c r="R365" t="s">
        <v>5098</v>
      </c>
      <c r="S365" t="s">
        <v>3489</v>
      </c>
    </row>
    <row r="366" spans="1:19" x14ac:dyDescent="0.2">
      <c r="A366" t="str">
        <f t="shared" si="5"/>
        <v>metab_compid_63226</v>
      </c>
      <c r="B366">
        <v>100021233</v>
      </c>
      <c r="C366">
        <v>209</v>
      </c>
      <c r="D366">
        <v>63226</v>
      </c>
      <c r="E366">
        <v>222083</v>
      </c>
      <c r="F366" t="s">
        <v>3459</v>
      </c>
      <c r="G366" t="s">
        <v>4774</v>
      </c>
      <c r="H366">
        <v>2197</v>
      </c>
      <c r="I366" t="s">
        <v>3438</v>
      </c>
      <c r="J366" t="s">
        <v>10119</v>
      </c>
      <c r="K366" t="s">
        <v>10120</v>
      </c>
      <c r="L366" t="s">
        <v>10121</v>
      </c>
      <c r="M366" t="s">
        <v>10121</v>
      </c>
      <c r="S366" t="s">
        <v>3469</v>
      </c>
    </row>
    <row r="367" spans="1:19" x14ac:dyDescent="0.2">
      <c r="A367" t="str">
        <f t="shared" si="5"/>
        <v>metab_compid_57646</v>
      </c>
      <c r="B367">
        <v>100015779</v>
      </c>
      <c r="C367">
        <v>400</v>
      </c>
      <c r="D367">
        <v>57646</v>
      </c>
      <c r="E367">
        <v>213049</v>
      </c>
      <c r="F367" t="s">
        <v>3863</v>
      </c>
      <c r="G367" t="s">
        <v>4959</v>
      </c>
      <c r="H367">
        <v>5865</v>
      </c>
      <c r="I367" t="s">
        <v>3438</v>
      </c>
      <c r="J367" t="s">
        <v>9392</v>
      </c>
      <c r="K367" t="s">
        <v>9393</v>
      </c>
      <c r="L367" t="s">
        <v>9394</v>
      </c>
      <c r="M367" t="s">
        <v>9394</v>
      </c>
      <c r="N367" t="s">
        <v>9395</v>
      </c>
      <c r="O367" t="s">
        <v>9396</v>
      </c>
      <c r="P367" t="s">
        <v>9397</v>
      </c>
      <c r="Q367" t="s">
        <v>9398</v>
      </c>
      <c r="R367" t="s">
        <v>9399</v>
      </c>
      <c r="S367" t="s">
        <v>3458</v>
      </c>
    </row>
    <row r="368" spans="1:19" x14ac:dyDescent="0.2">
      <c r="A368" t="str">
        <f t="shared" si="5"/>
        <v>metab_compid_57331</v>
      </c>
      <c r="B368">
        <v>100009026</v>
      </c>
      <c r="C368">
        <v>402</v>
      </c>
      <c r="D368">
        <v>57331</v>
      </c>
      <c r="E368">
        <v>210829</v>
      </c>
      <c r="F368" t="s">
        <v>3459</v>
      </c>
      <c r="G368" t="s">
        <v>8860</v>
      </c>
      <c r="H368">
        <v>3120</v>
      </c>
      <c r="I368" t="s">
        <v>3438</v>
      </c>
      <c r="J368" t="s">
        <v>9008</v>
      </c>
      <c r="K368" t="s">
        <v>9009</v>
      </c>
      <c r="L368" t="s">
        <v>9010</v>
      </c>
      <c r="M368" t="s">
        <v>9010</v>
      </c>
      <c r="O368" t="s">
        <v>9011</v>
      </c>
      <c r="P368" t="s">
        <v>9012</v>
      </c>
      <c r="R368" t="s">
        <v>9013</v>
      </c>
      <c r="S368" t="s">
        <v>3447</v>
      </c>
    </row>
    <row r="369" spans="1:19" x14ac:dyDescent="0.2">
      <c r="A369" t="str">
        <f t="shared" si="5"/>
        <v>metab_compid_48492</v>
      </c>
      <c r="B369">
        <v>100006294</v>
      </c>
      <c r="C369">
        <v>402</v>
      </c>
      <c r="D369">
        <v>48492</v>
      </c>
      <c r="E369">
        <v>164533</v>
      </c>
      <c r="F369" t="s">
        <v>3459</v>
      </c>
      <c r="G369" t="s">
        <v>814</v>
      </c>
      <c r="H369">
        <v>3126</v>
      </c>
      <c r="I369" t="s">
        <v>3438</v>
      </c>
      <c r="J369" t="s">
        <v>8593</v>
      </c>
      <c r="K369" t="s">
        <v>8594</v>
      </c>
      <c r="L369" t="s">
        <v>8595</v>
      </c>
      <c r="M369" t="s">
        <v>8595</v>
      </c>
      <c r="O369" t="s">
        <v>8596</v>
      </c>
      <c r="P369" t="s">
        <v>8597</v>
      </c>
      <c r="R369" t="s">
        <v>8598</v>
      </c>
      <c r="S369" t="s">
        <v>3447</v>
      </c>
    </row>
    <row r="370" spans="1:19" x14ac:dyDescent="0.2">
      <c r="A370" t="str">
        <f t="shared" si="5"/>
        <v>metab_compid_57514</v>
      </c>
      <c r="B370">
        <v>100015832</v>
      </c>
      <c r="C370">
        <v>402</v>
      </c>
      <c r="D370">
        <v>57514</v>
      </c>
      <c r="E370">
        <v>211215</v>
      </c>
      <c r="F370" t="s">
        <v>3459</v>
      </c>
      <c r="G370" t="s">
        <v>5526</v>
      </c>
      <c r="H370">
        <v>1886</v>
      </c>
      <c r="I370" t="s">
        <v>3438</v>
      </c>
      <c r="J370" t="s">
        <v>9463</v>
      </c>
      <c r="K370" t="s">
        <v>9464</v>
      </c>
      <c r="L370" t="s">
        <v>9465</v>
      </c>
      <c r="M370" t="s">
        <v>9465</v>
      </c>
      <c r="O370" t="s">
        <v>9466</v>
      </c>
      <c r="P370" t="s">
        <v>9467</v>
      </c>
      <c r="R370" t="s">
        <v>9468</v>
      </c>
      <c r="S370" t="s">
        <v>3447</v>
      </c>
    </row>
    <row r="371" spans="1:19" x14ac:dyDescent="0.2">
      <c r="A371" t="str">
        <f t="shared" si="5"/>
        <v>metab_compid_15778</v>
      </c>
      <c r="B371">
        <v>100000008</v>
      </c>
      <c r="C371">
        <v>209</v>
      </c>
      <c r="D371">
        <v>15778</v>
      </c>
      <c r="E371">
        <v>124867</v>
      </c>
      <c r="F371" t="s">
        <v>3863</v>
      </c>
      <c r="G371" t="s">
        <v>5082</v>
      </c>
      <c r="H371">
        <v>4498</v>
      </c>
      <c r="I371" t="s">
        <v>3438</v>
      </c>
      <c r="J371" t="s">
        <v>5143</v>
      </c>
      <c r="K371" t="s">
        <v>5144</v>
      </c>
      <c r="L371" t="s">
        <v>5145</v>
      </c>
      <c r="M371" t="s">
        <v>5145</v>
      </c>
      <c r="N371" t="s">
        <v>5146</v>
      </c>
      <c r="O371" t="s">
        <v>5147</v>
      </c>
      <c r="P371" t="s">
        <v>5148</v>
      </c>
      <c r="Q371" t="s">
        <v>5149</v>
      </c>
      <c r="R371" t="s">
        <v>5150</v>
      </c>
      <c r="S371" t="s">
        <v>3469</v>
      </c>
    </row>
    <row r="372" spans="1:19" x14ac:dyDescent="0.2">
      <c r="A372" t="str">
        <f t="shared" si="5"/>
        <v>metab_compid_55</v>
      </c>
      <c r="B372">
        <v>244</v>
      </c>
      <c r="C372">
        <v>400</v>
      </c>
      <c r="D372">
        <v>55</v>
      </c>
      <c r="E372">
        <v>155295</v>
      </c>
      <c r="F372" t="s">
        <v>3533</v>
      </c>
      <c r="G372" t="s">
        <v>3705</v>
      </c>
      <c r="H372">
        <v>4259</v>
      </c>
      <c r="I372" t="s">
        <v>3438</v>
      </c>
      <c r="J372" t="s">
        <v>3706</v>
      </c>
      <c r="K372" t="s">
        <v>3707</v>
      </c>
      <c r="L372" t="s">
        <v>3708</v>
      </c>
      <c r="M372" t="s">
        <v>3708</v>
      </c>
      <c r="N372" t="s">
        <v>3709</v>
      </c>
      <c r="O372" t="s">
        <v>3710</v>
      </c>
      <c r="P372" t="s">
        <v>3711</v>
      </c>
      <c r="Q372" t="s">
        <v>3712</v>
      </c>
      <c r="R372" t="s">
        <v>3713</v>
      </c>
      <c r="S372" t="s">
        <v>3458</v>
      </c>
    </row>
    <row r="373" spans="1:19" x14ac:dyDescent="0.2">
      <c r="A373" t="str">
        <f t="shared" si="5"/>
        <v>metab_compid_54923</v>
      </c>
      <c r="B373">
        <v>100003271</v>
      </c>
      <c r="C373">
        <v>209</v>
      </c>
      <c r="D373">
        <v>54923</v>
      </c>
      <c r="E373">
        <v>208316</v>
      </c>
      <c r="F373" t="s">
        <v>3436</v>
      </c>
      <c r="G373" t="s">
        <v>4215</v>
      </c>
      <c r="H373">
        <v>58</v>
      </c>
      <c r="I373" t="s">
        <v>3438</v>
      </c>
      <c r="J373" t="s">
        <v>7862</v>
      </c>
      <c r="K373" t="s">
        <v>7863</v>
      </c>
      <c r="L373" t="s">
        <v>7864</v>
      </c>
      <c r="M373" t="s">
        <v>7864</v>
      </c>
      <c r="N373" t="s">
        <v>7865</v>
      </c>
      <c r="O373" t="s">
        <v>7866</v>
      </c>
      <c r="Q373" t="s">
        <v>7867</v>
      </c>
      <c r="R373" t="s">
        <v>7868</v>
      </c>
      <c r="S373" t="s">
        <v>3469</v>
      </c>
    </row>
    <row r="374" spans="1:19" x14ac:dyDescent="0.2">
      <c r="A374" t="str">
        <f t="shared" si="5"/>
        <v>metab_compid_57591</v>
      </c>
      <c r="B374">
        <v>100001977</v>
      </c>
      <c r="C374">
        <v>402</v>
      </c>
      <c r="D374">
        <v>57591</v>
      </c>
      <c r="E374">
        <v>211608</v>
      </c>
      <c r="F374" t="s">
        <v>3448</v>
      </c>
      <c r="G374" t="s">
        <v>4124</v>
      </c>
      <c r="H374">
        <v>4456</v>
      </c>
      <c r="I374" t="s">
        <v>3438</v>
      </c>
      <c r="J374" t="s">
        <v>7118</v>
      </c>
      <c r="K374" t="s">
        <v>7119</v>
      </c>
      <c r="L374" t="s">
        <v>7120</v>
      </c>
      <c r="M374" t="s">
        <v>7120</v>
      </c>
      <c r="N374" t="s">
        <v>7121</v>
      </c>
      <c r="O374" t="s">
        <v>7122</v>
      </c>
      <c r="P374" t="s">
        <v>7123</v>
      </c>
      <c r="Q374" t="s">
        <v>7124</v>
      </c>
      <c r="R374" t="s">
        <v>7125</v>
      </c>
      <c r="S374" t="s">
        <v>3447</v>
      </c>
    </row>
    <row r="375" spans="1:19" x14ac:dyDescent="0.2">
      <c r="A375" t="str">
        <f t="shared" si="5"/>
        <v>metab_compid_12129</v>
      </c>
      <c r="B375">
        <v>1442</v>
      </c>
      <c r="C375">
        <v>209</v>
      </c>
      <c r="D375">
        <v>12129</v>
      </c>
      <c r="E375">
        <v>126017</v>
      </c>
      <c r="F375" t="s">
        <v>3436</v>
      </c>
      <c r="G375" t="s">
        <v>3498</v>
      </c>
      <c r="H375">
        <v>368</v>
      </c>
      <c r="I375" t="s">
        <v>3438</v>
      </c>
      <c r="J375" t="s">
        <v>4968</v>
      </c>
      <c r="K375" t="s">
        <v>4969</v>
      </c>
      <c r="L375" t="s">
        <v>4970</v>
      </c>
      <c r="M375" t="s">
        <v>4970</v>
      </c>
      <c r="N375" t="s">
        <v>4971</v>
      </c>
      <c r="O375" t="s">
        <v>4972</v>
      </c>
      <c r="P375" t="s">
        <v>4973</v>
      </c>
      <c r="R375" t="s">
        <v>4974</v>
      </c>
      <c r="S375" t="s">
        <v>3469</v>
      </c>
    </row>
    <row r="376" spans="1:19" x14ac:dyDescent="0.2">
      <c r="A376" t="str">
        <f t="shared" si="5"/>
        <v>metab_compid_35433</v>
      </c>
      <c r="B376">
        <v>100001594</v>
      </c>
      <c r="C376">
        <v>400</v>
      </c>
      <c r="D376">
        <v>35433</v>
      </c>
      <c r="E376">
        <v>156184</v>
      </c>
      <c r="F376" t="s">
        <v>3436</v>
      </c>
      <c r="G376" t="s">
        <v>3498</v>
      </c>
      <c r="H376">
        <v>369</v>
      </c>
      <c r="I376" t="s">
        <v>3438</v>
      </c>
      <c r="J376" t="s">
        <v>6689</v>
      </c>
      <c r="K376" t="s">
        <v>6690</v>
      </c>
      <c r="L376" t="s">
        <v>6691</v>
      </c>
      <c r="M376" t="s">
        <v>6691</v>
      </c>
      <c r="N376" t="s">
        <v>6692</v>
      </c>
      <c r="O376" t="s">
        <v>6693</v>
      </c>
      <c r="S376" t="s">
        <v>3458</v>
      </c>
    </row>
    <row r="377" spans="1:19" x14ac:dyDescent="0.2">
      <c r="A377" t="str">
        <f t="shared" si="5"/>
        <v>metab_compid_3141</v>
      </c>
      <c r="B377">
        <v>799</v>
      </c>
      <c r="C377">
        <v>400</v>
      </c>
      <c r="D377">
        <v>3141</v>
      </c>
      <c r="E377">
        <v>155487</v>
      </c>
      <c r="F377" t="s">
        <v>3436</v>
      </c>
      <c r="G377" t="s">
        <v>3882</v>
      </c>
      <c r="H377">
        <v>7</v>
      </c>
      <c r="I377" t="s">
        <v>3438</v>
      </c>
      <c r="J377" t="s">
        <v>4277</v>
      </c>
      <c r="K377" t="s">
        <v>4278</v>
      </c>
      <c r="L377" t="s">
        <v>4279</v>
      </c>
      <c r="M377" t="s">
        <v>4279</v>
      </c>
      <c r="N377" t="s">
        <v>4280</v>
      </c>
      <c r="O377" t="s">
        <v>4281</v>
      </c>
      <c r="P377" t="s">
        <v>4282</v>
      </c>
      <c r="Q377" t="s">
        <v>4283</v>
      </c>
      <c r="R377" t="s">
        <v>4284</v>
      </c>
      <c r="S377" t="s">
        <v>3458</v>
      </c>
    </row>
    <row r="378" spans="1:19" x14ac:dyDescent="0.2">
      <c r="A378" t="str">
        <f t="shared" si="5"/>
        <v>metab_compid_32586</v>
      </c>
      <c r="B378">
        <v>100001950</v>
      </c>
      <c r="C378">
        <v>402</v>
      </c>
      <c r="D378">
        <v>32586</v>
      </c>
      <c r="E378">
        <v>158528</v>
      </c>
      <c r="F378" t="s">
        <v>3448</v>
      </c>
      <c r="G378" t="s">
        <v>3714</v>
      </c>
      <c r="H378">
        <v>4430</v>
      </c>
      <c r="I378" t="s">
        <v>3438</v>
      </c>
      <c r="J378" t="s">
        <v>7099</v>
      </c>
      <c r="K378" t="s">
        <v>7100</v>
      </c>
      <c r="L378" t="s">
        <v>7101</v>
      </c>
      <c r="M378" t="s">
        <v>7101</v>
      </c>
      <c r="O378" t="s">
        <v>7102</v>
      </c>
      <c r="P378" t="s">
        <v>7103</v>
      </c>
      <c r="R378" t="s">
        <v>7104</v>
      </c>
      <c r="S378" t="s">
        <v>3447</v>
      </c>
    </row>
    <row r="379" spans="1:19" x14ac:dyDescent="0.2">
      <c r="A379" t="str">
        <f t="shared" si="5"/>
        <v>metab_compid_47886</v>
      </c>
      <c r="B379">
        <v>100001951</v>
      </c>
      <c r="C379">
        <v>402</v>
      </c>
      <c r="D379">
        <v>47886</v>
      </c>
      <c r="E379">
        <v>160233</v>
      </c>
      <c r="F379" t="s">
        <v>3448</v>
      </c>
      <c r="G379" t="s">
        <v>3714</v>
      </c>
      <c r="H379">
        <v>4431</v>
      </c>
      <c r="I379" t="s">
        <v>3438</v>
      </c>
      <c r="J379" t="s">
        <v>7105</v>
      </c>
      <c r="K379" t="s">
        <v>7106</v>
      </c>
      <c r="L379" t="s">
        <v>7107</v>
      </c>
      <c r="M379" t="s">
        <v>7107</v>
      </c>
      <c r="O379" t="s">
        <v>7108</v>
      </c>
      <c r="P379" t="s">
        <v>7109</v>
      </c>
      <c r="Q379" t="s">
        <v>4646</v>
      </c>
      <c r="R379" t="s">
        <v>7110</v>
      </c>
      <c r="S379" t="s">
        <v>3447</v>
      </c>
    </row>
    <row r="380" spans="1:19" x14ac:dyDescent="0.2">
      <c r="A380" t="str">
        <f t="shared" si="5"/>
        <v>metab_compid_43807</v>
      </c>
      <c r="B380">
        <v>1090</v>
      </c>
      <c r="C380">
        <v>402</v>
      </c>
      <c r="D380">
        <v>43807</v>
      </c>
      <c r="E380">
        <v>159596</v>
      </c>
      <c r="F380" t="s">
        <v>3448</v>
      </c>
      <c r="G380" t="s">
        <v>3714</v>
      </c>
      <c r="H380">
        <v>4429</v>
      </c>
      <c r="I380" t="s">
        <v>3438</v>
      </c>
      <c r="J380" t="s">
        <v>4639</v>
      </c>
      <c r="K380" t="s">
        <v>4640</v>
      </c>
      <c r="L380" t="s">
        <v>4641</v>
      </c>
      <c r="M380" t="s">
        <v>4642</v>
      </c>
      <c r="N380" t="s">
        <v>4643</v>
      </c>
      <c r="O380" t="s">
        <v>4644</v>
      </c>
      <c r="P380" t="s">
        <v>4645</v>
      </c>
      <c r="Q380" t="s">
        <v>4646</v>
      </c>
      <c r="R380" t="s">
        <v>4647</v>
      </c>
      <c r="S380" t="s">
        <v>3447</v>
      </c>
    </row>
    <row r="381" spans="1:19" x14ac:dyDescent="0.2">
      <c r="A381" t="str">
        <f t="shared" si="5"/>
        <v>metab_compid_64403</v>
      </c>
      <c r="B381">
        <v>100022003</v>
      </c>
      <c r="C381">
        <v>209</v>
      </c>
      <c r="D381">
        <v>64403</v>
      </c>
      <c r="E381">
        <v>237531</v>
      </c>
      <c r="F381" t="s">
        <v>6580</v>
      </c>
      <c r="G381" t="s">
        <v>6580</v>
      </c>
      <c r="H381">
        <v>6474</v>
      </c>
      <c r="I381" t="s">
        <v>3438</v>
      </c>
      <c r="L381" t="s">
        <v>10236</v>
      </c>
      <c r="M381" t="s">
        <v>10236</v>
      </c>
      <c r="S381" t="s">
        <v>3469</v>
      </c>
    </row>
    <row r="382" spans="1:19" x14ac:dyDescent="0.2">
      <c r="A382" t="str">
        <f t="shared" si="5"/>
        <v>metab_compid_64404</v>
      </c>
      <c r="B382">
        <v>100022004</v>
      </c>
      <c r="C382">
        <v>209</v>
      </c>
      <c r="D382">
        <v>64404</v>
      </c>
      <c r="E382">
        <v>237533</v>
      </c>
      <c r="F382" t="s">
        <v>6580</v>
      </c>
      <c r="G382" t="s">
        <v>6580</v>
      </c>
      <c r="H382">
        <v>6475</v>
      </c>
      <c r="I382" t="s">
        <v>3438</v>
      </c>
      <c r="L382" t="s">
        <v>10237</v>
      </c>
      <c r="M382" t="s">
        <v>10237</v>
      </c>
      <c r="S382" t="s">
        <v>3469</v>
      </c>
    </row>
    <row r="383" spans="1:19" x14ac:dyDescent="0.2">
      <c r="A383" t="str">
        <f t="shared" si="5"/>
        <v>metab_compid_64414</v>
      </c>
      <c r="B383">
        <v>100022014</v>
      </c>
      <c r="C383">
        <v>209</v>
      </c>
      <c r="D383">
        <v>64414</v>
      </c>
      <c r="E383">
        <v>237567</v>
      </c>
      <c r="F383" t="s">
        <v>6580</v>
      </c>
      <c r="G383" t="s">
        <v>6580</v>
      </c>
      <c r="H383">
        <v>6481</v>
      </c>
      <c r="I383" t="s">
        <v>3438</v>
      </c>
      <c r="L383" t="s">
        <v>10246</v>
      </c>
      <c r="M383" t="s">
        <v>10246</v>
      </c>
      <c r="S383" t="s">
        <v>3469</v>
      </c>
    </row>
    <row r="384" spans="1:19" x14ac:dyDescent="0.2">
      <c r="A384" t="str">
        <f t="shared" si="5"/>
        <v>metab_compid_64415</v>
      </c>
      <c r="B384">
        <v>100022015</v>
      </c>
      <c r="C384">
        <v>209</v>
      </c>
      <c r="D384">
        <v>64415</v>
      </c>
      <c r="E384">
        <v>237569</v>
      </c>
      <c r="F384" t="s">
        <v>6580</v>
      </c>
      <c r="G384" t="s">
        <v>6580</v>
      </c>
      <c r="H384">
        <v>6482</v>
      </c>
      <c r="I384" t="s">
        <v>3438</v>
      </c>
      <c r="L384" t="s">
        <v>10247</v>
      </c>
      <c r="M384" t="s">
        <v>10247</v>
      </c>
      <c r="S384" t="s">
        <v>3469</v>
      </c>
    </row>
    <row r="385" spans="1:19" x14ac:dyDescent="0.2">
      <c r="A385" t="str">
        <f t="shared" si="5"/>
        <v>metab_compid_64409</v>
      </c>
      <c r="B385">
        <v>100022005</v>
      </c>
      <c r="C385">
        <v>209</v>
      </c>
      <c r="D385">
        <v>64409</v>
      </c>
      <c r="E385">
        <v>237542</v>
      </c>
      <c r="F385" t="s">
        <v>6580</v>
      </c>
      <c r="G385" t="s">
        <v>6580</v>
      </c>
      <c r="H385">
        <v>6476</v>
      </c>
      <c r="I385" t="s">
        <v>3438</v>
      </c>
      <c r="L385" t="s">
        <v>10238</v>
      </c>
      <c r="M385" t="s">
        <v>10238</v>
      </c>
      <c r="S385" t="s">
        <v>3469</v>
      </c>
    </row>
    <row r="386" spans="1:19" x14ac:dyDescent="0.2">
      <c r="A386" t="str">
        <f t="shared" ref="A386:A449" si="6">_xlfn.CONCAT("metab_compid_", $D386)</f>
        <v>metab_compid_64407</v>
      </c>
      <c r="B386">
        <v>100022006</v>
      </c>
      <c r="C386">
        <v>209</v>
      </c>
      <c r="D386">
        <v>64407</v>
      </c>
      <c r="E386">
        <v>237539</v>
      </c>
      <c r="F386" t="s">
        <v>6580</v>
      </c>
      <c r="G386" t="s">
        <v>6580</v>
      </c>
      <c r="H386">
        <v>6477</v>
      </c>
      <c r="I386" t="s">
        <v>3438</v>
      </c>
      <c r="L386" t="s">
        <v>10239</v>
      </c>
      <c r="M386" t="s">
        <v>10239</v>
      </c>
      <c r="S386" t="s">
        <v>3469</v>
      </c>
    </row>
    <row r="387" spans="1:19" x14ac:dyDescent="0.2">
      <c r="A387" t="str">
        <f t="shared" si="6"/>
        <v>metab_compid_64408</v>
      </c>
      <c r="B387">
        <v>100022007</v>
      </c>
      <c r="C387">
        <v>209</v>
      </c>
      <c r="D387">
        <v>64408</v>
      </c>
      <c r="E387">
        <v>237541</v>
      </c>
      <c r="F387" t="s">
        <v>6580</v>
      </c>
      <c r="G387" t="s">
        <v>6580</v>
      </c>
      <c r="H387">
        <v>6478</v>
      </c>
      <c r="I387" t="s">
        <v>3438</v>
      </c>
      <c r="L387" t="s">
        <v>10240</v>
      </c>
      <c r="M387" t="s">
        <v>10240</v>
      </c>
      <c r="S387" t="s">
        <v>3469</v>
      </c>
    </row>
    <row r="388" spans="1:19" x14ac:dyDescent="0.2">
      <c r="A388" t="str">
        <f t="shared" si="6"/>
        <v>metab_compid_64405</v>
      </c>
      <c r="B388">
        <v>100022008</v>
      </c>
      <c r="C388">
        <v>209</v>
      </c>
      <c r="D388">
        <v>64405</v>
      </c>
      <c r="E388">
        <v>237535</v>
      </c>
      <c r="F388" t="s">
        <v>6580</v>
      </c>
      <c r="G388" t="s">
        <v>6580</v>
      </c>
      <c r="H388">
        <v>6479</v>
      </c>
      <c r="I388" t="s">
        <v>3438</v>
      </c>
      <c r="L388" t="s">
        <v>10241</v>
      </c>
      <c r="M388" t="s">
        <v>10241</v>
      </c>
      <c r="S388" t="s">
        <v>3469</v>
      </c>
    </row>
    <row r="389" spans="1:19" x14ac:dyDescent="0.2">
      <c r="A389" t="str">
        <f t="shared" si="6"/>
        <v>metab_compid_64406</v>
      </c>
      <c r="B389">
        <v>100022009</v>
      </c>
      <c r="C389">
        <v>209</v>
      </c>
      <c r="D389">
        <v>64406</v>
      </c>
      <c r="E389">
        <v>237537</v>
      </c>
      <c r="F389" t="s">
        <v>6580</v>
      </c>
      <c r="G389" t="s">
        <v>6580</v>
      </c>
      <c r="H389">
        <v>6480</v>
      </c>
      <c r="I389" t="s">
        <v>3438</v>
      </c>
      <c r="L389" t="s">
        <v>10242</v>
      </c>
      <c r="M389" t="s">
        <v>10242</v>
      </c>
      <c r="S389" t="s">
        <v>3469</v>
      </c>
    </row>
    <row r="390" spans="1:19" x14ac:dyDescent="0.2">
      <c r="A390" t="str">
        <f t="shared" si="6"/>
        <v>metab_compid_2137</v>
      </c>
      <c r="B390">
        <v>250</v>
      </c>
      <c r="C390">
        <v>402</v>
      </c>
      <c r="D390">
        <v>2137</v>
      </c>
      <c r="E390">
        <v>158009</v>
      </c>
      <c r="F390" t="s">
        <v>3448</v>
      </c>
      <c r="G390" t="s">
        <v>3714</v>
      </c>
      <c r="H390">
        <v>4432</v>
      </c>
      <c r="I390" t="s">
        <v>3438</v>
      </c>
      <c r="J390" t="s">
        <v>3715</v>
      </c>
      <c r="K390" t="s">
        <v>3716</v>
      </c>
      <c r="L390" t="s">
        <v>3717</v>
      </c>
      <c r="M390" t="s">
        <v>3717</v>
      </c>
      <c r="N390" t="s">
        <v>3718</v>
      </c>
      <c r="O390" t="s">
        <v>3719</v>
      </c>
      <c r="P390" t="s">
        <v>3720</v>
      </c>
      <c r="Q390" t="s">
        <v>3721</v>
      </c>
      <c r="R390" t="s">
        <v>3722</v>
      </c>
      <c r="S390" t="s">
        <v>3447</v>
      </c>
    </row>
    <row r="391" spans="1:19" x14ac:dyDescent="0.2">
      <c r="A391" t="str">
        <f t="shared" si="6"/>
        <v>metab_compid_568</v>
      </c>
      <c r="B391">
        <v>251</v>
      </c>
      <c r="C391">
        <v>400</v>
      </c>
      <c r="D391">
        <v>568</v>
      </c>
      <c r="E391">
        <v>155324</v>
      </c>
      <c r="F391" t="s">
        <v>3448</v>
      </c>
      <c r="G391" t="s">
        <v>3723</v>
      </c>
      <c r="H391">
        <v>4405</v>
      </c>
      <c r="I391" t="s">
        <v>3438</v>
      </c>
      <c r="J391" t="s">
        <v>3724</v>
      </c>
      <c r="K391" t="s">
        <v>3725</v>
      </c>
      <c r="L391" t="s">
        <v>3726</v>
      </c>
      <c r="M391" t="s">
        <v>3726</v>
      </c>
      <c r="N391" t="s">
        <v>3727</v>
      </c>
      <c r="O391" t="s">
        <v>3728</v>
      </c>
      <c r="P391" t="s">
        <v>3729</v>
      </c>
      <c r="Q391" t="s">
        <v>3730</v>
      </c>
      <c r="R391" t="s">
        <v>3731</v>
      </c>
      <c r="S391" t="s">
        <v>3458</v>
      </c>
    </row>
    <row r="392" spans="1:19" x14ac:dyDescent="0.2">
      <c r="A392" t="str">
        <f t="shared" si="6"/>
        <v>metab_compid_34420</v>
      </c>
      <c r="B392">
        <v>100001292</v>
      </c>
      <c r="C392">
        <v>209</v>
      </c>
      <c r="D392">
        <v>34420</v>
      </c>
      <c r="E392">
        <v>126946</v>
      </c>
      <c r="F392" t="s">
        <v>3853</v>
      </c>
      <c r="G392" t="s">
        <v>6147</v>
      </c>
      <c r="H392">
        <v>1084</v>
      </c>
      <c r="I392" t="s">
        <v>3438</v>
      </c>
      <c r="J392" t="s">
        <v>6148</v>
      </c>
      <c r="K392" t="s">
        <v>6149</v>
      </c>
      <c r="L392" t="s">
        <v>6150</v>
      </c>
      <c r="M392" t="s">
        <v>6150</v>
      </c>
      <c r="N392" t="s">
        <v>6151</v>
      </c>
      <c r="O392" t="s">
        <v>6152</v>
      </c>
      <c r="P392" t="s">
        <v>6153</v>
      </c>
      <c r="Q392" t="s">
        <v>6154</v>
      </c>
      <c r="R392" t="s">
        <v>6155</v>
      </c>
      <c r="S392" t="s">
        <v>3469</v>
      </c>
    </row>
    <row r="393" spans="1:19" x14ac:dyDescent="0.2">
      <c r="A393" t="str">
        <f t="shared" si="6"/>
        <v>metab_compid_63191</v>
      </c>
      <c r="B393">
        <v>100021374</v>
      </c>
      <c r="C393">
        <v>209</v>
      </c>
      <c r="D393">
        <v>63191</v>
      </c>
      <c r="E393">
        <v>221986</v>
      </c>
      <c r="F393" t="s">
        <v>3459</v>
      </c>
      <c r="G393" t="s">
        <v>3873</v>
      </c>
      <c r="H393">
        <v>1711</v>
      </c>
      <c r="I393" t="s">
        <v>3438</v>
      </c>
      <c r="J393" t="s">
        <v>10142</v>
      </c>
      <c r="K393" t="s">
        <v>10143</v>
      </c>
      <c r="L393" t="s">
        <v>10144</v>
      </c>
      <c r="M393" t="s">
        <v>10144</v>
      </c>
      <c r="S393" t="s">
        <v>3469</v>
      </c>
    </row>
    <row r="394" spans="1:19" x14ac:dyDescent="0.2">
      <c r="A394" t="str">
        <f t="shared" si="6"/>
        <v>metab_compid_63615</v>
      </c>
      <c r="B394">
        <v>100021666</v>
      </c>
      <c r="C394">
        <v>209</v>
      </c>
      <c r="D394">
        <v>63615</v>
      </c>
      <c r="E394">
        <v>222957</v>
      </c>
      <c r="F394" t="s">
        <v>6580</v>
      </c>
      <c r="G394" t="s">
        <v>6580</v>
      </c>
      <c r="H394">
        <v>6461</v>
      </c>
      <c r="I394" t="s">
        <v>3438</v>
      </c>
      <c r="J394" t="s">
        <v>10167</v>
      </c>
      <c r="K394" t="s">
        <v>10168</v>
      </c>
      <c r="L394" t="s">
        <v>10169</v>
      </c>
      <c r="M394" t="s">
        <v>10169</v>
      </c>
      <c r="S394" t="s">
        <v>3469</v>
      </c>
    </row>
    <row r="395" spans="1:19" x14ac:dyDescent="0.2">
      <c r="A395" t="str">
        <f t="shared" si="6"/>
        <v>metab_compid_63683</v>
      </c>
      <c r="B395">
        <v>100021709</v>
      </c>
      <c r="C395">
        <v>209</v>
      </c>
      <c r="D395">
        <v>63683</v>
      </c>
      <c r="E395">
        <v>223108</v>
      </c>
      <c r="F395" t="s">
        <v>6580</v>
      </c>
      <c r="G395" t="s">
        <v>6580</v>
      </c>
      <c r="H395">
        <v>6464</v>
      </c>
      <c r="I395" t="s">
        <v>3438</v>
      </c>
      <c r="J395" t="s">
        <v>10175</v>
      </c>
      <c r="K395" t="s">
        <v>10176</v>
      </c>
      <c r="L395" t="s">
        <v>10177</v>
      </c>
      <c r="M395" t="s">
        <v>10177</v>
      </c>
      <c r="S395" t="s">
        <v>3469</v>
      </c>
    </row>
    <row r="396" spans="1:19" x14ac:dyDescent="0.2">
      <c r="A396" t="str">
        <f t="shared" si="6"/>
        <v>metab_compid_40605</v>
      </c>
      <c r="B396">
        <v>1143</v>
      </c>
      <c r="C396">
        <v>209</v>
      </c>
      <c r="D396">
        <v>40605</v>
      </c>
      <c r="E396">
        <v>223227</v>
      </c>
      <c r="F396" t="s">
        <v>3459</v>
      </c>
      <c r="G396" t="s">
        <v>4765</v>
      </c>
      <c r="H396">
        <v>1505</v>
      </c>
      <c r="I396" t="s">
        <v>3438</v>
      </c>
      <c r="J396" t="s">
        <v>4798</v>
      </c>
      <c r="K396" t="s">
        <v>4799</v>
      </c>
      <c r="L396" t="s">
        <v>4800</v>
      </c>
      <c r="M396" t="s">
        <v>4800</v>
      </c>
      <c r="N396" t="s">
        <v>4801</v>
      </c>
      <c r="O396" t="s">
        <v>4802</v>
      </c>
      <c r="P396" t="s">
        <v>4803</v>
      </c>
      <c r="Q396" t="s">
        <v>4804</v>
      </c>
      <c r="R396" t="s">
        <v>4805</v>
      </c>
      <c r="S396" t="s">
        <v>3469</v>
      </c>
    </row>
    <row r="397" spans="1:19" x14ac:dyDescent="0.2">
      <c r="A397" t="str">
        <f t="shared" si="6"/>
        <v>metab_compid_32412</v>
      </c>
      <c r="B397">
        <v>100001054</v>
      </c>
      <c r="C397">
        <v>400</v>
      </c>
      <c r="D397">
        <v>32412</v>
      </c>
      <c r="E397">
        <v>155935</v>
      </c>
      <c r="F397" t="s">
        <v>3459</v>
      </c>
      <c r="G397" t="s">
        <v>5754</v>
      </c>
      <c r="H397">
        <v>1786</v>
      </c>
      <c r="I397" t="s">
        <v>3438</v>
      </c>
      <c r="J397" t="s">
        <v>5755</v>
      </c>
      <c r="K397" t="s">
        <v>5756</v>
      </c>
      <c r="L397" t="s">
        <v>5757</v>
      </c>
      <c r="M397" t="s">
        <v>5757</v>
      </c>
      <c r="N397" t="s">
        <v>5758</v>
      </c>
      <c r="O397" t="s">
        <v>5759</v>
      </c>
      <c r="P397" t="s">
        <v>5760</v>
      </c>
      <c r="Q397" t="s">
        <v>5761</v>
      </c>
      <c r="R397" t="s">
        <v>5762</v>
      </c>
      <c r="S397" t="s">
        <v>3458</v>
      </c>
    </row>
    <row r="398" spans="1:19" x14ac:dyDescent="0.2">
      <c r="A398" t="str">
        <f t="shared" si="6"/>
        <v>metab_compid_31850</v>
      </c>
      <c r="B398">
        <v>100001151</v>
      </c>
      <c r="C398">
        <v>209</v>
      </c>
      <c r="D398">
        <v>31850</v>
      </c>
      <c r="E398">
        <v>125782</v>
      </c>
      <c r="F398" t="s">
        <v>3459</v>
      </c>
      <c r="G398" t="s">
        <v>5754</v>
      </c>
      <c r="H398">
        <v>1787</v>
      </c>
      <c r="I398" t="s">
        <v>3438</v>
      </c>
      <c r="J398" t="s">
        <v>5888</v>
      </c>
      <c r="K398" t="s">
        <v>5889</v>
      </c>
      <c r="L398" t="s">
        <v>5890</v>
      </c>
      <c r="M398" t="s">
        <v>5891</v>
      </c>
      <c r="N398" t="s">
        <v>5892</v>
      </c>
      <c r="O398" t="s">
        <v>5893</v>
      </c>
      <c r="P398" t="s">
        <v>5894</v>
      </c>
      <c r="R398" t="s">
        <v>5895</v>
      </c>
      <c r="S398" t="s">
        <v>3469</v>
      </c>
    </row>
    <row r="399" spans="1:19" x14ac:dyDescent="0.2">
      <c r="A399" t="str">
        <f t="shared" si="6"/>
        <v>metab_compid_48782</v>
      </c>
      <c r="B399">
        <v>100006379</v>
      </c>
      <c r="C399">
        <v>209</v>
      </c>
      <c r="D399">
        <v>48782</v>
      </c>
      <c r="E399">
        <v>155139</v>
      </c>
      <c r="F399" t="s">
        <v>3436</v>
      </c>
      <c r="G399" t="s">
        <v>3470</v>
      </c>
      <c r="H399">
        <v>266</v>
      </c>
      <c r="I399" t="s">
        <v>3438</v>
      </c>
      <c r="J399" t="s">
        <v>8670</v>
      </c>
      <c r="K399" t="s">
        <v>8671</v>
      </c>
      <c r="L399" t="s">
        <v>8672</v>
      </c>
      <c r="M399" t="s">
        <v>8672</v>
      </c>
      <c r="N399" t="s">
        <v>8673</v>
      </c>
      <c r="O399" t="s">
        <v>8674</v>
      </c>
      <c r="P399" t="s">
        <v>8675</v>
      </c>
      <c r="R399" t="s">
        <v>8676</v>
      </c>
      <c r="S399" t="s">
        <v>3469</v>
      </c>
    </row>
    <row r="400" spans="1:19" x14ac:dyDescent="0.2">
      <c r="A400" t="str">
        <f t="shared" si="6"/>
        <v>metab_compid_53254</v>
      </c>
      <c r="B400">
        <v>100009337</v>
      </c>
      <c r="C400">
        <v>305</v>
      </c>
      <c r="D400">
        <v>53254</v>
      </c>
      <c r="E400">
        <v>179431</v>
      </c>
      <c r="F400" t="s">
        <v>3863</v>
      </c>
      <c r="G400" t="s">
        <v>3864</v>
      </c>
      <c r="H400">
        <v>5226</v>
      </c>
      <c r="I400" t="s">
        <v>3438</v>
      </c>
      <c r="J400" t="s">
        <v>9203</v>
      </c>
      <c r="K400" t="s">
        <v>9204</v>
      </c>
      <c r="L400" t="s">
        <v>9205</v>
      </c>
      <c r="M400" t="s">
        <v>9205</v>
      </c>
      <c r="O400" t="s">
        <v>9206</v>
      </c>
      <c r="P400" t="s">
        <v>9207</v>
      </c>
      <c r="R400" t="s">
        <v>9208</v>
      </c>
      <c r="S400" t="s">
        <v>3489</v>
      </c>
    </row>
    <row r="401" spans="1:19" x14ac:dyDescent="0.2">
      <c r="A401" t="str">
        <f t="shared" si="6"/>
        <v>metab_compid_569</v>
      </c>
      <c r="B401">
        <v>849</v>
      </c>
      <c r="C401">
        <v>400</v>
      </c>
      <c r="D401">
        <v>569</v>
      </c>
      <c r="E401">
        <v>155325</v>
      </c>
      <c r="F401" t="s">
        <v>3863</v>
      </c>
      <c r="G401" t="s">
        <v>4373</v>
      </c>
      <c r="H401">
        <v>4612</v>
      </c>
      <c r="I401" t="s">
        <v>3438</v>
      </c>
      <c r="J401" t="s">
        <v>4374</v>
      </c>
      <c r="K401" t="s">
        <v>4375</v>
      </c>
      <c r="L401" t="s">
        <v>4376</v>
      </c>
      <c r="M401" t="s">
        <v>4376</v>
      </c>
      <c r="N401" t="s">
        <v>4377</v>
      </c>
      <c r="O401" t="s">
        <v>4378</v>
      </c>
      <c r="P401" t="s">
        <v>4379</v>
      </c>
      <c r="Q401" t="s">
        <v>4380</v>
      </c>
      <c r="R401" t="s">
        <v>4381</v>
      </c>
      <c r="S401" t="s">
        <v>3458</v>
      </c>
    </row>
    <row r="402" spans="1:19" x14ac:dyDescent="0.2">
      <c r="A402" t="str">
        <f t="shared" si="6"/>
        <v>metab_compid_54749</v>
      </c>
      <c r="B402">
        <v>100006187</v>
      </c>
      <c r="C402">
        <v>209</v>
      </c>
      <c r="D402">
        <v>54749</v>
      </c>
      <c r="E402">
        <v>207609</v>
      </c>
      <c r="F402" t="s">
        <v>3863</v>
      </c>
      <c r="G402" t="s">
        <v>7216</v>
      </c>
      <c r="H402">
        <v>5724</v>
      </c>
      <c r="I402" t="s">
        <v>3438</v>
      </c>
      <c r="J402" t="s">
        <v>8500</v>
      </c>
      <c r="K402" t="s">
        <v>8501</v>
      </c>
      <c r="L402" t="s">
        <v>8502</v>
      </c>
      <c r="M402" t="s">
        <v>8502</v>
      </c>
      <c r="N402" t="s">
        <v>8503</v>
      </c>
      <c r="O402" t="s">
        <v>8504</v>
      </c>
      <c r="P402" t="s">
        <v>8505</v>
      </c>
      <c r="Q402" t="s">
        <v>8506</v>
      </c>
      <c r="R402" t="s">
        <v>8507</v>
      </c>
      <c r="S402" t="s">
        <v>3469</v>
      </c>
    </row>
    <row r="403" spans="1:19" x14ac:dyDescent="0.2">
      <c r="A403" t="str">
        <f t="shared" si="6"/>
        <v>metab_compid_1642</v>
      </c>
      <c r="B403">
        <v>888</v>
      </c>
      <c r="C403">
        <v>209</v>
      </c>
      <c r="D403">
        <v>1642</v>
      </c>
      <c r="E403">
        <v>125736</v>
      </c>
      <c r="F403" t="s">
        <v>3459</v>
      </c>
      <c r="G403" t="s">
        <v>3569</v>
      </c>
      <c r="H403">
        <v>1512</v>
      </c>
      <c r="I403" t="s">
        <v>3438</v>
      </c>
      <c r="J403" t="s">
        <v>4406</v>
      </c>
      <c r="K403" t="s">
        <v>4407</v>
      </c>
      <c r="L403" t="s">
        <v>4408</v>
      </c>
      <c r="M403" t="s">
        <v>4408</v>
      </c>
      <c r="N403" t="s">
        <v>4409</v>
      </c>
      <c r="O403" t="s">
        <v>4410</v>
      </c>
      <c r="P403" t="s">
        <v>4411</v>
      </c>
      <c r="Q403" t="s">
        <v>4412</v>
      </c>
      <c r="R403" t="s">
        <v>4413</v>
      </c>
      <c r="S403" t="s">
        <v>3469</v>
      </c>
    </row>
    <row r="404" spans="1:19" x14ac:dyDescent="0.2">
      <c r="A404" t="str">
        <f t="shared" si="6"/>
        <v>metab_compid_32489</v>
      </c>
      <c r="B404">
        <v>926</v>
      </c>
      <c r="C404">
        <v>209</v>
      </c>
      <c r="D404">
        <v>32489</v>
      </c>
      <c r="E404">
        <v>125850</v>
      </c>
      <c r="F404" t="s">
        <v>3459</v>
      </c>
      <c r="G404" t="s">
        <v>3569</v>
      </c>
      <c r="H404">
        <v>1507</v>
      </c>
      <c r="I404" t="s">
        <v>3438</v>
      </c>
      <c r="J404" t="s">
        <v>4487</v>
      </c>
      <c r="K404" t="s">
        <v>4488</v>
      </c>
      <c r="L404" t="s">
        <v>4489</v>
      </c>
      <c r="M404" t="s">
        <v>4489</v>
      </c>
      <c r="N404" t="s">
        <v>4490</v>
      </c>
      <c r="O404" t="s">
        <v>4491</v>
      </c>
      <c r="P404" t="s">
        <v>4492</v>
      </c>
      <c r="Q404" t="s">
        <v>4493</v>
      </c>
      <c r="R404" t="s">
        <v>4494</v>
      </c>
      <c r="S404" t="s">
        <v>3469</v>
      </c>
    </row>
    <row r="405" spans="1:19" x14ac:dyDescent="0.2">
      <c r="A405" t="str">
        <f t="shared" si="6"/>
        <v>metab_compid_32492</v>
      </c>
      <c r="B405">
        <v>932</v>
      </c>
      <c r="C405">
        <v>209</v>
      </c>
      <c r="D405">
        <v>32492</v>
      </c>
      <c r="E405">
        <v>125852</v>
      </c>
      <c r="F405" t="s">
        <v>3459</v>
      </c>
      <c r="G405" t="s">
        <v>3569</v>
      </c>
      <c r="H405">
        <v>1509</v>
      </c>
      <c r="I405" t="s">
        <v>3438</v>
      </c>
      <c r="J405" t="s">
        <v>4495</v>
      </c>
      <c r="K405" t="s">
        <v>4496</v>
      </c>
      <c r="L405" t="s">
        <v>4497</v>
      </c>
      <c r="M405" t="s">
        <v>4497</v>
      </c>
      <c r="N405" t="s">
        <v>4498</v>
      </c>
      <c r="O405" t="s">
        <v>4499</v>
      </c>
      <c r="P405" t="s">
        <v>4500</v>
      </c>
      <c r="Q405" t="s">
        <v>4501</v>
      </c>
      <c r="R405" t="s">
        <v>4502</v>
      </c>
      <c r="S405" t="s">
        <v>3469</v>
      </c>
    </row>
    <row r="406" spans="1:19" x14ac:dyDescent="0.2">
      <c r="A406" t="str">
        <f t="shared" si="6"/>
        <v>metab_compid_37020</v>
      </c>
      <c r="B406">
        <v>100002321</v>
      </c>
      <c r="C406">
        <v>400</v>
      </c>
      <c r="D406">
        <v>37020</v>
      </c>
      <c r="E406">
        <v>156282</v>
      </c>
      <c r="F406" t="s">
        <v>3863</v>
      </c>
      <c r="G406" t="s">
        <v>4959</v>
      </c>
      <c r="H406">
        <v>5853</v>
      </c>
      <c r="I406" t="s">
        <v>3438</v>
      </c>
      <c r="J406" t="s">
        <v>7406</v>
      </c>
      <c r="K406" t="s">
        <v>7407</v>
      </c>
      <c r="L406" t="s">
        <v>7408</v>
      </c>
      <c r="M406" t="s">
        <v>7408</v>
      </c>
      <c r="N406" t="s">
        <v>7409</v>
      </c>
      <c r="O406" t="s">
        <v>7410</v>
      </c>
      <c r="P406" t="s">
        <v>7411</v>
      </c>
      <c r="Q406" t="s">
        <v>7412</v>
      </c>
      <c r="R406" t="s">
        <v>7413</v>
      </c>
      <c r="S406" t="s">
        <v>3458</v>
      </c>
    </row>
    <row r="407" spans="1:19" x14ac:dyDescent="0.2">
      <c r="A407" t="str">
        <f t="shared" si="6"/>
        <v>metab_compid_37056</v>
      </c>
      <c r="B407">
        <v>100002322</v>
      </c>
      <c r="C407">
        <v>209</v>
      </c>
      <c r="D407">
        <v>37056</v>
      </c>
      <c r="E407">
        <v>148433</v>
      </c>
      <c r="F407" t="s">
        <v>3863</v>
      </c>
      <c r="G407" t="s">
        <v>4959</v>
      </c>
      <c r="H407">
        <v>5854</v>
      </c>
      <c r="I407" t="s">
        <v>3438</v>
      </c>
      <c r="J407" t="s">
        <v>7414</v>
      </c>
      <c r="K407" t="s">
        <v>7415</v>
      </c>
      <c r="L407" t="s">
        <v>7416</v>
      </c>
      <c r="M407" t="s">
        <v>7416</v>
      </c>
      <c r="R407" t="s">
        <v>7417</v>
      </c>
      <c r="S407" t="s">
        <v>3469</v>
      </c>
    </row>
    <row r="408" spans="1:19" x14ac:dyDescent="0.2">
      <c r="A408" t="str">
        <f t="shared" si="6"/>
        <v>metab_compid_43333</v>
      </c>
      <c r="B408">
        <v>100004171</v>
      </c>
      <c r="C408">
        <v>209</v>
      </c>
      <c r="D408">
        <v>43333</v>
      </c>
      <c r="E408">
        <v>143985</v>
      </c>
      <c r="F408" t="s">
        <v>3863</v>
      </c>
      <c r="G408" t="s">
        <v>4942</v>
      </c>
      <c r="H408">
        <v>5427</v>
      </c>
      <c r="I408" t="s">
        <v>3438</v>
      </c>
      <c r="J408" t="s">
        <v>8087</v>
      </c>
      <c r="K408" t="s">
        <v>8088</v>
      </c>
      <c r="L408" t="s">
        <v>8089</v>
      </c>
      <c r="M408" t="s">
        <v>8089</v>
      </c>
      <c r="N408" t="s">
        <v>8090</v>
      </c>
      <c r="O408" t="s">
        <v>8091</v>
      </c>
      <c r="P408" t="s">
        <v>8092</v>
      </c>
      <c r="R408" t="s">
        <v>8093</v>
      </c>
      <c r="S408" t="s">
        <v>3469</v>
      </c>
    </row>
    <row r="409" spans="1:19" x14ac:dyDescent="0.2">
      <c r="A409" t="str">
        <f t="shared" si="6"/>
        <v>metab_compid_15500</v>
      </c>
      <c r="B409">
        <v>100000007</v>
      </c>
      <c r="C409">
        <v>400</v>
      </c>
      <c r="D409">
        <v>15500</v>
      </c>
      <c r="E409">
        <v>155554</v>
      </c>
      <c r="F409" t="s">
        <v>3459</v>
      </c>
      <c r="G409" t="s">
        <v>5134</v>
      </c>
      <c r="H409">
        <v>1950</v>
      </c>
      <c r="I409" t="s">
        <v>3438</v>
      </c>
      <c r="J409" t="s">
        <v>5135</v>
      </c>
      <c r="K409" t="s">
        <v>5136</v>
      </c>
      <c r="L409" t="s">
        <v>5137</v>
      </c>
      <c r="M409" t="s">
        <v>5137</v>
      </c>
      <c r="N409" t="s">
        <v>5138</v>
      </c>
      <c r="O409" t="s">
        <v>5139</v>
      </c>
      <c r="P409" t="s">
        <v>5140</v>
      </c>
      <c r="Q409" t="s">
        <v>5141</v>
      </c>
      <c r="R409" t="s">
        <v>5142</v>
      </c>
      <c r="S409" t="s">
        <v>3458</v>
      </c>
    </row>
    <row r="410" spans="1:19" x14ac:dyDescent="0.2">
      <c r="A410" t="str">
        <f t="shared" si="6"/>
        <v>metab_compid_63650</v>
      </c>
      <c r="B410">
        <v>100021678</v>
      </c>
      <c r="C410">
        <v>209</v>
      </c>
      <c r="D410">
        <v>63650</v>
      </c>
      <c r="E410">
        <v>223033</v>
      </c>
      <c r="F410" t="s">
        <v>6580</v>
      </c>
      <c r="G410" t="s">
        <v>6580</v>
      </c>
      <c r="H410">
        <v>6459</v>
      </c>
      <c r="I410" t="s">
        <v>3438</v>
      </c>
      <c r="L410" t="s">
        <v>10170</v>
      </c>
      <c r="M410" t="s">
        <v>10170</v>
      </c>
      <c r="S410" t="s">
        <v>3469</v>
      </c>
    </row>
    <row r="411" spans="1:19" x14ac:dyDescent="0.2">
      <c r="A411" t="str">
        <f t="shared" si="6"/>
        <v>metab_compid_57635</v>
      </c>
      <c r="B411">
        <v>100015966</v>
      </c>
      <c r="C411">
        <v>402</v>
      </c>
      <c r="D411">
        <v>57635</v>
      </c>
      <c r="E411">
        <v>212257</v>
      </c>
      <c r="F411" t="s">
        <v>3448</v>
      </c>
      <c r="G411" t="s">
        <v>4124</v>
      </c>
      <c r="H411">
        <v>4452</v>
      </c>
      <c r="I411" t="s">
        <v>3438</v>
      </c>
      <c r="J411" t="s">
        <v>9533</v>
      </c>
      <c r="K411" t="s">
        <v>9534</v>
      </c>
      <c r="L411" t="s">
        <v>9535</v>
      </c>
      <c r="M411" t="s">
        <v>9535</v>
      </c>
      <c r="S411" t="s">
        <v>3447</v>
      </c>
    </row>
    <row r="412" spans="1:19" x14ac:dyDescent="0.2">
      <c r="A412" t="str">
        <f t="shared" si="6"/>
        <v>metab_compid_57636</v>
      </c>
      <c r="B412">
        <v>100015967</v>
      </c>
      <c r="C412">
        <v>402</v>
      </c>
      <c r="D412">
        <v>57636</v>
      </c>
      <c r="E412">
        <v>212258</v>
      </c>
      <c r="F412" t="s">
        <v>3448</v>
      </c>
      <c r="G412" t="s">
        <v>4124</v>
      </c>
      <c r="H412">
        <v>4453</v>
      </c>
      <c r="I412" t="s">
        <v>3438</v>
      </c>
      <c r="J412" t="s">
        <v>9533</v>
      </c>
      <c r="K412" t="s">
        <v>9534</v>
      </c>
      <c r="L412" t="s">
        <v>9536</v>
      </c>
      <c r="M412" t="s">
        <v>9536</v>
      </c>
      <c r="S412" t="s">
        <v>3447</v>
      </c>
    </row>
    <row r="413" spans="1:19" x14ac:dyDescent="0.2">
      <c r="A413" t="str">
        <f t="shared" si="6"/>
        <v>metab_compid_57637</v>
      </c>
      <c r="B413">
        <v>100015968</v>
      </c>
      <c r="C413">
        <v>402</v>
      </c>
      <c r="D413">
        <v>57637</v>
      </c>
      <c r="E413">
        <v>212259</v>
      </c>
      <c r="F413" t="s">
        <v>3448</v>
      </c>
      <c r="G413" t="s">
        <v>4124</v>
      </c>
      <c r="H413">
        <v>4454</v>
      </c>
      <c r="I413" t="s">
        <v>3438</v>
      </c>
      <c r="J413" t="s">
        <v>9533</v>
      </c>
      <c r="K413" t="s">
        <v>9534</v>
      </c>
      <c r="L413" t="s">
        <v>9537</v>
      </c>
      <c r="M413" t="s">
        <v>9537</v>
      </c>
      <c r="S413" t="s">
        <v>3447</v>
      </c>
    </row>
    <row r="414" spans="1:19" x14ac:dyDescent="0.2">
      <c r="A414" t="str">
        <f t="shared" si="6"/>
        <v>metab_compid_35320</v>
      </c>
      <c r="B414">
        <v>100001605</v>
      </c>
      <c r="C414">
        <v>209</v>
      </c>
      <c r="D414">
        <v>35320</v>
      </c>
      <c r="E414">
        <v>143730</v>
      </c>
      <c r="F414" t="s">
        <v>3863</v>
      </c>
      <c r="G414" t="s">
        <v>5082</v>
      </c>
      <c r="H414">
        <v>4520</v>
      </c>
      <c r="I414" t="s">
        <v>3438</v>
      </c>
      <c r="J414" t="s">
        <v>6710</v>
      </c>
      <c r="K414" t="s">
        <v>6711</v>
      </c>
      <c r="L414" t="s">
        <v>6712</v>
      </c>
      <c r="M414" t="s">
        <v>6712</v>
      </c>
      <c r="N414" t="s">
        <v>6713</v>
      </c>
      <c r="O414" t="s">
        <v>6714</v>
      </c>
      <c r="P414" t="s">
        <v>6715</v>
      </c>
      <c r="R414" t="s">
        <v>6716</v>
      </c>
      <c r="S414" t="s">
        <v>3469</v>
      </c>
    </row>
    <row r="415" spans="1:19" x14ac:dyDescent="0.2">
      <c r="A415" t="str">
        <f t="shared" si="6"/>
        <v>metab_compid_57437</v>
      </c>
      <c r="B415">
        <v>100015727</v>
      </c>
      <c r="C415">
        <v>402</v>
      </c>
      <c r="D415">
        <v>57437</v>
      </c>
      <c r="E415">
        <v>211091</v>
      </c>
      <c r="F415" t="s">
        <v>3459</v>
      </c>
      <c r="G415" t="s">
        <v>4998</v>
      </c>
      <c r="H415">
        <v>3070</v>
      </c>
      <c r="I415" t="s">
        <v>3438</v>
      </c>
      <c r="J415" t="s">
        <v>9349</v>
      </c>
      <c r="K415" t="s">
        <v>9350</v>
      </c>
      <c r="L415" t="s">
        <v>9351</v>
      </c>
      <c r="M415" t="s">
        <v>9351</v>
      </c>
      <c r="S415" t="s">
        <v>3447</v>
      </c>
    </row>
    <row r="416" spans="1:19" x14ac:dyDescent="0.2">
      <c r="A416" t="str">
        <f t="shared" si="6"/>
        <v>metab_compid_57432</v>
      </c>
      <c r="B416">
        <v>100015735</v>
      </c>
      <c r="C416">
        <v>402</v>
      </c>
      <c r="D416">
        <v>57432</v>
      </c>
      <c r="E416">
        <v>211086</v>
      </c>
      <c r="F416" t="s">
        <v>3459</v>
      </c>
      <c r="G416" t="s">
        <v>4998</v>
      </c>
      <c r="H416">
        <v>3066</v>
      </c>
      <c r="I416" t="s">
        <v>3438</v>
      </c>
      <c r="J416" t="s">
        <v>9352</v>
      </c>
      <c r="K416" t="s">
        <v>9353</v>
      </c>
      <c r="L416" t="s">
        <v>9354</v>
      </c>
      <c r="M416" t="s">
        <v>9354</v>
      </c>
      <c r="P416" t="s">
        <v>9355</v>
      </c>
      <c r="S416" t="s">
        <v>3447</v>
      </c>
    </row>
    <row r="417" spans="1:19" x14ac:dyDescent="0.2">
      <c r="A417" t="str">
        <f t="shared" si="6"/>
        <v>metab_compid_57440</v>
      </c>
      <c r="B417">
        <v>100015755</v>
      </c>
      <c r="C417">
        <v>402</v>
      </c>
      <c r="D417">
        <v>57440</v>
      </c>
      <c r="E417">
        <v>211094</v>
      </c>
      <c r="F417" t="s">
        <v>3459</v>
      </c>
      <c r="G417" t="s">
        <v>4998</v>
      </c>
      <c r="H417">
        <v>3069</v>
      </c>
      <c r="I417" t="s">
        <v>3438</v>
      </c>
      <c r="J417" t="s">
        <v>9365</v>
      </c>
      <c r="K417" t="s">
        <v>9366</v>
      </c>
      <c r="L417" t="s">
        <v>9367</v>
      </c>
      <c r="M417" t="s">
        <v>9367</v>
      </c>
      <c r="P417" t="s">
        <v>9368</v>
      </c>
      <c r="S417" t="s">
        <v>3447</v>
      </c>
    </row>
    <row r="418" spans="1:19" x14ac:dyDescent="0.2">
      <c r="A418" t="str">
        <f t="shared" si="6"/>
        <v>metab_compid_57516</v>
      </c>
      <c r="B418">
        <v>100015835</v>
      </c>
      <c r="C418">
        <v>402</v>
      </c>
      <c r="D418">
        <v>57516</v>
      </c>
      <c r="E418">
        <v>211217</v>
      </c>
      <c r="F418" t="s">
        <v>3459</v>
      </c>
      <c r="G418" t="s">
        <v>5526</v>
      </c>
      <c r="H418">
        <v>1888</v>
      </c>
      <c r="I418" t="s">
        <v>3438</v>
      </c>
      <c r="J418" t="s">
        <v>9479</v>
      </c>
      <c r="K418" t="s">
        <v>9480</v>
      </c>
      <c r="L418" t="s">
        <v>9481</v>
      </c>
      <c r="M418" t="s">
        <v>9481</v>
      </c>
      <c r="O418" t="s">
        <v>9482</v>
      </c>
      <c r="P418" t="s">
        <v>9483</v>
      </c>
      <c r="R418" t="s">
        <v>9484</v>
      </c>
      <c r="S418" t="s">
        <v>3447</v>
      </c>
    </row>
    <row r="419" spans="1:19" x14ac:dyDescent="0.2">
      <c r="A419" t="str">
        <f t="shared" si="6"/>
        <v>metab_compid_54745</v>
      </c>
      <c r="B419">
        <v>100009034</v>
      </c>
      <c r="C419">
        <v>402</v>
      </c>
      <c r="D419">
        <v>54745</v>
      </c>
      <c r="E419">
        <v>207413</v>
      </c>
      <c r="F419" t="s">
        <v>3863</v>
      </c>
      <c r="G419" t="s">
        <v>9034</v>
      </c>
      <c r="H419">
        <v>5964</v>
      </c>
      <c r="I419" t="s">
        <v>3438</v>
      </c>
      <c r="J419" t="s">
        <v>9035</v>
      </c>
      <c r="K419" t="s">
        <v>9036</v>
      </c>
      <c r="L419" t="s">
        <v>9037</v>
      </c>
      <c r="M419" t="s">
        <v>9037</v>
      </c>
      <c r="N419" t="s">
        <v>9038</v>
      </c>
      <c r="O419" t="s">
        <v>9039</v>
      </c>
      <c r="P419" t="s">
        <v>9040</v>
      </c>
      <c r="Q419" t="s">
        <v>9041</v>
      </c>
      <c r="R419" t="s">
        <v>9042</v>
      </c>
      <c r="S419" t="s">
        <v>3447</v>
      </c>
    </row>
    <row r="420" spans="1:19" x14ac:dyDescent="0.2">
      <c r="A420" t="str">
        <f t="shared" si="6"/>
        <v>metab_compid_1563</v>
      </c>
      <c r="B420">
        <v>1123</v>
      </c>
      <c r="C420">
        <v>209</v>
      </c>
      <c r="D420">
        <v>1563</v>
      </c>
      <c r="E420">
        <v>125732</v>
      </c>
      <c r="F420" t="s">
        <v>3459</v>
      </c>
      <c r="G420" t="s">
        <v>3516</v>
      </c>
      <c r="H420">
        <v>3476</v>
      </c>
      <c r="I420" t="s">
        <v>3438</v>
      </c>
      <c r="J420" t="s">
        <v>4720</v>
      </c>
      <c r="K420" t="s">
        <v>4721</v>
      </c>
      <c r="L420" t="s">
        <v>4722</v>
      </c>
      <c r="M420" t="s">
        <v>4722</v>
      </c>
      <c r="N420" t="s">
        <v>4723</v>
      </c>
      <c r="P420" t="s">
        <v>4724</v>
      </c>
      <c r="Q420" t="s">
        <v>4725</v>
      </c>
      <c r="R420" t="s">
        <v>4726</v>
      </c>
      <c r="S420" t="s">
        <v>3469</v>
      </c>
    </row>
    <row r="421" spans="1:19" x14ac:dyDescent="0.2">
      <c r="A421" t="str">
        <f t="shared" si="6"/>
        <v>metab_compid_63607</v>
      </c>
      <c r="B421">
        <v>100021650</v>
      </c>
      <c r="C421">
        <v>209</v>
      </c>
      <c r="D421">
        <v>63607</v>
      </c>
      <c r="E421">
        <v>222931</v>
      </c>
      <c r="F421" t="s">
        <v>3459</v>
      </c>
      <c r="G421" t="s">
        <v>3516</v>
      </c>
      <c r="H421">
        <v>3477</v>
      </c>
      <c r="I421" t="s">
        <v>3438</v>
      </c>
      <c r="J421" t="s">
        <v>10162</v>
      </c>
      <c r="K421" t="s">
        <v>10163</v>
      </c>
      <c r="L421" t="s">
        <v>10164</v>
      </c>
      <c r="M421" t="s">
        <v>10164</v>
      </c>
      <c r="P421" t="s">
        <v>10165</v>
      </c>
      <c r="R421" t="s">
        <v>10166</v>
      </c>
      <c r="S421" t="s">
        <v>3469</v>
      </c>
    </row>
    <row r="422" spans="1:19" x14ac:dyDescent="0.2">
      <c r="A422" t="str">
        <f t="shared" si="6"/>
        <v>metab_compid_37112</v>
      </c>
      <c r="B422">
        <v>100001859</v>
      </c>
      <c r="C422">
        <v>305</v>
      </c>
      <c r="D422">
        <v>37112</v>
      </c>
      <c r="E422">
        <v>145854</v>
      </c>
      <c r="F422" t="s">
        <v>3459</v>
      </c>
      <c r="G422" t="s">
        <v>3937</v>
      </c>
      <c r="H422">
        <v>2220</v>
      </c>
      <c r="I422" t="s">
        <v>3438</v>
      </c>
      <c r="J422" t="s">
        <v>7050</v>
      </c>
      <c r="K422" t="s">
        <v>7051</v>
      </c>
      <c r="L422" t="s">
        <v>7052</v>
      </c>
      <c r="M422" t="s">
        <v>7052</v>
      </c>
      <c r="N422" t="s">
        <v>7053</v>
      </c>
      <c r="O422" t="s">
        <v>7054</v>
      </c>
      <c r="P422" t="s">
        <v>7055</v>
      </c>
      <c r="Q422" t="s">
        <v>7056</v>
      </c>
      <c r="S422" t="s">
        <v>3489</v>
      </c>
    </row>
    <row r="423" spans="1:19" x14ac:dyDescent="0.2">
      <c r="A423" t="str">
        <f t="shared" si="6"/>
        <v>metab_compid_22842</v>
      </c>
      <c r="B423">
        <v>136</v>
      </c>
      <c r="C423">
        <v>209</v>
      </c>
      <c r="D423">
        <v>22842</v>
      </c>
      <c r="E423">
        <v>124689</v>
      </c>
      <c r="F423" t="s">
        <v>3459</v>
      </c>
      <c r="G423" t="s">
        <v>3516</v>
      </c>
      <c r="H423">
        <v>3473</v>
      </c>
      <c r="I423" t="s">
        <v>3438</v>
      </c>
      <c r="J423" t="s">
        <v>3517</v>
      </c>
      <c r="K423" t="s">
        <v>3518</v>
      </c>
      <c r="L423" t="s">
        <v>3519</v>
      </c>
      <c r="M423" t="s">
        <v>3519</v>
      </c>
      <c r="N423" t="s">
        <v>3520</v>
      </c>
      <c r="P423" t="s">
        <v>3521</v>
      </c>
      <c r="Q423" t="s">
        <v>3522</v>
      </c>
      <c r="R423" t="s">
        <v>3523</v>
      </c>
      <c r="S423" t="s">
        <v>3469</v>
      </c>
    </row>
    <row r="424" spans="1:19" x14ac:dyDescent="0.2">
      <c r="A424" t="str">
        <f t="shared" si="6"/>
        <v>metab_compid_63</v>
      </c>
      <c r="B424">
        <v>266</v>
      </c>
      <c r="C424">
        <v>402</v>
      </c>
      <c r="D424">
        <v>63</v>
      </c>
      <c r="E424">
        <v>164177</v>
      </c>
      <c r="F424" t="s">
        <v>3459</v>
      </c>
      <c r="G424" t="s">
        <v>3749</v>
      </c>
      <c r="H424">
        <v>3212</v>
      </c>
      <c r="I424" t="s">
        <v>3438</v>
      </c>
      <c r="J424" t="s">
        <v>3750</v>
      </c>
      <c r="K424" t="s">
        <v>3751</v>
      </c>
      <c r="L424" t="s">
        <v>3752</v>
      </c>
      <c r="M424" t="s">
        <v>3752</v>
      </c>
      <c r="N424" t="s">
        <v>3753</v>
      </c>
      <c r="O424" t="s">
        <v>3754</v>
      </c>
      <c r="P424" t="s">
        <v>3755</v>
      </c>
      <c r="Q424" t="s">
        <v>3756</v>
      </c>
      <c r="R424" t="s">
        <v>3757</v>
      </c>
      <c r="S424" t="s">
        <v>3447</v>
      </c>
    </row>
    <row r="425" spans="1:19" x14ac:dyDescent="0.2">
      <c r="A425" t="str">
        <f t="shared" si="6"/>
        <v>metab_compid_35324</v>
      </c>
      <c r="B425">
        <v>100001606</v>
      </c>
      <c r="C425">
        <v>305</v>
      </c>
      <c r="D425">
        <v>35324</v>
      </c>
      <c r="E425">
        <v>238705</v>
      </c>
      <c r="F425" t="s">
        <v>3459</v>
      </c>
      <c r="G425" t="s">
        <v>3749</v>
      </c>
      <c r="H425">
        <v>3213</v>
      </c>
      <c r="I425" t="s">
        <v>3438</v>
      </c>
      <c r="J425" t="s">
        <v>6717</v>
      </c>
      <c r="K425" t="s">
        <v>6718</v>
      </c>
      <c r="L425" t="s">
        <v>6719</v>
      </c>
      <c r="M425" t="s">
        <v>6719</v>
      </c>
      <c r="N425" t="s">
        <v>6720</v>
      </c>
      <c r="O425" t="s">
        <v>6721</v>
      </c>
      <c r="P425" t="s">
        <v>6722</v>
      </c>
      <c r="Q425" t="s">
        <v>6723</v>
      </c>
      <c r="R425" t="s">
        <v>6724</v>
      </c>
      <c r="S425" t="s">
        <v>3489</v>
      </c>
    </row>
    <row r="426" spans="1:19" x14ac:dyDescent="0.2">
      <c r="A426" t="str">
        <f t="shared" si="6"/>
        <v>metab_compid_62571</v>
      </c>
      <c r="B426">
        <v>100020549</v>
      </c>
      <c r="C426">
        <v>209</v>
      </c>
      <c r="D426">
        <v>62571</v>
      </c>
      <c r="E426">
        <v>219957</v>
      </c>
      <c r="F426" t="s">
        <v>3459</v>
      </c>
      <c r="G426" t="s">
        <v>3516</v>
      </c>
      <c r="H426">
        <v>3491</v>
      </c>
      <c r="I426" t="s">
        <v>3438</v>
      </c>
      <c r="J426" t="s">
        <v>9813</v>
      </c>
      <c r="K426" t="s">
        <v>9814</v>
      </c>
      <c r="L426" t="s">
        <v>9815</v>
      </c>
      <c r="M426" t="s">
        <v>9815</v>
      </c>
      <c r="P426" t="s">
        <v>9816</v>
      </c>
      <c r="R426" t="s">
        <v>9817</v>
      </c>
      <c r="S426" t="s">
        <v>3469</v>
      </c>
    </row>
    <row r="427" spans="1:19" x14ac:dyDescent="0.2">
      <c r="A427" t="str">
        <f t="shared" si="6"/>
        <v>metab_compid_15506</v>
      </c>
      <c r="B427">
        <v>1256</v>
      </c>
      <c r="C427">
        <v>400</v>
      </c>
      <c r="D427">
        <v>15506</v>
      </c>
      <c r="E427">
        <v>155556</v>
      </c>
      <c r="F427" t="s">
        <v>3459</v>
      </c>
      <c r="G427" t="s">
        <v>3758</v>
      </c>
      <c r="H427">
        <v>2250</v>
      </c>
      <c r="I427" t="s">
        <v>3438</v>
      </c>
      <c r="J427" t="s">
        <v>4896</v>
      </c>
      <c r="K427" t="s">
        <v>4897</v>
      </c>
      <c r="L427" t="s">
        <v>4898</v>
      </c>
      <c r="M427" t="s">
        <v>4898</v>
      </c>
      <c r="N427" t="s">
        <v>4899</v>
      </c>
      <c r="O427" t="s">
        <v>4900</v>
      </c>
      <c r="P427" t="s">
        <v>4901</v>
      </c>
      <c r="Q427" t="s">
        <v>4902</v>
      </c>
      <c r="R427" t="s">
        <v>4730</v>
      </c>
      <c r="S427" t="s">
        <v>3458</v>
      </c>
    </row>
    <row r="428" spans="1:19" x14ac:dyDescent="0.2">
      <c r="A428" t="str">
        <f t="shared" si="6"/>
        <v>metab_compid_34396</v>
      </c>
      <c r="B428">
        <v>267</v>
      </c>
      <c r="C428">
        <v>400</v>
      </c>
      <c r="D428">
        <v>34396</v>
      </c>
      <c r="E428">
        <v>156099</v>
      </c>
      <c r="F428" t="s">
        <v>3459</v>
      </c>
      <c r="G428" t="s">
        <v>3758</v>
      </c>
      <c r="H428">
        <v>2251</v>
      </c>
      <c r="I428" t="s">
        <v>3438</v>
      </c>
      <c r="J428" t="s">
        <v>3759</v>
      </c>
      <c r="K428" t="s">
        <v>3760</v>
      </c>
      <c r="L428" t="s">
        <v>3761</v>
      </c>
      <c r="M428" t="s">
        <v>3762</v>
      </c>
      <c r="N428" t="s">
        <v>3763</v>
      </c>
      <c r="O428" t="s">
        <v>3764</v>
      </c>
      <c r="P428" t="s">
        <v>3765</v>
      </c>
      <c r="Q428" t="s">
        <v>3766</v>
      </c>
      <c r="R428" t="s">
        <v>3767</v>
      </c>
      <c r="S428" t="s">
        <v>3458</v>
      </c>
    </row>
    <row r="429" spans="1:19" x14ac:dyDescent="0.2">
      <c r="A429" t="str">
        <f t="shared" si="6"/>
        <v>metab_compid_38637</v>
      </c>
      <c r="B429">
        <v>100002253</v>
      </c>
      <c r="C429">
        <v>209</v>
      </c>
      <c r="D429">
        <v>38637</v>
      </c>
      <c r="E429">
        <v>141886</v>
      </c>
      <c r="F429" t="s">
        <v>3863</v>
      </c>
      <c r="G429" t="s">
        <v>3864</v>
      </c>
      <c r="H429">
        <v>4875</v>
      </c>
      <c r="I429" t="s">
        <v>3438</v>
      </c>
      <c r="J429" t="s">
        <v>7378</v>
      </c>
      <c r="K429" t="s">
        <v>7379</v>
      </c>
      <c r="L429" t="s">
        <v>7380</v>
      </c>
      <c r="M429" t="s">
        <v>7380</v>
      </c>
      <c r="N429" t="s">
        <v>7381</v>
      </c>
      <c r="O429" t="s">
        <v>7382</v>
      </c>
      <c r="P429" t="s">
        <v>7383</v>
      </c>
      <c r="R429" t="s">
        <v>7384</v>
      </c>
      <c r="S429" t="s">
        <v>3469</v>
      </c>
    </row>
    <row r="430" spans="1:19" x14ac:dyDescent="0.2">
      <c r="A430" t="str">
        <f t="shared" si="6"/>
        <v>metab_compid_64390</v>
      </c>
      <c r="B430">
        <v>100021727</v>
      </c>
      <c r="C430">
        <v>209</v>
      </c>
      <c r="D430">
        <v>64390</v>
      </c>
      <c r="E430">
        <v>237469</v>
      </c>
      <c r="F430" t="s">
        <v>3459</v>
      </c>
      <c r="G430" t="s">
        <v>4101</v>
      </c>
      <c r="H430">
        <v>1661</v>
      </c>
      <c r="I430" t="s">
        <v>3438</v>
      </c>
      <c r="J430" t="s">
        <v>10186</v>
      </c>
      <c r="K430" t="s">
        <v>10187</v>
      </c>
      <c r="L430" t="s">
        <v>10188</v>
      </c>
      <c r="M430" t="s">
        <v>10188</v>
      </c>
      <c r="S430" t="s">
        <v>3469</v>
      </c>
    </row>
    <row r="431" spans="1:19" x14ac:dyDescent="0.2">
      <c r="A431" t="str">
        <f t="shared" si="6"/>
        <v>metab_compid_64389</v>
      </c>
      <c r="B431">
        <v>100021728</v>
      </c>
      <c r="C431">
        <v>402</v>
      </c>
      <c r="D431">
        <v>64389</v>
      </c>
      <c r="E431">
        <v>237480</v>
      </c>
      <c r="F431" t="s">
        <v>3459</v>
      </c>
      <c r="G431" t="s">
        <v>5535</v>
      </c>
      <c r="H431">
        <v>1874</v>
      </c>
      <c r="I431" t="s">
        <v>3438</v>
      </c>
      <c r="J431" t="s">
        <v>10189</v>
      </c>
      <c r="K431" t="s">
        <v>10190</v>
      </c>
      <c r="L431" t="s">
        <v>10191</v>
      </c>
      <c r="M431" t="s">
        <v>10191</v>
      </c>
      <c r="S431" t="s">
        <v>3447</v>
      </c>
    </row>
    <row r="432" spans="1:19" x14ac:dyDescent="0.2">
      <c r="A432" t="str">
        <f t="shared" si="6"/>
        <v>metab_compid_64386</v>
      </c>
      <c r="B432">
        <v>100021992</v>
      </c>
      <c r="C432">
        <v>209</v>
      </c>
      <c r="D432">
        <v>64386</v>
      </c>
      <c r="E432">
        <v>237461</v>
      </c>
      <c r="F432" t="s">
        <v>3459</v>
      </c>
      <c r="G432" t="s">
        <v>4991</v>
      </c>
      <c r="H432">
        <v>1832</v>
      </c>
      <c r="I432" t="s">
        <v>3438</v>
      </c>
      <c r="J432" t="s">
        <v>10233</v>
      </c>
      <c r="K432" t="s">
        <v>10234</v>
      </c>
      <c r="L432" t="s">
        <v>10235</v>
      </c>
      <c r="M432" t="s">
        <v>10235</v>
      </c>
      <c r="S432" t="s">
        <v>3469</v>
      </c>
    </row>
    <row r="433" spans="1:19" x14ac:dyDescent="0.2">
      <c r="A433" t="str">
        <f t="shared" si="6"/>
        <v>metab_compid_62873</v>
      </c>
      <c r="B433">
        <v>100002796</v>
      </c>
      <c r="C433">
        <v>209</v>
      </c>
      <c r="D433">
        <v>62873</v>
      </c>
      <c r="E433">
        <v>220667</v>
      </c>
      <c r="F433" t="s">
        <v>3459</v>
      </c>
      <c r="G433" t="s">
        <v>3569</v>
      </c>
      <c r="H433">
        <v>1513</v>
      </c>
      <c r="I433" t="s">
        <v>3438</v>
      </c>
      <c r="J433" t="s">
        <v>7661</v>
      </c>
      <c r="K433" t="s">
        <v>7662</v>
      </c>
      <c r="L433" t="s">
        <v>7663</v>
      </c>
      <c r="M433" t="s">
        <v>7663</v>
      </c>
      <c r="N433" t="s">
        <v>7664</v>
      </c>
      <c r="O433" t="s">
        <v>7665</v>
      </c>
      <c r="P433" t="s">
        <v>7666</v>
      </c>
      <c r="R433" t="s">
        <v>7667</v>
      </c>
      <c r="S433" t="s">
        <v>3469</v>
      </c>
    </row>
    <row r="434" spans="1:19" x14ac:dyDescent="0.2">
      <c r="A434" t="str">
        <f t="shared" si="6"/>
        <v>metab_compid_38178</v>
      </c>
      <c r="B434">
        <v>100002259</v>
      </c>
      <c r="C434">
        <v>402</v>
      </c>
      <c r="D434">
        <v>38178</v>
      </c>
      <c r="E434">
        <v>159020</v>
      </c>
      <c r="F434" t="s">
        <v>3459</v>
      </c>
      <c r="G434" t="s">
        <v>6535</v>
      </c>
      <c r="H434">
        <v>1898</v>
      </c>
      <c r="I434" t="s">
        <v>3438</v>
      </c>
      <c r="J434" t="s">
        <v>7392</v>
      </c>
      <c r="K434" t="s">
        <v>7393</v>
      </c>
      <c r="L434" t="s">
        <v>7394</v>
      </c>
      <c r="M434" t="s">
        <v>7394</v>
      </c>
      <c r="N434" t="s">
        <v>7395</v>
      </c>
      <c r="O434" t="s">
        <v>7396</v>
      </c>
      <c r="P434" t="s">
        <v>7397</v>
      </c>
      <c r="R434" t="s">
        <v>7398</v>
      </c>
      <c r="S434" t="s">
        <v>3447</v>
      </c>
    </row>
    <row r="435" spans="1:19" x14ac:dyDescent="0.2">
      <c r="A435" t="str">
        <f t="shared" si="6"/>
        <v>metab_compid_62479</v>
      </c>
      <c r="B435">
        <v>100020793</v>
      </c>
      <c r="C435">
        <v>209</v>
      </c>
      <c r="D435">
        <v>62479</v>
      </c>
      <c r="E435">
        <v>219745</v>
      </c>
      <c r="F435" t="s">
        <v>3863</v>
      </c>
      <c r="G435" t="s">
        <v>4933</v>
      </c>
      <c r="H435">
        <v>5900</v>
      </c>
      <c r="I435" t="s">
        <v>3438</v>
      </c>
      <c r="J435" t="s">
        <v>9843</v>
      </c>
      <c r="K435" t="s">
        <v>9844</v>
      </c>
      <c r="L435" t="s">
        <v>9845</v>
      </c>
      <c r="M435" t="s">
        <v>9845</v>
      </c>
      <c r="O435" t="s">
        <v>9846</v>
      </c>
      <c r="P435" t="s">
        <v>9847</v>
      </c>
      <c r="Q435" t="s">
        <v>9848</v>
      </c>
      <c r="R435" t="s">
        <v>9849</v>
      </c>
      <c r="S435" t="s">
        <v>3469</v>
      </c>
    </row>
    <row r="436" spans="1:19" x14ac:dyDescent="0.2">
      <c r="A436" t="str">
        <f t="shared" si="6"/>
        <v>metab_compid_40459</v>
      </c>
      <c r="B436">
        <v>100003444</v>
      </c>
      <c r="C436">
        <v>402</v>
      </c>
      <c r="D436">
        <v>40459</v>
      </c>
      <c r="E436">
        <v>159280</v>
      </c>
      <c r="F436" t="s">
        <v>3863</v>
      </c>
      <c r="G436" t="s">
        <v>4933</v>
      </c>
      <c r="H436">
        <v>5907</v>
      </c>
      <c r="I436" t="s">
        <v>3438</v>
      </c>
      <c r="J436" t="s">
        <v>7907</v>
      </c>
      <c r="K436" t="s">
        <v>7908</v>
      </c>
      <c r="L436" t="s">
        <v>7909</v>
      </c>
      <c r="M436" t="s">
        <v>7909</v>
      </c>
      <c r="N436" t="s">
        <v>7910</v>
      </c>
      <c r="O436" t="s">
        <v>7911</v>
      </c>
      <c r="P436" t="s">
        <v>7912</v>
      </c>
      <c r="Q436" t="s">
        <v>7913</v>
      </c>
      <c r="R436" t="s">
        <v>7914</v>
      </c>
      <c r="S436" t="s">
        <v>3447</v>
      </c>
    </row>
    <row r="437" spans="1:19" x14ac:dyDescent="0.2">
      <c r="A437" t="str">
        <f t="shared" si="6"/>
        <v>metab_compid_47076</v>
      </c>
      <c r="B437">
        <v>100006438</v>
      </c>
      <c r="C437">
        <v>305</v>
      </c>
      <c r="D437">
        <v>47076</v>
      </c>
      <c r="E437">
        <v>148336</v>
      </c>
      <c r="F437" t="s">
        <v>3479</v>
      </c>
      <c r="G437" t="s">
        <v>3480</v>
      </c>
      <c r="H437">
        <v>1480</v>
      </c>
      <c r="I437" t="s">
        <v>3438</v>
      </c>
      <c r="J437" t="s">
        <v>8711</v>
      </c>
      <c r="K437" t="s">
        <v>8712</v>
      </c>
      <c r="L437" t="s">
        <v>8713</v>
      </c>
      <c r="M437" t="s">
        <v>8713</v>
      </c>
      <c r="P437" t="s">
        <v>8714</v>
      </c>
      <c r="Q437" t="s">
        <v>8715</v>
      </c>
      <c r="R437" t="s">
        <v>8716</v>
      </c>
      <c r="S437" t="s">
        <v>3489</v>
      </c>
    </row>
    <row r="438" spans="1:19" x14ac:dyDescent="0.2">
      <c r="A438" t="str">
        <f t="shared" si="6"/>
        <v>metab_compid_1564</v>
      </c>
      <c r="B438">
        <v>1124</v>
      </c>
      <c r="C438">
        <v>209</v>
      </c>
      <c r="D438">
        <v>1564</v>
      </c>
      <c r="E438">
        <v>124575</v>
      </c>
      <c r="F438" t="s">
        <v>3479</v>
      </c>
      <c r="G438" t="s">
        <v>3480</v>
      </c>
      <c r="H438">
        <v>1457</v>
      </c>
      <c r="I438" t="s">
        <v>3438</v>
      </c>
      <c r="J438" t="s">
        <v>4727</v>
      </c>
      <c r="K438" t="s">
        <v>4728</v>
      </c>
      <c r="L438" t="s">
        <v>337</v>
      </c>
      <c r="M438" t="s">
        <v>337</v>
      </c>
      <c r="N438" t="s">
        <v>4729</v>
      </c>
      <c r="O438" t="s">
        <v>4730</v>
      </c>
      <c r="P438" t="s">
        <v>4731</v>
      </c>
      <c r="Q438" t="s">
        <v>4732</v>
      </c>
      <c r="R438" t="s">
        <v>4733</v>
      </c>
      <c r="S438" t="s">
        <v>3469</v>
      </c>
    </row>
    <row r="439" spans="1:19" x14ac:dyDescent="0.2">
      <c r="A439" t="str">
        <f t="shared" si="6"/>
        <v>metab_compid_2132</v>
      </c>
      <c r="B439">
        <v>391</v>
      </c>
      <c r="C439">
        <v>400</v>
      </c>
      <c r="D439">
        <v>2132</v>
      </c>
      <c r="E439">
        <v>155460</v>
      </c>
      <c r="F439" t="s">
        <v>3436</v>
      </c>
      <c r="G439" t="s">
        <v>3661</v>
      </c>
      <c r="H439">
        <v>499</v>
      </c>
      <c r="I439" t="s">
        <v>3438</v>
      </c>
      <c r="J439" t="s">
        <v>3969</v>
      </c>
      <c r="K439" t="s">
        <v>3970</v>
      </c>
      <c r="L439" t="s">
        <v>3971</v>
      </c>
      <c r="M439" t="s">
        <v>3971</v>
      </c>
      <c r="N439" t="s">
        <v>3972</v>
      </c>
      <c r="O439" t="s">
        <v>3973</v>
      </c>
      <c r="P439" t="s">
        <v>3974</v>
      </c>
      <c r="Q439" t="s">
        <v>3975</v>
      </c>
      <c r="R439" t="s">
        <v>3976</v>
      </c>
      <c r="S439" t="s">
        <v>3458</v>
      </c>
    </row>
    <row r="440" spans="1:19" x14ac:dyDescent="0.2">
      <c r="A440" t="str">
        <f t="shared" si="6"/>
        <v>metab_compid_64117</v>
      </c>
      <c r="B440">
        <v>100020873</v>
      </c>
      <c r="C440">
        <v>402</v>
      </c>
      <c r="D440">
        <v>64117</v>
      </c>
      <c r="E440">
        <v>234999</v>
      </c>
      <c r="F440" t="s">
        <v>3863</v>
      </c>
      <c r="G440" t="s">
        <v>7477</v>
      </c>
      <c r="H440">
        <v>5505</v>
      </c>
      <c r="I440" t="s">
        <v>3438</v>
      </c>
      <c r="J440" t="s">
        <v>9940</v>
      </c>
      <c r="K440" t="s">
        <v>9941</v>
      </c>
      <c r="L440" t="s">
        <v>9942</v>
      </c>
      <c r="M440" t="s">
        <v>9942</v>
      </c>
      <c r="N440" t="s">
        <v>9943</v>
      </c>
      <c r="O440" t="s">
        <v>9944</v>
      </c>
      <c r="P440" t="s">
        <v>9945</v>
      </c>
      <c r="Q440" t="s">
        <v>9946</v>
      </c>
      <c r="R440" t="s">
        <v>9947</v>
      </c>
      <c r="S440" t="s">
        <v>3447</v>
      </c>
    </row>
    <row r="441" spans="1:19" x14ac:dyDescent="0.2">
      <c r="A441" t="str">
        <f t="shared" si="6"/>
        <v>metab_compid_63275</v>
      </c>
      <c r="B441">
        <v>100020937</v>
      </c>
      <c r="C441">
        <v>402</v>
      </c>
      <c r="D441">
        <v>63275</v>
      </c>
      <c r="E441">
        <v>222243</v>
      </c>
      <c r="F441" t="s">
        <v>3863</v>
      </c>
      <c r="G441" t="s">
        <v>10004</v>
      </c>
      <c r="H441">
        <v>5611</v>
      </c>
      <c r="I441" t="s">
        <v>3438</v>
      </c>
      <c r="J441" t="s">
        <v>10037</v>
      </c>
      <c r="K441" t="s">
        <v>10038</v>
      </c>
      <c r="L441" t="s">
        <v>10039</v>
      </c>
      <c r="M441" t="s">
        <v>10039</v>
      </c>
      <c r="N441" t="s">
        <v>10040</v>
      </c>
      <c r="O441" t="s">
        <v>10041</v>
      </c>
      <c r="Q441" t="s">
        <v>10042</v>
      </c>
      <c r="R441" t="s">
        <v>10043</v>
      </c>
      <c r="S441" t="s">
        <v>3447</v>
      </c>
    </row>
    <row r="442" spans="1:19" x14ac:dyDescent="0.2">
      <c r="A442" t="str">
        <f t="shared" si="6"/>
        <v>metab_compid_5983</v>
      </c>
      <c r="B442">
        <v>272</v>
      </c>
      <c r="C442">
        <v>209</v>
      </c>
      <c r="D442">
        <v>5983</v>
      </c>
      <c r="E442">
        <v>126005</v>
      </c>
      <c r="F442" t="s">
        <v>3459</v>
      </c>
      <c r="G442" t="s">
        <v>3768</v>
      </c>
      <c r="H442">
        <v>3317</v>
      </c>
      <c r="I442" t="s">
        <v>3438</v>
      </c>
      <c r="J442" t="s">
        <v>3769</v>
      </c>
      <c r="K442" t="s">
        <v>3770</v>
      </c>
      <c r="L442" t="s">
        <v>3771</v>
      </c>
      <c r="M442" t="s">
        <v>3771</v>
      </c>
      <c r="N442" t="s">
        <v>3772</v>
      </c>
      <c r="O442" t="s">
        <v>3773</v>
      </c>
      <c r="P442" t="s">
        <v>3774</v>
      </c>
      <c r="Q442" t="s">
        <v>3775</v>
      </c>
      <c r="R442" t="s">
        <v>3776</v>
      </c>
      <c r="S442" t="s">
        <v>3469</v>
      </c>
    </row>
    <row r="443" spans="1:19" x14ac:dyDescent="0.2">
      <c r="A443" t="str">
        <f t="shared" si="6"/>
        <v>metab_compid_1712</v>
      </c>
      <c r="B443">
        <v>356</v>
      </c>
      <c r="C443">
        <v>209</v>
      </c>
      <c r="D443">
        <v>1712</v>
      </c>
      <c r="E443">
        <v>124815</v>
      </c>
      <c r="F443" t="s">
        <v>3459</v>
      </c>
      <c r="G443" t="s">
        <v>3768</v>
      </c>
      <c r="H443">
        <v>3325</v>
      </c>
      <c r="I443" t="s">
        <v>3438</v>
      </c>
      <c r="J443" t="s">
        <v>3914</v>
      </c>
      <c r="K443" t="s">
        <v>3915</v>
      </c>
      <c r="L443" t="s">
        <v>3916</v>
      </c>
      <c r="M443" t="s">
        <v>3916</v>
      </c>
      <c r="N443" t="s">
        <v>3917</v>
      </c>
      <c r="P443" t="s">
        <v>3918</v>
      </c>
      <c r="Q443" t="s">
        <v>3919</v>
      </c>
      <c r="R443" t="s">
        <v>3920</v>
      </c>
      <c r="S443" t="s">
        <v>3469</v>
      </c>
    </row>
    <row r="444" spans="1:19" x14ac:dyDescent="0.2">
      <c r="A444" t="str">
        <f t="shared" si="6"/>
        <v>metab_compid_1769</v>
      </c>
      <c r="B444">
        <v>273</v>
      </c>
      <c r="C444">
        <v>209</v>
      </c>
      <c r="D444">
        <v>1769</v>
      </c>
      <c r="E444">
        <v>124819</v>
      </c>
      <c r="F444" t="s">
        <v>3459</v>
      </c>
      <c r="G444" t="s">
        <v>3768</v>
      </c>
      <c r="H444">
        <v>3335</v>
      </c>
      <c r="I444" t="s">
        <v>3438</v>
      </c>
      <c r="J444" t="s">
        <v>3777</v>
      </c>
      <c r="K444" t="s">
        <v>3778</v>
      </c>
      <c r="L444" t="s">
        <v>3779</v>
      </c>
      <c r="M444" t="s">
        <v>3779</v>
      </c>
      <c r="N444" t="s">
        <v>3780</v>
      </c>
      <c r="O444" t="s">
        <v>3781</v>
      </c>
      <c r="P444" t="s">
        <v>3782</v>
      </c>
      <c r="Q444" t="s">
        <v>3783</v>
      </c>
      <c r="R444" t="s">
        <v>3784</v>
      </c>
      <c r="S444" t="s">
        <v>3469</v>
      </c>
    </row>
    <row r="445" spans="1:19" x14ac:dyDescent="0.2">
      <c r="A445" t="str">
        <f t="shared" si="6"/>
        <v>metab_compid_57699</v>
      </c>
      <c r="B445">
        <v>100015971</v>
      </c>
      <c r="C445">
        <v>209</v>
      </c>
      <c r="D445">
        <v>57699</v>
      </c>
      <c r="E445">
        <v>212775</v>
      </c>
      <c r="F445" t="s">
        <v>3459</v>
      </c>
      <c r="G445" t="s">
        <v>3768</v>
      </c>
      <c r="H445">
        <v>3346</v>
      </c>
      <c r="I445" t="s">
        <v>3438</v>
      </c>
      <c r="J445" t="s">
        <v>9538</v>
      </c>
      <c r="K445" t="s">
        <v>9539</v>
      </c>
      <c r="L445" t="s">
        <v>9540</v>
      </c>
      <c r="M445" t="s">
        <v>9540</v>
      </c>
      <c r="S445" t="s">
        <v>3469</v>
      </c>
    </row>
    <row r="446" spans="1:19" x14ac:dyDescent="0.2">
      <c r="A446" t="str">
        <f t="shared" si="6"/>
        <v>metab_compid_553</v>
      </c>
      <c r="B446">
        <v>848</v>
      </c>
      <c r="C446">
        <v>400</v>
      </c>
      <c r="D446">
        <v>553</v>
      </c>
      <c r="E446">
        <v>155318</v>
      </c>
      <c r="F446" t="s">
        <v>3863</v>
      </c>
      <c r="G446" t="s">
        <v>4365</v>
      </c>
      <c r="H446">
        <v>4632</v>
      </c>
      <c r="I446" t="s">
        <v>3438</v>
      </c>
      <c r="J446" t="s">
        <v>4366</v>
      </c>
      <c r="K446" t="s">
        <v>4367</v>
      </c>
      <c r="L446" t="s">
        <v>4368</v>
      </c>
      <c r="M446" t="s">
        <v>4368</v>
      </c>
      <c r="N446" t="s">
        <v>4369</v>
      </c>
      <c r="O446" t="s">
        <v>4370</v>
      </c>
      <c r="P446" t="s">
        <v>4371</v>
      </c>
      <c r="R446" t="s">
        <v>4372</v>
      </c>
      <c r="S446" t="s">
        <v>3458</v>
      </c>
    </row>
    <row r="447" spans="1:19" x14ac:dyDescent="0.2">
      <c r="A447" t="str">
        <f t="shared" si="6"/>
        <v>metab_compid_27718</v>
      </c>
      <c r="B447">
        <v>1221</v>
      </c>
      <c r="C447">
        <v>400</v>
      </c>
      <c r="D447">
        <v>27718</v>
      </c>
      <c r="E447">
        <v>155838</v>
      </c>
      <c r="F447" t="s">
        <v>3436</v>
      </c>
      <c r="G447" t="s">
        <v>3785</v>
      </c>
      <c r="H447">
        <v>536</v>
      </c>
      <c r="I447" t="s">
        <v>3438</v>
      </c>
      <c r="J447" t="s">
        <v>4830</v>
      </c>
      <c r="K447" t="s">
        <v>4831</v>
      </c>
      <c r="L447" t="s">
        <v>4832</v>
      </c>
      <c r="M447" t="s">
        <v>4832</v>
      </c>
      <c r="N447" t="s">
        <v>4833</v>
      </c>
      <c r="O447" t="s">
        <v>4834</v>
      </c>
      <c r="P447" t="s">
        <v>4835</v>
      </c>
      <c r="Q447" t="s">
        <v>4836</v>
      </c>
      <c r="R447" t="s">
        <v>4837</v>
      </c>
      <c r="S447" t="s">
        <v>3458</v>
      </c>
    </row>
    <row r="448" spans="1:19" x14ac:dyDescent="0.2">
      <c r="A448" t="str">
        <f t="shared" si="6"/>
        <v>metab_compid_513</v>
      </c>
      <c r="B448">
        <v>275</v>
      </c>
      <c r="C448">
        <v>400</v>
      </c>
      <c r="D448">
        <v>513</v>
      </c>
      <c r="E448">
        <v>155307</v>
      </c>
      <c r="F448" t="s">
        <v>3436</v>
      </c>
      <c r="G448" t="s">
        <v>3785</v>
      </c>
      <c r="H448">
        <v>537</v>
      </c>
      <c r="I448" t="s">
        <v>3438</v>
      </c>
      <c r="J448" t="s">
        <v>3786</v>
      </c>
      <c r="K448" t="s">
        <v>3787</v>
      </c>
      <c r="L448" t="s">
        <v>417</v>
      </c>
      <c r="M448" t="s">
        <v>417</v>
      </c>
      <c r="N448" t="s">
        <v>3788</v>
      </c>
      <c r="O448" t="s">
        <v>3789</v>
      </c>
      <c r="P448" t="s">
        <v>3790</v>
      </c>
      <c r="Q448" t="s">
        <v>3791</v>
      </c>
      <c r="R448" t="s">
        <v>3792</v>
      </c>
      <c r="S448" t="s">
        <v>3458</v>
      </c>
    </row>
    <row r="449" spans="1:19" x14ac:dyDescent="0.2">
      <c r="A449" t="str">
        <f t="shared" si="6"/>
        <v>metab_compid_37104</v>
      </c>
      <c r="B449">
        <v>100001925</v>
      </c>
      <c r="C449">
        <v>400</v>
      </c>
      <c r="D449">
        <v>37104</v>
      </c>
      <c r="E449">
        <v>156323</v>
      </c>
      <c r="F449" t="s">
        <v>3853</v>
      </c>
      <c r="G449" t="s">
        <v>5381</v>
      </c>
      <c r="H449">
        <v>778</v>
      </c>
      <c r="I449" t="s">
        <v>3438</v>
      </c>
      <c r="J449" t="s">
        <v>7085</v>
      </c>
      <c r="K449" t="s">
        <v>7086</v>
      </c>
      <c r="L449" t="s">
        <v>7087</v>
      </c>
      <c r="M449" t="s">
        <v>7087</v>
      </c>
      <c r="N449" t="s">
        <v>7088</v>
      </c>
      <c r="O449" t="s">
        <v>7089</v>
      </c>
      <c r="P449" t="s">
        <v>7090</v>
      </c>
      <c r="R449" t="s">
        <v>7091</v>
      </c>
      <c r="S449" t="s">
        <v>3458</v>
      </c>
    </row>
    <row r="450" spans="1:19" x14ac:dyDescent="0.2">
      <c r="A450" t="str">
        <f t="shared" ref="A450:A513" si="7">_xlfn.CONCAT("metab_compid_", $D450)</f>
        <v>metab_compid_18368</v>
      </c>
      <c r="B450">
        <v>1224</v>
      </c>
      <c r="C450">
        <v>400</v>
      </c>
      <c r="D450">
        <v>18368</v>
      </c>
      <c r="E450">
        <v>155661</v>
      </c>
      <c r="F450" t="s">
        <v>3436</v>
      </c>
      <c r="G450" t="s">
        <v>3793</v>
      </c>
      <c r="H450">
        <v>586</v>
      </c>
      <c r="I450" t="s">
        <v>3438</v>
      </c>
      <c r="J450" t="s">
        <v>4838</v>
      </c>
      <c r="K450" t="s">
        <v>4839</v>
      </c>
      <c r="L450" t="s">
        <v>4840</v>
      </c>
      <c r="M450" t="s">
        <v>4840</v>
      </c>
      <c r="N450" t="s">
        <v>4841</v>
      </c>
      <c r="O450" t="s">
        <v>4842</v>
      </c>
      <c r="R450" t="s">
        <v>4843</v>
      </c>
      <c r="S450" t="s">
        <v>3458</v>
      </c>
    </row>
    <row r="451" spans="1:19" x14ac:dyDescent="0.2">
      <c r="A451" t="str">
        <f t="shared" si="7"/>
        <v>metab_compid_15705</v>
      </c>
      <c r="B451">
        <v>310</v>
      </c>
      <c r="C451">
        <v>400</v>
      </c>
      <c r="D451">
        <v>15705</v>
      </c>
      <c r="E451">
        <v>155581</v>
      </c>
      <c r="F451" t="s">
        <v>3436</v>
      </c>
      <c r="G451" t="s">
        <v>3603</v>
      </c>
      <c r="H451">
        <v>459</v>
      </c>
      <c r="I451" t="s">
        <v>3438</v>
      </c>
      <c r="J451" t="s">
        <v>3828</v>
      </c>
      <c r="K451" t="s">
        <v>3829</v>
      </c>
      <c r="L451" t="s">
        <v>3830</v>
      </c>
      <c r="M451" t="s">
        <v>3830</v>
      </c>
      <c r="N451" t="s">
        <v>3831</v>
      </c>
      <c r="O451" t="s">
        <v>3832</v>
      </c>
      <c r="P451" t="s">
        <v>3833</v>
      </c>
      <c r="Q451" t="s">
        <v>3834</v>
      </c>
      <c r="R451" t="s">
        <v>3835</v>
      </c>
      <c r="S451" t="s">
        <v>3458</v>
      </c>
    </row>
    <row r="452" spans="1:19" x14ac:dyDescent="0.2">
      <c r="A452" t="str">
        <f t="shared" si="7"/>
        <v>metab_compid_1868</v>
      </c>
      <c r="B452">
        <v>800</v>
      </c>
      <c r="C452">
        <v>400</v>
      </c>
      <c r="D452">
        <v>1868</v>
      </c>
      <c r="E452">
        <v>155454</v>
      </c>
      <c r="F452" t="s">
        <v>3436</v>
      </c>
      <c r="G452" t="s">
        <v>3603</v>
      </c>
      <c r="H452">
        <v>461</v>
      </c>
      <c r="I452" t="s">
        <v>3438</v>
      </c>
      <c r="J452" t="s">
        <v>4285</v>
      </c>
      <c r="K452" t="s">
        <v>4286</v>
      </c>
      <c r="L452" t="s">
        <v>4287</v>
      </c>
      <c r="M452" t="s">
        <v>4287</v>
      </c>
      <c r="N452" t="s">
        <v>4288</v>
      </c>
      <c r="O452" t="s">
        <v>4289</v>
      </c>
      <c r="P452" t="s">
        <v>4290</v>
      </c>
      <c r="Q452" t="s">
        <v>4291</v>
      </c>
      <c r="R452" t="s">
        <v>4292</v>
      </c>
      <c r="S452" t="s">
        <v>3458</v>
      </c>
    </row>
    <row r="453" spans="1:19" x14ac:dyDescent="0.2">
      <c r="A453" t="str">
        <f t="shared" si="7"/>
        <v>metab_compid_22176</v>
      </c>
      <c r="B453">
        <v>100000808</v>
      </c>
      <c r="C453">
        <v>400</v>
      </c>
      <c r="D453">
        <v>22176</v>
      </c>
      <c r="E453">
        <v>155804</v>
      </c>
      <c r="F453" t="s">
        <v>3436</v>
      </c>
      <c r="G453" t="s">
        <v>3603</v>
      </c>
      <c r="H453">
        <v>467</v>
      </c>
      <c r="I453" t="s">
        <v>3438</v>
      </c>
      <c r="J453" t="s">
        <v>5577</v>
      </c>
      <c r="K453" t="s">
        <v>5578</v>
      </c>
      <c r="L453" t="s">
        <v>5579</v>
      </c>
      <c r="M453" t="s">
        <v>5579</v>
      </c>
      <c r="N453" t="s">
        <v>5580</v>
      </c>
      <c r="O453" t="s">
        <v>5581</v>
      </c>
      <c r="P453" t="s">
        <v>5582</v>
      </c>
      <c r="Q453" t="s">
        <v>5583</v>
      </c>
      <c r="R453" t="s">
        <v>5584</v>
      </c>
      <c r="S453" t="s">
        <v>3458</v>
      </c>
    </row>
    <row r="454" spans="1:19" x14ac:dyDescent="0.2">
      <c r="A454" t="str">
        <f t="shared" si="7"/>
        <v>metab_compid_37443</v>
      </c>
      <c r="B454">
        <v>100002113</v>
      </c>
      <c r="C454">
        <v>400</v>
      </c>
      <c r="D454">
        <v>37443</v>
      </c>
      <c r="E454">
        <v>156369</v>
      </c>
      <c r="F454" t="s">
        <v>3436</v>
      </c>
      <c r="G454" t="s">
        <v>3603</v>
      </c>
      <c r="H454">
        <v>474</v>
      </c>
      <c r="I454" t="s">
        <v>3438</v>
      </c>
      <c r="J454" t="s">
        <v>7276</v>
      </c>
      <c r="K454" t="s">
        <v>7277</v>
      </c>
      <c r="L454" t="s">
        <v>7278</v>
      </c>
      <c r="M454" t="s">
        <v>7278</v>
      </c>
      <c r="N454" t="s">
        <v>7279</v>
      </c>
      <c r="O454" t="s">
        <v>5158</v>
      </c>
      <c r="P454" t="s">
        <v>7280</v>
      </c>
      <c r="Q454" t="s">
        <v>7281</v>
      </c>
      <c r="R454" t="s">
        <v>4604</v>
      </c>
      <c r="S454" t="s">
        <v>3458</v>
      </c>
    </row>
    <row r="455" spans="1:19" x14ac:dyDescent="0.2">
      <c r="A455" t="str">
        <f t="shared" si="7"/>
        <v>metab_compid_35159</v>
      </c>
      <c r="B455">
        <v>100001437</v>
      </c>
      <c r="C455">
        <v>400</v>
      </c>
      <c r="D455">
        <v>35159</v>
      </c>
      <c r="E455">
        <v>161190</v>
      </c>
      <c r="F455" t="s">
        <v>3436</v>
      </c>
      <c r="G455" t="s">
        <v>3793</v>
      </c>
      <c r="H455">
        <v>581</v>
      </c>
      <c r="I455" t="s">
        <v>3438</v>
      </c>
      <c r="J455" t="s">
        <v>6466</v>
      </c>
      <c r="K455" t="s">
        <v>6467</v>
      </c>
      <c r="L455" t="s">
        <v>6468</v>
      </c>
      <c r="M455" t="s">
        <v>6468</v>
      </c>
      <c r="N455" t="s">
        <v>6469</v>
      </c>
      <c r="O455" t="s">
        <v>6470</v>
      </c>
      <c r="P455" t="s">
        <v>6471</v>
      </c>
      <c r="Q455" t="s">
        <v>6472</v>
      </c>
      <c r="R455" t="s">
        <v>6473</v>
      </c>
      <c r="S455" t="s">
        <v>3458</v>
      </c>
    </row>
    <row r="456" spans="1:19" x14ac:dyDescent="0.2">
      <c r="A456" t="str">
        <f t="shared" si="7"/>
        <v>metab_compid_35637</v>
      </c>
      <c r="B456">
        <v>278</v>
      </c>
      <c r="C456">
        <v>400</v>
      </c>
      <c r="D456">
        <v>35637</v>
      </c>
      <c r="E456">
        <v>156206</v>
      </c>
      <c r="F456" t="s">
        <v>3436</v>
      </c>
      <c r="G456" t="s">
        <v>3793</v>
      </c>
      <c r="H456">
        <v>584</v>
      </c>
      <c r="I456" t="s">
        <v>3438</v>
      </c>
      <c r="J456" t="s">
        <v>3794</v>
      </c>
      <c r="K456" t="s">
        <v>3795</v>
      </c>
      <c r="L456" t="s">
        <v>3796</v>
      </c>
      <c r="M456" t="s">
        <v>3796</v>
      </c>
      <c r="N456" t="s">
        <v>3797</v>
      </c>
      <c r="O456" t="s">
        <v>3798</v>
      </c>
      <c r="P456" t="s">
        <v>3799</v>
      </c>
      <c r="Q456" t="s">
        <v>3800</v>
      </c>
      <c r="R456" t="s">
        <v>3801</v>
      </c>
      <c r="S456" t="s">
        <v>3458</v>
      </c>
    </row>
    <row r="457" spans="1:19" x14ac:dyDescent="0.2">
      <c r="A457" t="str">
        <f t="shared" si="7"/>
        <v>metab_compid_62103</v>
      </c>
      <c r="B457">
        <v>100002466</v>
      </c>
      <c r="C457">
        <v>400</v>
      </c>
      <c r="D457">
        <v>62103</v>
      </c>
      <c r="E457">
        <v>218949</v>
      </c>
      <c r="F457" t="s">
        <v>3436</v>
      </c>
      <c r="G457" t="s">
        <v>3793</v>
      </c>
      <c r="H457">
        <v>585</v>
      </c>
      <c r="I457" t="s">
        <v>3438</v>
      </c>
      <c r="J457" t="s">
        <v>7512</v>
      </c>
      <c r="K457" t="s">
        <v>7513</v>
      </c>
      <c r="L457" t="s">
        <v>7514</v>
      </c>
      <c r="M457" t="s">
        <v>7514</v>
      </c>
      <c r="N457" t="s">
        <v>7515</v>
      </c>
      <c r="O457" t="s">
        <v>7516</v>
      </c>
      <c r="P457" t="s">
        <v>7517</v>
      </c>
      <c r="R457" t="s">
        <v>7518</v>
      </c>
      <c r="S457" t="s">
        <v>3458</v>
      </c>
    </row>
    <row r="458" spans="1:19" x14ac:dyDescent="0.2">
      <c r="A458" t="str">
        <f t="shared" si="7"/>
        <v>metab_compid_56</v>
      </c>
      <c r="B458">
        <v>279</v>
      </c>
      <c r="C458">
        <v>400</v>
      </c>
      <c r="D458">
        <v>56</v>
      </c>
      <c r="E458">
        <v>155296</v>
      </c>
      <c r="F458" t="s">
        <v>3436</v>
      </c>
      <c r="G458" t="s">
        <v>3603</v>
      </c>
      <c r="H458">
        <v>468</v>
      </c>
      <c r="I458" t="s">
        <v>3438</v>
      </c>
      <c r="J458" t="s">
        <v>3802</v>
      </c>
      <c r="K458" t="s">
        <v>3803</v>
      </c>
      <c r="L458" t="s">
        <v>3804</v>
      </c>
      <c r="M458" t="s">
        <v>3804</v>
      </c>
      <c r="N458" t="s">
        <v>3805</v>
      </c>
      <c r="O458" t="s">
        <v>3806</v>
      </c>
      <c r="P458" t="s">
        <v>3807</v>
      </c>
      <c r="Q458" t="s">
        <v>3808</v>
      </c>
      <c r="R458" t="s">
        <v>3809</v>
      </c>
      <c r="S458" t="s">
        <v>3458</v>
      </c>
    </row>
    <row r="459" spans="1:19" x14ac:dyDescent="0.2">
      <c r="A459" t="str">
        <f t="shared" si="7"/>
        <v>metab_compid_514</v>
      </c>
      <c r="B459">
        <v>827</v>
      </c>
      <c r="C459">
        <v>209</v>
      </c>
      <c r="D459">
        <v>514</v>
      </c>
      <c r="E459">
        <v>123161</v>
      </c>
      <c r="F459" t="s">
        <v>3533</v>
      </c>
      <c r="G459" t="s">
        <v>4356</v>
      </c>
      <c r="H459">
        <v>4271</v>
      </c>
      <c r="I459" t="s">
        <v>3438</v>
      </c>
      <c r="J459" t="s">
        <v>4357</v>
      </c>
      <c r="K459" t="s">
        <v>4358</v>
      </c>
      <c r="L459" t="s">
        <v>4359</v>
      </c>
      <c r="M459" t="s">
        <v>4359</v>
      </c>
      <c r="N459" t="s">
        <v>4360</v>
      </c>
      <c r="O459" t="s">
        <v>4361</v>
      </c>
      <c r="P459" t="s">
        <v>4362</v>
      </c>
      <c r="Q459" t="s">
        <v>4363</v>
      </c>
      <c r="R459" t="s">
        <v>4364</v>
      </c>
      <c r="S459" t="s">
        <v>3469</v>
      </c>
    </row>
    <row r="460" spans="1:19" x14ac:dyDescent="0.2">
      <c r="A460" t="str">
        <f t="shared" si="7"/>
        <v>metab_compid_573</v>
      </c>
      <c r="B460">
        <v>881</v>
      </c>
      <c r="C460">
        <v>400</v>
      </c>
      <c r="D460">
        <v>573</v>
      </c>
      <c r="E460">
        <v>155326</v>
      </c>
      <c r="F460" t="s">
        <v>3533</v>
      </c>
      <c r="G460" t="s">
        <v>4356</v>
      </c>
      <c r="H460">
        <v>4272</v>
      </c>
      <c r="I460" t="s">
        <v>3438</v>
      </c>
      <c r="J460" t="s">
        <v>4398</v>
      </c>
      <c r="K460" t="s">
        <v>4399</v>
      </c>
      <c r="L460" t="s">
        <v>4400</v>
      </c>
      <c r="M460" t="s">
        <v>4400</v>
      </c>
      <c r="N460" t="s">
        <v>4401</v>
      </c>
      <c r="O460" t="s">
        <v>4402</v>
      </c>
      <c r="P460" t="s">
        <v>4403</v>
      </c>
      <c r="Q460" t="s">
        <v>4404</v>
      </c>
      <c r="R460" t="s">
        <v>4405</v>
      </c>
      <c r="S460" t="s">
        <v>3458</v>
      </c>
    </row>
    <row r="461" spans="1:19" x14ac:dyDescent="0.2">
      <c r="A461" t="str">
        <f t="shared" si="7"/>
        <v>metab_compid_64199</v>
      </c>
      <c r="B461">
        <v>100021782</v>
      </c>
      <c r="C461">
        <v>402</v>
      </c>
      <c r="D461">
        <v>64199</v>
      </c>
      <c r="E461">
        <v>237116</v>
      </c>
      <c r="F461" t="s">
        <v>3863</v>
      </c>
      <c r="G461" t="s">
        <v>9034</v>
      </c>
      <c r="H461">
        <v>5965</v>
      </c>
      <c r="I461" t="s">
        <v>3438</v>
      </c>
      <c r="J461" t="s">
        <v>10198</v>
      </c>
      <c r="K461" t="s">
        <v>10199</v>
      </c>
      <c r="L461" t="s">
        <v>10200</v>
      </c>
      <c r="M461" t="s">
        <v>10200</v>
      </c>
      <c r="N461" t="s">
        <v>10201</v>
      </c>
      <c r="S461" t="s">
        <v>3447</v>
      </c>
    </row>
    <row r="462" spans="1:19" x14ac:dyDescent="0.2">
      <c r="A462" t="str">
        <f t="shared" si="7"/>
        <v>metab_compid_63685</v>
      </c>
      <c r="B462">
        <v>100021711</v>
      </c>
      <c r="C462">
        <v>305</v>
      </c>
      <c r="D462">
        <v>63685</v>
      </c>
      <c r="E462">
        <v>223111</v>
      </c>
      <c r="F462" t="s">
        <v>3459</v>
      </c>
      <c r="G462" t="s">
        <v>3873</v>
      </c>
      <c r="H462">
        <v>1700</v>
      </c>
      <c r="I462" t="s">
        <v>3438</v>
      </c>
      <c r="J462" t="s">
        <v>10178</v>
      </c>
      <c r="K462" t="s">
        <v>10179</v>
      </c>
      <c r="L462" t="s">
        <v>10180</v>
      </c>
      <c r="M462" t="s">
        <v>10180</v>
      </c>
      <c r="R462" t="s">
        <v>10181</v>
      </c>
      <c r="S462" t="s">
        <v>3489</v>
      </c>
    </row>
    <row r="463" spans="1:19" x14ac:dyDescent="0.2">
      <c r="A463" t="str">
        <f t="shared" si="7"/>
        <v>metab_compid_33941</v>
      </c>
      <c r="B463">
        <v>100001251</v>
      </c>
      <c r="C463">
        <v>402</v>
      </c>
      <c r="D463">
        <v>33941</v>
      </c>
      <c r="E463">
        <v>158585</v>
      </c>
      <c r="F463" t="s">
        <v>3459</v>
      </c>
      <c r="G463" t="s">
        <v>5535</v>
      </c>
      <c r="H463">
        <v>1878</v>
      </c>
      <c r="I463" t="s">
        <v>3438</v>
      </c>
      <c r="J463" t="s">
        <v>6020</v>
      </c>
      <c r="K463" t="s">
        <v>6021</v>
      </c>
      <c r="L463" t="s">
        <v>6022</v>
      </c>
      <c r="M463" t="s">
        <v>6022</v>
      </c>
      <c r="N463" t="s">
        <v>6023</v>
      </c>
      <c r="O463" t="s">
        <v>6024</v>
      </c>
      <c r="P463" t="s">
        <v>6025</v>
      </c>
      <c r="R463" t="s">
        <v>6026</v>
      </c>
      <c r="S463" t="s">
        <v>3447</v>
      </c>
    </row>
    <row r="464" spans="1:19" x14ac:dyDescent="0.2">
      <c r="A464" t="str">
        <f t="shared" si="7"/>
        <v>metab_compid_32425</v>
      </c>
      <c r="B464">
        <v>100000792</v>
      </c>
      <c r="C464">
        <v>209</v>
      </c>
      <c r="D464">
        <v>32425</v>
      </c>
      <c r="E464">
        <v>124935</v>
      </c>
      <c r="F464" t="s">
        <v>3459</v>
      </c>
      <c r="G464" t="s">
        <v>5559</v>
      </c>
      <c r="H464">
        <v>3357</v>
      </c>
      <c r="I464" t="s">
        <v>3438</v>
      </c>
      <c r="J464" t="s">
        <v>5560</v>
      </c>
      <c r="K464" t="s">
        <v>5561</v>
      </c>
      <c r="L464" t="s">
        <v>5562</v>
      </c>
      <c r="M464" t="s">
        <v>5562</v>
      </c>
      <c r="N464" t="s">
        <v>5563</v>
      </c>
      <c r="O464" t="s">
        <v>5564</v>
      </c>
      <c r="P464" t="s">
        <v>5565</v>
      </c>
      <c r="Q464" t="s">
        <v>5566</v>
      </c>
      <c r="R464" t="s">
        <v>5567</v>
      </c>
      <c r="S464" t="s">
        <v>3469</v>
      </c>
    </row>
    <row r="465" spans="1:19" x14ac:dyDescent="0.2">
      <c r="A465" t="str">
        <f t="shared" si="7"/>
        <v>metab_compid_36747</v>
      </c>
      <c r="B465">
        <v>100001662</v>
      </c>
      <c r="C465">
        <v>400</v>
      </c>
      <c r="D465">
        <v>36747</v>
      </c>
      <c r="E465">
        <v>156251</v>
      </c>
      <c r="F465" t="s">
        <v>3459</v>
      </c>
      <c r="G465" t="s">
        <v>5134</v>
      </c>
      <c r="H465">
        <v>1949</v>
      </c>
      <c r="I465" t="s">
        <v>3438</v>
      </c>
      <c r="J465" t="s">
        <v>6845</v>
      </c>
      <c r="K465" t="s">
        <v>6846</v>
      </c>
      <c r="L465" t="s">
        <v>6847</v>
      </c>
      <c r="M465" t="s">
        <v>6847</v>
      </c>
      <c r="N465" t="s">
        <v>6848</v>
      </c>
      <c r="O465" t="s">
        <v>6849</v>
      </c>
      <c r="P465" t="s">
        <v>6850</v>
      </c>
      <c r="Q465" t="s">
        <v>6851</v>
      </c>
      <c r="R465" t="s">
        <v>6852</v>
      </c>
      <c r="S465" t="s">
        <v>3458</v>
      </c>
    </row>
    <row r="466" spans="1:19" x14ac:dyDescent="0.2">
      <c r="A466" t="str">
        <f t="shared" si="7"/>
        <v>metab_compid_1114</v>
      </c>
      <c r="B466">
        <v>302</v>
      </c>
      <c r="C466">
        <v>209</v>
      </c>
      <c r="D466">
        <v>1114</v>
      </c>
      <c r="E466">
        <v>125714</v>
      </c>
      <c r="F466" t="s">
        <v>3459</v>
      </c>
      <c r="G466" t="s">
        <v>3819</v>
      </c>
      <c r="H466">
        <v>3499</v>
      </c>
      <c r="I466" t="s">
        <v>3438</v>
      </c>
      <c r="J466" t="s">
        <v>3820</v>
      </c>
      <c r="K466" t="s">
        <v>3821</v>
      </c>
      <c r="L466" t="s">
        <v>3822</v>
      </c>
      <c r="M466" t="s">
        <v>3822</v>
      </c>
      <c r="N466" t="s">
        <v>3823</v>
      </c>
      <c r="O466" t="s">
        <v>3824</v>
      </c>
      <c r="P466" t="s">
        <v>3825</v>
      </c>
      <c r="Q466" t="s">
        <v>3826</v>
      </c>
      <c r="R466" t="s">
        <v>3827</v>
      </c>
      <c r="S466" t="s">
        <v>3469</v>
      </c>
    </row>
    <row r="467" spans="1:19" x14ac:dyDescent="0.2">
      <c r="A467" t="str">
        <f t="shared" si="7"/>
        <v>metab_compid_63688</v>
      </c>
      <c r="B467">
        <v>100021712</v>
      </c>
      <c r="C467">
        <v>209</v>
      </c>
      <c r="D467">
        <v>63688</v>
      </c>
      <c r="E467">
        <v>223114</v>
      </c>
      <c r="F467" t="s">
        <v>3459</v>
      </c>
      <c r="G467" t="s">
        <v>3819</v>
      </c>
      <c r="H467">
        <v>3502</v>
      </c>
      <c r="I467" t="s">
        <v>3438</v>
      </c>
      <c r="J467" t="s">
        <v>10182</v>
      </c>
      <c r="K467" t="s">
        <v>10183</v>
      </c>
      <c r="L467" t="s">
        <v>10184</v>
      </c>
      <c r="M467" t="s">
        <v>10184</v>
      </c>
      <c r="S467" t="s">
        <v>3469</v>
      </c>
    </row>
    <row r="468" spans="1:19" x14ac:dyDescent="0.2">
      <c r="A468" t="str">
        <f t="shared" si="7"/>
        <v>metab_compid_63610</v>
      </c>
      <c r="B468">
        <v>100020550</v>
      </c>
      <c r="C468">
        <v>209</v>
      </c>
      <c r="D468">
        <v>63610</v>
      </c>
      <c r="E468">
        <v>222934</v>
      </c>
      <c r="F468" t="s">
        <v>3459</v>
      </c>
      <c r="G468" t="s">
        <v>3819</v>
      </c>
      <c r="H468">
        <v>3504</v>
      </c>
      <c r="I468" t="s">
        <v>3438</v>
      </c>
      <c r="J468" t="s">
        <v>9818</v>
      </c>
      <c r="K468" t="s">
        <v>9819</v>
      </c>
      <c r="L468" t="s">
        <v>9820</v>
      </c>
      <c r="M468" t="s">
        <v>9820</v>
      </c>
      <c r="S468" t="s">
        <v>3469</v>
      </c>
    </row>
    <row r="469" spans="1:19" x14ac:dyDescent="0.2">
      <c r="A469" t="str">
        <f t="shared" si="7"/>
        <v>metab_compid_62477</v>
      </c>
      <c r="B469">
        <v>100020790</v>
      </c>
      <c r="C469">
        <v>402</v>
      </c>
      <c r="D469">
        <v>62477</v>
      </c>
      <c r="E469">
        <v>219743</v>
      </c>
      <c r="F469" t="s">
        <v>3863</v>
      </c>
      <c r="G469" t="s">
        <v>4933</v>
      </c>
      <c r="H469">
        <v>5901</v>
      </c>
      <c r="I469" t="s">
        <v>3438</v>
      </c>
      <c r="J469" t="s">
        <v>9836</v>
      </c>
      <c r="K469" t="s">
        <v>9837</v>
      </c>
      <c r="L469" t="s">
        <v>9838</v>
      </c>
      <c r="M469" t="s">
        <v>9838</v>
      </c>
      <c r="O469" t="s">
        <v>9839</v>
      </c>
      <c r="P469" t="s">
        <v>9840</v>
      </c>
      <c r="Q469" t="s">
        <v>9841</v>
      </c>
      <c r="R469" t="s">
        <v>9842</v>
      </c>
      <c r="S469" t="s">
        <v>3447</v>
      </c>
    </row>
    <row r="470" spans="1:19" x14ac:dyDescent="0.2">
      <c r="A470" t="str">
        <f t="shared" si="7"/>
        <v>metab_compid_46331</v>
      </c>
      <c r="B470">
        <v>100001787</v>
      </c>
      <c r="C470">
        <v>209</v>
      </c>
      <c r="D470">
        <v>46331</v>
      </c>
      <c r="E470">
        <v>145275</v>
      </c>
      <c r="F470" t="s">
        <v>3863</v>
      </c>
      <c r="G470" t="s">
        <v>4942</v>
      </c>
      <c r="H470">
        <v>5422</v>
      </c>
      <c r="I470" t="s">
        <v>3438</v>
      </c>
      <c r="J470" t="s">
        <v>6964</v>
      </c>
      <c r="K470" t="s">
        <v>6965</v>
      </c>
      <c r="L470" t="s">
        <v>6966</v>
      </c>
      <c r="M470" t="s">
        <v>6966</v>
      </c>
      <c r="N470" t="s">
        <v>6967</v>
      </c>
      <c r="O470" t="s">
        <v>6968</v>
      </c>
      <c r="P470" t="s">
        <v>6969</v>
      </c>
      <c r="R470" t="s">
        <v>6970</v>
      </c>
      <c r="S470" t="s">
        <v>3469</v>
      </c>
    </row>
    <row r="471" spans="1:19" x14ac:dyDescent="0.2">
      <c r="A471" t="str">
        <f t="shared" si="7"/>
        <v>metab_compid_46106</v>
      </c>
      <c r="B471">
        <v>100001788</v>
      </c>
      <c r="C471">
        <v>209</v>
      </c>
      <c r="D471">
        <v>46106</v>
      </c>
      <c r="E471">
        <v>143713</v>
      </c>
      <c r="F471" t="s">
        <v>3863</v>
      </c>
      <c r="G471" t="s">
        <v>4942</v>
      </c>
      <c r="H471">
        <v>5423</v>
      </c>
      <c r="I471" t="s">
        <v>3438</v>
      </c>
      <c r="J471" t="s">
        <v>6971</v>
      </c>
      <c r="K471" t="s">
        <v>6972</v>
      </c>
      <c r="L471" t="s">
        <v>6973</v>
      </c>
      <c r="M471" t="s">
        <v>6973</v>
      </c>
      <c r="O471" t="s">
        <v>6974</v>
      </c>
      <c r="R471" t="s">
        <v>6975</v>
      </c>
      <c r="S471" t="s">
        <v>3469</v>
      </c>
    </row>
    <row r="472" spans="1:19" x14ac:dyDescent="0.2">
      <c r="A472" t="str">
        <f t="shared" si="7"/>
        <v>metab_compid_57668</v>
      </c>
      <c r="B472">
        <v>100015794</v>
      </c>
      <c r="C472">
        <v>402</v>
      </c>
      <c r="D472">
        <v>57668</v>
      </c>
      <c r="E472">
        <v>213161</v>
      </c>
      <c r="F472" t="s">
        <v>3863</v>
      </c>
      <c r="G472" t="s">
        <v>7590</v>
      </c>
      <c r="H472">
        <v>5779</v>
      </c>
      <c r="I472" t="s">
        <v>3438</v>
      </c>
      <c r="J472" t="s">
        <v>9447</v>
      </c>
      <c r="K472" t="s">
        <v>9448</v>
      </c>
      <c r="L472" t="s">
        <v>9449</v>
      </c>
      <c r="M472" t="s">
        <v>9449</v>
      </c>
      <c r="N472" t="s">
        <v>9450</v>
      </c>
      <c r="O472" t="s">
        <v>9451</v>
      </c>
      <c r="Q472" t="s">
        <v>9452</v>
      </c>
      <c r="R472" t="s">
        <v>9453</v>
      </c>
      <c r="S472" t="s">
        <v>3447</v>
      </c>
    </row>
    <row r="473" spans="1:19" x14ac:dyDescent="0.2">
      <c r="A473" t="str">
        <f t="shared" si="7"/>
        <v>metab_compid_64527</v>
      </c>
      <c r="B473">
        <v>100021902</v>
      </c>
      <c r="C473">
        <v>402</v>
      </c>
      <c r="D473">
        <v>64527</v>
      </c>
      <c r="E473">
        <v>238637</v>
      </c>
      <c r="F473" t="s">
        <v>3863</v>
      </c>
      <c r="G473" t="s">
        <v>4933</v>
      </c>
      <c r="H473">
        <v>5943</v>
      </c>
      <c r="I473" t="s">
        <v>3438</v>
      </c>
      <c r="J473" t="s">
        <v>10215</v>
      </c>
      <c r="K473" t="s">
        <v>10216</v>
      </c>
      <c r="L473" t="s">
        <v>10217</v>
      </c>
      <c r="M473" t="s">
        <v>10217</v>
      </c>
      <c r="P473" t="s">
        <v>10218</v>
      </c>
      <c r="Q473" t="s">
        <v>10219</v>
      </c>
      <c r="R473" t="s">
        <v>10220</v>
      </c>
      <c r="S473" t="s">
        <v>3447</v>
      </c>
    </row>
    <row r="474" spans="1:19" x14ac:dyDescent="0.2">
      <c r="A474" t="str">
        <f t="shared" si="7"/>
        <v>metab_compid_52931</v>
      </c>
      <c r="B474">
        <v>100008961</v>
      </c>
      <c r="C474">
        <v>402</v>
      </c>
      <c r="D474">
        <v>52931</v>
      </c>
      <c r="E474">
        <v>166262</v>
      </c>
      <c r="F474" t="s">
        <v>3863</v>
      </c>
      <c r="G474" t="s">
        <v>4942</v>
      </c>
      <c r="H474">
        <v>5446</v>
      </c>
      <c r="I474" t="s">
        <v>3438</v>
      </c>
      <c r="J474" t="s">
        <v>8881</v>
      </c>
      <c r="K474" t="s">
        <v>8882</v>
      </c>
      <c r="L474" t="s">
        <v>8883</v>
      </c>
      <c r="M474" t="s">
        <v>8883</v>
      </c>
      <c r="N474" t="s">
        <v>8884</v>
      </c>
      <c r="P474" t="s">
        <v>8885</v>
      </c>
      <c r="Q474" t="s">
        <v>8886</v>
      </c>
      <c r="R474" t="s">
        <v>8887</v>
      </c>
      <c r="S474" t="s">
        <v>3447</v>
      </c>
    </row>
    <row r="475" spans="1:19" x14ac:dyDescent="0.2">
      <c r="A475" t="str">
        <f t="shared" si="7"/>
        <v>metab_compid_17805</v>
      </c>
      <c r="B475">
        <v>1231</v>
      </c>
      <c r="C475">
        <v>209</v>
      </c>
      <c r="D475">
        <v>17805</v>
      </c>
      <c r="E475">
        <v>126039</v>
      </c>
      <c r="F475" t="s">
        <v>3459</v>
      </c>
      <c r="G475" t="s">
        <v>3560</v>
      </c>
      <c r="H475">
        <v>1588</v>
      </c>
      <c r="I475" t="s">
        <v>3438</v>
      </c>
      <c r="J475" t="s">
        <v>4853</v>
      </c>
      <c r="K475" t="s">
        <v>4854</v>
      </c>
      <c r="L475" t="s">
        <v>4855</v>
      </c>
      <c r="M475" t="s">
        <v>4856</v>
      </c>
      <c r="N475" t="s">
        <v>4857</v>
      </c>
      <c r="O475" t="s">
        <v>4858</v>
      </c>
      <c r="P475" t="s">
        <v>4859</v>
      </c>
      <c r="Q475" t="s">
        <v>4860</v>
      </c>
      <c r="R475" t="s">
        <v>4861</v>
      </c>
      <c r="S475" t="s">
        <v>3469</v>
      </c>
    </row>
    <row r="476" spans="1:19" x14ac:dyDescent="0.2">
      <c r="A476" t="str">
        <f t="shared" si="7"/>
        <v>metab_compid_35718</v>
      </c>
      <c r="B476">
        <v>100001739</v>
      </c>
      <c r="C476">
        <v>209</v>
      </c>
      <c r="D476">
        <v>35718</v>
      </c>
      <c r="E476">
        <v>143707</v>
      </c>
      <c r="F476" t="s">
        <v>3459</v>
      </c>
      <c r="G476" t="s">
        <v>3560</v>
      </c>
      <c r="H476">
        <v>1590</v>
      </c>
      <c r="I476" t="s">
        <v>3438</v>
      </c>
      <c r="J476" t="s">
        <v>6890</v>
      </c>
      <c r="K476" t="s">
        <v>6891</v>
      </c>
      <c r="L476" t="s">
        <v>6892</v>
      </c>
      <c r="M476" t="s">
        <v>6893</v>
      </c>
      <c r="N476" t="s">
        <v>6894</v>
      </c>
      <c r="O476" t="s">
        <v>6895</v>
      </c>
      <c r="P476" t="s">
        <v>6896</v>
      </c>
      <c r="Q476" t="s">
        <v>6897</v>
      </c>
      <c r="R476" t="s">
        <v>6898</v>
      </c>
      <c r="S476" t="s">
        <v>3469</v>
      </c>
    </row>
    <row r="477" spans="1:19" x14ac:dyDescent="0.2">
      <c r="A477" t="str">
        <f t="shared" si="7"/>
        <v>metab_compid_53262</v>
      </c>
      <c r="B477">
        <v>100009335</v>
      </c>
      <c r="C477">
        <v>402</v>
      </c>
      <c r="D477">
        <v>53262</v>
      </c>
      <c r="E477">
        <v>179349</v>
      </c>
      <c r="F477" t="s">
        <v>3459</v>
      </c>
      <c r="G477" t="s">
        <v>9134</v>
      </c>
      <c r="H477">
        <v>1965</v>
      </c>
      <c r="I477" t="s">
        <v>3438</v>
      </c>
      <c r="J477" t="s">
        <v>9196</v>
      </c>
      <c r="K477" t="s">
        <v>9197</v>
      </c>
      <c r="L477" t="s">
        <v>9198</v>
      </c>
      <c r="M477" t="s">
        <v>9198</v>
      </c>
      <c r="P477" t="s">
        <v>9199</v>
      </c>
      <c r="S477" t="s">
        <v>3447</v>
      </c>
    </row>
    <row r="478" spans="1:19" x14ac:dyDescent="0.2">
      <c r="A478" t="str">
        <f t="shared" si="7"/>
        <v>metab_compid_57521</v>
      </c>
      <c r="B478">
        <v>100015840</v>
      </c>
      <c r="C478">
        <v>402</v>
      </c>
      <c r="D478">
        <v>57521</v>
      </c>
      <c r="E478">
        <v>211222</v>
      </c>
      <c r="F478" t="s">
        <v>3459</v>
      </c>
      <c r="G478" t="s">
        <v>7821</v>
      </c>
      <c r="H478">
        <v>1913</v>
      </c>
      <c r="I478" t="s">
        <v>3438</v>
      </c>
      <c r="J478" t="s">
        <v>9496</v>
      </c>
      <c r="K478" t="s">
        <v>9497</v>
      </c>
      <c r="L478" t="s">
        <v>9498</v>
      </c>
      <c r="M478" t="s">
        <v>9498</v>
      </c>
      <c r="S478" t="s">
        <v>3447</v>
      </c>
    </row>
    <row r="479" spans="1:19" x14ac:dyDescent="0.2">
      <c r="A479" t="str">
        <f t="shared" si="7"/>
        <v>metab_compid_57520</v>
      </c>
      <c r="B479">
        <v>100015839</v>
      </c>
      <c r="C479">
        <v>402</v>
      </c>
      <c r="D479">
        <v>57520</v>
      </c>
      <c r="E479">
        <v>211221</v>
      </c>
      <c r="F479" t="s">
        <v>3459</v>
      </c>
      <c r="G479" t="s">
        <v>7821</v>
      </c>
      <c r="H479">
        <v>1911</v>
      </c>
      <c r="I479" t="s">
        <v>3438</v>
      </c>
      <c r="J479" t="s">
        <v>9493</v>
      </c>
      <c r="K479" t="s">
        <v>9494</v>
      </c>
      <c r="L479" t="s">
        <v>9495</v>
      </c>
      <c r="M479" t="s">
        <v>9495</v>
      </c>
      <c r="S479" t="s">
        <v>3447</v>
      </c>
    </row>
    <row r="480" spans="1:19" x14ac:dyDescent="0.2">
      <c r="A480" t="str">
        <f t="shared" si="7"/>
        <v>metab_compid_62524</v>
      </c>
      <c r="B480">
        <v>100020822</v>
      </c>
      <c r="C480">
        <v>305</v>
      </c>
      <c r="D480">
        <v>62524</v>
      </c>
      <c r="E480">
        <v>219858</v>
      </c>
      <c r="F480" t="s">
        <v>3863</v>
      </c>
      <c r="G480" t="s">
        <v>3864</v>
      </c>
      <c r="H480">
        <v>4856</v>
      </c>
      <c r="I480" t="s">
        <v>3438</v>
      </c>
      <c r="J480" t="s">
        <v>9892</v>
      </c>
      <c r="K480" t="s">
        <v>9893</v>
      </c>
      <c r="L480" t="s">
        <v>9894</v>
      </c>
      <c r="M480" t="s">
        <v>9894</v>
      </c>
      <c r="S480" t="s">
        <v>3489</v>
      </c>
    </row>
    <row r="481" spans="1:19" x14ac:dyDescent="0.2">
      <c r="A481" t="str">
        <f t="shared" si="7"/>
        <v>metab_compid_40481</v>
      </c>
      <c r="B481">
        <v>100003432</v>
      </c>
      <c r="C481">
        <v>209</v>
      </c>
      <c r="D481">
        <v>40481</v>
      </c>
      <c r="E481">
        <v>143017</v>
      </c>
      <c r="F481" t="s">
        <v>3863</v>
      </c>
      <c r="G481" t="s">
        <v>3864</v>
      </c>
      <c r="H481">
        <v>4901</v>
      </c>
      <c r="I481" t="s">
        <v>3438</v>
      </c>
      <c r="J481" t="s">
        <v>7885</v>
      </c>
      <c r="K481" t="s">
        <v>7886</v>
      </c>
      <c r="L481" t="s">
        <v>7887</v>
      </c>
      <c r="M481" t="s">
        <v>7887</v>
      </c>
      <c r="N481" t="s">
        <v>7888</v>
      </c>
      <c r="O481" t="s">
        <v>7889</v>
      </c>
      <c r="P481" t="s">
        <v>7890</v>
      </c>
      <c r="R481" t="s">
        <v>7891</v>
      </c>
      <c r="S481" t="s">
        <v>3469</v>
      </c>
    </row>
    <row r="482" spans="1:19" x14ac:dyDescent="0.2">
      <c r="A482" t="str">
        <f t="shared" si="7"/>
        <v>metab_compid_62857</v>
      </c>
      <c r="B482">
        <v>100020272</v>
      </c>
      <c r="C482">
        <v>305</v>
      </c>
      <c r="D482">
        <v>62857</v>
      </c>
      <c r="E482">
        <v>220634</v>
      </c>
      <c r="F482" t="s">
        <v>3863</v>
      </c>
      <c r="G482" t="s">
        <v>3864</v>
      </c>
      <c r="H482">
        <v>4902</v>
      </c>
      <c r="I482" t="s">
        <v>3438</v>
      </c>
      <c r="J482" t="s">
        <v>9693</v>
      </c>
      <c r="K482" t="s">
        <v>9694</v>
      </c>
      <c r="L482" t="s">
        <v>9695</v>
      </c>
      <c r="M482" t="s">
        <v>9695</v>
      </c>
      <c r="O482" t="s">
        <v>9696</v>
      </c>
      <c r="P482" t="s">
        <v>9697</v>
      </c>
      <c r="R482" t="s">
        <v>9698</v>
      </c>
      <c r="S482" t="s">
        <v>3489</v>
      </c>
    </row>
    <row r="483" spans="1:19" x14ac:dyDescent="0.2">
      <c r="A483" t="str">
        <f t="shared" si="7"/>
        <v>metab_compid_601</v>
      </c>
      <c r="B483">
        <v>923</v>
      </c>
      <c r="C483">
        <v>305</v>
      </c>
      <c r="D483">
        <v>601</v>
      </c>
      <c r="E483">
        <v>145712</v>
      </c>
      <c r="F483" t="s">
        <v>3533</v>
      </c>
      <c r="G483" t="s">
        <v>4050</v>
      </c>
      <c r="H483">
        <v>4226</v>
      </c>
      <c r="I483" t="s">
        <v>3438</v>
      </c>
      <c r="J483" t="s">
        <v>4471</v>
      </c>
      <c r="K483" t="s">
        <v>4472</v>
      </c>
      <c r="L483" t="s">
        <v>4473</v>
      </c>
      <c r="M483" t="s">
        <v>4473</v>
      </c>
      <c r="N483" t="s">
        <v>4474</v>
      </c>
      <c r="O483" t="s">
        <v>4475</v>
      </c>
      <c r="P483" t="s">
        <v>4476</v>
      </c>
      <c r="Q483" t="s">
        <v>4477</v>
      </c>
      <c r="R483" t="s">
        <v>4478</v>
      </c>
      <c r="S483" t="s">
        <v>3489</v>
      </c>
    </row>
    <row r="484" spans="1:19" x14ac:dyDescent="0.2">
      <c r="A484" t="str">
        <f t="shared" si="7"/>
        <v>metab_compid_42981</v>
      </c>
      <c r="B484">
        <v>100004015</v>
      </c>
      <c r="C484">
        <v>402</v>
      </c>
      <c r="D484">
        <v>42981</v>
      </c>
      <c r="E484">
        <v>159508</v>
      </c>
      <c r="F484" t="s">
        <v>3863</v>
      </c>
      <c r="G484" t="s">
        <v>7216</v>
      </c>
      <c r="H484">
        <v>5679</v>
      </c>
      <c r="I484" t="s">
        <v>3438</v>
      </c>
      <c r="J484" t="s">
        <v>8012</v>
      </c>
      <c r="K484" t="s">
        <v>8013</v>
      </c>
      <c r="L484" t="s">
        <v>8014</v>
      </c>
      <c r="M484" t="s">
        <v>8014</v>
      </c>
      <c r="N484" t="s">
        <v>8015</v>
      </c>
      <c r="O484" t="s">
        <v>8016</v>
      </c>
      <c r="P484" t="s">
        <v>8017</v>
      </c>
      <c r="Q484" t="s">
        <v>8018</v>
      </c>
      <c r="R484" t="s">
        <v>8019</v>
      </c>
      <c r="S484" t="s">
        <v>3447</v>
      </c>
    </row>
    <row r="485" spans="1:19" x14ac:dyDescent="0.2">
      <c r="A485" t="str">
        <f t="shared" si="7"/>
        <v>metab_compid_43424</v>
      </c>
      <c r="B485">
        <v>100004284</v>
      </c>
      <c r="C485">
        <v>400</v>
      </c>
      <c r="D485">
        <v>43424</v>
      </c>
      <c r="E485">
        <v>157011</v>
      </c>
      <c r="F485" t="s">
        <v>3863</v>
      </c>
      <c r="G485" t="s">
        <v>5632</v>
      </c>
      <c r="H485">
        <v>6183</v>
      </c>
      <c r="I485" t="s">
        <v>3438</v>
      </c>
      <c r="J485" t="s">
        <v>8159</v>
      </c>
      <c r="K485" t="s">
        <v>8160</v>
      </c>
      <c r="L485" t="s">
        <v>8161</v>
      </c>
      <c r="M485" t="s">
        <v>8161</v>
      </c>
      <c r="N485" t="s">
        <v>8162</v>
      </c>
      <c r="O485" t="s">
        <v>8163</v>
      </c>
      <c r="P485" t="s">
        <v>8164</v>
      </c>
      <c r="Q485" t="s">
        <v>8165</v>
      </c>
      <c r="R485" t="s">
        <v>8166</v>
      </c>
      <c r="S485" t="s">
        <v>3458</v>
      </c>
    </row>
    <row r="486" spans="1:19" x14ac:dyDescent="0.2">
      <c r="A486" t="str">
        <f t="shared" si="7"/>
        <v>metab_compid_36808</v>
      </c>
      <c r="B486">
        <v>100001810</v>
      </c>
      <c r="C486">
        <v>400</v>
      </c>
      <c r="D486">
        <v>36808</v>
      </c>
      <c r="E486">
        <v>156271</v>
      </c>
      <c r="F486" t="s">
        <v>3436</v>
      </c>
      <c r="G486" t="s">
        <v>3661</v>
      </c>
      <c r="H486">
        <v>505</v>
      </c>
      <c r="I486" t="s">
        <v>3438</v>
      </c>
      <c r="J486" t="s">
        <v>7021</v>
      </c>
      <c r="K486" t="s">
        <v>7022</v>
      </c>
      <c r="L486" t="s">
        <v>7023</v>
      </c>
      <c r="M486" t="s">
        <v>7024</v>
      </c>
      <c r="N486" t="s">
        <v>7025</v>
      </c>
      <c r="O486" t="s">
        <v>7026</v>
      </c>
      <c r="P486" t="s">
        <v>7027</v>
      </c>
      <c r="Q486" t="s">
        <v>7028</v>
      </c>
      <c r="R486" t="s">
        <v>7029</v>
      </c>
      <c r="S486" t="s">
        <v>3458</v>
      </c>
    </row>
    <row r="487" spans="1:19" x14ac:dyDescent="0.2">
      <c r="A487" t="str">
        <f t="shared" si="7"/>
        <v>metab_compid_5086</v>
      </c>
      <c r="B487">
        <v>806</v>
      </c>
      <c r="C487">
        <v>400</v>
      </c>
      <c r="D487">
        <v>5086</v>
      </c>
      <c r="E487">
        <v>155492</v>
      </c>
      <c r="F487" t="s">
        <v>3436</v>
      </c>
      <c r="G487" t="s">
        <v>3882</v>
      </c>
      <c r="H487">
        <v>6</v>
      </c>
      <c r="I487" t="s">
        <v>3438</v>
      </c>
      <c r="J487" t="s">
        <v>4302</v>
      </c>
      <c r="K487" t="s">
        <v>4303</v>
      </c>
      <c r="L487" t="s">
        <v>4304</v>
      </c>
      <c r="M487" t="s">
        <v>4304</v>
      </c>
      <c r="N487" t="s">
        <v>4305</v>
      </c>
      <c r="O487" t="s">
        <v>4306</v>
      </c>
      <c r="P487" t="s">
        <v>4307</v>
      </c>
      <c r="Q487" t="s">
        <v>4308</v>
      </c>
      <c r="R487" t="s">
        <v>4309</v>
      </c>
      <c r="S487" t="s">
        <v>3458</v>
      </c>
    </row>
    <row r="488" spans="1:19" x14ac:dyDescent="0.2">
      <c r="A488" t="str">
        <f t="shared" si="7"/>
        <v>metab_compid_32415</v>
      </c>
      <c r="B488">
        <v>100001182</v>
      </c>
      <c r="C488">
        <v>209</v>
      </c>
      <c r="D488">
        <v>32415</v>
      </c>
      <c r="E488">
        <v>125824</v>
      </c>
      <c r="F488" t="s">
        <v>3459</v>
      </c>
      <c r="G488" t="s">
        <v>3560</v>
      </c>
      <c r="H488">
        <v>1595</v>
      </c>
      <c r="I488" t="s">
        <v>3438</v>
      </c>
      <c r="J488" t="s">
        <v>5934</v>
      </c>
      <c r="K488" t="s">
        <v>5935</v>
      </c>
      <c r="L488" t="s">
        <v>5936</v>
      </c>
      <c r="M488" t="s">
        <v>5936</v>
      </c>
      <c r="N488" t="s">
        <v>5937</v>
      </c>
      <c r="O488" t="s">
        <v>5938</v>
      </c>
      <c r="P488" t="s">
        <v>5939</v>
      </c>
      <c r="Q488" t="s">
        <v>5940</v>
      </c>
      <c r="R488" t="s">
        <v>5941</v>
      </c>
      <c r="S488" t="s">
        <v>3469</v>
      </c>
    </row>
    <row r="489" spans="1:19" x14ac:dyDescent="0.2">
      <c r="A489" t="str">
        <f t="shared" si="7"/>
        <v>metab_compid_39837</v>
      </c>
      <c r="B489">
        <v>100002952</v>
      </c>
      <c r="C489">
        <v>209</v>
      </c>
      <c r="D489">
        <v>39837</v>
      </c>
      <c r="E489">
        <v>141956</v>
      </c>
      <c r="F489" t="s">
        <v>3459</v>
      </c>
      <c r="G489" t="s">
        <v>3873</v>
      </c>
      <c r="H489">
        <v>1722</v>
      </c>
      <c r="I489" t="s">
        <v>3438</v>
      </c>
      <c r="J489" t="s">
        <v>7769</v>
      </c>
      <c r="K489" t="s">
        <v>7770</v>
      </c>
      <c r="L489" t="s">
        <v>7771</v>
      </c>
      <c r="M489" t="s">
        <v>7771</v>
      </c>
      <c r="N489" t="s">
        <v>7772</v>
      </c>
      <c r="O489" t="s">
        <v>7773</v>
      </c>
      <c r="Q489" t="s">
        <v>7774</v>
      </c>
      <c r="R489" t="s">
        <v>7775</v>
      </c>
      <c r="S489" t="s">
        <v>3469</v>
      </c>
    </row>
    <row r="490" spans="1:19" x14ac:dyDescent="0.2">
      <c r="A490" t="str">
        <f t="shared" si="7"/>
        <v>metab_compid_44675</v>
      </c>
      <c r="B490">
        <v>100000665</v>
      </c>
      <c r="C490">
        <v>209</v>
      </c>
      <c r="D490">
        <v>44675</v>
      </c>
      <c r="E490">
        <v>126139</v>
      </c>
      <c r="F490" t="s">
        <v>3459</v>
      </c>
      <c r="G490" t="s">
        <v>3560</v>
      </c>
      <c r="H490">
        <v>1581</v>
      </c>
      <c r="I490" t="s">
        <v>3438</v>
      </c>
      <c r="J490" t="s">
        <v>5457</v>
      </c>
      <c r="K490" t="s">
        <v>5458</v>
      </c>
      <c r="L490" t="s">
        <v>5459</v>
      </c>
      <c r="M490" t="s">
        <v>5459</v>
      </c>
      <c r="N490" t="s">
        <v>5460</v>
      </c>
      <c r="O490" t="s">
        <v>5461</v>
      </c>
      <c r="P490" t="s">
        <v>5462</v>
      </c>
      <c r="Q490" t="s">
        <v>5463</v>
      </c>
      <c r="R490" t="s">
        <v>5464</v>
      </c>
      <c r="S490" t="s">
        <v>3469</v>
      </c>
    </row>
    <row r="491" spans="1:19" x14ac:dyDescent="0.2">
      <c r="A491" t="str">
        <f t="shared" si="7"/>
        <v>metab_compid_57523</v>
      </c>
      <c r="B491">
        <v>100015845</v>
      </c>
      <c r="C491">
        <v>402</v>
      </c>
      <c r="D491">
        <v>57523</v>
      </c>
      <c r="E491">
        <v>211224</v>
      </c>
      <c r="F491" t="s">
        <v>3459</v>
      </c>
      <c r="G491" t="s">
        <v>7821</v>
      </c>
      <c r="H491">
        <v>1920</v>
      </c>
      <c r="I491" t="s">
        <v>3438</v>
      </c>
      <c r="J491" t="s">
        <v>9499</v>
      </c>
      <c r="K491" t="s">
        <v>9500</v>
      </c>
      <c r="L491" t="s">
        <v>9501</v>
      </c>
      <c r="M491" t="s">
        <v>9501</v>
      </c>
      <c r="S491" t="s">
        <v>3447</v>
      </c>
    </row>
    <row r="492" spans="1:19" x14ac:dyDescent="0.2">
      <c r="A492" t="str">
        <f t="shared" si="7"/>
        <v>metab_compid_53263</v>
      </c>
      <c r="B492">
        <v>100009333</v>
      </c>
      <c r="C492">
        <v>402</v>
      </c>
      <c r="D492">
        <v>53263</v>
      </c>
      <c r="E492">
        <v>179351</v>
      </c>
      <c r="F492" t="s">
        <v>3459</v>
      </c>
      <c r="G492" t="s">
        <v>9134</v>
      </c>
      <c r="H492">
        <v>1969</v>
      </c>
      <c r="I492" t="s">
        <v>3438</v>
      </c>
      <c r="J492" t="s">
        <v>9188</v>
      </c>
      <c r="K492" t="s">
        <v>9189</v>
      </c>
      <c r="L492" t="s">
        <v>9190</v>
      </c>
      <c r="M492" t="s">
        <v>9190</v>
      </c>
      <c r="P492" t="s">
        <v>9191</v>
      </c>
      <c r="S492" t="s">
        <v>3447</v>
      </c>
    </row>
    <row r="493" spans="1:19" x14ac:dyDescent="0.2">
      <c r="A493" t="str">
        <f t="shared" si="7"/>
        <v>metab_compid_32504</v>
      </c>
      <c r="B493">
        <v>100001181</v>
      </c>
      <c r="C493">
        <v>209</v>
      </c>
      <c r="D493">
        <v>32504</v>
      </c>
      <c r="E493">
        <v>125862</v>
      </c>
      <c r="F493" t="s">
        <v>3459</v>
      </c>
      <c r="G493" t="s">
        <v>3560</v>
      </c>
      <c r="H493">
        <v>1580</v>
      </c>
      <c r="I493" t="s">
        <v>3438</v>
      </c>
      <c r="J493" t="s">
        <v>5926</v>
      </c>
      <c r="K493" t="s">
        <v>5927</v>
      </c>
      <c r="L493" t="s">
        <v>5928</v>
      </c>
      <c r="M493" t="s">
        <v>5929</v>
      </c>
      <c r="N493" t="s">
        <v>5930</v>
      </c>
      <c r="P493" t="s">
        <v>5931</v>
      </c>
      <c r="Q493" t="s">
        <v>5932</v>
      </c>
      <c r="R493" t="s">
        <v>5933</v>
      </c>
      <c r="S493" t="s">
        <v>3469</v>
      </c>
    </row>
    <row r="494" spans="1:19" x14ac:dyDescent="0.2">
      <c r="A494" t="str">
        <f t="shared" si="7"/>
        <v>metab_compid_37478</v>
      </c>
      <c r="B494">
        <v>100001580</v>
      </c>
      <c r="C494">
        <v>209</v>
      </c>
      <c r="D494">
        <v>37478</v>
      </c>
      <c r="E494">
        <v>127695</v>
      </c>
      <c r="F494" t="s">
        <v>3459</v>
      </c>
      <c r="G494" t="s">
        <v>3560</v>
      </c>
      <c r="H494">
        <v>1594</v>
      </c>
      <c r="I494" t="s">
        <v>3438</v>
      </c>
      <c r="J494" t="s">
        <v>6660</v>
      </c>
      <c r="K494" t="s">
        <v>6661</v>
      </c>
      <c r="L494" t="s">
        <v>6662</v>
      </c>
      <c r="M494" t="s">
        <v>6662</v>
      </c>
      <c r="N494" t="s">
        <v>6663</v>
      </c>
      <c r="O494" t="s">
        <v>6664</v>
      </c>
      <c r="P494" t="s">
        <v>6665</v>
      </c>
      <c r="Q494" t="s">
        <v>5932</v>
      </c>
      <c r="R494" t="s">
        <v>5933</v>
      </c>
      <c r="S494" t="s">
        <v>3469</v>
      </c>
    </row>
    <row r="495" spans="1:19" x14ac:dyDescent="0.2">
      <c r="A495" t="str">
        <f t="shared" si="7"/>
        <v>metab_compid_57529</v>
      </c>
      <c r="B495">
        <v>100015851</v>
      </c>
      <c r="C495">
        <v>402</v>
      </c>
      <c r="D495">
        <v>57529</v>
      </c>
      <c r="E495">
        <v>211230</v>
      </c>
      <c r="F495" t="s">
        <v>3459</v>
      </c>
      <c r="G495" t="s">
        <v>7821</v>
      </c>
      <c r="H495">
        <v>1918</v>
      </c>
      <c r="I495" t="s">
        <v>3438</v>
      </c>
      <c r="J495" t="s">
        <v>9506</v>
      </c>
      <c r="K495" t="s">
        <v>9507</v>
      </c>
      <c r="L495" t="s">
        <v>9508</v>
      </c>
      <c r="M495" t="s">
        <v>9508</v>
      </c>
      <c r="R495" t="s">
        <v>9509</v>
      </c>
      <c r="S495" t="s">
        <v>3447</v>
      </c>
    </row>
    <row r="496" spans="1:19" x14ac:dyDescent="0.2">
      <c r="A496" t="str">
        <f t="shared" si="7"/>
        <v>metab_compid_62276</v>
      </c>
      <c r="B496">
        <v>100020478</v>
      </c>
      <c r="C496">
        <v>209</v>
      </c>
      <c r="D496">
        <v>62276</v>
      </c>
      <c r="E496">
        <v>219247</v>
      </c>
      <c r="F496" t="s">
        <v>3459</v>
      </c>
      <c r="G496" t="s">
        <v>3873</v>
      </c>
      <c r="H496">
        <v>1707</v>
      </c>
      <c r="I496" t="s">
        <v>3438</v>
      </c>
      <c r="J496" t="s">
        <v>9767</v>
      </c>
      <c r="K496" t="s">
        <v>9768</v>
      </c>
      <c r="L496" t="s">
        <v>9769</v>
      </c>
      <c r="M496" t="s">
        <v>9769</v>
      </c>
      <c r="R496" t="s">
        <v>9770</v>
      </c>
      <c r="S496" t="s">
        <v>3469</v>
      </c>
    </row>
    <row r="497" spans="1:19" x14ac:dyDescent="0.2">
      <c r="A497" t="str">
        <f t="shared" si="7"/>
        <v>metab_compid_32388</v>
      </c>
      <c r="B497">
        <v>100001102</v>
      </c>
      <c r="C497">
        <v>209</v>
      </c>
      <c r="D497">
        <v>32388</v>
      </c>
      <c r="E497">
        <v>125800</v>
      </c>
      <c r="F497" t="s">
        <v>3459</v>
      </c>
      <c r="G497" t="s">
        <v>3873</v>
      </c>
      <c r="H497">
        <v>1704</v>
      </c>
      <c r="I497" t="s">
        <v>3438</v>
      </c>
      <c r="J497" t="s">
        <v>5820</v>
      </c>
      <c r="K497" t="s">
        <v>5821</v>
      </c>
      <c r="L497" t="s">
        <v>5822</v>
      </c>
      <c r="M497" t="s">
        <v>5823</v>
      </c>
      <c r="N497" t="s">
        <v>5824</v>
      </c>
      <c r="O497" t="s">
        <v>5825</v>
      </c>
      <c r="P497" t="s">
        <v>5826</v>
      </c>
      <c r="Q497" t="s">
        <v>5827</v>
      </c>
      <c r="R497" t="s">
        <v>5828</v>
      </c>
      <c r="S497" t="s">
        <v>3469</v>
      </c>
    </row>
    <row r="498" spans="1:19" x14ac:dyDescent="0.2">
      <c r="A498" t="str">
        <f t="shared" si="7"/>
        <v>metab_compid_61864</v>
      </c>
      <c r="B498">
        <v>100019972</v>
      </c>
      <c r="C498">
        <v>209</v>
      </c>
      <c r="D498">
        <v>61864</v>
      </c>
      <c r="E498">
        <v>218581</v>
      </c>
      <c r="F498" t="s">
        <v>3459</v>
      </c>
      <c r="G498" t="s">
        <v>3873</v>
      </c>
      <c r="H498">
        <v>1706</v>
      </c>
      <c r="I498" t="s">
        <v>3438</v>
      </c>
      <c r="J498" t="s">
        <v>9608</v>
      </c>
      <c r="K498" t="s">
        <v>9609</v>
      </c>
      <c r="L498" t="s">
        <v>9610</v>
      </c>
      <c r="M498" t="s">
        <v>9610</v>
      </c>
      <c r="P498" t="s">
        <v>9611</v>
      </c>
      <c r="R498" t="s">
        <v>9612</v>
      </c>
      <c r="S498" t="s">
        <v>3469</v>
      </c>
    </row>
    <row r="499" spans="1:19" x14ac:dyDescent="0.2">
      <c r="A499" t="str">
        <f t="shared" si="7"/>
        <v>metab_compid_48407</v>
      </c>
      <c r="B499">
        <v>100006361</v>
      </c>
      <c r="C499">
        <v>209</v>
      </c>
      <c r="D499">
        <v>48407</v>
      </c>
      <c r="E499">
        <v>155061</v>
      </c>
      <c r="F499" t="s">
        <v>3436</v>
      </c>
      <c r="G499" t="s">
        <v>3687</v>
      </c>
      <c r="H499">
        <v>229</v>
      </c>
      <c r="I499" t="s">
        <v>3438</v>
      </c>
      <c r="J499" t="s">
        <v>8627</v>
      </c>
      <c r="K499" t="s">
        <v>8628</v>
      </c>
      <c r="L499" t="s">
        <v>8629</v>
      </c>
      <c r="M499" t="s">
        <v>8629</v>
      </c>
      <c r="O499" t="s">
        <v>8630</v>
      </c>
      <c r="P499" t="s">
        <v>8631</v>
      </c>
      <c r="Q499" t="s">
        <v>8632</v>
      </c>
      <c r="R499" t="s">
        <v>8633</v>
      </c>
      <c r="S499" t="s">
        <v>3469</v>
      </c>
    </row>
    <row r="500" spans="1:19" x14ac:dyDescent="0.2">
      <c r="A500" t="str">
        <f t="shared" si="7"/>
        <v>metab_compid_48406</v>
      </c>
      <c r="B500">
        <v>100006360</v>
      </c>
      <c r="C500">
        <v>209</v>
      </c>
      <c r="D500">
        <v>48406</v>
      </c>
      <c r="E500">
        <v>155059</v>
      </c>
      <c r="F500" t="s">
        <v>3436</v>
      </c>
      <c r="G500" t="s">
        <v>3687</v>
      </c>
      <c r="H500">
        <v>228</v>
      </c>
      <c r="I500" t="s">
        <v>3438</v>
      </c>
      <c r="J500" t="s">
        <v>8620</v>
      </c>
      <c r="K500" t="s">
        <v>8621</v>
      </c>
      <c r="L500" t="s">
        <v>8622</v>
      </c>
      <c r="M500" t="s">
        <v>8622</v>
      </c>
      <c r="O500" t="s">
        <v>8623</v>
      </c>
      <c r="P500" t="s">
        <v>8624</v>
      </c>
      <c r="Q500" t="s">
        <v>8625</v>
      </c>
      <c r="R500" t="s">
        <v>8626</v>
      </c>
      <c r="S500" t="s">
        <v>3469</v>
      </c>
    </row>
    <row r="501" spans="1:19" x14ac:dyDescent="0.2">
      <c r="A501" t="str">
        <f t="shared" si="7"/>
        <v>metab_compid_35651</v>
      </c>
      <c r="B501">
        <v>100001635</v>
      </c>
      <c r="C501">
        <v>400</v>
      </c>
      <c r="D501">
        <v>35651</v>
      </c>
      <c r="E501">
        <v>156211</v>
      </c>
      <c r="F501" t="s">
        <v>3863</v>
      </c>
      <c r="G501" t="s">
        <v>5632</v>
      </c>
      <c r="H501">
        <v>6185</v>
      </c>
      <c r="I501" t="s">
        <v>3438</v>
      </c>
      <c r="J501" t="s">
        <v>6811</v>
      </c>
      <c r="K501" t="s">
        <v>6812</v>
      </c>
      <c r="L501" t="s">
        <v>6813</v>
      </c>
      <c r="M501" t="s">
        <v>6813</v>
      </c>
      <c r="N501" t="s">
        <v>6814</v>
      </c>
      <c r="O501" t="s">
        <v>6815</v>
      </c>
      <c r="P501" t="s">
        <v>6816</v>
      </c>
      <c r="Q501" t="s">
        <v>6817</v>
      </c>
      <c r="R501" t="s">
        <v>6818</v>
      </c>
      <c r="S501" t="s">
        <v>3458</v>
      </c>
    </row>
    <row r="502" spans="1:19" x14ac:dyDescent="0.2">
      <c r="A502" t="str">
        <f t="shared" si="7"/>
        <v>metab_compid_22163</v>
      </c>
      <c r="B502">
        <v>100001002</v>
      </c>
      <c r="C502">
        <v>209</v>
      </c>
      <c r="D502">
        <v>22163</v>
      </c>
      <c r="E502">
        <v>124685</v>
      </c>
      <c r="F502" t="s">
        <v>3863</v>
      </c>
      <c r="G502" t="s">
        <v>5632</v>
      </c>
      <c r="H502">
        <v>6186</v>
      </c>
      <c r="I502" t="s">
        <v>3438</v>
      </c>
      <c r="J502" t="s">
        <v>5693</v>
      </c>
      <c r="K502" t="s">
        <v>5694</v>
      </c>
      <c r="L502" t="s">
        <v>5695</v>
      </c>
      <c r="M502" t="s">
        <v>5695</v>
      </c>
      <c r="N502" t="s">
        <v>5696</v>
      </c>
      <c r="O502" t="s">
        <v>5697</v>
      </c>
      <c r="P502" t="s">
        <v>5698</v>
      </c>
      <c r="Q502" t="s">
        <v>5699</v>
      </c>
      <c r="R502" t="s">
        <v>5700</v>
      </c>
      <c r="S502" t="s">
        <v>3469</v>
      </c>
    </row>
    <row r="503" spans="1:19" x14ac:dyDescent="0.2">
      <c r="A503" t="str">
        <f t="shared" si="7"/>
        <v>metab_compid_63282</v>
      </c>
      <c r="B503">
        <v>100020922</v>
      </c>
      <c r="C503">
        <v>209</v>
      </c>
      <c r="D503">
        <v>63282</v>
      </c>
      <c r="E503">
        <v>222261</v>
      </c>
      <c r="F503" t="s">
        <v>3863</v>
      </c>
      <c r="G503" t="s">
        <v>10004</v>
      </c>
      <c r="H503">
        <v>5601</v>
      </c>
      <c r="I503" t="s">
        <v>3438</v>
      </c>
      <c r="J503" t="s">
        <v>10013</v>
      </c>
      <c r="K503" t="s">
        <v>10014</v>
      </c>
      <c r="L503" t="s">
        <v>10015</v>
      </c>
      <c r="M503" t="s">
        <v>10015</v>
      </c>
      <c r="N503" t="s">
        <v>10016</v>
      </c>
      <c r="O503" t="s">
        <v>10017</v>
      </c>
      <c r="P503" t="s">
        <v>10018</v>
      </c>
      <c r="Q503" t="s">
        <v>10019</v>
      </c>
      <c r="R503" t="s">
        <v>10020</v>
      </c>
      <c r="S503" t="s">
        <v>3469</v>
      </c>
    </row>
    <row r="504" spans="1:19" x14ac:dyDescent="0.2">
      <c r="A504" t="str">
        <f t="shared" si="7"/>
        <v>metab_compid_39831</v>
      </c>
      <c r="B504">
        <v>100002951</v>
      </c>
      <c r="C504">
        <v>209</v>
      </c>
      <c r="D504">
        <v>39831</v>
      </c>
      <c r="E504">
        <v>141952</v>
      </c>
      <c r="F504" t="s">
        <v>3459</v>
      </c>
      <c r="G504" t="s">
        <v>3873</v>
      </c>
      <c r="H504">
        <v>1720</v>
      </c>
      <c r="I504" t="s">
        <v>3438</v>
      </c>
      <c r="J504" t="s">
        <v>7763</v>
      </c>
      <c r="K504" t="s">
        <v>7764</v>
      </c>
      <c r="L504" t="s">
        <v>7765</v>
      </c>
      <c r="M504" t="s">
        <v>7765</v>
      </c>
      <c r="N504" t="s">
        <v>7766</v>
      </c>
      <c r="O504" t="s">
        <v>7767</v>
      </c>
      <c r="R504" t="s">
        <v>7768</v>
      </c>
      <c r="S504" t="s">
        <v>3469</v>
      </c>
    </row>
    <row r="505" spans="1:19" x14ac:dyDescent="0.2">
      <c r="A505" t="str">
        <f t="shared" si="7"/>
        <v>metab_compid_18467</v>
      </c>
      <c r="B505">
        <v>2050</v>
      </c>
      <c r="C505">
        <v>209</v>
      </c>
      <c r="D505">
        <v>18467</v>
      </c>
      <c r="E505">
        <v>126840</v>
      </c>
      <c r="F505" t="s">
        <v>3459</v>
      </c>
      <c r="G505" t="s">
        <v>3560</v>
      </c>
      <c r="H505">
        <v>1578</v>
      </c>
      <c r="I505" t="s">
        <v>3438</v>
      </c>
      <c r="J505" t="s">
        <v>5112</v>
      </c>
      <c r="K505" t="s">
        <v>5113</v>
      </c>
      <c r="L505" t="s">
        <v>5114</v>
      </c>
      <c r="M505" t="s">
        <v>5114</v>
      </c>
      <c r="N505" t="s">
        <v>5115</v>
      </c>
      <c r="O505" t="s">
        <v>5116</v>
      </c>
      <c r="P505" t="s">
        <v>5117</v>
      </c>
      <c r="Q505" t="s">
        <v>5118</v>
      </c>
      <c r="R505" t="s">
        <v>5119</v>
      </c>
      <c r="S505" t="s">
        <v>3469</v>
      </c>
    </row>
    <row r="506" spans="1:19" x14ac:dyDescent="0.2">
      <c r="A506" t="str">
        <f t="shared" si="7"/>
        <v>metab_compid_53258</v>
      </c>
      <c r="B506">
        <v>100009336</v>
      </c>
      <c r="C506">
        <v>402</v>
      </c>
      <c r="D506">
        <v>53258</v>
      </c>
      <c r="E506">
        <v>179343</v>
      </c>
      <c r="F506" t="s">
        <v>3459</v>
      </c>
      <c r="G506" t="s">
        <v>9134</v>
      </c>
      <c r="H506">
        <v>1971</v>
      </c>
      <c r="I506" t="s">
        <v>3438</v>
      </c>
      <c r="J506" t="s">
        <v>9200</v>
      </c>
      <c r="K506" t="s">
        <v>9201</v>
      </c>
      <c r="L506" t="s">
        <v>9202</v>
      </c>
      <c r="M506" t="s">
        <v>9202</v>
      </c>
      <c r="S506" t="s">
        <v>3447</v>
      </c>
    </row>
    <row r="507" spans="1:19" x14ac:dyDescent="0.2">
      <c r="A507" t="str">
        <f t="shared" si="7"/>
        <v>metab_compid_62923</v>
      </c>
      <c r="B507">
        <v>100021105</v>
      </c>
      <c r="C507">
        <v>209</v>
      </c>
      <c r="D507">
        <v>62923</v>
      </c>
      <c r="E507">
        <v>220779</v>
      </c>
      <c r="F507" t="s">
        <v>3459</v>
      </c>
      <c r="G507" t="s">
        <v>3873</v>
      </c>
      <c r="H507">
        <v>1721</v>
      </c>
      <c r="I507" t="s">
        <v>3438</v>
      </c>
      <c r="J507" t="s">
        <v>10079</v>
      </c>
      <c r="K507" t="s">
        <v>10080</v>
      </c>
      <c r="L507" t="s">
        <v>10081</v>
      </c>
      <c r="M507" t="s">
        <v>10081</v>
      </c>
      <c r="S507" t="s">
        <v>3469</v>
      </c>
    </row>
    <row r="508" spans="1:19" x14ac:dyDescent="0.2">
      <c r="A508" t="str">
        <f t="shared" si="7"/>
        <v>metab_compid_33587</v>
      </c>
      <c r="B508">
        <v>100001335</v>
      </c>
      <c r="C508">
        <v>209</v>
      </c>
      <c r="D508">
        <v>33587</v>
      </c>
      <c r="E508">
        <v>143715</v>
      </c>
      <c r="F508" t="s">
        <v>3459</v>
      </c>
      <c r="G508" t="s">
        <v>4059</v>
      </c>
      <c r="H508">
        <v>1561</v>
      </c>
      <c r="I508" t="s">
        <v>3438</v>
      </c>
      <c r="J508" t="s">
        <v>6267</v>
      </c>
      <c r="K508" t="s">
        <v>6268</v>
      </c>
      <c r="L508" t="s">
        <v>6269</v>
      </c>
      <c r="M508" t="s">
        <v>6270</v>
      </c>
      <c r="O508" t="s">
        <v>6271</v>
      </c>
      <c r="P508" t="s">
        <v>6272</v>
      </c>
      <c r="Q508" t="s">
        <v>6273</v>
      </c>
      <c r="R508" t="s">
        <v>6274</v>
      </c>
      <c r="S508" t="s">
        <v>3469</v>
      </c>
    </row>
    <row r="509" spans="1:19" x14ac:dyDescent="0.2">
      <c r="A509" t="str">
        <f t="shared" si="7"/>
        <v>metab_compid_63285</v>
      </c>
      <c r="B509">
        <v>100020917</v>
      </c>
      <c r="C509">
        <v>209</v>
      </c>
      <c r="D509">
        <v>63285</v>
      </c>
      <c r="E509">
        <v>222269</v>
      </c>
      <c r="F509" t="s">
        <v>3863</v>
      </c>
      <c r="G509" t="s">
        <v>10004</v>
      </c>
      <c r="H509">
        <v>5607</v>
      </c>
      <c r="I509" t="s">
        <v>3438</v>
      </c>
      <c r="J509" t="s">
        <v>10005</v>
      </c>
      <c r="K509" t="s">
        <v>10006</v>
      </c>
      <c r="L509" t="s">
        <v>10007</v>
      </c>
      <c r="M509" t="s">
        <v>10007</v>
      </c>
      <c r="N509" t="s">
        <v>10008</v>
      </c>
      <c r="O509" t="s">
        <v>10009</v>
      </c>
      <c r="P509" t="s">
        <v>10010</v>
      </c>
      <c r="Q509" t="s">
        <v>10011</v>
      </c>
      <c r="R509" t="s">
        <v>10012</v>
      </c>
      <c r="S509" t="s">
        <v>3469</v>
      </c>
    </row>
    <row r="510" spans="1:19" x14ac:dyDescent="0.2">
      <c r="A510" t="str">
        <f t="shared" si="7"/>
        <v>metab_compid_33973</v>
      </c>
      <c r="B510">
        <v>100001287</v>
      </c>
      <c r="C510">
        <v>209</v>
      </c>
      <c r="D510">
        <v>33973</v>
      </c>
      <c r="E510">
        <v>126133</v>
      </c>
      <c r="F510" t="s">
        <v>3459</v>
      </c>
      <c r="G510" t="s">
        <v>5559</v>
      </c>
      <c r="H510">
        <v>3362</v>
      </c>
      <c r="I510" t="s">
        <v>3438</v>
      </c>
      <c r="J510" t="s">
        <v>6140</v>
      </c>
      <c r="K510" t="s">
        <v>6141</v>
      </c>
      <c r="L510" t="s">
        <v>6142</v>
      </c>
      <c r="M510" t="s">
        <v>6142</v>
      </c>
      <c r="N510" t="s">
        <v>6143</v>
      </c>
      <c r="O510" t="s">
        <v>6144</v>
      </c>
      <c r="P510" t="s">
        <v>6145</v>
      </c>
      <c r="Q510" t="s">
        <v>5566</v>
      </c>
      <c r="R510" t="s">
        <v>6146</v>
      </c>
      <c r="S510" t="s">
        <v>3469</v>
      </c>
    </row>
    <row r="511" spans="1:19" x14ac:dyDescent="0.2">
      <c r="A511" t="str">
        <f t="shared" si="7"/>
        <v>metab_compid_37459</v>
      </c>
      <c r="B511">
        <v>100002154</v>
      </c>
      <c r="C511">
        <v>400</v>
      </c>
      <c r="D511">
        <v>37459</v>
      </c>
      <c r="E511">
        <v>156384</v>
      </c>
      <c r="F511" t="s">
        <v>3863</v>
      </c>
      <c r="G511" t="s">
        <v>3864</v>
      </c>
      <c r="H511">
        <v>4915</v>
      </c>
      <c r="I511" t="s">
        <v>3438</v>
      </c>
      <c r="J511" t="s">
        <v>7316</v>
      </c>
      <c r="K511" t="s">
        <v>7317</v>
      </c>
      <c r="L511" t="s">
        <v>7318</v>
      </c>
      <c r="M511" t="s">
        <v>7318</v>
      </c>
      <c r="N511" t="s">
        <v>7319</v>
      </c>
      <c r="O511" t="s">
        <v>7320</v>
      </c>
      <c r="P511" t="s">
        <v>7321</v>
      </c>
      <c r="Q511" t="s">
        <v>7322</v>
      </c>
      <c r="R511" t="s">
        <v>7323</v>
      </c>
      <c r="S511" t="s">
        <v>3458</v>
      </c>
    </row>
    <row r="512" spans="1:19" x14ac:dyDescent="0.2">
      <c r="A512" t="str">
        <f t="shared" si="7"/>
        <v>metab_compid_1552</v>
      </c>
      <c r="B512">
        <v>1087</v>
      </c>
      <c r="C512">
        <v>209</v>
      </c>
      <c r="D512">
        <v>1552</v>
      </c>
      <c r="E512">
        <v>125983</v>
      </c>
      <c r="F512" t="s">
        <v>3459</v>
      </c>
      <c r="G512" t="s">
        <v>4059</v>
      </c>
      <c r="H512">
        <v>1565</v>
      </c>
      <c r="I512" t="s">
        <v>3438</v>
      </c>
      <c r="J512" t="s">
        <v>4631</v>
      </c>
      <c r="K512" t="s">
        <v>4632</v>
      </c>
      <c r="L512" t="s">
        <v>4633</v>
      </c>
      <c r="M512" t="s">
        <v>4633</v>
      </c>
      <c r="N512" t="s">
        <v>4634</v>
      </c>
      <c r="O512" t="s">
        <v>4635</v>
      </c>
      <c r="P512" t="s">
        <v>4636</v>
      </c>
      <c r="Q512" t="s">
        <v>4637</v>
      </c>
      <c r="R512" t="s">
        <v>4638</v>
      </c>
      <c r="S512" t="s">
        <v>3469</v>
      </c>
    </row>
    <row r="513" spans="1:19" x14ac:dyDescent="0.2">
      <c r="A513" t="str">
        <f t="shared" si="7"/>
        <v>metab_compid_20699</v>
      </c>
      <c r="B513">
        <v>100000846</v>
      </c>
      <c r="C513">
        <v>305</v>
      </c>
      <c r="D513">
        <v>20699</v>
      </c>
      <c r="E513">
        <v>146508</v>
      </c>
      <c r="F513" t="s">
        <v>3863</v>
      </c>
      <c r="G513" t="s">
        <v>3864</v>
      </c>
      <c r="H513">
        <v>4917</v>
      </c>
      <c r="I513" t="s">
        <v>3438</v>
      </c>
      <c r="J513" t="s">
        <v>5609</v>
      </c>
      <c r="K513" t="s">
        <v>5610</v>
      </c>
      <c r="L513" t="s">
        <v>5611</v>
      </c>
      <c r="M513" t="s">
        <v>5611</v>
      </c>
      <c r="N513" t="s">
        <v>5612</v>
      </c>
      <c r="O513" t="s">
        <v>5613</v>
      </c>
      <c r="P513" t="s">
        <v>5614</v>
      </c>
      <c r="Q513" t="s">
        <v>5615</v>
      </c>
      <c r="R513" t="s">
        <v>5616</v>
      </c>
      <c r="S513" t="s">
        <v>3489</v>
      </c>
    </row>
    <row r="514" spans="1:19" x14ac:dyDescent="0.2">
      <c r="A514" t="str">
        <f t="shared" ref="A514:A577" si="8">_xlfn.CONCAT("metab_compid_", $D514)</f>
        <v>metab_compid_42420</v>
      </c>
      <c r="B514">
        <v>100001320</v>
      </c>
      <c r="C514">
        <v>305</v>
      </c>
      <c r="D514">
        <v>42420</v>
      </c>
      <c r="E514">
        <v>148204</v>
      </c>
      <c r="F514" t="s">
        <v>3977</v>
      </c>
      <c r="G514" t="s">
        <v>4806</v>
      </c>
      <c r="H514">
        <v>1449</v>
      </c>
      <c r="I514" t="s">
        <v>3438</v>
      </c>
      <c r="J514" t="s">
        <v>6229</v>
      </c>
      <c r="K514" t="s">
        <v>6230</v>
      </c>
      <c r="L514" t="s">
        <v>6231</v>
      </c>
      <c r="M514" t="s">
        <v>6231</v>
      </c>
      <c r="N514" t="s">
        <v>6232</v>
      </c>
      <c r="O514" t="s">
        <v>6233</v>
      </c>
      <c r="P514" t="s">
        <v>6234</v>
      </c>
      <c r="R514" t="s">
        <v>6235</v>
      </c>
      <c r="S514" t="s">
        <v>3489</v>
      </c>
    </row>
    <row r="515" spans="1:19" x14ac:dyDescent="0.2">
      <c r="A515" t="str">
        <f t="shared" si="8"/>
        <v>metab_compid_18474</v>
      </c>
      <c r="B515">
        <v>1230</v>
      </c>
      <c r="C515">
        <v>209</v>
      </c>
      <c r="D515">
        <v>18474</v>
      </c>
      <c r="E515">
        <v>124889</v>
      </c>
      <c r="F515" t="s">
        <v>3459</v>
      </c>
      <c r="G515" t="s">
        <v>4844</v>
      </c>
      <c r="H515">
        <v>3446</v>
      </c>
      <c r="I515" t="s">
        <v>3438</v>
      </c>
      <c r="J515" t="s">
        <v>4845</v>
      </c>
      <c r="K515" t="s">
        <v>4846</v>
      </c>
      <c r="L515" t="s">
        <v>4847</v>
      </c>
      <c r="M515" t="s">
        <v>4847</v>
      </c>
      <c r="N515" t="s">
        <v>4848</v>
      </c>
      <c r="O515" t="s">
        <v>4849</v>
      </c>
      <c r="P515" t="s">
        <v>4850</v>
      </c>
      <c r="Q515" t="s">
        <v>4851</v>
      </c>
      <c r="R515" t="s">
        <v>4852</v>
      </c>
      <c r="S515" t="s">
        <v>3469</v>
      </c>
    </row>
    <row r="516" spans="1:19" x14ac:dyDescent="0.2">
      <c r="A516" t="str">
        <f t="shared" si="8"/>
        <v>metab_compid_63152</v>
      </c>
      <c r="B516">
        <v>100015965</v>
      </c>
      <c r="C516">
        <v>209</v>
      </c>
      <c r="D516">
        <v>63152</v>
      </c>
      <c r="E516">
        <v>221887</v>
      </c>
      <c r="F516" t="s">
        <v>3863</v>
      </c>
      <c r="G516" t="s">
        <v>3864</v>
      </c>
      <c r="H516">
        <v>5112</v>
      </c>
      <c r="I516" t="s">
        <v>3438</v>
      </c>
      <c r="J516" t="s">
        <v>9526</v>
      </c>
      <c r="K516" t="s">
        <v>9527</v>
      </c>
      <c r="L516" t="s">
        <v>9528</v>
      </c>
      <c r="M516" t="s">
        <v>9528</v>
      </c>
      <c r="N516" t="s">
        <v>9529</v>
      </c>
      <c r="O516" t="s">
        <v>9530</v>
      </c>
      <c r="P516" t="s">
        <v>9531</v>
      </c>
      <c r="R516" t="s">
        <v>9532</v>
      </c>
      <c r="S516" t="s">
        <v>3469</v>
      </c>
    </row>
    <row r="517" spans="1:19" x14ac:dyDescent="0.2">
      <c r="A517" t="str">
        <f t="shared" si="8"/>
        <v>metab_compid_64131</v>
      </c>
      <c r="B517">
        <v>100020377</v>
      </c>
      <c r="C517">
        <v>209</v>
      </c>
      <c r="D517">
        <v>64131</v>
      </c>
      <c r="E517">
        <v>233912</v>
      </c>
      <c r="F517" t="s">
        <v>3863</v>
      </c>
      <c r="G517" t="s">
        <v>3864</v>
      </c>
      <c r="H517">
        <v>5247</v>
      </c>
      <c r="I517" t="s">
        <v>3438</v>
      </c>
      <c r="J517" t="s">
        <v>9740</v>
      </c>
      <c r="K517" t="s">
        <v>9741</v>
      </c>
      <c r="L517" t="s">
        <v>9742</v>
      </c>
      <c r="M517" t="s">
        <v>9742</v>
      </c>
      <c r="O517" t="s">
        <v>9743</v>
      </c>
      <c r="P517" t="s">
        <v>9531</v>
      </c>
      <c r="R517" t="s">
        <v>9744</v>
      </c>
      <c r="S517" t="s">
        <v>3469</v>
      </c>
    </row>
    <row r="518" spans="1:19" x14ac:dyDescent="0.2">
      <c r="A518" t="str">
        <f t="shared" si="8"/>
        <v>metab_compid_39603</v>
      </c>
      <c r="B518">
        <v>100002849</v>
      </c>
      <c r="C518">
        <v>209</v>
      </c>
      <c r="D518">
        <v>39603</v>
      </c>
      <c r="E518">
        <v>141920</v>
      </c>
      <c r="F518" t="s">
        <v>3863</v>
      </c>
      <c r="G518" t="s">
        <v>5632</v>
      </c>
      <c r="H518">
        <v>6124</v>
      </c>
      <c r="I518" t="s">
        <v>3438</v>
      </c>
      <c r="J518" t="s">
        <v>7708</v>
      </c>
      <c r="K518" t="s">
        <v>7709</v>
      </c>
      <c r="L518" t="s">
        <v>7710</v>
      </c>
      <c r="M518" t="s">
        <v>7710</v>
      </c>
      <c r="N518" t="s">
        <v>7711</v>
      </c>
      <c r="O518" t="s">
        <v>7712</v>
      </c>
      <c r="P518" t="s">
        <v>7713</v>
      </c>
      <c r="R518" t="s">
        <v>7714</v>
      </c>
      <c r="S518" t="s">
        <v>3469</v>
      </c>
    </row>
    <row r="519" spans="1:19" x14ac:dyDescent="0.2">
      <c r="A519" t="str">
        <f t="shared" si="8"/>
        <v>metab_compid_15765</v>
      </c>
      <c r="B519">
        <v>2054</v>
      </c>
      <c r="C519">
        <v>305</v>
      </c>
      <c r="D519">
        <v>15765</v>
      </c>
      <c r="E519">
        <v>147158</v>
      </c>
      <c r="F519" t="s">
        <v>3436</v>
      </c>
      <c r="G519" t="s">
        <v>3498</v>
      </c>
      <c r="H519">
        <v>412</v>
      </c>
      <c r="I519" t="s">
        <v>3438</v>
      </c>
      <c r="J519" t="s">
        <v>5127</v>
      </c>
      <c r="K519" t="s">
        <v>5128</v>
      </c>
      <c r="L519" t="s">
        <v>5129</v>
      </c>
      <c r="M519" t="s">
        <v>5129</v>
      </c>
      <c r="N519" t="s">
        <v>5130</v>
      </c>
      <c r="O519" t="s">
        <v>5131</v>
      </c>
      <c r="P519" t="s">
        <v>5132</v>
      </c>
      <c r="R519" t="s">
        <v>5133</v>
      </c>
      <c r="S519" t="s">
        <v>3489</v>
      </c>
    </row>
    <row r="520" spans="1:19" x14ac:dyDescent="0.2">
      <c r="A520" t="str">
        <f t="shared" si="8"/>
        <v>metab_compid_47112</v>
      </c>
      <c r="B520">
        <v>100005403</v>
      </c>
      <c r="C520">
        <v>209</v>
      </c>
      <c r="D520">
        <v>47112</v>
      </c>
      <c r="E520">
        <v>149383</v>
      </c>
      <c r="F520" t="s">
        <v>3459</v>
      </c>
      <c r="G520" t="s">
        <v>5559</v>
      </c>
      <c r="H520">
        <v>3373</v>
      </c>
      <c r="I520" t="s">
        <v>3438</v>
      </c>
      <c r="J520" t="s">
        <v>8320</v>
      </c>
      <c r="K520" t="s">
        <v>8321</v>
      </c>
      <c r="L520" t="s">
        <v>8322</v>
      </c>
      <c r="M520" t="s">
        <v>8322</v>
      </c>
      <c r="N520" t="s">
        <v>8323</v>
      </c>
      <c r="P520" t="s">
        <v>8324</v>
      </c>
      <c r="R520" t="s">
        <v>8325</v>
      </c>
      <c r="S520" t="s">
        <v>3469</v>
      </c>
    </row>
    <row r="521" spans="1:19" x14ac:dyDescent="0.2">
      <c r="A521" t="str">
        <f t="shared" si="8"/>
        <v>metab_compid_48715</v>
      </c>
      <c r="B521">
        <v>100006171</v>
      </c>
      <c r="C521">
        <v>209</v>
      </c>
      <c r="D521">
        <v>48715</v>
      </c>
      <c r="E521">
        <v>155107</v>
      </c>
      <c r="F521" t="s">
        <v>3863</v>
      </c>
      <c r="G521" t="s">
        <v>3864</v>
      </c>
      <c r="H521">
        <v>5145</v>
      </c>
      <c r="I521" t="s">
        <v>3438</v>
      </c>
      <c r="J521" t="s">
        <v>8484</v>
      </c>
      <c r="K521" t="s">
        <v>8485</v>
      </c>
      <c r="L521" t="s">
        <v>8486</v>
      </c>
      <c r="M521" t="s">
        <v>8486</v>
      </c>
      <c r="N521" t="s">
        <v>8487</v>
      </c>
      <c r="O521" t="s">
        <v>8434</v>
      </c>
      <c r="P521" t="s">
        <v>8488</v>
      </c>
      <c r="R521" t="s">
        <v>8489</v>
      </c>
      <c r="S521" t="s">
        <v>3469</v>
      </c>
    </row>
    <row r="522" spans="1:19" x14ac:dyDescent="0.2">
      <c r="A522" t="str">
        <f t="shared" si="8"/>
        <v>metab_compid_42613</v>
      </c>
      <c r="B522">
        <v>100003964</v>
      </c>
      <c r="C522">
        <v>209</v>
      </c>
      <c r="D522">
        <v>42613</v>
      </c>
      <c r="E522">
        <v>152900</v>
      </c>
      <c r="F522" t="s">
        <v>3863</v>
      </c>
      <c r="G522" t="s">
        <v>7590</v>
      </c>
      <c r="H522">
        <v>5773</v>
      </c>
      <c r="I522" t="s">
        <v>3438</v>
      </c>
      <c r="J522" t="s">
        <v>8004</v>
      </c>
      <c r="K522" t="s">
        <v>8005</v>
      </c>
      <c r="L522" t="s">
        <v>8006</v>
      </c>
      <c r="M522" t="s">
        <v>8006</v>
      </c>
      <c r="N522" t="s">
        <v>8007</v>
      </c>
      <c r="O522" t="s">
        <v>8008</v>
      </c>
      <c r="P522" t="s">
        <v>8009</v>
      </c>
      <c r="Q522" t="s">
        <v>8010</v>
      </c>
      <c r="R522" t="s">
        <v>8011</v>
      </c>
      <c r="S522" t="s">
        <v>3469</v>
      </c>
    </row>
    <row r="523" spans="1:19" x14ac:dyDescent="0.2">
      <c r="A523" t="str">
        <f t="shared" si="8"/>
        <v>metab_compid_62809</v>
      </c>
      <c r="B523">
        <v>100020902</v>
      </c>
      <c r="C523">
        <v>209</v>
      </c>
      <c r="D523">
        <v>62809</v>
      </c>
      <c r="E523">
        <v>220436</v>
      </c>
      <c r="F523" t="s">
        <v>3853</v>
      </c>
      <c r="G523" t="s">
        <v>6236</v>
      </c>
      <c r="H523">
        <v>1175</v>
      </c>
      <c r="I523" t="s">
        <v>3438</v>
      </c>
      <c r="J523" t="s">
        <v>9964</v>
      </c>
      <c r="K523" t="s">
        <v>9965</v>
      </c>
      <c r="L523" t="s">
        <v>9966</v>
      </c>
      <c r="M523" t="s">
        <v>9966</v>
      </c>
      <c r="R523" t="s">
        <v>9963</v>
      </c>
      <c r="S523" t="s">
        <v>3469</v>
      </c>
    </row>
    <row r="524" spans="1:19" x14ac:dyDescent="0.2">
      <c r="A524" t="str">
        <f t="shared" si="8"/>
        <v>metab_compid_62808</v>
      </c>
      <c r="B524">
        <v>100020901</v>
      </c>
      <c r="C524">
        <v>209</v>
      </c>
      <c r="D524">
        <v>62808</v>
      </c>
      <c r="E524">
        <v>220435</v>
      </c>
      <c r="F524" t="s">
        <v>3853</v>
      </c>
      <c r="G524" t="s">
        <v>6236</v>
      </c>
      <c r="H524">
        <v>1176</v>
      </c>
      <c r="I524" t="s">
        <v>3438</v>
      </c>
      <c r="J524" t="s">
        <v>9960</v>
      </c>
      <c r="K524" t="s">
        <v>9961</v>
      </c>
      <c r="L524" t="s">
        <v>9962</v>
      </c>
      <c r="M524" t="s">
        <v>9962</v>
      </c>
      <c r="R524" t="s">
        <v>9963</v>
      </c>
      <c r="S524" t="s">
        <v>3469</v>
      </c>
    </row>
    <row r="525" spans="1:19" x14ac:dyDescent="0.2">
      <c r="A525" t="str">
        <f t="shared" si="8"/>
        <v>metab_compid_62811</v>
      </c>
      <c r="B525">
        <v>100020903</v>
      </c>
      <c r="C525">
        <v>209</v>
      </c>
      <c r="D525">
        <v>62811</v>
      </c>
      <c r="E525">
        <v>220439</v>
      </c>
      <c r="F525" t="s">
        <v>3853</v>
      </c>
      <c r="G525" t="s">
        <v>6236</v>
      </c>
      <c r="H525">
        <v>1178</v>
      </c>
      <c r="I525" t="s">
        <v>3438</v>
      </c>
      <c r="J525" t="s">
        <v>9967</v>
      </c>
      <c r="K525" t="s">
        <v>9968</v>
      </c>
      <c r="L525" t="s">
        <v>9969</v>
      </c>
      <c r="M525" t="s">
        <v>9969</v>
      </c>
      <c r="R525" t="s">
        <v>9963</v>
      </c>
      <c r="S525" t="s">
        <v>3469</v>
      </c>
    </row>
    <row r="526" spans="1:19" x14ac:dyDescent="0.2">
      <c r="A526" t="str">
        <f t="shared" si="8"/>
        <v>metab_compid_62810</v>
      </c>
      <c r="B526">
        <v>100020904</v>
      </c>
      <c r="C526">
        <v>209</v>
      </c>
      <c r="D526">
        <v>62810</v>
      </c>
      <c r="E526">
        <v>220438</v>
      </c>
      <c r="F526" t="s">
        <v>3853</v>
      </c>
      <c r="G526" t="s">
        <v>6236</v>
      </c>
      <c r="H526">
        <v>1177</v>
      </c>
      <c r="I526" t="s">
        <v>3438</v>
      </c>
      <c r="J526" t="s">
        <v>9970</v>
      </c>
      <c r="K526" t="s">
        <v>9971</v>
      </c>
      <c r="L526" t="s">
        <v>9972</v>
      </c>
      <c r="M526" t="s">
        <v>9972</v>
      </c>
      <c r="R526" t="s">
        <v>9963</v>
      </c>
      <c r="S526" t="s">
        <v>3469</v>
      </c>
    </row>
    <row r="527" spans="1:19" x14ac:dyDescent="0.2">
      <c r="A527" t="str">
        <f t="shared" si="8"/>
        <v>metab_compid_62148</v>
      </c>
      <c r="B527">
        <v>100020274</v>
      </c>
      <c r="C527">
        <v>209</v>
      </c>
      <c r="D527">
        <v>62148</v>
      </c>
      <c r="E527">
        <v>219040</v>
      </c>
      <c r="F527" t="s">
        <v>3853</v>
      </c>
      <c r="G527" t="s">
        <v>6236</v>
      </c>
      <c r="H527">
        <v>1179</v>
      </c>
      <c r="I527" t="s">
        <v>3438</v>
      </c>
      <c r="J527" t="s">
        <v>9699</v>
      </c>
      <c r="K527" t="s">
        <v>9700</v>
      </c>
      <c r="L527" t="s">
        <v>9701</v>
      </c>
      <c r="M527" t="s">
        <v>9701</v>
      </c>
      <c r="S527" t="s">
        <v>3469</v>
      </c>
    </row>
    <row r="528" spans="1:19" x14ac:dyDescent="0.2">
      <c r="A528" t="str">
        <f t="shared" si="8"/>
        <v>metab_compid_62149</v>
      </c>
      <c r="B528">
        <v>100020275</v>
      </c>
      <c r="C528">
        <v>209</v>
      </c>
      <c r="D528">
        <v>62149</v>
      </c>
      <c r="E528">
        <v>219041</v>
      </c>
      <c r="F528" t="s">
        <v>3853</v>
      </c>
      <c r="G528" t="s">
        <v>6236</v>
      </c>
      <c r="H528">
        <v>1180</v>
      </c>
      <c r="I528" t="s">
        <v>3438</v>
      </c>
      <c r="J528" t="s">
        <v>9702</v>
      </c>
      <c r="K528" t="s">
        <v>9703</v>
      </c>
      <c r="L528" t="s">
        <v>9704</v>
      </c>
      <c r="M528" t="s">
        <v>9704</v>
      </c>
      <c r="S528" t="s">
        <v>3469</v>
      </c>
    </row>
    <row r="529" spans="1:19" x14ac:dyDescent="0.2">
      <c r="A529" t="str">
        <f t="shared" si="8"/>
        <v>metab_compid_62812</v>
      </c>
      <c r="B529">
        <v>100020905</v>
      </c>
      <c r="C529">
        <v>209</v>
      </c>
      <c r="D529">
        <v>62812</v>
      </c>
      <c r="E529">
        <v>220440</v>
      </c>
      <c r="F529" t="s">
        <v>3853</v>
      </c>
      <c r="G529" t="s">
        <v>6236</v>
      </c>
      <c r="H529">
        <v>1181</v>
      </c>
      <c r="I529" t="s">
        <v>3438</v>
      </c>
      <c r="J529" t="s">
        <v>9973</v>
      </c>
      <c r="K529" t="s">
        <v>9974</v>
      </c>
      <c r="L529" t="s">
        <v>9975</v>
      </c>
      <c r="M529" t="s">
        <v>9975</v>
      </c>
      <c r="R529" t="s">
        <v>9963</v>
      </c>
      <c r="S529" t="s">
        <v>3469</v>
      </c>
    </row>
    <row r="530" spans="1:19" x14ac:dyDescent="0.2">
      <c r="A530" t="str">
        <f t="shared" si="8"/>
        <v>metab_compid_31548</v>
      </c>
      <c r="B530">
        <v>100001323</v>
      </c>
      <c r="C530">
        <v>209</v>
      </c>
      <c r="D530">
        <v>31548</v>
      </c>
      <c r="E530">
        <v>147074</v>
      </c>
      <c r="F530" t="s">
        <v>3853</v>
      </c>
      <c r="G530" t="s">
        <v>6236</v>
      </c>
      <c r="H530">
        <v>1182</v>
      </c>
      <c r="I530" t="s">
        <v>3438</v>
      </c>
      <c r="J530" t="s">
        <v>6243</v>
      </c>
      <c r="K530" t="s">
        <v>6244</v>
      </c>
      <c r="L530" t="s">
        <v>6245</v>
      </c>
      <c r="M530" t="s">
        <v>6245</v>
      </c>
      <c r="O530" t="s">
        <v>6246</v>
      </c>
      <c r="R530" t="s">
        <v>6247</v>
      </c>
      <c r="S530" t="s">
        <v>3469</v>
      </c>
    </row>
    <row r="531" spans="1:19" x14ac:dyDescent="0.2">
      <c r="A531" t="str">
        <f t="shared" si="8"/>
        <v>metab_compid_57712</v>
      </c>
      <c r="B531">
        <v>100001324</v>
      </c>
      <c r="C531">
        <v>209</v>
      </c>
      <c r="D531">
        <v>57712</v>
      </c>
      <c r="E531">
        <v>212501</v>
      </c>
      <c r="F531" t="s">
        <v>3853</v>
      </c>
      <c r="G531" t="s">
        <v>6236</v>
      </c>
      <c r="H531">
        <v>1183</v>
      </c>
      <c r="I531" t="s">
        <v>3438</v>
      </c>
      <c r="J531" t="s">
        <v>6248</v>
      </c>
      <c r="K531" t="s">
        <v>6249</v>
      </c>
      <c r="L531" t="s">
        <v>6250</v>
      </c>
      <c r="M531" t="s">
        <v>6250</v>
      </c>
      <c r="N531" t="s">
        <v>6251</v>
      </c>
      <c r="O531" t="s">
        <v>6252</v>
      </c>
      <c r="R531" t="s">
        <v>6253</v>
      </c>
      <c r="S531" t="s">
        <v>3469</v>
      </c>
    </row>
    <row r="532" spans="1:19" x14ac:dyDescent="0.2">
      <c r="A532" t="str">
        <f t="shared" si="8"/>
        <v>metab_compid_33084</v>
      </c>
      <c r="B532">
        <v>100001322</v>
      </c>
      <c r="C532">
        <v>400</v>
      </c>
      <c r="D532">
        <v>33084</v>
      </c>
      <c r="E532">
        <v>156001</v>
      </c>
      <c r="F532" t="s">
        <v>3853</v>
      </c>
      <c r="G532" t="s">
        <v>6236</v>
      </c>
      <c r="H532">
        <v>1174</v>
      </c>
      <c r="I532" t="s">
        <v>3438</v>
      </c>
      <c r="J532" t="s">
        <v>6237</v>
      </c>
      <c r="K532" t="s">
        <v>6238</v>
      </c>
      <c r="L532" t="s">
        <v>6239</v>
      </c>
      <c r="M532" t="s">
        <v>6239</v>
      </c>
      <c r="N532" t="s">
        <v>6240</v>
      </c>
      <c r="O532" t="s">
        <v>6241</v>
      </c>
      <c r="R532" t="s">
        <v>6242</v>
      </c>
      <c r="S532" t="s">
        <v>3458</v>
      </c>
    </row>
    <row r="533" spans="1:19" x14ac:dyDescent="0.2">
      <c r="A533" t="str">
        <f t="shared" si="8"/>
        <v>metab_compid_62815</v>
      </c>
      <c r="B533">
        <v>100020912</v>
      </c>
      <c r="C533">
        <v>209</v>
      </c>
      <c r="D533">
        <v>62815</v>
      </c>
      <c r="E533">
        <v>220448</v>
      </c>
      <c r="F533" t="s">
        <v>3853</v>
      </c>
      <c r="G533" t="s">
        <v>6236</v>
      </c>
      <c r="H533">
        <v>1195</v>
      </c>
      <c r="I533" t="s">
        <v>3438</v>
      </c>
      <c r="J533" t="s">
        <v>9998</v>
      </c>
      <c r="K533" t="s">
        <v>9999</v>
      </c>
      <c r="L533" t="s">
        <v>10000</v>
      </c>
      <c r="M533" t="s">
        <v>10000</v>
      </c>
      <c r="R533" t="s">
        <v>9997</v>
      </c>
      <c r="S533" t="s">
        <v>3469</v>
      </c>
    </row>
    <row r="534" spans="1:19" x14ac:dyDescent="0.2">
      <c r="A534" t="str">
        <f t="shared" si="8"/>
        <v>metab_compid_62814</v>
      </c>
      <c r="B534">
        <v>100020910</v>
      </c>
      <c r="C534">
        <v>209</v>
      </c>
      <c r="D534">
        <v>62814</v>
      </c>
      <c r="E534">
        <v>220446</v>
      </c>
      <c r="F534" t="s">
        <v>3853</v>
      </c>
      <c r="G534" t="s">
        <v>6236</v>
      </c>
      <c r="H534">
        <v>1196</v>
      </c>
      <c r="I534" t="s">
        <v>3438</v>
      </c>
      <c r="J534" t="s">
        <v>9994</v>
      </c>
      <c r="K534" t="s">
        <v>9995</v>
      </c>
      <c r="L534" t="s">
        <v>9996</v>
      </c>
      <c r="M534" t="s">
        <v>9996</v>
      </c>
      <c r="R534" t="s">
        <v>9997</v>
      </c>
      <c r="S534" t="s">
        <v>3469</v>
      </c>
    </row>
    <row r="535" spans="1:19" x14ac:dyDescent="0.2">
      <c r="A535" t="str">
        <f t="shared" si="8"/>
        <v>metab_compid_62813</v>
      </c>
      <c r="B535">
        <v>100020908</v>
      </c>
      <c r="C535">
        <v>209</v>
      </c>
      <c r="D535">
        <v>62813</v>
      </c>
      <c r="E535">
        <v>220443</v>
      </c>
      <c r="F535" t="s">
        <v>3853</v>
      </c>
      <c r="G535" t="s">
        <v>6236</v>
      </c>
      <c r="H535">
        <v>1197</v>
      </c>
      <c r="I535" t="s">
        <v>3438</v>
      </c>
      <c r="J535" t="s">
        <v>9984</v>
      </c>
      <c r="K535" t="s">
        <v>9985</v>
      </c>
      <c r="L535" t="s">
        <v>9986</v>
      </c>
      <c r="M535" t="s">
        <v>9986</v>
      </c>
      <c r="S535" t="s">
        <v>3469</v>
      </c>
    </row>
    <row r="536" spans="1:19" x14ac:dyDescent="0.2">
      <c r="A536" t="str">
        <f t="shared" si="8"/>
        <v>metab_compid_62816</v>
      </c>
      <c r="B536">
        <v>100020913</v>
      </c>
      <c r="C536">
        <v>209</v>
      </c>
      <c r="D536">
        <v>62816</v>
      </c>
      <c r="E536">
        <v>220452</v>
      </c>
      <c r="F536" t="s">
        <v>3853</v>
      </c>
      <c r="G536" t="s">
        <v>6236</v>
      </c>
      <c r="H536">
        <v>1194</v>
      </c>
      <c r="I536" t="s">
        <v>3438</v>
      </c>
      <c r="J536" t="s">
        <v>10001</v>
      </c>
      <c r="K536" t="s">
        <v>10002</v>
      </c>
      <c r="L536" t="s">
        <v>10003</v>
      </c>
      <c r="M536" t="s">
        <v>10003</v>
      </c>
      <c r="R536" t="s">
        <v>9997</v>
      </c>
      <c r="S536" t="s">
        <v>3469</v>
      </c>
    </row>
    <row r="537" spans="1:19" x14ac:dyDescent="0.2">
      <c r="A537" t="str">
        <f t="shared" si="8"/>
        <v>metab_compid_57707</v>
      </c>
      <c r="B537">
        <v>100015972</v>
      </c>
      <c r="C537">
        <v>400</v>
      </c>
      <c r="D537">
        <v>57707</v>
      </c>
      <c r="E537">
        <v>212494</v>
      </c>
      <c r="F537" t="s">
        <v>3863</v>
      </c>
      <c r="G537" t="s">
        <v>7477</v>
      </c>
      <c r="H537">
        <v>5544</v>
      </c>
      <c r="I537" t="s">
        <v>3438</v>
      </c>
      <c r="J537" t="s">
        <v>9541</v>
      </c>
      <c r="K537" t="s">
        <v>9542</v>
      </c>
      <c r="L537" t="s">
        <v>9543</v>
      </c>
      <c r="M537" t="s">
        <v>9543</v>
      </c>
      <c r="N537" t="s">
        <v>9544</v>
      </c>
      <c r="O537" t="s">
        <v>9545</v>
      </c>
      <c r="P537" t="s">
        <v>9546</v>
      </c>
      <c r="Q537" t="s">
        <v>9547</v>
      </c>
      <c r="R537" t="s">
        <v>9548</v>
      </c>
      <c r="S537" t="s">
        <v>3458</v>
      </c>
    </row>
    <row r="538" spans="1:19" x14ac:dyDescent="0.2">
      <c r="A538" t="str">
        <f t="shared" si="8"/>
        <v>metab_compid_44619</v>
      </c>
      <c r="B538">
        <v>1382</v>
      </c>
      <c r="C538">
        <v>402</v>
      </c>
      <c r="D538">
        <v>44619</v>
      </c>
      <c r="E538">
        <v>159615</v>
      </c>
      <c r="F538" t="s">
        <v>3863</v>
      </c>
      <c r="G538" t="s">
        <v>4933</v>
      </c>
      <c r="H538">
        <v>5889</v>
      </c>
      <c r="I538" t="s">
        <v>3438</v>
      </c>
      <c r="J538" t="s">
        <v>4934</v>
      </c>
      <c r="K538" t="s">
        <v>4935</v>
      </c>
      <c r="L538" t="s">
        <v>4936</v>
      </c>
      <c r="M538" t="s">
        <v>4936</v>
      </c>
      <c r="N538" t="s">
        <v>4937</v>
      </c>
      <c r="O538" t="s">
        <v>4938</v>
      </c>
      <c r="P538" t="s">
        <v>4939</v>
      </c>
      <c r="Q538" t="s">
        <v>4940</v>
      </c>
      <c r="R538" t="s">
        <v>4941</v>
      </c>
      <c r="S538" t="s">
        <v>3447</v>
      </c>
    </row>
    <row r="539" spans="1:19" x14ac:dyDescent="0.2">
      <c r="A539" t="str">
        <f t="shared" si="8"/>
        <v>metab_compid_43493</v>
      </c>
      <c r="B539">
        <v>100002500</v>
      </c>
      <c r="C539">
        <v>400</v>
      </c>
      <c r="D539">
        <v>43493</v>
      </c>
      <c r="E539">
        <v>157017</v>
      </c>
      <c r="F539" t="s">
        <v>3436</v>
      </c>
      <c r="G539" t="s">
        <v>3906</v>
      </c>
      <c r="H539">
        <v>83</v>
      </c>
      <c r="I539" t="s">
        <v>3438</v>
      </c>
      <c r="J539" t="s">
        <v>7535</v>
      </c>
      <c r="K539" t="s">
        <v>7536</v>
      </c>
      <c r="L539" t="s">
        <v>7537</v>
      </c>
      <c r="M539" t="s">
        <v>7537</v>
      </c>
      <c r="N539" t="s">
        <v>7538</v>
      </c>
      <c r="O539" t="s">
        <v>7539</v>
      </c>
      <c r="P539" t="s">
        <v>7540</v>
      </c>
      <c r="Q539" t="s">
        <v>7541</v>
      </c>
      <c r="R539" t="s">
        <v>7542</v>
      </c>
      <c r="S539" t="s">
        <v>3458</v>
      </c>
    </row>
    <row r="540" spans="1:19" x14ac:dyDescent="0.2">
      <c r="A540" t="str">
        <f t="shared" si="8"/>
        <v>metab_compid_48195</v>
      </c>
      <c r="B540">
        <v>878</v>
      </c>
      <c r="C540">
        <v>305</v>
      </c>
      <c r="D540">
        <v>48195</v>
      </c>
      <c r="E540">
        <v>153126</v>
      </c>
      <c r="F540" t="s">
        <v>3977</v>
      </c>
      <c r="G540" t="s">
        <v>4293</v>
      </c>
      <c r="H540">
        <v>1364</v>
      </c>
      <c r="I540" t="s">
        <v>3438</v>
      </c>
      <c r="J540" t="s">
        <v>4382</v>
      </c>
      <c r="K540" t="s">
        <v>4383</v>
      </c>
      <c r="L540" t="s">
        <v>4384</v>
      </c>
      <c r="M540" t="s">
        <v>4384</v>
      </c>
      <c r="N540" t="s">
        <v>4385</v>
      </c>
      <c r="O540" t="s">
        <v>4386</v>
      </c>
      <c r="P540" t="s">
        <v>4387</v>
      </c>
      <c r="Q540" t="s">
        <v>4388</v>
      </c>
      <c r="R540" t="s">
        <v>4389</v>
      </c>
      <c r="S540" t="s">
        <v>3489</v>
      </c>
    </row>
    <row r="541" spans="1:19" x14ac:dyDescent="0.2">
      <c r="A541" t="str">
        <f t="shared" si="8"/>
        <v>metab_compid_46227</v>
      </c>
      <c r="B541">
        <v>100005373</v>
      </c>
      <c r="C541">
        <v>400</v>
      </c>
      <c r="D541">
        <v>46227</v>
      </c>
      <c r="E541">
        <v>221883</v>
      </c>
      <c r="F541" t="s">
        <v>3436</v>
      </c>
      <c r="G541" t="s">
        <v>3586</v>
      </c>
      <c r="H541">
        <v>123</v>
      </c>
      <c r="I541" t="s">
        <v>3438</v>
      </c>
      <c r="J541" t="s">
        <v>8289</v>
      </c>
      <c r="K541" t="s">
        <v>8290</v>
      </c>
      <c r="L541" t="s">
        <v>8291</v>
      </c>
      <c r="M541" t="s">
        <v>8291</v>
      </c>
      <c r="N541" t="s">
        <v>8292</v>
      </c>
      <c r="O541" t="s">
        <v>8293</v>
      </c>
      <c r="P541" t="s">
        <v>8294</v>
      </c>
      <c r="R541" t="s">
        <v>8295</v>
      </c>
      <c r="S541" t="s">
        <v>3458</v>
      </c>
    </row>
    <row r="542" spans="1:19" x14ac:dyDescent="0.2">
      <c r="A542" t="str">
        <f t="shared" si="8"/>
        <v>metab_compid_1643</v>
      </c>
      <c r="B542">
        <v>330</v>
      </c>
      <c r="C542">
        <v>305</v>
      </c>
      <c r="D542">
        <v>1643</v>
      </c>
      <c r="E542">
        <v>146876</v>
      </c>
      <c r="F542" t="s">
        <v>3479</v>
      </c>
      <c r="G542" t="s">
        <v>3480</v>
      </c>
      <c r="H542">
        <v>1467</v>
      </c>
      <c r="I542" t="s">
        <v>3438</v>
      </c>
      <c r="J542" t="s">
        <v>3845</v>
      </c>
      <c r="K542" t="s">
        <v>3846</v>
      </c>
      <c r="L542" t="s">
        <v>3847</v>
      </c>
      <c r="M542" t="s">
        <v>3847</v>
      </c>
      <c r="N542" t="s">
        <v>3848</v>
      </c>
      <c r="O542" t="s">
        <v>3849</v>
      </c>
      <c r="P542" t="s">
        <v>3850</v>
      </c>
      <c r="Q542" t="s">
        <v>3851</v>
      </c>
      <c r="R542" t="s">
        <v>3852</v>
      </c>
      <c r="S542" t="s">
        <v>3489</v>
      </c>
    </row>
    <row r="543" spans="1:19" x14ac:dyDescent="0.2">
      <c r="A543" t="str">
        <f t="shared" si="8"/>
        <v>metab_compid_43009</v>
      </c>
      <c r="B543">
        <v>100004241</v>
      </c>
      <c r="C543">
        <v>209</v>
      </c>
      <c r="D543">
        <v>43009</v>
      </c>
      <c r="E543">
        <v>143973</v>
      </c>
      <c r="F543" t="s">
        <v>3863</v>
      </c>
      <c r="G543" t="s">
        <v>7216</v>
      </c>
      <c r="H543">
        <v>5704</v>
      </c>
      <c r="I543" t="s">
        <v>3438</v>
      </c>
      <c r="J543" t="s">
        <v>8147</v>
      </c>
      <c r="K543" t="s">
        <v>8148</v>
      </c>
      <c r="L543" t="s">
        <v>8149</v>
      </c>
      <c r="M543" t="s">
        <v>8149</v>
      </c>
      <c r="N543" t="s">
        <v>8150</v>
      </c>
      <c r="O543" t="s">
        <v>8151</v>
      </c>
      <c r="P543" t="s">
        <v>8152</v>
      </c>
      <c r="Q543" t="s">
        <v>8153</v>
      </c>
      <c r="R543" t="s">
        <v>8154</v>
      </c>
      <c r="S543" t="s">
        <v>3469</v>
      </c>
    </row>
    <row r="544" spans="1:19" x14ac:dyDescent="0.2">
      <c r="A544" t="str">
        <f t="shared" si="8"/>
        <v>metab_compid_38686</v>
      </c>
      <c r="B544">
        <v>100002806</v>
      </c>
      <c r="C544">
        <v>209</v>
      </c>
      <c r="D544">
        <v>38686</v>
      </c>
      <c r="E544">
        <v>141902</v>
      </c>
      <c r="F544" t="s">
        <v>3863</v>
      </c>
      <c r="G544" t="s">
        <v>4959</v>
      </c>
      <c r="H544">
        <v>5859</v>
      </c>
      <c r="I544" t="s">
        <v>3438</v>
      </c>
      <c r="J544" t="s">
        <v>7676</v>
      </c>
      <c r="K544" t="s">
        <v>7677</v>
      </c>
      <c r="L544" t="s">
        <v>7678</v>
      </c>
      <c r="M544" t="s">
        <v>7678</v>
      </c>
      <c r="N544" t="s">
        <v>7679</v>
      </c>
      <c r="O544" t="s">
        <v>7680</v>
      </c>
      <c r="P544" t="s">
        <v>7681</v>
      </c>
      <c r="Q544" t="s">
        <v>7682</v>
      </c>
      <c r="R544" t="s">
        <v>7683</v>
      </c>
      <c r="S544" t="s">
        <v>3469</v>
      </c>
    </row>
    <row r="545" spans="1:19" x14ac:dyDescent="0.2">
      <c r="A545" t="str">
        <f t="shared" si="8"/>
        <v>metab_compid_27719</v>
      </c>
      <c r="B545">
        <v>100001026</v>
      </c>
      <c r="C545">
        <v>305</v>
      </c>
      <c r="D545">
        <v>27719</v>
      </c>
      <c r="E545">
        <v>152158</v>
      </c>
      <c r="F545" t="s">
        <v>3977</v>
      </c>
      <c r="G545" t="s">
        <v>4293</v>
      </c>
      <c r="H545">
        <v>1390</v>
      </c>
      <c r="I545" t="s">
        <v>3438</v>
      </c>
      <c r="J545" t="s">
        <v>5724</v>
      </c>
      <c r="K545" t="s">
        <v>5725</v>
      </c>
      <c r="L545" t="s">
        <v>5726</v>
      </c>
      <c r="M545" t="s">
        <v>5726</v>
      </c>
      <c r="N545" t="s">
        <v>5727</v>
      </c>
      <c r="O545" t="s">
        <v>5728</v>
      </c>
      <c r="P545" t="s">
        <v>5729</v>
      </c>
      <c r="Q545" t="s">
        <v>5730</v>
      </c>
      <c r="R545" t="s">
        <v>5731</v>
      </c>
      <c r="S545" t="s">
        <v>3489</v>
      </c>
    </row>
    <row r="546" spans="1:19" x14ac:dyDescent="0.2">
      <c r="A546" t="str">
        <f t="shared" si="8"/>
        <v>metab_compid_44876</v>
      </c>
      <c r="B546">
        <v>100002094</v>
      </c>
      <c r="C546">
        <v>209</v>
      </c>
      <c r="D546">
        <v>44876</v>
      </c>
      <c r="E546">
        <v>127733</v>
      </c>
      <c r="F546" t="s">
        <v>3448</v>
      </c>
      <c r="G546" t="s">
        <v>4679</v>
      </c>
      <c r="H546">
        <v>4389</v>
      </c>
      <c r="I546" t="s">
        <v>3438</v>
      </c>
      <c r="J546" t="s">
        <v>7240</v>
      </c>
      <c r="K546" t="s">
        <v>7241</v>
      </c>
      <c r="L546" t="s">
        <v>7242</v>
      </c>
      <c r="M546" t="s">
        <v>7242</v>
      </c>
      <c r="N546" t="s">
        <v>7243</v>
      </c>
      <c r="O546" t="s">
        <v>7244</v>
      </c>
      <c r="P546" t="s">
        <v>7245</v>
      </c>
      <c r="R546" t="s">
        <v>7246</v>
      </c>
      <c r="S546" t="s">
        <v>3469</v>
      </c>
    </row>
    <row r="547" spans="1:19" x14ac:dyDescent="0.2">
      <c r="A547" t="str">
        <f t="shared" si="8"/>
        <v>metab_compid_42381</v>
      </c>
      <c r="B547">
        <v>100004243</v>
      </c>
      <c r="C547">
        <v>209</v>
      </c>
      <c r="D547">
        <v>42381</v>
      </c>
      <c r="E547">
        <v>144301</v>
      </c>
      <c r="F547" t="s">
        <v>3448</v>
      </c>
      <c r="G547" t="s">
        <v>4679</v>
      </c>
      <c r="H547">
        <v>4390</v>
      </c>
      <c r="I547" t="s">
        <v>3438</v>
      </c>
      <c r="J547" t="s">
        <v>8155</v>
      </c>
      <c r="K547" t="s">
        <v>8156</v>
      </c>
      <c r="L547" t="s">
        <v>8157</v>
      </c>
      <c r="M547" t="s">
        <v>8157</v>
      </c>
      <c r="R547" t="s">
        <v>8158</v>
      </c>
      <c r="S547" t="s">
        <v>3469</v>
      </c>
    </row>
    <row r="548" spans="1:19" x14ac:dyDescent="0.2">
      <c r="A548" t="str">
        <f t="shared" si="8"/>
        <v>metab_compid_55015</v>
      </c>
      <c r="B548">
        <v>100010901</v>
      </c>
      <c r="C548">
        <v>400</v>
      </c>
      <c r="D548">
        <v>55015</v>
      </c>
      <c r="E548">
        <v>208464</v>
      </c>
      <c r="F548" t="s">
        <v>3853</v>
      </c>
      <c r="G548" t="s">
        <v>3854</v>
      </c>
      <c r="H548">
        <v>656</v>
      </c>
      <c r="I548" t="s">
        <v>3438</v>
      </c>
      <c r="J548" t="s">
        <v>9264</v>
      </c>
      <c r="K548" t="s">
        <v>9265</v>
      </c>
      <c r="L548" t="s">
        <v>9266</v>
      </c>
      <c r="M548" t="s">
        <v>9266</v>
      </c>
      <c r="O548" t="s">
        <v>9267</v>
      </c>
      <c r="R548" t="s">
        <v>9268</v>
      </c>
      <c r="S548" t="s">
        <v>3458</v>
      </c>
    </row>
    <row r="549" spans="1:19" x14ac:dyDescent="0.2">
      <c r="A549" t="str">
        <f t="shared" si="8"/>
        <v>metab_compid_37063</v>
      </c>
      <c r="B549">
        <v>100001843</v>
      </c>
      <c r="C549">
        <v>400</v>
      </c>
      <c r="D549">
        <v>37063</v>
      </c>
      <c r="E549">
        <v>156289</v>
      </c>
      <c r="F549" t="s">
        <v>3853</v>
      </c>
      <c r="G549" t="s">
        <v>3854</v>
      </c>
      <c r="H549">
        <v>648</v>
      </c>
      <c r="I549" t="s">
        <v>3438</v>
      </c>
      <c r="J549" t="s">
        <v>7030</v>
      </c>
      <c r="K549" t="s">
        <v>7031</v>
      </c>
      <c r="L549" t="s">
        <v>7032</v>
      </c>
      <c r="M549" t="s">
        <v>7032</v>
      </c>
      <c r="N549" t="s">
        <v>7033</v>
      </c>
      <c r="O549" t="s">
        <v>7034</v>
      </c>
      <c r="P549" t="s">
        <v>7035</v>
      </c>
      <c r="Q549" t="s">
        <v>7036</v>
      </c>
      <c r="R549" t="s">
        <v>7037</v>
      </c>
      <c r="S549" t="s">
        <v>3458</v>
      </c>
    </row>
    <row r="550" spans="1:19" x14ac:dyDescent="0.2">
      <c r="A550" t="str">
        <f t="shared" si="8"/>
        <v>metab_compid_62104</v>
      </c>
      <c r="B550">
        <v>100020241</v>
      </c>
      <c r="C550">
        <v>400</v>
      </c>
      <c r="D550">
        <v>62104</v>
      </c>
      <c r="E550">
        <v>218950</v>
      </c>
      <c r="F550" t="s">
        <v>3853</v>
      </c>
      <c r="G550" t="s">
        <v>3854</v>
      </c>
      <c r="H550">
        <v>665</v>
      </c>
      <c r="I550" t="s">
        <v>3438</v>
      </c>
      <c r="J550" t="s">
        <v>9685</v>
      </c>
      <c r="K550" t="s">
        <v>9686</v>
      </c>
      <c r="L550" t="s">
        <v>9687</v>
      </c>
      <c r="M550" t="s">
        <v>9687</v>
      </c>
      <c r="S550" t="s">
        <v>3458</v>
      </c>
    </row>
    <row r="551" spans="1:19" x14ac:dyDescent="0.2">
      <c r="A551" t="str">
        <f t="shared" si="8"/>
        <v>metab_compid_36738</v>
      </c>
      <c r="B551">
        <v>331</v>
      </c>
      <c r="C551">
        <v>400</v>
      </c>
      <c r="D551">
        <v>36738</v>
      </c>
      <c r="E551">
        <v>156248</v>
      </c>
      <c r="F551" t="s">
        <v>3853</v>
      </c>
      <c r="G551" t="s">
        <v>3854</v>
      </c>
      <c r="H551">
        <v>650</v>
      </c>
      <c r="I551" t="s">
        <v>3438</v>
      </c>
      <c r="J551" t="s">
        <v>3855</v>
      </c>
      <c r="K551" t="s">
        <v>3856</v>
      </c>
      <c r="L551" t="s">
        <v>3857</v>
      </c>
      <c r="M551" t="s">
        <v>3857</v>
      </c>
      <c r="N551" t="s">
        <v>3858</v>
      </c>
      <c r="O551" t="s">
        <v>3859</v>
      </c>
      <c r="P551" t="s">
        <v>3860</v>
      </c>
      <c r="Q551" t="s">
        <v>3861</v>
      </c>
      <c r="R551" t="s">
        <v>3862</v>
      </c>
      <c r="S551" t="s">
        <v>3458</v>
      </c>
    </row>
    <row r="552" spans="1:19" x14ac:dyDescent="0.2">
      <c r="A552" t="str">
        <f t="shared" si="8"/>
        <v>metab_compid_2730</v>
      </c>
      <c r="B552">
        <v>1140</v>
      </c>
      <c r="C552">
        <v>400</v>
      </c>
      <c r="D552">
        <v>2730</v>
      </c>
      <c r="E552">
        <v>155470</v>
      </c>
      <c r="F552" t="s">
        <v>3853</v>
      </c>
      <c r="G552" t="s">
        <v>3854</v>
      </c>
      <c r="H552">
        <v>651</v>
      </c>
      <c r="I552" t="s">
        <v>3438</v>
      </c>
      <c r="J552" t="s">
        <v>4782</v>
      </c>
      <c r="K552" t="s">
        <v>4783</v>
      </c>
      <c r="L552" t="s">
        <v>4784</v>
      </c>
      <c r="M552" t="s">
        <v>4784</v>
      </c>
      <c r="N552" t="s">
        <v>4785</v>
      </c>
      <c r="O552" t="s">
        <v>4786</v>
      </c>
      <c r="P552" t="s">
        <v>4787</v>
      </c>
      <c r="Q552" t="s">
        <v>4788</v>
      </c>
      <c r="R552" t="s">
        <v>4789</v>
      </c>
      <c r="S552" t="s">
        <v>3458</v>
      </c>
    </row>
    <row r="553" spans="1:19" x14ac:dyDescent="0.2">
      <c r="A553" t="str">
        <f t="shared" si="8"/>
        <v>metab_compid_33949</v>
      </c>
      <c r="B553">
        <v>100001294</v>
      </c>
      <c r="C553">
        <v>400</v>
      </c>
      <c r="D553">
        <v>33949</v>
      </c>
      <c r="E553">
        <v>156047</v>
      </c>
      <c r="F553" t="s">
        <v>3853</v>
      </c>
      <c r="G553" t="s">
        <v>3854</v>
      </c>
      <c r="H553">
        <v>652</v>
      </c>
      <c r="I553" t="s">
        <v>3438</v>
      </c>
      <c r="J553" t="s">
        <v>6164</v>
      </c>
      <c r="K553" t="s">
        <v>6165</v>
      </c>
      <c r="L553" t="s">
        <v>6166</v>
      </c>
      <c r="M553" t="s">
        <v>6166</v>
      </c>
      <c r="N553" t="s">
        <v>6167</v>
      </c>
      <c r="O553" t="s">
        <v>6168</v>
      </c>
      <c r="P553" t="s">
        <v>6169</v>
      </c>
      <c r="R553" t="s">
        <v>6170</v>
      </c>
      <c r="S553" t="s">
        <v>3458</v>
      </c>
    </row>
    <row r="554" spans="1:19" x14ac:dyDescent="0.2">
      <c r="A554" t="str">
        <f t="shared" si="8"/>
        <v>metab_compid_18245</v>
      </c>
      <c r="B554">
        <v>1235</v>
      </c>
      <c r="C554">
        <v>400</v>
      </c>
      <c r="D554">
        <v>18245</v>
      </c>
      <c r="E554">
        <v>155638</v>
      </c>
      <c r="F554" t="s">
        <v>3853</v>
      </c>
      <c r="G554" t="s">
        <v>3854</v>
      </c>
      <c r="H554">
        <v>653</v>
      </c>
      <c r="I554" t="s">
        <v>3438</v>
      </c>
      <c r="J554" t="s">
        <v>4862</v>
      </c>
      <c r="K554" t="s">
        <v>4863</v>
      </c>
      <c r="L554" t="s">
        <v>4864</v>
      </c>
      <c r="M554" t="s">
        <v>4864</v>
      </c>
      <c r="N554" t="s">
        <v>4865</v>
      </c>
      <c r="O554" t="s">
        <v>4866</v>
      </c>
      <c r="P554" t="s">
        <v>4867</v>
      </c>
      <c r="R554" t="s">
        <v>4868</v>
      </c>
      <c r="S554" t="s">
        <v>3458</v>
      </c>
    </row>
    <row r="555" spans="1:19" x14ac:dyDescent="0.2">
      <c r="A555" t="str">
        <f t="shared" si="8"/>
        <v>metab_compid_34456</v>
      </c>
      <c r="B555">
        <v>100001485</v>
      </c>
      <c r="C555">
        <v>400</v>
      </c>
      <c r="D555">
        <v>34456</v>
      </c>
      <c r="E555">
        <v>156123</v>
      </c>
      <c r="F555" t="s">
        <v>3853</v>
      </c>
      <c r="G555" t="s">
        <v>3854</v>
      </c>
      <c r="H555">
        <v>654</v>
      </c>
      <c r="I555" t="s">
        <v>3438</v>
      </c>
      <c r="J555" t="s">
        <v>6529</v>
      </c>
      <c r="K555" t="s">
        <v>6530</v>
      </c>
      <c r="L555" t="s">
        <v>6531</v>
      </c>
      <c r="M555" t="s">
        <v>6531</v>
      </c>
      <c r="O555" t="s">
        <v>6532</v>
      </c>
      <c r="P555" t="s">
        <v>6533</v>
      </c>
      <c r="R555" t="s">
        <v>6534</v>
      </c>
      <c r="S555" t="s">
        <v>3458</v>
      </c>
    </row>
    <row r="556" spans="1:19" x14ac:dyDescent="0.2">
      <c r="A556" t="str">
        <f t="shared" si="8"/>
        <v>metab_compid_18369</v>
      </c>
      <c r="B556">
        <v>1268</v>
      </c>
      <c r="C556">
        <v>400</v>
      </c>
      <c r="D556">
        <v>18369</v>
      </c>
      <c r="E556">
        <v>155662</v>
      </c>
      <c r="F556" t="s">
        <v>3853</v>
      </c>
      <c r="G556" t="s">
        <v>3854</v>
      </c>
      <c r="H556">
        <v>655</v>
      </c>
      <c r="I556" t="s">
        <v>3438</v>
      </c>
      <c r="J556" t="s">
        <v>4919</v>
      </c>
      <c r="K556" t="s">
        <v>4920</v>
      </c>
      <c r="L556" t="s">
        <v>4921</v>
      </c>
      <c r="M556" t="s">
        <v>4921</v>
      </c>
      <c r="N556" t="s">
        <v>4922</v>
      </c>
      <c r="O556" t="s">
        <v>4923</v>
      </c>
      <c r="P556" t="s">
        <v>4924</v>
      </c>
      <c r="R556" t="s">
        <v>4925</v>
      </c>
      <c r="S556" t="s">
        <v>3458</v>
      </c>
    </row>
    <row r="557" spans="1:19" x14ac:dyDescent="0.2">
      <c r="A557" t="str">
        <f t="shared" si="8"/>
        <v>metab_compid_44872</v>
      </c>
      <c r="B557">
        <v>100001313</v>
      </c>
      <c r="C557">
        <v>400</v>
      </c>
      <c r="D557">
        <v>44872</v>
      </c>
      <c r="E557">
        <v>157084</v>
      </c>
      <c r="F557" t="s">
        <v>3853</v>
      </c>
      <c r="G557" t="s">
        <v>3854</v>
      </c>
      <c r="H557">
        <v>658</v>
      </c>
      <c r="I557" t="s">
        <v>3438</v>
      </c>
      <c r="J557" t="s">
        <v>6199</v>
      </c>
      <c r="K557" t="s">
        <v>6200</v>
      </c>
      <c r="L557" t="s">
        <v>6201</v>
      </c>
      <c r="M557" t="s">
        <v>6201</v>
      </c>
      <c r="N557" t="s">
        <v>6202</v>
      </c>
      <c r="O557" t="s">
        <v>6203</v>
      </c>
      <c r="P557" t="s">
        <v>6204</v>
      </c>
      <c r="R557" t="s">
        <v>6205</v>
      </c>
      <c r="S557" t="s">
        <v>3458</v>
      </c>
    </row>
    <row r="558" spans="1:19" x14ac:dyDescent="0.2">
      <c r="A558" t="str">
        <f t="shared" si="8"/>
        <v>metab_compid_33422</v>
      </c>
      <c r="B558">
        <v>100000491</v>
      </c>
      <c r="C558">
        <v>400</v>
      </c>
      <c r="D558">
        <v>33422</v>
      </c>
      <c r="E558">
        <v>156014</v>
      </c>
      <c r="F558" t="s">
        <v>3853</v>
      </c>
      <c r="G558" t="s">
        <v>3854</v>
      </c>
      <c r="H558">
        <v>659</v>
      </c>
      <c r="I558" t="s">
        <v>3438</v>
      </c>
      <c r="J558" t="s">
        <v>5389</v>
      </c>
      <c r="K558" t="s">
        <v>5390</v>
      </c>
      <c r="L558" t="s">
        <v>5391</v>
      </c>
      <c r="M558" t="s">
        <v>5391</v>
      </c>
      <c r="N558" t="s">
        <v>5392</v>
      </c>
      <c r="O558" t="s">
        <v>5393</v>
      </c>
      <c r="P558" t="s">
        <v>5394</v>
      </c>
      <c r="R558" t="s">
        <v>5395</v>
      </c>
      <c r="S558" t="s">
        <v>3458</v>
      </c>
    </row>
    <row r="559" spans="1:19" x14ac:dyDescent="0.2">
      <c r="A559" t="str">
        <f t="shared" si="8"/>
        <v>metab_compid_33364</v>
      </c>
      <c r="B559">
        <v>100001314</v>
      </c>
      <c r="C559">
        <v>400</v>
      </c>
      <c r="D559">
        <v>33364</v>
      </c>
      <c r="E559">
        <v>156009</v>
      </c>
      <c r="F559" t="s">
        <v>3853</v>
      </c>
      <c r="G559" t="s">
        <v>3854</v>
      </c>
      <c r="H559">
        <v>660</v>
      </c>
      <c r="I559" t="s">
        <v>3438</v>
      </c>
      <c r="J559" t="s">
        <v>6206</v>
      </c>
      <c r="K559" t="s">
        <v>6207</v>
      </c>
      <c r="L559" t="s">
        <v>6208</v>
      </c>
      <c r="M559" t="s">
        <v>6208</v>
      </c>
      <c r="N559" t="s">
        <v>6209</v>
      </c>
      <c r="O559" t="s">
        <v>6210</v>
      </c>
      <c r="P559" t="s">
        <v>6211</v>
      </c>
      <c r="R559" t="s">
        <v>6212</v>
      </c>
      <c r="S559" t="s">
        <v>3458</v>
      </c>
    </row>
    <row r="560" spans="1:19" x14ac:dyDescent="0.2">
      <c r="A560" t="str">
        <f t="shared" si="8"/>
        <v>metab_compid_33947</v>
      </c>
      <c r="B560">
        <v>100001295</v>
      </c>
      <c r="C560">
        <v>209</v>
      </c>
      <c r="D560">
        <v>33947</v>
      </c>
      <c r="E560">
        <v>126107</v>
      </c>
      <c r="F560" t="s">
        <v>3853</v>
      </c>
      <c r="G560" t="s">
        <v>3854</v>
      </c>
      <c r="H560">
        <v>661</v>
      </c>
      <c r="I560" t="s">
        <v>3438</v>
      </c>
      <c r="J560" t="s">
        <v>6171</v>
      </c>
      <c r="K560" t="s">
        <v>6172</v>
      </c>
      <c r="L560" t="s">
        <v>6173</v>
      </c>
      <c r="M560" t="s">
        <v>6173</v>
      </c>
      <c r="N560" t="s">
        <v>6174</v>
      </c>
      <c r="O560" t="s">
        <v>6175</v>
      </c>
      <c r="P560" t="s">
        <v>6176</v>
      </c>
      <c r="R560" t="s">
        <v>6177</v>
      </c>
      <c r="S560" t="s">
        <v>3469</v>
      </c>
    </row>
    <row r="561" spans="1:19" x14ac:dyDescent="0.2">
      <c r="A561" t="str">
        <f t="shared" si="8"/>
        <v>metab_compid_2734</v>
      </c>
      <c r="B561">
        <v>1102</v>
      </c>
      <c r="C561">
        <v>400</v>
      </c>
      <c r="D561">
        <v>2734</v>
      </c>
      <c r="E561">
        <v>155471</v>
      </c>
      <c r="F561" t="s">
        <v>3853</v>
      </c>
      <c r="G561" t="s">
        <v>3854</v>
      </c>
      <c r="H561">
        <v>662</v>
      </c>
      <c r="I561" t="s">
        <v>3438</v>
      </c>
      <c r="J561" t="s">
        <v>4665</v>
      </c>
      <c r="K561" t="s">
        <v>4666</v>
      </c>
      <c r="L561" t="s">
        <v>4667</v>
      </c>
      <c r="M561" t="s">
        <v>4667</v>
      </c>
      <c r="N561" t="s">
        <v>4668</v>
      </c>
      <c r="O561" t="s">
        <v>4669</v>
      </c>
      <c r="P561" t="s">
        <v>4670</v>
      </c>
      <c r="R561" t="s">
        <v>4671</v>
      </c>
      <c r="S561" t="s">
        <v>3458</v>
      </c>
    </row>
    <row r="562" spans="1:19" x14ac:dyDescent="0.2">
      <c r="A562" t="str">
        <f t="shared" si="8"/>
        <v>metab_compid_43829</v>
      </c>
      <c r="B562">
        <v>100001126</v>
      </c>
      <c r="C562">
        <v>400</v>
      </c>
      <c r="D562">
        <v>43829</v>
      </c>
      <c r="E562">
        <v>157051</v>
      </c>
      <c r="F562" t="s">
        <v>3853</v>
      </c>
      <c r="G562" t="s">
        <v>3854</v>
      </c>
      <c r="H562">
        <v>663</v>
      </c>
      <c r="I562" t="s">
        <v>3438</v>
      </c>
      <c r="J562" t="s">
        <v>5874</v>
      </c>
      <c r="K562" t="s">
        <v>5875</v>
      </c>
      <c r="L562" t="s">
        <v>5876</v>
      </c>
      <c r="M562" t="s">
        <v>5876</v>
      </c>
      <c r="N562" t="s">
        <v>5877</v>
      </c>
      <c r="P562" t="s">
        <v>5878</v>
      </c>
      <c r="R562" t="s">
        <v>5879</v>
      </c>
      <c r="S562" t="s">
        <v>3458</v>
      </c>
    </row>
    <row r="563" spans="1:19" x14ac:dyDescent="0.2">
      <c r="A563" t="str">
        <f t="shared" si="8"/>
        <v>metab_compid_52473</v>
      </c>
      <c r="B563">
        <v>100008998</v>
      </c>
      <c r="C563">
        <v>402</v>
      </c>
      <c r="D563">
        <v>52473</v>
      </c>
      <c r="E563">
        <v>165151</v>
      </c>
      <c r="F563" t="s">
        <v>3448</v>
      </c>
      <c r="G563" t="s">
        <v>4679</v>
      </c>
      <c r="H563">
        <v>4403</v>
      </c>
      <c r="I563" t="s">
        <v>3438</v>
      </c>
      <c r="J563" t="s">
        <v>8965</v>
      </c>
      <c r="K563" t="s">
        <v>8966</v>
      </c>
      <c r="L563" t="s">
        <v>8967</v>
      </c>
      <c r="M563" t="s">
        <v>8967</v>
      </c>
      <c r="P563" t="s">
        <v>8968</v>
      </c>
      <c r="Q563" t="s">
        <v>8969</v>
      </c>
      <c r="S563" t="s">
        <v>3447</v>
      </c>
    </row>
    <row r="564" spans="1:19" x14ac:dyDescent="0.2">
      <c r="A564" t="str">
        <f t="shared" si="8"/>
        <v>metab_compid_18280</v>
      </c>
      <c r="B564">
        <v>100000447</v>
      </c>
      <c r="C564">
        <v>305</v>
      </c>
      <c r="D564">
        <v>18280</v>
      </c>
      <c r="E564">
        <v>152144</v>
      </c>
      <c r="F564" t="s">
        <v>3436</v>
      </c>
      <c r="G564" t="s">
        <v>3687</v>
      </c>
      <c r="H564">
        <v>224</v>
      </c>
      <c r="I564" t="s">
        <v>3438</v>
      </c>
      <c r="J564" t="s">
        <v>5350</v>
      </c>
      <c r="K564" t="s">
        <v>5351</v>
      </c>
      <c r="L564" t="s">
        <v>5352</v>
      </c>
      <c r="M564" t="s">
        <v>5352</v>
      </c>
      <c r="N564" t="s">
        <v>5353</v>
      </c>
      <c r="O564" t="s">
        <v>5354</v>
      </c>
      <c r="P564" t="s">
        <v>5355</v>
      </c>
      <c r="Q564" t="s">
        <v>5356</v>
      </c>
      <c r="R564" t="s">
        <v>5357</v>
      </c>
      <c r="S564" t="s">
        <v>3489</v>
      </c>
    </row>
    <row r="565" spans="1:19" x14ac:dyDescent="0.2">
      <c r="A565" t="str">
        <f t="shared" si="8"/>
        <v>metab_compid_63699</v>
      </c>
      <c r="B565">
        <v>100021726</v>
      </c>
      <c r="C565">
        <v>209</v>
      </c>
      <c r="D565">
        <v>63699</v>
      </c>
      <c r="E565">
        <v>223153</v>
      </c>
      <c r="F565" t="s">
        <v>6580</v>
      </c>
      <c r="G565" t="s">
        <v>6580</v>
      </c>
      <c r="H565">
        <v>6466</v>
      </c>
      <c r="I565" t="s">
        <v>3438</v>
      </c>
      <c r="L565" t="s">
        <v>10185</v>
      </c>
      <c r="M565" t="s">
        <v>10185</v>
      </c>
      <c r="S565" t="s">
        <v>3469</v>
      </c>
    </row>
    <row r="566" spans="1:19" x14ac:dyDescent="0.2">
      <c r="A566" t="str">
        <f t="shared" si="8"/>
        <v>metab_compid_64330</v>
      </c>
      <c r="B566">
        <v>100021947</v>
      </c>
      <c r="C566">
        <v>402</v>
      </c>
      <c r="D566">
        <v>64330</v>
      </c>
      <c r="E566">
        <v>237327</v>
      </c>
      <c r="F566" t="s">
        <v>3863</v>
      </c>
      <c r="G566" t="s">
        <v>6220</v>
      </c>
      <c r="H566">
        <v>5786</v>
      </c>
      <c r="I566" t="s">
        <v>3438</v>
      </c>
      <c r="J566" t="s">
        <v>10225</v>
      </c>
      <c r="K566" t="s">
        <v>10226</v>
      </c>
      <c r="L566" t="s">
        <v>10227</v>
      </c>
      <c r="M566" t="s">
        <v>10227</v>
      </c>
      <c r="N566" t="s">
        <v>10228</v>
      </c>
      <c r="S566" t="s">
        <v>3447</v>
      </c>
    </row>
    <row r="567" spans="1:19" x14ac:dyDescent="0.2">
      <c r="A567" t="str">
        <f t="shared" si="8"/>
        <v>metab_compid_62917</v>
      </c>
      <c r="B567">
        <v>100021107</v>
      </c>
      <c r="C567">
        <v>400</v>
      </c>
      <c r="D567">
        <v>62917</v>
      </c>
      <c r="E567">
        <v>220772</v>
      </c>
      <c r="F567" t="s">
        <v>3853</v>
      </c>
      <c r="G567" t="s">
        <v>6147</v>
      </c>
      <c r="H567">
        <v>1153</v>
      </c>
      <c r="I567" t="s">
        <v>3438</v>
      </c>
      <c r="J567" t="s">
        <v>10082</v>
      </c>
      <c r="K567" t="s">
        <v>10083</v>
      </c>
      <c r="L567" t="s">
        <v>10084</v>
      </c>
      <c r="M567" t="s">
        <v>10084</v>
      </c>
      <c r="O567" t="s">
        <v>10085</v>
      </c>
      <c r="S567" t="s">
        <v>3458</v>
      </c>
    </row>
    <row r="568" spans="1:19" x14ac:dyDescent="0.2">
      <c r="A568" t="str">
        <f t="shared" si="8"/>
        <v>metab_compid_587</v>
      </c>
      <c r="B568">
        <v>338</v>
      </c>
      <c r="C568">
        <v>305</v>
      </c>
      <c r="D568">
        <v>587</v>
      </c>
      <c r="E568">
        <v>147098</v>
      </c>
      <c r="F568" t="s">
        <v>3863</v>
      </c>
      <c r="G568" t="s">
        <v>3864</v>
      </c>
      <c r="H568">
        <v>4827</v>
      </c>
      <c r="I568" t="s">
        <v>3438</v>
      </c>
      <c r="J568" t="s">
        <v>3865</v>
      </c>
      <c r="K568" t="s">
        <v>3866</v>
      </c>
      <c r="L568" t="s">
        <v>3867</v>
      </c>
      <c r="M568" t="s">
        <v>3867</v>
      </c>
      <c r="N568" t="s">
        <v>3868</v>
      </c>
      <c r="O568" t="s">
        <v>3869</v>
      </c>
      <c r="P568" t="s">
        <v>3870</v>
      </c>
      <c r="Q568" t="s">
        <v>3871</v>
      </c>
      <c r="R568" t="s">
        <v>3872</v>
      </c>
      <c r="S568" t="s">
        <v>3489</v>
      </c>
    </row>
    <row r="569" spans="1:19" x14ac:dyDescent="0.2">
      <c r="A569" t="str">
        <f t="shared" si="8"/>
        <v>metab_compid_48152</v>
      </c>
      <c r="B569">
        <v>572</v>
      </c>
      <c r="C569">
        <v>305</v>
      </c>
      <c r="D569">
        <v>48152</v>
      </c>
      <c r="E569">
        <v>151982</v>
      </c>
      <c r="F569" t="s">
        <v>3977</v>
      </c>
      <c r="G569" t="s">
        <v>4084</v>
      </c>
      <c r="H569">
        <v>1240</v>
      </c>
      <c r="I569" t="s">
        <v>3438</v>
      </c>
      <c r="J569" t="s">
        <v>4254</v>
      </c>
      <c r="K569" t="s">
        <v>4255</v>
      </c>
      <c r="L569" t="s">
        <v>563</v>
      </c>
      <c r="M569" t="s">
        <v>563</v>
      </c>
      <c r="N569" t="s">
        <v>4256</v>
      </c>
      <c r="O569" t="s">
        <v>4257</v>
      </c>
      <c r="P569" t="s">
        <v>4258</v>
      </c>
      <c r="Q569" t="s">
        <v>4259</v>
      </c>
      <c r="R569" t="s">
        <v>4260</v>
      </c>
      <c r="S569" t="s">
        <v>3489</v>
      </c>
    </row>
    <row r="570" spans="1:19" x14ac:dyDescent="0.2">
      <c r="A570" t="str">
        <f t="shared" si="8"/>
        <v>metab_compid_15443</v>
      </c>
      <c r="B570">
        <v>100000257</v>
      </c>
      <c r="C570">
        <v>305</v>
      </c>
      <c r="D570">
        <v>15443</v>
      </c>
      <c r="E570">
        <v>146478</v>
      </c>
      <c r="F570" t="s">
        <v>3977</v>
      </c>
      <c r="G570" t="s">
        <v>4806</v>
      </c>
      <c r="H570">
        <v>1424</v>
      </c>
      <c r="I570" t="s">
        <v>3438</v>
      </c>
      <c r="J570" t="s">
        <v>5247</v>
      </c>
      <c r="K570" t="s">
        <v>5248</v>
      </c>
      <c r="L570" t="s">
        <v>5249</v>
      </c>
      <c r="M570" t="s">
        <v>5249</v>
      </c>
      <c r="N570" t="s">
        <v>5250</v>
      </c>
      <c r="O570" t="s">
        <v>5251</v>
      </c>
      <c r="P570" t="s">
        <v>5252</v>
      </c>
      <c r="Q570" t="s">
        <v>5253</v>
      </c>
      <c r="R570" t="s">
        <v>5254</v>
      </c>
      <c r="S570" t="s">
        <v>3489</v>
      </c>
    </row>
    <row r="571" spans="1:19" x14ac:dyDescent="0.2">
      <c r="A571" t="str">
        <f t="shared" si="8"/>
        <v>metab_compid_61881</v>
      </c>
      <c r="B571">
        <v>100019990</v>
      </c>
      <c r="C571">
        <v>209</v>
      </c>
      <c r="D571">
        <v>61881</v>
      </c>
      <c r="E571">
        <v>218632</v>
      </c>
      <c r="F571" t="s">
        <v>6580</v>
      </c>
      <c r="G571" t="s">
        <v>6580</v>
      </c>
      <c r="H571">
        <v>6402</v>
      </c>
      <c r="I571" t="s">
        <v>3438</v>
      </c>
      <c r="L571" t="s">
        <v>9626</v>
      </c>
      <c r="M571" t="s">
        <v>9626</v>
      </c>
      <c r="S571" t="s">
        <v>3469</v>
      </c>
    </row>
    <row r="572" spans="1:19" x14ac:dyDescent="0.2">
      <c r="A572" t="str">
        <f t="shared" si="8"/>
        <v>metab_compid_61887</v>
      </c>
      <c r="B572">
        <v>100020014</v>
      </c>
      <c r="C572">
        <v>209</v>
      </c>
      <c r="D572">
        <v>61887</v>
      </c>
      <c r="E572">
        <v>218638</v>
      </c>
      <c r="F572" t="s">
        <v>6580</v>
      </c>
      <c r="G572" t="s">
        <v>6580</v>
      </c>
      <c r="H572">
        <v>6408</v>
      </c>
      <c r="I572" t="s">
        <v>3438</v>
      </c>
      <c r="L572" t="s">
        <v>9636</v>
      </c>
      <c r="M572" t="s">
        <v>9636</v>
      </c>
      <c r="S572" t="s">
        <v>3469</v>
      </c>
    </row>
    <row r="573" spans="1:19" x14ac:dyDescent="0.2">
      <c r="A573" t="str">
        <f t="shared" si="8"/>
        <v>metab_compid_61888</v>
      </c>
      <c r="B573">
        <v>100020015</v>
      </c>
      <c r="C573">
        <v>209</v>
      </c>
      <c r="D573">
        <v>61888</v>
      </c>
      <c r="E573">
        <v>218639</v>
      </c>
      <c r="F573" t="s">
        <v>6580</v>
      </c>
      <c r="G573" t="s">
        <v>6580</v>
      </c>
      <c r="H573">
        <v>6409</v>
      </c>
      <c r="I573" t="s">
        <v>3438</v>
      </c>
      <c r="L573" t="s">
        <v>9637</v>
      </c>
      <c r="M573" t="s">
        <v>9637</v>
      </c>
      <c r="S573" t="s">
        <v>3469</v>
      </c>
    </row>
    <row r="574" spans="1:19" x14ac:dyDescent="0.2">
      <c r="A574" t="str">
        <f t="shared" si="8"/>
        <v>metab_compid_62290</v>
      </c>
      <c r="B574">
        <v>100020491</v>
      </c>
      <c r="C574">
        <v>209</v>
      </c>
      <c r="D574">
        <v>62290</v>
      </c>
      <c r="E574">
        <v>219263</v>
      </c>
      <c r="F574" t="s">
        <v>3863</v>
      </c>
      <c r="G574" t="s">
        <v>3864</v>
      </c>
      <c r="H574">
        <v>5031</v>
      </c>
      <c r="I574" t="s">
        <v>3438</v>
      </c>
      <c r="L574" t="s">
        <v>9778</v>
      </c>
      <c r="M574" t="s">
        <v>9778</v>
      </c>
      <c r="S574" t="s">
        <v>3469</v>
      </c>
    </row>
    <row r="575" spans="1:19" x14ac:dyDescent="0.2">
      <c r="A575" t="str">
        <f t="shared" si="8"/>
        <v>metab_compid_62291</v>
      </c>
      <c r="B575">
        <v>100020492</v>
      </c>
      <c r="C575">
        <v>209</v>
      </c>
      <c r="D575">
        <v>62291</v>
      </c>
      <c r="E575">
        <v>219264</v>
      </c>
      <c r="F575" t="s">
        <v>3863</v>
      </c>
      <c r="G575" t="s">
        <v>3864</v>
      </c>
      <c r="H575">
        <v>5032</v>
      </c>
      <c r="I575" t="s">
        <v>3438</v>
      </c>
      <c r="L575" t="s">
        <v>9779</v>
      </c>
      <c r="M575" t="s">
        <v>9779</v>
      </c>
      <c r="S575" t="s">
        <v>3469</v>
      </c>
    </row>
    <row r="576" spans="1:19" x14ac:dyDescent="0.2">
      <c r="A576" t="str">
        <f t="shared" si="8"/>
        <v>metab_compid_62292</v>
      </c>
      <c r="B576">
        <v>100020493</v>
      </c>
      <c r="C576">
        <v>209</v>
      </c>
      <c r="D576">
        <v>62292</v>
      </c>
      <c r="E576">
        <v>219265</v>
      </c>
      <c r="F576" t="s">
        <v>3863</v>
      </c>
      <c r="G576" t="s">
        <v>3864</v>
      </c>
      <c r="H576">
        <v>5033</v>
      </c>
      <c r="I576" t="s">
        <v>3438</v>
      </c>
      <c r="L576" t="s">
        <v>9780</v>
      </c>
      <c r="M576" t="s">
        <v>9780</v>
      </c>
      <c r="S576" t="s">
        <v>3469</v>
      </c>
    </row>
    <row r="577" spans="1:19" x14ac:dyDescent="0.2">
      <c r="A577" t="str">
        <f t="shared" si="8"/>
        <v>metab_compid_57</v>
      </c>
      <c r="B577">
        <v>561</v>
      </c>
      <c r="C577">
        <v>400</v>
      </c>
      <c r="D577">
        <v>57</v>
      </c>
      <c r="E577">
        <v>155297</v>
      </c>
      <c r="F577" t="s">
        <v>3436</v>
      </c>
      <c r="G577" t="s">
        <v>4215</v>
      </c>
      <c r="H577">
        <v>46</v>
      </c>
      <c r="I577" t="s">
        <v>3438</v>
      </c>
      <c r="J577" t="s">
        <v>4216</v>
      </c>
      <c r="K577" t="s">
        <v>4217</v>
      </c>
      <c r="L577" t="s">
        <v>4218</v>
      </c>
      <c r="M577" t="s">
        <v>4218</v>
      </c>
      <c r="N577" t="s">
        <v>4219</v>
      </c>
      <c r="O577" t="s">
        <v>4220</v>
      </c>
      <c r="P577" t="s">
        <v>4221</v>
      </c>
      <c r="Q577" t="s">
        <v>4222</v>
      </c>
      <c r="R577" t="s">
        <v>4223</v>
      </c>
      <c r="S577" t="s">
        <v>3458</v>
      </c>
    </row>
    <row r="578" spans="1:19" x14ac:dyDescent="0.2">
      <c r="A578" t="str">
        <f t="shared" ref="A578:A641" si="9">_xlfn.CONCAT("metab_compid_", $D578)</f>
        <v>metab_compid_53</v>
      </c>
      <c r="B578">
        <v>563</v>
      </c>
      <c r="C578">
        <v>400</v>
      </c>
      <c r="D578">
        <v>53</v>
      </c>
      <c r="E578">
        <v>155293</v>
      </c>
      <c r="F578" t="s">
        <v>3436</v>
      </c>
      <c r="G578" t="s">
        <v>4215</v>
      </c>
      <c r="H578">
        <v>47</v>
      </c>
      <c r="I578" t="s">
        <v>3438</v>
      </c>
      <c r="J578" t="s">
        <v>4224</v>
      </c>
      <c r="K578" t="s">
        <v>4225</v>
      </c>
      <c r="L578" t="s">
        <v>567</v>
      </c>
      <c r="M578" t="s">
        <v>567</v>
      </c>
      <c r="N578" t="s">
        <v>4226</v>
      </c>
      <c r="O578" t="s">
        <v>4227</v>
      </c>
      <c r="P578" t="s">
        <v>4228</v>
      </c>
      <c r="Q578" t="s">
        <v>4229</v>
      </c>
      <c r="R578" t="s">
        <v>4230</v>
      </c>
      <c r="S578" t="s">
        <v>3458</v>
      </c>
    </row>
    <row r="579" spans="1:19" x14ac:dyDescent="0.2">
      <c r="A579" t="str">
        <f t="shared" si="9"/>
        <v>metab_compid_63657</v>
      </c>
      <c r="B579">
        <v>100020261</v>
      </c>
      <c r="C579">
        <v>209</v>
      </c>
      <c r="D579">
        <v>63657</v>
      </c>
      <c r="E579">
        <v>223045</v>
      </c>
      <c r="F579" t="s">
        <v>6580</v>
      </c>
      <c r="G579" t="s">
        <v>6580</v>
      </c>
      <c r="H579">
        <v>6430</v>
      </c>
      <c r="I579" t="s">
        <v>3438</v>
      </c>
      <c r="L579" t="s">
        <v>9691</v>
      </c>
      <c r="M579" t="s">
        <v>9691</v>
      </c>
      <c r="S579" t="s">
        <v>3469</v>
      </c>
    </row>
    <row r="580" spans="1:19" x14ac:dyDescent="0.2">
      <c r="A580" t="str">
        <f t="shared" si="9"/>
        <v>metab_compid_63660</v>
      </c>
      <c r="B580">
        <v>100020262</v>
      </c>
      <c r="C580">
        <v>209</v>
      </c>
      <c r="D580">
        <v>63660</v>
      </c>
      <c r="E580">
        <v>223046</v>
      </c>
      <c r="F580" t="s">
        <v>6580</v>
      </c>
      <c r="G580" t="s">
        <v>6580</v>
      </c>
      <c r="H580">
        <v>6431</v>
      </c>
      <c r="I580" t="s">
        <v>3438</v>
      </c>
      <c r="L580" t="s">
        <v>9692</v>
      </c>
      <c r="M580" t="s">
        <v>9692</v>
      </c>
      <c r="S580" t="s">
        <v>3469</v>
      </c>
    </row>
    <row r="581" spans="1:19" x14ac:dyDescent="0.2">
      <c r="A581" t="str">
        <f t="shared" si="9"/>
        <v>metab_compid_63658</v>
      </c>
      <c r="B581">
        <v>100020259</v>
      </c>
      <c r="C581">
        <v>209</v>
      </c>
      <c r="D581">
        <v>63658</v>
      </c>
      <c r="E581">
        <v>223041</v>
      </c>
      <c r="F581" t="s">
        <v>6580</v>
      </c>
      <c r="G581" t="s">
        <v>6580</v>
      </c>
      <c r="H581">
        <v>6432</v>
      </c>
      <c r="I581" t="s">
        <v>3438</v>
      </c>
      <c r="L581" t="s">
        <v>9690</v>
      </c>
      <c r="M581" t="s">
        <v>9690</v>
      </c>
      <c r="S581" t="s">
        <v>3469</v>
      </c>
    </row>
    <row r="582" spans="1:19" x14ac:dyDescent="0.2">
      <c r="A582" t="str">
        <f t="shared" si="9"/>
        <v>metab_compid_46225</v>
      </c>
      <c r="B582">
        <v>100001540</v>
      </c>
      <c r="C582">
        <v>400</v>
      </c>
      <c r="D582">
        <v>46225</v>
      </c>
      <c r="E582">
        <v>157124</v>
      </c>
      <c r="F582" t="s">
        <v>6580</v>
      </c>
      <c r="G582" t="s">
        <v>6580</v>
      </c>
      <c r="H582">
        <v>6483</v>
      </c>
      <c r="I582" t="s">
        <v>3438</v>
      </c>
      <c r="J582" t="s">
        <v>6581</v>
      </c>
      <c r="K582" t="s">
        <v>6582</v>
      </c>
      <c r="L582" t="s">
        <v>6583</v>
      </c>
      <c r="M582" t="s">
        <v>6583</v>
      </c>
      <c r="N582" t="s">
        <v>6584</v>
      </c>
      <c r="S582" t="s">
        <v>3458</v>
      </c>
    </row>
    <row r="583" spans="1:19" x14ac:dyDescent="0.2">
      <c r="A583" t="str">
        <f t="shared" si="9"/>
        <v>metab_compid_396</v>
      </c>
      <c r="B583">
        <v>339</v>
      </c>
      <c r="C583">
        <v>305</v>
      </c>
      <c r="D583">
        <v>396</v>
      </c>
      <c r="E583">
        <v>146390</v>
      </c>
      <c r="F583" t="s">
        <v>3459</v>
      </c>
      <c r="G583" t="s">
        <v>3873</v>
      </c>
      <c r="H583">
        <v>1677</v>
      </c>
      <c r="I583" t="s">
        <v>3438</v>
      </c>
      <c r="J583" t="s">
        <v>3874</v>
      </c>
      <c r="K583" t="s">
        <v>3875</v>
      </c>
      <c r="L583" t="s">
        <v>3876</v>
      </c>
      <c r="M583" t="s">
        <v>3876</v>
      </c>
      <c r="N583" t="s">
        <v>3877</v>
      </c>
      <c r="O583" t="s">
        <v>3878</v>
      </c>
      <c r="P583" t="s">
        <v>3879</v>
      </c>
      <c r="Q583" t="s">
        <v>3880</v>
      </c>
      <c r="R583" t="s">
        <v>3881</v>
      </c>
      <c r="S583" t="s">
        <v>3489</v>
      </c>
    </row>
    <row r="584" spans="1:19" x14ac:dyDescent="0.2">
      <c r="A584" t="str">
        <f t="shared" si="9"/>
        <v>metab_compid_44664</v>
      </c>
      <c r="B584">
        <v>100001593</v>
      </c>
      <c r="C584">
        <v>400</v>
      </c>
      <c r="D584">
        <v>44664</v>
      </c>
      <c r="E584">
        <v>157075</v>
      </c>
      <c r="F584" t="s">
        <v>3436</v>
      </c>
      <c r="G584" t="s">
        <v>3586</v>
      </c>
      <c r="H584">
        <v>129</v>
      </c>
      <c r="I584" t="s">
        <v>3438</v>
      </c>
      <c r="J584" t="s">
        <v>6682</v>
      </c>
      <c r="K584" t="s">
        <v>6683</v>
      </c>
      <c r="L584" t="s">
        <v>6684</v>
      </c>
      <c r="M584" t="s">
        <v>6684</v>
      </c>
      <c r="N584" t="s">
        <v>6685</v>
      </c>
      <c r="O584" t="s">
        <v>6686</v>
      </c>
      <c r="P584" t="s">
        <v>6687</v>
      </c>
      <c r="R584" t="s">
        <v>6688</v>
      </c>
      <c r="S584" t="s">
        <v>3458</v>
      </c>
    </row>
    <row r="585" spans="1:19" x14ac:dyDescent="0.2">
      <c r="A585" t="str">
        <f t="shared" si="9"/>
        <v>metab_compid_1572</v>
      </c>
      <c r="B585">
        <v>1052</v>
      </c>
      <c r="C585">
        <v>305</v>
      </c>
      <c r="D585">
        <v>1572</v>
      </c>
      <c r="E585">
        <v>146444</v>
      </c>
      <c r="F585" t="s">
        <v>3977</v>
      </c>
      <c r="G585" t="s">
        <v>4084</v>
      </c>
      <c r="H585">
        <v>1260</v>
      </c>
      <c r="I585" t="s">
        <v>3438</v>
      </c>
      <c r="J585" t="s">
        <v>4592</v>
      </c>
      <c r="K585" t="s">
        <v>4593</v>
      </c>
      <c r="L585" t="s">
        <v>4594</v>
      </c>
      <c r="M585" t="s">
        <v>4594</v>
      </c>
      <c r="N585" t="s">
        <v>4595</v>
      </c>
      <c r="O585" t="s">
        <v>4596</v>
      </c>
      <c r="P585" t="s">
        <v>4597</v>
      </c>
      <c r="Q585" t="s">
        <v>4598</v>
      </c>
      <c r="R585" t="s">
        <v>4599</v>
      </c>
      <c r="S585" t="s">
        <v>3489</v>
      </c>
    </row>
    <row r="586" spans="1:19" x14ac:dyDescent="0.2">
      <c r="A586" t="str">
        <f t="shared" si="9"/>
        <v>metab_compid_15122</v>
      </c>
      <c r="B586">
        <v>1254</v>
      </c>
      <c r="C586">
        <v>209</v>
      </c>
      <c r="D586">
        <v>15122</v>
      </c>
      <c r="E586">
        <v>126021</v>
      </c>
      <c r="F586" t="s">
        <v>3459</v>
      </c>
      <c r="G586" t="s">
        <v>4887</v>
      </c>
      <c r="H586">
        <v>2860</v>
      </c>
      <c r="I586" t="s">
        <v>3438</v>
      </c>
      <c r="J586" t="s">
        <v>4888</v>
      </c>
      <c r="K586" t="s">
        <v>4889</v>
      </c>
      <c r="L586" t="s">
        <v>4890</v>
      </c>
      <c r="M586" t="s">
        <v>4890</v>
      </c>
      <c r="N586" t="s">
        <v>4891</v>
      </c>
      <c r="O586" t="s">
        <v>4892</v>
      </c>
      <c r="P586" t="s">
        <v>4893</v>
      </c>
      <c r="Q586" t="s">
        <v>4894</v>
      </c>
      <c r="R586" t="s">
        <v>4895</v>
      </c>
      <c r="S586" t="s">
        <v>3469</v>
      </c>
    </row>
    <row r="587" spans="1:19" x14ac:dyDescent="0.2">
      <c r="A587" t="str">
        <f t="shared" si="9"/>
        <v>metab_compid_43847</v>
      </c>
      <c r="B587">
        <v>100000258</v>
      </c>
      <c r="C587">
        <v>400</v>
      </c>
      <c r="D587">
        <v>43847</v>
      </c>
      <c r="E587">
        <v>157058</v>
      </c>
      <c r="F587" t="s">
        <v>3459</v>
      </c>
      <c r="G587" t="s">
        <v>4887</v>
      </c>
      <c r="H587">
        <v>2861</v>
      </c>
      <c r="I587" t="s">
        <v>3438</v>
      </c>
      <c r="J587" t="s">
        <v>5255</v>
      </c>
      <c r="K587" t="s">
        <v>5256</v>
      </c>
      <c r="L587" t="s">
        <v>5257</v>
      </c>
      <c r="M587" t="s">
        <v>5257</v>
      </c>
      <c r="N587" t="s">
        <v>5258</v>
      </c>
      <c r="O587" t="s">
        <v>5259</v>
      </c>
      <c r="P587" t="s">
        <v>5260</v>
      </c>
      <c r="Q587" t="s">
        <v>5261</v>
      </c>
      <c r="R587" t="s">
        <v>5262</v>
      </c>
      <c r="S587" t="s">
        <v>3458</v>
      </c>
    </row>
    <row r="588" spans="1:19" x14ac:dyDescent="0.2">
      <c r="A588" t="str">
        <f t="shared" si="9"/>
        <v>metab_compid_37455</v>
      </c>
      <c r="B588">
        <v>100001620</v>
      </c>
      <c r="C588">
        <v>400</v>
      </c>
      <c r="D588">
        <v>37455</v>
      </c>
      <c r="E588">
        <v>156380</v>
      </c>
      <c r="F588" t="s">
        <v>3459</v>
      </c>
      <c r="G588" t="s">
        <v>3758</v>
      </c>
      <c r="H588">
        <v>2258</v>
      </c>
      <c r="I588" t="s">
        <v>3438</v>
      </c>
      <c r="J588" t="s">
        <v>6790</v>
      </c>
      <c r="K588" t="s">
        <v>6791</v>
      </c>
      <c r="L588" t="s">
        <v>6792</v>
      </c>
      <c r="M588" t="s">
        <v>6792</v>
      </c>
      <c r="N588" t="s">
        <v>6793</v>
      </c>
      <c r="O588" t="s">
        <v>6794</v>
      </c>
      <c r="P588" t="s">
        <v>6795</v>
      </c>
      <c r="Q588" t="s">
        <v>6796</v>
      </c>
      <c r="R588" t="s">
        <v>6797</v>
      </c>
      <c r="S588" t="s">
        <v>3458</v>
      </c>
    </row>
    <row r="589" spans="1:19" x14ac:dyDescent="0.2">
      <c r="A589" t="str">
        <f t="shared" si="9"/>
        <v>metab_compid_52307</v>
      </c>
      <c r="B589">
        <v>100001621</v>
      </c>
      <c r="C589">
        <v>209</v>
      </c>
      <c r="D589">
        <v>52307</v>
      </c>
      <c r="E589">
        <v>164335</v>
      </c>
      <c r="F589" t="s">
        <v>3459</v>
      </c>
      <c r="G589" t="s">
        <v>3758</v>
      </c>
      <c r="H589">
        <v>2260</v>
      </c>
      <c r="I589" t="s">
        <v>3438</v>
      </c>
      <c r="J589" t="s">
        <v>6798</v>
      </c>
      <c r="K589" t="s">
        <v>6799</v>
      </c>
      <c r="L589" t="s">
        <v>6800</v>
      </c>
      <c r="M589" t="s">
        <v>6800</v>
      </c>
      <c r="N589" t="s">
        <v>6801</v>
      </c>
      <c r="R589" t="s">
        <v>6802</v>
      </c>
      <c r="S589" t="s">
        <v>3469</v>
      </c>
    </row>
    <row r="590" spans="1:19" x14ac:dyDescent="0.2">
      <c r="A590" t="str">
        <f t="shared" si="9"/>
        <v>metab_compid_15990</v>
      </c>
      <c r="B590">
        <v>100000269</v>
      </c>
      <c r="C590">
        <v>400</v>
      </c>
      <c r="D590">
        <v>15990</v>
      </c>
      <c r="E590">
        <v>155613</v>
      </c>
      <c r="F590" t="s">
        <v>3459</v>
      </c>
      <c r="G590" t="s">
        <v>3758</v>
      </c>
      <c r="H590">
        <v>2254</v>
      </c>
      <c r="I590" t="s">
        <v>3438</v>
      </c>
      <c r="J590" t="s">
        <v>5279</v>
      </c>
      <c r="K590" t="s">
        <v>5280</v>
      </c>
      <c r="L590" t="s">
        <v>5281</v>
      </c>
      <c r="M590" t="s">
        <v>5281</v>
      </c>
      <c r="N590" t="s">
        <v>5282</v>
      </c>
      <c r="O590" t="s">
        <v>5283</v>
      </c>
      <c r="P590" t="s">
        <v>5284</v>
      </c>
      <c r="Q590" t="s">
        <v>5285</v>
      </c>
      <c r="R590" t="s">
        <v>5286</v>
      </c>
      <c r="S590" t="s">
        <v>3458</v>
      </c>
    </row>
    <row r="591" spans="1:19" x14ac:dyDescent="0.2">
      <c r="A591" t="str">
        <f t="shared" si="9"/>
        <v>metab_compid_57404</v>
      </c>
      <c r="B591">
        <v>100015666</v>
      </c>
      <c r="C591">
        <v>400</v>
      </c>
      <c r="D591">
        <v>57404</v>
      </c>
      <c r="E591">
        <v>211020</v>
      </c>
      <c r="F591" t="s">
        <v>3459</v>
      </c>
      <c r="G591" t="s">
        <v>3758</v>
      </c>
      <c r="H591">
        <v>2259</v>
      </c>
      <c r="I591" t="s">
        <v>3438</v>
      </c>
      <c r="J591" t="s">
        <v>9341</v>
      </c>
      <c r="K591" t="s">
        <v>9342</v>
      </c>
      <c r="L591" t="s">
        <v>9343</v>
      </c>
      <c r="M591" t="s">
        <v>9343</v>
      </c>
      <c r="O591" t="s">
        <v>9344</v>
      </c>
      <c r="R591" t="s">
        <v>9345</v>
      </c>
      <c r="S591" t="s">
        <v>3458</v>
      </c>
    </row>
    <row r="592" spans="1:19" x14ac:dyDescent="0.2">
      <c r="A592" t="str">
        <f t="shared" si="9"/>
        <v>metab_compid_58</v>
      </c>
      <c r="B592">
        <v>340</v>
      </c>
      <c r="C592">
        <v>400</v>
      </c>
      <c r="D592">
        <v>58</v>
      </c>
      <c r="E592">
        <v>160611</v>
      </c>
      <c r="F592" t="s">
        <v>3436</v>
      </c>
      <c r="G592" t="s">
        <v>3882</v>
      </c>
      <c r="H592">
        <v>1</v>
      </c>
      <c r="I592" t="s">
        <v>3438</v>
      </c>
      <c r="J592" t="s">
        <v>3883</v>
      </c>
      <c r="K592" t="s">
        <v>3884</v>
      </c>
      <c r="L592" t="s">
        <v>571</v>
      </c>
      <c r="M592" t="s">
        <v>571</v>
      </c>
      <c r="N592" t="s">
        <v>3885</v>
      </c>
      <c r="O592" t="s">
        <v>3886</v>
      </c>
      <c r="P592" t="s">
        <v>3887</v>
      </c>
      <c r="Q592" t="s">
        <v>3888</v>
      </c>
      <c r="R592" t="s">
        <v>3889</v>
      </c>
      <c r="S592" t="s">
        <v>3458</v>
      </c>
    </row>
    <row r="593" spans="1:19" x14ac:dyDescent="0.2">
      <c r="A593" t="str">
        <f t="shared" si="9"/>
        <v>metab_compid_62145</v>
      </c>
      <c r="B593">
        <v>100020253</v>
      </c>
      <c r="C593">
        <v>209</v>
      </c>
      <c r="D593">
        <v>62145</v>
      </c>
      <c r="E593">
        <v>219037</v>
      </c>
      <c r="F593" t="s">
        <v>6580</v>
      </c>
      <c r="G593" t="s">
        <v>6580</v>
      </c>
      <c r="H593">
        <v>6448</v>
      </c>
      <c r="I593" t="s">
        <v>3438</v>
      </c>
      <c r="L593" t="s">
        <v>9688</v>
      </c>
      <c r="M593" t="s">
        <v>9688</v>
      </c>
      <c r="S593" t="s">
        <v>3469</v>
      </c>
    </row>
    <row r="594" spans="1:19" x14ac:dyDescent="0.2">
      <c r="A594" t="str">
        <f t="shared" si="9"/>
        <v>metab_compid_62146</v>
      </c>
      <c r="B594">
        <v>100020254</v>
      </c>
      <c r="C594">
        <v>209</v>
      </c>
      <c r="D594">
        <v>62146</v>
      </c>
      <c r="E594">
        <v>219038</v>
      </c>
      <c r="F594" t="s">
        <v>6580</v>
      </c>
      <c r="G594" t="s">
        <v>6580</v>
      </c>
      <c r="H594">
        <v>6449</v>
      </c>
      <c r="I594" t="s">
        <v>3438</v>
      </c>
      <c r="L594" t="s">
        <v>9689</v>
      </c>
      <c r="M594" t="s">
        <v>9689</v>
      </c>
      <c r="S594" t="s">
        <v>3469</v>
      </c>
    </row>
    <row r="595" spans="1:19" x14ac:dyDescent="0.2">
      <c r="A595" t="str">
        <f t="shared" si="9"/>
        <v>metab_compid_62066</v>
      </c>
      <c r="B595">
        <v>100020214</v>
      </c>
      <c r="C595">
        <v>209</v>
      </c>
      <c r="D595">
        <v>62066</v>
      </c>
      <c r="E595">
        <v>218872</v>
      </c>
      <c r="F595" t="s">
        <v>3459</v>
      </c>
      <c r="G595" t="s">
        <v>3516</v>
      </c>
      <c r="H595">
        <v>3489</v>
      </c>
      <c r="I595" t="s">
        <v>3438</v>
      </c>
      <c r="J595" t="s">
        <v>9666</v>
      </c>
      <c r="K595" t="s">
        <v>9667</v>
      </c>
      <c r="L595" t="s">
        <v>9668</v>
      </c>
      <c r="M595" t="s">
        <v>9668</v>
      </c>
      <c r="S595" t="s">
        <v>3469</v>
      </c>
    </row>
    <row r="596" spans="1:19" x14ac:dyDescent="0.2">
      <c r="A596" t="str">
        <f t="shared" si="9"/>
        <v>metab_compid_32346</v>
      </c>
      <c r="B596">
        <v>1628</v>
      </c>
      <c r="C596">
        <v>209</v>
      </c>
      <c r="D596">
        <v>32346</v>
      </c>
      <c r="E596">
        <v>124921</v>
      </c>
      <c r="F596" t="s">
        <v>3459</v>
      </c>
      <c r="G596" t="s">
        <v>3516</v>
      </c>
      <c r="H596">
        <v>3481</v>
      </c>
      <c r="I596" t="s">
        <v>3438</v>
      </c>
      <c r="J596" t="s">
        <v>5052</v>
      </c>
      <c r="K596" t="s">
        <v>5053</v>
      </c>
      <c r="L596" t="s">
        <v>5054</v>
      </c>
      <c r="M596" t="s">
        <v>5054</v>
      </c>
      <c r="N596" t="s">
        <v>5055</v>
      </c>
      <c r="P596" t="s">
        <v>5056</v>
      </c>
      <c r="Q596" t="s">
        <v>5057</v>
      </c>
      <c r="R596" t="s">
        <v>5058</v>
      </c>
      <c r="S596" t="s">
        <v>3469</v>
      </c>
    </row>
    <row r="597" spans="1:19" x14ac:dyDescent="0.2">
      <c r="A597" t="str">
        <f t="shared" si="9"/>
        <v>metab_compid_52974</v>
      </c>
      <c r="B597">
        <v>100006641</v>
      </c>
      <c r="C597">
        <v>209</v>
      </c>
      <c r="D597">
        <v>52974</v>
      </c>
      <c r="E597">
        <v>166124</v>
      </c>
      <c r="F597" t="s">
        <v>3459</v>
      </c>
      <c r="G597" t="s">
        <v>3516</v>
      </c>
      <c r="H597">
        <v>3494</v>
      </c>
      <c r="I597" t="s">
        <v>3438</v>
      </c>
      <c r="J597" t="s">
        <v>8732</v>
      </c>
      <c r="K597" t="s">
        <v>8733</v>
      </c>
      <c r="L597" t="s">
        <v>8734</v>
      </c>
      <c r="M597" t="s">
        <v>8734</v>
      </c>
      <c r="P597" t="s">
        <v>8735</v>
      </c>
      <c r="R597" t="s">
        <v>8736</v>
      </c>
      <c r="S597" t="s">
        <v>3469</v>
      </c>
    </row>
    <row r="598" spans="1:19" x14ac:dyDescent="0.2">
      <c r="A598" t="str">
        <f t="shared" si="9"/>
        <v>metab_compid_52983</v>
      </c>
      <c r="B598">
        <v>100009264</v>
      </c>
      <c r="C598">
        <v>209</v>
      </c>
      <c r="D598">
        <v>52983</v>
      </c>
      <c r="E598">
        <v>166140</v>
      </c>
      <c r="F598" t="s">
        <v>3459</v>
      </c>
      <c r="G598" t="s">
        <v>3516</v>
      </c>
      <c r="H598">
        <v>3492</v>
      </c>
      <c r="I598" t="s">
        <v>3438</v>
      </c>
      <c r="J598" t="s">
        <v>9160</v>
      </c>
      <c r="K598" t="s">
        <v>9161</v>
      </c>
      <c r="L598" t="s">
        <v>9162</v>
      </c>
      <c r="M598" t="s">
        <v>9162</v>
      </c>
      <c r="P598" t="s">
        <v>9163</v>
      </c>
      <c r="R598" t="s">
        <v>9164</v>
      </c>
      <c r="S598" t="s">
        <v>3469</v>
      </c>
    </row>
    <row r="599" spans="1:19" x14ac:dyDescent="0.2">
      <c r="A599" t="str">
        <f t="shared" si="9"/>
        <v>metab_compid_18476</v>
      </c>
      <c r="B599">
        <v>342</v>
      </c>
      <c r="C599">
        <v>209</v>
      </c>
      <c r="D599">
        <v>18476</v>
      </c>
      <c r="E599">
        <v>126842</v>
      </c>
      <c r="F599" t="s">
        <v>3459</v>
      </c>
      <c r="G599" t="s">
        <v>3516</v>
      </c>
      <c r="H599">
        <v>3474</v>
      </c>
      <c r="I599" t="s">
        <v>3438</v>
      </c>
      <c r="J599" t="s">
        <v>3890</v>
      </c>
      <c r="K599" t="s">
        <v>3891</v>
      </c>
      <c r="L599" t="s">
        <v>3892</v>
      </c>
      <c r="M599" t="s">
        <v>3892</v>
      </c>
      <c r="N599" t="s">
        <v>3893</v>
      </c>
      <c r="O599" t="s">
        <v>3894</v>
      </c>
      <c r="P599" t="s">
        <v>3895</v>
      </c>
      <c r="Q599" t="s">
        <v>3896</v>
      </c>
      <c r="R599" t="s">
        <v>3897</v>
      </c>
      <c r="S599" t="s">
        <v>3469</v>
      </c>
    </row>
    <row r="600" spans="1:19" x14ac:dyDescent="0.2">
      <c r="A600" t="str">
        <f t="shared" si="9"/>
        <v>metab_compid_52977</v>
      </c>
      <c r="B600">
        <v>100009259</v>
      </c>
      <c r="C600">
        <v>209</v>
      </c>
      <c r="D600">
        <v>52977</v>
      </c>
      <c r="E600">
        <v>166130</v>
      </c>
      <c r="F600" t="s">
        <v>3459</v>
      </c>
      <c r="G600" t="s">
        <v>3516</v>
      </c>
      <c r="H600">
        <v>3495</v>
      </c>
      <c r="I600" t="s">
        <v>3438</v>
      </c>
      <c r="J600" t="s">
        <v>9156</v>
      </c>
      <c r="K600" t="s">
        <v>9157</v>
      </c>
      <c r="L600" t="s">
        <v>9158</v>
      </c>
      <c r="M600" t="s">
        <v>9158</v>
      </c>
      <c r="R600" t="s">
        <v>9159</v>
      </c>
      <c r="S600" t="s">
        <v>3469</v>
      </c>
    </row>
    <row r="601" spans="1:19" x14ac:dyDescent="0.2">
      <c r="A601" t="str">
        <f t="shared" si="9"/>
        <v>metab_compid_32599</v>
      </c>
      <c r="B601">
        <v>100001989</v>
      </c>
      <c r="C601">
        <v>209</v>
      </c>
      <c r="D601">
        <v>32599</v>
      </c>
      <c r="E601">
        <v>142563</v>
      </c>
      <c r="F601" t="s">
        <v>3459</v>
      </c>
      <c r="G601" t="s">
        <v>3819</v>
      </c>
      <c r="H601">
        <v>3555</v>
      </c>
      <c r="I601" t="s">
        <v>3438</v>
      </c>
      <c r="J601" t="s">
        <v>7139</v>
      </c>
      <c r="K601" t="s">
        <v>7140</v>
      </c>
      <c r="L601" t="s">
        <v>7141</v>
      </c>
      <c r="M601" t="s">
        <v>7141</v>
      </c>
      <c r="S601" t="s">
        <v>3469</v>
      </c>
    </row>
    <row r="602" spans="1:19" x14ac:dyDescent="0.2">
      <c r="A602" t="str">
        <f t="shared" si="9"/>
        <v>metab_compid_18477</v>
      </c>
      <c r="B602">
        <v>100000436</v>
      </c>
      <c r="C602">
        <v>209</v>
      </c>
      <c r="D602">
        <v>18477</v>
      </c>
      <c r="E602">
        <v>123291</v>
      </c>
      <c r="F602" t="s">
        <v>3459</v>
      </c>
      <c r="G602" t="s">
        <v>3819</v>
      </c>
      <c r="H602">
        <v>3507</v>
      </c>
      <c r="I602" t="s">
        <v>3438</v>
      </c>
      <c r="J602" t="s">
        <v>5319</v>
      </c>
      <c r="K602" t="s">
        <v>5320</v>
      </c>
      <c r="L602" t="s">
        <v>5321</v>
      </c>
      <c r="M602" t="s">
        <v>5321</v>
      </c>
      <c r="N602" t="s">
        <v>5322</v>
      </c>
      <c r="P602" t="s">
        <v>5323</v>
      </c>
      <c r="Q602" t="s">
        <v>5324</v>
      </c>
      <c r="R602" t="s">
        <v>5325</v>
      </c>
      <c r="S602" t="s">
        <v>3469</v>
      </c>
    </row>
    <row r="603" spans="1:19" x14ac:dyDescent="0.2">
      <c r="A603" t="str">
        <f t="shared" si="9"/>
        <v>metab_compid_52975</v>
      </c>
      <c r="B603">
        <v>100006642</v>
      </c>
      <c r="C603">
        <v>209</v>
      </c>
      <c r="D603">
        <v>52975</v>
      </c>
      <c r="E603">
        <v>166126</v>
      </c>
      <c r="F603" t="s">
        <v>3459</v>
      </c>
      <c r="G603" t="s">
        <v>3819</v>
      </c>
      <c r="H603">
        <v>3560</v>
      </c>
      <c r="I603" t="s">
        <v>3438</v>
      </c>
      <c r="J603" t="s">
        <v>8737</v>
      </c>
      <c r="K603" t="s">
        <v>8738</v>
      </c>
      <c r="L603" t="s">
        <v>8739</v>
      </c>
      <c r="M603" t="s">
        <v>8739</v>
      </c>
      <c r="R603" t="s">
        <v>8740</v>
      </c>
      <c r="S603" t="s">
        <v>3469</v>
      </c>
    </row>
    <row r="604" spans="1:19" x14ac:dyDescent="0.2">
      <c r="A604" t="str">
        <f t="shared" si="9"/>
        <v>metab_compid_42574</v>
      </c>
      <c r="B604">
        <v>100004083</v>
      </c>
      <c r="C604">
        <v>209</v>
      </c>
      <c r="D604">
        <v>42574</v>
      </c>
      <c r="E604">
        <v>143947</v>
      </c>
      <c r="F604" t="s">
        <v>3459</v>
      </c>
      <c r="G604" t="s">
        <v>3819</v>
      </c>
      <c r="H604">
        <v>3546</v>
      </c>
      <c r="I604" t="s">
        <v>3438</v>
      </c>
      <c r="J604" t="s">
        <v>8047</v>
      </c>
      <c r="K604" t="s">
        <v>8048</v>
      </c>
      <c r="L604" t="s">
        <v>8049</v>
      </c>
      <c r="M604" t="s">
        <v>8049</v>
      </c>
      <c r="P604" t="s">
        <v>3895</v>
      </c>
      <c r="R604" t="s">
        <v>8050</v>
      </c>
      <c r="S604" t="s">
        <v>3469</v>
      </c>
    </row>
    <row r="605" spans="1:19" x14ac:dyDescent="0.2">
      <c r="A605" t="str">
        <f t="shared" si="9"/>
        <v>metab_compid_31912</v>
      </c>
      <c r="B605">
        <v>100001064</v>
      </c>
      <c r="C605">
        <v>209</v>
      </c>
      <c r="D605">
        <v>31912</v>
      </c>
      <c r="E605">
        <v>151471</v>
      </c>
      <c r="F605" t="s">
        <v>3459</v>
      </c>
      <c r="G605" t="s">
        <v>3819</v>
      </c>
      <c r="H605">
        <v>3519</v>
      </c>
      <c r="I605" t="s">
        <v>3438</v>
      </c>
      <c r="J605" t="s">
        <v>5776</v>
      </c>
      <c r="K605" t="s">
        <v>5777</v>
      </c>
      <c r="L605" t="s">
        <v>5778</v>
      </c>
      <c r="M605" t="s">
        <v>5778</v>
      </c>
      <c r="N605" t="s">
        <v>5779</v>
      </c>
      <c r="O605" t="s">
        <v>5780</v>
      </c>
      <c r="P605" t="s">
        <v>5781</v>
      </c>
      <c r="Q605" t="s">
        <v>5782</v>
      </c>
      <c r="R605" t="s">
        <v>5783</v>
      </c>
      <c r="S605" t="s">
        <v>3469</v>
      </c>
    </row>
    <row r="606" spans="1:19" x14ac:dyDescent="0.2">
      <c r="A606" t="str">
        <f t="shared" si="9"/>
        <v>metab_compid_32620</v>
      </c>
      <c r="B606">
        <v>100001657</v>
      </c>
      <c r="C606">
        <v>209</v>
      </c>
      <c r="D606">
        <v>32620</v>
      </c>
      <c r="E606">
        <v>142564</v>
      </c>
      <c r="F606" t="s">
        <v>3459</v>
      </c>
      <c r="G606" t="s">
        <v>3819</v>
      </c>
      <c r="H606">
        <v>3520</v>
      </c>
      <c r="I606" t="s">
        <v>3438</v>
      </c>
      <c r="J606" t="s">
        <v>6829</v>
      </c>
      <c r="K606" t="s">
        <v>6830</v>
      </c>
      <c r="L606" t="s">
        <v>6831</v>
      </c>
      <c r="M606" t="s">
        <v>6831</v>
      </c>
      <c r="N606" t="s">
        <v>6832</v>
      </c>
      <c r="O606" t="s">
        <v>6833</v>
      </c>
      <c r="P606" t="s">
        <v>6834</v>
      </c>
      <c r="Q606" t="s">
        <v>6835</v>
      </c>
      <c r="R606" t="s">
        <v>6836</v>
      </c>
      <c r="S606" t="s">
        <v>3469</v>
      </c>
    </row>
    <row r="607" spans="1:19" x14ac:dyDescent="0.2">
      <c r="A607" t="str">
        <f t="shared" si="9"/>
        <v>metab_compid_57595</v>
      </c>
      <c r="B607">
        <v>100015882</v>
      </c>
      <c r="C607">
        <v>402</v>
      </c>
      <c r="D607">
        <v>57595</v>
      </c>
      <c r="E607">
        <v>212143</v>
      </c>
      <c r="F607" t="s">
        <v>3459</v>
      </c>
      <c r="G607" t="s">
        <v>7081</v>
      </c>
      <c r="H607">
        <v>3098</v>
      </c>
      <c r="I607" t="s">
        <v>3438</v>
      </c>
      <c r="J607" t="s">
        <v>9518</v>
      </c>
      <c r="K607" t="s">
        <v>9519</v>
      </c>
      <c r="L607" t="s">
        <v>9520</v>
      </c>
      <c r="M607" t="s">
        <v>9520</v>
      </c>
      <c r="S607" t="s">
        <v>3447</v>
      </c>
    </row>
    <row r="608" spans="1:19" x14ac:dyDescent="0.2">
      <c r="A608" t="str">
        <f t="shared" si="9"/>
        <v>metab_compid_57448</v>
      </c>
      <c r="B608">
        <v>100015751</v>
      </c>
      <c r="C608">
        <v>402</v>
      </c>
      <c r="D608">
        <v>57448</v>
      </c>
      <c r="E608">
        <v>211102</v>
      </c>
      <c r="F608" t="s">
        <v>3459</v>
      </c>
      <c r="G608" t="s">
        <v>7081</v>
      </c>
      <c r="H608">
        <v>3101</v>
      </c>
      <c r="I608" t="s">
        <v>3438</v>
      </c>
      <c r="J608" t="s">
        <v>9359</v>
      </c>
      <c r="K608" t="s">
        <v>9360</v>
      </c>
      <c r="L608" t="s">
        <v>9361</v>
      </c>
      <c r="M608" t="s">
        <v>9361</v>
      </c>
      <c r="S608" t="s">
        <v>3447</v>
      </c>
    </row>
    <row r="609" spans="1:19" x14ac:dyDescent="0.2">
      <c r="A609" t="str">
        <f t="shared" si="9"/>
        <v>metab_compid_57453</v>
      </c>
      <c r="B609">
        <v>100015745</v>
      </c>
      <c r="C609">
        <v>402</v>
      </c>
      <c r="D609">
        <v>57453</v>
      </c>
      <c r="E609">
        <v>211107</v>
      </c>
      <c r="F609" t="s">
        <v>3459</v>
      </c>
      <c r="G609" t="s">
        <v>7081</v>
      </c>
      <c r="H609">
        <v>3102</v>
      </c>
      <c r="I609" t="s">
        <v>3438</v>
      </c>
      <c r="J609" t="s">
        <v>9356</v>
      </c>
      <c r="K609" t="s">
        <v>9357</v>
      </c>
      <c r="L609" t="s">
        <v>9358</v>
      </c>
      <c r="M609" t="s">
        <v>9358</v>
      </c>
      <c r="S609" t="s">
        <v>3447</v>
      </c>
    </row>
    <row r="610" spans="1:19" x14ac:dyDescent="0.2">
      <c r="A610" t="str">
        <f t="shared" si="9"/>
        <v>metab_compid_57444</v>
      </c>
      <c r="B610">
        <v>100015752</v>
      </c>
      <c r="C610">
        <v>402</v>
      </c>
      <c r="D610">
        <v>57444</v>
      </c>
      <c r="E610">
        <v>211098</v>
      </c>
      <c r="F610" t="s">
        <v>3459</v>
      </c>
      <c r="G610" t="s">
        <v>7081</v>
      </c>
      <c r="H610">
        <v>3084</v>
      </c>
      <c r="I610" t="s">
        <v>3438</v>
      </c>
      <c r="J610" t="s">
        <v>9362</v>
      </c>
      <c r="K610" t="s">
        <v>9363</v>
      </c>
      <c r="L610" t="s">
        <v>9364</v>
      </c>
      <c r="M610" t="s">
        <v>9364</v>
      </c>
      <c r="S610" t="s">
        <v>3447</v>
      </c>
    </row>
    <row r="611" spans="1:19" x14ac:dyDescent="0.2">
      <c r="A611" t="str">
        <f t="shared" si="9"/>
        <v>metab_compid_57421</v>
      </c>
      <c r="B611">
        <v>100015625</v>
      </c>
      <c r="C611">
        <v>402</v>
      </c>
      <c r="D611">
        <v>57421</v>
      </c>
      <c r="E611">
        <v>211074</v>
      </c>
      <c r="F611" t="s">
        <v>3459</v>
      </c>
      <c r="G611" t="s">
        <v>7081</v>
      </c>
      <c r="H611">
        <v>3088</v>
      </c>
      <c r="I611" t="s">
        <v>3438</v>
      </c>
      <c r="J611" t="s">
        <v>9305</v>
      </c>
      <c r="K611" t="s">
        <v>9306</v>
      </c>
      <c r="L611" t="s">
        <v>9307</v>
      </c>
      <c r="M611" t="s">
        <v>9307</v>
      </c>
      <c r="S611" t="s">
        <v>3447</v>
      </c>
    </row>
    <row r="612" spans="1:19" x14ac:dyDescent="0.2">
      <c r="A612" t="str">
        <f t="shared" si="9"/>
        <v>metab_compid_53013</v>
      </c>
      <c r="B612">
        <v>100009272</v>
      </c>
      <c r="C612">
        <v>402</v>
      </c>
      <c r="D612">
        <v>53013</v>
      </c>
      <c r="E612">
        <v>166346</v>
      </c>
      <c r="F612" t="s">
        <v>3459</v>
      </c>
      <c r="G612" t="s">
        <v>7081</v>
      </c>
      <c r="H612">
        <v>3077</v>
      </c>
      <c r="I612" t="s">
        <v>3438</v>
      </c>
      <c r="J612" t="s">
        <v>9168</v>
      </c>
      <c r="K612" t="s">
        <v>9169</v>
      </c>
      <c r="L612" t="s">
        <v>9170</v>
      </c>
      <c r="M612" t="s">
        <v>9170</v>
      </c>
      <c r="S612" t="s">
        <v>3447</v>
      </c>
    </row>
    <row r="613" spans="1:19" x14ac:dyDescent="0.2">
      <c r="A613" t="str">
        <f t="shared" si="9"/>
        <v>metab_compid_52234</v>
      </c>
      <c r="B613">
        <v>100001882</v>
      </c>
      <c r="C613">
        <v>402</v>
      </c>
      <c r="D613">
        <v>52234</v>
      </c>
      <c r="E613">
        <v>164199</v>
      </c>
      <c r="F613" t="s">
        <v>3459</v>
      </c>
      <c r="G613" t="s">
        <v>7081</v>
      </c>
      <c r="H613">
        <v>3078</v>
      </c>
      <c r="I613" t="s">
        <v>3438</v>
      </c>
      <c r="J613" t="s">
        <v>7082</v>
      </c>
      <c r="K613" t="s">
        <v>7083</v>
      </c>
      <c r="L613" t="s">
        <v>7084</v>
      </c>
      <c r="M613" t="s">
        <v>7084</v>
      </c>
      <c r="S613" t="s">
        <v>3447</v>
      </c>
    </row>
    <row r="614" spans="1:19" x14ac:dyDescent="0.2">
      <c r="A614" t="str">
        <f t="shared" si="9"/>
        <v>metab_compid_39379</v>
      </c>
      <c r="B614">
        <v>100002911</v>
      </c>
      <c r="C614">
        <v>209</v>
      </c>
      <c r="D614">
        <v>39379</v>
      </c>
      <c r="E614">
        <v>143714</v>
      </c>
      <c r="F614" t="s">
        <v>3459</v>
      </c>
      <c r="G614" t="s">
        <v>3819</v>
      </c>
      <c r="H614">
        <v>3534</v>
      </c>
      <c r="I614" t="s">
        <v>3438</v>
      </c>
      <c r="J614" t="s">
        <v>7736</v>
      </c>
      <c r="K614" t="s">
        <v>7737</v>
      </c>
      <c r="L614" t="s">
        <v>7738</v>
      </c>
      <c r="M614" t="s">
        <v>7738</v>
      </c>
      <c r="N614" t="s">
        <v>7739</v>
      </c>
      <c r="O614" t="s">
        <v>7740</v>
      </c>
      <c r="P614" t="s">
        <v>7741</v>
      </c>
      <c r="R614" t="s">
        <v>7742</v>
      </c>
      <c r="S614" t="s">
        <v>3469</v>
      </c>
    </row>
    <row r="615" spans="1:19" x14ac:dyDescent="0.2">
      <c r="A615" t="str">
        <f t="shared" si="9"/>
        <v>metab_compid_63731</v>
      </c>
      <c r="B615">
        <v>100020819</v>
      </c>
      <c r="C615">
        <v>209</v>
      </c>
      <c r="D615">
        <v>63731</v>
      </c>
      <c r="E615">
        <v>223256</v>
      </c>
      <c r="F615" t="s">
        <v>3459</v>
      </c>
      <c r="G615" t="s">
        <v>3819</v>
      </c>
      <c r="H615">
        <v>3537</v>
      </c>
      <c r="I615" t="s">
        <v>3438</v>
      </c>
      <c r="J615" t="s">
        <v>9888</v>
      </c>
      <c r="K615" t="s">
        <v>9889</v>
      </c>
      <c r="L615" t="s">
        <v>9890</v>
      </c>
      <c r="M615" t="s">
        <v>9890</v>
      </c>
      <c r="S615" t="s">
        <v>3469</v>
      </c>
    </row>
    <row r="616" spans="1:19" x14ac:dyDescent="0.2">
      <c r="A616" t="str">
        <f t="shared" si="9"/>
        <v>metab_compid_63732</v>
      </c>
      <c r="B616">
        <v>100020820</v>
      </c>
      <c r="C616">
        <v>209</v>
      </c>
      <c r="D616">
        <v>63732</v>
      </c>
      <c r="E616">
        <v>223258</v>
      </c>
      <c r="F616" t="s">
        <v>3459</v>
      </c>
      <c r="G616" t="s">
        <v>3819</v>
      </c>
      <c r="H616">
        <v>3569</v>
      </c>
      <c r="I616" t="s">
        <v>3438</v>
      </c>
      <c r="J616" t="s">
        <v>9888</v>
      </c>
      <c r="K616" t="s">
        <v>9889</v>
      </c>
      <c r="L616" t="s">
        <v>9891</v>
      </c>
      <c r="M616" t="s">
        <v>9891</v>
      </c>
      <c r="S616" t="s">
        <v>3469</v>
      </c>
    </row>
    <row r="617" spans="1:19" x14ac:dyDescent="0.2">
      <c r="A617" t="str">
        <f t="shared" si="9"/>
        <v>metab_compid_18357</v>
      </c>
      <c r="B617">
        <v>100000487</v>
      </c>
      <c r="C617">
        <v>400</v>
      </c>
      <c r="D617">
        <v>18357</v>
      </c>
      <c r="E617">
        <v>155655</v>
      </c>
      <c r="F617" t="s">
        <v>3853</v>
      </c>
      <c r="G617" t="s">
        <v>5381</v>
      </c>
      <c r="H617">
        <v>845</v>
      </c>
      <c r="I617" t="s">
        <v>3438</v>
      </c>
      <c r="J617" t="s">
        <v>5382</v>
      </c>
      <c r="K617" t="s">
        <v>5383</v>
      </c>
      <c r="L617" t="s">
        <v>5384</v>
      </c>
      <c r="M617" t="s">
        <v>5384</v>
      </c>
      <c r="N617" t="s">
        <v>5385</v>
      </c>
      <c r="O617" t="s">
        <v>5386</v>
      </c>
      <c r="P617" t="s">
        <v>5387</v>
      </c>
      <c r="R617" t="s">
        <v>5388</v>
      </c>
      <c r="S617" t="s">
        <v>3458</v>
      </c>
    </row>
    <row r="618" spans="1:19" x14ac:dyDescent="0.2">
      <c r="A618" t="str">
        <f t="shared" si="9"/>
        <v>metab_compid_46111</v>
      </c>
      <c r="B618">
        <v>100004208</v>
      </c>
      <c r="C618">
        <v>209</v>
      </c>
      <c r="D618">
        <v>46111</v>
      </c>
      <c r="E618">
        <v>143736</v>
      </c>
      <c r="F618" t="s">
        <v>3863</v>
      </c>
      <c r="G618" t="s">
        <v>5082</v>
      </c>
      <c r="H618">
        <v>4523</v>
      </c>
      <c r="I618" t="s">
        <v>3438</v>
      </c>
      <c r="J618" t="s">
        <v>8133</v>
      </c>
      <c r="K618" t="s">
        <v>8134</v>
      </c>
      <c r="L618" t="s">
        <v>8135</v>
      </c>
      <c r="M618" t="s">
        <v>8135</v>
      </c>
      <c r="O618" t="s">
        <v>8136</v>
      </c>
      <c r="P618" t="s">
        <v>8137</v>
      </c>
      <c r="R618" t="s">
        <v>8138</v>
      </c>
      <c r="S618" t="s">
        <v>3469</v>
      </c>
    </row>
    <row r="619" spans="1:19" x14ac:dyDescent="0.2">
      <c r="A619" t="str">
        <f t="shared" si="9"/>
        <v>metab_compid_43802</v>
      </c>
      <c r="B619">
        <v>344</v>
      </c>
      <c r="C619">
        <v>305</v>
      </c>
      <c r="D619">
        <v>43802</v>
      </c>
      <c r="E619">
        <v>147630</v>
      </c>
      <c r="F619" t="s">
        <v>3436</v>
      </c>
      <c r="G619" t="s">
        <v>3785</v>
      </c>
      <c r="H619">
        <v>535</v>
      </c>
      <c r="I619" t="s">
        <v>3438</v>
      </c>
      <c r="J619" t="s">
        <v>3898</v>
      </c>
      <c r="K619" t="s">
        <v>3899</v>
      </c>
      <c r="L619" t="s">
        <v>3900</v>
      </c>
      <c r="M619" t="s">
        <v>3900</v>
      </c>
      <c r="N619" t="s">
        <v>3901</v>
      </c>
      <c r="O619" t="s">
        <v>3902</v>
      </c>
      <c r="P619" t="s">
        <v>3903</v>
      </c>
      <c r="Q619" t="s">
        <v>3904</v>
      </c>
      <c r="R619" t="s">
        <v>3905</v>
      </c>
      <c r="S619" t="s">
        <v>3489</v>
      </c>
    </row>
    <row r="620" spans="1:19" x14ac:dyDescent="0.2">
      <c r="A620" t="str">
        <f t="shared" si="9"/>
        <v>metab_compid_32446</v>
      </c>
      <c r="B620">
        <v>100001212</v>
      </c>
      <c r="C620">
        <v>305</v>
      </c>
      <c r="D620">
        <v>32446</v>
      </c>
      <c r="E620">
        <v>152164</v>
      </c>
      <c r="F620" t="s">
        <v>3436</v>
      </c>
      <c r="G620" t="s">
        <v>5230</v>
      </c>
      <c r="H620">
        <v>572</v>
      </c>
      <c r="I620" t="s">
        <v>3438</v>
      </c>
      <c r="J620" t="s">
        <v>5982</v>
      </c>
      <c r="K620" t="s">
        <v>5983</v>
      </c>
      <c r="L620" t="s">
        <v>5984</v>
      </c>
      <c r="M620" t="s">
        <v>5984</v>
      </c>
      <c r="N620" t="s">
        <v>5985</v>
      </c>
      <c r="O620" t="s">
        <v>5986</v>
      </c>
      <c r="P620" t="s">
        <v>5987</v>
      </c>
      <c r="Q620" t="s">
        <v>5988</v>
      </c>
      <c r="R620" t="s">
        <v>5989</v>
      </c>
      <c r="S620" t="s">
        <v>3489</v>
      </c>
    </row>
    <row r="621" spans="1:19" x14ac:dyDescent="0.2">
      <c r="A621" t="str">
        <f t="shared" si="9"/>
        <v>metab_compid_1573</v>
      </c>
      <c r="B621">
        <v>1099</v>
      </c>
      <c r="C621">
        <v>209</v>
      </c>
      <c r="D621">
        <v>1573</v>
      </c>
      <c r="E621">
        <v>124583</v>
      </c>
      <c r="F621" t="s">
        <v>3533</v>
      </c>
      <c r="G621" t="s">
        <v>4656</v>
      </c>
      <c r="H621">
        <v>4202</v>
      </c>
      <c r="I621" t="s">
        <v>3438</v>
      </c>
      <c r="J621" t="s">
        <v>4657</v>
      </c>
      <c r="K621" t="s">
        <v>4658</v>
      </c>
      <c r="L621" t="s">
        <v>4659</v>
      </c>
      <c r="M621" t="s">
        <v>4659</v>
      </c>
      <c r="N621" t="s">
        <v>4660</v>
      </c>
      <c r="O621" t="s">
        <v>4661</v>
      </c>
      <c r="P621" t="s">
        <v>4662</v>
      </c>
      <c r="Q621" t="s">
        <v>4663</v>
      </c>
      <c r="R621" t="s">
        <v>4664</v>
      </c>
      <c r="S621" t="s">
        <v>3469</v>
      </c>
    </row>
    <row r="622" spans="1:19" x14ac:dyDescent="0.2">
      <c r="A622" t="str">
        <f t="shared" si="9"/>
        <v>metab_compid_46957</v>
      </c>
      <c r="B622">
        <v>100001586</v>
      </c>
      <c r="C622">
        <v>305</v>
      </c>
      <c r="D622">
        <v>46957</v>
      </c>
      <c r="E622">
        <v>148205</v>
      </c>
      <c r="F622" t="s">
        <v>3448</v>
      </c>
      <c r="G622" t="s">
        <v>5600</v>
      </c>
      <c r="H622">
        <v>4378</v>
      </c>
      <c r="I622" t="s">
        <v>3438</v>
      </c>
      <c r="J622" t="s">
        <v>6666</v>
      </c>
      <c r="K622" t="s">
        <v>6667</v>
      </c>
      <c r="L622" t="s">
        <v>6668</v>
      </c>
      <c r="M622" t="s">
        <v>6668</v>
      </c>
      <c r="N622" t="s">
        <v>6669</v>
      </c>
      <c r="O622" t="s">
        <v>6670</v>
      </c>
      <c r="P622" t="s">
        <v>6671</v>
      </c>
      <c r="Q622" t="s">
        <v>6672</v>
      </c>
      <c r="R622" t="s">
        <v>6673</v>
      </c>
      <c r="S622" t="s">
        <v>3489</v>
      </c>
    </row>
    <row r="623" spans="1:19" x14ac:dyDescent="0.2">
      <c r="A623" t="str">
        <f t="shared" si="9"/>
        <v>metab_compid_41754</v>
      </c>
      <c r="B623">
        <v>100001386</v>
      </c>
      <c r="C623">
        <v>402</v>
      </c>
      <c r="D623">
        <v>41754</v>
      </c>
      <c r="E623">
        <v>159409</v>
      </c>
      <c r="F623" t="s">
        <v>3448</v>
      </c>
      <c r="G623" t="s">
        <v>3714</v>
      </c>
      <c r="H623">
        <v>4428</v>
      </c>
      <c r="I623" t="s">
        <v>3438</v>
      </c>
      <c r="J623" t="s">
        <v>6287</v>
      </c>
      <c r="K623" t="s">
        <v>6288</v>
      </c>
      <c r="L623" t="s">
        <v>6289</v>
      </c>
      <c r="M623" t="s">
        <v>6289</v>
      </c>
      <c r="N623" t="s">
        <v>6290</v>
      </c>
      <c r="P623" t="s">
        <v>6291</v>
      </c>
      <c r="Q623" t="s">
        <v>6292</v>
      </c>
      <c r="R623" t="s">
        <v>6293</v>
      </c>
      <c r="S623" t="s">
        <v>3447</v>
      </c>
    </row>
    <row r="624" spans="1:19" x14ac:dyDescent="0.2">
      <c r="A624" t="str">
        <f t="shared" si="9"/>
        <v>metab_compid_57658</v>
      </c>
      <c r="B624">
        <v>100015797</v>
      </c>
      <c r="C624">
        <v>209</v>
      </c>
      <c r="D624">
        <v>57658</v>
      </c>
      <c r="E624">
        <v>212715</v>
      </c>
      <c r="F624" t="s">
        <v>3459</v>
      </c>
      <c r="G624" t="s">
        <v>3560</v>
      </c>
      <c r="H624">
        <v>1579</v>
      </c>
      <c r="I624" t="s">
        <v>3438</v>
      </c>
      <c r="J624" t="s">
        <v>9454</v>
      </c>
      <c r="K624" t="s">
        <v>9455</v>
      </c>
      <c r="L624" t="s">
        <v>9456</v>
      </c>
      <c r="M624" t="s">
        <v>9456</v>
      </c>
      <c r="N624" t="s">
        <v>9457</v>
      </c>
      <c r="O624" t="s">
        <v>9458</v>
      </c>
      <c r="R624" t="s">
        <v>9459</v>
      </c>
      <c r="S624" t="s">
        <v>3469</v>
      </c>
    </row>
    <row r="625" spans="1:19" x14ac:dyDescent="0.2">
      <c r="A625" t="str">
        <f t="shared" si="9"/>
        <v>metab_compid_1644</v>
      </c>
      <c r="B625">
        <v>925</v>
      </c>
      <c r="C625">
        <v>209</v>
      </c>
      <c r="D625">
        <v>1644</v>
      </c>
      <c r="E625">
        <v>125738</v>
      </c>
      <c r="F625" t="s">
        <v>3459</v>
      </c>
      <c r="G625" t="s">
        <v>3569</v>
      </c>
      <c r="H625">
        <v>1508</v>
      </c>
      <c r="I625" t="s">
        <v>3438</v>
      </c>
      <c r="J625" t="s">
        <v>4479</v>
      </c>
      <c r="K625" t="s">
        <v>4480</v>
      </c>
      <c r="L625" t="s">
        <v>4481</v>
      </c>
      <c r="M625" t="s">
        <v>4481</v>
      </c>
      <c r="N625" t="s">
        <v>4482</v>
      </c>
      <c r="O625" t="s">
        <v>4483</v>
      </c>
      <c r="P625" t="s">
        <v>4484</v>
      </c>
      <c r="Q625" t="s">
        <v>4485</v>
      </c>
      <c r="R625" t="s">
        <v>4486</v>
      </c>
      <c r="S625" t="s">
        <v>3469</v>
      </c>
    </row>
    <row r="626" spans="1:19" x14ac:dyDescent="0.2">
      <c r="A626" t="str">
        <f t="shared" si="9"/>
        <v>metab_compid_61866</v>
      </c>
      <c r="B626">
        <v>100019981</v>
      </c>
      <c r="C626">
        <v>305</v>
      </c>
      <c r="D626">
        <v>61866</v>
      </c>
      <c r="E626">
        <v>218583</v>
      </c>
      <c r="F626" t="s">
        <v>3459</v>
      </c>
      <c r="G626" t="s">
        <v>3873</v>
      </c>
      <c r="H626">
        <v>1692</v>
      </c>
      <c r="I626" t="s">
        <v>3438</v>
      </c>
      <c r="J626" t="s">
        <v>9620</v>
      </c>
      <c r="K626" t="s">
        <v>9621</v>
      </c>
      <c r="L626" t="s">
        <v>9622</v>
      </c>
      <c r="M626" t="s">
        <v>9622</v>
      </c>
      <c r="S626" t="s">
        <v>3489</v>
      </c>
    </row>
    <row r="627" spans="1:19" x14ac:dyDescent="0.2">
      <c r="A627" t="str">
        <f t="shared" si="9"/>
        <v>metab_compid_57652</v>
      </c>
      <c r="B627">
        <v>100009394</v>
      </c>
      <c r="C627">
        <v>209</v>
      </c>
      <c r="D627">
        <v>57652</v>
      </c>
      <c r="E627">
        <v>212703</v>
      </c>
      <c r="F627" t="s">
        <v>3459</v>
      </c>
      <c r="G627" t="s">
        <v>3560</v>
      </c>
      <c r="H627">
        <v>1584</v>
      </c>
      <c r="I627" t="s">
        <v>3438</v>
      </c>
      <c r="J627" t="s">
        <v>9228</v>
      </c>
      <c r="K627" t="s">
        <v>9229</v>
      </c>
      <c r="L627" t="s">
        <v>9230</v>
      </c>
      <c r="M627" t="s">
        <v>9230</v>
      </c>
      <c r="N627" t="s">
        <v>9231</v>
      </c>
      <c r="O627" t="s">
        <v>9232</v>
      </c>
      <c r="P627" t="s">
        <v>9233</v>
      </c>
      <c r="R627" t="s">
        <v>9234</v>
      </c>
      <c r="S627" t="s">
        <v>3469</v>
      </c>
    </row>
    <row r="628" spans="1:19" x14ac:dyDescent="0.2">
      <c r="A628" t="str">
        <f t="shared" si="9"/>
        <v>metab_compid_35678</v>
      </c>
      <c r="B628">
        <v>100001614</v>
      </c>
      <c r="C628">
        <v>209</v>
      </c>
      <c r="D628">
        <v>35678</v>
      </c>
      <c r="E628">
        <v>128277</v>
      </c>
      <c r="F628" t="s">
        <v>3459</v>
      </c>
      <c r="G628" t="s">
        <v>3873</v>
      </c>
      <c r="H628">
        <v>1713</v>
      </c>
      <c r="I628" t="s">
        <v>3438</v>
      </c>
      <c r="J628" t="s">
        <v>6758</v>
      </c>
      <c r="K628" t="s">
        <v>6759</v>
      </c>
      <c r="L628" t="s">
        <v>6760</v>
      </c>
      <c r="M628" t="s">
        <v>6761</v>
      </c>
      <c r="N628" t="s">
        <v>6762</v>
      </c>
      <c r="O628" t="s">
        <v>6763</v>
      </c>
      <c r="P628" t="s">
        <v>6764</v>
      </c>
      <c r="Q628" t="s">
        <v>6765</v>
      </c>
      <c r="R628" t="s">
        <v>6766</v>
      </c>
      <c r="S628" t="s">
        <v>3469</v>
      </c>
    </row>
    <row r="629" spans="1:19" x14ac:dyDescent="0.2">
      <c r="A629" t="str">
        <f t="shared" si="9"/>
        <v>metab_compid_61862</v>
      </c>
      <c r="B629">
        <v>100019975</v>
      </c>
      <c r="C629">
        <v>209</v>
      </c>
      <c r="D629">
        <v>61862</v>
      </c>
      <c r="E629">
        <v>218579</v>
      </c>
      <c r="F629" t="s">
        <v>3459</v>
      </c>
      <c r="G629" t="s">
        <v>3873</v>
      </c>
      <c r="H629">
        <v>1714</v>
      </c>
      <c r="I629" t="s">
        <v>3438</v>
      </c>
      <c r="J629" t="s">
        <v>9613</v>
      </c>
      <c r="K629" t="s">
        <v>9614</v>
      </c>
      <c r="L629" t="s">
        <v>9615</v>
      </c>
      <c r="M629" t="s">
        <v>9615</v>
      </c>
      <c r="S629" t="s">
        <v>3469</v>
      </c>
    </row>
    <row r="630" spans="1:19" x14ac:dyDescent="0.2">
      <c r="A630" t="str">
        <f t="shared" si="9"/>
        <v>metab_compid_32328</v>
      </c>
      <c r="B630">
        <v>100000781</v>
      </c>
      <c r="C630">
        <v>400</v>
      </c>
      <c r="D630">
        <v>32328</v>
      </c>
      <c r="E630">
        <v>155906</v>
      </c>
      <c r="F630" t="s">
        <v>3459</v>
      </c>
      <c r="G630" t="s">
        <v>5535</v>
      </c>
      <c r="H630">
        <v>1862</v>
      </c>
      <c r="I630" t="s">
        <v>3438</v>
      </c>
      <c r="J630" t="s">
        <v>5536</v>
      </c>
      <c r="K630" t="s">
        <v>5537</v>
      </c>
      <c r="L630" t="s">
        <v>5538</v>
      </c>
      <c r="M630" t="s">
        <v>5538</v>
      </c>
      <c r="N630" t="s">
        <v>5539</v>
      </c>
      <c r="O630" t="s">
        <v>5540</v>
      </c>
      <c r="P630" t="s">
        <v>5541</v>
      </c>
      <c r="R630" t="s">
        <v>5542</v>
      </c>
      <c r="S630" t="s">
        <v>3458</v>
      </c>
    </row>
    <row r="631" spans="1:19" x14ac:dyDescent="0.2">
      <c r="A631" t="str">
        <f t="shared" si="9"/>
        <v>metab_compid_54907</v>
      </c>
      <c r="B631">
        <v>100001733</v>
      </c>
      <c r="C631">
        <v>209</v>
      </c>
      <c r="D631">
        <v>54907</v>
      </c>
      <c r="E631">
        <v>208284</v>
      </c>
      <c r="F631" t="s">
        <v>3459</v>
      </c>
      <c r="G631" t="s">
        <v>6878</v>
      </c>
      <c r="H631">
        <v>1799</v>
      </c>
      <c r="I631" t="s">
        <v>3438</v>
      </c>
      <c r="J631" t="s">
        <v>6879</v>
      </c>
      <c r="K631" t="s">
        <v>6880</v>
      </c>
      <c r="L631" t="s">
        <v>6881</v>
      </c>
      <c r="M631" t="s">
        <v>6881</v>
      </c>
      <c r="S631" t="s">
        <v>3469</v>
      </c>
    </row>
    <row r="632" spans="1:19" x14ac:dyDescent="0.2">
      <c r="A632" t="str">
        <f t="shared" si="9"/>
        <v>metab_compid_35436</v>
      </c>
      <c r="B632">
        <v>100001527</v>
      </c>
      <c r="C632">
        <v>209</v>
      </c>
      <c r="D632">
        <v>35436</v>
      </c>
      <c r="E632">
        <v>128227</v>
      </c>
      <c r="F632" t="s">
        <v>3459</v>
      </c>
      <c r="G632" t="s">
        <v>4991</v>
      </c>
      <c r="H632">
        <v>1823</v>
      </c>
      <c r="I632" t="s">
        <v>3438</v>
      </c>
      <c r="J632" t="s">
        <v>6564</v>
      </c>
      <c r="K632" t="s">
        <v>6565</v>
      </c>
      <c r="L632" t="s">
        <v>6566</v>
      </c>
      <c r="M632" t="s">
        <v>6567</v>
      </c>
      <c r="N632" t="s">
        <v>6568</v>
      </c>
      <c r="O632" t="s">
        <v>6569</v>
      </c>
      <c r="P632" t="s">
        <v>6570</v>
      </c>
      <c r="R632" t="s">
        <v>6571</v>
      </c>
      <c r="S632" t="s">
        <v>3469</v>
      </c>
    </row>
    <row r="633" spans="1:19" x14ac:dyDescent="0.2">
      <c r="A633" t="str">
        <f t="shared" si="9"/>
        <v>metab_compid_15753</v>
      </c>
      <c r="B633">
        <v>100000014</v>
      </c>
      <c r="C633">
        <v>209</v>
      </c>
      <c r="D633">
        <v>15753</v>
      </c>
      <c r="E633">
        <v>124647</v>
      </c>
      <c r="F633" t="s">
        <v>3863</v>
      </c>
      <c r="G633" t="s">
        <v>5082</v>
      </c>
      <c r="H633">
        <v>4483</v>
      </c>
      <c r="I633" t="s">
        <v>3438</v>
      </c>
      <c r="J633" t="s">
        <v>5167</v>
      </c>
      <c r="K633" t="s">
        <v>5168</v>
      </c>
      <c r="L633" t="s">
        <v>5169</v>
      </c>
      <c r="M633" t="s">
        <v>5169</v>
      </c>
      <c r="N633" t="s">
        <v>5170</v>
      </c>
      <c r="O633" t="s">
        <v>5171</v>
      </c>
      <c r="P633" t="s">
        <v>5172</v>
      </c>
      <c r="Q633" t="s">
        <v>5173</v>
      </c>
      <c r="R633" t="s">
        <v>5174</v>
      </c>
      <c r="S633" t="s">
        <v>3469</v>
      </c>
    </row>
    <row r="634" spans="1:19" x14ac:dyDescent="0.2">
      <c r="A634" t="str">
        <f t="shared" si="9"/>
        <v>metab_compid_59</v>
      </c>
      <c r="B634">
        <v>355</v>
      </c>
      <c r="C634">
        <v>209</v>
      </c>
      <c r="D634">
        <v>59</v>
      </c>
      <c r="E634">
        <v>123153</v>
      </c>
      <c r="F634" t="s">
        <v>3436</v>
      </c>
      <c r="G634" t="s">
        <v>3906</v>
      </c>
      <c r="H634">
        <v>72</v>
      </c>
      <c r="I634" t="s">
        <v>3438</v>
      </c>
      <c r="J634" t="s">
        <v>3907</v>
      </c>
      <c r="K634" t="s">
        <v>3908</v>
      </c>
      <c r="L634" t="s">
        <v>585</v>
      </c>
      <c r="M634" t="s">
        <v>585</v>
      </c>
      <c r="N634" t="s">
        <v>3909</v>
      </c>
      <c r="O634" t="s">
        <v>3910</v>
      </c>
      <c r="P634" t="s">
        <v>3911</v>
      </c>
      <c r="Q634" t="s">
        <v>3912</v>
      </c>
      <c r="R634" t="s">
        <v>3913</v>
      </c>
      <c r="S634" t="s">
        <v>3469</v>
      </c>
    </row>
    <row r="635" spans="1:19" x14ac:dyDescent="0.2">
      <c r="A635" t="str">
        <f t="shared" si="9"/>
        <v>metab_compid_62278</v>
      </c>
      <c r="B635">
        <v>100004059</v>
      </c>
      <c r="C635">
        <v>400</v>
      </c>
      <c r="D635">
        <v>62278</v>
      </c>
      <c r="E635">
        <v>219251</v>
      </c>
      <c r="F635" t="s">
        <v>3863</v>
      </c>
      <c r="G635" t="s">
        <v>3864</v>
      </c>
      <c r="H635">
        <v>4953</v>
      </c>
      <c r="I635" t="s">
        <v>3438</v>
      </c>
      <c r="J635" t="s">
        <v>8040</v>
      </c>
      <c r="K635" t="s">
        <v>8041</v>
      </c>
      <c r="L635" t="s">
        <v>8042</v>
      </c>
      <c r="M635" t="s">
        <v>8042</v>
      </c>
      <c r="N635" t="s">
        <v>8043</v>
      </c>
      <c r="O635" t="s">
        <v>8044</v>
      </c>
      <c r="P635" t="s">
        <v>8045</v>
      </c>
      <c r="R635" t="s">
        <v>8046</v>
      </c>
      <c r="S635" t="s">
        <v>3458</v>
      </c>
    </row>
    <row r="636" spans="1:19" x14ac:dyDescent="0.2">
      <c r="A636" t="str">
        <f t="shared" si="9"/>
        <v>metab_compid_22137</v>
      </c>
      <c r="B636">
        <v>100000961</v>
      </c>
      <c r="C636">
        <v>400</v>
      </c>
      <c r="D636">
        <v>22137</v>
      </c>
      <c r="E636">
        <v>155792</v>
      </c>
      <c r="F636" t="s">
        <v>3436</v>
      </c>
      <c r="G636" t="s">
        <v>3661</v>
      </c>
      <c r="H636">
        <v>500</v>
      </c>
      <c r="I636" t="s">
        <v>3438</v>
      </c>
      <c r="J636" t="s">
        <v>5663</v>
      </c>
      <c r="K636" t="s">
        <v>5664</v>
      </c>
      <c r="L636" t="s">
        <v>5665</v>
      </c>
      <c r="M636" t="s">
        <v>5665</v>
      </c>
      <c r="N636" t="s">
        <v>5666</v>
      </c>
      <c r="O636" t="s">
        <v>5667</v>
      </c>
      <c r="P636" t="s">
        <v>5668</v>
      </c>
      <c r="Q636" t="s">
        <v>5669</v>
      </c>
      <c r="R636" t="s">
        <v>5670</v>
      </c>
      <c r="S636" t="s">
        <v>3458</v>
      </c>
    </row>
    <row r="637" spans="1:19" x14ac:dyDescent="0.2">
      <c r="A637" t="str">
        <f t="shared" si="9"/>
        <v>metab_compid_22138</v>
      </c>
      <c r="B637">
        <v>100000963</v>
      </c>
      <c r="C637">
        <v>209</v>
      </c>
      <c r="D637">
        <v>22138</v>
      </c>
      <c r="E637">
        <v>123305</v>
      </c>
      <c r="F637" t="s">
        <v>3436</v>
      </c>
      <c r="G637" t="s">
        <v>3661</v>
      </c>
      <c r="H637">
        <v>501</v>
      </c>
      <c r="I637" t="s">
        <v>3438</v>
      </c>
      <c r="J637" t="s">
        <v>5671</v>
      </c>
      <c r="K637" t="s">
        <v>5672</v>
      </c>
      <c r="L637" t="s">
        <v>5673</v>
      </c>
      <c r="M637" t="s">
        <v>5673</v>
      </c>
      <c r="N637" t="s">
        <v>5674</v>
      </c>
      <c r="O637" t="s">
        <v>5675</v>
      </c>
      <c r="P637" t="s">
        <v>5676</v>
      </c>
      <c r="Q637" t="s">
        <v>5677</v>
      </c>
      <c r="R637" t="s">
        <v>5678</v>
      </c>
      <c r="S637" t="s">
        <v>3469</v>
      </c>
    </row>
    <row r="638" spans="1:19" x14ac:dyDescent="0.2">
      <c r="A638" t="str">
        <f t="shared" si="9"/>
        <v>metab_compid_33009</v>
      </c>
      <c r="B638">
        <v>100001550</v>
      </c>
      <c r="C638">
        <v>400</v>
      </c>
      <c r="D638">
        <v>33009</v>
      </c>
      <c r="E638">
        <v>155996</v>
      </c>
      <c r="F638" t="s">
        <v>3863</v>
      </c>
      <c r="G638" t="s">
        <v>3864</v>
      </c>
      <c r="H638">
        <v>4955</v>
      </c>
      <c r="I638" t="s">
        <v>3438</v>
      </c>
      <c r="J638" t="s">
        <v>6592</v>
      </c>
      <c r="K638" t="s">
        <v>6593</v>
      </c>
      <c r="L638" t="s">
        <v>6594</v>
      </c>
      <c r="M638" t="s">
        <v>6594</v>
      </c>
      <c r="N638" t="s">
        <v>6595</v>
      </c>
      <c r="O638" t="s">
        <v>6596</v>
      </c>
      <c r="P638" t="s">
        <v>6597</v>
      </c>
      <c r="Q638" t="s">
        <v>6598</v>
      </c>
      <c r="R638" t="s">
        <v>6599</v>
      </c>
      <c r="S638" t="s">
        <v>3458</v>
      </c>
    </row>
    <row r="639" spans="1:19" x14ac:dyDescent="0.2">
      <c r="A639" t="str">
        <f t="shared" si="9"/>
        <v>metab_compid_40473</v>
      </c>
      <c r="B639">
        <v>100002514</v>
      </c>
      <c r="C639">
        <v>305</v>
      </c>
      <c r="D639">
        <v>40473</v>
      </c>
      <c r="E639">
        <v>152212</v>
      </c>
      <c r="F639" t="s">
        <v>3436</v>
      </c>
      <c r="G639" t="s">
        <v>3906</v>
      </c>
      <c r="H639">
        <v>79</v>
      </c>
      <c r="I639" t="s">
        <v>3438</v>
      </c>
      <c r="J639" t="s">
        <v>7543</v>
      </c>
      <c r="K639" t="s">
        <v>7544</v>
      </c>
      <c r="L639" t="s">
        <v>7545</v>
      </c>
      <c r="M639" t="s">
        <v>7545</v>
      </c>
      <c r="N639" t="s">
        <v>7546</v>
      </c>
      <c r="O639" t="s">
        <v>7547</v>
      </c>
      <c r="P639" t="s">
        <v>7548</v>
      </c>
      <c r="Q639" t="s">
        <v>7549</v>
      </c>
      <c r="R639" t="s">
        <v>7550</v>
      </c>
      <c r="S639" t="s">
        <v>3489</v>
      </c>
    </row>
    <row r="640" spans="1:19" x14ac:dyDescent="0.2">
      <c r="A640" t="str">
        <f t="shared" si="9"/>
        <v>metab_compid_39625</v>
      </c>
      <c r="B640">
        <v>100002734</v>
      </c>
      <c r="C640">
        <v>209</v>
      </c>
      <c r="D640">
        <v>39625</v>
      </c>
      <c r="E640">
        <v>141926</v>
      </c>
      <c r="F640" t="s">
        <v>3863</v>
      </c>
      <c r="G640" t="s">
        <v>7216</v>
      </c>
      <c r="H640">
        <v>5714</v>
      </c>
      <c r="I640" t="s">
        <v>3438</v>
      </c>
      <c r="J640" t="s">
        <v>7607</v>
      </c>
      <c r="K640" t="s">
        <v>7608</v>
      </c>
      <c r="L640" t="s">
        <v>7609</v>
      </c>
      <c r="M640" t="s">
        <v>7609</v>
      </c>
      <c r="N640" t="s">
        <v>7610</v>
      </c>
      <c r="O640" t="s">
        <v>7611</v>
      </c>
      <c r="P640" t="s">
        <v>7612</v>
      </c>
      <c r="Q640" t="s">
        <v>7613</v>
      </c>
      <c r="R640" t="s">
        <v>7614</v>
      </c>
      <c r="S640" t="s">
        <v>3469</v>
      </c>
    </row>
    <row r="641" spans="1:19" x14ac:dyDescent="0.2">
      <c r="A641" t="str">
        <f t="shared" si="9"/>
        <v>metab_compid_35322</v>
      </c>
      <c r="B641">
        <v>100001604</v>
      </c>
      <c r="C641">
        <v>209</v>
      </c>
      <c r="D641">
        <v>35322</v>
      </c>
      <c r="E641">
        <v>144222</v>
      </c>
      <c r="F641" t="s">
        <v>3863</v>
      </c>
      <c r="G641" t="s">
        <v>4142</v>
      </c>
      <c r="H641">
        <v>5995</v>
      </c>
      <c r="I641" t="s">
        <v>3438</v>
      </c>
      <c r="J641" t="s">
        <v>6702</v>
      </c>
      <c r="K641" t="s">
        <v>6703</v>
      </c>
      <c r="L641" t="s">
        <v>6704</v>
      </c>
      <c r="M641" t="s">
        <v>6704</v>
      </c>
      <c r="N641" t="s">
        <v>6705</v>
      </c>
      <c r="O641" t="s">
        <v>6706</v>
      </c>
      <c r="P641" t="s">
        <v>6707</v>
      </c>
      <c r="Q641" t="s">
        <v>6708</v>
      </c>
      <c r="R641" t="s">
        <v>6709</v>
      </c>
      <c r="S641" t="s">
        <v>3469</v>
      </c>
    </row>
    <row r="642" spans="1:19" x14ac:dyDescent="0.2">
      <c r="A642" t="str">
        <f t="shared" ref="A642:A705" si="10">_xlfn.CONCAT("metab_compid_", $D642)</f>
        <v>metab_compid_62277</v>
      </c>
      <c r="B642">
        <v>100019794</v>
      </c>
      <c r="C642">
        <v>209</v>
      </c>
      <c r="D642">
        <v>62277</v>
      </c>
      <c r="E642">
        <v>219248</v>
      </c>
      <c r="F642" t="s">
        <v>3459</v>
      </c>
      <c r="G642" t="s">
        <v>3873</v>
      </c>
      <c r="H642">
        <v>1724</v>
      </c>
      <c r="I642" t="s">
        <v>3438</v>
      </c>
      <c r="J642" t="s">
        <v>9574</v>
      </c>
      <c r="K642" t="s">
        <v>9575</v>
      </c>
      <c r="L642" t="s">
        <v>9576</v>
      </c>
      <c r="M642" t="s">
        <v>9576</v>
      </c>
      <c r="S642" t="s">
        <v>3469</v>
      </c>
    </row>
    <row r="643" spans="1:19" x14ac:dyDescent="0.2">
      <c r="A643" t="str">
        <f t="shared" si="10"/>
        <v>metab_compid_62959</v>
      </c>
      <c r="B643">
        <v>100021123</v>
      </c>
      <c r="C643">
        <v>400</v>
      </c>
      <c r="D643">
        <v>62959</v>
      </c>
      <c r="E643">
        <v>220848</v>
      </c>
      <c r="F643" t="s">
        <v>3436</v>
      </c>
      <c r="G643" t="s">
        <v>3586</v>
      </c>
      <c r="H643">
        <v>119</v>
      </c>
      <c r="I643" t="s">
        <v>3438</v>
      </c>
      <c r="J643" t="s">
        <v>10086</v>
      </c>
      <c r="K643" t="s">
        <v>10087</v>
      </c>
      <c r="L643" t="s">
        <v>10088</v>
      </c>
      <c r="M643" t="s">
        <v>10088</v>
      </c>
      <c r="S643" t="s">
        <v>3458</v>
      </c>
    </row>
    <row r="644" spans="1:19" x14ac:dyDescent="0.2">
      <c r="A644" t="str">
        <f t="shared" si="10"/>
        <v>metab_compid_62060</v>
      </c>
      <c r="B644">
        <v>100020205</v>
      </c>
      <c r="C644">
        <v>400</v>
      </c>
      <c r="D644">
        <v>62060</v>
      </c>
      <c r="E644">
        <v>218876</v>
      </c>
      <c r="F644" t="s">
        <v>3436</v>
      </c>
      <c r="G644" t="s">
        <v>3670</v>
      </c>
      <c r="H644">
        <v>43</v>
      </c>
      <c r="I644" t="s">
        <v>3438</v>
      </c>
      <c r="J644" t="s">
        <v>9650</v>
      </c>
      <c r="K644" t="s">
        <v>9651</v>
      </c>
      <c r="L644" t="s">
        <v>9652</v>
      </c>
      <c r="M644" t="s">
        <v>9652</v>
      </c>
      <c r="O644" t="s">
        <v>9653</v>
      </c>
      <c r="P644" t="s">
        <v>9654</v>
      </c>
      <c r="Q644" t="s">
        <v>9655</v>
      </c>
      <c r="R644" t="s">
        <v>9656</v>
      </c>
      <c r="S644" t="s">
        <v>3458</v>
      </c>
    </row>
    <row r="645" spans="1:19" x14ac:dyDescent="0.2">
      <c r="A645" t="str">
        <f t="shared" si="10"/>
        <v>metab_compid_32882</v>
      </c>
      <c r="B645">
        <v>100001309</v>
      </c>
      <c r="C645">
        <v>400</v>
      </c>
      <c r="D645">
        <v>32882</v>
      </c>
      <c r="E645">
        <v>155992</v>
      </c>
      <c r="F645" t="s">
        <v>3863</v>
      </c>
      <c r="G645" t="s">
        <v>4933</v>
      </c>
      <c r="H645">
        <v>5891</v>
      </c>
      <c r="I645" t="s">
        <v>3438</v>
      </c>
      <c r="J645" t="s">
        <v>6193</v>
      </c>
      <c r="K645" t="s">
        <v>6194</v>
      </c>
      <c r="L645" t="s">
        <v>6195</v>
      </c>
      <c r="M645" t="s">
        <v>6195</v>
      </c>
      <c r="O645" t="s">
        <v>6196</v>
      </c>
      <c r="P645" t="s">
        <v>6197</v>
      </c>
      <c r="R645" t="s">
        <v>6198</v>
      </c>
      <c r="S645" t="s">
        <v>3458</v>
      </c>
    </row>
    <row r="646" spans="1:19" x14ac:dyDescent="0.2">
      <c r="A646" t="str">
        <f t="shared" si="10"/>
        <v>metab_compid_38661</v>
      </c>
      <c r="B646">
        <v>100002717</v>
      </c>
      <c r="C646">
        <v>400</v>
      </c>
      <c r="D646">
        <v>38661</v>
      </c>
      <c r="E646">
        <v>156555</v>
      </c>
      <c r="F646" t="s">
        <v>3863</v>
      </c>
      <c r="G646" t="s">
        <v>4365</v>
      </c>
      <c r="H646">
        <v>4633</v>
      </c>
      <c r="I646" t="s">
        <v>3438</v>
      </c>
      <c r="J646" t="s">
        <v>7583</v>
      </c>
      <c r="K646" t="s">
        <v>7584</v>
      </c>
      <c r="L646" t="s">
        <v>7585</v>
      </c>
      <c r="M646" t="s">
        <v>7585</v>
      </c>
      <c r="N646" t="s">
        <v>7586</v>
      </c>
      <c r="O646" t="s">
        <v>7587</v>
      </c>
      <c r="P646" t="s">
        <v>7588</v>
      </c>
      <c r="R646" t="s">
        <v>7589</v>
      </c>
      <c r="S646" t="s">
        <v>3458</v>
      </c>
    </row>
    <row r="647" spans="1:19" x14ac:dyDescent="0.2">
      <c r="A647" t="str">
        <f t="shared" si="10"/>
        <v>metab_compid_62851</v>
      </c>
      <c r="B647">
        <v>100021000</v>
      </c>
      <c r="C647">
        <v>402</v>
      </c>
      <c r="D647">
        <v>62851</v>
      </c>
      <c r="E647">
        <v>220620</v>
      </c>
      <c r="F647" t="s">
        <v>3459</v>
      </c>
      <c r="G647" t="s">
        <v>814</v>
      </c>
      <c r="H647">
        <v>3124</v>
      </c>
      <c r="I647" t="s">
        <v>3438</v>
      </c>
      <c r="J647" t="s">
        <v>10050</v>
      </c>
      <c r="K647" t="s">
        <v>10051</v>
      </c>
      <c r="L647" t="s">
        <v>10052</v>
      </c>
      <c r="M647" t="s">
        <v>10052</v>
      </c>
      <c r="S647" t="s">
        <v>3447</v>
      </c>
    </row>
    <row r="648" spans="1:19" x14ac:dyDescent="0.2">
      <c r="A648" t="str">
        <f t="shared" si="10"/>
        <v>metab_compid_43580</v>
      </c>
      <c r="B648">
        <v>100004177</v>
      </c>
      <c r="C648">
        <v>400</v>
      </c>
      <c r="D648">
        <v>43580</v>
      </c>
      <c r="E648">
        <v>157040</v>
      </c>
      <c r="F648" t="s">
        <v>3863</v>
      </c>
      <c r="G648" t="s">
        <v>6220</v>
      </c>
      <c r="H648">
        <v>5802</v>
      </c>
      <c r="I648" t="s">
        <v>3438</v>
      </c>
      <c r="J648" t="s">
        <v>8121</v>
      </c>
      <c r="K648" t="s">
        <v>8122</v>
      </c>
      <c r="L648" t="s">
        <v>8123</v>
      </c>
      <c r="M648" t="s">
        <v>8123</v>
      </c>
      <c r="N648" t="s">
        <v>8124</v>
      </c>
      <c r="R648" t="s">
        <v>8125</v>
      </c>
      <c r="S648" t="s">
        <v>3458</v>
      </c>
    </row>
    <row r="649" spans="1:19" x14ac:dyDescent="0.2">
      <c r="A649" t="str">
        <f t="shared" si="10"/>
        <v>metab_compid_34093</v>
      </c>
      <c r="B649">
        <v>100001279</v>
      </c>
      <c r="C649">
        <v>209</v>
      </c>
      <c r="D649">
        <v>34093</v>
      </c>
      <c r="E649">
        <v>126896</v>
      </c>
      <c r="F649" t="s">
        <v>3459</v>
      </c>
      <c r="G649" t="s">
        <v>3819</v>
      </c>
      <c r="H649">
        <v>3545</v>
      </c>
      <c r="I649" t="s">
        <v>3438</v>
      </c>
      <c r="J649" t="s">
        <v>6132</v>
      </c>
      <c r="K649" t="s">
        <v>6133</v>
      </c>
      <c r="L649" t="s">
        <v>6134</v>
      </c>
      <c r="M649" t="s">
        <v>6134</v>
      </c>
      <c r="N649" t="s">
        <v>6135</v>
      </c>
      <c r="O649" t="s">
        <v>6136</v>
      </c>
      <c r="P649" t="s">
        <v>6137</v>
      </c>
      <c r="Q649" t="s">
        <v>6138</v>
      </c>
      <c r="R649" t="s">
        <v>6139</v>
      </c>
      <c r="S649" t="s">
        <v>3469</v>
      </c>
    </row>
    <row r="650" spans="1:19" x14ac:dyDescent="0.2">
      <c r="A650" t="str">
        <f t="shared" si="10"/>
        <v>metab_compid_590</v>
      </c>
      <c r="B650">
        <v>358</v>
      </c>
      <c r="C650">
        <v>305</v>
      </c>
      <c r="D650">
        <v>590</v>
      </c>
      <c r="E650">
        <v>146416</v>
      </c>
      <c r="F650" t="s">
        <v>3436</v>
      </c>
      <c r="G650" t="s">
        <v>3603</v>
      </c>
      <c r="H650">
        <v>476</v>
      </c>
      <c r="I650" t="s">
        <v>3438</v>
      </c>
      <c r="J650" t="s">
        <v>3921</v>
      </c>
      <c r="K650" t="s">
        <v>3922</v>
      </c>
      <c r="L650" t="s">
        <v>3923</v>
      </c>
      <c r="M650" t="s">
        <v>3923</v>
      </c>
      <c r="N650" t="s">
        <v>3924</v>
      </c>
      <c r="O650" t="s">
        <v>3925</v>
      </c>
      <c r="P650" t="s">
        <v>3926</v>
      </c>
      <c r="Q650" t="s">
        <v>3927</v>
      </c>
      <c r="R650" t="s">
        <v>3928</v>
      </c>
      <c r="S650" t="s">
        <v>3489</v>
      </c>
    </row>
    <row r="651" spans="1:19" x14ac:dyDescent="0.2">
      <c r="A651" t="str">
        <f t="shared" si="10"/>
        <v>metab_compid_3127</v>
      </c>
      <c r="B651">
        <v>171</v>
      </c>
      <c r="C651">
        <v>305</v>
      </c>
      <c r="D651">
        <v>3127</v>
      </c>
      <c r="E651">
        <v>145750</v>
      </c>
      <c r="F651" t="s">
        <v>3533</v>
      </c>
      <c r="G651" t="s">
        <v>3543</v>
      </c>
      <c r="H651">
        <v>4140</v>
      </c>
      <c r="I651" t="s">
        <v>3438</v>
      </c>
      <c r="J651" t="s">
        <v>3544</v>
      </c>
      <c r="K651" t="s">
        <v>3545</v>
      </c>
      <c r="L651" t="s">
        <v>3546</v>
      </c>
      <c r="M651" t="s">
        <v>3546</v>
      </c>
      <c r="N651" t="s">
        <v>3547</v>
      </c>
      <c r="O651" t="s">
        <v>3548</v>
      </c>
      <c r="P651" t="s">
        <v>3549</v>
      </c>
      <c r="Q651" t="s">
        <v>3550</v>
      </c>
      <c r="R651" t="s">
        <v>3551</v>
      </c>
      <c r="S651" t="s">
        <v>3489</v>
      </c>
    </row>
    <row r="652" spans="1:19" x14ac:dyDescent="0.2">
      <c r="A652" t="str">
        <f t="shared" si="10"/>
        <v>metab_compid_17799</v>
      </c>
      <c r="B652">
        <v>1487</v>
      </c>
      <c r="C652">
        <v>209</v>
      </c>
      <c r="D652">
        <v>17799</v>
      </c>
      <c r="E652">
        <v>124883</v>
      </c>
      <c r="F652" t="s">
        <v>3863</v>
      </c>
      <c r="G652" t="s">
        <v>4942</v>
      </c>
      <c r="H652">
        <v>5424</v>
      </c>
      <c r="I652" t="s">
        <v>3438</v>
      </c>
      <c r="J652" t="s">
        <v>4975</v>
      </c>
      <c r="K652" t="s">
        <v>4976</v>
      </c>
      <c r="L652" t="s">
        <v>4977</v>
      </c>
      <c r="M652" t="s">
        <v>4977</v>
      </c>
      <c r="N652" t="s">
        <v>4978</v>
      </c>
      <c r="O652" t="s">
        <v>4979</v>
      </c>
      <c r="P652" t="s">
        <v>4980</v>
      </c>
      <c r="Q652" t="s">
        <v>4981</v>
      </c>
      <c r="R652" t="s">
        <v>4982</v>
      </c>
      <c r="S652" t="s">
        <v>3469</v>
      </c>
    </row>
    <row r="653" spans="1:19" x14ac:dyDescent="0.2">
      <c r="A653" t="str">
        <f t="shared" si="10"/>
        <v>metab_compid_38366</v>
      </c>
      <c r="B653">
        <v>100002406</v>
      </c>
      <c r="C653">
        <v>209</v>
      </c>
      <c r="D653">
        <v>38366</v>
      </c>
      <c r="E653">
        <v>141868</v>
      </c>
      <c r="F653" t="s">
        <v>3863</v>
      </c>
      <c r="G653" t="s">
        <v>4942</v>
      </c>
      <c r="H653">
        <v>5429</v>
      </c>
      <c r="I653" t="s">
        <v>3438</v>
      </c>
      <c r="J653" t="s">
        <v>7470</v>
      </c>
      <c r="K653" t="s">
        <v>7471</v>
      </c>
      <c r="L653" t="s">
        <v>7472</v>
      </c>
      <c r="M653" t="s">
        <v>7472</v>
      </c>
      <c r="N653" t="s">
        <v>7473</v>
      </c>
      <c r="O653" t="s">
        <v>7474</v>
      </c>
      <c r="P653" t="s">
        <v>7475</v>
      </c>
      <c r="R653" t="s">
        <v>7476</v>
      </c>
      <c r="S653" t="s">
        <v>3469</v>
      </c>
    </row>
    <row r="654" spans="1:19" x14ac:dyDescent="0.2">
      <c r="A654" t="str">
        <f t="shared" si="10"/>
        <v>metab_compid_15716</v>
      </c>
      <c r="B654">
        <v>100000263</v>
      </c>
      <c r="C654">
        <v>400</v>
      </c>
      <c r="D654">
        <v>15716</v>
      </c>
      <c r="E654">
        <v>155583</v>
      </c>
      <c r="F654" t="s">
        <v>3436</v>
      </c>
      <c r="G654" t="s">
        <v>3906</v>
      </c>
      <c r="H654">
        <v>85</v>
      </c>
      <c r="I654" t="s">
        <v>3438</v>
      </c>
      <c r="J654" t="s">
        <v>5263</v>
      </c>
      <c r="K654" t="s">
        <v>5264</v>
      </c>
      <c r="L654" t="s">
        <v>5265</v>
      </c>
      <c r="M654" t="s">
        <v>5265</v>
      </c>
      <c r="N654" t="s">
        <v>5266</v>
      </c>
      <c r="O654" t="s">
        <v>5267</v>
      </c>
      <c r="P654" t="s">
        <v>5268</v>
      </c>
      <c r="Q654" t="s">
        <v>5269</v>
      </c>
      <c r="R654" t="s">
        <v>5270</v>
      </c>
      <c r="S654" t="s">
        <v>3458</v>
      </c>
    </row>
    <row r="655" spans="1:19" x14ac:dyDescent="0.2">
      <c r="A655" t="str">
        <f t="shared" si="10"/>
        <v>metab_compid_40730</v>
      </c>
      <c r="B655">
        <v>100003434</v>
      </c>
      <c r="C655">
        <v>400</v>
      </c>
      <c r="D655">
        <v>40730</v>
      </c>
      <c r="E655">
        <v>156802</v>
      </c>
      <c r="F655" t="s">
        <v>3436</v>
      </c>
      <c r="G655" t="s">
        <v>3906</v>
      </c>
      <c r="H655">
        <v>82</v>
      </c>
      <c r="I655" t="s">
        <v>3438</v>
      </c>
      <c r="J655" t="s">
        <v>7892</v>
      </c>
      <c r="K655" t="s">
        <v>7893</v>
      </c>
      <c r="L655" t="s">
        <v>7894</v>
      </c>
      <c r="M655" t="s">
        <v>7894</v>
      </c>
      <c r="N655" t="s">
        <v>7895</v>
      </c>
      <c r="O655" t="s">
        <v>7896</v>
      </c>
      <c r="P655" t="s">
        <v>7897</v>
      </c>
      <c r="R655" t="s">
        <v>7898</v>
      </c>
      <c r="S655" t="s">
        <v>3458</v>
      </c>
    </row>
    <row r="656" spans="1:19" x14ac:dyDescent="0.2">
      <c r="A656" t="str">
        <f t="shared" si="10"/>
        <v>metab_compid_21025</v>
      </c>
      <c r="B656">
        <v>100000900</v>
      </c>
      <c r="C656">
        <v>400</v>
      </c>
      <c r="D656">
        <v>21025</v>
      </c>
      <c r="E656">
        <v>155725</v>
      </c>
      <c r="F656" t="s">
        <v>3863</v>
      </c>
      <c r="G656" t="s">
        <v>5632</v>
      </c>
      <c r="H656">
        <v>6195</v>
      </c>
      <c r="I656" t="s">
        <v>3438</v>
      </c>
      <c r="J656" t="s">
        <v>5633</v>
      </c>
      <c r="K656" t="s">
        <v>5634</v>
      </c>
      <c r="L656" t="s">
        <v>5635</v>
      </c>
      <c r="M656" t="s">
        <v>5635</v>
      </c>
      <c r="N656" t="s">
        <v>5636</v>
      </c>
      <c r="O656" t="s">
        <v>5637</v>
      </c>
      <c r="P656" t="s">
        <v>5638</v>
      </c>
      <c r="Q656" t="s">
        <v>5639</v>
      </c>
      <c r="R656" t="s">
        <v>5640</v>
      </c>
      <c r="S656" t="s">
        <v>3458</v>
      </c>
    </row>
    <row r="657" spans="1:19" x14ac:dyDescent="0.2">
      <c r="A657" t="str">
        <f t="shared" si="10"/>
        <v>metab_compid_64209</v>
      </c>
      <c r="B657">
        <v>100021796</v>
      </c>
      <c r="C657">
        <v>209</v>
      </c>
      <c r="D657">
        <v>64209</v>
      </c>
      <c r="E657">
        <v>236786</v>
      </c>
      <c r="F657" t="s">
        <v>3863</v>
      </c>
      <c r="G657" t="s">
        <v>7216</v>
      </c>
      <c r="H657">
        <v>5720</v>
      </c>
      <c r="I657" t="s">
        <v>3438</v>
      </c>
      <c r="J657" t="s">
        <v>10202</v>
      </c>
      <c r="K657" t="s">
        <v>10203</v>
      </c>
      <c r="L657" t="s">
        <v>10204</v>
      </c>
      <c r="M657" t="s">
        <v>10204</v>
      </c>
      <c r="N657" t="s">
        <v>10205</v>
      </c>
      <c r="S657" t="s">
        <v>3469</v>
      </c>
    </row>
    <row r="658" spans="1:19" x14ac:dyDescent="0.2">
      <c r="A658" t="str">
        <f t="shared" si="10"/>
        <v>metab_compid_38116</v>
      </c>
      <c r="B658">
        <v>100002185</v>
      </c>
      <c r="C658">
        <v>209</v>
      </c>
      <c r="D658">
        <v>38116</v>
      </c>
      <c r="E658">
        <v>127709</v>
      </c>
      <c r="F658" t="s">
        <v>3436</v>
      </c>
      <c r="G658" t="s">
        <v>3470</v>
      </c>
      <c r="H658">
        <v>321</v>
      </c>
      <c r="I658" t="s">
        <v>3438</v>
      </c>
      <c r="J658" t="s">
        <v>7340</v>
      </c>
      <c r="K658" t="s">
        <v>7341</v>
      </c>
      <c r="L658" t="s">
        <v>7342</v>
      </c>
      <c r="M658" t="s">
        <v>7342</v>
      </c>
      <c r="N658" t="s">
        <v>7343</v>
      </c>
      <c r="P658" t="s">
        <v>7344</v>
      </c>
      <c r="Q658" t="s">
        <v>7345</v>
      </c>
      <c r="R658" t="s">
        <v>7346</v>
      </c>
      <c r="S658" t="s">
        <v>3469</v>
      </c>
    </row>
    <row r="659" spans="1:19" x14ac:dyDescent="0.2">
      <c r="A659" t="str">
        <f t="shared" si="10"/>
        <v>metab_compid_27513</v>
      </c>
      <c r="B659">
        <v>100001034</v>
      </c>
      <c r="C659">
        <v>209</v>
      </c>
      <c r="D659">
        <v>27513</v>
      </c>
      <c r="E659">
        <v>126866</v>
      </c>
      <c r="F659" t="s">
        <v>3436</v>
      </c>
      <c r="G659" t="s">
        <v>3470</v>
      </c>
      <c r="H659">
        <v>304</v>
      </c>
      <c r="I659" t="s">
        <v>3438</v>
      </c>
      <c r="J659" t="s">
        <v>5732</v>
      </c>
      <c r="K659" t="s">
        <v>5733</v>
      </c>
      <c r="L659" t="s">
        <v>5734</v>
      </c>
      <c r="M659" t="s">
        <v>5734</v>
      </c>
      <c r="N659" t="s">
        <v>5735</v>
      </c>
      <c r="O659" t="s">
        <v>5736</v>
      </c>
      <c r="P659" t="s">
        <v>5737</v>
      </c>
      <c r="Q659" t="s">
        <v>5738</v>
      </c>
      <c r="R659" t="s">
        <v>5739</v>
      </c>
      <c r="S659" t="s">
        <v>3469</v>
      </c>
    </row>
    <row r="660" spans="1:19" x14ac:dyDescent="0.2">
      <c r="A660" t="str">
        <f t="shared" si="10"/>
        <v>metab_compid_62279</v>
      </c>
      <c r="B660">
        <v>100020479</v>
      </c>
      <c r="C660">
        <v>400</v>
      </c>
      <c r="D660">
        <v>62279</v>
      </c>
      <c r="E660">
        <v>219252</v>
      </c>
      <c r="F660" t="s">
        <v>3436</v>
      </c>
      <c r="G660" t="s">
        <v>3470</v>
      </c>
      <c r="H660">
        <v>324</v>
      </c>
      <c r="I660" t="s">
        <v>3438</v>
      </c>
      <c r="J660" t="s">
        <v>9771</v>
      </c>
      <c r="K660" t="s">
        <v>9772</v>
      </c>
      <c r="L660" t="s">
        <v>9773</v>
      </c>
      <c r="M660" t="s">
        <v>9773</v>
      </c>
      <c r="S660" t="s">
        <v>3458</v>
      </c>
    </row>
    <row r="661" spans="1:19" x14ac:dyDescent="0.2">
      <c r="A661" t="str">
        <f t="shared" si="10"/>
        <v>metab_compid_42087</v>
      </c>
      <c r="B661">
        <v>100001731</v>
      </c>
      <c r="C661">
        <v>209</v>
      </c>
      <c r="D661">
        <v>42087</v>
      </c>
      <c r="E661">
        <v>143935</v>
      </c>
      <c r="F661" t="s">
        <v>3436</v>
      </c>
      <c r="G661" t="s">
        <v>3470</v>
      </c>
      <c r="H661">
        <v>312</v>
      </c>
      <c r="I661" t="s">
        <v>3438</v>
      </c>
      <c r="J661" t="s">
        <v>6873</v>
      </c>
      <c r="K661" t="s">
        <v>6874</v>
      </c>
      <c r="L661" t="s">
        <v>6875</v>
      </c>
      <c r="M661" t="s">
        <v>6875</v>
      </c>
      <c r="P661" t="s">
        <v>6876</v>
      </c>
      <c r="R661" t="s">
        <v>6877</v>
      </c>
      <c r="S661" t="s">
        <v>3469</v>
      </c>
    </row>
    <row r="662" spans="1:19" x14ac:dyDescent="0.2">
      <c r="A662" t="str">
        <f t="shared" si="10"/>
        <v>metab_compid_34402</v>
      </c>
      <c r="B662">
        <v>100001404</v>
      </c>
      <c r="C662">
        <v>209</v>
      </c>
      <c r="D662">
        <v>34402</v>
      </c>
      <c r="E662">
        <v>150358</v>
      </c>
      <c r="F662" t="s">
        <v>3436</v>
      </c>
      <c r="G662" t="s">
        <v>3470</v>
      </c>
      <c r="H662">
        <v>322</v>
      </c>
      <c r="I662" t="s">
        <v>3438</v>
      </c>
      <c r="J662" t="s">
        <v>6371</v>
      </c>
      <c r="K662" t="s">
        <v>6372</v>
      </c>
      <c r="L662" t="s">
        <v>6373</v>
      </c>
      <c r="M662" t="s">
        <v>6373</v>
      </c>
      <c r="N662" t="s">
        <v>6374</v>
      </c>
      <c r="O662" t="s">
        <v>6375</v>
      </c>
      <c r="P662" t="s">
        <v>6376</v>
      </c>
      <c r="Q662" t="s">
        <v>6377</v>
      </c>
      <c r="R662" t="s">
        <v>6378</v>
      </c>
      <c r="S662" t="s">
        <v>3469</v>
      </c>
    </row>
    <row r="663" spans="1:19" x14ac:dyDescent="0.2">
      <c r="A663" t="str">
        <f t="shared" si="10"/>
        <v>metab_compid_18349</v>
      </c>
      <c r="B663">
        <v>100000463</v>
      </c>
      <c r="C663">
        <v>209</v>
      </c>
      <c r="D663">
        <v>18349</v>
      </c>
      <c r="E663">
        <v>124659</v>
      </c>
      <c r="F663" t="s">
        <v>3436</v>
      </c>
      <c r="G663" t="s">
        <v>3470</v>
      </c>
      <c r="H663">
        <v>303</v>
      </c>
      <c r="I663" t="s">
        <v>3438</v>
      </c>
      <c r="J663" t="s">
        <v>5366</v>
      </c>
      <c r="K663" t="s">
        <v>5367</v>
      </c>
      <c r="L663" t="s">
        <v>5368</v>
      </c>
      <c r="M663" t="s">
        <v>5368</v>
      </c>
      <c r="N663" t="s">
        <v>5369</v>
      </c>
      <c r="O663" t="s">
        <v>5370</v>
      </c>
      <c r="P663" t="s">
        <v>5371</v>
      </c>
      <c r="Q663" t="s">
        <v>5372</v>
      </c>
      <c r="R663" t="s">
        <v>5373</v>
      </c>
      <c r="S663" t="s">
        <v>3469</v>
      </c>
    </row>
    <row r="664" spans="1:19" x14ac:dyDescent="0.2">
      <c r="A664" t="str">
        <f t="shared" si="10"/>
        <v>metab_compid_32405</v>
      </c>
      <c r="B664">
        <v>100001083</v>
      </c>
      <c r="C664">
        <v>209</v>
      </c>
      <c r="D664">
        <v>32405</v>
      </c>
      <c r="E664">
        <v>125818</v>
      </c>
      <c r="F664" t="s">
        <v>3436</v>
      </c>
      <c r="G664" t="s">
        <v>3470</v>
      </c>
      <c r="H664">
        <v>310</v>
      </c>
      <c r="I664" t="s">
        <v>3438</v>
      </c>
      <c r="J664" t="s">
        <v>5798</v>
      </c>
      <c r="K664" t="s">
        <v>5799</v>
      </c>
      <c r="L664" t="s">
        <v>5800</v>
      </c>
      <c r="M664" t="s">
        <v>5800</v>
      </c>
      <c r="N664" t="s">
        <v>5801</v>
      </c>
      <c r="O664" t="s">
        <v>5802</v>
      </c>
      <c r="P664" t="s">
        <v>5803</v>
      </c>
      <c r="R664" t="s">
        <v>5804</v>
      </c>
      <c r="S664" t="s">
        <v>3469</v>
      </c>
    </row>
    <row r="665" spans="1:19" x14ac:dyDescent="0.2">
      <c r="A665" t="str">
        <f t="shared" si="10"/>
        <v>metab_compid_1123</v>
      </c>
      <c r="B665">
        <v>361</v>
      </c>
      <c r="C665">
        <v>209</v>
      </c>
      <c r="D665">
        <v>1123</v>
      </c>
      <c r="E665">
        <v>123191</v>
      </c>
      <c r="F665" t="s">
        <v>3533</v>
      </c>
      <c r="G665" t="s">
        <v>3543</v>
      </c>
      <c r="H665">
        <v>4139</v>
      </c>
      <c r="I665" t="s">
        <v>3438</v>
      </c>
      <c r="J665" t="s">
        <v>3929</v>
      </c>
      <c r="K665" t="s">
        <v>3930</v>
      </c>
      <c r="L665" t="s">
        <v>3931</v>
      </c>
      <c r="M665" t="s">
        <v>3931</v>
      </c>
      <c r="N665" t="s">
        <v>3932</v>
      </c>
      <c r="O665" t="s">
        <v>3933</v>
      </c>
      <c r="P665" t="s">
        <v>3934</v>
      </c>
      <c r="Q665" t="s">
        <v>3935</v>
      </c>
      <c r="R665" t="s">
        <v>3936</v>
      </c>
      <c r="S665" t="s">
        <v>3469</v>
      </c>
    </row>
    <row r="666" spans="1:19" x14ac:dyDescent="0.2">
      <c r="A666" t="str">
        <f t="shared" si="10"/>
        <v>metab_compid_33441</v>
      </c>
      <c r="B666">
        <v>100001055</v>
      </c>
      <c r="C666">
        <v>400</v>
      </c>
      <c r="D666">
        <v>33441</v>
      </c>
      <c r="E666">
        <v>156017</v>
      </c>
      <c r="F666" t="s">
        <v>3436</v>
      </c>
      <c r="G666" t="s">
        <v>3498</v>
      </c>
      <c r="H666">
        <v>431</v>
      </c>
      <c r="I666" t="s">
        <v>3438</v>
      </c>
      <c r="J666" t="s">
        <v>5763</v>
      </c>
      <c r="K666" t="s">
        <v>5764</v>
      </c>
      <c r="L666" t="s">
        <v>5765</v>
      </c>
      <c r="M666" t="s">
        <v>5765</v>
      </c>
      <c r="N666" t="s">
        <v>5766</v>
      </c>
      <c r="P666" t="s">
        <v>5767</v>
      </c>
      <c r="R666" t="s">
        <v>5768</v>
      </c>
      <c r="S666" t="s">
        <v>3458</v>
      </c>
    </row>
    <row r="667" spans="1:19" x14ac:dyDescent="0.2">
      <c r="A667" t="str">
        <f t="shared" si="10"/>
        <v>metab_compid_35437</v>
      </c>
      <c r="B667">
        <v>100001590</v>
      </c>
      <c r="C667">
        <v>209</v>
      </c>
      <c r="D667">
        <v>35437</v>
      </c>
      <c r="E667">
        <v>128229</v>
      </c>
      <c r="F667" t="s">
        <v>3436</v>
      </c>
      <c r="G667" t="s">
        <v>3498</v>
      </c>
      <c r="H667">
        <v>432</v>
      </c>
      <c r="I667" t="s">
        <v>3438</v>
      </c>
      <c r="J667" t="s">
        <v>6674</v>
      </c>
      <c r="K667" t="s">
        <v>6675</v>
      </c>
      <c r="L667" t="s">
        <v>6676</v>
      </c>
      <c r="M667" t="s">
        <v>6677</v>
      </c>
      <c r="N667" t="s">
        <v>6678</v>
      </c>
      <c r="O667" t="s">
        <v>6679</v>
      </c>
      <c r="P667" t="s">
        <v>6680</v>
      </c>
      <c r="R667" t="s">
        <v>6681</v>
      </c>
      <c r="S667" t="s">
        <v>3469</v>
      </c>
    </row>
    <row r="668" spans="1:19" x14ac:dyDescent="0.2">
      <c r="A668" t="str">
        <f t="shared" si="10"/>
        <v>metab_compid_48997</v>
      </c>
      <c r="B668">
        <v>100006089</v>
      </c>
      <c r="C668">
        <v>209</v>
      </c>
      <c r="D668">
        <v>48997</v>
      </c>
      <c r="E668">
        <v>160593</v>
      </c>
      <c r="F668" t="s">
        <v>3863</v>
      </c>
      <c r="G668" t="s">
        <v>3864</v>
      </c>
      <c r="H668">
        <v>5154</v>
      </c>
      <c r="I668" t="s">
        <v>3438</v>
      </c>
      <c r="J668" t="s">
        <v>8431</v>
      </c>
      <c r="K668" t="s">
        <v>8432</v>
      </c>
      <c r="L668" t="s">
        <v>8433</v>
      </c>
      <c r="M668" t="s">
        <v>8433</v>
      </c>
      <c r="O668" t="s">
        <v>8434</v>
      </c>
      <c r="R668" t="s">
        <v>8435</v>
      </c>
      <c r="S668" t="s">
        <v>3469</v>
      </c>
    </row>
    <row r="669" spans="1:19" x14ac:dyDescent="0.2">
      <c r="A669" t="str">
        <f t="shared" si="10"/>
        <v>metab_compid_1125</v>
      </c>
      <c r="B669">
        <v>376</v>
      </c>
      <c r="C669">
        <v>400</v>
      </c>
      <c r="D669">
        <v>1125</v>
      </c>
      <c r="E669">
        <v>155350</v>
      </c>
      <c r="F669" t="s">
        <v>3436</v>
      </c>
      <c r="G669" t="s">
        <v>3498</v>
      </c>
      <c r="H669">
        <v>390</v>
      </c>
      <c r="I669" t="s">
        <v>3438</v>
      </c>
      <c r="J669" t="s">
        <v>3946</v>
      </c>
      <c r="K669" t="s">
        <v>3947</v>
      </c>
      <c r="L669" t="s">
        <v>589</v>
      </c>
      <c r="M669" t="s">
        <v>589</v>
      </c>
      <c r="N669" t="s">
        <v>3948</v>
      </c>
      <c r="O669" t="s">
        <v>3949</v>
      </c>
      <c r="P669" t="s">
        <v>3950</v>
      </c>
      <c r="Q669" t="s">
        <v>3951</v>
      </c>
      <c r="R669" t="s">
        <v>3952</v>
      </c>
      <c r="S669" t="s">
        <v>3458</v>
      </c>
    </row>
    <row r="670" spans="1:19" x14ac:dyDescent="0.2">
      <c r="A670" t="str">
        <f t="shared" si="10"/>
        <v>metab_compid_40008</v>
      </c>
      <c r="B670">
        <v>100003169</v>
      </c>
      <c r="C670">
        <v>209</v>
      </c>
      <c r="D670">
        <v>40008</v>
      </c>
      <c r="E670">
        <v>141960</v>
      </c>
      <c r="F670" t="s">
        <v>3853</v>
      </c>
      <c r="G670" t="s">
        <v>5381</v>
      </c>
      <c r="H670">
        <v>869</v>
      </c>
      <c r="I670" t="s">
        <v>3438</v>
      </c>
      <c r="J670" t="s">
        <v>7829</v>
      </c>
      <c r="K670" t="s">
        <v>7830</v>
      </c>
      <c r="L670" t="s">
        <v>7831</v>
      </c>
      <c r="M670" t="s">
        <v>7831</v>
      </c>
      <c r="N670" t="s">
        <v>7832</v>
      </c>
      <c r="O670" t="s">
        <v>7833</v>
      </c>
      <c r="P670" t="s">
        <v>7834</v>
      </c>
      <c r="R670" t="s">
        <v>7835</v>
      </c>
      <c r="S670" t="s">
        <v>3469</v>
      </c>
    </row>
    <row r="671" spans="1:19" x14ac:dyDescent="0.2">
      <c r="A671" t="str">
        <f t="shared" si="10"/>
        <v>metab_compid_57577</v>
      </c>
      <c r="B671">
        <v>100002488</v>
      </c>
      <c r="C671">
        <v>209</v>
      </c>
      <c r="D671">
        <v>57577</v>
      </c>
      <c r="E671">
        <v>212130</v>
      </c>
      <c r="F671" t="s">
        <v>3459</v>
      </c>
      <c r="G671" t="s">
        <v>3819</v>
      </c>
      <c r="H671">
        <v>3529</v>
      </c>
      <c r="I671" t="s">
        <v>3438</v>
      </c>
      <c r="J671" t="s">
        <v>7519</v>
      </c>
      <c r="K671" t="s">
        <v>7520</v>
      </c>
      <c r="L671" t="s">
        <v>7521</v>
      </c>
      <c r="M671" t="s">
        <v>7521</v>
      </c>
      <c r="N671" t="s">
        <v>7522</v>
      </c>
      <c r="O671" t="s">
        <v>7523</v>
      </c>
      <c r="P671" t="s">
        <v>7524</v>
      </c>
      <c r="Q671" t="s">
        <v>7525</v>
      </c>
      <c r="R671" t="s">
        <v>7526</v>
      </c>
      <c r="S671" t="s">
        <v>3469</v>
      </c>
    </row>
    <row r="672" spans="1:19" x14ac:dyDescent="0.2">
      <c r="A672" t="str">
        <f t="shared" si="10"/>
        <v>metab_compid_63603</v>
      </c>
      <c r="B672">
        <v>100021648</v>
      </c>
      <c r="C672">
        <v>209</v>
      </c>
      <c r="D672">
        <v>63603</v>
      </c>
      <c r="E672">
        <v>222927</v>
      </c>
      <c r="F672" t="s">
        <v>3459</v>
      </c>
      <c r="G672" t="s">
        <v>3819</v>
      </c>
      <c r="H672">
        <v>3531</v>
      </c>
      <c r="I672" t="s">
        <v>3438</v>
      </c>
      <c r="J672" t="s">
        <v>10159</v>
      </c>
      <c r="K672" t="s">
        <v>10160</v>
      </c>
      <c r="L672" t="s">
        <v>10161</v>
      </c>
      <c r="M672" t="s">
        <v>10161</v>
      </c>
      <c r="S672" t="s">
        <v>3469</v>
      </c>
    </row>
    <row r="673" spans="1:19" x14ac:dyDescent="0.2">
      <c r="A673" t="str">
        <f t="shared" si="10"/>
        <v>metab_compid_44656</v>
      </c>
      <c r="B673">
        <v>100000708</v>
      </c>
      <c r="C673">
        <v>209</v>
      </c>
      <c r="D673">
        <v>44656</v>
      </c>
      <c r="E673">
        <v>126996</v>
      </c>
      <c r="F673" t="s">
        <v>3436</v>
      </c>
      <c r="G673" t="s">
        <v>3498</v>
      </c>
      <c r="H673">
        <v>356</v>
      </c>
      <c r="I673" t="s">
        <v>3438</v>
      </c>
      <c r="J673" t="s">
        <v>5488</v>
      </c>
      <c r="K673" t="s">
        <v>5489</v>
      </c>
      <c r="L673" t="s">
        <v>5490</v>
      </c>
      <c r="M673" t="s">
        <v>5491</v>
      </c>
      <c r="N673" t="s">
        <v>5492</v>
      </c>
      <c r="O673" t="s">
        <v>5493</v>
      </c>
      <c r="P673" t="s">
        <v>5494</v>
      </c>
      <c r="Q673" t="s">
        <v>5495</v>
      </c>
      <c r="R673" t="s">
        <v>5496</v>
      </c>
      <c r="S673" t="s">
        <v>3469</v>
      </c>
    </row>
    <row r="674" spans="1:19" x14ac:dyDescent="0.2">
      <c r="A674" t="str">
        <f t="shared" si="10"/>
        <v>metab_compid_34407</v>
      </c>
      <c r="B674">
        <v>100001393</v>
      </c>
      <c r="C674">
        <v>400</v>
      </c>
      <c r="D674">
        <v>34407</v>
      </c>
      <c r="E674">
        <v>156109</v>
      </c>
      <c r="F674" t="s">
        <v>3436</v>
      </c>
      <c r="G674" t="s">
        <v>3498</v>
      </c>
      <c r="H674">
        <v>359</v>
      </c>
      <c r="I674" t="s">
        <v>3438</v>
      </c>
      <c r="J674" t="s">
        <v>6308</v>
      </c>
      <c r="K674" t="s">
        <v>6309</v>
      </c>
      <c r="L674" t="s">
        <v>6310</v>
      </c>
      <c r="M674" t="s">
        <v>6310</v>
      </c>
      <c r="N674" t="s">
        <v>6311</v>
      </c>
      <c r="O674" t="s">
        <v>6312</v>
      </c>
      <c r="P674" t="s">
        <v>6313</v>
      </c>
      <c r="Q674" t="s">
        <v>6314</v>
      </c>
      <c r="R674" t="s">
        <v>6315</v>
      </c>
      <c r="S674" t="s">
        <v>3458</v>
      </c>
    </row>
    <row r="675" spans="1:19" x14ac:dyDescent="0.2">
      <c r="A675" t="str">
        <f t="shared" si="10"/>
        <v>metab_compid_43579</v>
      </c>
      <c r="B675">
        <v>100004176</v>
      </c>
      <c r="C675">
        <v>209</v>
      </c>
      <c r="D675">
        <v>43579</v>
      </c>
      <c r="E675">
        <v>145255</v>
      </c>
      <c r="F675" t="s">
        <v>3863</v>
      </c>
      <c r="G675" t="s">
        <v>6220</v>
      </c>
      <c r="H675">
        <v>5801</v>
      </c>
      <c r="I675" t="s">
        <v>3438</v>
      </c>
      <c r="J675" t="s">
        <v>8116</v>
      </c>
      <c r="K675" t="s">
        <v>8117</v>
      </c>
      <c r="L675" t="s">
        <v>8118</v>
      </c>
      <c r="M675" t="s">
        <v>8118</v>
      </c>
      <c r="N675" t="s">
        <v>8119</v>
      </c>
      <c r="R675" t="s">
        <v>8120</v>
      </c>
      <c r="S675" t="s">
        <v>3469</v>
      </c>
    </row>
    <row r="676" spans="1:19" x14ac:dyDescent="0.2">
      <c r="A676" t="str">
        <f t="shared" si="10"/>
        <v>metab_compid_1417</v>
      </c>
      <c r="B676">
        <v>98</v>
      </c>
      <c r="C676">
        <v>209</v>
      </c>
      <c r="D676">
        <v>1417</v>
      </c>
      <c r="E676">
        <v>124553</v>
      </c>
      <c r="F676" t="s">
        <v>3436</v>
      </c>
      <c r="G676" t="s">
        <v>3470</v>
      </c>
      <c r="H676">
        <v>277</v>
      </c>
      <c r="I676" t="s">
        <v>3438</v>
      </c>
      <c r="J676" t="s">
        <v>3490</v>
      </c>
      <c r="K676" t="s">
        <v>3491</v>
      </c>
      <c r="L676" t="s">
        <v>3492</v>
      </c>
      <c r="M676" t="s">
        <v>3492</v>
      </c>
      <c r="N676" t="s">
        <v>3493</v>
      </c>
      <c r="O676" t="s">
        <v>3494</v>
      </c>
      <c r="P676" t="s">
        <v>3495</v>
      </c>
      <c r="Q676" t="s">
        <v>3496</v>
      </c>
      <c r="R676" t="s">
        <v>3497</v>
      </c>
      <c r="S676" t="s">
        <v>3469</v>
      </c>
    </row>
    <row r="677" spans="1:19" x14ac:dyDescent="0.2">
      <c r="A677" t="str">
        <f t="shared" si="10"/>
        <v>metab_compid_15140</v>
      </c>
      <c r="B677">
        <v>100000265</v>
      </c>
      <c r="C677">
        <v>400</v>
      </c>
      <c r="D677">
        <v>15140</v>
      </c>
      <c r="E677">
        <v>155539</v>
      </c>
      <c r="F677" t="s">
        <v>3436</v>
      </c>
      <c r="G677" t="s">
        <v>3470</v>
      </c>
      <c r="H677">
        <v>272</v>
      </c>
      <c r="I677" t="s">
        <v>3438</v>
      </c>
      <c r="J677" t="s">
        <v>5271</v>
      </c>
      <c r="K677" t="s">
        <v>5272</v>
      </c>
      <c r="L677" t="s">
        <v>5273</v>
      </c>
      <c r="M677" t="s">
        <v>5273</v>
      </c>
      <c r="N677" t="s">
        <v>5274</v>
      </c>
      <c r="O677" t="s">
        <v>5275</v>
      </c>
      <c r="P677" t="s">
        <v>5276</v>
      </c>
      <c r="Q677" t="s">
        <v>5277</v>
      </c>
      <c r="R677" t="s">
        <v>5278</v>
      </c>
      <c r="S677" t="s">
        <v>3458</v>
      </c>
    </row>
    <row r="678" spans="1:19" x14ac:dyDescent="0.2">
      <c r="A678" t="str">
        <f t="shared" si="10"/>
        <v>metab_compid_40173</v>
      </c>
      <c r="B678">
        <v>100002568</v>
      </c>
      <c r="C678">
        <v>402</v>
      </c>
      <c r="D678">
        <v>40173</v>
      </c>
      <c r="E678">
        <v>159259</v>
      </c>
      <c r="F678" t="s">
        <v>3448</v>
      </c>
      <c r="G678" t="s">
        <v>3714</v>
      </c>
      <c r="H678">
        <v>4435</v>
      </c>
      <c r="I678" t="s">
        <v>3438</v>
      </c>
      <c r="J678" t="s">
        <v>7567</v>
      </c>
      <c r="K678" t="s">
        <v>7568</v>
      </c>
      <c r="L678" t="s">
        <v>7569</v>
      </c>
      <c r="M678" t="s">
        <v>7569</v>
      </c>
      <c r="N678" t="s">
        <v>7570</v>
      </c>
      <c r="O678" t="s">
        <v>7571</v>
      </c>
      <c r="P678" t="s">
        <v>7572</v>
      </c>
      <c r="Q678" t="s">
        <v>7573</v>
      </c>
      <c r="R678" t="s">
        <v>7574</v>
      </c>
      <c r="S678" t="s">
        <v>3447</v>
      </c>
    </row>
    <row r="679" spans="1:19" x14ac:dyDescent="0.2">
      <c r="A679" t="str">
        <f t="shared" si="10"/>
        <v>metab_compid_527</v>
      </c>
      <c r="B679">
        <v>482</v>
      </c>
      <c r="C679">
        <v>305</v>
      </c>
      <c r="D679">
        <v>527</v>
      </c>
      <c r="E679">
        <v>146396</v>
      </c>
      <c r="F679" t="s">
        <v>3977</v>
      </c>
      <c r="G679" t="s">
        <v>4084</v>
      </c>
      <c r="H679">
        <v>1257</v>
      </c>
      <c r="I679" t="s">
        <v>3438</v>
      </c>
      <c r="J679" t="s">
        <v>4117</v>
      </c>
      <c r="K679" t="s">
        <v>4118</v>
      </c>
      <c r="L679" t="s">
        <v>594</v>
      </c>
      <c r="M679" t="s">
        <v>594</v>
      </c>
      <c r="N679" t="s">
        <v>4119</v>
      </c>
      <c r="O679" t="s">
        <v>4120</v>
      </c>
      <c r="P679" t="s">
        <v>4121</v>
      </c>
      <c r="Q679" t="s">
        <v>4122</v>
      </c>
      <c r="R679" t="s">
        <v>4123</v>
      </c>
      <c r="S679" t="s">
        <v>3489</v>
      </c>
    </row>
    <row r="680" spans="1:19" x14ac:dyDescent="0.2">
      <c r="A680" t="str">
        <f t="shared" si="10"/>
        <v>metab_compid_567</v>
      </c>
      <c r="B680">
        <v>393</v>
      </c>
      <c r="C680">
        <v>305</v>
      </c>
      <c r="D680">
        <v>567</v>
      </c>
      <c r="E680">
        <v>147468</v>
      </c>
      <c r="F680" t="s">
        <v>3977</v>
      </c>
      <c r="G680" t="s">
        <v>3978</v>
      </c>
      <c r="H680">
        <v>1322</v>
      </c>
      <c r="I680" t="s">
        <v>3438</v>
      </c>
      <c r="J680" t="s">
        <v>3979</v>
      </c>
      <c r="K680" t="s">
        <v>3980</v>
      </c>
      <c r="L680" t="s">
        <v>3981</v>
      </c>
      <c r="M680" t="s">
        <v>3981</v>
      </c>
      <c r="N680" t="s">
        <v>3982</v>
      </c>
      <c r="O680" t="s">
        <v>3983</v>
      </c>
      <c r="P680" t="s">
        <v>3984</v>
      </c>
      <c r="Q680" t="s">
        <v>3985</v>
      </c>
      <c r="R680" t="s">
        <v>3986</v>
      </c>
      <c r="S680" t="s">
        <v>3489</v>
      </c>
    </row>
    <row r="681" spans="1:19" x14ac:dyDescent="0.2">
      <c r="A681" t="str">
        <f t="shared" si="10"/>
        <v>metab_compid_57422</v>
      </c>
      <c r="B681">
        <v>100015623</v>
      </c>
      <c r="C681">
        <v>402</v>
      </c>
      <c r="D681">
        <v>57422</v>
      </c>
      <c r="E681">
        <v>211075</v>
      </c>
      <c r="F681" t="s">
        <v>3459</v>
      </c>
      <c r="G681" t="s">
        <v>9027</v>
      </c>
      <c r="H681">
        <v>3110</v>
      </c>
      <c r="I681" t="s">
        <v>3438</v>
      </c>
      <c r="J681" t="s">
        <v>9296</v>
      </c>
      <c r="K681" t="s">
        <v>9297</v>
      </c>
      <c r="L681" t="s">
        <v>9298</v>
      </c>
      <c r="M681" t="s">
        <v>9298</v>
      </c>
      <c r="O681" t="s">
        <v>9299</v>
      </c>
      <c r="P681" t="s">
        <v>9300</v>
      </c>
      <c r="R681" t="s">
        <v>9301</v>
      </c>
      <c r="S681" t="s">
        <v>3447</v>
      </c>
    </row>
    <row r="682" spans="1:19" x14ac:dyDescent="0.2">
      <c r="A682" t="str">
        <f t="shared" si="10"/>
        <v>metab_compid_57370</v>
      </c>
      <c r="B682">
        <v>100015620</v>
      </c>
      <c r="C682">
        <v>402</v>
      </c>
      <c r="D682">
        <v>57370</v>
      </c>
      <c r="E682">
        <v>210897</v>
      </c>
      <c r="F682" t="s">
        <v>3459</v>
      </c>
      <c r="G682" t="s">
        <v>9027</v>
      </c>
      <c r="H682">
        <v>3111</v>
      </c>
      <c r="I682" t="s">
        <v>3438</v>
      </c>
      <c r="J682" t="s">
        <v>9291</v>
      </c>
      <c r="K682" t="s">
        <v>9292</v>
      </c>
      <c r="L682" t="s">
        <v>9293</v>
      </c>
      <c r="M682" t="s">
        <v>9293</v>
      </c>
      <c r="O682" t="s">
        <v>9294</v>
      </c>
      <c r="P682" t="s">
        <v>9295</v>
      </c>
      <c r="S682" t="s">
        <v>3447</v>
      </c>
    </row>
    <row r="683" spans="1:19" x14ac:dyDescent="0.2">
      <c r="A683" t="str">
        <f t="shared" si="10"/>
        <v>metab_compid_53010</v>
      </c>
      <c r="B683">
        <v>100009030</v>
      </c>
      <c r="C683">
        <v>402</v>
      </c>
      <c r="D683">
        <v>53010</v>
      </c>
      <c r="E683">
        <v>166340</v>
      </c>
      <c r="F683" t="s">
        <v>3459</v>
      </c>
      <c r="G683" t="s">
        <v>9027</v>
      </c>
      <c r="H683">
        <v>3107</v>
      </c>
      <c r="I683" t="s">
        <v>3438</v>
      </c>
      <c r="J683" t="s">
        <v>9028</v>
      </c>
      <c r="K683" t="s">
        <v>9029</v>
      </c>
      <c r="L683" t="s">
        <v>9030</v>
      </c>
      <c r="M683" t="s">
        <v>9030</v>
      </c>
      <c r="N683" t="s">
        <v>9031</v>
      </c>
      <c r="P683" t="s">
        <v>9032</v>
      </c>
      <c r="R683" t="s">
        <v>9033</v>
      </c>
      <c r="S683" t="s">
        <v>3447</v>
      </c>
    </row>
    <row r="684" spans="1:19" x14ac:dyDescent="0.2">
      <c r="A684" t="str">
        <f t="shared" si="10"/>
        <v>metab_compid_54762</v>
      </c>
      <c r="B684">
        <v>100009390</v>
      </c>
      <c r="C684">
        <v>400</v>
      </c>
      <c r="D684">
        <v>54762</v>
      </c>
      <c r="E684">
        <v>207493</v>
      </c>
      <c r="F684" t="s">
        <v>3863</v>
      </c>
      <c r="G684" t="s">
        <v>4959</v>
      </c>
      <c r="H684">
        <v>5860</v>
      </c>
      <c r="I684" t="s">
        <v>3438</v>
      </c>
      <c r="J684" t="s">
        <v>9221</v>
      </c>
      <c r="K684" t="s">
        <v>9222</v>
      </c>
      <c r="L684" t="s">
        <v>9223</v>
      </c>
      <c r="M684" t="s">
        <v>9223</v>
      </c>
      <c r="O684" t="s">
        <v>9224</v>
      </c>
      <c r="P684" t="s">
        <v>9225</v>
      </c>
      <c r="Q684" t="s">
        <v>9226</v>
      </c>
      <c r="R684" t="s">
        <v>9227</v>
      </c>
      <c r="S684" t="s">
        <v>3458</v>
      </c>
    </row>
    <row r="685" spans="1:19" x14ac:dyDescent="0.2">
      <c r="A685" t="str">
        <f t="shared" si="10"/>
        <v>metab_compid_42002</v>
      </c>
      <c r="B685">
        <v>100003892</v>
      </c>
      <c r="C685">
        <v>400</v>
      </c>
      <c r="D685">
        <v>42002</v>
      </c>
      <c r="E685">
        <v>156875</v>
      </c>
      <c r="F685" t="s">
        <v>3436</v>
      </c>
      <c r="G685" t="s">
        <v>3603</v>
      </c>
      <c r="H685">
        <v>472</v>
      </c>
      <c r="I685" t="s">
        <v>3438</v>
      </c>
      <c r="J685" t="s">
        <v>7986</v>
      </c>
      <c r="K685" t="s">
        <v>7987</v>
      </c>
      <c r="L685" t="s">
        <v>7988</v>
      </c>
      <c r="M685" t="s">
        <v>7988</v>
      </c>
      <c r="N685" t="s">
        <v>7989</v>
      </c>
      <c r="O685" t="s">
        <v>7990</v>
      </c>
      <c r="R685" t="s">
        <v>7991</v>
      </c>
      <c r="S685" t="s">
        <v>3458</v>
      </c>
    </row>
    <row r="686" spans="1:19" x14ac:dyDescent="0.2">
      <c r="A686" t="str">
        <f t="shared" si="10"/>
        <v>metab_compid_1645</v>
      </c>
      <c r="B686">
        <v>181</v>
      </c>
      <c r="C686">
        <v>209</v>
      </c>
      <c r="D686">
        <v>1645</v>
      </c>
      <c r="E686">
        <v>125740</v>
      </c>
      <c r="F686" t="s">
        <v>3459</v>
      </c>
      <c r="G686" t="s">
        <v>3569</v>
      </c>
      <c r="H686">
        <v>1520</v>
      </c>
      <c r="I686" t="s">
        <v>3438</v>
      </c>
      <c r="J686" t="s">
        <v>3570</v>
      </c>
      <c r="K686" t="s">
        <v>3571</v>
      </c>
      <c r="L686" t="s">
        <v>3572</v>
      </c>
      <c r="M686" t="s">
        <v>3572</v>
      </c>
      <c r="N686" t="s">
        <v>3573</v>
      </c>
      <c r="O686" t="s">
        <v>3574</v>
      </c>
      <c r="P686" t="s">
        <v>3575</v>
      </c>
      <c r="Q686" t="s">
        <v>3576</v>
      </c>
      <c r="R686" t="s">
        <v>3577</v>
      </c>
      <c r="S686" t="s">
        <v>3469</v>
      </c>
    </row>
    <row r="687" spans="1:19" x14ac:dyDescent="0.2">
      <c r="A687" t="str">
        <f t="shared" si="10"/>
        <v>metab_compid_34534</v>
      </c>
      <c r="B687">
        <v>100001392</v>
      </c>
      <c r="C687">
        <v>402</v>
      </c>
      <c r="D687">
        <v>34534</v>
      </c>
      <c r="E687">
        <v>158670</v>
      </c>
      <c r="F687" t="s">
        <v>3459</v>
      </c>
      <c r="G687" t="s">
        <v>5535</v>
      </c>
      <c r="H687">
        <v>1879</v>
      </c>
      <c r="I687" t="s">
        <v>3438</v>
      </c>
      <c r="J687" t="s">
        <v>6301</v>
      </c>
      <c r="K687" t="s">
        <v>6302</v>
      </c>
      <c r="L687" t="s">
        <v>6303</v>
      </c>
      <c r="M687" t="s">
        <v>6303</v>
      </c>
      <c r="N687" t="s">
        <v>6304</v>
      </c>
      <c r="O687" t="s">
        <v>6305</v>
      </c>
      <c r="P687" t="s">
        <v>6306</v>
      </c>
      <c r="R687" t="s">
        <v>6307</v>
      </c>
      <c r="S687" t="s">
        <v>3447</v>
      </c>
    </row>
    <row r="688" spans="1:19" x14ac:dyDescent="0.2">
      <c r="A688" t="str">
        <f t="shared" si="10"/>
        <v>metab_compid_60</v>
      </c>
      <c r="B688">
        <v>397</v>
      </c>
      <c r="C688">
        <v>400</v>
      </c>
      <c r="D688">
        <v>60</v>
      </c>
      <c r="E688">
        <v>155300</v>
      </c>
      <c r="F688" t="s">
        <v>3436</v>
      </c>
      <c r="G688" t="s">
        <v>3498</v>
      </c>
      <c r="H688">
        <v>337</v>
      </c>
      <c r="I688" t="s">
        <v>3438</v>
      </c>
      <c r="J688" t="s">
        <v>3987</v>
      </c>
      <c r="K688" t="s">
        <v>3988</v>
      </c>
      <c r="L688" t="s">
        <v>602</v>
      </c>
      <c r="M688" t="s">
        <v>602</v>
      </c>
      <c r="N688" t="s">
        <v>3989</v>
      </c>
      <c r="P688" t="s">
        <v>3990</v>
      </c>
      <c r="Q688" t="s">
        <v>3991</v>
      </c>
      <c r="R688" t="s">
        <v>3992</v>
      </c>
      <c r="S688" t="s">
        <v>3458</v>
      </c>
    </row>
    <row r="689" spans="1:19" x14ac:dyDescent="0.2">
      <c r="A689" t="str">
        <f t="shared" si="10"/>
        <v>metab_compid_40010</v>
      </c>
      <c r="B689">
        <v>100003179</v>
      </c>
      <c r="C689">
        <v>400</v>
      </c>
      <c r="D689">
        <v>40010</v>
      </c>
      <c r="E689">
        <v>156665</v>
      </c>
      <c r="F689" t="s">
        <v>3853</v>
      </c>
      <c r="G689" t="s">
        <v>5381</v>
      </c>
      <c r="H689">
        <v>883</v>
      </c>
      <c r="I689" t="s">
        <v>3438</v>
      </c>
      <c r="J689" t="s">
        <v>7836</v>
      </c>
      <c r="K689" t="s">
        <v>7837</v>
      </c>
      <c r="L689" t="s">
        <v>7838</v>
      </c>
      <c r="M689" t="s">
        <v>7838</v>
      </c>
      <c r="N689" t="s">
        <v>7839</v>
      </c>
      <c r="O689" t="s">
        <v>7840</v>
      </c>
      <c r="P689" t="s">
        <v>7841</v>
      </c>
      <c r="R689" t="s">
        <v>7842</v>
      </c>
      <c r="S689" t="s">
        <v>3458</v>
      </c>
    </row>
    <row r="690" spans="1:19" x14ac:dyDescent="0.2">
      <c r="A690" t="str">
        <f t="shared" si="10"/>
        <v>metab_compid_57330</v>
      </c>
      <c r="B690">
        <v>100006298</v>
      </c>
      <c r="C690">
        <v>402</v>
      </c>
      <c r="D690">
        <v>57330</v>
      </c>
      <c r="E690">
        <v>210828</v>
      </c>
      <c r="F690" t="s">
        <v>3459</v>
      </c>
      <c r="G690" t="s">
        <v>814</v>
      </c>
      <c r="H690">
        <v>3128</v>
      </c>
      <c r="I690" t="s">
        <v>3438</v>
      </c>
      <c r="J690" t="s">
        <v>8608</v>
      </c>
      <c r="K690" t="s">
        <v>8609</v>
      </c>
      <c r="L690" t="s">
        <v>8610</v>
      </c>
      <c r="M690" t="s">
        <v>8610</v>
      </c>
      <c r="N690" t="s">
        <v>8611</v>
      </c>
      <c r="O690" t="s">
        <v>8612</v>
      </c>
      <c r="P690" t="s">
        <v>8613</v>
      </c>
      <c r="S690" t="s">
        <v>3447</v>
      </c>
    </row>
    <row r="691" spans="1:19" x14ac:dyDescent="0.2">
      <c r="A691" t="str">
        <f t="shared" si="10"/>
        <v>metab_compid_57515</v>
      </c>
      <c r="B691">
        <v>100015834</v>
      </c>
      <c r="C691">
        <v>402</v>
      </c>
      <c r="D691">
        <v>57515</v>
      </c>
      <c r="E691">
        <v>211216</v>
      </c>
      <c r="F691" t="s">
        <v>3459</v>
      </c>
      <c r="G691" t="s">
        <v>5526</v>
      </c>
      <c r="H691">
        <v>1887</v>
      </c>
      <c r="I691" t="s">
        <v>3438</v>
      </c>
      <c r="J691" t="s">
        <v>9475</v>
      </c>
      <c r="K691" t="s">
        <v>9476</v>
      </c>
      <c r="L691" t="s">
        <v>9477</v>
      </c>
      <c r="M691" t="s">
        <v>9477</v>
      </c>
      <c r="P691" t="s">
        <v>9478</v>
      </c>
      <c r="S691" t="s">
        <v>3447</v>
      </c>
    </row>
    <row r="692" spans="1:19" x14ac:dyDescent="0.2">
      <c r="A692" t="str">
        <f t="shared" si="10"/>
        <v>metab_compid_1105</v>
      </c>
      <c r="B692">
        <v>180</v>
      </c>
      <c r="C692">
        <v>209</v>
      </c>
      <c r="D692">
        <v>1105</v>
      </c>
      <c r="E692">
        <v>125969</v>
      </c>
      <c r="F692" t="s">
        <v>3459</v>
      </c>
      <c r="G692" t="s">
        <v>3560</v>
      </c>
      <c r="H692">
        <v>1585</v>
      </c>
      <c r="I692" t="s">
        <v>3438</v>
      </c>
      <c r="J692" t="s">
        <v>3561</v>
      </c>
      <c r="K692" t="s">
        <v>3562</v>
      </c>
      <c r="L692" t="s">
        <v>3563</v>
      </c>
      <c r="M692" t="s">
        <v>3563</v>
      </c>
      <c r="N692" t="s">
        <v>3564</v>
      </c>
      <c r="O692" t="s">
        <v>3565</v>
      </c>
      <c r="P692" t="s">
        <v>3566</v>
      </c>
      <c r="Q692" t="s">
        <v>3567</v>
      </c>
      <c r="R692" t="s">
        <v>3568</v>
      </c>
      <c r="S692" t="s">
        <v>3469</v>
      </c>
    </row>
    <row r="693" spans="1:19" x14ac:dyDescent="0.2">
      <c r="A693" t="str">
        <f t="shared" si="10"/>
        <v>metab_compid_34035</v>
      </c>
      <c r="B693">
        <v>100001337</v>
      </c>
      <c r="C693">
        <v>209</v>
      </c>
      <c r="D693">
        <v>34035</v>
      </c>
      <c r="E693">
        <v>143703</v>
      </c>
      <c r="F693" t="s">
        <v>3459</v>
      </c>
      <c r="G693" t="s">
        <v>3560</v>
      </c>
      <c r="H693">
        <v>1587</v>
      </c>
      <c r="I693" t="s">
        <v>3438</v>
      </c>
      <c r="J693" t="s">
        <v>6275</v>
      </c>
      <c r="K693" t="s">
        <v>6276</v>
      </c>
      <c r="L693" t="s">
        <v>6277</v>
      </c>
      <c r="M693" t="s">
        <v>6278</v>
      </c>
      <c r="O693" t="s">
        <v>6279</v>
      </c>
      <c r="P693" t="s">
        <v>6280</v>
      </c>
      <c r="Q693" t="s">
        <v>6281</v>
      </c>
      <c r="R693" t="s">
        <v>6282</v>
      </c>
      <c r="S693" t="s">
        <v>3469</v>
      </c>
    </row>
    <row r="694" spans="1:19" x14ac:dyDescent="0.2">
      <c r="A694" t="str">
        <f t="shared" si="10"/>
        <v>metab_compid_57511</v>
      </c>
      <c r="B694">
        <v>100015831</v>
      </c>
      <c r="C694">
        <v>402</v>
      </c>
      <c r="D694">
        <v>57511</v>
      </c>
      <c r="E694">
        <v>211212</v>
      </c>
      <c r="F694" t="s">
        <v>3459</v>
      </c>
      <c r="G694" t="s">
        <v>7821</v>
      </c>
      <c r="H694">
        <v>1910</v>
      </c>
      <c r="I694" t="s">
        <v>3438</v>
      </c>
      <c r="J694" t="s">
        <v>9460</v>
      </c>
      <c r="K694" t="s">
        <v>9461</v>
      </c>
      <c r="L694" t="s">
        <v>9462</v>
      </c>
      <c r="M694" t="s">
        <v>9462</v>
      </c>
      <c r="S694" t="s">
        <v>3447</v>
      </c>
    </row>
    <row r="695" spans="1:19" x14ac:dyDescent="0.2">
      <c r="A695" t="str">
        <f t="shared" si="10"/>
        <v>metab_compid_52608</v>
      </c>
      <c r="B695">
        <v>100006726</v>
      </c>
      <c r="C695">
        <v>209</v>
      </c>
      <c r="D695">
        <v>52608</v>
      </c>
      <c r="E695">
        <v>166573</v>
      </c>
      <c r="F695" t="s">
        <v>3459</v>
      </c>
      <c r="G695" t="s">
        <v>4774</v>
      </c>
      <c r="H695">
        <v>2200</v>
      </c>
      <c r="I695" t="s">
        <v>3438</v>
      </c>
      <c r="J695" t="s">
        <v>8754</v>
      </c>
      <c r="K695" t="s">
        <v>8755</v>
      </c>
      <c r="L695" t="s">
        <v>8756</v>
      </c>
      <c r="M695" t="s">
        <v>8756</v>
      </c>
      <c r="N695" t="s">
        <v>8757</v>
      </c>
      <c r="O695" t="s">
        <v>8758</v>
      </c>
      <c r="P695" t="s">
        <v>8759</v>
      </c>
      <c r="R695" t="s">
        <v>8760</v>
      </c>
      <c r="S695" t="s">
        <v>3469</v>
      </c>
    </row>
    <row r="696" spans="1:19" x14ac:dyDescent="0.2">
      <c r="A696" t="str">
        <f t="shared" si="10"/>
        <v>metab_compid_54969</v>
      </c>
      <c r="B696">
        <v>100010942</v>
      </c>
      <c r="C696">
        <v>402</v>
      </c>
      <c r="D696">
        <v>54969</v>
      </c>
      <c r="E696">
        <v>208054</v>
      </c>
      <c r="F696" t="s">
        <v>3459</v>
      </c>
      <c r="G696" t="s">
        <v>7792</v>
      </c>
      <c r="H696">
        <v>2951</v>
      </c>
      <c r="I696" t="s">
        <v>3438</v>
      </c>
      <c r="J696" t="s">
        <v>9274</v>
      </c>
      <c r="K696" t="s">
        <v>9275</v>
      </c>
      <c r="L696" t="s">
        <v>9276</v>
      </c>
      <c r="M696" t="s">
        <v>9276</v>
      </c>
      <c r="P696" t="s">
        <v>9277</v>
      </c>
      <c r="R696" t="s">
        <v>9278</v>
      </c>
      <c r="S696" t="s">
        <v>3447</v>
      </c>
    </row>
    <row r="697" spans="1:19" x14ac:dyDescent="0.2">
      <c r="A697" t="str">
        <f t="shared" si="10"/>
        <v>metab_compid_46223</v>
      </c>
      <c r="B697">
        <v>100003151</v>
      </c>
      <c r="C697">
        <v>402</v>
      </c>
      <c r="D697">
        <v>46223</v>
      </c>
      <c r="E697">
        <v>159669</v>
      </c>
      <c r="F697" t="s">
        <v>3459</v>
      </c>
      <c r="G697" t="s">
        <v>7821</v>
      </c>
      <c r="H697">
        <v>1909</v>
      </c>
      <c r="I697" t="s">
        <v>3438</v>
      </c>
      <c r="J697" t="s">
        <v>7822</v>
      </c>
      <c r="K697" t="s">
        <v>7823</v>
      </c>
      <c r="L697" t="s">
        <v>7824</v>
      </c>
      <c r="M697" t="s">
        <v>7824</v>
      </c>
      <c r="N697" t="s">
        <v>7825</v>
      </c>
      <c r="O697" t="s">
        <v>7826</v>
      </c>
      <c r="P697" t="s">
        <v>7827</v>
      </c>
      <c r="R697" t="s">
        <v>7828</v>
      </c>
      <c r="S697" t="s">
        <v>3447</v>
      </c>
    </row>
    <row r="698" spans="1:19" x14ac:dyDescent="0.2">
      <c r="A698" t="str">
        <f t="shared" si="10"/>
        <v>metab_compid_57463</v>
      </c>
      <c r="B698">
        <v>100015760</v>
      </c>
      <c r="C698">
        <v>402</v>
      </c>
      <c r="D698">
        <v>57463</v>
      </c>
      <c r="E698">
        <v>211119</v>
      </c>
      <c r="F698" t="s">
        <v>3459</v>
      </c>
      <c r="G698" t="s">
        <v>9134</v>
      </c>
      <c r="H698">
        <v>1966</v>
      </c>
      <c r="I698" t="s">
        <v>3438</v>
      </c>
      <c r="J698" t="s">
        <v>9374</v>
      </c>
      <c r="K698" t="s">
        <v>9375</v>
      </c>
      <c r="L698" t="s">
        <v>9376</v>
      </c>
      <c r="M698" t="s">
        <v>9376</v>
      </c>
      <c r="P698" t="s">
        <v>9377</v>
      </c>
      <c r="R698" t="s">
        <v>9378</v>
      </c>
      <c r="S698" t="s">
        <v>3447</v>
      </c>
    </row>
    <row r="699" spans="1:19" x14ac:dyDescent="0.2">
      <c r="A699" t="str">
        <f t="shared" si="10"/>
        <v>metab_compid_62526</v>
      </c>
      <c r="B699">
        <v>100020823</v>
      </c>
      <c r="C699">
        <v>209</v>
      </c>
      <c r="D699">
        <v>62526</v>
      </c>
      <c r="E699">
        <v>219859</v>
      </c>
      <c r="F699" t="s">
        <v>3459</v>
      </c>
      <c r="G699" t="s">
        <v>3819</v>
      </c>
      <c r="H699">
        <v>3517</v>
      </c>
      <c r="I699" t="s">
        <v>3438</v>
      </c>
      <c r="J699" t="s">
        <v>9895</v>
      </c>
      <c r="K699" t="s">
        <v>9896</v>
      </c>
      <c r="L699" t="s">
        <v>9897</v>
      </c>
      <c r="M699" t="s">
        <v>9897</v>
      </c>
      <c r="R699" t="s">
        <v>9898</v>
      </c>
      <c r="S699" t="s">
        <v>3469</v>
      </c>
    </row>
    <row r="700" spans="1:19" x14ac:dyDescent="0.2">
      <c r="A700" t="str">
        <f t="shared" si="10"/>
        <v>metab_compid_62527</v>
      </c>
      <c r="B700">
        <v>100020824</v>
      </c>
      <c r="C700">
        <v>209</v>
      </c>
      <c r="D700">
        <v>62527</v>
      </c>
      <c r="E700">
        <v>219860</v>
      </c>
      <c r="F700" t="s">
        <v>3459</v>
      </c>
      <c r="G700" t="s">
        <v>3819</v>
      </c>
      <c r="H700">
        <v>3518</v>
      </c>
      <c r="I700" t="s">
        <v>3438</v>
      </c>
      <c r="J700" t="s">
        <v>9895</v>
      </c>
      <c r="K700" t="s">
        <v>9896</v>
      </c>
      <c r="L700" t="s">
        <v>9899</v>
      </c>
      <c r="M700" t="s">
        <v>9899</v>
      </c>
      <c r="S700" t="s">
        <v>3469</v>
      </c>
    </row>
    <row r="701" spans="1:19" x14ac:dyDescent="0.2">
      <c r="A701" t="str">
        <f t="shared" si="10"/>
        <v>metab_compid_64102</v>
      </c>
      <c r="B701">
        <v>100020909</v>
      </c>
      <c r="C701">
        <v>402</v>
      </c>
      <c r="D701">
        <v>64102</v>
      </c>
      <c r="E701">
        <v>234975</v>
      </c>
      <c r="F701" t="s">
        <v>3863</v>
      </c>
      <c r="G701" t="s">
        <v>7216</v>
      </c>
      <c r="H701">
        <v>5725</v>
      </c>
      <c r="I701" t="s">
        <v>3438</v>
      </c>
      <c r="J701" t="s">
        <v>9987</v>
      </c>
      <c r="K701" t="s">
        <v>9988</v>
      </c>
      <c r="L701" t="s">
        <v>9989</v>
      </c>
      <c r="M701" t="s">
        <v>9989</v>
      </c>
      <c r="N701" t="s">
        <v>9990</v>
      </c>
      <c r="P701" t="s">
        <v>9991</v>
      </c>
      <c r="Q701" t="s">
        <v>9992</v>
      </c>
      <c r="R701" t="s">
        <v>9993</v>
      </c>
      <c r="S701" t="s">
        <v>3447</v>
      </c>
    </row>
    <row r="702" spans="1:19" x14ac:dyDescent="0.2">
      <c r="A702" t="str">
        <f t="shared" si="10"/>
        <v>metab_compid_1301</v>
      </c>
      <c r="B702">
        <v>407</v>
      </c>
      <c r="C702">
        <v>400</v>
      </c>
      <c r="D702">
        <v>1301</v>
      </c>
      <c r="E702">
        <v>155354</v>
      </c>
      <c r="F702" t="s">
        <v>3436</v>
      </c>
      <c r="G702" t="s">
        <v>3586</v>
      </c>
      <c r="H702">
        <v>107</v>
      </c>
      <c r="I702" t="s">
        <v>3438</v>
      </c>
      <c r="J702" t="s">
        <v>3993</v>
      </c>
      <c r="K702" t="s">
        <v>3994</v>
      </c>
      <c r="L702" t="s">
        <v>3995</v>
      </c>
      <c r="M702" t="s">
        <v>3995</v>
      </c>
      <c r="N702" t="s">
        <v>3996</v>
      </c>
      <c r="O702" t="s">
        <v>3997</v>
      </c>
      <c r="P702" t="s">
        <v>3998</v>
      </c>
      <c r="Q702" t="s">
        <v>3999</v>
      </c>
      <c r="R702" t="s">
        <v>4000</v>
      </c>
      <c r="S702" t="s">
        <v>3458</v>
      </c>
    </row>
    <row r="703" spans="1:19" x14ac:dyDescent="0.2">
      <c r="A703" t="str">
        <f t="shared" si="10"/>
        <v>metab_compid_61858</v>
      </c>
      <c r="B703">
        <v>100019968</v>
      </c>
      <c r="C703">
        <v>305</v>
      </c>
      <c r="D703">
        <v>61858</v>
      </c>
      <c r="E703">
        <v>218556</v>
      </c>
      <c r="F703" t="s">
        <v>3977</v>
      </c>
      <c r="G703" t="s">
        <v>4446</v>
      </c>
      <c r="H703">
        <v>1307</v>
      </c>
      <c r="I703" t="s">
        <v>3438</v>
      </c>
      <c r="J703" t="s">
        <v>9604</v>
      </c>
      <c r="K703" t="s">
        <v>9605</v>
      </c>
      <c r="L703" t="s">
        <v>9606</v>
      </c>
      <c r="M703" t="s">
        <v>9606</v>
      </c>
      <c r="P703" t="s">
        <v>9607</v>
      </c>
      <c r="S703" t="s">
        <v>3489</v>
      </c>
    </row>
    <row r="704" spans="1:19" x14ac:dyDescent="0.2">
      <c r="A704" t="str">
        <f t="shared" si="10"/>
        <v>metab_compid_1303</v>
      </c>
      <c r="B704">
        <v>409</v>
      </c>
      <c r="C704">
        <v>305</v>
      </c>
      <c r="D704">
        <v>1303</v>
      </c>
      <c r="E704">
        <v>145720</v>
      </c>
      <c r="F704" t="s">
        <v>3479</v>
      </c>
      <c r="G704" t="s">
        <v>3480</v>
      </c>
      <c r="H704">
        <v>1469</v>
      </c>
      <c r="I704" t="s">
        <v>3438</v>
      </c>
      <c r="J704" t="s">
        <v>4001</v>
      </c>
      <c r="K704" t="s">
        <v>4002</v>
      </c>
      <c r="L704" t="s">
        <v>4003</v>
      </c>
      <c r="M704" t="s">
        <v>4003</v>
      </c>
      <c r="N704" t="s">
        <v>4004</v>
      </c>
      <c r="O704" t="s">
        <v>4005</v>
      </c>
      <c r="P704" t="s">
        <v>4006</v>
      </c>
      <c r="Q704" t="s">
        <v>4007</v>
      </c>
      <c r="R704" t="s">
        <v>4008</v>
      </c>
      <c r="S704" t="s">
        <v>3489</v>
      </c>
    </row>
    <row r="705" spans="1:19" x14ac:dyDescent="0.2">
      <c r="A705" t="str">
        <f t="shared" si="10"/>
        <v>metab_compid_20676</v>
      </c>
      <c r="B705">
        <v>100000707</v>
      </c>
      <c r="C705">
        <v>305</v>
      </c>
      <c r="D705">
        <v>20676</v>
      </c>
      <c r="E705">
        <v>147767</v>
      </c>
      <c r="F705" t="s">
        <v>3459</v>
      </c>
      <c r="G705" t="s">
        <v>3873</v>
      </c>
      <c r="H705">
        <v>1689</v>
      </c>
      <c r="I705" t="s">
        <v>3438</v>
      </c>
      <c r="J705" t="s">
        <v>5480</v>
      </c>
      <c r="K705" t="s">
        <v>5481</v>
      </c>
      <c r="L705" t="s">
        <v>5482</v>
      </c>
      <c r="M705" t="s">
        <v>5482</v>
      </c>
      <c r="N705" t="s">
        <v>5483</v>
      </c>
      <c r="O705" t="s">
        <v>5484</v>
      </c>
      <c r="P705" t="s">
        <v>5485</v>
      </c>
      <c r="Q705" t="s">
        <v>5486</v>
      </c>
      <c r="R705" t="s">
        <v>5487</v>
      </c>
      <c r="S705" t="s">
        <v>3489</v>
      </c>
    </row>
    <row r="706" spans="1:19" x14ac:dyDescent="0.2">
      <c r="A706" t="str">
        <f t="shared" ref="A706:A769" si="11">_xlfn.CONCAT("metab_compid_", $D706)</f>
        <v>metab_compid_15872</v>
      </c>
      <c r="B706">
        <v>818</v>
      </c>
      <c r="C706">
        <v>305</v>
      </c>
      <c r="D706">
        <v>15872</v>
      </c>
      <c r="E706">
        <v>147518</v>
      </c>
      <c r="F706" t="s">
        <v>3459</v>
      </c>
      <c r="G706" t="s">
        <v>4324</v>
      </c>
      <c r="H706">
        <v>1490</v>
      </c>
      <c r="I706" t="s">
        <v>3438</v>
      </c>
      <c r="J706" t="s">
        <v>4325</v>
      </c>
      <c r="K706" t="s">
        <v>4326</v>
      </c>
      <c r="L706" t="s">
        <v>4327</v>
      </c>
      <c r="M706" t="s">
        <v>4327</v>
      </c>
      <c r="N706" t="s">
        <v>4328</v>
      </c>
      <c r="O706" t="s">
        <v>4329</v>
      </c>
      <c r="P706" t="s">
        <v>4330</v>
      </c>
      <c r="Q706" t="s">
        <v>4331</v>
      </c>
      <c r="R706" t="s">
        <v>4332</v>
      </c>
      <c r="S706" t="s">
        <v>3489</v>
      </c>
    </row>
    <row r="707" spans="1:19" x14ac:dyDescent="0.2">
      <c r="A707" t="str">
        <f t="shared" si="11"/>
        <v>metab_compid_15586</v>
      </c>
      <c r="B707">
        <v>913</v>
      </c>
      <c r="C707">
        <v>305</v>
      </c>
      <c r="D707">
        <v>15586</v>
      </c>
      <c r="E707">
        <v>146486</v>
      </c>
      <c r="F707" t="s">
        <v>3977</v>
      </c>
      <c r="G707" t="s">
        <v>4437</v>
      </c>
      <c r="H707">
        <v>1317</v>
      </c>
      <c r="I707" t="s">
        <v>3438</v>
      </c>
      <c r="J707" t="s">
        <v>4438</v>
      </c>
      <c r="K707" t="s">
        <v>4439</v>
      </c>
      <c r="L707" t="s">
        <v>4440</v>
      </c>
      <c r="M707" t="s">
        <v>4440</v>
      </c>
      <c r="N707" t="s">
        <v>4441</v>
      </c>
      <c r="O707" t="s">
        <v>4442</v>
      </c>
      <c r="P707" t="s">
        <v>4443</v>
      </c>
      <c r="Q707" t="s">
        <v>4444</v>
      </c>
      <c r="R707" t="s">
        <v>4445</v>
      </c>
      <c r="S707" t="s">
        <v>3489</v>
      </c>
    </row>
    <row r="708" spans="1:19" x14ac:dyDescent="0.2">
      <c r="A708" t="str">
        <f t="shared" si="11"/>
        <v>metab_compid_46142</v>
      </c>
      <c r="B708">
        <v>100001740</v>
      </c>
      <c r="C708">
        <v>305</v>
      </c>
      <c r="D708">
        <v>46142</v>
      </c>
      <c r="E708">
        <v>146560</v>
      </c>
      <c r="F708" t="s">
        <v>3977</v>
      </c>
      <c r="G708" t="s">
        <v>4293</v>
      </c>
      <c r="H708">
        <v>1369</v>
      </c>
      <c r="I708" t="s">
        <v>3438</v>
      </c>
      <c r="J708" t="s">
        <v>6899</v>
      </c>
      <c r="K708" t="s">
        <v>6900</v>
      </c>
      <c r="L708" t="s">
        <v>6901</v>
      </c>
      <c r="M708" t="s">
        <v>6901</v>
      </c>
      <c r="O708" t="s">
        <v>6902</v>
      </c>
      <c r="P708" t="s">
        <v>6903</v>
      </c>
      <c r="Q708" t="s">
        <v>6904</v>
      </c>
      <c r="R708" t="s">
        <v>6905</v>
      </c>
      <c r="S708" t="s">
        <v>3489</v>
      </c>
    </row>
    <row r="709" spans="1:19" x14ac:dyDescent="0.2">
      <c r="A709" t="str">
        <f t="shared" si="11"/>
        <v>metab_compid_62864</v>
      </c>
      <c r="B709">
        <v>100003695</v>
      </c>
      <c r="C709">
        <v>305</v>
      </c>
      <c r="D709">
        <v>62864</v>
      </c>
      <c r="E709">
        <v>220652</v>
      </c>
      <c r="F709" t="s">
        <v>3863</v>
      </c>
      <c r="G709" t="s">
        <v>3864</v>
      </c>
      <c r="H709">
        <v>4981</v>
      </c>
      <c r="I709" t="s">
        <v>3438</v>
      </c>
      <c r="J709" t="s">
        <v>7973</v>
      </c>
      <c r="K709" t="s">
        <v>7974</v>
      </c>
      <c r="L709" t="s">
        <v>7975</v>
      </c>
      <c r="M709" t="s">
        <v>7975</v>
      </c>
      <c r="N709" t="s">
        <v>7976</v>
      </c>
      <c r="O709" t="s">
        <v>7977</v>
      </c>
      <c r="R709" t="s">
        <v>7978</v>
      </c>
      <c r="S709" t="s">
        <v>3489</v>
      </c>
    </row>
    <row r="710" spans="1:19" x14ac:dyDescent="0.2">
      <c r="A710" t="str">
        <f t="shared" si="11"/>
        <v>metab_compid_48153</v>
      </c>
      <c r="B710">
        <v>803</v>
      </c>
      <c r="C710">
        <v>305</v>
      </c>
      <c r="D710">
        <v>48153</v>
      </c>
      <c r="E710">
        <v>152039</v>
      </c>
      <c r="F710" t="s">
        <v>3977</v>
      </c>
      <c r="G710" t="s">
        <v>4293</v>
      </c>
      <c r="H710">
        <v>1370</v>
      </c>
      <c r="I710" t="s">
        <v>3438</v>
      </c>
      <c r="J710" t="s">
        <v>4294</v>
      </c>
      <c r="K710" t="s">
        <v>4295</v>
      </c>
      <c r="L710" t="s">
        <v>4296</v>
      </c>
      <c r="M710" t="s">
        <v>4296</v>
      </c>
      <c r="N710" t="s">
        <v>4297</v>
      </c>
      <c r="O710" t="s">
        <v>4298</v>
      </c>
      <c r="P710" t="s">
        <v>4299</v>
      </c>
      <c r="Q710" t="s">
        <v>4300</v>
      </c>
      <c r="R710" t="s">
        <v>4301</v>
      </c>
      <c r="S710" t="s">
        <v>3489</v>
      </c>
    </row>
    <row r="711" spans="1:19" x14ac:dyDescent="0.2">
      <c r="A711" t="str">
        <f t="shared" si="11"/>
        <v>metab_compid_1121</v>
      </c>
      <c r="B711">
        <v>891</v>
      </c>
      <c r="C711">
        <v>209</v>
      </c>
      <c r="D711">
        <v>1121</v>
      </c>
      <c r="E711">
        <v>125718</v>
      </c>
      <c r="F711" t="s">
        <v>3459</v>
      </c>
      <c r="G711" t="s">
        <v>4017</v>
      </c>
      <c r="H711">
        <v>1530</v>
      </c>
      <c r="I711" t="s">
        <v>3438</v>
      </c>
      <c r="J711" t="s">
        <v>4414</v>
      </c>
      <c r="K711" t="s">
        <v>4415</v>
      </c>
      <c r="L711" t="s">
        <v>4416</v>
      </c>
      <c r="M711" t="s">
        <v>4416</v>
      </c>
      <c r="N711" t="s">
        <v>4417</v>
      </c>
      <c r="O711" t="s">
        <v>4418</v>
      </c>
      <c r="P711" t="s">
        <v>4419</v>
      </c>
      <c r="R711" t="s">
        <v>4420</v>
      </c>
      <c r="S711" t="s">
        <v>3469</v>
      </c>
    </row>
    <row r="712" spans="1:19" x14ac:dyDescent="0.2">
      <c r="A712" t="str">
        <f t="shared" si="11"/>
        <v>metab_compid_57512</v>
      </c>
      <c r="B712">
        <v>100004054</v>
      </c>
      <c r="C712">
        <v>402</v>
      </c>
      <c r="D712">
        <v>57512</v>
      </c>
      <c r="E712">
        <v>211213</v>
      </c>
      <c r="F712" t="s">
        <v>3459</v>
      </c>
      <c r="G712" t="s">
        <v>5526</v>
      </c>
      <c r="H712">
        <v>1883</v>
      </c>
      <c r="I712" t="s">
        <v>3438</v>
      </c>
      <c r="J712" t="s">
        <v>8027</v>
      </c>
      <c r="K712" t="s">
        <v>8028</v>
      </c>
      <c r="L712" t="s">
        <v>8029</v>
      </c>
      <c r="M712" t="s">
        <v>8029</v>
      </c>
      <c r="N712" t="s">
        <v>8030</v>
      </c>
      <c r="O712" t="s">
        <v>8031</v>
      </c>
      <c r="P712" t="s">
        <v>8032</v>
      </c>
      <c r="R712" t="s">
        <v>8033</v>
      </c>
      <c r="S712" t="s">
        <v>3447</v>
      </c>
    </row>
    <row r="713" spans="1:19" x14ac:dyDescent="0.2">
      <c r="A713" t="str">
        <f t="shared" si="11"/>
        <v>metab_compid_64093</v>
      </c>
      <c r="B713">
        <v>100020907</v>
      </c>
      <c r="C713">
        <v>209</v>
      </c>
      <c r="D713">
        <v>64093</v>
      </c>
      <c r="E713">
        <v>235191</v>
      </c>
      <c r="F713" t="s">
        <v>3863</v>
      </c>
      <c r="G713" t="s">
        <v>4942</v>
      </c>
      <c r="H713">
        <v>5447</v>
      </c>
      <c r="I713" t="s">
        <v>3438</v>
      </c>
      <c r="J713" t="s">
        <v>9976</v>
      </c>
      <c r="K713" t="s">
        <v>9977</v>
      </c>
      <c r="L713" t="s">
        <v>9978</v>
      </c>
      <c r="M713" t="s">
        <v>9978</v>
      </c>
      <c r="N713" t="s">
        <v>9979</v>
      </c>
      <c r="O713" t="s">
        <v>9980</v>
      </c>
      <c r="P713" t="s">
        <v>9981</v>
      </c>
      <c r="Q713" t="s">
        <v>9982</v>
      </c>
      <c r="R713" t="s">
        <v>9983</v>
      </c>
      <c r="S713" t="s">
        <v>3469</v>
      </c>
    </row>
    <row r="714" spans="1:19" x14ac:dyDescent="0.2">
      <c r="A714" t="str">
        <f t="shared" si="11"/>
        <v>metab_compid_64873</v>
      </c>
      <c r="B714">
        <v>100022475</v>
      </c>
      <c r="C714">
        <v>209</v>
      </c>
      <c r="D714">
        <v>64873</v>
      </c>
      <c r="E714">
        <v>240049</v>
      </c>
      <c r="F714" t="s">
        <v>3863</v>
      </c>
      <c r="G714" t="s">
        <v>3864</v>
      </c>
      <c r="H714">
        <v>4985</v>
      </c>
      <c r="I714" t="s">
        <v>3438</v>
      </c>
      <c r="J714" t="s">
        <v>10273</v>
      </c>
      <c r="K714" t="s">
        <v>10274</v>
      </c>
      <c r="L714" t="s">
        <v>10275</v>
      </c>
      <c r="M714" t="s">
        <v>10275</v>
      </c>
      <c r="N714" t="s">
        <v>10276</v>
      </c>
      <c r="S714" t="s">
        <v>3469</v>
      </c>
    </row>
    <row r="715" spans="1:19" x14ac:dyDescent="0.2">
      <c r="A715" t="str">
        <f t="shared" si="11"/>
        <v>metab_compid_63153</v>
      </c>
      <c r="B715">
        <v>100021331</v>
      </c>
      <c r="C715">
        <v>209</v>
      </c>
      <c r="D715">
        <v>63153</v>
      </c>
      <c r="E715">
        <v>221892</v>
      </c>
      <c r="F715" t="s">
        <v>6580</v>
      </c>
      <c r="G715" t="s">
        <v>6580</v>
      </c>
      <c r="H715">
        <v>6453</v>
      </c>
      <c r="I715" t="s">
        <v>3438</v>
      </c>
      <c r="J715" t="s">
        <v>10127</v>
      </c>
      <c r="K715" t="s">
        <v>10128</v>
      </c>
      <c r="L715" t="s">
        <v>10129</v>
      </c>
      <c r="M715" t="s">
        <v>10129</v>
      </c>
      <c r="S715" t="s">
        <v>3469</v>
      </c>
    </row>
    <row r="716" spans="1:19" x14ac:dyDescent="0.2">
      <c r="A716" t="str">
        <f t="shared" si="11"/>
        <v>metab_compid_38306</v>
      </c>
      <c r="B716">
        <v>100002405</v>
      </c>
      <c r="C716">
        <v>400</v>
      </c>
      <c r="D716">
        <v>38306</v>
      </c>
      <c r="E716">
        <v>156492</v>
      </c>
      <c r="F716" t="s">
        <v>3863</v>
      </c>
      <c r="G716" t="s">
        <v>6220</v>
      </c>
      <c r="H716">
        <v>5784</v>
      </c>
      <c r="I716" t="s">
        <v>3438</v>
      </c>
      <c r="J716" t="s">
        <v>7462</v>
      </c>
      <c r="K716" t="s">
        <v>7463</v>
      </c>
      <c r="L716" t="s">
        <v>7464</v>
      </c>
      <c r="M716" t="s">
        <v>7464</v>
      </c>
      <c r="N716" t="s">
        <v>7465</v>
      </c>
      <c r="O716" t="s">
        <v>7466</v>
      </c>
      <c r="P716" t="s">
        <v>7467</v>
      </c>
      <c r="Q716" t="s">
        <v>7468</v>
      </c>
      <c r="R716" t="s">
        <v>7469</v>
      </c>
      <c r="S716" t="s">
        <v>3458</v>
      </c>
    </row>
    <row r="717" spans="1:19" x14ac:dyDescent="0.2">
      <c r="A717" t="str">
        <f t="shared" si="11"/>
        <v>metab_compid_1302</v>
      </c>
      <c r="B717">
        <v>415</v>
      </c>
      <c r="C717">
        <v>209</v>
      </c>
      <c r="D717">
        <v>1302</v>
      </c>
      <c r="E717">
        <v>124789</v>
      </c>
      <c r="F717" t="s">
        <v>3436</v>
      </c>
      <c r="G717" t="s">
        <v>3603</v>
      </c>
      <c r="H717">
        <v>440</v>
      </c>
      <c r="I717" t="s">
        <v>3438</v>
      </c>
      <c r="J717" t="s">
        <v>4009</v>
      </c>
      <c r="K717" t="s">
        <v>4010</v>
      </c>
      <c r="L717" t="s">
        <v>4011</v>
      </c>
      <c r="M717" t="s">
        <v>4011</v>
      </c>
      <c r="N717" t="s">
        <v>4012</v>
      </c>
      <c r="O717" t="s">
        <v>4013</v>
      </c>
      <c r="P717" t="s">
        <v>4014</v>
      </c>
      <c r="Q717" t="s">
        <v>4015</v>
      </c>
      <c r="R717" t="s">
        <v>4016</v>
      </c>
      <c r="S717" t="s">
        <v>3469</v>
      </c>
    </row>
    <row r="718" spans="1:19" x14ac:dyDescent="0.2">
      <c r="A718" t="str">
        <f t="shared" si="11"/>
        <v>metab_compid_44878</v>
      </c>
      <c r="B718">
        <v>100004635</v>
      </c>
      <c r="C718">
        <v>400</v>
      </c>
      <c r="D718">
        <v>44878</v>
      </c>
      <c r="E718">
        <v>157087</v>
      </c>
      <c r="F718" t="s">
        <v>3436</v>
      </c>
      <c r="G718" t="s">
        <v>3603</v>
      </c>
      <c r="H718">
        <v>445</v>
      </c>
      <c r="I718" t="s">
        <v>3438</v>
      </c>
      <c r="J718" t="s">
        <v>8272</v>
      </c>
      <c r="K718" t="s">
        <v>8273</v>
      </c>
      <c r="L718" t="s">
        <v>8274</v>
      </c>
      <c r="M718" t="s">
        <v>8274</v>
      </c>
      <c r="N718" t="s">
        <v>8275</v>
      </c>
      <c r="O718" t="s">
        <v>8276</v>
      </c>
      <c r="P718" t="s">
        <v>8277</v>
      </c>
      <c r="R718" t="s">
        <v>8278</v>
      </c>
      <c r="S718" t="s">
        <v>3458</v>
      </c>
    </row>
    <row r="719" spans="1:19" x14ac:dyDescent="0.2">
      <c r="A719" t="str">
        <f t="shared" si="11"/>
        <v>metab_compid_18374</v>
      </c>
      <c r="B719">
        <v>100000039</v>
      </c>
      <c r="C719">
        <v>400</v>
      </c>
      <c r="D719">
        <v>18374</v>
      </c>
      <c r="E719">
        <v>155665</v>
      </c>
      <c r="F719" t="s">
        <v>3436</v>
      </c>
      <c r="G719" t="s">
        <v>3603</v>
      </c>
      <c r="H719">
        <v>446</v>
      </c>
      <c r="I719" t="s">
        <v>3438</v>
      </c>
      <c r="J719" t="s">
        <v>5199</v>
      </c>
      <c r="K719" t="s">
        <v>5200</v>
      </c>
      <c r="L719" t="s">
        <v>5201</v>
      </c>
      <c r="M719" t="s">
        <v>5201</v>
      </c>
      <c r="N719" t="s">
        <v>5202</v>
      </c>
      <c r="O719" t="s">
        <v>5203</v>
      </c>
      <c r="P719" t="s">
        <v>5204</v>
      </c>
      <c r="Q719" t="s">
        <v>5205</v>
      </c>
      <c r="R719" t="s">
        <v>5206</v>
      </c>
      <c r="S719" t="s">
        <v>3458</v>
      </c>
    </row>
    <row r="720" spans="1:19" x14ac:dyDescent="0.2">
      <c r="A720" t="str">
        <f t="shared" si="11"/>
        <v>metab_compid_46144</v>
      </c>
      <c r="B720">
        <v>100005864</v>
      </c>
      <c r="C720">
        <v>209</v>
      </c>
      <c r="D720">
        <v>46144</v>
      </c>
      <c r="E720">
        <v>144231</v>
      </c>
      <c r="F720" t="s">
        <v>3863</v>
      </c>
      <c r="G720" t="s">
        <v>3864</v>
      </c>
      <c r="H720">
        <v>5113</v>
      </c>
      <c r="I720" t="s">
        <v>3438</v>
      </c>
      <c r="J720" t="s">
        <v>8367</v>
      </c>
      <c r="K720" t="s">
        <v>8368</v>
      </c>
      <c r="L720" t="s">
        <v>8369</v>
      </c>
      <c r="M720" t="s">
        <v>8369</v>
      </c>
      <c r="P720" t="s">
        <v>8370</v>
      </c>
      <c r="R720" t="s">
        <v>8371</v>
      </c>
      <c r="S720" t="s">
        <v>3469</v>
      </c>
    </row>
    <row r="721" spans="1:19" x14ac:dyDescent="0.2">
      <c r="A721" t="str">
        <f t="shared" si="11"/>
        <v>metab_compid_1584</v>
      </c>
      <c r="B721">
        <v>1104</v>
      </c>
      <c r="C721">
        <v>400</v>
      </c>
      <c r="D721">
        <v>1584</v>
      </c>
      <c r="E721">
        <v>155418</v>
      </c>
      <c r="F721" t="s">
        <v>3863</v>
      </c>
      <c r="G721" t="s">
        <v>3864</v>
      </c>
      <c r="H721">
        <v>4986</v>
      </c>
      <c r="I721" t="s">
        <v>3438</v>
      </c>
      <c r="J721" t="s">
        <v>4672</v>
      </c>
      <c r="K721" t="s">
        <v>4673</v>
      </c>
      <c r="L721" t="s">
        <v>4674</v>
      </c>
      <c r="M721" t="s">
        <v>4674</v>
      </c>
      <c r="N721" t="s">
        <v>4675</v>
      </c>
      <c r="O721" t="s">
        <v>4676</v>
      </c>
      <c r="P721" t="s">
        <v>4677</v>
      </c>
      <c r="R721" t="s">
        <v>4678</v>
      </c>
      <c r="S721" t="s">
        <v>3458</v>
      </c>
    </row>
    <row r="722" spans="1:19" x14ac:dyDescent="0.2">
      <c r="A722" t="str">
        <f t="shared" si="11"/>
        <v>metab_compid_48429</v>
      </c>
      <c r="B722">
        <v>100006116</v>
      </c>
      <c r="C722">
        <v>209</v>
      </c>
      <c r="D722">
        <v>48429</v>
      </c>
      <c r="E722">
        <v>155073</v>
      </c>
      <c r="F722" t="s">
        <v>3863</v>
      </c>
      <c r="G722" t="s">
        <v>5082</v>
      </c>
      <c r="H722">
        <v>4566</v>
      </c>
      <c r="I722" t="s">
        <v>3438</v>
      </c>
      <c r="J722" t="s">
        <v>8463</v>
      </c>
      <c r="K722" t="s">
        <v>8464</v>
      </c>
      <c r="L722" t="s">
        <v>8465</v>
      </c>
      <c r="M722" t="s">
        <v>8465</v>
      </c>
      <c r="P722" t="s">
        <v>8466</v>
      </c>
      <c r="R722" t="s">
        <v>8467</v>
      </c>
      <c r="S722" t="s">
        <v>3469</v>
      </c>
    </row>
    <row r="723" spans="1:19" x14ac:dyDescent="0.2">
      <c r="A723" t="str">
        <f t="shared" si="11"/>
        <v>metab_compid_61873</v>
      </c>
      <c r="B723">
        <v>100020006</v>
      </c>
      <c r="C723">
        <v>209</v>
      </c>
      <c r="D723">
        <v>61873</v>
      </c>
      <c r="E723">
        <v>218623</v>
      </c>
      <c r="F723" t="s">
        <v>3863</v>
      </c>
      <c r="G723" t="s">
        <v>5632</v>
      </c>
      <c r="H723">
        <v>6204</v>
      </c>
      <c r="I723" t="s">
        <v>3438</v>
      </c>
      <c r="J723" t="s">
        <v>9633</v>
      </c>
      <c r="K723" t="s">
        <v>9634</v>
      </c>
      <c r="L723" t="s">
        <v>9635</v>
      </c>
      <c r="M723" t="s">
        <v>9635</v>
      </c>
      <c r="S723" t="s">
        <v>3469</v>
      </c>
    </row>
    <row r="724" spans="1:19" x14ac:dyDescent="0.2">
      <c r="A724" t="str">
        <f t="shared" si="11"/>
        <v>metab_compid_37070</v>
      </c>
      <c r="B724">
        <v>100001805</v>
      </c>
      <c r="C724">
        <v>400</v>
      </c>
      <c r="D724">
        <v>37070</v>
      </c>
      <c r="E724">
        <v>156293</v>
      </c>
      <c r="F724" t="s">
        <v>3533</v>
      </c>
      <c r="G724" t="s">
        <v>7008</v>
      </c>
      <c r="H724">
        <v>4304</v>
      </c>
      <c r="I724" t="s">
        <v>3438</v>
      </c>
      <c r="J724" t="s">
        <v>7009</v>
      </c>
      <c r="K724" t="s">
        <v>7010</v>
      </c>
      <c r="L724" t="s">
        <v>7011</v>
      </c>
      <c r="M724" t="s">
        <v>7011</v>
      </c>
      <c r="N724" t="s">
        <v>7012</v>
      </c>
      <c r="O724" t="s">
        <v>7013</v>
      </c>
      <c r="P724" t="s">
        <v>7014</v>
      </c>
      <c r="R724" t="s">
        <v>7015</v>
      </c>
      <c r="S724" t="s">
        <v>3458</v>
      </c>
    </row>
    <row r="725" spans="1:19" x14ac:dyDescent="0.2">
      <c r="A725" t="str">
        <f t="shared" si="11"/>
        <v>metab_compid_15745</v>
      </c>
      <c r="B725">
        <v>2051</v>
      </c>
      <c r="C725">
        <v>305</v>
      </c>
      <c r="D725">
        <v>15745</v>
      </c>
      <c r="E725">
        <v>146490</v>
      </c>
      <c r="F725" t="s">
        <v>3436</v>
      </c>
      <c r="G725" t="s">
        <v>3498</v>
      </c>
      <c r="H725">
        <v>415</v>
      </c>
      <c r="I725" t="s">
        <v>3438</v>
      </c>
      <c r="J725" t="s">
        <v>5120</v>
      </c>
      <c r="K725" t="s">
        <v>5121</v>
      </c>
      <c r="L725" t="s">
        <v>5122</v>
      </c>
      <c r="M725" t="s">
        <v>5122</v>
      </c>
      <c r="N725" t="s">
        <v>5123</v>
      </c>
      <c r="O725" t="s">
        <v>5124</v>
      </c>
      <c r="P725" t="s">
        <v>5125</v>
      </c>
      <c r="R725" t="s">
        <v>5126</v>
      </c>
      <c r="S725" t="s">
        <v>3489</v>
      </c>
    </row>
    <row r="726" spans="1:19" x14ac:dyDescent="0.2">
      <c r="A726" t="str">
        <f t="shared" si="11"/>
        <v>metab_compid_57642</v>
      </c>
      <c r="B726">
        <v>100015878</v>
      </c>
      <c r="C726">
        <v>400</v>
      </c>
      <c r="D726">
        <v>57642</v>
      </c>
      <c r="E726">
        <v>213041</v>
      </c>
      <c r="F726" t="s">
        <v>3863</v>
      </c>
      <c r="G726" t="s">
        <v>7477</v>
      </c>
      <c r="H726">
        <v>5535</v>
      </c>
      <c r="I726" t="s">
        <v>3438</v>
      </c>
      <c r="J726" t="s">
        <v>9510</v>
      </c>
      <c r="K726" t="s">
        <v>9511</v>
      </c>
      <c r="L726" t="s">
        <v>9512</v>
      </c>
      <c r="M726" t="s">
        <v>9512</v>
      </c>
      <c r="N726" t="s">
        <v>9513</v>
      </c>
      <c r="O726" t="s">
        <v>9514</v>
      </c>
      <c r="P726" t="s">
        <v>9515</v>
      </c>
      <c r="Q726" t="s">
        <v>9516</v>
      </c>
      <c r="R726" t="s">
        <v>9517</v>
      </c>
      <c r="S726" t="s">
        <v>3458</v>
      </c>
    </row>
    <row r="727" spans="1:19" x14ac:dyDescent="0.2">
      <c r="A727" t="str">
        <f t="shared" si="11"/>
        <v>metab_compid_40437</v>
      </c>
      <c r="B727">
        <v>100003450</v>
      </c>
      <c r="C727">
        <v>400</v>
      </c>
      <c r="D727">
        <v>40437</v>
      </c>
      <c r="E727">
        <v>221354</v>
      </c>
      <c r="F727" t="s">
        <v>3863</v>
      </c>
      <c r="G727" t="s">
        <v>4933</v>
      </c>
      <c r="H727">
        <v>5915</v>
      </c>
      <c r="I727" t="s">
        <v>3438</v>
      </c>
      <c r="J727" t="s">
        <v>7915</v>
      </c>
      <c r="K727" t="s">
        <v>7916</v>
      </c>
      <c r="L727" t="s">
        <v>7917</v>
      </c>
      <c r="M727" t="s">
        <v>7917</v>
      </c>
      <c r="N727" t="s">
        <v>7918</v>
      </c>
      <c r="O727" t="s">
        <v>7919</v>
      </c>
      <c r="P727" t="s">
        <v>7920</v>
      </c>
      <c r="Q727" t="s">
        <v>7921</v>
      </c>
      <c r="R727" t="s">
        <v>7922</v>
      </c>
      <c r="S727" t="s">
        <v>3458</v>
      </c>
    </row>
    <row r="728" spans="1:19" x14ac:dyDescent="0.2">
      <c r="A728" t="str">
        <f t="shared" si="11"/>
        <v>metab_compid_64124</v>
      </c>
      <c r="B728">
        <v>100020892</v>
      </c>
      <c r="C728">
        <v>402</v>
      </c>
      <c r="D728">
        <v>64124</v>
      </c>
      <c r="E728">
        <v>235003</v>
      </c>
      <c r="F728" t="s">
        <v>3863</v>
      </c>
      <c r="G728" t="s">
        <v>9034</v>
      </c>
      <c r="H728">
        <v>5973</v>
      </c>
      <c r="I728" t="s">
        <v>3438</v>
      </c>
      <c r="J728" t="s">
        <v>9948</v>
      </c>
      <c r="K728" t="s">
        <v>9949</v>
      </c>
      <c r="L728" t="s">
        <v>9950</v>
      </c>
      <c r="M728" t="s">
        <v>9950</v>
      </c>
      <c r="N728" t="s">
        <v>9951</v>
      </c>
      <c r="O728" t="s">
        <v>9952</v>
      </c>
      <c r="P728" t="s">
        <v>9953</v>
      </c>
      <c r="Q728" t="s">
        <v>9954</v>
      </c>
      <c r="R728" t="s">
        <v>9955</v>
      </c>
      <c r="S728" t="s">
        <v>3447</v>
      </c>
    </row>
    <row r="729" spans="1:19" x14ac:dyDescent="0.2">
      <c r="A729" t="str">
        <f t="shared" si="11"/>
        <v>metab_compid_54800</v>
      </c>
      <c r="B729">
        <v>100009253</v>
      </c>
      <c r="C729">
        <v>209</v>
      </c>
      <c r="D729">
        <v>54800</v>
      </c>
      <c r="E729">
        <v>207693</v>
      </c>
      <c r="F729" t="s">
        <v>3863</v>
      </c>
      <c r="G729" t="s">
        <v>9141</v>
      </c>
      <c r="H729">
        <v>5613</v>
      </c>
      <c r="I729" t="s">
        <v>3438</v>
      </c>
      <c r="J729" t="s">
        <v>9142</v>
      </c>
      <c r="K729" t="s">
        <v>9143</v>
      </c>
      <c r="L729" t="s">
        <v>9144</v>
      </c>
      <c r="M729" t="s">
        <v>9144</v>
      </c>
      <c r="N729" t="s">
        <v>9145</v>
      </c>
      <c r="O729" t="s">
        <v>9146</v>
      </c>
      <c r="P729" t="s">
        <v>9147</v>
      </c>
      <c r="Q729" t="s">
        <v>9148</v>
      </c>
      <c r="R729" t="s">
        <v>9149</v>
      </c>
      <c r="S729" t="s">
        <v>3469</v>
      </c>
    </row>
    <row r="730" spans="1:19" x14ac:dyDescent="0.2">
      <c r="A730" t="str">
        <f t="shared" si="11"/>
        <v>metab_compid_54792</v>
      </c>
      <c r="B730">
        <v>100009254</v>
      </c>
      <c r="C730">
        <v>400</v>
      </c>
      <c r="D730">
        <v>54792</v>
      </c>
      <c r="E730">
        <v>207553</v>
      </c>
      <c r="F730" t="s">
        <v>3863</v>
      </c>
      <c r="G730" t="s">
        <v>9141</v>
      </c>
      <c r="H730">
        <v>5614</v>
      </c>
      <c r="I730" t="s">
        <v>3438</v>
      </c>
      <c r="J730" t="s">
        <v>9150</v>
      </c>
      <c r="K730" t="s">
        <v>9151</v>
      </c>
      <c r="L730" t="s">
        <v>9152</v>
      </c>
      <c r="M730" t="s">
        <v>9152</v>
      </c>
      <c r="O730" t="s">
        <v>9153</v>
      </c>
      <c r="P730" t="s">
        <v>9154</v>
      </c>
      <c r="R730" t="s">
        <v>9155</v>
      </c>
      <c r="S730" t="s">
        <v>3458</v>
      </c>
    </row>
    <row r="731" spans="1:19" x14ac:dyDescent="0.2">
      <c r="A731" t="str">
        <f t="shared" si="11"/>
        <v>metab_compid_1124</v>
      </c>
      <c r="B731">
        <v>363</v>
      </c>
      <c r="C731">
        <v>305</v>
      </c>
      <c r="D731">
        <v>1124</v>
      </c>
      <c r="E731">
        <v>145716</v>
      </c>
      <c r="F731" t="s">
        <v>3459</v>
      </c>
      <c r="G731" t="s">
        <v>3937</v>
      </c>
      <c r="H731">
        <v>2219</v>
      </c>
      <c r="I731" t="s">
        <v>3438</v>
      </c>
      <c r="J731" t="s">
        <v>3938</v>
      </c>
      <c r="K731" t="s">
        <v>3939</v>
      </c>
      <c r="L731" t="s">
        <v>3940</v>
      </c>
      <c r="M731" t="s">
        <v>3940</v>
      </c>
      <c r="N731" t="s">
        <v>3941</v>
      </c>
      <c r="O731" t="s">
        <v>3942</v>
      </c>
      <c r="P731" t="s">
        <v>3943</v>
      </c>
      <c r="Q731" t="s">
        <v>3944</v>
      </c>
      <c r="R731" t="s">
        <v>3945</v>
      </c>
      <c r="S731" t="s">
        <v>3489</v>
      </c>
    </row>
    <row r="732" spans="1:19" x14ac:dyDescent="0.2">
      <c r="A732" t="str">
        <f t="shared" si="11"/>
        <v>metab_compid_1365</v>
      </c>
      <c r="B732">
        <v>519</v>
      </c>
      <c r="C732">
        <v>209</v>
      </c>
      <c r="D732">
        <v>1365</v>
      </c>
      <c r="E732">
        <v>125728</v>
      </c>
      <c r="F732" t="s">
        <v>3459</v>
      </c>
      <c r="G732" t="s">
        <v>4017</v>
      </c>
      <c r="H732">
        <v>1525</v>
      </c>
      <c r="I732" t="s">
        <v>3438</v>
      </c>
      <c r="J732" t="s">
        <v>4175</v>
      </c>
      <c r="K732" t="s">
        <v>4176</v>
      </c>
      <c r="L732" t="s">
        <v>4177</v>
      </c>
      <c r="M732" t="s">
        <v>4177</v>
      </c>
      <c r="N732" t="s">
        <v>4178</v>
      </c>
      <c r="O732" t="s">
        <v>4179</v>
      </c>
      <c r="P732" t="s">
        <v>4180</v>
      </c>
      <c r="Q732" t="s">
        <v>4181</v>
      </c>
      <c r="R732" t="s">
        <v>4182</v>
      </c>
      <c r="S732" t="s">
        <v>3469</v>
      </c>
    </row>
    <row r="733" spans="1:19" x14ac:dyDescent="0.2">
      <c r="A733" t="str">
        <f t="shared" si="11"/>
        <v>metab_compid_32418</v>
      </c>
      <c r="B733">
        <v>100001198</v>
      </c>
      <c r="C733">
        <v>209</v>
      </c>
      <c r="D733">
        <v>32418</v>
      </c>
      <c r="E733">
        <v>125828</v>
      </c>
      <c r="F733" t="s">
        <v>3459</v>
      </c>
      <c r="G733" t="s">
        <v>4059</v>
      </c>
      <c r="H733">
        <v>1544</v>
      </c>
      <c r="I733" t="s">
        <v>3438</v>
      </c>
      <c r="J733" t="s">
        <v>5958</v>
      </c>
      <c r="K733" t="s">
        <v>5959</v>
      </c>
      <c r="L733" t="s">
        <v>5960</v>
      </c>
      <c r="M733" t="s">
        <v>5960</v>
      </c>
      <c r="N733" t="s">
        <v>5961</v>
      </c>
      <c r="O733" t="s">
        <v>5962</v>
      </c>
      <c r="P733" t="s">
        <v>5963</v>
      </c>
      <c r="Q733" t="s">
        <v>5964</v>
      </c>
      <c r="R733" t="s">
        <v>5965</v>
      </c>
      <c r="S733" t="s">
        <v>3469</v>
      </c>
    </row>
    <row r="734" spans="1:19" x14ac:dyDescent="0.2">
      <c r="A734" t="str">
        <f t="shared" si="11"/>
        <v>metab_compid_48182</v>
      </c>
      <c r="B734">
        <v>100006051</v>
      </c>
      <c r="C734">
        <v>402</v>
      </c>
      <c r="D734">
        <v>48182</v>
      </c>
      <c r="E734">
        <v>160274</v>
      </c>
      <c r="F734" t="s">
        <v>3459</v>
      </c>
      <c r="G734" t="s">
        <v>6535</v>
      </c>
      <c r="H734">
        <v>1902</v>
      </c>
      <c r="I734" t="s">
        <v>3438</v>
      </c>
      <c r="J734" t="s">
        <v>8410</v>
      </c>
      <c r="K734" t="s">
        <v>8411</v>
      </c>
      <c r="L734" t="s">
        <v>8412</v>
      </c>
      <c r="M734" t="s">
        <v>8412</v>
      </c>
      <c r="N734" t="s">
        <v>8413</v>
      </c>
      <c r="O734" t="s">
        <v>8414</v>
      </c>
      <c r="P734" t="s">
        <v>8415</v>
      </c>
      <c r="R734" t="s">
        <v>8416</v>
      </c>
      <c r="S734" t="s">
        <v>3447</v>
      </c>
    </row>
    <row r="735" spans="1:19" x14ac:dyDescent="0.2">
      <c r="A735" t="str">
        <f t="shared" si="11"/>
        <v>metab_compid_57365</v>
      </c>
      <c r="B735">
        <v>100009038</v>
      </c>
      <c r="C735">
        <v>402</v>
      </c>
      <c r="D735">
        <v>57365</v>
      </c>
      <c r="E735">
        <v>210891</v>
      </c>
      <c r="F735" t="s">
        <v>3459</v>
      </c>
      <c r="G735" t="s">
        <v>8860</v>
      </c>
      <c r="H735">
        <v>3118</v>
      </c>
      <c r="I735" t="s">
        <v>3438</v>
      </c>
      <c r="J735" t="s">
        <v>9043</v>
      </c>
      <c r="K735" t="s">
        <v>9044</v>
      </c>
      <c r="L735" t="s">
        <v>9045</v>
      </c>
      <c r="M735" t="s">
        <v>9045</v>
      </c>
      <c r="O735" t="s">
        <v>9046</v>
      </c>
      <c r="P735" t="s">
        <v>9047</v>
      </c>
      <c r="R735" t="s">
        <v>9048</v>
      </c>
      <c r="S735" t="s">
        <v>3447</v>
      </c>
    </row>
    <row r="736" spans="1:19" x14ac:dyDescent="0.2">
      <c r="A736" t="str">
        <f t="shared" si="11"/>
        <v>metab_compid_33952</v>
      </c>
      <c r="B736">
        <v>100001270</v>
      </c>
      <c r="C736">
        <v>402</v>
      </c>
      <c r="D736">
        <v>33952</v>
      </c>
      <c r="E736">
        <v>158596</v>
      </c>
      <c r="F736" t="s">
        <v>3459</v>
      </c>
      <c r="G736" t="s">
        <v>5526</v>
      </c>
      <c r="H736">
        <v>1880</v>
      </c>
      <c r="I736" t="s">
        <v>3438</v>
      </c>
      <c r="J736" t="s">
        <v>6082</v>
      </c>
      <c r="K736" t="s">
        <v>6083</v>
      </c>
      <c r="L736" t="s">
        <v>6084</v>
      </c>
      <c r="M736" t="s">
        <v>6084</v>
      </c>
      <c r="N736" t="s">
        <v>6085</v>
      </c>
      <c r="O736" t="s">
        <v>6086</v>
      </c>
      <c r="P736" t="s">
        <v>6087</v>
      </c>
      <c r="R736" t="s">
        <v>6088</v>
      </c>
      <c r="S736" t="s">
        <v>3447</v>
      </c>
    </row>
    <row r="737" spans="1:19" x14ac:dyDescent="0.2">
      <c r="A737" t="str">
        <f t="shared" si="11"/>
        <v>metab_compid_31536</v>
      </c>
      <c r="B737">
        <v>100001086</v>
      </c>
      <c r="C737">
        <v>209</v>
      </c>
      <c r="D737">
        <v>31536</v>
      </c>
      <c r="E737">
        <v>125774</v>
      </c>
      <c r="F737" t="s">
        <v>3863</v>
      </c>
      <c r="G737" t="s">
        <v>3864</v>
      </c>
      <c r="H737">
        <v>4990</v>
      </c>
      <c r="I737" t="s">
        <v>3438</v>
      </c>
      <c r="J737" t="s">
        <v>5805</v>
      </c>
      <c r="K737" t="s">
        <v>5806</v>
      </c>
      <c r="L737" t="s">
        <v>5807</v>
      </c>
      <c r="M737" t="s">
        <v>5807</v>
      </c>
      <c r="N737" t="s">
        <v>5808</v>
      </c>
      <c r="O737" t="s">
        <v>5809</v>
      </c>
      <c r="P737" t="s">
        <v>5810</v>
      </c>
      <c r="R737" t="s">
        <v>5811</v>
      </c>
      <c r="S737" t="s">
        <v>3469</v>
      </c>
    </row>
    <row r="738" spans="1:19" x14ac:dyDescent="0.2">
      <c r="A738" t="str">
        <f t="shared" si="11"/>
        <v>metab_compid_48680</v>
      </c>
      <c r="B738">
        <v>100006229</v>
      </c>
      <c r="C738">
        <v>209</v>
      </c>
      <c r="D738">
        <v>48680</v>
      </c>
      <c r="E738">
        <v>218409</v>
      </c>
      <c r="F738" t="s">
        <v>3863</v>
      </c>
      <c r="G738" t="s">
        <v>7477</v>
      </c>
      <c r="H738">
        <v>5521</v>
      </c>
      <c r="I738" t="s">
        <v>3438</v>
      </c>
      <c r="J738" t="s">
        <v>8536</v>
      </c>
      <c r="K738" t="s">
        <v>8537</v>
      </c>
      <c r="L738" t="s">
        <v>8538</v>
      </c>
      <c r="M738" t="s">
        <v>8538</v>
      </c>
      <c r="N738" t="s">
        <v>8539</v>
      </c>
      <c r="O738" t="s">
        <v>8540</v>
      </c>
      <c r="R738" t="s">
        <v>8541</v>
      </c>
      <c r="S738" t="s">
        <v>3469</v>
      </c>
    </row>
    <row r="739" spans="1:19" x14ac:dyDescent="0.2">
      <c r="A739" t="str">
        <f t="shared" si="11"/>
        <v>metab_compid_43255</v>
      </c>
      <c r="B739">
        <v>100004299</v>
      </c>
      <c r="C739">
        <v>400</v>
      </c>
      <c r="D739">
        <v>43255</v>
      </c>
      <c r="E739">
        <v>156987</v>
      </c>
      <c r="F739" t="s">
        <v>3436</v>
      </c>
      <c r="G739" t="s">
        <v>3906</v>
      </c>
      <c r="H739">
        <v>78</v>
      </c>
      <c r="I739" t="s">
        <v>3438</v>
      </c>
      <c r="J739" t="s">
        <v>8174</v>
      </c>
      <c r="K739" t="s">
        <v>8175</v>
      </c>
      <c r="L739" t="s">
        <v>8176</v>
      </c>
      <c r="M739" t="s">
        <v>8176</v>
      </c>
      <c r="P739" t="s">
        <v>8177</v>
      </c>
      <c r="R739" t="s">
        <v>8178</v>
      </c>
      <c r="S739" t="s">
        <v>3458</v>
      </c>
    </row>
    <row r="740" spans="1:19" x14ac:dyDescent="0.2">
      <c r="A740" t="str">
        <f t="shared" si="11"/>
        <v>metab_compid_63920</v>
      </c>
      <c r="B740">
        <v>100021760</v>
      </c>
      <c r="C740">
        <v>305</v>
      </c>
      <c r="D740">
        <v>63920</v>
      </c>
      <c r="E740">
        <v>223829</v>
      </c>
      <c r="F740" t="s">
        <v>3436</v>
      </c>
      <c r="G740" t="s">
        <v>3586</v>
      </c>
      <c r="H740">
        <v>141</v>
      </c>
      <c r="I740" t="s">
        <v>3438</v>
      </c>
      <c r="J740" t="s">
        <v>10192</v>
      </c>
      <c r="K740" t="s">
        <v>10193</v>
      </c>
      <c r="L740" t="s">
        <v>10194</v>
      </c>
      <c r="M740" t="s">
        <v>10194</v>
      </c>
      <c r="O740" t="s">
        <v>10195</v>
      </c>
      <c r="Q740" t="s">
        <v>10196</v>
      </c>
      <c r="R740" t="s">
        <v>10197</v>
      </c>
      <c r="S740" t="s">
        <v>3489</v>
      </c>
    </row>
    <row r="741" spans="1:19" x14ac:dyDescent="0.2">
      <c r="A741" t="str">
        <f t="shared" si="11"/>
        <v>metab_compid_62059</v>
      </c>
      <c r="B741">
        <v>100020204</v>
      </c>
      <c r="C741">
        <v>209</v>
      </c>
      <c r="D741">
        <v>62059</v>
      </c>
      <c r="E741">
        <v>218862</v>
      </c>
      <c r="F741" t="s">
        <v>3459</v>
      </c>
      <c r="G741" t="s">
        <v>8139</v>
      </c>
      <c r="H741">
        <v>1774</v>
      </c>
      <c r="I741" t="s">
        <v>3438</v>
      </c>
      <c r="J741" t="s">
        <v>9644</v>
      </c>
      <c r="K741" t="s">
        <v>9645</v>
      </c>
      <c r="L741" t="s">
        <v>9646</v>
      </c>
      <c r="M741" t="s">
        <v>9646</v>
      </c>
      <c r="O741" t="s">
        <v>9647</v>
      </c>
      <c r="P741" t="s">
        <v>9648</v>
      </c>
      <c r="R741" t="s">
        <v>9649</v>
      </c>
      <c r="S741" t="s">
        <v>3469</v>
      </c>
    </row>
    <row r="742" spans="1:19" x14ac:dyDescent="0.2">
      <c r="A742" t="str">
        <f t="shared" si="11"/>
        <v>metab_compid_43256</v>
      </c>
      <c r="B742">
        <v>100002204</v>
      </c>
      <c r="C742">
        <v>400</v>
      </c>
      <c r="D742">
        <v>43256</v>
      </c>
      <c r="E742">
        <v>156988</v>
      </c>
      <c r="F742" t="s">
        <v>3436</v>
      </c>
      <c r="G742" t="s">
        <v>3906</v>
      </c>
      <c r="H742">
        <v>77</v>
      </c>
      <c r="I742" t="s">
        <v>3438</v>
      </c>
      <c r="J742" t="s">
        <v>7356</v>
      </c>
      <c r="K742" t="s">
        <v>7357</v>
      </c>
      <c r="L742" t="s">
        <v>7358</v>
      </c>
      <c r="M742" t="s">
        <v>7358</v>
      </c>
      <c r="N742" t="s">
        <v>7359</v>
      </c>
      <c r="O742" t="s">
        <v>7360</v>
      </c>
      <c r="P742" t="s">
        <v>7361</v>
      </c>
      <c r="R742" t="s">
        <v>7362</v>
      </c>
      <c r="S742" t="s">
        <v>3458</v>
      </c>
    </row>
    <row r="743" spans="1:19" x14ac:dyDescent="0.2">
      <c r="A743" t="str">
        <f t="shared" si="11"/>
        <v>metab_compid_35665</v>
      </c>
      <c r="B743">
        <v>100001612</v>
      </c>
      <c r="C743">
        <v>400</v>
      </c>
      <c r="D743">
        <v>35665</v>
      </c>
      <c r="E743">
        <v>156223</v>
      </c>
      <c r="F743" t="s">
        <v>3436</v>
      </c>
      <c r="G743" t="s">
        <v>4215</v>
      </c>
      <c r="H743">
        <v>57</v>
      </c>
      <c r="I743" t="s">
        <v>3438</v>
      </c>
      <c r="J743" t="s">
        <v>6742</v>
      </c>
      <c r="K743" t="s">
        <v>6743</v>
      </c>
      <c r="L743" t="s">
        <v>6744</v>
      </c>
      <c r="M743" t="s">
        <v>6744</v>
      </c>
      <c r="N743" t="s">
        <v>6745</v>
      </c>
      <c r="O743" t="s">
        <v>6746</v>
      </c>
      <c r="P743" t="s">
        <v>6747</v>
      </c>
      <c r="Q743" t="s">
        <v>6748</v>
      </c>
      <c r="R743" t="s">
        <v>6749</v>
      </c>
      <c r="S743" t="s">
        <v>3458</v>
      </c>
    </row>
    <row r="744" spans="1:19" x14ac:dyDescent="0.2">
      <c r="A744" t="str">
        <f t="shared" si="11"/>
        <v>metab_compid_37432</v>
      </c>
      <c r="B744">
        <v>100002102</v>
      </c>
      <c r="C744">
        <v>209</v>
      </c>
      <c r="D744">
        <v>37432</v>
      </c>
      <c r="E744">
        <v>127667</v>
      </c>
      <c r="F744" t="s">
        <v>3533</v>
      </c>
      <c r="G744" t="s">
        <v>3705</v>
      </c>
      <c r="H744">
        <v>4261</v>
      </c>
      <c r="I744" t="s">
        <v>3438</v>
      </c>
      <c r="J744" t="s">
        <v>7247</v>
      </c>
      <c r="K744" t="s">
        <v>7248</v>
      </c>
      <c r="L744" t="s">
        <v>7249</v>
      </c>
      <c r="M744" t="s">
        <v>7249</v>
      </c>
      <c r="N744" t="s">
        <v>7250</v>
      </c>
      <c r="O744" t="s">
        <v>7251</v>
      </c>
      <c r="P744" t="s">
        <v>7252</v>
      </c>
      <c r="Q744" t="s">
        <v>7253</v>
      </c>
      <c r="R744" t="s">
        <v>7254</v>
      </c>
      <c r="S744" t="s">
        <v>3469</v>
      </c>
    </row>
    <row r="745" spans="1:19" x14ac:dyDescent="0.2">
      <c r="A745" t="str">
        <f t="shared" si="11"/>
        <v>metab_compid_62309</v>
      </c>
      <c r="B745">
        <v>100020487</v>
      </c>
      <c r="C745">
        <v>400</v>
      </c>
      <c r="D745">
        <v>62309</v>
      </c>
      <c r="E745">
        <v>219289</v>
      </c>
      <c r="F745" t="s">
        <v>3436</v>
      </c>
      <c r="G745" t="s">
        <v>3437</v>
      </c>
      <c r="H745">
        <v>552</v>
      </c>
      <c r="I745" t="s">
        <v>3438</v>
      </c>
      <c r="J745" t="s">
        <v>9774</v>
      </c>
      <c r="K745" t="s">
        <v>9775</v>
      </c>
      <c r="L745" t="s">
        <v>9776</v>
      </c>
      <c r="M745" t="s">
        <v>9776</v>
      </c>
      <c r="R745" t="s">
        <v>9777</v>
      </c>
      <c r="S745" t="s">
        <v>3458</v>
      </c>
    </row>
    <row r="746" spans="1:19" x14ac:dyDescent="0.2">
      <c r="A746" t="str">
        <f t="shared" si="11"/>
        <v>metab_compid_1585</v>
      </c>
      <c r="B746">
        <v>1110</v>
      </c>
      <c r="C746">
        <v>209</v>
      </c>
      <c r="D746">
        <v>1585</v>
      </c>
      <c r="E746">
        <v>124585</v>
      </c>
      <c r="F746" t="s">
        <v>3436</v>
      </c>
      <c r="G746" t="s">
        <v>3670</v>
      </c>
      <c r="H746">
        <v>31</v>
      </c>
      <c r="I746" t="s">
        <v>3438</v>
      </c>
      <c r="J746" t="s">
        <v>4688</v>
      </c>
      <c r="K746" t="s">
        <v>4689</v>
      </c>
      <c r="L746" t="s">
        <v>4690</v>
      </c>
      <c r="M746" t="s">
        <v>4690</v>
      </c>
      <c r="N746" t="s">
        <v>4691</v>
      </c>
      <c r="O746" t="s">
        <v>4692</v>
      </c>
      <c r="P746" t="s">
        <v>4693</v>
      </c>
      <c r="Q746" t="s">
        <v>4694</v>
      </c>
      <c r="R746" t="s">
        <v>4695</v>
      </c>
      <c r="S746" t="s">
        <v>3469</v>
      </c>
    </row>
    <row r="747" spans="1:19" x14ac:dyDescent="0.2">
      <c r="A747" t="str">
        <f t="shared" si="11"/>
        <v>metab_compid_45404</v>
      </c>
      <c r="B747">
        <v>100005367</v>
      </c>
      <c r="C747">
        <v>400</v>
      </c>
      <c r="D747">
        <v>45404</v>
      </c>
      <c r="E747">
        <v>157091</v>
      </c>
      <c r="F747" t="s">
        <v>3863</v>
      </c>
      <c r="G747" t="s">
        <v>3864</v>
      </c>
      <c r="H747">
        <v>4839</v>
      </c>
      <c r="I747" t="s">
        <v>3438</v>
      </c>
      <c r="J747" t="s">
        <v>8283</v>
      </c>
      <c r="K747" t="s">
        <v>8284</v>
      </c>
      <c r="L747" t="s">
        <v>8285</v>
      </c>
      <c r="M747" t="s">
        <v>8285</v>
      </c>
      <c r="S747" t="s">
        <v>3458</v>
      </c>
    </row>
    <row r="748" spans="1:19" x14ac:dyDescent="0.2">
      <c r="A748" t="str">
        <f t="shared" si="11"/>
        <v>metab_compid_33953</v>
      </c>
      <c r="B748">
        <v>100001266</v>
      </c>
      <c r="C748">
        <v>400</v>
      </c>
      <c r="D748">
        <v>33953</v>
      </c>
      <c r="E748">
        <v>156051</v>
      </c>
      <c r="F748" t="s">
        <v>3436</v>
      </c>
      <c r="G748" t="s">
        <v>3661</v>
      </c>
      <c r="H748">
        <v>506</v>
      </c>
      <c r="I748" t="s">
        <v>3438</v>
      </c>
      <c r="J748" t="s">
        <v>6066</v>
      </c>
      <c r="K748" t="s">
        <v>6067</v>
      </c>
      <c r="L748" t="s">
        <v>6068</v>
      </c>
      <c r="M748" t="s">
        <v>6068</v>
      </c>
      <c r="N748" t="s">
        <v>6069</v>
      </c>
      <c r="O748" t="s">
        <v>6070</v>
      </c>
      <c r="P748" t="s">
        <v>6071</v>
      </c>
      <c r="Q748" t="s">
        <v>6072</v>
      </c>
      <c r="R748" t="s">
        <v>6073</v>
      </c>
      <c r="S748" t="s">
        <v>3458</v>
      </c>
    </row>
    <row r="749" spans="1:19" x14ac:dyDescent="0.2">
      <c r="A749" t="str">
        <f t="shared" si="11"/>
        <v>metab_compid_33942</v>
      </c>
      <c r="B749">
        <v>100001257</v>
      </c>
      <c r="C749">
        <v>400</v>
      </c>
      <c r="D749">
        <v>33942</v>
      </c>
      <c r="E749">
        <v>156040</v>
      </c>
      <c r="F749" t="s">
        <v>3436</v>
      </c>
      <c r="G749" t="s">
        <v>3670</v>
      </c>
      <c r="H749">
        <v>42</v>
      </c>
      <c r="I749" t="s">
        <v>3438</v>
      </c>
      <c r="J749" t="s">
        <v>6051</v>
      </c>
      <c r="K749" t="s">
        <v>6052</v>
      </c>
      <c r="L749" t="s">
        <v>6053</v>
      </c>
      <c r="M749" t="s">
        <v>6053</v>
      </c>
      <c r="N749" t="s">
        <v>6054</v>
      </c>
      <c r="O749" t="s">
        <v>6055</v>
      </c>
      <c r="P749" t="s">
        <v>6056</v>
      </c>
      <c r="R749" t="s">
        <v>6057</v>
      </c>
      <c r="S749" t="s">
        <v>3458</v>
      </c>
    </row>
    <row r="750" spans="1:19" x14ac:dyDescent="0.2">
      <c r="A750" t="str">
        <f t="shared" si="11"/>
        <v>metab_compid_22185</v>
      </c>
      <c r="B750">
        <v>100000787</v>
      </c>
      <c r="C750">
        <v>305</v>
      </c>
      <c r="D750">
        <v>22185</v>
      </c>
      <c r="E750">
        <v>147184</v>
      </c>
      <c r="F750" t="s">
        <v>3436</v>
      </c>
      <c r="G750" t="s">
        <v>3670</v>
      </c>
      <c r="H750">
        <v>37</v>
      </c>
      <c r="I750" t="s">
        <v>3438</v>
      </c>
      <c r="J750" t="s">
        <v>5551</v>
      </c>
      <c r="K750" t="s">
        <v>5552</v>
      </c>
      <c r="L750" t="s">
        <v>5553</v>
      </c>
      <c r="M750" t="s">
        <v>5553</v>
      </c>
      <c r="N750" t="s">
        <v>5554</v>
      </c>
      <c r="O750" t="s">
        <v>5555</v>
      </c>
      <c r="P750" t="s">
        <v>5556</v>
      </c>
      <c r="Q750" t="s">
        <v>5557</v>
      </c>
      <c r="R750" t="s">
        <v>5558</v>
      </c>
      <c r="S750" t="s">
        <v>3489</v>
      </c>
    </row>
    <row r="751" spans="1:19" x14ac:dyDescent="0.2">
      <c r="A751" t="str">
        <f t="shared" si="11"/>
        <v>metab_compid_43488</v>
      </c>
      <c r="B751">
        <v>100004046</v>
      </c>
      <c r="C751">
        <v>400</v>
      </c>
      <c r="D751">
        <v>43488</v>
      </c>
      <c r="E751">
        <v>157016</v>
      </c>
      <c r="F751" t="s">
        <v>3436</v>
      </c>
      <c r="G751" t="s">
        <v>3906</v>
      </c>
      <c r="H751">
        <v>88</v>
      </c>
      <c r="I751" t="s">
        <v>3438</v>
      </c>
      <c r="J751" t="s">
        <v>8020</v>
      </c>
      <c r="K751" t="s">
        <v>8021</v>
      </c>
      <c r="L751" t="s">
        <v>8022</v>
      </c>
      <c r="M751" t="s">
        <v>8022</v>
      </c>
      <c r="N751" t="s">
        <v>8023</v>
      </c>
      <c r="O751" t="s">
        <v>8024</v>
      </c>
      <c r="P751" t="s">
        <v>8025</v>
      </c>
      <c r="R751" t="s">
        <v>8026</v>
      </c>
      <c r="S751" t="s">
        <v>3458</v>
      </c>
    </row>
    <row r="752" spans="1:19" x14ac:dyDescent="0.2">
      <c r="A752" t="str">
        <f t="shared" si="11"/>
        <v>metab_compid_48434</v>
      </c>
      <c r="B752">
        <v>100001577</v>
      </c>
      <c r="C752">
        <v>400</v>
      </c>
      <c r="D752">
        <v>48434</v>
      </c>
      <c r="E752">
        <v>157777</v>
      </c>
      <c r="F752" t="s">
        <v>3436</v>
      </c>
      <c r="G752" t="s">
        <v>3661</v>
      </c>
      <c r="H752">
        <v>511</v>
      </c>
      <c r="I752" t="s">
        <v>3438</v>
      </c>
      <c r="J752" t="s">
        <v>6645</v>
      </c>
      <c r="K752" t="s">
        <v>6646</v>
      </c>
      <c r="L752" t="s">
        <v>6647</v>
      </c>
      <c r="M752" t="s">
        <v>6647</v>
      </c>
      <c r="N752" t="s">
        <v>6648</v>
      </c>
      <c r="O752" t="s">
        <v>6649</v>
      </c>
      <c r="P752" t="s">
        <v>6650</v>
      </c>
      <c r="Q752" t="s">
        <v>6651</v>
      </c>
      <c r="R752" t="s">
        <v>6652</v>
      </c>
      <c r="S752" t="s">
        <v>3458</v>
      </c>
    </row>
    <row r="753" spans="1:19" x14ac:dyDescent="0.2">
      <c r="A753" t="str">
        <f t="shared" si="11"/>
        <v>metab_compid_46539</v>
      </c>
      <c r="B753">
        <v>100006435</v>
      </c>
      <c r="C753">
        <v>400</v>
      </c>
      <c r="D753">
        <v>46539</v>
      </c>
      <c r="E753">
        <v>166536</v>
      </c>
      <c r="F753" t="s">
        <v>3977</v>
      </c>
      <c r="G753" t="s">
        <v>4806</v>
      </c>
      <c r="H753">
        <v>1451</v>
      </c>
      <c r="I753" t="s">
        <v>3438</v>
      </c>
      <c r="J753" t="s">
        <v>8705</v>
      </c>
      <c r="K753" t="s">
        <v>8706</v>
      </c>
      <c r="L753" t="s">
        <v>8707</v>
      </c>
      <c r="M753" t="s">
        <v>8707</v>
      </c>
      <c r="P753" t="s">
        <v>8708</v>
      </c>
      <c r="Q753" t="s">
        <v>8709</v>
      </c>
      <c r="R753" t="s">
        <v>8710</v>
      </c>
      <c r="S753" t="s">
        <v>3458</v>
      </c>
    </row>
    <row r="754" spans="1:19" x14ac:dyDescent="0.2">
      <c r="A754" t="str">
        <f t="shared" si="11"/>
        <v>metab_compid_48149</v>
      </c>
      <c r="B754">
        <v>1215</v>
      </c>
      <c r="C754">
        <v>400</v>
      </c>
      <c r="D754">
        <v>48149</v>
      </c>
      <c r="E754">
        <v>157725</v>
      </c>
      <c r="F754" t="s">
        <v>3977</v>
      </c>
      <c r="G754" t="s">
        <v>4806</v>
      </c>
      <c r="H754">
        <v>1448</v>
      </c>
      <c r="I754" t="s">
        <v>3438</v>
      </c>
      <c r="J754" t="s">
        <v>4815</v>
      </c>
      <c r="K754" t="s">
        <v>4816</v>
      </c>
      <c r="L754" t="s">
        <v>4817</v>
      </c>
      <c r="M754" t="s">
        <v>4817</v>
      </c>
      <c r="N754" t="s">
        <v>4818</v>
      </c>
      <c r="O754" t="s">
        <v>4819</v>
      </c>
      <c r="P754" t="s">
        <v>4820</v>
      </c>
      <c r="Q754" t="s">
        <v>4821</v>
      </c>
      <c r="R754" t="s">
        <v>4822</v>
      </c>
      <c r="S754" t="s">
        <v>3458</v>
      </c>
    </row>
    <row r="755" spans="1:19" x14ac:dyDescent="0.2">
      <c r="A755" t="str">
        <f t="shared" si="11"/>
        <v>metab_compid_15720</v>
      </c>
      <c r="B755">
        <v>100000282</v>
      </c>
      <c r="C755">
        <v>305</v>
      </c>
      <c r="D755">
        <v>15720</v>
      </c>
      <c r="E755">
        <v>164302</v>
      </c>
      <c r="F755" t="s">
        <v>3436</v>
      </c>
      <c r="G755" t="s">
        <v>4215</v>
      </c>
      <c r="H755">
        <v>49</v>
      </c>
      <c r="I755" t="s">
        <v>3438</v>
      </c>
      <c r="J755" t="s">
        <v>5287</v>
      </c>
      <c r="K755" t="s">
        <v>5288</v>
      </c>
      <c r="L755" t="s">
        <v>5289</v>
      </c>
      <c r="M755" t="s">
        <v>5289</v>
      </c>
      <c r="N755" t="s">
        <v>5290</v>
      </c>
      <c r="O755" t="s">
        <v>5291</v>
      </c>
      <c r="P755" t="s">
        <v>5292</v>
      </c>
      <c r="Q755" t="s">
        <v>5293</v>
      </c>
      <c r="R755" t="s">
        <v>5294</v>
      </c>
      <c r="S755" t="s">
        <v>3489</v>
      </c>
    </row>
    <row r="756" spans="1:19" x14ac:dyDescent="0.2">
      <c r="A756" t="str">
        <f t="shared" si="11"/>
        <v>metab_compid_33943</v>
      </c>
      <c r="B756">
        <v>100001253</v>
      </c>
      <c r="C756">
        <v>305</v>
      </c>
      <c r="D756">
        <v>33943</v>
      </c>
      <c r="E756">
        <v>146952</v>
      </c>
      <c r="F756" t="s">
        <v>3436</v>
      </c>
      <c r="G756" t="s">
        <v>4215</v>
      </c>
      <c r="H756">
        <v>50</v>
      </c>
      <c r="I756" t="s">
        <v>3438</v>
      </c>
      <c r="J756" t="s">
        <v>6027</v>
      </c>
      <c r="K756" t="s">
        <v>6028</v>
      </c>
      <c r="L756" t="s">
        <v>6029</v>
      </c>
      <c r="M756" t="s">
        <v>6029</v>
      </c>
      <c r="N756" t="s">
        <v>6030</v>
      </c>
      <c r="O756" t="s">
        <v>6031</v>
      </c>
      <c r="P756" t="s">
        <v>6032</v>
      </c>
      <c r="Q756" t="s">
        <v>6033</v>
      </c>
      <c r="R756" t="s">
        <v>6034</v>
      </c>
      <c r="S756" t="s">
        <v>3489</v>
      </c>
    </row>
    <row r="757" spans="1:19" x14ac:dyDescent="0.2">
      <c r="A757" t="str">
        <f t="shared" si="11"/>
        <v>metab_compid_27710</v>
      </c>
      <c r="B757">
        <v>100001006</v>
      </c>
      <c r="C757">
        <v>400</v>
      </c>
      <c r="D757">
        <v>27710</v>
      </c>
      <c r="E757">
        <v>155837</v>
      </c>
      <c r="F757" t="s">
        <v>3436</v>
      </c>
      <c r="G757" t="s">
        <v>3882</v>
      </c>
      <c r="H757">
        <v>2</v>
      </c>
      <c r="I757" t="s">
        <v>3438</v>
      </c>
      <c r="J757" t="s">
        <v>5701</v>
      </c>
      <c r="K757" t="s">
        <v>5702</v>
      </c>
      <c r="L757" t="s">
        <v>5703</v>
      </c>
      <c r="M757" t="s">
        <v>5703</v>
      </c>
      <c r="N757" t="s">
        <v>5704</v>
      </c>
      <c r="O757" t="s">
        <v>5705</v>
      </c>
      <c r="P757" t="s">
        <v>5706</v>
      </c>
      <c r="R757" t="s">
        <v>5707</v>
      </c>
      <c r="S757" t="s">
        <v>3458</v>
      </c>
    </row>
    <row r="758" spans="1:19" x14ac:dyDescent="0.2">
      <c r="A758" t="str">
        <f t="shared" si="11"/>
        <v>metab_compid_33946</v>
      </c>
      <c r="B758">
        <v>100001293</v>
      </c>
      <c r="C758">
        <v>209</v>
      </c>
      <c r="D758">
        <v>33946</v>
      </c>
      <c r="E758">
        <v>126105</v>
      </c>
      <c r="F758" t="s">
        <v>3436</v>
      </c>
      <c r="G758" t="s">
        <v>3906</v>
      </c>
      <c r="H758">
        <v>75</v>
      </c>
      <c r="I758" t="s">
        <v>3438</v>
      </c>
      <c r="J758" t="s">
        <v>6156</v>
      </c>
      <c r="K758" t="s">
        <v>6157</v>
      </c>
      <c r="L758" t="s">
        <v>6158</v>
      </c>
      <c r="M758" t="s">
        <v>6158</v>
      </c>
      <c r="N758" t="s">
        <v>6159</v>
      </c>
      <c r="O758" t="s">
        <v>6160</v>
      </c>
      <c r="P758" t="s">
        <v>6161</v>
      </c>
      <c r="Q758" t="s">
        <v>6162</v>
      </c>
      <c r="R758" t="s">
        <v>6163</v>
      </c>
      <c r="S758" t="s">
        <v>3469</v>
      </c>
    </row>
    <row r="759" spans="1:19" x14ac:dyDescent="0.2">
      <c r="A759" t="str">
        <f t="shared" si="11"/>
        <v>metab_compid_33967</v>
      </c>
      <c r="B759">
        <v>100001276</v>
      </c>
      <c r="C759">
        <v>209</v>
      </c>
      <c r="D759">
        <v>33967</v>
      </c>
      <c r="E759">
        <v>126125</v>
      </c>
      <c r="F759" t="s">
        <v>3436</v>
      </c>
      <c r="G759" t="s">
        <v>3498</v>
      </c>
      <c r="H759">
        <v>392</v>
      </c>
      <c r="I759" t="s">
        <v>3438</v>
      </c>
      <c r="J759" t="s">
        <v>6111</v>
      </c>
      <c r="K759" t="s">
        <v>6112</v>
      </c>
      <c r="L759" t="s">
        <v>6113</v>
      </c>
      <c r="M759" t="s">
        <v>6113</v>
      </c>
      <c r="N759" t="s">
        <v>6114</v>
      </c>
      <c r="O759" t="s">
        <v>6115</v>
      </c>
      <c r="P759" t="s">
        <v>6116</v>
      </c>
      <c r="R759" t="s">
        <v>6117</v>
      </c>
      <c r="S759" t="s">
        <v>3469</v>
      </c>
    </row>
    <row r="760" spans="1:19" x14ac:dyDescent="0.2">
      <c r="A760" t="str">
        <f t="shared" si="11"/>
        <v>metab_compid_48757</v>
      </c>
      <c r="B760">
        <v>100006378</v>
      </c>
      <c r="C760">
        <v>209</v>
      </c>
      <c r="D760">
        <v>48757</v>
      </c>
      <c r="E760">
        <v>155121</v>
      </c>
      <c r="F760" t="s">
        <v>3436</v>
      </c>
      <c r="G760" t="s">
        <v>3470</v>
      </c>
      <c r="H760">
        <v>275</v>
      </c>
      <c r="I760" t="s">
        <v>3438</v>
      </c>
      <c r="J760" t="s">
        <v>8665</v>
      </c>
      <c r="K760" t="s">
        <v>8666</v>
      </c>
      <c r="L760" t="s">
        <v>8667</v>
      </c>
      <c r="M760" t="s">
        <v>8667</v>
      </c>
      <c r="P760" t="s">
        <v>8668</v>
      </c>
      <c r="R760" t="s">
        <v>8669</v>
      </c>
      <c r="S760" t="s">
        <v>3469</v>
      </c>
    </row>
    <row r="761" spans="1:19" x14ac:dyDescent="0.2">
      <c r="A761" t="str">
        <f t="shared" si="11"/>
        <v>metab_compid_1587</v>
      </c>
      <c r="B761">
        <v>1082</v>
      </c>
      <c r="C761">
        <v>209</v>
      </c>
      <c r="D761">
        <v>1587</v>
      </c>
      <c r="E761">
        <v>126818</v>
      </c>
      <c r="F761" t="s">
        <v>3436</v>
      </c>
      <c r="G761" t="s">
        <v>3498</v>
      </c>
      <c r="H761">
        <v>341</v>
      </c>
      <c r="I761" t="s">
        <v>3438</v>
      </c>
      <c r="J761" t="s">
        <v>4608</v>
      </c>
      <c r="K761" t="s">
        <v>4609</v>
      </c>
      <c r="L761" t="s">
        <v>4610</v>
      </c>
      <c r="M761" t="s">
        <v>4610</v>
      </c>
      <c r="N761" t="s">
        <v>4611</v>
      </c>
      <c r="O761" t="s">
        <v>4612</v>
      </c>
      <c r="P761" t="s">
        <v>4613</v>
      </c>
      <c r="Q761" t="s">
        <v>4614</v>
      </c>
      <c r="R761" t="s">
        <v>4615</v>
      </c>
      <c r="S761" t="s">
        <v>3469</v>
      </c>
    </row>
    <row r="762" spans="1:19" x14ac:dyDescent="0.2">
      <c r="A762" t="str">
        <f t="shared" si="11"/>
        <v>metab_compid_1589</v>
      </c>
      <c r="B762">
        <v>1083</v>
      </c>
      <c r="C762">
        <v>209</v>
      </c>
      <c r="D762">
        <v>1589</v>
      </c>
      <c r="E762">
        <v>124587</v>
      </c>
      <c r="F762" t="s">
        <v>3436</v>
      </c>
      <c r="G762" t="s">
        <v>3603</v>
      </c>
      <c r="H762">
        <v>441</v>
      </c>
      <c r="I762" t="s">
        <v>3438</v>
      </c>
      <c r="J762" t="s">
        <v>4616</v>
      </c>
      <c r="K762" t="s">
        <v>4617</v>
      </c>
      <c r="L762" t="s">
        <v>4618</v>
      </c>
      <c r="M762" t="s">
        <v>4618</v>
      </c>
      <c r="N762" t="s">
        <v>4619</v>
      </c>
      <c r="O762" t="s">
        <v>4620</v>
      </c>
      <c r="P762" t="s">
        <v>4621</v>
      </c>
      <c r="Q762" t="s">
        <v>4622</v>
      </c>
      <c r="R762" t="s">
        <v>4623</v>
      </c>
      <c r="S762" t="s">
        <v>3469</v>
      </c>
    </row>
    <row r="763" spans="1:19" x14ac:dyDescent="0.2">
      <c r="A763" t="str">
        <f t="shared" si="11"/>
        <v>metab_compid_32377</v>
      </c>
      <c r="B763">
        <v>1162</v>
      </c>
      <c r="C763">
        <v>400</v>
      </c>
      <c r="D763">
        <v>32377</v>
      </c>
      <c r="E763">
        <v>155919</v>
      </c>
      <c r="F763" t="s">
        <v>3977</v>
      </c>
      <c r="G763" t="s">
        <v>4806</v>
      </c>
      <c r="H763">
        <v>1436</v>
      </c>
      <c r="I763" t="s">
        <v>3438</v>
      </c>
      <c r="J763" t="s">
        <v>4807</v>
      </c>
      <c r="K763" t="s">
        <v>4808</v>
      </c>
      <c r="L763" t="s">
        <v>4809</v>
      </c>
      <c r="M763" t="s">
        <v>4809</v>
      </c>
      <c r="N763" t="s">
        <v>4810</v>
      </c>
      <c r="O763" t="s">
        <v>4811</v>
      </c>
      <c r="P763" t="s">
        <v>4812</v>
      </c>
      <c r="Q763" t="s">
        <v>4813</v>
      </c>
      <c r="R763" t="s">
        <v>4814</v>
      </c>
      <c r="S763" t="s">
        <v>3458</v>
      </c>
    </row>
    <row r="764" spans="1:19" x14ac:dyDescent="0.2">
      <c r="A764" t="str">
        <f t="shared" si="11"/>
        <v>metab_compid_33950</v>
      </c>
      <c r="B764">
        <v>100001256</v>
      </c>
      <c r="C764">
        <v>209</v>
      </c>
      <c r="D764">
        <v>33950</v>
      </c>
      <c r="E764">
        <v>126109</v>
      </c>
      <c r="F764" t="s">
        <v>3436</v>
      </c>
      <c r="G764" t="s">
        <v>3524</v>
      </c>
      <c r="H764">
        <v>144</v>
      </c>
      <c r="I764" t="s">
        <v>3438</v>
      </c>
      <c r="J764" t="s">
        <v>6043</v>
      </c>
      <c r="K764" t="s">
        <v>6044</v>
      </c>
      <c r="L764" t="s">
        <v>6045</v>
      </c>
      <c r="M764" t="s">
        <v>6045</v>
      </c>
      <c r="N764" t="s">
        <v>6046</v>
      </c>
      <c r="O764" t="s">
        <v>6047</v>
      </c>
      <c r="P764" t="s">
        <v>6048</v>
      </c>
      <c r="Q764" t="s">
        <v>6049</v>
      </c>
      <c r="R764" t="s">
        <v>6050</v>
      </c>
      <c r="S764" t="s">
        <v>3469</v>
      </c>
    </row>
    <row r="765" spans="1:19" x14ac:dyDescent="0.2">
      <c r="A765" t="str">
        <f t="shared" si="11"/>
        <v>metab_compid_34387</v>
      </c>
      <c r="B765">
        <v>100001334</v>
      </c>
      <c r="C765">
        <v>400</v>
      </c>
      <c r="D765">
        <v>34387</v>
      </c>
      <c r="E765">
        <v>156090</v>
      </c>
      <c r="F765" t="s">
        <v>3436</v>
      </c>
      <c r="G765" t="s">
        <v>3661</v>
      </c>
      <c r="H765">
        <v>512</v>
      </c>
      <c r="I765" t="s">
        <v>3438</v>
      </c>
      <c r="J765" t="s">
        <v>6260</v>
      </c>
      <c r="K765" t="s">
        <v>6261</v>
      </c>
      <c r="L765" t="s">
        <v>6262</v>
      </c>
      <c r="M765" t="s">
        <v>6262</v>
      </c>
      <c r="N765" t="s">
        <v>6263</v>
      </c>
      <c r="O765" t="s">
        <v>6264</v>
      </c>
      <c r="P765" t="s">
        <v>6265</v>
      </c>
      <c r="R765" t="s">
        <v>6266</v>
      </c>
      <c r="S765" t="s">
        <v>3458</v>
      </c>
    </row>
    <row r="766" spans="1:19" x14ac:dyDescent="0.2">
      <c r="A766" t="str">
        <f t="shared" si="11"/>
        <v>metab_compid_37496</v>
      </c>
      <c r="B766">
        <v>192</v>
      </c>
      <c r="C766">
        <v>400</v>
      </c>
      <c r="D766">
        <v>37496</v>
      </c>
      <c r="E766">
        <v>156406</v>
      </c>
      <c r="F766" t="s">
        <v>3436</v>
      </c>
      <c r="G766" t="s">
        <v>3437</v>
      </c>
      <c r="H766">
        <v>546</v>
      </c>
      <c r="I766" t="s">
        <v>3438</v>
      </c>
      <c r="J766" t="s">
        <v>3595</v>
      </c>
      <c r="K766" t="s">
        <v>3596</v>
      </c>
      <c r="L766" t="s">
        <v>3597</v>
      </c>
      <c r="M766" t="s">
        <v>3597</v>
      </c>
      <c r="N766" t="s">
        <v>3598</v>
      </c>
      <c r="O766" t="s">
        <v>3599</v>
      </c>
      <c r="P766" t="s">
        <v>3600</v>
      </c>
      <c r="Q766" t="s">
        <v>3601</v>
      </c>
      <c r="R766" t="s">
        <v>3602</v>
      </c>
      <c r="S766" t="s">
        <v>3458</v>
      </c>
    </row>
    <row r="767" spans="1:19" x14ac:dyDescent="0.2">
      <c r="A767" t="str">
        <f t="shared" si="11"/>
        <v>metab_compid_37076</v>
      </c>
      <c r="B767">
        <v>100001851</v>
      </c>
      <c r="C767">
        <v>305</v>
      </c>
      <c r="D767">
        <v>37076</v>
      </c>
      <c r="E767">
        <v>147598</v>
      </c>
      <c r="F767" t="s">
        <v>3436</v>
      </c>
      <c r="G767" t="s">
        <v>3882</v>
      </c>
      <c r="H767">
        <v>11</v>
      </c>
      <c r="I767" t="s">
        <v>3438</v>
      </c>
      <c r="J767" t="s">
        <v>7038</v>
      </c>
      <c r="K767" t="s">
        <v>7039</v>
      </c>
      <c r="L767" t="s">
        <v>7040</v>
      </c>
      <c r="M767" t="s">
        <v>7040</v>
      </c>
      <c r="N767" t="s">
        <v>7041</v>
      </c>
      <c r="O767" t="s">
        <v>7042</v>
      </c>
      <c r="P767" t="s">
        <v>7043</v>
      </c>
      <c r="R767" t="s">
        <v>7044</v>
      </c>
      <c r="S767" t="s">
        <v>3489</v>
      </c>
    </row>
    <row r="768" spans="1:19" x14ac:dyDescent="0.2">
      <c r="A768" t="str">
        <f t="shared" si="11"/>
        <v>metab_compid_48187</v>
      </c>
      <c r="B768">
        <v>100005466</v>
      </c>
      <c r="C768">
        <v>209</v>
      </c>
      <c r="D768">
        <v>48187</v>
      </c>
      <c r="E768">
        <v>153116</v>
      </c>
      <c r="F768" t="s">
        <v>3436</v>
      </c>
      <c r="G768" t="s">
        <v>3603</v>
      </c>
      <c r="H768">
        <v>479</v>
      </c>
      <c r="I768" t="s">
        <v>3438</v>
      </c>
      <c r="J768" t="s">
        <v>8329</v>
      </c>
      <c r="K768" t="s">
        <v>8330</v>
      </c>
      <c r="L768" t="s">
        <v>8331</v>
      </c>
      <c r="M768" t="s">
        <v>8331</v>
      </c>
      <c r="O768" t="s">
        <v>8332</v>
      </c>
      <c r="P768" t="s">
        <v>8333</v>
      </c>
      <c r="R768" t="s">
        <v>8334</v>
      </c>
      <c r="S768" t="s">
        <v>3469</v>
      </c>
    </row>
    <row r="769" spans="1:19" x14ac:dyDescent="0.2">
      <c r="A769" t="str">
        <f t="shared" si="11"/>
        <v>metab_compid_62711</v>
      </c>
      <c r="B769">
        <v>100020514</v>
      </c>
      <c r="C769">
        <v>209</v>
      </c>
      <c r="D769">
        <v>62711</v>
      </c>
      <c r="E769">
        <v>220229</v>
      </c>
      <c r="F769" t="s">
        <v>3863</v>
      </c>
      <c r="G769" t="s">
        <v>3864</v>
      </c>
      <c r="H769">
        <v>5098</v>
      </c>
      <c r="I769" t="s">
        <v>3438</v>
      </c>
      <c r="J769" t="s">
        <v>9785</v>
      </c>
      <c r="K769" t="s">
        <v>9786</v>
      </c>
      <c r="L769" t="s">
        <v>9787</v>
      </c>
      <c r="M769" t="s">
        <v>9787</v>
      </c>
      <c r="S769" t="s">
        <v>3469</v>
      </c>
    </row>
    <row r="770" spans="1:19" x14ac:dyDescent="0.2">
      <c r="A770" t="str">
        <f t="shared" ref="A770:A833" si="12">_xlfn.CONCAT("metab_compid_", $D770)</f>
        <v>metab_compid_33939</v>
      </c>
      <c r="B770">
        <v>100001274</v>
      </c>
      <c r="C770">
        <v>209</v>
      </c>
      <c r="D770">
        <v>33939</v>
      </c>
      <c r="E770">
        <v>126095</v>
      </c>
      <c r="F770" t="s">
        <v>3436</v>
      </c>
      <c r="G770" t="s">
        <v>3882</v>
      </c>
      <c r="H770">
        <v>18</v>
      </c>
      <c r="I770" t="s">
        <v>3438</v>
      </c>
      <c r="J770" t="s">
        <v>6104</v>
      </c>
      <c r="K770" t="s">
        <v>6105</v>
      </c>
      <c r="L770" t="s">
        <v>6106</v>
      </c>
      <c r="M770" t="s">
        <v>6106</v>
      </c>
      <c r="N770" t="s">
        <v>6107</v>
      </c>
      <c r="O770" t="s">
        <v>6108</v>
      </c>
      <c r="P770" t="s">
        <v>6109</v>
      </c>
      <c r="R770" t="s">
        <v>6110</v>
      </c>
      <c r="S770" t="s">
        <v>3469</v>
      </c>
    </row>
    <row r="771" spans="1:19" x14ac:dyDescent="0.2">
      <c r="A771" t="str">
        <f t="shared" si="12"/>
        <v>metab_compid_33959</v>
      </c>
      <c r="B771">
        <v>100001254</v>
      </c>
      <c r="C771">
        <v>209</v>
      </c>
      <c r="D771">
        <v>33959</v>
      </c>
      <c r="E771">
        <v>126119</v>
      </c>
      <c r="F771" t="s">
        <v>3436</v>
      </c>
      <c r="G771" t="s">
        <v>3470</v>
      </c>
      <c r="H771">
        <v>260</v>
      </c>
      <c r="I771" t="s">
        <v>3438</v>
      </c>
      <c r="J771" t="s">
        <v>6035</v>
      </c>
      <c r="K771" t="s">
        <v>6036</v>
      </c>
      <c r="L771" t="s">
        <v>6037</v>
      </c>
      <c r="M771" t="s">
        <v>6037</v>
      </c>
      <c r="N771" t="s">
        <v>6038</v>
      </c>
      <c r="O771" t="s">
        <v>6039</v>
      </c>
      <c r="P771" t="s">
        <v>6040</v>
      </c>
      <c r="Q771" t="s">
        <v>6041</v>
      </c>
      <c r="R771" t="s">
        <v>6042</v>
      </c>
      <c r="S771" t="s">
        <v>3469</v>
      </c>
    </row>
    <row r="772" spans="1:19" x14ac:dyDescent="0.2">
      <c r="A772" t="str">
        <f t="shared" si="12"/>
        <v>metab_compid_32390</v>
      </c>
      <c r="B772">
        <v>100001104</v>
      </c>
      <c r="C772">
        <v>209</v>
      </c>
      <c r="D772">
        <v>32390</v>
      </c>
      <c r="E772">
        <v>125802</v>
      </c>
      <c r="F772" t="s">
        <v>3436</v>
      </c>
      <c r="G772" t="s">
        <v>3687</v>
      </c>
      <c r="H772">
        <v>168</v>
      </c>
      <c r="I772" t="s">
        <v>3438</v>
      </c>
      <c r="J772" t="s">
        <v>5829</v>
      </c>
      <c r="K772" t="s">
        <v>5830</v>
      </c>
      <c r="L772" t="s">
        <v>5831</v>
      </c>
      <c r="M772" t="s">
        <v>5831</v>
      </c>
      <c r="N772" t="s">
        <v>5832</v>
      </c>
      <c r="O772" t="s">
        <v>5833</v>
      </c>
      <c r="P772" t="s">
        <v>5834</v>
      </c>
      <c r="R772" t="s">
        <v>5835</v>
      </c>
      <c r="S772" t="s">
        <v>3469</v>
      </c>
    </row>
    <row r="773" spans="1:19" x14ac:dyDescent="0.2">
      <c r="A773" t="str">
        <f t="shared" si="12"/>
        <v>metab_compid_1591</v>
      </c>
      <c r="B773">
        <v>1084</v>
      </c>
      <c r="C773">
        <v>209</v>
      </c>
      <c r="D773">
        <v>1591</v>
      </c>
      <c r="E773">
        <v>124807</v>
      </c>
      <c r="F773" t="s">
        <v>3436</v>
      </c>
      <c r="G773" t="s">
        <v>3498</v>
      </c>
      <c r="H773">
        <v>422</v>
      </c>
      <c r="I773" t="s">
        <v>3438</v>
      </c>
      <c r="J773" t="s">
        <v>4624</v>
      </c>
      <c r="K773" t="s">
        <v>4625</v>
      </c>
      <c r="L773" t="s">
        <v>4626</v>
      </c>
      <c r="M773" t="s">
        <v>4626</v>
      </c>
      <c r="N773" t="s">
        <v>4627</v>
      </c>
      <c r="O773" t="s">
        <v>4628</v>
      </c>
      <c r="P773" t="s">
        <v>4629</v>
      </c>
      <c r="R773" t="s">
        <v>4630</v>
      </c>
      <c r="S773" t="s">
        <v>3469</v>
      </c>
    </row>
    <row r="774" spans="1:19" x14ac:dyDescent="0.2">
      <c r="A774" t="str">
        <f t="shared" si="12"/>
        <v>metab_compid_57372</v>
      </c>
      <c r="B774">
        <v>100015624</v>
      </c>
      <c r="C774">
        <v>402</v>
      </c>
      <c r="D774">
        <v>57372</v>
      </c>
      <c r="E774">
        <v>210899</v>
      </c>
      <c r="F774" t="s">
        <v>3459</v>
      </c>
      <c r="G774" t="s">
        <v>4998</v>
      </c>
      <c r="H774">
        <v>3052</v>
      </c>
      <c r="I774" t="s">
        <v>3438</v>
      </c>
      <c r="J774" t="s">
        <v>9302</v>
      </c>
      <c r="K774" t="s">
        <v>9303</v>
      </c>
      <c r="L774" t="s">
        <v>9304</v>
      </c>
      <c r="M774" t="s">
        <v>9304</v>
      </c>
      <c r="S774" t="s">
        <v>3447</v>
      </c>
    </row>
    <row r="775" spans="1:19" x14ac:dyDescent="0.2">
      <c r="A775" t="str">
        <f t="shared" si="12"/>
        <v>metab_compid_52340</v>
      </c>
      <c r="B775">
        <v>100006369</v>
      </c>
      <c r="C775">
        <v>400</v>
      </c>
      <c r="D775">
        <v>52340</v>
      </c>
      <c r="E775">
        <v>164887</v>
      </c>
      <c r="F775" t="s">
        <v>3436</v>
      </c>
      <c r="G775" t="s">
        <v>3670</v>
      </c>
      <c r="H775">
        <v>35</v>
      </c>
      <c r="I775" t="s">
        <v>3438</v>
      </c>
      <c r="J775" t="s">
        <v>8641</v>
      </c>
      <c r="K775" t="s">
        <v>8642</v>
      </c>
      <c r="L775" t="s">
        <v>8643</v>
      </c>
      <c r="M775" t="s">
        <v>8643</v>
      </c>
      <c r="N775" t="s">
        <v>8644</v>
      </c>
      <c r="O775" t="s">
        <v>8645</v>
      </c>
      <c r="R775" t="s">
        <v>8646</v>
      </c>
      <c r="S775" t="s">
        <v>3458</v>
      </c>
    </row>
    <row r="776" spans="1:19" x14ac:dyDescent="0.2">
      <c r="A776" t="str">
        <f t="shared" si="12"/>
        <v>metab_compid_43249</v>
      </c>
      <c r="B776">
        <v>100004523</v>
      </c>
      <c r="C776">
        <v>209</v>
      </c>
      <c r="D776">
        <v>43249</v>
      </c>
      <c r="E776">
        <v>124707</v>
      </c>
      <c r="F776" t="s">
        <v>3436</v>
      </c>
      <c r="G776" t="s">
        <v>3661</v>
      </c>
      <c r="H776">
        <v>515</v>
      </c>
      <c r="I776" t="s">
        <v>3438</v>
      </c>
      <c r="J776" t="s">
        <v>8229</v>
      </c>
      <c r="K776" t="s">
        <v>8230</v>
      </c>
      <c r="L776" t="s">
        <v>8231</v>
      </c>
      <c r="M776" t="s">
        <v>8231</v>
      </c>
      <c r="O776" t="s">
        <v>8232</v>
      </c>
      <c r="P776" t="s">
        <v>8233</v>
      </c>
      <c r="Q776" t="s">
        <v>8234</v>
      </c>
      <c r="R776" t="s">
        <v>8235</v>
      </c>
      <c r="S776" t="s">
        <v>3469</v>
      </c>
    </row>
    <row r="777" spans="1:19" x14ac:dyDescent="0.2">
      <c r="A777" t="str">
        <f t="shared" si="12"/>
        <v>metab_compid_62484</v>
      </c>
      <c r="B777">
        <v>100020805</v>
      </c>
      <c r="C777">
        <v>402</v>
      </c>
      <c r="D777">
        <v>62484</v>
      </c>
      <c r="E777">
        <v>219752</v>
      </c>
      <c r="F777" t="s">
        <v>3863</v>
      </c>
      <c r="G777" t="s">
        <v>4933</v>
      </c>
      <c r="H777">
        <v>5922</v>
      </c>
      <c r="I777" t="s">
        <v>3438</v>
      </c>
      <c r="J777" t="s">
        <v>9860</v>
      </c>
      <c r="K777" t="s">
        <v>9861</v>
      </c>
      <c r="L777" t="s">
        <v>9862</v>
      </c>
      <c r="M777" t="s">
        <v>9862</v>
      </c>
      <c r="O777" t="s">
        <v>9863</v>
      </c>
      <c r="R777" t="s">
        <v>9864</v>
      </c>
      <c r="S777" t="s">
        <v>3447</v>
      </c>
    </row>
    <row r="778" spans="1:19" x14ac:dyDescent="0.2">
      <c r="A778" t="str">
        <f t="shared" si="12"/>
        <v>metab_compid_33080</v>
      </c>
      <c r="B778">
        <v>100001539</v>
      </c>
      <c r="C778">
        <v>400</v>
      </c>
      <c r="D778">
        <v>33080</v>
      </c>
      <c r="E778">
        <v>156000</v>
      </c>
      <c r="F778" t="s">
        <v>3863</v>
      </c>
      <c r="G778" t="s">
        <v>4942</v>
      </c>
      <c r="H778">
        <v>5452</v>
      </c>
      <c r="I778" t="s">
        <v>3438</v>
      </c>
      <c r="J778" t="s">
        <v>6572</v>
      </c>
      <c r="K778" t="s">
        <v>6573</v>
      </c>
      <c r="L778" t="s">
        <v>6574</v>
      </c>
      <c r="M778" t="s">
        <v>6574</v>
      </c>
      <c r="N778" t="s">
        <v>6575</v>
      </c>
      <c r="O778" t="s">
        <v>6576</v>
      </c>
      <c r="P778" t="s">
        <v>6577</v>
      </c>
      <c r="Q778" t="s">
        <v>6578</v>
      </c>
      <c r="R778" t="s">
        <v>6579</v>
      </c>
      <c r="S778" t="s">
        <v>3458</v>
      </c>
    </row>
    <row r="779" spans="1:19" x14ac:dyDescent="0.2">
      <c r="A779" t="str">
        <f t="shared" si="12"/>
        <v>metab_compid_43549</v>
      </c>
      <c r="B779">
        <v>100004561</v>
      </c>
      <c r="C779">
        <v>305</v>
      </c>
      <c r="D779">
        <v>43549</v>
      </c>
      <c r="E779">
        <v>211420</v>
      </c>
      <c r="F779" t="s">
        <v>3436</v>
      </c>
      <c r="G779" t="s">
        <v>3470</v>
      </c>
      <c r="H779">
        <v>279</v>
      </c>
      <c r="I779" t="s">
        <v>3438</v>
      </c>
      <c r="J779" t="s">
        <v>8250</v>
      </c>
      <c r="K779" t="s">
        <v>8251</v>
      </c>
      <c r="L779" t="s">
        <v>8252</v>
      </c>
      <c r="M779" t="s">
        <v>8252</v>
      </c>
      <c r="N779" t="s">
        <v>8253</v>
      </c>
      <c r="O779" t="s">
        <v>8254</v>
      </c>
      <c r="P779" t="s">
        <v>8255</v>
      </c>
      <c r="Q779" t="s">
        <v>8256</v>
      </c>
      <c r="R779" t="s">
        <v>8257</v>
      </c>
      <c r="S779" t="s">
        <v>3489</v>
      </c>
    </row>
    <row r="780" spans="1:19" x14ac:dyDescent="0.2">
      <c r="A780" t="str">
        <f t="shared" si="12"/>
        <v>metab_compid_2829</v>
      </c>
      <c r="B780">
        <v>194</v>
      </c>
      <c r="C780">
        <v>209</v>
      </c>
      <c r="D780">
        <v>2829</v>
      </c>
      <c r="E780">
        <v>124831</v>
      </c>
      <c r="F780" t="s">
        <v>3436</v>
      </c>
      <c r="G780" t="s">
        <v>3603</v>
      </c>
      <c r="H780">
        <v>443</v>
      </c>
      <c r="I780" t="s">
        <v>3438</v>
      </c>
      <c r="J780" t="s">
        <v>3604</v>
      </c>
      <c r="K780" t="s">
        <v>3605</v>
      </c>
      <c r="L780" t="s">
        <v>3606</v>
      </c>
      <c r="M780" t="s">
        <v>3606</v>
      </c>
      <c r="N780" t="s">
        <v>3607</v>
      </c>
      <c r="O780" t="s">
        <v>3608</v>
      </c>
      <c r="P780" t="s">
        <v>3609</v>
      </c>
      <c r="Q780" t="s">
        <v>3610</v>
      </c>
      <c r="R780" t="s">
        <v>3611</v>
      </c>
      <c r="S780" t="s">
        <v>3469</v>
      </c>
    </row>
    <row r="781" spans="1:19" x14ac:dyDescent="0.2">
      <c r="A781" t="str">
        <f t="shared" si="12"/>
        <v>metab_compid_48433</v>
      </c>
      <c r="B781">
        <v>100006056</v>
      </c>
      <c r="C781">
        <v>209</v>
      </c>
      <c r="D781">
        <v>48433</v>
      </c>
      <c r="E781">
        <v>155077</v>
      </c>
      <c r="F781" t="s">
        <v>3436</v>
      </c>
      <c r="G781" t="s">
        <v>3687</v>
      </c>
      <c r="H781">
        <v>232</v>
      </c>
      <c r="I781" t="s">
        <v>3438</v>
      </c>
      <c r="J781" t="s">
        <v>8417</v>
      </c>
      <c r="K781" t="s">
        <v>8418</v>
      </c>
      <c r="L781" t="s">
        <v>8419</v>
      </c>
      <c r="M781" t="s">
        <v>8419</v>
      </c>
      <c r="N781" t="s">
        <v>8420</v>
      </c>
      <c r="O781" t="s">
        <v>8421</v>
      </c>
      <c r="P781" t="s">
        <v>8422</v>
      </c>
      <c r="R781" t="s">
        <v>8423</v>
      </c>
      <c r="S781" t="s">
        <v>3469</v>
      </c>
    </row>
    <row r="782" spans="1:19" x14ac:dyDescent="0.2">
      <c r="A782" t="str">
        <f t="shared" si="12"/>
        <v>metab_compid_64879</v>
      </c>
      <c r="B782">
        <v>100022479</v>
      </c>
      <c r="C782">
        <v>209</v>
      </c>
      <c r="D782">
        <v>64879</v>
      </c>
      <c r="E782">
        <v>240090</v>
      </c>
      <c r="F782" t="s">
        <v>3436</v>
      </c>
      <c r="G782" t="s">
        <v>10277</v>
      </c>
      <c r="H782">
        <v>641</v>
      </c>
      <c r="I782" t="s">
        <v>3438</v>
      </c>
      <c r="K782" t="s">
        <v>10278</v>
      </c>
      <c r="L782" t="s">
        <v>10279</v>
      </c>
      <c r="M782" t="s">
        <v>10279</v>
      </c>
      <c r="N782" t="s">
        <v>10280</v>
      </c>
      <c r="S782" t="s">
        <v>3469</v>
      </c>
    </row>
    <row r="783" spans="1:19" x14ac:dyDescent="0.2">
      <c r="A783" t="str">
        <f t="shared" si="12"/>
        <v>metab_compid_64880</v>
      </c>
      <c r="B783">
        <v>100022480</v>
      </c>
      <c r="C783">
        <v>209</v>
      </c>
      <c r="D783">
        <v>64880</v>
      </c>
      <c r="E783">
        <v>240091</v>
      </c>
      <c r="F783" t="s">
        <v>3436</v>
      </c>
      <c r="G783" t="s">
        <v>10277</v>
      </c>
      <c r="H783">
        <v>642</v>
      </c>
      <c r="I783" t="s">
        <v>3438</v>
      </c>
      <c r="K783" t="s">
        <v>10281</v>
      </c>
      <c r="L783" t="s">
        <v>10282</v>
      </c>
      <c r="M783" t="s">
        <v>10282</v>
      </c>
      <c r="N783" t="s">
        <v>10283</v>
      </c>
      <c r="S783" t="s">
        <v>3469</v>
      </c>
    </row>
    <row r="784" spans="1:19" x14ac:dyDescent="0.2">
      <c r="A784" t="str">
        <f t="shared" si="12"/>
        <v>metab_compid_64881</v>
      </c>
      <c r="B784">
        <v>100022482</v>
      </c>
      <c r="C784">
        <v>209</v>
      </c>
      <c r="D784">
        <v>64881</v>
      </c>
      <c r="E784">
        <v>240092</v>
      </c>
      <c r="F784" t="s">
        <v>3436</v>
      </c>
      <c r="G784" t="s">
        <v>10277</v>
      </c>
      <c r="H784">
        <v>644</v>
      </c>
      <c r="I784" t="s">
        <v>3438</v>
      </c>
      <c r="K784" t="s">
        <v>10284</v>
      </c>
      <c r="L784" t="s">
        <v>10285</v>
      </c>
      <c r="M784" t="s">
        <v>10285</v>
      </c>
      <c r="N784" t="s">
        <v>10286</v>
      </c>
      <c r="S784" t="s">
        <v>3469</v>
      </c>
    </row>
    <row r="785" spans="1:19" x14ac:dyDescent="0.2">
      <c r="A785" t="str">
        <f t="shared" si="12"/>
        <v>metab_compid_64882</v>
      </c>
      <c r="B785">
        <v>100022484</v>
      </c>
      <c r="C785">
        <v>209</v>
      </c>
      <c r="D785">
        <v>64882</v>
      </c>
      <c r="E785">
        <v>240093</v>
      </c>
      <c r="F785" t="s">
        <v>3436</v>
      </c>
      <c r="G785" t="s">
        <v>10277</v>
      </c>
      <c r="H785">
        <v>645</v>
      </c>
      <c r="I785" t="s">
        <v>3438</v>
      </c>
      <c r="K785" t="s">
        <v>10287</v>
      </c>
      <c r="L785" t="s">
        <v>10288</v>
      </c>
      <c r="M785" t="s">
        <v>10288</v>
      </c>
      <c r="N785" t="s">
        <v>10289</v>
      </c>
      <c r="S785" t="s">
        <v>3469</v>
      </c>
    </row>
    <row r="786" spans="1:19" x14ac:dyDescent="0.2">
      <c r="A786" t="str">
        <f t="shared" si="12"/>
        <v>metab_compid_64883</v>
      </c>
      <c r="B786">
        <v>100022485</v>
      </c>
      <c r="C786">
        <v>209</v>
      </c>
      <c r="D786">
        <v>64883</v>
      </c>
      <c r="E786">
        <v>240094</v>
      </c>
      <c r="F786" t="s">
        <v>3436</v>
      </c>
      <c r="G786" t="s">
        <v>10277</v>
      </c>
      <c r="H786">
        <v>646</v>
      </c>
      <c r="I786" t="s">
        <v>3438</v>
      </c>
      <c r="K786" t="s">
        <v>10290</v>
      </c>
      <c r="L786" t="s">
        <v>10291</v>
      </c>
      <c r="M786" t="s">
        <v>10291</v>
      </c>
      <c r="N786" t="s">
        <v>10292</v>
      </c>
      <c r="S786" t="s">
        <v>3469</v>
      </c>
    </row>
    <row r="787" spans="1:19" x14ac:dyDescent="0.2">
      <c r="A787" t="str">
        <f t="shared" si="12"/>
        <v>metab_compid_32462</v>
      </c>
      <c r="B787">
        <v>1506</v>
      </c>
      <c r="C787">
        <v>209</v>
      </c>
      <c r="D787">
        <v>32462</v>
      </c>
      <c r="E787">
        <v>143855</v>
      </c>
      <c r="F787" t="s">
        <v>3459</v>
      </c>
      <c r="G787" t="s">
        <v>4991</v>
      </c>
      <c r="H787">
        <v>1845</v>
      </c>
      <c r="I787" t="s">
        <v>3438</v>
      </c>
      <c r="J787" t="s">
        <v>4992</v>
      </c>
      <c r="K787" t="s">
        <v>4993</v>
      </c>
      <c r="L787" t="s">
        <v>4994</v>
      </c>
      <c r="M787" t="s">
        <v>4994</v>
      </c>
      <c r="N787" t="s">
        <v>4995</v>
      </c>
      <c r="O787" t="s">
        <v>4996</v>
      </c>
      <c r="R787" t="s">
        <v>4997</v>
      </c>
      <c r="S787" t="s">
        <v>3469</v>
      </c>
    </row>
    <row r="788" spans="1:19" x14ac:dyDescent="0.2">
      <c r="A788" t="str">
        <f t="shared" si="12"/>
        <v>metab_compid_61823</v>
      </c>
      <c r="B788">
        <v>100019958</v>
      </c>
      <c r="C788">
        <v>209</v>
      </c>
      <c r="D788">
        <v>61823</v>
      </c>
      <c r="E788">
        <v>218243</v>
      </c>
      <c r="F788" t="s">
        <v>3459</v>
      </c>
      <c r="G788" t="s">
        <v>9595</v>
      </c>
      <c r="H788">
        <v>1755</v>
      </c>
      <c r="I788" t="s">
        <v>3438</v>
      </c>
      <c r="J788" t="s">
        <v>9596</v>
      </c>
      <c r="K788" t="s">
        <v>9597</v>
      </c>
      <c r="L788" t="s">
        <v>9598</v>
      </c>
      <c r="M788" t="s">
        <v>9598</v>
      </c>
      <c r="S788" t="s">
        <v>3469</v>
      </c>
    </row>
    <row r="789" spans="1:19" x14ac:dyDescent="0.2">
      <c r="A789" t="str">
        <f t="shared" si="12"/>
        <v>metab_compid_62068</v>
      </c>
      <c r="B789">
        <v>100020215</v>
      </c>
      <c r="C789">
        <v>400</v>
      </c>
      <c r="D789">
        <v>62068</v>
      </c>
      <c r="E789">
        <v>218877</v>
      </c>
      <c r="F789" t="s">
        <v>3436</v>
      </c>
      <c r="G789" t="s">
        <v>3661</v>
      </c>
      <c r="H789">
        <v>519</v>
      </c>
      <c r="I789" t="s">
        <v>3438</v>
      </c>
      <c r="J789" t="s">
        <v>9669</v>
      </c>
      <c r="K789" t="s">
        <v>9670</v>
      </c>
      <c r="L789" t="s">
        <v>9671</v>
      </c>
      <c r="M789" t="s">
        <v>9671</v>
      </c>
      <c r="R789" t="s">
        <v>9672</v>
      </c>
      <c r="S789" t="s">
        <v>3458</v>
      </c>
    </row>
    <row r="790" spans="1:19" x14ac:dyDescent="0.2">
      <c r="A790" t="str">
        <f t="shared" si="12"/>
        <v>metab_compid_47101</v>
      </c>
      <c r="B790">
        <v>100005383</v>
      </c>
      <c r="C790">
        <v>400</v>
      </c>
      <c r="D790">
        <v>47101</v>
      </c>
      <c r="E790">
        <v>157354</v>
      </c>
      <c r="F790" t="s">
        <v>3863</v>
      </c>
      <c r="G790" t="s">
        <v>8265</v>
      </c>
      <c r="H790">
        <v>5352</v>
      </c>
      <c r="I790" t="s">
        <v>3438</v>
      </c>
      <c r="J790" t="s">
        <v>8301</v>
      </c>
      <c r="K790" t="s">
        <v>8302</v>
      </c>
      <c r="L790" t="s">
        <v>8303</v>
      </c>
      <c r="M790" t="s">
        <v>8303</v>
      </c>
      <c r="N790" t="s">
        <v>8304</v>
      </c>
      <c r="O790" t="s">
        <v>8305</v>
      </c>
      <c r="R790" t="s">
        <v>8306</v>
      </c>
      <c r="S790" t="s">
        <v>3458</v>
      </c>
    </row>
    <row r="791" spans="1:19" x14ac:dyDescent="0.2">
      <c r="A791" t="str">
        <f t="shared" si="12"/>
        <v>metab_compid_37431</v>
      </c>
      <c r="B791">
        <v>100001956</v>
      </c>
      <c r="C791">
        <v>400</v>
      </c>
      <c r="D791">
        <v>37431</v>
      </c>
      <c r="E791">
        <v>156358</v>
      </c>
      <c r="F791" t="s">
        <v>3436</v>
      </c>
      <c r="G791" t="s">
        <v>3661</v>
      </c>
      <c r="H791">
        <v>525</v>
      </c>
      <c r="I791" t="s">
        <v>3438</v>
      </c>
      <c r="J791" t="s">
        <v>7111</v>
      </c>
      <c r="K791" t="s">
        <v>7112</v>
      </c>
      <c r="L791" t="s">
        <v>7113</v>
      </c>
      <c r="M791" t="s">
        <v>7113</v>
      </c>
      <c r="N791" t="s">
        <v>7114</v>
      </c>
      <c r="O791" t="s">
        <v>7115</v>
      </c>
      <c r="P791" t="s">
        <v>7116</v>
      </c>
      <c r="R791" t="s">
        <v>7117</v>
      </c>
      <c r="S791" t="s">
        <v>3458</v>
      </c>
    </row>
    <row r="792" spans="1:19" x14ac:dyDescent="0.2">
      <c r="A792" t="str">
        <f t="shared" si="12"/>
        <v>metab_compid_42989</v>
      </c>
      <c r="B792">
        <v>100004056</v>
      </c>
      <c r="C792">
        <v>305</v>
      </c>
      <c r="D792">
        <v>42989</v>
      </c>
      <c r="E792">
        <v>180877</v>
      </c>
      <c r="F792" t="s">
        <v>3436</v>
      </c>
      <c r="G792" t="s">
        <v>3603</v>
      </c>
      <c r="H792">
        <v>478</v>
      </c>
      <c r="I792" t="s">
        <v>3438</v>
      </c>
      <c r="J792" t="s">
        <v>8034</v>
      </c>
      <c r="K792" t="s">
        <v>8035</v>
      </c>
      <c r="L792" t="s">
        <v>8036</v>
      </c>
      <c r="M792" t="s">
        <v>8036</v>
      </c>
      <c r="N792" t="s">
        <v>8037</v>
      </c>
      <c r="O792" t="s">
        <v>8038</v>
      </c>
      <c r="R792" t="s">
        <v>8039</v>
      </c>
      <c r="S792" t="s">
        <v>3489</v>
      </c>
    </row>
    <row r="793" spans="1:19" x14ac:dyDescent="0.2">
      <c r="A793" t="str">
        <f t="shared" si="12"/>
        <v>metab_compid_57442</v>
      </c>
      <c r="B793">
        <v>100015699</v>
      </c>
      <c r="C793">
        <v>402</v>
      </c>
      <c r="D793">
        <v>57442</v>
      </c>
      <c r="E793">
        <v>211096</v>
      </c>
      <c r="F793" t="s">
        <v>3459</v>
      </c>
      <c r="G793" t="s">
        <v>4998</v>
      </c>
      <c r="H793">
        <v>3053</v>
      </c>
      <c r="I793" t="s">
        <v>3438</v>
      </c>
      <c r="J793" t="s">
        <v>9346</v>
      </c>
      <c r="K793" t="s">
        <v>9347</v>
      </c>
      <c r="L793" t="s">
        <v>9348</v>
      </c>
      <c r="M793" t="s">
        <v>9348</v>
      </c>
      <c r="S793" t="s">
        <v>3447</v>
      </c>
    </row>
    <row r="794" spans="1:19" x14ac:dyDescent="0.2">
      <c r="A794" t="str">
        <f t="shared" si="12"/>
        <v>metab_compid_57664</v>
      </c>
      <c r="B794">
        <v>100015641</v>
      </c>
      <c r="C794">
        <v>209</v>
      </c>
      <c r="D794">
        <v>57664</v>
      </c>
      <c r="E794">
        <v>212727</v>
      </c>
      <c r="F794" t="s">
        <v>3459</v>
      </c>
      <c r="G794" t="s">
        <v>4774</v>
      </c>
      <c r="H794">
        <v>2214</v>
      </c>
      <c r="I794" t="s">
        <v>3438</v>
      </c>
      <c r="J794" t="s">
        <v>9330</v>
      </c>
      <c r="K794" t="s">
        <v>9331</v>
      </c>
      <c r="L794" t="s">
        <v>9332</v>
      </c>
      <c r="M794" t="s">
        <v>9332</v>
      </c>
      <c r="O794" t="s">
        <v>9333</v>
      </c>
      <c r="R794" t="s">
        <v>9334</v>
      </c>
      <c r="S794" t="s">
        <v>3469</v>
      </c>
    </row>
    <row r="795" spans="1:19" x14ac:dyDescent="0.2">
      <c r="A795" t="str">
        <f t="shared" si="12"/>
        <v>metab_compid_39732</v>
      </c>
      <c r="B795">
        <v>100003119</v>
      </c>
      <c r="C795">
        <v>209</v>
      </c>
      <c r="D795">
        <v>39732</v>
      </c>
      <c r="E795">
        <v>143757</v>
      </c>
      <c r="F795" t="s">
        <v>3459</v>
      </c>
      <c r="G795" t="s">
        <v>4774</v>
      </c>
      <c r="H795">
        <v>2190</v>
      </c>
      <c r="I795" t="s">
        <v>3438</v>
      </c>
      <c r="J795" t="s">
        <v>7815</v>
      </c>
      <c r="K795" t="s">
        <v>7816</v>
      </c>
      <c r="L795" t="s">
        <v>7817</v>
      </c>
      <c r="M795" t="s">
        <v>7817</v>
      </c>
      <c r="N795" t="s">
        <v>7818</v>
      </c>
      <c r="O795" t="s">
        <v>7819</v>
      </c>
      <c r="R795" t="s">
        <v>7820</v>
      </c>
      <c r="S795" t="s">
        <v>3469</v>
      </c>
    </row>
    <row r="796" spans="1:19" x14ac:dyDescent="0.2">
      <c r="A796" t="str">
        <f t="shared" si="12"/>
        <v>metab_compid_57416</v>
      </c>
      <c r="B796">
        <v>100015609</v>
      </c>
      <c r="C796">
        <v>402</v>
      </c>
      <c r="D796">
        <v>57416</v>
      </c>
      <c r="E796">
        <v>211068</v>
      </c>
      <c r="F796" t="s">
        <v>3459</v>
      </c>
      <c r="G796" t="s">
        <v>4998</v>
      </c>
      <c r="H796">
        <v>3050</v>
      </c>
      <c r="I796" t="s">
        <v>3438</v>
      </c>
      <c r="J796" t="s">
        <v>9287</v>
      </c>
      <c r="K796" t="s">
        <v>9288</v>
      </c>
      <c r="L796" t="s">
        <v>9289</v>
      </c>
      <c r="M796" t="s">
        <v>9289</v>
      </c>
      <c r="P796" t="s">
        <v>9290</v>
      </c>
      <c r="S796" t="s">
        <v>3447</v>
      </c>
    </row>
    <row r="797" spans="1:19" x14ac:dyDescent="0.2">
      <c r="A797" t="str">
        <f t="shared" si="12"/>
        <v>metab_compid_52604</v>
      </c>
      <c r="B797">
        <v>100009028</v>
      </c>
      <c r="C797">
        <v>402</v>
      </c>
      <c r="D797">
        <v>52604</v>
      </c>
      <c r="E797">
        <v>165334</v>
      </c>
      <c r="F797" t="s">
        <v>3459</v>
      </c>
      <c r="G797" t="s">
        <v>4463</v>
      </c>
      <c r="H797">
        <v>3028</v>
      </c>
      <c r="I797" t="s">
        <v>3438</v>
      </c>
      <c r="J797" t="s">
        <v>9020</v>
      </c>
      <c r="K797" t="s">
        <v>9021</v>
      </c>
      <c r="L797" t="s">
        <v>9022</v>
      </c>
      <c r="M797" t="s">
        <v>9022</v>
      </c>
      <c r="N797" t="s">
        <v>9023</v>
      </c>
      <c r="O797" t="s">
        <v>9024</v>
      </c>
      <c r="P797" t="s">
        <v>9025</v>
      </c>
      <c r="R797" t="s">
        <v>9026</v>
      </c>
      <c r="S797" t="s">
        <v>3447</v>
      </c>
    </row>
    <row r="798" spans="1:19" x14ac:dyDescent="0.2">
      <c r="A798" t="str">
        <f t="shared" si="12"/>
        <v>metab_compid_44877</v>
      </c>
      <c r="B798">
        <v>1518</v>
      </c>
      <c r="C798">
        <v>402</v>
      </c>
      <c r="D798">
        <v>44877</v>
      </c>
      <c r="E798">
        <v>164219</v>
      </c>
      <c r="F798" t="s">
        <v>3459</v>
      </c>
      <c r="G798" t="s">
        <v>4998</v>
      </c>
      <c r="H798">
        <v>3040</v>
      </c>
      <c r="I798" t="s">
        <v>3438</v>
      </c>
      <c r="J798" t="s">
        <v>4999</v>
      </c>
      <c r="K798" t="s">
        <v>5000</v>
      </c>
      <c r="L798" t="s">
        <v>5001</v>
      </c>
      <c r="M798" t="s">
        <v>5001</v>
      </c>
      <c r="N798" t="s">
        <v>5002</v>
      </c>
      <c r="O798" t="s">
        <v>5003</v>
      </c>
      <c r="P798" t="s">
        <v>5004</v>
      </c>
      <c r="R798" t="s">
        <v>5005</v>
      </c>
      <c r="S798" t="s">
        <v>3447</v>
      </c>
    </row>
    <row r="799" spans="1:19" x14ac:dyDescent="0.2">
      <c r="A799" t="str">
        <f t="shared" si="12"/>
        <v>metab_compid_42092</v>
      </c>
      <c r="B799">
        <v>100003686</v>
      </c>
      <c r="C799">
        <v>209</v>
      </c>
      <c r="D799">
        <v>42092</v>
      </c>
      <c r="E799">
        <v>143937</v>
      </c>
      <c r="F799" t="s">
        <v>3459</v>
      </c>
      <c r="G799" t="s">
        <v>4991</v>
      </c>
      <c r="H799">
        <v>1841</v>
      </c>
      <c r="I799" t="s">
        <v>3438</v>
      </c>
      <c r="J799" t="s">
        <v>7966</v>
      </c>
      <c r="K799" t="s">
        <v>7967</v>
      </c>
      <c r="L799" t="s">
        <v>7968</v>
      </c>
      <c r="M799" t="s">
        <v>7968</v>
      </c>
      <c r="N799" t="s">
        <v>7969</v>
      </c>
      <c r="O799" t="s">
        <v>7970</v>
      </c>
      <c r="P799" t="s">
        <v>7971</v>
      </c>
      <c r="R799" t="s">
        <v>7972</v>
      </c>
      <c r="S799" t="s">
        <v>3469</v>
      </c>
    </row>
    <row r="800" spans="1:19" x14ac:dyDescent="0.2">
      <c r="A800" t="str">
        <f t="shared" si="12"/>
        <v>metab_compid_57659</v>
      </c>
      <c r="B800">
        <v>100015640</v>
      </c>
      <c r="C800">
        <v>209</v>
      </c>
      <c r="D800">
        <v>57659</v>
      </c>
      <c r="E800">
        <v>212717</v>
      </c>
      <c r="F800" t="s">
        <v>3459</v>
      </c>
      <c r="G800" t="s">
        <v>4774</v>
      </c>
      <c r="H800">
        <v>2216</v>
      </c>
      <c r="I800" t="s">
        <v>3438</v>
      </c>
      <c r="J800" t="s">
        <v>9324</v>
      </c>
      <c r="K800" t="s">
        <v>9325</v>
      </c>
      <c r="L800" t="s">
        <v>9326</v>
      </c>
      <c r="M800" t="s">
        <v>9326</v>
      </c>
      <c r="N800" t="s">
        <v>9327</v>
      </c>
      <c r="O800" t="s">
        <v>9328</v>
      </c>
      <c r="R800" t="s">
        <v>9329</v>
      </c>
      <c r="S800" t="s">
        <v>3469</v>
      </c>
    </row>
    <row r="801" spans="1:19" x14ac:dyDescent="0.2">
      <c r="A801" t="str">
        <f t="shared" si="12"/>
        <v>metab_compid_39835</v>
      </c>
      <c r="B801">
        <v>100003239</v>
      </c>
      <c r="C801">
        <v>209</v>
      </c>
      <c r="D801">
        <v>39835</v>
      </c>
      <c r="E801">
        <v>141954</v>
      </c>
      <c r="F801" t="s">
        <v>3459</v>
      </c>
      <c r="G801" t="s">
        <v>4774</v>
      </c>
      <c r="H801">
        <v>2192</v>
      </c>
      <c r="I801" t="s">
        <v>3438</v>
      </c>
      <c r="J801" t="s">
        <v>7843</v>
      </c>
      <c r="K801" t="s">
        <v>7844</v>
      </c>
      <c r="L801" t="s">
        <v>7845</v>
      </c>
      <c r="M801" t="s">
        <v>7845</v>
      </c>
      <c r="N801" t="s">
        <v>7846</v>
      </c>
      <c r="O801" t="s">
        <v>7847</v>
      </c>
      <c r="R801" t="s">
        <v>7848</v>
      </c>
      <c r="S801" t="s">
        <v>3469</v>
      </c>
    </row>
    <row r="802" spans="1:19" x14ac:dyDescent="0.2">
      <c r="A802" t="str">
        <f t="shared" si="12"/>
        <v>metab_compid_57417</v>
      </c>
      <c r="B802">
        <v>100015632</v>
      </c>
      <c r="C802">
        <v>402</v>
      </c>
      <c r="D802">
        <v>57417</v>
      </c>
      <c r="E802">
        <v>211069</v>
      </c>
      <c r="F802" t="s">
        <v>3459</v>
      </c>
      <c r="G802" t="s">
        <v>4998</v>
      </c>
      <c r="H802">
        <v>3051</v>
      </c>
      <c r="I802" t="s">
        <v>3438</v>
      </c>
      <c r="J802" t="s">
        <v>9308</v>
      </c>
      <c r="K802" t="s">
        <v>9309</v>
      </c>
      <c r="L802" t="s">
        <v>9310</v>
      </c>
      <c r="M802" t="s">
        <v>9310</v>
      </c>
      <c r="P802" t="s">
        <v>9311</v>
      </c>
      <c r="R802" t="s">
        <v>9312</v>
      </c>
      <c r="S802" t="s">
        <v>3447</v>
      </c>
    </row>
    <row r="803" spans="1:19" x14ac:dyDescent="0.2">
      <c r="A803" t="str">
        <f t="shared" si="12"/>
        <v>metab_compid_1759</v>
      </c>
      <c r="B803">
        <v>922</v>
      </c>
      <c r="C803">
        <v>402</v>
      </c>
      <c r="D803">
        <v>1759</v>
      </c>
      <c r="E803">
        <v>211070</v>
      </c>
      <c r="F803" t="s">
        <v>3459</v>
      </c>
      <c r="G803" t="s">
        <v>4463</v>
      </c>
      <c r="H803">
        <v>3031</v>
      </c>
      <c r="I803" t="s">
        <v>3438</v>
      </c>
      <c r="J803" t="s">
        <v>4464</v>
      </c>
      <c r="K803" t="s">
        <v>4465</v>
      </c>
      <c r="L803" t="s">
        <v>4466</v>
      </c>
      <c r="M803" t="s">
        <v>4466</v>
      </c>
      <c r="N803" t="s">
        <v>4467</v>
      </c>
      <c r="O803" t="s">
        <v>4468</v>
      </c>
      <c r="P803" t="s">
        <v>4469</v>
      </c>
      <c r="R803" t="s">
        <v>4470</v>
      </c>
      <c r="S803" t="s">
        <v>3447</v>
      </c>
    </row>
    <row r="804" spans="1:19" x14ac:dyDescent="0.2">
      <c r="A804" t="str">
        <f t="shared" si="12"/>
        <v>metab_compid_54979</v>
      </c>
      <c r="B804">
        <v>1547</v>
      </c>
      <c r="C804">
        <v>402</v>
      </c>
      <c r="D804">
        <v>54979</v>
      </c>
      <c r="E804">
        <v>208064</v>
      </c>
      <c r="F804" t="s">
        <v>3459</v>
      </c>
      <c r="G804" t="s">
        <v>4998</v>
      </c>
      <c r="H804">
        <v>3044</v>
      </c>
      <c r="I804" t="s">
        <v>3438</v>
      </c>
      <c r="J804" t="s">
        <v>5045</v>
      </c>
      <c r="K804" t="s">
        <v>5046</v>
      </c>
      <c r="L804" t="s">
        <v>5047</v>
      </c>
      <c r="M804" t="s">
        <v>5047</v>
      </c>
      <c r="N804" t="s">
        <v>5048</v>
      </c>
      <c r="O804" t="s">
        <v>5049</v>
      </c>
      <c r="P804" t="s">
        <v>5050</v>
      </c>
      <c r="R804" t="s">
        <v>5051</v>
      </c>
      <c r="S804" t="s">
        <v>3447</v>
      </c>
    </row>
    <row r="805" spans="1:19" x14ac:dyDescent="0.2">
      <c r="A805" t="str">
        <f t="shared" si="12"/>
        <v>metab_compid_61822</v>
      </c>
      <c r="B805">
        <v>100019957</v>
      </c>
      <c r="C805">
        <v>209</v>
      </c>
      <c r="D805">
        <v>61822</v>
      </c>
      <c r="E805">
        <v>218242</v>
      </c>
      <c r="F805" t="s">
        <v>3459</v>
      </c>
      <c r="G805" t="s">
        <v>4774</v>
      </c>
      <c r="H805">
        <v>2215</v>
      </c>
      <c r="I805" t="s">
        <v>3438</v>
      </c>
      <c r="J805" t="s">
        <v>9591</v>
      </c>
      <c r="K805" t="s">
        <v>9592</v>
      </c>
      <c r="L805" t="s">
        <v>9593</v>
      </c>
      <c r="M805" t="s">
        <v>9593</v>
      </c>
      <c r="O805" t="s">
        <v>9594</v>
      </c>
      <c r="S805" t="s">
        <v>3469</v>
      </c>
    </row>
    <row r="806" spans="1:19" x14ac:dyDescent="0.2">
      <c r="A806" t="str">
        <f t="shared" si="12"/>
        <v>metab_compid_39730</v>
      </c>
      <c r="B806">
        <v>100003240</v>
      </c>
      <c r="C806">
        <v>209</v>
      </c>
      <c r="D806">
        <v>39730</v>
      </c>
      <c r="E806">
        <v>143759</v>
      </c>
      <c r="F806" t="s">
        <v>3459</v>
      </c>
      <c r="G806" t="s">
        <v>4774</v>
      </c>
      <c r="H806">
        <v>2191</v>
      </c>
      <c r="I806" t="s">
        <v>3438</v>
      </c>
      <c r="J806" t="s">
        <v>7849</v>
      </c>
      <c r="K806" t="s">
        <v>7850</v>
      </c>
      <c r="L806" t="s">
        <v>7851</v>
      </c>
      <c r="M806" t="s">
        <v>7851</v>
      </c>
      <c r="N806" t="s">
        <v>7852</v>
      </c>
      <c r="O806" t="s">
        <v>7853</v>
      </c>
      <c r="R806" t="s">
        <v>7854</v>
      </c>
      <c r="S806" t="s">
        <v>3469</v>
      </c>
    </row>
    <row r="807" spans="1:19" x14ac:dyDescent="0.2">
      <c r="A807" t="str">
        <f t="shared" si="12"/>
        <v>metab_compid_62819</v>
      </c>
      <c r="B807">
        <v>100020842</v>
      </c>
      <c r="C807">
        <v>400</v>
      </c>
      <c r="D807">
        <v>62819</v>
      </c>
      <c r="E807">
        <v>220461</v>
      </c>
      <c r="F807" t="s">
        <v>3436</v>
      </c>
      <c r="G807" t="s">
        <v>3586</v>
      </c>
      <c r="H807">
        <v>139</v>
      </c>
      <c r="I807" t="s">
        <v>3438</v>
      </c>
      <c r="J807" t="s">
        <v>9920</v>
      </c>
      <c r="K807" t="s">
        <v>9921</v>
      </c>
      <c r="L807" t="s">
        <v>9922</v>
      </c>
      <c r="M807" t="s">
        <v>9922</v>
      </c>
      <c r="S807" t="s">
        <v>3458</v>
      </c>
    </row>
    <row r="808" spans="1:19" x14ac:dyDescent="0.2">
      <c r="A808" t="str">
        <f t="shared" si="12"/>
        <v>metab_compid_64571</v>
      </c>
      <c r="B808">
        <v>100022041</v>
      </c>
      <c r="C808">
        <v>400</v>
      </c>
      <c r="D808">
        <v>64571</v>
      </c>
      <c r="E808">
        <v>238237</v>
      </c>
      <c r="F808" t="s">
        <v>3853</v>
      </c>
      <c r="G808" t="s">
        <v>10257</v>
      </c>
      <c r="H808">
        <v>1236</v>
      </c>
      <c r="I808" t="s">
        <v>3438</v>
      </c>
      <c r="J808" t="s">
        <v>10258</v>
      </c>
      <c r="K808" t="s">
        <v>10259</v>
      </c>
      <c r="L808" t="s">
        <v>10260</v>
      </c>
      <c r="M808" t="s">
        <v>10260</v>
      </c>
      <c r="S808" t="s">
        <v>3458</v>
      </c>
    </row>
    <row r="809" spans="1:19" x14ac:dyDescent="0.2">
      <c r="A809" t="str">
        <f t="shared" si="12"/>
        <v>metab_compid_63151</v>
      </c>
      <c r="B809">
        <v>100020371</v>
      </c>
      <c r="C809">
        <v>400</v>
      </c>
      <c r="D809">
        <v>63151</v>
      </c>
      <c r="E809">
        <v>221884</v>
      </c>
      <c r="F809" t="s">
        <v>3436</v>
      </c>
      <c r="G809" t="s">
        <v>3670</v>
      </c>
      <c r="H809">
        <v>33</v>
      </c>
      <c r="I809" t="s">
        <v>3438</v>
      </c>
      <c r="J809" t="s">
        <v>9722</v>
      </c>
      <c r="K809" t="s">
        <v>9723</v>
      </c>
      <c r="L809" t="s">
        <v>9724</v>
      </c>
      <c r="M809" t="s">
        <v>9724</v>
      </c>
      <c r="N809" t="s">
        <v>9725</v>
      </c>
      <c r="O809" t="s">
        <v>9726</v>
      </c>
      <c r="R809" t="s">
        <v>9727</v>
      </c>
      <c r="S809" t="s">
        <v>3458</v>
      </c>
    </row>
    <row r="810" spans="1:19" x14ac:dyDescent="0.2">
      <c r="A810" t="str">
        <f t="shared" si="12"/>
        <v>metab_compid_57687</v>
      </c>
      <c r="B810">
        <v>100015962</v>
      </c>
      <c r="C810">
        <v>400</v>
      </c>
      <c r="D810">
        <v>57687</v>
      </c>
      <c r="E810">
        <v>213101</v>
      </c>
      <c r="F810" t="s">
        <v>3436</v>
      </c>
      <c r="G810" t="s">
        <v>3586</v>
      </c>
      <c r="H810">
        <v>140</v>
      </c>
      <c r="I810" t="s">
        <v>3438</v>
      </c>
      <c r="J810" t="s">
        <v>9521</v>
      </c>
      <c r="K810" t="s">
        <v>9522</v>
      </c>
      <c r="L810" t="s">
        <v>9523</v>
      </c>
      <c r="M810" t="s">
        <v>9523</v>
      </c>
      <c r="O810" t="s">
        <v>9524</v>
      </c>
      <c r="R810" t="s">
        <v>9525</v>
      </c>
      <c r="S810" t="s">
        <v>3458</v>
      </c>
    </row>
    <row r="811" spans="1:19" x14ac:dyDescent="0.2">
      <c r="A811" t="str">
        <f t="shared" si="12"/>
        <v>metab_compid_62947</v>
      </c>
      <c r="B811">
        <v>100020217</v>
      </c>
      <c r="C811">
        <v>209</v>
      </c>
      <c r="D811">
        <v>62947</v>
      </c>
      <c r="E811">
        <v>220820</v>
      </c>
      <c r="F811" t="s">
        <v>3436</v>
      </c>
      <c r="G811" t="s">
        <v>3661</v>
      </c>
      <c r="H811">
        <v>526</v>
      </c>
      <c r="I811" t="s">
        <v>3438</v>
      </c>
      <c r="J811" t="s">
        <v>9673</v>
      </c>
      <c r="K811" t="s">
        <v>9674</v>
      </c>
      <c r="L811" t="s">
        <v>9675</v>
      </c>
      <c r="M811" t="s">
        <v>9675</v>
      </c>
      <c r="P811" t="s">
        <v>9676</v>
      </c>
      <c r="S811" t="s">
        <v>3469</v>
      </c>
    </row>
    <row r="812" spans="1:19" x14ac:dyDescent="0.2">
      <c r="A812" t="str">
        <f t="shared" si="12"/>
        <v>metab_compid_40469</v>
      </c>
      <c r="B812">
        <v>100001468</v>
      </c>
      <c r="C812">
        <v>209</v>
      </c>
      <c r="D812">
        <v>40469</v>
      </c>
      <c r="E812">
        <v>143005</v>
      </c>
      <c r="F812" t="s">
        <v>3448</v>
      </c>
      <c r="G812" t="s">
        <v>3449</v>
      </c>
      <c r="H812">
        <v>4344</v>
      </c>
      <c r="I812" t="s">
        <v>3438</v>
      </c>
      <c r="J812" t="s">
        <v>6515</v>
      </c>
      <c r="K812" t="s">
        <v>6516</v>
      </c>
      <c r="L812" t="s">
        <v>6517</v>
      </c>
      <c r="M812" t="s">
        <v>6517</v>
      </c>
      <c r="N812" t="s">
        <v>6518</v>
      </c>
      <c r="O812" t="s">
        <v>6519</v>
      </c>
      <c r="P812" t="s">
        <v>6520</v>
      </c>
      <c r="Q812" t="s">
        <v>6521</v>
      </c>
      <c r="R812" t="s">
        <v>6522</v>
      </c>
      <c r="S812" t="s">
        <v>3469</v>
      </c>
    </row>
    <row r="813" spans="1:19" x14ac:dyDescent="0.2">
      <c r="A813" t="str">
        <f t="shared" si="12"/>
        <v>metab_compid_15650</v>
      </c>
      <c r="B813">
        <v>1242</v>
      </c>
      <c r="C813">
        <v>400</v>
      </c>
      <c r="D813">
        <v>15650</v>
      </c>
      <c r="E813">
        <v>155564</v>
      </c>
      <c r="F813" t="s">
        <v>3533</v>
      </c>
      <c r="G813" t="s">
        <v>3620</v>
      </c>
      <c r="H813">
        <v>4173</v>
      </c>
      <c r="I813" t="s">
        <v>3438</v>
      </c>
      <c r="J813" t="s">
        <v>4878</v>
      </c>
      <c r="K813" t="s">
        <v>4879</v>
      </c>
      <c r="L813" t="s">
        <v>4880</v>
      </c>
      <c r="M813" t="s">
        <v>4881</v>
      </c>
      <c r="N813" t="s">
        <v>4882</v>
      </c>
      <c r="O813" t="s">
        <v>4883</v>
      </c>
      <c r="P813" t="s">
        <v>4884</v>
      </c>
      <c r="Q813" t="s">
        <v>4885</v>
      </c>
      <c r="R813" t="s">
        <v>4886</v>
      </c>
      <c r="S813" t="s">
        <v>3458</v>
      </c>
    </row>
    <row r="814" spans="1:19" x14ac:dyDescent="0.2">
      <c r="A814" t="str">
        <f t="shared" si="12"/>
        <v>metab_compid_48351</v>
      </c>
      <c r="B814">
        <v>100001409</v>
      </c>
      <c r="C814">
        <v>400</v>
      </c>
      <c r="D814">
        <v>48351</v>
      </c>
      <c r="E814">
        <v>179271</v>
      </c>
      <c r="F814" t="s">
        <v>3533</v>
      </c>
      <c r="G814" t="s">
        <v>3543</v>
      </c>
      <c r="H814">
        <v>4146</v>
      </c>
      <c r="I814" t="s">
        <v>3438</v>
      </c>
      <c r="J814" t="s">
        <v>6387</v>
      </c>
      <c r="K814" t="s">
        <v>6388</v>
      </c>
      <c r="L814" t="s">
        <v>6389</v>
      </c>
      <c r="M814" t="s">
        <v>6389</v>
      </c>
      <c r="N814" t="s">
        <v>6390</v>
      </c>
      <c r="O814" t="s">
        <v>6391</v>
      </c>
      <c r="P814" t="s">
        <v>6392</v>
      </c>
      <c r="R814" t="s">
        <v>6393</v>
      </c>
      <c r="S814" t="s">
        <v>3458</v>
      </c>
    </row>
    <row r="815" spans="1:19" x14ac:dyDescent="0.2">
      <c r="A815" t="str">
        <f t="shared" si="12"/>
        <v>metab_compid_62954</v>
      </c>
      <c r="B815">
        <v>100020546</v>
      </c>
      <c r="C815">
        <v>400</v>
      </c>
      <c r="D815">
        <v>62954</v>
      </c>
      <c r="E815">
        <v>220835</v>
      </c>
      <c r="F815" t="s">
        <v>3436</v>
      </c>
      <c r="G815" t="s">
        <v>3586</v>
      </c>
      <c r="H815">
        <v>111</v>
      </c>
      <c r="I815" t="s">
        <v>3438</v>
      </c>
      <c r="J815" t="s">
        <v>9810</v>
      </c>
      <c r="K815" t="s">
        <v>9811</v>
      </c>
      <c r="L815" t="s">
        <v>9812</v>
      </c>
      <c r="M815" t="s">
        <v>9812</v>
      </c>
      <c r="S815" t="s">
        <v>3458</v>
      </c>
    </row>
    <row r="816" spans="1:19" x14ac:dyDescent="0.2">
      <c r="A816" t="str">
        <f t="shared" si="12"/>
        <v>metab_compid_63254</v>
      </c>
      <c r="B816">
        <v>100020545</v>
      </c>
      <c r="C816">
        <v>400</v>
      </c>
      <c r="D816">
        <v>63254</v>
      </c>
      <c r="E816">
        <v>222161</v>
      </c>
      <c r="F816" t="s">
        <v>3436</v>
      </c>
      <c r="G816" t="s">
        <v>3586</v>
      </c>
      <c r="H816">
        <v>112</v>
      </c>
      <c r="I816" t="s">
        <v>3438</v>
      </c>
      <c r="J816" t="s">
        <v>9807</v>
      </c>
      <c r="K816" t="s">
        <v>9808</v>
      </c>
      <c r="L816" t="s">
        <v>9809</v>
      </c>
      <c r="M816" t="s">
        <v>9809</v>
      </c>
      <c r="S816" t="s">
        <v>3458</v>
      </c>
    </row>
    <row r="817" spans="1:19" x14ac:dyDescent="0.2">
      <c r="A817" t="str">
        <f t="shared" si="12"/>
        <v>metab_compid_35137</v>
      </c>
      <c r="B817">
        <v>100001412</v>
      </c>
      <c r="C817">
        <v>400</v>
      </c>
      <c r="D817">
        <v>35137</v>
      </c>
      <c r="E817">
        <v>156155</v>
      </c>
      <c r="F817" t="s">
        <v>3533</v>
      </c>
      <c r="G817" t="s">
        <v>4656</v>
      </c>
      <c r="H817">
        <v>4212</v>
      </c>
      <c r="I817" t="s">
        <v>3438</v>
      </c>
      <c r="J817" t="s">
        <v>6394</v>
      </c>
      <c r="K817" t="s">
        <v>6395</v>
      </c>
      <c r="L817" t="s">
        <v>6396</v>
      </c>
      <c r="M817" t="s">
        <v>6396</v>
      </c>
      <c r="N817" t="s">
        <v>6397</v>
      </c>
      <c r="O817" t="s">
        <v>6398</v>
      </c>
      <c r="P817" t="s">
        <v>6399</v>
      </c>
      <c r="R817" t="s">
        <v>6400</v>
      </c>
      <c r="S817" t="s">
        <v>3458</v>
      </c>
    </row>
    <row r="818" spans="1:19" x14ac:dyDescent="0.2">
      <c r="A818" t="str">
        <f t="shared" si="12"/>
        <v>metab_compid_43591</v>
      </c>
      <c r="B818">
        <v>100004575</v>
      </c>
      <c r="C818">
        <v>209</v>
      </c>
      <c r="D818">
        <v>43591</v>
      </c>
      <c r="E818">
        <v>153118</v>
      </c>
      <c r="F818" t="s">
        <v>3436</v>
      </c>
      <c r="G818" t="s">
        <v>3661</v>
      </c>
      <c r="H818">
        <v>517</v>
      </c>
      <c r="I818" t="s">
        <v>3438</v>
      </c>
      <c r="J818" t="s">
        <v>8258</v>
      </c>
      <c r="K818" t="s">
        <v>8259</v>
      </c>
      <c r="L818" t="s">
        <v>8260</v>
      </c>
      <c r="M818" t="s">
        <v>8260</v>
      </c>
      <c r="N818" t="s">
        <v>8261</v>
      </c>
      <c r="O818" t="s">
        <v>8262</v>
      </c>
      <c r="P818" t="s">
        <v>8263</v>
      </c>
      <c r="R818" t="s">
        <v>8264</v>
      </c>
      <c r="S818" t="s">
        <v>3469</v>
      </c>
    </row>
    <row r="819" spans="1:19" x14ac:dyDescent="0.2">
      <c r="A819" t="str">
        <f t="shared" si="12"/>
        <v>metab_compid_35130</v>
      </c>
      <c r="B819">
        <v>100001413</v>
      </c>
      <c r="C819">
        <v>400</v>
      </c>
      <c r="D819">
        <v>35130</v>
      </c>
      <c r="E819">
        <v>156149</v>
      </c>
      <c r="F819" t="s">
        <v>3533</v>
      </c>
      <c r="G819" t="s">
        <v>4356</v>
      </c>
      <c r="H819">
        <v>4276</v>
      </c>
      <c r="I819" t="s">
        <v>3438</v>
      </c>
      <c r="J819" t="s">
        <v>6401</v>
      </c>
      <c r="K819" t="s">
        <v>6402</v>
      </c>
      <c r="L819" t="s">
        <v>6403</v>
      </c>
      <c r="M819" t="s">
        <v>6403</v>
      </c>
      <c r="N819" t="s">
        <v>6404</v>
      </c>
      <c r="O819" t="s">
        <v>6405</v>
      </c>
      <c r="P819" t="s">
        <v>6406</v>
      </c>
      <c r="R819" t="s">
        <v>6407</v>
      </c>
      <c r="S819" t="s">
        <v>3458</v>
      </c>
    </row>
    <row r="820" spans="1:19" x14ac:dyDescent="0.2">
      <c r="A820" t="str">
        <f t="shared" si="12"/>
        <v>metab_compid_36752</v>
      </c>
      <c r="B820">
        <v>100001734</v>
      </c>
      <c r="C820">
        <v>209</v>
      </c>
      <c r="D820">
        <v>36752</v>
      </c>
      <c r="E820">
        <v>128287</v>
      </c>
      <c r="F820" t="s">
        <v>3436</v>
      </c>
      <c r="G820" t="s">
        <v>3586</v>
      </c>
      <c r="H820">
        <v>109</v>
      </c>
      <c r="I820" t="s">
        <v>3438</v>
      </c>
      <c r="J820" t="s">
        <v>6882</v>
      </c>
      <c r="K820" t="s">
        <v>6883</v>
      </c>
      <c r="L820" t="s">
        <v>6884</v>
      </c>
      <c r="M820" t="s">
        <v>6884</v>
      </c>
      <c r="N820" t="s">
        <v>6885</v>
      </c>
      <c r="O820" t="s">
        <v>6886</v>
      </c>
      <c r="P820" t="s">
        <v>6887</v>
      </c>
      <c r="Q820" t="s">
        <v>6888</v>
      </c>
      <c r="R820" t="s">
        <v>6889</v>
      </c>
      <c r="S820" t="s">
        <v>3469</v>
      </c>
    </row>
    <row r="821" spans="1:19" x14ac:dyDescent="0.2">
      <c r="A821" t="str">
        <f t="shared" si="12"/>
        <v>metab_compid_35157</v>
      </c>
      <c r="B821">
        <v>100001415</v>
      </c>
      <c r="C821">
        <v>209</v>
      </c>
      <c r="D821">
        <v>35157</v>
      </c>
      <c r="E821">
        <v>126974</v>
      </c>
      <c r="F821" t="s">
        <v>3533</v>
      </c>
      <c r="G821" t="s">
        <v>3620</v>
      </c>
      <c r="H821">
        <v>4184</v>
      </c>
      <c r="I821" t="s">
        <v>3438</v>
      </c>
      <c r="J821" t="s">
        <v>6408</v>
      </c>
      <c r="K821" t="s">
        <v>6409</v>
      </c>
      <c r="L821" t="s">
        <v>6410</v>
      </c>
      <c r="M821" t="s">
        <v>6410</v>
      </c>
      <c r="N821" t="s">
        <v>6411</v>
      </c>
      <c r="O821" t="s">
        <v>6412</v>
      </c>
      <c r="P821" t="s">
        <v>6413</v>
      </c>
      <c r="R821" t="s">
        <v>6414</v>
      </c>
      <c r="S821" t="s">
        <v>3469</v>
      </c>
    </row>
    <row r="822" spans="1:19" x14ac:dyDescent="0.2">
      <c r="A822" t="str">
        <f t="shared" si="12"/>
        <v>metab_compid_37114</v>
      </c>
      <c r="B822">
        <v>213</v>
      </c>
      <c r="C822">
        <v>209</v>
      </c>
      <c r="D822">
        <v>37114</v>
      </c>
      <c r="E822">
        <v>127643</v>
      </c>
      <c r="F822" t="s">
        <v>3533</v>
      </c>
      <c r="G822" t="s">
        <v>3620</v>
      </c>
      <c r="H822">
        <v>4174</v>
      </c>
      <c r="I822" t="s">
        <v>3438</v>
      </c>
      <c r="J822" t="s">
        <v>3638</v>
      </c>
      <c r="K822" t="s">
        <v>3639</v>
      </c>
      <c r="L822" t="s">
        <v>3640</v>
      </c>
      <c r="M822" t="s">
        <v>3640</v>
      </c>
      <c r="N822" t="s">
        <v>3641</v>
      </c>
      <c r="O822" t="s">
        <v>3642</v>
      </c>
      <c r="P822" t="s">
        <v>3643</v>
      </c>
      <c r="R822" t="s">
        <v>3644</v>
      </c>
      <c r="S822" t="s">
        <v>3469</v>
      </c>
    </row>
    <row r="823" spans="1:19" x14ac:dyDescent="0.2">
      <c r="A823" t="str">
        <f t="shared" si="12"/>
        <v>metab_compid_62860</v>
      </c>
      <c r="B823">
        <v>100003415</v>
      </c>
      <c r="C823">
        <v>400</v>
      </c>
      <c r="D823">
        <v>62860</v>
      </c>
      <c r="E823">
        <v>220638</v>
      </c>
      <c r="F823" t="s">
        <v>3436</v>
      </c>
      <c r="G823" t="s">
        <v>3586</v>
      </c>
      <c r="H823">
        <v>116</v>
      </c>
      <c r="I823" t="s">
        <v>3438</v>
      </c>
      <c r="J823" t="s">
        <v>7877</v>
      </c>
      <c r="K823" t="s">
        <v>7878</v>
      </c>
      <c r="L823" t="s">
        <v>7879</v>
      </c>
      <c r="M823" t="s">
        <v>7879</v>
      </c>
      <c r="N823" t="s">
        <v>7880</v>
      </c>
      <c r="O823" t="s">
        <v>7881</v>
      </c>
      <c r="P823" t="s">
        <v>7882</v>
      </c>
      <c r="Q823" t="s">
        <v>7883</v>
      </c>
      <c r="R823" t="s">
        <v>7884</v>
      </c>
      <c r="S823" t="s">
        <v>3458</v>
      </c>
    </row>
    <row r="824" spans="1:19" x14ac:dyDescent="0.2">
      <c r="A824" t="str">
        <f t="shared" si="12"/>
        <v>metab_compid_48130</v>
      </c>
      <c r="B824">
        <v>100001664</v>
      </c>
      <c r="C824">
        <v>209</v>
      </c>
      <c r="D824">
        <v>48130</v>
      </c>
      <c r="E824">
        <v>151119</v>
      </c>
      <c r="F824" t="s">
        <v>3533</v>
      </c>
      <c r="G824" t="s">
        <v>3620</v>
      </c>
      <c r="H824">
        <v>4194</v>
      </c>
      <c r="I824" t="s">
        <v>3438</v>
      </c>
      <c r="J824" t="s">
        <v>6853</v>
      </c>
      <c r="K824" t="s">
        <v>6854</v>
      </c>
      <c r="L824" t="s">
        <v>6855</v>
      </c>
      <c r="M824" t="s">
        <v>6855</v>
      </c>
      <c r="N824" t="s">
        <v>6856</v>
      </c>
      <c r="P824" t="s">
        <v>6857</v>
      </c>
      <c r="R824" t="s">
        <v>6858</v>
      </c>
      <c r="S824" t="s">
        <v>3469</v>
      </c>
    </row>
    <row r="825" spans="1:19" x14ac:dyDescent="0.2">
      <c r="A825" t="str">
        <f t="shared" si="12"/>
        <v>metab_compid_62862</v>
      </c>
      <c r="B825">
        <v>100020417</v>
      </c>
      <c r="C825">
        <v>400</v>
      </c>
      <c r="D825">
        <v>62862</v>
      </c>
      <c r="E825">
        <v>220645</v>
      </c>
      <c r="F825" t="s">
        <v>3436</v>
      </c>
      <c r="G825" t="s">
        <v>3586</v>
      </c>
      <c r="H825">
        <v>117</v>
      </c>
      <c r="I825" t="s">
        <v>3438</v>
      </c>
      <c r="J825" t="s">
        <v>9759</v>
      </c>
      <c r="K825" t="s">
        <v>9760</v>
      </c>
      <c r="L825" t="s">
        <v>9761</v>
      </c>
      <c r="M825" t="s">
        <v>9761</v>
      </c>
      <c r="N825" t="s">
        <v>9762</v>
      </c>
      <c r="O825" t="s">
        <v>9763</v>
      </c>
      <c r="P825" t="s">
        <v>9764</v>
      </c>
      <c r="Q825" t="s">
        <v>9765</v>
      </c>
      <c r="R825" t="s">
        <v>9766</v>
      </c>
      <c r="S825" t="s">
        <v>3458</v>
      </c>
    </row>
    <row r="826" spans="1:19" x14ac:dyDescent="0.2">
      <c r="A826" t="str">
        <f t="shared" si="12"/>
        <v>metab_compid_1498</v>
      </c>
      <c r="B826">
        <v>189</v>
      </c>
      <c r="C826">
        <v>400</v>
      </c>
      <c r="D826">
        <v>1498</v>
      </c>
      <c r="E826">
        <v>155380</v>
      </c>
      <c r="F826" t="s">
        <v>3436</v>
      </c>
      <c r="G826" t="s">
        <v>3586</v>
      </c>
      <c r="H826">
        <v>118</v>
      </c>
      <c r="I826" t="s">
        <v>3438</v>
      </c>
      <c r="J826" t="s">
        <v>3587</v>
      </c>
      <c r="K826" t="s">
        <v>3588</v>
      </c>
      <c r="L826" t="s">
        <v>3589</v>
      </c>
      <c r="M826" t="s">
        <v>3589</v>
      </c>
      <c r="N826" t="s">
        <v>3590</v>
      </c>
      <c r="O826" t="s">
        <v>3591</v>
      </c>
      <c r="P826" t="s">
        <v>3592</v>
      </c>
      <c r="Q826" t="s">
        <v>3593</v>
      </c>
      <c r="R826" t="s">
        <v>3594</v>
      </c>
      <c r="S826" t="s">
        <v>3458</v>
      </c>
    </row>
    <row r="827" spans="1:19" x14ac:dyDescent="0.2">
      <c r="A827" t="str">
        <f t="shared" si="12"/>
        <v>metab_compid_12122</v>
      </c>
      <c r="B827">
        <v>1384</v>
      </c>
      <c r="C827">
        <v>209</v>
      </c>
      <c r="D827">
        <v>12122</v>
      </c>
      <c r="E827">
        <v>124623</v>
      </c>
      <c r="F827" t="s">
        <v>3863</v>
      </c>
      <c r="G827" t="s">
        <v>4942</v>
      </c>
      <c r="H827">
        <v>5420</v>
      </c>
      <c r="I827" t="s">
        <v>3438</v>
      </c>
      <c r="J827" t="s">
        <v>4951</v>
      </c>
      <c r="K827" t="s">
        <v>4952</v>
      </c>
      <c r="L827" t="s">
        <v>4953</v>
      </c>
      <c r="M827" t="s">
        <v>4953</v>
      </c>
      <c r="N827" t="s">
        <v>4954</v>
      </c>
      <c r="O827" t="s">
        <v>4955</v>
      </c>
      <c r="P827" t="s">
        <v>4956</v>
      </c>
      <c r="Q827" t="s">
        <v>4957</v>
      </c>
      <c r="R827" t="s">
        <v>4958</v>
      </c>
      <c r="S827" t="s">
        <v>3469</v>
      </c>
    </row>
    <row r="828" spans="1:19" x14ac:dyDescent="0.2">
      <c r="A828" t="str">
        <f t="shared" si="12"/>
        <v>metab_compid_64420</v>
      </c>
      <c r="B828">
        <v>100022016</v>
      </c>
      <c r="C828">
        <v>209</v>
      </c>
      <c r="D828">
        <v>64420</v>
      </c>
      <c r="E828">
        <v>237629</v>
      </c>
      <c r="F828" t="s">
        <v>3863</v>
      </c>
      <c r="G828" t="s">
        <v>5632</v>
      </c>
      <c r="H828">
        <v>6097</v>
      </c>
      <c r="I828" t="s">
        <v>3438</v>
      </c>
      <c r="J828" t="s">
        <v>10248</v>
      </c>
      <c r="K828" t="s">
        <v>10249</v>
      </c>
      <c r="L828" t="s">
        <v>10250</v>
      </c>
      <c r="M828" t="s">
        <v>10250</v>
      </c>
      <c r="S828" t="s">
        <v>3469</v>
      </c>
    </row>
    <row r="829" spans="1:19" x14ac:dyDescent="0.2">
      <c r="A829" t="str">
        <f t="shared" si="12"/>
        <v>metab_compid_64421</v>
      </c>
      <c r="B829">
        <v>100022020</v>
      </c>
      <c r="C829">
        <v>209</v>
      </c>
      <c r="D829">
        <v>64421</v>
      </c>
      <c r="E829">
        <v>237646</v>
      </c>
      <c r="F829" t="s">
        <v>3863</v>
      </c>
      <c r="G829" t="s">
        <v>5632</v>
      </c>
      <c r="H829">
        <v>6095</v>
      </c>
      <c r="I829" t="s">
        <v>3438</v>
      </c>
      <c r="J829" t="s">
        <v>10254</v>
      </c>
      <c r="K829" t="s">
        <v>10255</v>
      </c>
      <c r="L829" t="s">
        <v>10256</v>
      </c>
      <c r="M829" t="s">
        <v>10256</v>
      </c>
      <c r="S829" t="s">
        <v>3469</v>
      </c>
    </row>
    <row r="830" spans="1:19" x14ac:dyDescent="0.2">
      <c r="A830" t="str">
        <f t="shared" si="12"/>
        <v>metab_compid_64424</v>
      </c>
      <c r="B830">
        <v>100022018</v>
      </c>
      <c r="C830">
        <v>209</v>
      </c>
      <c r="D830">
        <v>64424</v>
      </c>
      <c r="E830">
        <v>237650</v>
      </c>
      <c r="F830" t="s">
        <v>3863</v>
      </c>
      <c r="G830" t="s">
        <v>5632</v>
      </c>
      <c r="H830">
        <v>6098</v>
      </c>
      <c r="I830" t="s">
        <v>3438</v>
      </c>
      <c r="J830" t="s">
        <v>10251</v>
      </c>
      <c r="K830" t="s">
        <v>10252</v>
      </c>
      <c r="L830" t="s">
        <v>10253</v>
      </c>
      <c r="M830" t="s">
        <v>10253</v>
      </c>
      <c r="S830" t="s">
        <v>3469</v>
      </c>
    </row>
    <row r="831" spans="1:19" x14ac:dyDescent="0.2">
      <c r="A831" t="str">
        <f t="shared" si="12"/>
        <v>metab_compid_57531</v>
      </c>
      <c r="B831">
        <v>100015846</v>
      </c>
      <c r="C831">
        <v>402</v>
      </c>
      <c r="D831">
        <v>57531</v>
      </c>
      <c r="E831">
        <v>211232</v>
      </c>
      <c r="F831" t="s">
        <v>3459</v>
      </c>
      <c r="G831" t="s">
        <v>6535</v>
      </c>
      <c r="H831">
        <v>1907</v>
      </c>
      <c r="I831" t="s">
        <v>3438</v>
      </c>
      <c r="J831" t="s">
        <v>9502</v>
      </c>
      <c r="K831" t="s">
        <v>9503</v>
      </c>
      <c r="L831" t="s">
        <v>9504</v>
      </c>
      <c r="M831" t="s">
        <v>9504</v>
      </c>
      <c r="P831" t="s">
        <v>9505</v>
      </c>
      <c r="S831" t="s">
        <v>3447</v>
      </c>
    </row>
    <row r="832" spans="1:19" x14ac:dyDescent="0.2">
      <c r="A832" t="str">
        <f t="shared" si="12"/>
        <v>metab_compid_594</v>
      </c>
      <c r="B832">
        <v>432</v>
      </c>
      <c r="C832">
        <v>209</v>
      </c>
      <c r="D832">
        <v>594</v>
      </c>
      <c r="E832">
        <v>123181</v>
      </c>
      <c r="F832" t="s">
        <v>3448</v>
      </c>
      <c r="G832" t="s">
        <v>3449</v>
      </c>
      <c r="H832">
        <v>4324</v>
      </c>
      <c r="I832" t="s">
        <v>3438</v>
      </c>
      <c r="J832" t="s">
        <v>4026</v>
      </c>
      <c r="K832" t="s">
        <v>4027</v>
      </c>
      <c r="L832" t="s">
        <v>4028</v>
      </c>
      <c r="M832" t="s">
        <v>4028</v>
      </c>
      <c r="N832" t="s">
        <v>4029</v>
      </c>
      <c r="O832" t="s">
        <v>4030</v>
      </c>
      <c r="P832" t="s">
        <v>4031</v>
      </c>
      <c r="Q832" t="s">
        <v>4032</v>
      </c>
      <c r="R832" t="s">
        <v>4033</v>
      </c>
      <c r="S832" t="s">
        <v>3469</v>
      </c>
    </row>
    <row r="833" spans="1:19" x14ac:dyDescent="0.2">
      <c r="A833" t="str">
        <f t="shared" si="12"/>
        <v>metab_compid_57810</v>
      </c>
      <c r="B833">
        <v>100015785</v>
      </c>
      <c r="C833">
        <v>209</v>
      </c>
      <c r="D833">
        <v>57810</v>
      </c>
      <c r="E833">
        <v>213739</v>
      </c>
      <c r="F833" t="s">
        <v>3459</v>
      </c>
      <c r="G833" t="s">
        <v>3560</v>
      </c>
      <c r="H833">
        <v>1583</v>
      </c>
      <c r="I833" t="s">
        <v>3438</v>
      </c>
      <c r="J833" t="s">
        <v>9408</v>
      </c>
      <c r="K833" t="s">
        <v>9409</v>
      </c>
      <c r="L833" t="s">
        <v>9410</v>
      </c>
      <c r="M833" t="s">
        <v>9410</v>
      </c>
      <c r="N833" t="s">
        <v>9411</v>
      </c>
      <c r="O833" t="s">
        <v>9412</v>
      </c>
      <c r="P833" t="s">
        <v>9413</v>
      </c>
      <c r="R833" t="s">
        <v>9414</v>
      </c>
      <c r="S833" t="s">
        <v>3469</v>
      </c>
    </row>
    <row r="834" spans="1:19" x14ac:dyDescent="0.2">
      <c r="A834" t="str">
        <f t="shared" ref="A834:A897" si="13">_xlfn.CONCAT("metab_compid_", $D834)</f>
        <v>metab_compid_1356</v>
      </c>
      <c r="B834">
        <v>892</v>
      </c>
      <c r="C834">
        <v>209</v>
      </c>
      <c r="D834">
        <v>1356</v>
      </c>
      <c r="E834">
        <v>125722</v>
      </c>
      <c r="F834" t="s">
        <v>3459</v>
      </c>
      <c r="G834" t="s">
        <v>4017</v>
      </c>
      <c r="H834">
        <v>1534</v>
      </c>
      <c r="I834" t="s">
        <v>3438</v>
      </c>
      <c r="J834" t="s">
        <v>4421</v>
      </c>
      <c r="K834" t="s">
        <v>4422</v>
      </c>
      <c r="L834" t="s">
        <v>4423</v>
      </c>
      <c r="M834" t="s">
        <v>4423</v>
      </c>
      <c r="N834" t="s">
        <v>4424</v>
      </c>
      <c r="O834" t="s">
        <v>4425</v>
      </c>
      <c r="P834" t="s">
        <v>4426</v>
      </c>
      <c r="Q834" t="s">
        <v>4427</v>
      </c>
      <c r="R834" t="s">
        <v>4428</v>
      </c>
      <c r="S834" t="s">
        <v>3469</v>
      </c>
    </row>
    <row r="835" spans="1:19" x14ac:dyDescent="0.2">
      <c r="A835" t="str">
        <f t="shared" si="13"/>
        <v>metab_compid_61775</v>
      </c>
      <c r="B835">
        <v>100006620</v>
      </c>
      <c r="C835">
        <v>402</v>
      </c>
      <c r="D835">
        <v>61775</v>
      </c>
      <c r="E835">
        <v>218145</v>
      </c>
      <c r="F835" t="s">
        <v>3459</v>
      </c>
      <c r="G835" t="s">
        <v>5535</v>
      </c>
      <c r="H835">
        <v>1875</v>
      </c>
      <c r="I835" t="s">
        <v>3438</v>
      </c>
      <c r="J835" t="s">
        <v>8723</v>
      </c>
      <c r="K835" t="s">
        <v>8724</v>
      </c>
      <c r="L835" t="s">
        <v>8725</v>
      </c>
      <c r="M835" t="s">
        <v>8725</v>
      </c>
      <c r="O835" t="s">
        <v>8726</v>
      </c>
      <c r="P835" t="s">
        <v>8727</v>
      </c>
      <c r="R835" t="s">
        <v>8728</v>
      </c>
      <c r="S835" t="s">
        <v>3447</v>
      </c>
    </row>
    <row r="836" spans="1:19" x14ac:dyDescent="0.2">
      <c r="A836" t="str">
        <f t="shared" si="13"/>
        <v>metab_compid_37252</v>
      </c>
      <c r="B836">
        <v>100003769</v>
      </c>
      <c r="C836">
        <v>402</v>
      </c>
      <c r="D836">
        <v>37252</v>
      </c>
      <c r="E836">
        <v>158892</v>
      </c>
      <c r="F836" t="s">
        <v>3863</v>
      </c>
      <c r="G836" t="s">
        <v>4933</v>
      </c>
      <c r="H836">
        <v>5890</v>
      </c>
      <c r="I836" t="s">
        <v>3438</v>
      </c>
      <c r="J836" t="s">
        <v>7979</v>
      </c>
      <c r="K836" t="s">
        <v>7980</v>
      </c>
      <c r="L836" t="s">
        <v>7981</v>
      </c>
      <c r="M836" t="s">
        <v>7981</v>
      </c>
      <c r="N836" t="s">
        <v>7982</v>
      </c>
      <c r="O836" t="s">
        <v>7983</v>
      </c>
      <c r="P836" t="s">
        <v>7984</v>
      </c>
      <c r="R836" t="s">
        <v>7985</v>
      </c>
      <c r="S836" t="s">
        <v>3447</v>
      </c>
    </row>
    <row r="837" spans="1:19" x14ac:dyDescent="0.2">
      <c r="A837" t="str">
        <f t="shared" si="13"/>
        <v>metab_compid_36845</v>
      </c>
      <c r="B837">
        <v>100001806</v>
      </c>
      <c r="C837">
        <v>209</v>
      </c>
      <c r="D837">
        <v>36845</v>
      </c>
      <c r="E837">
        <v>143732</v>
      </c>
      <c r="F837" t="s">
        <v>3863</v>
      </c>
      <c r="G837" t="s">
        <v>5082</v>
      </c>
      <c r="H837">
        <v>4581</v>
      </c>
      <c r="I837" t="s">
        <v>3438</v>
      </c>
      <c r="J837" t="s">
        <v>7016</v>
      </c>
      <c r="K837" t="s">
        <v>7017</v>
      </c>
      <c r="L837" t="s">
        <v>7018</v>
      </c>
      <c r="M837" t="s">
        <v>7018</v>
      </c>
      <c r="O837" t="s">
        <v>7019</v>
      </c>
      <c r="P837" t="s">
        <v>6218</v>
      </c>
      <c r="R837" t="s">
        <v>7020</v>
      </c>
      <c r="S837" t="s">
        <v>3469</v>
      </c>
    </row>
    <row r="838" spans="1:19" x14ac:dyDescent="0.2">
      <c r="A838" t="str">
        <f t="shared" si="13"/>
        <v>metab_compid_53239</v>
      </c>
      <c r="B838">
        <v>100006382</v>
      </c>
      <c r="C838">
        <v>400</v>
      </c>
      <c r="D838">
        <v>53239</v>
      </c>
      <c r="E838">
        <v>179291</v>
      </c>
      <c r="F838" t="s">
        <v>3863</v>
      </c>
      <c r="G838" t="s">
        <v>4942</v>
      </c>
      <c r="H838">
        <v>5466</v>
      </c>
      <c r="I838" t="s">
        <v>3438</v>
      </c>
      <c r="J838" t="s">
        <v>8685</v>
      </c>
      <c r="K838" t="s">
        <v>8686</v>
      </c>
      <c r="L838" t="s">
        <v>8687</v>
      </c>
      <c r="M838" t="s">
        <v>8687</v>
      </c>
      <c r="N838" t="s">
        <v>8688</v>
      </c>
      <c r="O838" t="s">
        <v>8689</v>
      </c>
      <c r="P838" t="s">
        <v>8690</v>
      </c>
      <c r="R838" t="s">
        <v>8691</v>
      </c>
      <c r="S838" t="s">
        <v>3458</v>
      </c>
    </row>
    <row r="839" spans="1:19" x14ac:dyDescent="0.2">
      <c r="A839" t="str">
        <f t="shared" si="13"/>
        <v>metab_compid_52357</v>
      </c>
      <c r="B839">
        <v>100006383</v>
      </c>
      <c r="C839">
        <v>400</v>
      </c>
      <c r="D839">
        <v>52357</v>
      </c>
      <c r="E839">
        <v>164921</v>
      </c>
      <c r="F839" t="s">
        <v>3863</v>
      </c>
      <c r="G839" t="s">
        <v>4942</v>
      </c>
      <c r="H839">
        <v>5467</v>
      </c>
      <c r="I839" t="s">
        <v>3438</v>
      </c>
      <c r="J839" t="s">
        <v>8692</v>
      </c>
      <c r="K839" t="s">
        <v>8693</v>
      </c>
      <c r="L839" t="s">
        <v>8694</v>
      </c>
      <c r="M839" t="s">
        <v>8694</v>
      </c>
      <c r="N839" t="s">
        <v>8695</v>
      </c>
      <c r="O839" t="s">
        <v>8696</v>
      </c>
      <c r="P839" t="s">
        <v>8697</v>
      </c>
      <c r="R839" t="s">
        <v>8698</v>
      </c>
      <c r="S839" t="s">
        <v>3458</v>
      </c>
    </row>
    <row r="840" spans="1:19" x14ac:dyDescent="0.2">
      <c r="A840" t="str">
        <f t="shared" si="13"/>
        <v>metab_compid_43334</v>
      </c>
      <c r="B840">
        <v>100004173</v>
      </c>
      <c r="C840">
        <v>400</v>
      </c>
      <c r="D840">
        <v>43334</v>
      </c>
      <c r="E840">
        <v>156997</v>
      </c>
      <c r="F840" t="s">
        <v>3863</v>
      </c>
      <c r="G840" t="s">
        <v>4933</v>
      </c>
      <c r="H840">
        <v>5894</v>
      </c>
      <c r="I840" t="s">
        <v>3438</v>
      </c>
      <c r="J840" t="s">
        <v>8094</v>
      </c>
      <c r="K840" t="s">
        <v>8095</v>
      </c>
      <c r="L840" t="s">
        <v>8096</v>
      </c>
      <c r="M840" t="s">
        <v>8096</v>
      </c>
      <c r="N840" t="s">
        <v>8097</v>
      </c>
      <c r="O840" t="s">
        <v>8098</v>
      </c>
      <c r="P840" t="s">
        <v>8099</v>
      </c>
      <c r="Q840" t="s">
        <v>8100</v>
      </c>
      <c r="R840" t="s">
        <v>8101</v>
      </c>
      <c r="S840" t="s">
        <v>3458</v>
      </c>
    </row>
    <row r="841" spans="1:19" x14ac:dyDescent="0.2">
      <c r="A841" t="str">
        <f t="shared" si="13"/>
        <v>metab_compid_45413</v>
      </c>
      <c r="B841">
        <v>100005384</v>
      </c>
      <c r="C841">
        <v>209</v>
      </c>
      <c r="D841">
        <v>45413</v>
      </c>
      <c r="E841">
        <v>143779</v>
      </c>
      <c r="F841" t="s">
        <v>3863</v>
      </c>
      <c r="G841" t="s">
        <v>5632</v>
      </c>
      <c r="H841">
        <v>6120</v>
      </c>
      <c r="I841" t="s">
        <v>3438</v>
      </c>
      <c r="J841" t="s">
        <v>8307</v>
      </c>
      <c r="K841" t="s">
        <v>8308</v>
      </c>
      <c r="L841" t="s">
        <v>8309</v>
      </c>
      <c r="M841" t="s">
        <v>8309</v>
      </c>
      <c r="O841" t="s">
        <v>8310</v>
      </c>
      <c r="P841" t="s">
        <v>8311</v>
      </c>
      <c r="R841" t="s">
        <v>8312</v>
      </c>
      <c r="S841" t="s">
        <v>3469</v>
      </c>
    </row>
    <row r="842" spans="1:19" x14ac:dyDescent="0.2">
      <c r="A842" t="str">
        <f t="shared" si="13"/>
        <v>metab_compid_61860</v>
      </c>
      <c r="B842">
        <v>100019982</v>
      </c>
      <c r="C842">
        <v>209</v>
      </c>
      <c r="D842">
        <v>61860</v>
      </c>
      <c r="E842">
        <v>218580</v>
      </c>
      <c r="F842" t="s">
        <v>3459</v>
      </c>
      <c r="G842" t="s">
        <v>3873</v>
      </c>
      <c r="H842">
        <v>1718</v>
      </c>
      <c r="I842" t="s">
        <v>3438</v>
      </c>
      <c r="J842" t="s">
        <v>9623</v>
      </c>
      <c r="K842" t="s">
        <v>9624</v>
      </c>
      <c r="L842" t="s">
        <v>9625</v>
      </c>
      <c r="M842" t="s">
        <v>9625</v>
      </c>
      <c r="S842" t="s">
        <v>3469</v>
      </c>
    </row>
    <row r="843" spans="1:19" x14ac:dyDescent="0.2">
      <c r="A843" t="str">
        <f t="shared" si="13"/>
        <v>metab_compid_36754</v>
      </c>
      <c r="B843">
        <v>100001615</v>
      </c>
      <c r="C843">
        <v>209</v>
      </c>
      <c r="D843">
        <v>36754</v>
      </c>
      <c r="E843">
        <v>128289</v>
      </c>
      <c r="F843" t="s">
        <v>3459</v>
      </c>
      <c r="G843" t="s">
        <v>3873</v>
      </c>
      <c r="H843">
        <v>1716</v>
      </c>
      <c r="I843" t="s">
        <v>3438</v>
      </c>
      <c r="J843" t="s">
        <v>6767</v>
      </c>
      <c r="K843" t="s">
        <v>6768</v>
      </c>
      <c r="L843" t="s">
        <v>6769</v>
      </c>
      <c r="M843" t="s">
        <v>6770</v>
      </c>
      <c r="N843" t="s">
        <v>6771</v>
      </c>
      <c r="O843" t="s">
        <v>6772</v>
      </c>
      <c r="P843" t="s">
        <v>6773</v>
      </c>
      <c r="R843" t="s">
        <v>6774</v>
      </c>
      <c r="S843" t="s">
        <v>3469</v>
      </c>
    </row>
    <row r="844" spans="1:19" x14ac:dyDescent="0.2">
      <c r="A844" t="str">
        <f t="shared" si="13"/>
        <v>metab_compid_61867</v>
      </c>
      <c r="B844">
        <v>100005998</v>
      </c>
      <c r="C844">
        <v>402</v>
      </c>
      <c r="D844">
        <v>61867</v>
      </c>
      <c r="E844">
        <v>218585</v>
      </c>
      <c r="F844" t="s">
        <v>3459</v>
      </c>
      <c r="G844" t="s">
        <v>8397</v>
      </c>
      <c r="H844">
        <v>1935</v>
      </c>
      <c r="I844" t="s">
        <v>3438</v>
      </c>
      <c r="J844" t="s">
        <v>8403</v>
      </c>
      <c r="K844" t="s">
        <v>8404</v>
      </c>
      <c r="L844" t="s">
        <v>8405</v>
      </c>
      <c r="M844" t="s">
        <v>8405</v>
      </c>
      <c r="N844" t="s">
        <v>8406</v>
      </c>
      <c r="O844" t="s">
        <v>8407</v>
      </c>
      <c r="S844" t="s">
        <v>3447</v>
      </c>
    </row>
    <row r="845" spans="1:19" x14ac:dyDescent="0.2">
      <c r="A845" t="str">
        <f t="shared" si="13"/>
        <v>metab_compid_61861</v>
      </c>
      <c r="B845">
        <v>100019978</v>
      </c>
      <c r="C845">
        <v>209</v>
      </c>
      <c r="D845">
        <v>61861</v>
      </c>
      <c r="E845">
        <v>218578</v>
      </c>
      <c r="F845" t="s">
        <v>3459</v>
      </c>
      <c r="G845" t="s">
        <v>3873</v>
      </c>
      <c r="H845">
        <v>1717</v>
      </c>
      <c r="I845" t="s">
        <v>3438</v>
      </c>
      <c r="J845" t="s">
        <v>9616</v>
      </c>
      <c r="K845" t="s">
        <v>9617</v>
      </c>
      <c r="L845" t="s">
        <v>9618</v>
      </c>
      <c r="M845" t="s">
        <v>9618</v>
      </c>
      <c r="R845" t="s">
        <v>9619</v>
      </c>
      <c r="S845" t="s">
        <v>3469</v>
      </c>
    </row>
    <row r="846" spans="1:19" x14ac:dyDescent="0.2">
      <c r="A846" t="str">
        <f t="shared" si="13"/>
        <v>metab_compid_61865</v>
      </c>
      <c r="B846">
        <v>100005996</v>
      </c>
      <c r="C846">
        <v>402</v>
      </c>
      <c r="D846">
        <v>61865</v>
      </c>
      <c r="E846">
        <v>218582</v>
      </c>
      <c r="F846" t="s">
        <v>3459</v>
      </c>
      <c r="G846" t="s">
        <v>8397</v>
      </c>
      <c r="H846">
        <v>1936</v>
      </c>
      <c r="I846" t="s">
        <v>3438</v>
      </c>
      <c r="J846" t="s">
        <v>8398</v>
      </c>
      <c r="K846" t="s">
        <v>8399</v>
      </c>
      <c r="L846" t="s">
        <v>8400</v>
      </c>
      <c r="M846" t="s">
        <v>8400</v>
      </c>
      <c r="N846" t="s">
        <v>8401</v>
      </c>
      <c r="O846" t="s">
        <v>8402</v>
      </c>
      <c r="S846" t="s">
        <v>3447</v>
      </c>
    </row>
    <row r="847" spans="1:19" x14ac:dyDescent="0.2">
      <c r="A847" t="str">
        <f t="shared" si="13"/>
        <v>metab_compid_33936</v>
      </c>
      <c r="B847">
        <v>100001247</v>
      </c>
      <c r="C847">
        <v>402</v>
      </c>
      <c r="D847">
        <v>33936</v>
      </c>
      <c r="E847">
        <v>158581</v>
      </c>
      <c r="F847" t="s">
        <v>3459</v>
      </c>
      <c r="G847" t="s">
        <v>5535</v>
      </c>
      <c r="H847">
        <v>1870</v>
      </c>
      <c r="I847" t="s">
        <v>3438</v>
      </c>
      <c r="J847" t="s">
        <v>6005</v>
      </c>
      <c r="K847" t="s">
        <v>6006</v>
      </c>
      <c r="L847" t="s">
        <v>6007</v>
      </c>
      <c r="M847" t="s">
        <v>6007</v>
      </c>
      <c r="N847" t="s">
        <v>6008</v>
      </c>
      <c r="O847" t="s">
        <v>6009</v>
      </c>
      <c r="P847" t="s">
        <v>6010</v>
      </c>
      <c r="Q847" t="s">
        <v>6011</v>
      </c>
      <c r="R847" t="s">
        <v>6012</v>
      </c>
      <c r="S847" t="s">
        <v>3447</v>
      </c>
    </row>
    <row r="848" spans="1:19" x14ac:dyDescent="0.2">
      <c r="A848" t="str">
        <f t="shared" si="13"/>
        <v>metab_compid_52285</v>
      </c>
      <c r="B848">
        <v>100008930</v>
      </c>
      <c r="C848">
        <v>209</v>
      </c>
      <c r="D848">
        <v>52285</v>
      </c>
      <c r="E848">
        <v>164313</v>
      </c>
      <c r="F848" t="s">
        <v>3459</v>
      </c>
      <c r="G848" t="s">
        <v>4059</v>
      </c>
      <c r="H848">
        <v>1551</v>
      </c>
      <c r="I848" t="s">
        <v>3438</v>
      </c>
      <c r="J848" t="s">
        <v>8837</v>
      </c>
      <c r="K848" t="s">
        <v>8838</v>
      </c>
      <c r="L848" t="s">
        <v>8839</v>
      </c>
      <c r="M848" t="s">
        <v>8839</v>
      </c>
      <c r="P848" t="s">
        <v>8840</v>
      </c>
      <c r="Q848" t="s">
        <v>8841</v>
      </c>
      <c r="R848" t="s">
        <v>8842</v>
      </c>
      <c r="S848" t="s">
        <v>3469</v>
      </c>
    </row>
    <row r="849" spans="1:19" x14ac:dyDescent="0.2">
      <c r="A849" t="str">
        <f t="shared" si="13"/>
        <v>metab_compid_38102</v>
      </c>
      <c r="B849">
        <v>1137</v>
      </c>
      <c r="C849">
        <v>209</v>
      </c>
      <c r="D849">
        <v>38102</v>
      </c>
      <c r="E849">
        <v>127707</v>
      </c>
      <c r="F849" t="s">
        <v>3459</v>
      </c>
      <c r="G849" t="s">
        <v>4774</v>
      </c>
      <c r="H849">
        <v>2177</v>
      </c>
      <c r="I849" t="s">
        <v>3438</v>
      </c>
      <c r="J849" t="s">
        <v>4775</v>
      </c>
      <c r="K849" t="s">
        <v>4776</v>
      </c>
      <c r="L849" t="s">
        <v>4777</v>
      </c>
      <c r="M849" t="s">
        <v>4777</v>
      </c>
      <c r="N849" t="s">
        <v>4778</v>
      </c>
      <c r="O849" t="s">
        <v>4779</v>
      </c>
      <c r="P849" t="s">
        <v>4780</v>
      </c>
      <c r="R849" t="s">
        <v>4781</v>
      </c>
      <c r="S849" t="s">
        <v>3469</v>
      </c>
    </row>
    <row r="850" spans="1:19" x14ac:dyDescent="0.2">
      <c r="A850" t="str">
        <f t="shared" si="13"/>
        <v>metab_compid_46798</v>
      </c>
      <c r="B850">
        <v>100002989</v>
      </c>
      <c r="C850">
        <v>402</v>
      </c>
      <c r="D850">
        <v>46798</v>
      </c>
      <c r="E850">
        <v>165353</v>
      </c>
      <c r="F850" t="s">
        <v>3459</v>
      </c>
      <c r="G850" t="s">
        <v>7792</v>
      </c>
      <c r="H850">
        <v>2945</v>
      </c>
      <c r="I850" t="s">
        <v>3438</v>
      </c>
      <c r="J850" t="s">
        <v>7793</v>
      </c>
      <c r="K850" t="s">
        <v>7794</v>
      </c>
      <c r="L850" t="s">
        <v>7795</v>
      </c>
      <c r="M850" t="s">
        <v>7795</v>
      </c>
      <c r="N850" t="s">
        <v>7796</v>
      </c>
      <c r="O850" t="s">
        <v>7797</v>
      </c>
      <c r="P850" t="s">
        <v>7798</v>
      </c>
      <c r="R850" t="s">
        <v>7799</v>
      </c>
      <c r="S850" t="s">
        <v>3447</v>
      </c>
    </row>
    <row r="851" spans="1:19" x14ac:dyDescent="0.2">
      <c r="A851" t="str">
        <f t="shared" si="13"/>
        <v>metab_compid_46799</v>
      </c>
      <c r="B851">
        <v>100002990</v>
      </c>
      <c r="C851">
        <v>402</v>
      </c>
      <c r="D851">
        <v>46799</v>
      </c>
      <c r="E851">
        <v>165354</v>
      </c>
      <c r="F851" t="s">
        <v>3459</v>
      </c>
      <c r="G851" t="s">
        <v>7792</v>
      </c>
      <c r="H851">
        <v>2946</v>
      </c>
      <c r="I851" t="s">
        <v>3438</v>
      </c>
      <c r="J851" t="s">
        <v>7800</v>
      </c>
      <c r="K851" t="s">
        <v>7801</v>
      </c>
      <c r="L851" t="s">
        <v>7802</v>
      </c>
      <c r="M851" t="s">
        <v>7802</v>
      </c>
      <c r="N851" t="s">
        <v>7803</v>
      </c>
      <c r="O851" t="s">
        <v>7804</v>
      </c>
      <c r="P851" t="s">
        <v>7798</v>
      </c>
      <c r="R851" t="s">
        <v>7805</v>
      </c>
      <c r="S851" t="s">
        <v>3447</v>
      </c>
    </row>
    <row r="852" spans="1:19" x14ac:dyDescent="0.2">
      <c r="A852" t="str">
        <f t="shared" si="13"/>
        <v>metab_compid_54946</v>
      </c>
      <c r="B852">
        <v>100010919</v>
      </c>
      <c r="C852">
        <v>402</v>
      </c>
      <c r="D852">
        <v>54946</v>
      </c>
      <c r="E852">
        <v>208031</v>
      </c>
      <c r="F852" t="s">
        <v>3459</v>
      </c>
      <c r="G852" t="s">
        <v>7792</v>
      </c>
      <c r="H852">
        <v>2943</v>
      </c>
      <c r="I852" t="s">
        <v>3438</v>
      </c>
      <c r="J852" t="s">
        <v>9269</v>
      </c>
      <c r="K852" t="s">
        <v>9270</v>
      </c>
      <c r="L852" t="s">
        <v>9271</v>
      </c>
      <c r="M852" t="s">
        <v>9271</v>
      </c>
      <c r="P852" t="s">
        <v>9272</v>
      </c>
      <c r="R852" t="s">
        <v>9273</v>
      </c>
      <c r="S852" t="s">
        <v>3447</v>
      </c>
    </row>
    <row r="853" spans="1:19" x14ac:dyDescent="0.2">
      <c r="A853" t="str">
        <f t="shared" si="13"/>
        <v>metab_compid_35160</v>
      </c>
      <c r="B853">
        <v>100001501</v>
      </c>
      <c r="C853">
        <v>402</v>
      </c>
      <c r="D853">
        <v>35160</v>
      </c>
      <c r="E853">
        <v>158710</v>
      </c>
      <c r="F853" t="s">
        <v>3459</v>
      </c>
      <c r="G853" t="s">
        <v>6535</v>
      </c>
      <c r="H853">
        <v>1904</v>
      </c>
      <c r="I853" t="s">
        <v>3438</v>
      </c>
      <c r="J853" t="s">
        <v>6536</v>
      </c>
      <c r="K853" t="s">
        <v>6537</v>
      </c>
      <c r="L853" t="s">
        <v>6538</v>
      </c>
      <c r="M853" t="s">
        <v>6538</v>
      </c>
      <c r="N853" t="s">
        <v>6539</v>
      </c>
      <c r="O853" t="s">
        <v>6540</v>
      </c>
      <c r="P853" t="s">
        <v>6541</v>
      </c>
      <c r="R853" t="s">
        <v>6542</v>
      </c>
      <c r="S853" t="s">
        <v>3447</v>
      </c>
    </row>
    <row r="854" spans="1:19" x14ac:dyDescent="0.2">
      <c r="A854" t="str">
        <f t="shared" si="13"/>
        <v>metab_compid_53260</v>
      </c>
      <c r="B854">
        <v>100009331</v>
      </c>
      <c r="C854">
        <v>402</v>
      </c>
      <c r="D854">
        <v>53260</v>
      </c>
      <c r="E854">
        <v>179345</v>
      </c>
      <c r="F854" t="s">
        <v>3459</v>
      </c>
      <c r="G854" t="s">
        <v>9134</v>
      </c>
      <c r="H854">
        <v>1962</v>
      </c>
      <c r="I854" t="s">
        <v>3438</v>
      </c>
      <c r="J854" t="s">
        <v>9178</v>
      </c>
      <c r="K854" t="s">
        <v>9179</v>
      </c>
      <c r="L854" t="s">
        <v>9180</v>
      </c>
      <c r="M854" t="s">
        <v>9180</v>
      </c>
      <c r="P854" t="s">
        <v>9181</v>
      </c>
      <c r="R854" t="s">
        <v>9182</v>
      </c>
      <c r="S854" t="s">
        <v>3447</v>
      </c>
    </row>
    <row r="855" spans="1:19" x14ac:dyDescent="0.2">
      <c r="A855" t="str">
        <f t="shared" si="13"/>
        <v>metab_compid_53256</v>
      </c>
      <c r="B855">
        <v>100006239</v>
      </c>
      <c r="C855">
        <v>209</v>
      </c>
      <c r="D855">
        <v>53256</v>
      </c>
      <c r="E855">
        <v>179177</v>
      </c>
      <c r="F855" t="s">
        <v>3863</v>
      </c>
      <c r="G855" t="s">
        <v>7216</v>
      </c>
      <c r="H855">
        <v>5728</v>
      </c>
      <c r="I855" t="s">
        <v>3438</v>
      </c>
      <c r="J855" t="s">
        <v>8549</v>
      </c>
      <c r="K855" t="s">
        <v>8550</v>
      </c>
      <c r="L855" t="s">
        <v>8551</v>
      </c>
      <c r="M855" t="s">
        <v>8551</v>
      </c>
      <c r="N855" t="s">
        <v>8552</v>
      </c>
      <c r="O855" t="s">
        <v>8553</v>
      </c>
      <c r="P855" t="s">
        <v>8554</v>
      </c>
      <c r="Q855" t="s">
        <v>8555</v>
      </c>
      <c r="R855" t="s">
        <v>8556</v>
      </c>
      <c r="S855" t="s">
        <v>3469</v>
      </c>
    </row>
    <row r="856" spans="1:19" x14ac:dyDescent="0.2">
      <c r="A856" t="str">
        <f t="shared" si="13"/>
        <v>metab_compid_38600</v>
      </c>
      <c r="B856">
        <v>100002725</v>
      </c>
      <c r="C856">
        <v>209</v>
      </c>
      <c r="D856">
        <v>38600</v>
      </c>
      <c r="E856">
        <v>141876</v>
      </c>
      <c r="F856" t="s">
        <v>3863</v>
      </c>
      <c r="G856" t="s">
        <v>7590</v>
      </c>
      <c r="H856">
        <v>5775</v>
      </c>
      <c r="I856" t="s">
        <v>3438</v>
      </c>
      <c r="J856" t="s">
        <v>7591</v>
      </c>
      <c r="K856" t="s">
        <v>7592</v>
      </c>
      <c r="L856" t="s">
        <v>7593</v>
      </c>
      <c r="M856" t="s">
        <v>7593</v>
      </c>
      <c r="N856" t="s">
        <v>7594</v>
      </c>
      <c r="O856" t="s">
        <v>7595</v>
      </c>
      <c r="P856" t="s">
        <v>7596</v>
      </c>
      <c r="Q856" t="s">
        <v>7597</v>
      </c>
      <c r="R856" t="s">
        <v>7598</v>
      </c>
      <c r="S856" t="s">
        <v>3469</v>
      </c>
    </row>
    <row r="857" spans="1:19" x14ac:dyDescent="0.2">
      <c r="A857" t="str">
        <f t="shared" si="13"/>
        <v>metab_compid_57794</v>
      </c>
      <c r="B857">
        <v>100015776</v>
      </c>
      <c r="C857">
        <v>402</v>
      </c>
      <c r="D857">
        <v>57794</v>
      </c>
      <c r="E857">
        <v>213773</v>
      </c>
      <c r="F857" t="s">
        <v>3863</v>
      </c>
      <c r="G857" t="s">
        <v>7590</v>
      </c>
      <c r="H857">
        <v>5766</v>
      </c>
      <c r="I857" t="s">
        <v>3438</v>
      </c>
      <c r="J857" t="s">
        <v>9384</v>
      </c>
      <c r="K857" t="s">
        <v>9385</v>
      </c>
      <c r="L857" t="s">
        <v>9386</v>
      </c>
      <c r="M857" t="s">
        <v>9386</v>
      </c>
      <c r="N857" t="s">
        <v>9387</v>
      </c>
      <c r="O857" t="s">
        <v>9388</v>
      </c>
      <c r="P857" t="s">
        <v>9389</v>
      </c>
      <c r="Q857" t="s">
        <v>9390</v>
      </c>
      <c r="R857" t="s">
        <v>9391</v>
      </c>
      <c r="S857" t="s">
        <v>3447</v>
      </c>
    </row>
    <row r="858" spans="1:19" x14ac:dyDescent="0.2">
      <c r="A858" t="str">
        <f t="shared" si="13"/>
        <v>metab_compid_1493</v>
      </c>
      <c r="B858">
        <v>444</v>
      </c>
      <c r="C858">
        <v>400</v>
      </c>
      <c r="D858">
        <v>1493</v>
      </c>
      <c r="E858">
        <v>155375</v>
      </c>
      <c r="F858" t="s">
        <v>3436</v>
      </c>
      <c r="G858" t="s">
        <v>3661</v>
      </c>
      <c r="H858">
        <v>494</v>
      </c>
      <c r="I858" t="s">
        <v>3438</v>
      </c>
      <c r="J858" t="s">
        <v>4042</v>
      </c>
      <c r="K858" t="s">
        <v>4043</v>
      </c>
      <c r="L858" t="s">
        <v>4044</v>
      </c>
      <c r="M858" t="s">
        <v>4044</v>
      </c>
      <c r="N858" t="s">
        <v>4045</v>
      </c>
      <c r="O858" t="s">
        <v>4046</v>
      </c>
      <c r="P858" t="s">
        <v>4047</v>
      </c>
      <c r="Q858" t="s">
        <v>4048</v>
      </c>
      <c r="R858" t="s">
        <v>4049</v>
      </c>
      <c r="S858" t="s">
        <v>3458</v>
      </c>
    </row>
    <row r="859" spans="1:19" x14ac:dyDescent="0.2">
      <c r="A859" t="str">
        <f t="shared" si="13"/>
        <v>metab_compid_1505</v>
      </c>
      <c r="B859">
        <v>445</v>
      </c>
      <c r="C859">
        <v>305</v>
      </c>
      <c r="D859">
        <v>1505</v>
      </c>
      <c r="E859">
        <v>146440</v>
      </c>
      <c r="F859" t="s">
        <v>3533</v>
      </c>
      <c r="G859" t="s">
        <v>4050</v>
      </c>
      <c r="H859">
        <v>4227</v>
      </c>
      <c r="I859" t="s">
        <v>3438</v>
      </c>
      <c r="J859" t="s">
        <v>4051</v>
      </c>
      <c r="K859" t="s">
        <v>4052</v>
      </c>
      <c r="L859" t="s">
        <v>4053</v>
      </c>
      <c r="M859" t="s">
        <v>4053</v>
      </c>
      <c r="N859" t="s">
        <v>4054</v>
      </c>
      <c r="O859" t="s">
        <v>4055</v>
      </c>
      <c r="P859" t="s">
        <v>4056</v>
      </c>
      <c r="Q859" t="s">
        <v>4057</v>
      </c>
      <c r="R859" t="s">
        <v>4058</v>
      </c>
      <c r="S859" t="s">
        <v>3489</v>
      </c>
    </row>
    <row r="860" spans="1:19" x14ac:dyDescent="0.2">
      <c r="A860" t="str">
        <f t="shared" si="13"/>
        <v>metab_compid_35172</v>
      </c>
      <c r="B860">
        <v>100001416</v>
      </c>
      <c r="C860">
        <v>305</v>
      </c>
      <c r="D860">
        <v>35172</v>
      </c>
      <c r="E860">
        <v>147813</v>
      </c>
      <c r="F860" t="s">
        <v>3533</v>
      </c>
      <c r="G860" t="s">
        <v>4050</v>
      </c>
      <c r="H860">
        <v>4229</v>
      </c>
      <c r="I860" t="s">
        <v>3438</v>
      </c>
      <c r="J860" t="s">
        <v>6415</v>
      </c>
      <c r="K860" t="s">
        <v>6416</v>
      </c>
      <c r="L860" t="s">
        <v>6417</v>
      </c>
      <c r="M860" t="s">
        <v>6417</v>
      </c>
      <c r="N860" t="s">
        <v>6418</v>
      </c>
      <c r="O860" t="s">
        <v>6419</v>
      </c>
      <c r="P860" t="s">
        <v>6420</v>
      </c>
      <c r="R860" t="s">
        <v>6421</v>
      </c>
      <c r="S860" t="s">
        <v>3489</v>
      </c>
    </row>
    <row r="861" spans="1:19" x14ac:dyDescent="0.2">
      <c r="A861" t="str">
        <f t="shared" si="13"/>
        <v>metab_compid_20694</v>
      </c>
      <c r="B861">
        <v>100000841</v>
      </c>
      <c r="C861">
        <v>209</v>
      </c>
      <c r="D861">
        <v>20694</v>
      </c>
      <c r="E861">
        <v>143843</v>
      </c>
      <c r="F861" t="s">
        <v>3448</v>
      </c>
      <c r="G861" t="s">
        <v>5600</v>
      </c>
      <c r="H861">
        <v>4377</v>
      </c>
      <c r="I861" t="s">
        <v>3438</v>
      </c>
      <c r="J861" t="s">
        <v>5601</v>
      </c>
      <c r="K861" t="s">
        <v>5602</v>
      </c>
      <c r="L861" t="s">
        <v>5603</v>
      </c>
      <c r="M861" t="s">
        <v>5603</v>
      </c>
      <c r="N861" t="s">
        <v>5604</v>
      </c>
      <c r="O861" t="s">
        <v>5605</v>
      </c>
      <c r="P861" t="s">
        <v>5606</v>
      </c>
      <c r="Q861" t="s">
        <v>5607</v>
      </c>
      <c r="R861" t="s">
        <v>5608</v>
      </c>
      <c r="S861" t="s">
        <v>3469</v>
      </c>
    </row>
    <row r="862" spans="1:19" x14ac:dyDescent="0.2">
      <c r="A862" t="str">
        <f t="shared" si="13"/>
        <v>metab_compid_64568</v>
      </c>
      <c r="B862">
        <v>100022120</v>
      </c>
      <c r="C862">
        <v>400</v>
      </c>
      <c r="D862">
        <v>64568</v>
      </c>
      <c r="E862">
        <v>238235</v>
      </c>
      <c r="F862" t="s">
        <v>3436</v>
      </c>
      <c r="G862" t="s">
        <v>3470</v>
      </c>
      <c r="H862">
        <v>268</v>
      </c>
      <c r="I862" t="s">
        <v>3438</v>
      </c>
      <c r="J862" t="s">
        <v>10261</v>
      </c>
      <c r="K862" t="s">
        <v>10262</v>
      </c>
      <c r="L862" t="s">
        <v>10263</v>
      </c>
      <c r="M862" t="s">
        <v>10263</v>
      </c>
      <c r="R862" t="s">
        <v>10264</v>
      </c>
      <c r="S862" t="s">
        <v>3458</v>
      </c>
    </row>
    <row r="863" spans="1:19" x14ac:dyDescent="0.2">
      <c r="A863" t="str">
        <f t="shared" si="13"/>
        <v>metab_compid_41726</v>
      </c>
      <c r="B863">
        <v>100002489</v>
      </c>
      <c r="C863">
        <v>305</v>
      </c>
      <c r="D863">
        <v>41726</v>
      </c>
      <c r="E863">
        <v>147004</v>
      </c>
      <c r="F863" t="s">
        <v>3863</v>
      </c>
      <c r="G863" t="s">
        <v>6220</v>
      </c>
      <c r="H863">
        <v>5832</v>
      </c>
      <c r="I863" t="s">
        <v>3438</v>
      </c>
      <c r="J863" t="s">
        <v>7527</v>
      </c>
      <c r="K863" t="s">
        <v>7528</v>
      </c>
      <c r="L863" t="s">
        <v>7529</v>
      </c>
      <c r="M863" t="s">
        <v>7529</v>
      </c>
      <c r="N863" t="s">
        <v>7530</v>
      </c>
      <c r="O863" t="s">
        <v>7531</v>
      </c>
      <c r="P863" t="s">
        <v>7532</v>
      </c>
      <c r="Q863" t="s">
        <v>7533</v>
      </c>
      <c r="R863" t="s">
        <v>7534</v>
      </c>
      <c r="S863" t="s">
        <v>3489</v>
      </c>
    </row>
    <row r="864" spans="1:19" x14ac:dyDescent="0.2">
      <c r="A864" t="str">
        <f t="shared" si="13"/>
        <v>metab_compid_48841</v>
      </c>
      <c r="B864">
        <v>100006191</v>
      </c>
      <c r="C864">
        <v>209</v>
      </c>
      <c r="D864">
        <v>48841</v>
      </c>
      <c r="E864">
        <v>155015</v>
      </c>
      <c r="F864" t="s">
        <v>3436</v>
      </c>
      <c r="G864" t="s">
        <v>3687</v>
      </c>
      <c r="H864">
        <v>230</v>
      </c>
      <c r="I864" t="s">
        <v>3438</v>
      </c>
      <c r="J864" t="s">
        <v>8514</v>
      </c>
      <c r="K864" t="s">
        <v>8515</v>
      </c>
      <c r="L864" t="s">
        <v>8516</v>
      </c>
      <c r="M864" t="s">
        <v>8516</v>
      </c>
      <c r="N864" t="s">
        <v>8517</v>
      </c>
      <c r="O864" t="s">
        <v>8518</v>
      </c>
      <c r="P864" t="s">
        <v>8519</v>
      </c>
      <c r="R864" t="s">
        <v>8520</v>
      </c>
      <c r="S864" t="s">
        <v>3469</v>
      </c>
    </row>
    <row r="865" spans="1:19" x14ac:dyDescent="0.2">
      <c r="A865" t="str">
        <f t="shared" si="13"/>
        <v>metab_compid_36103</v>
      </c>
      <c r="B865">
        <v>100001315</v>
      </c>
      <c r="C865">
        <v>209</v>
      </c>
      <c r="D865">
        <v>36103</v>
      </c>
      <c r="E865">
        <v>143727</v>
      </c>
      <c r="F865" t="s">
        <v>3863</v>
      </c>
      <c r="G865" t="s">
        <v>5082</v>
      </c>
      <c r="H865">
        <v>4574</v>
      </c>
      <c r="I865" t="s">
        <v>3438</v>
      </c>
      <c r="J865" t="s">
        <v>6213</v>
      </c>
      <c r="K865" t="s">
        <v>6214</v>
      </c>
      <c r="L865" t="s">
        <v>6215</v>
      </c>
      <c r="M865" t="s">
        <v>6215</v>
      </c>
      <c r="N865" t="s">
        <v>6216</v>
      </c>
      <c r="O865" t="s">
        <v>6217</v>
      </c>
      <c r="P865" t="s">
        <v>6218</v>
      </c>
      <c r="R865" t="s">
        <v>6219</v>
      </c>
      <c r="S865" t="s">
        <v>3469</v>
      </c>
    </row>
    <row r="866" spans="1:19" x14ac:dyDescent="0.2">
      <c r="A866" t="str">
        <f t="shared" si="13"/>
        <v>metab_compid_1336</v>
      </c>
      <c r="B866">
        <v>424</v>
      </c>
      <c r="C866">
        <v>209</v>
      </c>
      <c r="D866">
        <v>1336</v>
      </c>
      <c r="E866">
        <v>125720</v>
      </c>
      <c r="F866" t="s">
        <v>3459</v>
      </c>
      <c r="G866" t="s">
        <v>4017</v>
      </c>
      <c r="H866">
        <v>1528</v>
      </c>
      <c r="I866" t="s">
        <v>3438</v>
      </c>
      <c r="J866" t="s">
        <v>4018</v>
      </c>
      <c r="K866" t="s">
        <v>4019</v>
      </c>
      <c r="L866" t="s">
        <v>4020</v>
      </c>
      <c r="M866" t="s">
        <v>4020</v>
      </c>
      <c r="N866" t="s">
        <v>4021</v>
      </c>
      <c r="O866" t="s">
        <v>4022</v>
      </c>
      <c r="P866" t="s">
        <v>4023</v>
      </c>
      <c r="Q866" t="s">
        <v>4024</v>
      </c>
      <c r="R866" t="s">
        <v>4025</v>
      </c>
      <c r="S866" t="s">
        <v>3469</v>
      </c>
    </row>
    <row r="867" spans="1:19" x14ac:dyDescent="0.2">
      <c r="A867" t="str">
        <f t="shared" si="13"/>
        <v>metab_compid_33447</v>
      </c>
      <c r="B867">
        <v>452</v>
      </c>
      <c r="C867">
        <v>209</v>
      </c>
      <c r="D867">
        <v>33447</v>
      </c>
      <c r="E867">
        <v>126083</v>
      </c>
      <c r="F867" t="s">
        <v>3459</v>
      </c>
      <c r="G867" t="s">
        <v>4059</v>
      </c>
      <c r="H867">
        <v>1547</v>
      </c>
      <c r="I867" t="s">
        <v>3438</v>
      </c>
      <c r="J867" t="s">
        <v>4060</v>
      </c>
      <c r="K867" t="s">
        <v>4061</v>
      </c>
      <c r="L867" t="s">
        <v>4062</v>
      </c>
      <c r="M867" t="s">
        <v>4062</v>
      </c>
      <c r="N867" t="s">
        <v>4063</v>
      </c>
      <c r="O867" t="s">
        <v>4064</v>
      </c>
      <c r="P867" t="s">
        <v>4065</v>
      </c>
      <c r="Q867" t="s">
        <v>4066</v>
      </c>
      <c r="R867" t="s">
        <v>4067</v>
      </c>
      <c r="S867" t="s">
        <v>3469</v>
      </c>
    </row>
    <row r="868" spans="1:19" x14ac:dyDescent="0.2">
      <c r="A868" t="str">
        <f t="shared" si="13"/>
        <v>metab_compid_53223</v>
      </c>
      <c r="B868">
        <v>100009406</v>
      </c>
      <c r="C868">
        <v>402</v>
      </c>
      <c r="D868">
        <v>53223</v>
      </c>
      <c r="E868">
        <v>178791</v>
      </c>
      <c r="F868" t="s">
        <v>3459</v>
      </c>
      <c r="G868" t="s">
        <v>6535</v>
      </c>
      <c r="H868">
        <v>1903</v>
      </c>
      <c r="I868" t="s">
        <v>3438</v>
      </c>
      <c r="J868" t="s">
        <v>9235</v>
      </c>
      <c r="K868" t="s">
        <v>9236</v>
      </c>
      <c r="L868" t="s">
        <v>9237</v>
      </c>
      <c r="M868" t="s">
        <v>9237</v>
      </c>
      <c r="O868" t="s">
        <v>9238</v>
      </c>
      <c r="P868" t="s">
        <v>9239</v>
      </c>
      <c r="R868" t="s">
        <v>9240</v>
      </c>
      <c r="S868" t="s">
        <v>3447</v>
      </c>
    </row>
    <row r="869" spans="1:19" x14ac:dyDescent="0.2">
      <c r="A869" t="str">
        <f t="shared" si="13"/>
        <v>metab_compid_53257</v>
      </c>
      <c r="B869">
        <v>100009334</v>
      </c>
      <c r="C869">
        <v>402</v>
      </c>
      <c r="D869">
        <v>53257</v>
      </c>
      <c r="E869">
        <v>179341</v>
      </c>
      <c r="F869" t="s">
        <v>3459</v>
      </c>
      <c r="G869" t="s">
        <v>9134</v>
      </c>
      <c r="H869">
        <v>1963</v>
      </c>
      <c r="I869" t="s">
        <v>3438</v>
      </c>
      <c r="J869" t="s">
        <v>9192</v>
      </c>
      <c r="K869" t="s">
        <v>9193</v>
      </c>
      <c r="L869" t="s">
        <v>9194</v>
      </c>
      <c r="M869" t="s">
        <v>9194</v>
      </c>
      <c r="P869" t="s">
        <v>9195</v>
      </c>
      <c r="S869" t="s">
        <v>3447</v>
      </c>
    </row>
    <row r="870" spans="1:19" x14ac:dyDescent="0.2">
      <c r="A870" t="str">
        <f t="shared" si="13"/>
        <v>metab_compid_52434</v>
      </c>
      <c r="B870">
        <v>100008954</v>
      </c>
      <c r="C870">
        <v>402</v>
      </c>
      <c r="D870">
        <v>52434</v>
      </c>
      <c r="E870">
        <v>164558</v>
      </c>
      <c r="F870" t="s">
        <v>3459</v>
      </c>
      <c r="G870" t="s">
        <v>8860</v>
      </c>
      <c r="H870">
        <v>3119</v>
      </c>
      <c r="I870" t="s">
        <v>3438</v>
      </c>
      <c r="J870" t="s">
        <v>8861</v>
      </c>
      <c r="K870" t="s">
        <v>8862</v>
      </c>
      <c r="L870" t="s">
        <v>8863</v>
      </c>
      <c r="M870" t="s">
        <v>8863</v>
      </c>
      <c r="O870" t="s">
        <v>8864</v>
      </c>
      <c r="P870" t="s">
        <v>8865</v>
      </c>
      <c r="R870" t="s">
        <v>8866</v>
      </c>
      <c r="S870" t="s">
        <v>3447</v>
      </c>
    </row>
    <row r="871" spans="1:19" x14ac:dyDescent="0.2">
      <c r="A871" t="str">
        <f t="shared" si="13"/>
        <v>metab_compid_38165</v>
      </c>
      <c r="B871">
        <v>1489</v>
      </c>
      <c r="C871">
        <v>209</v>
      </c>
      <c r="D871">
        <v>38165</v>
      </c>
      <c r="E871">
        <v>127721</v>
      </c>
      <c r="F871" t="s">
        <v>3459</v>
      </c>
      <c r="G871" t="s">
        <v>4774</v>
      </c>
      <c r="H871">
        <v>2180</v>
      </c>
      <c r="I871" t="s">
        <v>3438</v>
      </c>
      <c r="J871" t="s">
        <v>4983</v>
      </c>
      <c r="K871" t="s">
        <v>4984</v>
      </c>
      <c r="L871" t="s">
        <v>4985</v>
      </c>
      <c r="M871" t="s">
        <v>4985</v>
      </c>
      <c r="N871" t="s">
        <v>4986</v>
      </c>
      <c r="O871" t="s">
        <v>4987</v>
      </c>
      <c r="P871" t="s">
        <v>4988</v>
      </c>
      <c r="Q871" t="s">
        <v>4989</v>
      </c>
      <c r="R871" t="s">
        <v>4990</v>
      </c>
      <c r="S871" t="s">
        <v>3469</v>
      </c>
    </row>
    <row r="872" spans="1:19" x14ac:dyDescent="0.2">
      <c r="A872" t="str">
        <f t="shared" si="13"/>
        <v>metab_compid_37506</v>
      </c>
      <c r="B872">
        <v>100002107</v>
      </c>
      <c r="C872">
        <v>402</v>
      </c>
      <c r="D872">
        <v>37506</v>
      </c>
      <c r="E872">
        <v>164195</v>
      </c>
      <c r="F872" t="s">
        <v>3459</v>
      </c>
      <c r="G872" t="s">
        <v>814</v>
      </c>
      <c r="H872">
        <v>3123</v>
      </c>
      <c r="I872" t="s">
        <v>3438</v>
      </c>
      <c r="J872" t="s">
        <v>7269</v>
      </c>
      <c r="K872" t="s">
        <v>7270</v>
      </c>
      <c r="L872" t="s">
        <v>7271</v>
      </c>
      <c r="M872" t="s">
        <v>7271</v>
      </c>
      <c r="N872" t="s">
        <v>7272</v>
      </c>
      <c r="O872" t="s">
        <v>7273</v>
      </c>
      <c r="P872" t="s">
        <v>7274</v>
      </c>
      <c r="R872" t="s">
        <v>7275</v>
      </c>
      <c r="S872" t="s">
        <v>3447</v>
      </c>
    </row>
    <row r="873" spans="1:19" x14ac:dyDescent="0.2">
      <c r="A873" t="str">
        <f t="shared" si="13"/>
        <v>metab_compid_62984</v>
      </c>
      <c r="B873">
        <v>100021162</v>
      </c>
      <c r="C873">
        <v>402</v>
      </c>
      <c r="D873">
        <v>62984</v>
      </c>
      <c r="E873">
        <v>221101</v>
      </c>
      <c r="F873" t="s">
        <v>3459</v>
      </c>
      <c r="G873" t="s">
        <v>10101</v>
      </c>
      <c r="H873">
        <v>3154</v>
      </c>
      <c r="I873" t="s">
        <v>3438</v>
      </c>
      <c r="J873" t="s">
        <v>10102</v>
      </c>
      <c r="K873" t="s">
        <v>10103</v>
      </c>
      <c r="L873" t="s">
        <v>10104</v>
      </c>
      <c r="M873" t="s">
        <v>10104</v>
      </c>
      <c r="S873" t="s">
        <v>3447</v>
      </c>
    </row>
    <row r="874" spans="1:19" x14ac:dyDescent="0.2">
      <c r="A874" t="str">
        <f t="shared" si="13"/>
        <v>metab_compid_44681</v>
      </c>
      <c r="B874">
        <v>100000776</v>
      </c>
      <c r="C874">
        <v>402</v>
      </c>
      <c r="D874">
        <v>44681</v>
      </c>
      <c r="E874">
        <v>159624</v>
      </c>
      <c r="F874" t="s">
        <v>3459</v>
      </c>
      <c r="G874" t="s">
        <v>5526</v>
      </c>
      <c r="H874">
        <v>1882</v>
      </c>
      <c r="I874" t="s">
        <v>3438</v>
      </c>
      <c r="J874" t="s">
        <v>5527</v>
      </c>
      <c r="K874" t="s">
        <v>5528</v>
      </c>
      <c r="L874" t="s">
        <v>5529</v>
      </c>
      <c r="M874" t="s">
        <v>5529</v>
      </c>
      <c r="N874" t="s">
        <v>5530</v>
      </c>
      <c r="O874" t="s">
        <v>5531</v>
      </c>
      <c r="P874" t="s">
        <v>5532</v>
      </c>
      <c r="Q874" t="s">
        <v>5533</v>
      </c>
      <c r="R874" t="s">
        <v>5534</v>
      </c>
      <c r="S874" t="s">
        <v>3447</v>
      </c>
    </row>
    <row r="875" spans="1:19" x14ac:dyDescent="0.2">
      <c r="A875" t="str">
        <f t="shared" si="13"/>
        <v>metab_compid_52944</v>
      </c>
      <c r="B875">
        <v>100009233</v>
      </c>
      <c r="C875">
        <v>402</v>
      </c>
      <c r="D875">
        <v>52944</v>
      </c>
      <c r="E875">
        <v>166270</v>
      </c>
      <c r="F875" t="s">
        <v>3459</v>
      </c>
      <c r="G875" t="s">
        <v>9134</v>
      </c>
      <c r="H875">
        <v>1961</v>
      </c>
      <c r="I875" t="s">
        <v>3438</v>
      </c>
      <c r="J875" t="s">
        <v>9135</v>
      </c>
      <c r="K875" t="s">
        <v>9136</v>
      </c>
      <c r="L875" t="s">
        <v>9137</v>
      </c>
      <c r="M875" t="s">
        <v>9137</v>
      </c>
      <c r="O875" t="s">
        <v>9138</v>
      </c>
      <c r="P875" t="s">
        <v>9139</v>
      </c>
      <c r="R875" t="s">
        <v>9140</v>
      </c>
      <c r="S875" t="s">
        <v>3447</v>
      </c>
    </row>
    <row r="876" spans="1:19" x14ac:dyDescent="0.2">
      <c r="A876" t="str">
        <f t="shared" si="13"/>
        <v>metab_compid_63061</v>
      </c>
      <c r="B876">
        <v>100002613</v>
      </c>
      <c r="C876">
        <v>209</v>
      </c>
      <c r="D876">
        <v>63061</v>
      </c>
      <c r="E876">
        <v>221678</v>
      </c>
      <c r="F876" t="s">
        <v>3448</v>
      </c>
      <c r="G876" t="s">
        <v>4568</v>
      </c>
      <c r="H876">
        <v>4356</v>
      </c>
      <c r="I876" t="s">
        <v>3438</v>
      </c>
      <c r="J876" t="s">
        <v>7575</v>
      </c>
      <c r="K876" t="s">
        <v>7576</v>
      </c>
      <c r="L876" t="s">
        <v>7577</v>
      </c>
      <c r="M876" t="s">
        <v>7577</v>
      </c>
      <c r="N876" t="s">
        <v>7578</v>
      </c>
      <c r="O876" t="s">
        <v>7579</v>
      </c>
      <c r="P876" t="s">
        <v>7580</v>
      </c>
      <c r="Q876" t="s">
        <v>7581</v>
      </c>
      <c r="R876" t="s">
        <v>7582</v>
      </c>
      <c r="S876" t="s">
        <v>3469</v>
      </c>
    </row>
    <row r="877" spans="1:19" x14ac:dyDescent="0.2">
      <c r="A877" t="str">
        <f t="shared" si="13"/>
        <v>metab_compid_38609</v>
      </c>
      <c r="B877">
        <v>100002808</v>
      </c>
      <c r="C877">
        <v>209</v>
      </c>
      <c r="D877">
        <v>38609</v>
      </c>
      <c r="E877">
        <v>153594</v>
      </c>
      <c r="F877" t="s">
        <v>3863</v>
      </c>
      <c r="G877" t="s">
        <v>7590</v>
      </c>
      <c r="H877">
        <v>5777</v>
      </c>
      <c r="I877" t="s">
        <v>3438</v>
      </c>
      <c r="J877" t="s">
        <v>7692</v>
      </c>
      <c r="K877" t="s">
        <v>7693</v>
      </c>
      <c r="L877" t="s">
        <v>7694</v>
      </c>
      <c r="M877" t="s">
        <v>7694</v>
      </c>
      <c r="N877" t="s">
        <v>7695</v>
      </c>
      <c r="O877" t="s">
        <v>7696</v>
      </c>
      <c r="P877" t="s">
        <v>7697</v>
      </c>
      <c r="Q877" t="s">
        <v>7698</v>
      </c>
      <c r="R877" t="s">
        <v>7699</v>
      </c>
      <c r="S877" t="s">
        <v>3469</v>
      </c>
    </row>
    <row r="878" spans="1:19" x14ac:dyDescent="0.2">
      <c r="A878" t="str">
        <f t="shared" si="13"/>
        <v>metab_compid_1508</v>
      </c>
      <c r="B878">
        <v>1024</v>
      </c>
      <c r="C878">
        <v>209</v>
      </c>
      <c r="D878">
        <v>1508</v>
      </c>
      <c r="E878">
        <v>124797</v>
      </c>
      <c r="F878" t="s">
        <v>3448</v>
      </c>
      <c r="G878" t="s">
        <v>4568</v>
      </c>
      <c r="H878">
        <v>4357</v>
      </c>
      <c r="I878" t="s">
        <v>3438</v>
      </c>
      <c r="J878" t="s">
        <v>4569</v>
      </c>
      <c r="K878" t="s">
        <v>4570</v>
      </c>
      <c r="L878" t="s">
        <v>4571</v>
      </c>
      <c r="M878" t="s">
        <v>4572</v>
      </c>
      <c r="N878" t="s">
        <v>4573</v>
      </c>
      <c r="O878" t="s">
        <v>4574</v>
      </c>
      <c r="P878" t="s">
        <v>4575</v>
      </c>
      <c r="Q878" t="s">
        <v>4576</v>
      </c>
      <c r="R878" t="s">
        <v>4577</v>
      </c>
      <c r="S878" t="s">
        <v>3469</v>
      </c>
    </row>
    <row r="879" spans="1:19" x14ac:dyDescent="0.2">
      <c r="A879" t="str">
        <f t="shared" si="13"/>
        <v>metab_compid_18254</v>
      </c>
      <c r="B879">
        <v>100000453</v>
      </c>
      <c r="C879">
        <v>209</v>
      </c>
      <c r="D879">
        <v>18254</v>
      </c>
      <c r="E879">
        <v>124653</v>
      </c>
      <c r="F879" t="s">
        <v>3863</v>
      </c>
      <c r="G879" t="s">
        <v>4373</v>
      </c>
      <c r="H879">
        <v>4613</v>
      </c>
      <c r="I879" t="s">
        <v>3438</v>
      </c>
      <c r="J879" t="s">
        <v>5358</v>
      </c>
      <c r="K879" t="s">
        <v>5359</v>
      </c>
      <c r="L879" t="s">
        <v>5360</v>
      </c>
      <c r="M879" t="s">
        <v>5360</v>
      </c>
      <c r="N879" t="s">
        <v>5361</v>
      </c>
      <c r="O879" t="s">
        <v>5362</v>
      </c>
      <c r="P879" t="s">
        <v>5363</v>
      </c>
      <c r="Q879" t="s">
        <v>5364</v>
      </c>
      <c r="R879" t="s">
        <v>5365</v>
      </c>
      <c r="S879" t="s">
        <v>3469</v>
      </c>
    </row>
    <row r="880" spans="1:19" x14ac:dyDescent="0.2">
      <c r="A880" t="str">
        <f t="shared" si="13"/>
        <v>metab_compid_40461</v>
      </c>
      <c r="B880">
        <v>100003442</v>
      </c>
      <c r="C880">
        <v>402</v>
      </c>
      <c r="D880">
        <v>40461</v>
      </c>
      <c r="E880">
        <v>159281</v>
      </c>
      <c r="F880" t="s">
        <v>3863</v>
      </c>
      <c r="G880" t="s">
        <v>4933</v>
      </c>
      <c r="H880">
        <v>5905</v>
      </c>
      <c r="I880" t="s">
        <v>3438</v>
      </c>
      <c r="J880" t="s">
        <v>7899</v>
      </c>
      <c r="K880" t="s">
        <v>7900</v>
      </c>
      <c r="L880" t="s">
        <v>7901</v>
      </c>
      <c r="M880" t="s">
        <v>7901</v>
      </c>
      <c r="N880" t="s">
        <v>7902</v>
      </c>
      <c r="O880" t="s">
        <v>7903</v>
      </c>
      <c r="P880" t="s">
        <v>7904</v>
      </c>
      <c r="Q880" t="s">
        <v>7905</v>
      </c>
      <c r="R880" t="s">
        <v>7906</v>
      </c>
      <c r="S880" t="s">
        <v>3447</v>
      </c>
    </row>
    <row r="881" spans="1:19" x14ac:dyDescent="0.2">
      <c r="A881" t="str">
        <f t="shared" si="13"/>
        <v>metab_compid_1361</v>
      </c>
      <c r="B881">
        <v>980</v>
      </c>
      <c r="C881">
        <v>209</v>
      </c>
      <c r="D881">
        <v>1361</v>
      </c>
      <c r="E881">
        <v>125726</v>
      </c>
      <c r="F881" t="s">
        <v>3459</v>
      </c>
      <c r="G881" t="s">
        <v>4017</v>
      </c>
      <c r="H881">
        <v>1527</v>
      </c>
      <c r="I881" t="s">
        <v>3438</v>
      </c>
      <c r="J881" t="s">
        <v>4511</v>
      </c>
      <c r="K881" t="s">
        <v>4512</v>
      </c>
      <c r="L881" t="s">
        <v>4513</v>
      </c>
      <c r="M881" t="s">
        <v>4513</v>
      </c>
      <c r="N881" t="s">
        <v>4514</v>
      </c>
      <c r="O881" t="s">
        <v>4515</v>
      </c>
      <c r="P881" t="s">
        <v>4516</v>
      </c>
      <c r="Q881" t="s">
        <v>4517</v>
      </c>
      <c r="R881" t="s">
        <v>4518</v>
      </c>
      <c r="S881" t="s">
        <v>3469</v>
      </c>
    </row>
    <row r="882" spans="1:19" x14ac:dyDescent="0.2">
      <c r="A882" t="str">
        <f t="shared" si="13"/>
        <v>metab_compid_63264</v>
      </c>
      <c r="B882">
        <v>100021467</v>
      </c>
      <c r="C882">
        <v>305</v>
      </c>
      <c r="D882">
        <v>63264</v>
      </c>
      <c r="E882">
        <v>222194</v>
      </c>
      <c r="F882" t="s">
        <v>6580</v>
      </c>
      <c r="G882" t="s">
        <v>6580</v>
      </c>
      <c r="H882">
        <v>6454</v>
      </c>
      <c r="I882" t="s">
        <v>3438</v>
      </c>
      <c r="L882" t="s">
        <v>10145</v>
      </c>
      <c r="M882" t="s">
        <v>10145</v>
      </c>
      <c r="P882" t="s">
        <v>4771</v>
      </c>
      <c r="Q882" t="s">
        <v>4772</v>
      </c>
      <c r="R882" t="s">
        <v>4773</v>
      </c>
      <c r="S882" t="s">
        <v>3489</v>
      </c>
    </row>
    <row r="883" spans="1:19" x14ac:dyDescent="0.2">
      <c r="A883" t="str">
        <f t="shared" si="13"/>
        <v>metab_compid_64623</v>
      </c>
      <c r="B883">
        <v>100022172</v>
      </c>
      <c r="C883">
        <v>209</v>
      </c>
      <c r="D883">
        <v>64623</v>
      </c>
      <c r="E883">
        <v>239167</v>
      </c>
      <c r="F883" t="s">
        <v>3863</v>
      </c>
      <c r="G883" t="s">
        <v>5632</v>
      </c>
      <c r="H883">
        <v>6379</v>
      </c>
      <c r="I883" t="s">
        <v>3438</v>
      </c>
      <c r="J883" t="s">
        <v>10268</v>
      </c>
      <c r="K883" t="s">
        <v>10269</v>
      </c>
      <c r="L883" t="s">
        <v>10270</v>
      </c>
      <c r="M883" t="s">
        <v>10270</v>
      </c>
      <c r="N883" t="s">
        <v>10271</v>
      </c>
      <c r="P883" t="s">
        <v>10272</v>
      </c>
      <c r="S883" t="s">
        <v>3469</v>
      </c>
    </row>
    <row r="884" spans="1:19" x14ac:dyDescent="0.2">
      <c r="A884" t="str">
        <f t="shared" si="13"/>
        <v>metab_compid_57564</v>
      </c>
      <c r="B884">
        <v>100010955</v>
      </c>
      <c r="C884">
        <v>305</v>
      </c>
      <c r="D884">
        <v>57564</v>
      </c>
      <c r="E884">
        <v>211466</v>
      </c>
      <c r="F884" t="s">
        <v>3863</v>
      </c>
      <c r="G884" t="s">
        <v>5632</v>
      </c>
      <c r="H884">
        <v>6221</v>
      </c>
      <c r="I884" t="s">
        <v>3438</v>
      </c>
      <c r="J884" t="s">
        <v>9279</v>
      </c>
      <c r="K884" t="s">
        <v>9280</v>
      </c>
      <c r="L884" t="s">
        <v>9281</v>
      </c>
      <c r="M884" t="s">
        <v>9281</v>
      </c>
      <c r="N884" t="s">
        <v>9282</v>
      </c>
      <c r="O884" t="s">
        <v>9283</v>
      </c>
      <c r="P884" t="s">
        <v>9284</v>
      </c>
      <c r="Q884" t="s">
        <v>9285</v>
      </c>
      <c r="R884" t="s">
        <v>9286</v>
      </c>
      <c r="S884" t="s">
        <v>3489</v>
      </c>
    </row>
    <row r="885" spans="1:19" x14ac:dyDescent="0.2">
      <c r="A885" t="str">
        <f t="shared" si="13"/>
        <v>metab_compid_62071</v>
      </c>
      <c r="B885">
        <v>100020208</v>
      </c>
      <c r="C885">
        <v>209</v>
      </c>
      <c r="D885">
        <v>62071</v>
      </c>
      <c r="E885">
        <v>218880</v>
      </c>
      <c r="F885" t="s">
        <v>3863</v>
      </c>
      <c r="G885" t="s">
        <v>5632</v>
      </c>
      <c r="H885">
        <v>6272</v>
      </c>
      <c r="I885" t="s">
        <v>3438</v>
      </c>
      <c r="J885" t="s">
        <v>9657</v>
      </c>
      <c r="K885" t="s">
        <v>9658</v>
      </c>
      <c r="L885" t="s">
        <v>9659</v>
      </c>
      <c r="M885" t="s">
        <v>9659</v>
      </c>
      <c r="O885" t="s">
        <v>9660</v>
      </c>
      <c r="P885" t="s">
        <v>9661</v>
      </c>
      <c r="R885" t="s">
        <v>9662</v>
      </c>
      <c r="S885" t="s">
        <v>3469</v>
      </c>
    </row>
    <row r="886" spans="1:19" x14ac:dyDescent="0.2">
      <c r="A886" t="str">
        <f t="shared" si="13"/>
        <v>metab_compid_52747</v>
      </c>
      <c r="B886">
        <v>100006679</v>
      </c>
      <c r="C886">
        <v>209</v>
      </c>
      <c r="D886">
        <v>52747</v>
      </c>
      <c r="E886">
        <v>166417</v>
      </c>
      <c r="F886" t="s">
        <v>3436</v>
      </c>
      <c r="G886" t="s">
        <v>3687</v>
      </c>
      <c r="H886">
        <v>196</v>
      </c>
      <c r="I886" t="s">
        <v>3438</v>
      </c>
      <c r="J886" t="s">
        <v>8747</v>
      </c>
      <c r="K886" t="s">
        <v>8748</v>
      </c>
      <c r="L886" t="s">
        <v>8749</v>
      </c>
      <c r="M886" t="s">
        <v>8749</v>
      </c>
      <c r="N886" t="s">
        <v>8750</v>
      </c>
      <c r="O886" t="s">
        <v>8751</v>
      </c>
      <c r="P886" t="s">
        <v>8752</v>
      </c>
      <c r="R886" t="s">
        <v>8753</v>
      </c>
      <c r="S886" t="s">
        <v>3469</v>
      </c>
    </row>
    <row r="887" spans="1:19" x14ac:dyDescent="0.2">
      <c r="A887" t="str">
        <f t="shared" si="13"/>
        <v>metab_compid_32553</v>
      </c>
      <c r="B887">
        <v>100001510</v>
      </c>
      <c r="C887">
        <v>209</v>
      </c>
      <c r="D887">
        <v>32553</v>
      </c>
      <c r="E887">
        <v>143728</v>
      </c>
      <c r="F887" t="s">
        <v>3436</v>
      </c>
      <c r="G887" t="s">
        <v>3687</v>
      </c>
      <c r="H887">
        <v>195</v>
      </c>
      <c r="I887" t="s">
        <v>3438</v>
      </c>
      <c r="J887" t="s">
        <v>6550</v>
      </c>
      <c r="K887" t="s">
        <v>6551</v>
      </c>
      <c r="L887" t="s">
        <v>6552</v>
      </c>
      <c r="M887" t="s">
        <v>6552</v>
      </c>
      <c r="N887" t="s">
        <v>6553</v>
      </c>
      <c r="O887" t="s">
        <v>6554</v>
      </c>
      <c r="P887" t="s">
        <v>6555</v>
      </c>
      <c r="Q887" t="s">
        <v>6556</v>
      </c>
      <c r="R887" t="s">
        <v>6557</v>
      </c>
      <c r="S887" t="s">
        <v>3469</v>
      </c>
    </row>
    <row r="888" spans="1:19" x14ac:dyDescent="0.2">
      <c r="A888" t="str">
        <f t="shared" si="13"/>
        <v>metab_compid_57745</v>
      </c>
      <c r="B888">
        <v>100000011</v>
      </c>
      <c r="C888">
        <v>209</v>
      </c>
      <c r="D888">
        <v>57745</v>
      </c>
      <c r="E888">
        <v>213340</v>
      </c>
      <c r="F888" t="s">
        <v>3436</v>
      </c>
      <c r="G888" t="s">
        <v>3524</v>
      </c>
      <c r="H888">
        <v>160</v>
      </c>
      <c r="I888" t="s">
        <v>3438</v>
      </c>
      <c r="J888" t="s">
        <v>5159</v>
      </c>
      <c r="K888" t="s">
        <v>5160</v>
      </c>
      <c r="L888" t="s">
        <v>5161</v>
      </c>
      <c r="M888" t="s">
        <v>5161</v>
      </c>
      <c r="N888" t="s">
        <v>5162</v>
      </c>
      <c r="O888" t="s">
        <v>5163</v>
      </c>
      <c r="P888" t="s">
        <v>5164</v>
      </c>
      <c r="Q888" t="s">
        <v>5165</v>
      </c>
      <c r="R888" t="s">
        <v>5166</v>
      </c>
      <c r="S888" t="s">
        <v>3469</v>
      </c>
    </row>
    <row r="889" spans="1:19" x14ac:dyDescent="0.2">
      <c r="A889" t="str">
        <f t="shared" si="13"/>
        <v>metab_compid_48425</v>
      </c>
      <c r="B889">
        <v>100006108</v>
      </c>
      <c r="C889">
        <v>400</v>
      </c>
      <c r="D889">
        <v>48425</v>
      </c>
      <c r="E889">
        <v>157774</v>
      </c>
      <c r="F889" t="s">
        <v>3853</v>
      </c>
      <c r="G889" t="s">
        <v>6422</v>
      </c>
      <c r="H889">
        <v>1201</v>
      </c>
      <c r="I889" t="s">
        <v>3438</v>
      </c>
      <c r="J889" t="s">
        <v>8452</v>
      </c>
      <c r="K889" t="s">
        <v>8453</v>
      </c>
      <c r="L889" t="s">
        <v>8454</v>
      </c>
      <c r="M889" t="s">
        <v>8454</v>
      </c>
      <c r="N889" t="s">
        <v>8455</v>
      </c>
      <c r="R889" t="s">
        <v>8456</v>
      </c>
      <c r="S889" t="s">
        <v>3458</v>
      </c>
    </row>
    <row r="890" spans="1:19" x14ac:dyDescent="0.2">
      <c r="A890" t="str">
        <f t="shared" si="13"/>
        <v>metab_compid_52925</v>
      </c>
      <c r="B890">
        <v>100009045</v>
      </c>
      <c r="C890">
        <v>209</v>
      </c>
      <c r="D890">
        <v>52925</v>
      </c>
      <c r="E890">
        <v>166034</v>
      </c>
      <c r="F890" t="s">
        <v>3853</v>
      </c>
      <c r="G890" t="s">
        <v>6422</v>
      </c>
      <c r="H890">
        <v>1203</v>
      </c>
      <c r="I890" t="s">
        <v>3438</v>
      </c>
      <c r="J890" t="s">
        <v>9052</v>
      </c>
      <c r="K890" t="s">
        <v>9053</v>
      </c>
      <c r="L890" t="s">
        <v>9054</v>
      </c>
      <c r="M890" t="s">
        <v>9054</v>
      </c>
      <c r="O890" t="s">
        <v>9055</v>
      </c>
      <c r="P890" t="s">
        <v>9056</v>
      </c>
      <c r="R890" t="s">
        <v>9057</v>
      </c>
      <c r="S890" t="s">
        <v>3469</v>
      </c>
    </row>
    <row r="891" spans="1:19" x14ac:dyDescent="0.2">
      <c r="A891" t="str">
        <f t="shared" si="13"/>
        <v>metab_compid_35126</v>
      </c>
      <c r="B891">
        <v>100001417</v>
      </c>
      <c r="C891">
        <v>209</v>
      </c>
      <c r="D891">
        <v>35126</v>
      </c>
      <c r="E891">
        <v>126960</v>
      </c>
      <c r="F891" t="s">
        <v>3853</v>
      </c>
      <c r="G891" t="s">
        <v>6422</v>
      </c>
      <c r="H891">
        <v>1204</v>
      </c>
      <c r="I891" t="s">
        <v>3438</v>
      </c>
      <c r="J891" t="s">
        <v>6423</v>
      </c>
      <c r="K891" t="s">
        <v>6424</v>
      </c>
      <c r="L891" t="s">
        <v>6425</v>
      </c>
      <c r="M891" t="s">
        <v>6425</v>
      </c>
      <c r="N891" t="s">
        <v>6426</v>
      </c>
      <c r="O891" t="s">
        <v>6427</v>
      </c>
      <c r="P891" t="s">
        <v>6428</v>
      </c>
      <c r="Q891" t="s">
        <v>6429</v>
      </c>
      <c r="R891" t="s">
        <v>6430</v>
      </c>
      <c r="S891" t="s">
        <v>3469</v>
      </c>
    </row>
    <row r="892" spans="1:19" x14ac:dyDescent="0.2">
      <c r="A892" t="str">
        <f t="shared" si="13"/>
        <v>metab_compid_64</v>
      </c>
      <c r="B892">
        <v>460</v>
      </c>
      <c r="C892">
        <v>400</v>
      </c>
      <c r="D892">
        <v>64</v>
      </c>
      <c r="E892">
        <v>155301</v>
      </c>
      <c r="F892" t="s">
        <v>3436</v>
      </c>
      <c r="G892" t="s">
        <v>3524</v>
      </c>
      <c r="H892">
        <v>142</v>
      </c>
      <c r="I892" t="s">
        <v>3438</v>
      </c>
      <c r="J892" t="s">
        <v>4068</v>
      </c>
      <c r="K892" t="s">
        <v>4069</v>
      </c>
      <c r="L892" t="s">
        <v>647</v>
      </c>
      <c r="M892" t="s">
        <v>647</v>
      </c>
      <c r="N892" t="s">
        <v>4070</v>
      </c>
      <c r="O892" t="s">
        <v>4071</v>
      </c>
      <c r="P892" t="s">
        <v>4072</v>
      </c>
      <c r="Q892" t="s">
        <v>4073</v>
      </c>
      <c r="R892" t="s">
        <v>4074</v>
      </c>
      <c r="S892" t="s">
        <v>3458</v>
      </c>
    </row>
    <row r="893" spans="1:19" x14ac:dyDescent="0.2">
      <c r="A893" t="str">
        <f t="shared" si="13"/>
        <v>metab_compid_41370</v>
      </c>
      <c r="B893">
        <v>100003588</v>
      </c>
      <c r="C893">
        <v>400</v>
      </c>
      <c r="D893">
        <v>41370</v>
      </c>
      <c r="E893">
        <v>156809</v>
      </c>
      <c r="F893" t="s">
        <v>3853</v>
      </c>
      <c r="G893" t="s">
        <v>5381</v>
      </c>
      <c r="H893">
        <v>942</v>
      </c>
      <c r="I893" t="s">
        <v>3438</v>
      </c>
      <c r="J893" t="s">
        <v>7938</v>
      </c>
      <c r="K893" t="s">
        <v>7939</v>
      </c>
      <c r="L893" t="s">
        <v>7940</v>
      </c>
      <c r="M893" t="s">
        <v>7940</v>
      </c>
      <c r="N893" t="s">
        <v>7941</v>
      </c>
      <c r="O893" t="s">
        <v>7942</v>
      </c>
      <c r="P893" t="s">
        <v>7943</v>
      </c>
      <c r="R893" t="s">
        <v>7944</v>
      </c>
      <c r="S893" t="s">
        <v>3458</v>
      </c>
    </row>
    <row r="894" spans="1:19" x14ac:dyDescent="0.2">
      <c r="A894" t="str">
        <f t="shared" si="13"/>
        <v>metab_compid_22130</v>
      </c>
      <c r="B894">
        <v>100000774</v>
      </c>
      <c r="C894">
        <v>209</v>
      </c>
      <c r="D894">
        <v>22130</v>
      </c>
      <c r="E894">
        <v>124681</v>
      </c>
      <c r="F894" t="s">
        <v>3436</v>
      </c>
      <c r="G894" t="s">
        <v>3524</v>
      </c>
      <c r="H894">
        <v>156</v>
      </c>
      <c r="I894" t="s">
        <v>3438</v>
      </c>
      <c r="J894" t="s">
        <v>5518</v>
      </c>
      <c r="K894" t="s">
        <v>5519</v>
      </c>
      <c r="L894" t="s">
        <v>5520</v>
      </c>
      <c r="M894" t="s">
        <v>5520</v>
      </c>
      <c r="N894" t="s">
        <v>5521</v>
      </c>
      <c r="O894" t="s">
        <v>5522</v>
      </c>
      <c r="P894" t="s">
        <v>5523</v>
      </c>
      <c r="Q894" t="s">
        <v>5524</v>
      </c>
      <c r="R894" t="s">
        <v>5525</v>
      </c>
      <c r="S894" t="s">
        <v>3469</v>
      </c>
    </row>
    <row r="895" spans="1:19" x14ac:dyDescent="0.2">
      <c r="A895" t="str">
        <f t="shared" si="13"/>
        <v>metab_compid_566</v>
      </c>
      <c r="B895">
        <v>241</v>
      </c>
      <c r="C895">
        <v>209</v>
      </c>
      <c r="D895">
        <v>566</v>
      </c>
      <c r="E895">
        <v>124529</v>
      </c>
      <c r="F895" t="s">
        <v>3436</v>
      </c>
      <c r="G895" t="s">
        <v>3524</v>
      </c>
      <c r="H895">
        <v>155</v>
      </c>
      <c r="I895" t="s">
        <v>3438</v>
      </c>
      <c r="J895" t="s">
        <v>3697</v>
      </c>
      <c r="K895" t="s">
        <v>3698</v>
      </c>
      <c r="L895" t="s">
        <v>3699</v>
      </c>
      <c r="M895" t="s">
        <v>3699</v>
      </c>
      <c r="N895" t="s">
        <v>3700</v>
      </c>
      <c r="O895" t="s">
        <v>3701</v>
      </c>
      <c r="P895" t="s">
        <v>3702</v>
      </c>
      <c r="Q895" t="s">
        <v>3703</v>
      </c>
      <c r="R895" t="s">
        <v>3704</v>
      </c>
      <c r="S895" t="s">
        <v>3469</v>
      </c>
    </row>
    <row r="896" spans="1:19" x14ac:dyDescent="0.2">
      <c r="A896" t="str">
        <f t="shared" si="13"/>
        <v>metab_compid_42109</v>
      </c>
      <c r="B896">
        <v>461</v>
      </c>
      <c r="C896">
        <v>400</v>
      </c>
      <c r="D896">
        <v>42109</v>
      </c>
      <c r="E896">
        <v>156915</v>
      </c>
      <c r="F896" t="s">
        <v>3479</v>
      </c>
      <c r="G896" t="s">
        <v>4075</v>
      </c>
      <c r="H896">
        <v>1486</v>
      </c>
      <c r="I896" t="s">
        <v>3438</v>
      </c>
      <c r="J896" t="s">
        <v>4076</v>
      </c>
      <c r="K896" t="s">
        <v>4077</v>
      </c>
      <c r="L896" t="s">
        <v>4078</v>
      </c>
      <c r="M896" t="s">
        <v>4078</v>
      </c>
      <c r="N896" t="s">
        <v>4079</v>
      </c>
      <c r="O896" t="s">
        <v>4080</v>
      </c>
      <c r="P896" t="s">
        <v>4081</v>
      </c>
      <c r="Q896" t="s">
        <v>4082</v>
      </c>
      <c r="R896" t="s">
        <v>4083</v>
      </c>
      <c r="S896" t="s">
        <v>3458</v>
      </c>
    </row>
    <row r="897" spans="1:19" x14ac:dyDescent="0.2">
      <c r="A897" t="str">
        <f t="shared" si="13"/>
        <v>metab_compid_597</v>
      </c>
      <c r="B897">
        <v>463</v>
      </c>
      <c r="C897">
        <v>209</v>
      </c>
      <c r="D897">
        <v>597</v>
      </c>
      <c r="E897">
        <v>124535</v>
      </c>
      <c r="F897" t="s">
        <v>3977</v>
      </c>
      <c r="G897" t="s">
        <v>4084</v>
      </c>
      <c r="H897">
        <v>1255</v>
      </c>
      <c r="I897" t="s">
        <v>3438</v>
      </c>
      <c r="J897" t="s">
        <v>4085</v>
      </c>
      <c r="K897" t="s">
        <v>4086</v>
      </c>
      <c r="L897" t="s">
        <v>4087</v>
      </c>
      <c r="M897" t="s">
        <v>4087</v>
      </c>
      <c r="N897" t="s">
        <v>4088</v>
      </c>
      <c r="O897" t="s">
        <v>4089</v>
      </c>
      <c r="P897" t="s">
        <v>4090</v>
      </c>
      <c r="Q897" t="s">
        <v>4091</v>
      </c>
      <c r="R897" t="s">
        <v>4092</v>
      </c>
      <c r="S897" t="s">
        <v>3469</v>
      </c>
    </row>
    <row r="898" spans="1:19" x14ac:dyDescent="0.2">
      <c r="A898" t="str">
        <f t="shared" ref="A898:A961" si="14">_xlfn.CONCAT("metab_compid_", $D898)</f>
        <v>metab_compid_1600</v>
      </c>
      <c r="B898">
        <v>1026</v>
      </c>
      <c r="C898">
        <v>400</v>
      </c>
      <c r="D898">
        <v>1600</v>
      </c>
      <c r="E898">
        <v>155428</v>
      </c>
      <c r="F898" t="s">
        <v>3459</v>
      </c>
      <c r="G898" t="s">
        <v>3758</v>
      </c>
      <c r="H898">
        <v>2256</v>
      </c>
      <c r="I898" t="s">
        <v>3438</v>
      </c>
      <c r="J898" t="s">
        <v>4583</v>
      </c>
      <c r="K898" t="s">
        <v>4584</v>
      </c>
      <c r="L898" t="s">
        <v>4585</v>
      </c>
      <c r="M898" t="s">
        <v>4586</v>
      </c>
      <c r="N898" t="s">
        <v>4587</v>
      </c>
      <c r="O898" t="s">
        <v>4588</v>
      </c>
      <c r="P898" t="s">
        <v>4589</v>
      </c>
      <c r="Q898" t="s">
        <v>4590</v>
      </c>
      <c r="R898" t="s">
        <v>4591</v>
      </c>
      <c r="S898" t="s">
        <v>3458</v>
      </c>
    </row>
    <row r="899" spans="1:19" x14ac:dyDescent="0.2">
      <c r="A899" t="str">
        <f t="shared" si="14"/>
        <v>metab_compid_598</v>
      </c>
      <c r="B899">
        <v>466</v>
      </c>
      <c r="C899">
        <v>209</v>
      </c>
      <c r="D899">
        <v>598</v>
      </c>
      <c r="E899">
        <v>143837</v>
      </c>
      <c r="F899" t="s">
        <v>3863</v>
      </c>
      <c r="G899" t="s">
        <v>3864</v>
      </c>
      <c r="H899">
        <v>5022</v>
      </c>
      <c r="I899" t="s">
        <v>3438</v>
      </c>
      <c r="J899" t="s">
        <v>4093</v>
      </c>
      <c r="K899" t="s">
        <v>4094</v>
      </c>
      <c r="L899" t="s">
        <v>4095</v>
      </c>
      <c r="M899" t="s">
        <v>4095</v>
      </c>
      <c r="N899" t="s">
        <v>4096</v>
      </c>
      <c r="O899" t="s">
        <v>4097</v>
      </c>
      <c r="P899" t="s">
        <v>4098</v>
      </c>
      <c r="Q899" t="s">
        <v>4099</v>
      </c>
      <c r="R899" t="s">
        <v>4100</v>
      </c>
      <c r="S899" t="s">
        <v>3469</v>
      </c>
    </row>
    <row r="900" spans="1:19" x14ac:dyDescent="0.2">
      <c r="A900" t="str">
        <f t="shared" si="14"/>
        <v>metab_compid_1512</v>
      </c>
      <c r="B900">
        <v>1022</v>
      </c>
      <c r="C900">
        <v>400</v>
      </c>
      <c r="D900">
        <v>1512</v>
      </c>
      <c r="E900">
        <v>155387</v>
      </c>
      <c r="F900" t="s">
        <v>3436</v>
      </c>
      <c r="G900" t="s">
        <v>3470</v>
      </c>
      <c r="H900">
        <v>287</v>
      </c>
      <c r="I900" t="s">
        <v>3438</v>
      </c>
      <c r="J900" t="s">
        <v>4552</v>
      </c>
      <c r="K900" t="s">
        <v>4553</v>
      </c>
      <c r="L900" t="s">
        <v>4554</v>
      </c>
      <c r="M900" t="s">
        <v>4554</v>
      </c>
      <c r="N900" t="s">
        <v>4555</v>
      </c>
      <c r="O900" t="s">
        <v>4556</v>
      </c>
      <c r="P900" t="s">
        <v>4557</v>
      </c>
      <c r="Q900" t="s">
        <v>4558</v>
      </c>
      <c r="R900" t="s">
        <v>4559</v>
      </c>
      <c r="S900" t="s">
        <v>3458</v>
      </c>
    </row>
    <row r="901" spans="1:19" x14ac:dyDescent="0.2">
      <c r="A901" t="str">
        <f t="shared" si="14"/>
        <v>metab_compid_63057</v>
      </c>
      <c r="B901">
        <v>100021198</v>
      </c>
      <c r="C901">
        <v>209</v>
      </c>
      <c r="D901">
        <v>63057</v>
      </c>
      <c r="E901">
        <v>221668</v>
      </c>
      <c r="F901" t="s">
        <v>3459</v>
      </c>
      <c r="G901" t="s">
        <v>4991</v>
      </c>
      <c r="H901">
        <v>1855</v>
      </c>
      <c r="I901" t="s">
        <v>3438</v>
      </c>
      <c r="J901" t="s">
        <v>10105</v>
      </c>
      <c r="K901" t="s">
        <v>10106</v>
      </c>
      <c r="L901" t="s">
        <v>10107</v>
      </c>
      <c r="M901" t="s">
        <v>10107</v>
      </c>
      <c r="N901" t="s">
        <v>10108</v>
      </c>
      <c r="O901" t="s">
        <v>10109</v>
      </c>
      <c r="P901" t="s">
        <v>10110</v>
      </c>
      <c r="R901" t="s">
        <v>10111</v>
      </c>
      <c r="S901" t="s">
        <v>3469</v>
      </c>
    </row>
    <row r="902" spans="1:19" x14ac:dyDescent="0.2">
      <c r="A902" t="str">
        <f t="shared" si="14"/>
        <v>metab_compid_15704</v>
      </c>
      <c r="B902">
        <v>100000101</v>
      </c>
      <c r="C902">
        <v>305</v>
      </c>
      <c r="D902">
        <v>15704</v>
      </c>
      <c r="E902">
        <v>147156</v>
      </c>
      <c r="F902" t="s">
        <v>3459</v>
      </c>
      <c r="G902" t="s">
        <v>3873</v>
      </c>
      <c r="H902">
        <v>1691</v>
      </c>
      <c r="I902" t="s">
        <v>3438</v>
      </c>
      <c r="J902" t="s">
        <v>5239</v>
      </c>
      <c r="K902" t="s">
        <v>5240</v>
      </c>
      <c r="L902" t="s">
        <v>5241</v>
      </c>
      <c r="M902" t="s">
        <v>5241</v>
      </c>
      <c r="N902" t="s">
        <v>5242</v>
      </c>
      <c r="O902" t="s">
        <v>5243</v>
      </c>
      <c r="P902" t="s">
        <v>5244</v>
      </c>
      <c r="Q902" t="s">
        <v>5245</v>
      </c>
      <c r="R902" t="s">
        <v>5246</v>
      </c>
      <c r="S902" t="s">
        <v>3489</v>
      </c>
    </row>
    <row r="903" spans="1:19" x14ac:dyDescent="0.2">
      <c r="A903" t="str">
        <f t="shared" si="14"/>
        <v>metab_compid_33139</v>
      </c>
      <c r="B903">
        <v>100001317</v>
      </c>
      <c r="C903">
        <v>400</v>
      </c>
      <c r="D903">
        <v>33139</v>
      </c>
      <c r="E903">
        <v>156003</v>
      </c>
      <c r="F903" t="s">
        <v>3863</v>
      </c>
      <c r="G903" t="s">
        <v>6220</v>
      </c>
      <c r="H903">
        <v>5800</v>
      </c>
      <c r="I903" t="s">
        <v>3438</v>
      </c>
      <c r="J903" t="s">
        <v>6221</v>
      </c>
      <c r="K903" t="s">
        <v>6222</v>
      </c>
      <c r="L903" t="s">
        <v>6223</v>
      </c>
      <c r="M903" t="s">
        <v>6223</v>
      </c>
      <c r="N903" t="s">
        <v>6224</v>
      </c>
      <c r="O903" t="s">
        <v>6225</v>
      </c>
      <c r="P903" t="s">
        <v>6226</v>
      </c>
      <c r="Q903" t="s">
        <v>6227</v>
      </c>
      <c r="R903" t="s">
        <v>6228</v>
      </c>
      <c r="S903" t="s">
        <v>3458</v>
      </c>
    </row>
    <row r="904" spans="1:19" x14ac:dyDescent="0.2">
      <c r="A904" t="str">
        <f t="shared" si="14"/>
        <v>metab_compid_1444</v>
      </c>
      <c r="B904">
        <v>1025</v>
      </c>
      <c r="C904">
        <v>400</v>
      </c>
      <c r="D904">
        <v>1444</v>
      </c>
      <c r="E904">
        <v>155369</v>
      </c>
      <c r="F904" t="s">
        <v>3436</v>
      </c>
      <c r="G904" t="s">
        <v>3586</v>
      </c>
      <c r="H904">
        <v>133</v>
      </c>
      <c r="I904" t="s">
        <v>3438</v>
      </c>
      <c r="J904" t="s">
        <v>4578</v>
      </c>
      <c r="K904" t="s">
        <v>4579</v>
      </c>
      <c r="L904" t="s">
        <v>4580</v>
      </c>
      <c r="M904" t="s">
        <v>4580</v>
      </c>
      <c r="N904" t="s">
        <v>4581</v>
      </c>
      <c r="P904" t="s">
        <v>4582</v>
      </c>
      <c r="S904" t="s">
        <v>3458</v>
      </c>
    </row>
    <row r="905" spans="1:19" x14ac:dyDescent="0.2">
      <c r="A905" t="str">
        <f t="shared" si="14"/>
        <v>metab_compid_33935</v>
      </c>
      <c r="B905">
        <v>100001267</v>
      </c>
      <c r="C905">
        <v>402</v>
      </c>
      <c r="D905">
        <v>33935</v>
      </c>
      <c r="E905">
        <v>158580</v>
      </c>
      <c r="F905" t="s">
        <v>3863</v>
      </c>
      <c r="G905" t="s">
        <v>3864</v>
      </c>
      <c r="H905">
        <v>5028</v>
      </c>
      <c r="I905" t="s">
        <v>3438</v>
      </c>
      <c r="J905" t="s">
        <v>6074</v>
      </c>
      <c r="K905" t="s">
        <v>6075</v>
      </c>
      <c r="L905" t="s">
        <v>6076</v>
      </c>
      <c r="M905" t="s">
        <v>6076</v>
      </c>
      <c r="N905" t="s">
        <v>6077</v>
      </c>
      <c r="O905" t="s">
        <v>6078</v>
      </c>
      <c r="P905" t="s">
        <v>6079</v>
      </c>
      <c r="Q905" t="s">
        <v>6080</v>
      </c>
      <c r="R905" t="s">
        <v>6081</v>
      </c>
      <c r="S905" t="s">
        <v>3447</v>
      </c>
    </row>
    <row r="906" spans="1:19" x14ac:dyDescent="0.2">
      <c r="A906" t="str">
        <f t="shared" si="14"/>
        <v>metab_compid_52913</v>
      </c>
      <c r="B906">
        <v>100008943</v>
      </c>
      <c r="C906">
        <v>209</v>
      </c>
      <c r="D906">
        <v>52913</v>
      </c>
      <c r="E906">
        <v>166010</v>
      </c>
      <c r="F906" t="s">
        <v>3863</v>
      </c>
      <c r="G906" t="s">
        <v>4959</v>
      </c>
      <c r="H906">
        <v>5876</v>
      </c>
      <c r="I906" t="s">
        <v>3438</v>
      </c>
      <c r="J906" t="s">
        <v>8849</v>
      </c>
      <c r="K906" t="s">
        <v>8850</v>
      </c>
      <c r="L906" t="s">
        <v>8851</v>
      </c>
      <c r="M906" t="s">
        <v>8851</v>
      </c>
      <c r="N906" t="s">
        <v>8852</v>
      </c>
      <c r="O906" t="s">
        <v>8853</v>
      </c>
      <c r="P906" t="s">
        <v>8854</v>
      </c>
      <c r="R906" t="s">
        <v>8855</v>
      </c>
      <c r="S906" t="s">
        <v>3469</v>
      </c>
    </row>
    <row r="907" spans="1:19" x14ac:dyDescent="0.2">
      <c r="A907" t="str">
        <f t="shared" si="14"/>
        <v>metab_compid_40708</v>
      </c>
      <c r="B907">
        <v>100003470</v>
      </c>
      <c r="C907">
        <v>209</v>
      </c>
      <c r="D907">
        <v>40708</v>
      </c>
      <c r="E907">
        <v>143065</v>
      </c>
      <c r="F907" t="s">
        <v>3459</v>
      </c>
      <c r="G907" t="s">
        <v>7133</v>
      </c>
      <c r="H907">
        <v>3303</v>
      </c>
      <c r="I907" t="s">
        <v>3438</v>
      </c>
      <c r="J907" t="s">
        <v>7923</v>
      </c>
      <c r="K907" t="s">
        <v>7924</v>
      </c>
      <c r="L907" t="s">
        <v>7925</v>
      </c>
      <c r="M907" t="s">
        <v>7925</v>
      </c>
      <c r="N907" t="s">
        <v>7926</v>
      </c>
      <c r="O907" t="s">
        <v>7927</v>
      </c>
      <c r="P907" t="s">
        <v>7928</v>
      </c>
      <c r="R907" t="s">
        <v>7929</v>
      </c>
      <c r="S907" t="s">
        <v>3469</v>
      </c>
    </row>
    <row r="908" spans="1:19" x14ac:dyDescent="0.2">
      <c r="A908" t="str">
        <f t="shared" si="14"/>
        <v>metab_compid_48394</v>
      </c>
      <c r="B908">
        <v>100006173</v>
      </c>
      <c r="C908">
        <v>209</v>
      </c>
      <c r="D908">
        <v>48394</v>
      </c>
      <c r="E908">
        <v>154288</v>
      </c>
      <c r="F908" t="s">
        <v>3459</v>
      </c>
      <c r="G908" t="s">
        <v>7133</v>
      </c>
      <c r="H908">
        <v>3308</v>
      </c>
      <c r="I908" t="s">
        <v>3438</v>
      </c>
      <c r="J908" t="s">
        <v>8490</v>
      </c>
      <c r="K908" t="s">
        <v>8491</v>
      </c>
      <c r="L908" t="s">
        <v>8492</v>
      </c>
      <c r="M908" t="s">
        <v>8492</v>
      </c>
      <c r="P908" t="s">
        <v>8493</v>
      </c>
      <c r="Q908" t="s">
        <v>8494</v>
      </c>
      <c r="R908" t="s">
        <v>8495</v>
      </c>
      <c r="S908" t="s">
        <v>3469</v>
      </c>
    </row>
    <row r="909" spans="1:19" x14ac:dyDescent="0.2">
      <c r="A909" t="str">
        <f t="shared" si="14"/>
        <v>metab_compid_32562</v>
      </c>
      <c r="B909">
        <v>100001993</v>
      </c>
      <c r="C909">
        <v>209</v>
      </c>
      <c r="D909">
        <v>32562</v>
      </c>
      <c r="E909">
        <v>149820</v>
      </c>
      <c r="F909" t="s">
        <v>3459</v>
      </c>
      <c r="G909" t="s">
        <v>7151</v>
      </c>
      <c r="H909">
        <v>3280</v>
      </c>
      <c r="I909" t="s">
        <v>3438</v>
      </c>
      <c r="J909" t="s">
        <v>7152</v>
      </c>
      <c r="K909" t="s">
        <v>7153</v>
      </c>
      <c r="L909" t="s">
        <v>7154</v>
      </c>
      <c r="M909" t="s">
        <v>7155</v>
      </c>
      <c r="S909" t="s">
        <v>3469</v>
      </c>
    </row>
    <row r="910" spans="1:19" x14ac:dyDescent="0.2">
      <c r="A910" t="str">
        <f t="shared" si="14"/>
        <v>metab_compid_32619</v>
      </c>
      <c r="B910">
        <v>100002067</v>
      </c>
      <c r="C910">
        <v>209</v>
      </c>
      <c r="D910">
        <v>32619</v>
      </c>
      <c r="E910">
        <v>149838</v>
      </c>
      <c r="F910" t="s">
        <v>3459</v>
      </c>
      <c r="G910" t="s">
        <v>7151</v>
      </c>
      <c r="H910">
        <v>3279</v>
      </c>
      <c r="I910" t="s">
        <v>3438</v>
      </c>
      <c r="J910" t="s">
        <v>7224</v>
      </c>
      <c r="K910" t="s">
        <v>7225</v>
      </c>
      <c r="L910" t="s">
        <v>7226</v>
      </c>
      <c r="M910" t="s">
        <v>7226</v>
      </c>
      <c r="N910" t="s">
        <v>7227</v>
      </c>
      <c r="O910" t="s">
        <v>7228</v>
      </c>
      <c r="P910" t="s">
        <v>7229</v>
      </c>
      <c r="Q910" t="s">
        <v>7230</v>
      </c>
      <c r="R910" t="s">
        <v>7231</v>
      </c>
      <c r="S910" t="s">
        <v>3469</v>
      </c>
    </row>
    <row r="911" spans="1:19" x14ac:dyDescent="0.2">
      <c r="A911" t="str">
        <f t="shared" si="14"/>
        <v>metab_compid_62921</v>
      </c>
      <c r="B911">
        <v>100021104</v>
      </c>
      <c r="C911">
        <v>209</v>
      </c>
      <c r="D911">
        <v>62921</v>
      </c>
      <c r="E911">
        <v>220777</v>
      </c>
      <c r="F911" t="s">
        <v>3459</v>
      </c>
      <c r="G911" t="s">
        <v>7151</v>
      </c>
      <c r="H911">
        <v>3282</v>
      </c>
      <c r="I911" t="s">
        <v>3438</v>
      </c>
      <c r="J911" t="s">
        <v>10076</v>
      </c>
      <c r="K911" t="s">
        <v>10077</v>
      </c>
      <c r="L911" t="s">
        <v>10078</v>
      </c>
      <c r="M911" t="s">
        <v>10078</v>
      </c>
      <c r="S911" t="s">
        <v>3469</v>
      </c>
    </row>
    <row r="912" spans="1:19" x14ac:dyDescent="0.2">
      <c r="A912" t="str">
        <f t="shared" si="14"/>
        <v>metab_compid_62922</v>
      </c>
      <c r="B912">
        <v>100021103</v>
      </c>
      <c r="C912">
        <v>209</v>
      </c>
      <c r="D912">
        <v>62922</v>
      </c>
      <c r="E912">
        <v>220778</v>
      </c>
      <c r="F912" t="s">
        <v>3459</v>
      </c>
      <c r="G912" t="s">
        <v>7151</v>
      </c>
      <c r="H912">
        <v>3281</v>
      </c>
      <c r="I912" t="s">
        <v>3438</v>
      </c>
      <c r="J912" t="s">
        <v>10072</v>
      </c>
      <c r="K912" t="s">
        <v>10073</v>
      </c>
      <c r="L912" t="s">
        <v>10074</v>
      </c>
      <c r="M912" t="s">
        <v>10074</v>
      </c>
      <c r="R912" t="s">
        <v>10075</v>
      </c>
      <c r="S912" t="s">
        <v>3469</v>
      </c>
    </row>
    <row r="913" spans="1:19" x14ac:dyDescent="0.2">
      <c r="A913" t="str">
        <f t="shared" si="14"/>
        <v>metab_compid_38170</v>
      </c>
      <c r="B913">
        <v>100002129</v>
      </c>
      <c r="C913">
        <v>209</v>
      </c>
      <c r="D913">
        <v>38170</v>
      </c>
      <c r="E913">
        <v>127723</v>
      </c>
      <c r="F913" t="s">
        <v>3459</v>
      </c>
      <c r="G913" t="s">
        <v>7151</v>
      </c>
      <c r="H913">
        <v>3263</v>
      </c>
      <c r="I913" t="s">
        <v>3438</v>
      </c>
      <c r="J913" t="s">
        <v>7301</v>
      </c>
      <c r="K913" t="s">
        <v>7302</v>
      </c>
      <c r="L913" t="s">
        <v>7303</v>
      </c>
      <c r="M913" t="s">
        <v>7303</v>
      </c>
      <c r="N913" t="s">
        <v>7227</v>
      </c>
      <c r="O913" t="s">
        <v>7304</v>
      </c>
      <c r="P913" t="s">
        <v>7229</v>
      </c>
      <c r="Q913" t="s">
        <v>7230</v>
      </c>
      <c r="R913" t="s">
        <v>7231</v>
      </c>
      <c r="S913" t="s">
        <v>3469</v>
      </c>
    </row>
    <row r="914" spans="1:19" x14ac:dyDescent="0.2">
      <c r="A914" t="str">
        <f t="shared" si="14"/>
        <v>metab_compid_38271</v>
      </c>
      <c r="B914">
        <v>477</v>
      </c>
      <c r="C914">
        <v>209</v>
      </c>
      <c r="D914">
        <v>38271</v>
      </c>
      <c r="E914">
        <v>151095</v>
      </c>
      <c r="F914" t="s">
        <v>3459</v>
      </c>
      <c r="G914" t="s">
        <v>4101</v>
      </c>
      <c r="H914">
        <v>1670</v>
      </c>
      <c r="I914" t="s">
        <v>3438</v>
      </c>
      <c r="J914" t="s">
        <v>4102</v>
      </c>
      <c r="K914" t="s">
        <v>4103</v>
      </c>
      <c r="L914" t="s">
        <v>4104</v>
      </c>
      <c r="M914" t="s">
        <v>4104</v>
      </c>
      <c r="N914" t="s">
        <v>4105</v>
      </c>
      <c r="O914" t="s">
        <v>4106</v>
      </c>
      <c r="P914" t="s">
        <v>4107</v>
      </c>
      <c r="R914" t="s">
        <v>4108</v>
      </c>
      <c r="S914" t="s">
        <v>3469</v>
      </c>
    </row>
    <row r="915" spans="1:19" x14ac:dyDescent="0.2">
      <c r="A915" t="str">
        <f t="shared" si="14"/>
        <v>metab_compid_35127</v>
      </c>
      <c r="B915">
        <v>100001167</v>
      </c>
      <c r="C915">
        <v>400</v>
      </c>
      <c r="D915">
        <v>35127</v>
      </c>
      <c r="E915">
        <v>156146</v>
      </c>
      <c r="F915" t="s">
        <v>3436</v>
      </c>
      <c r="G915" t="s">
        <v>3661</v>
      </c>
      <c r="H915">
        <v>522</v>
      </c>
      <c r="I915" t="s">
        <v>3438</v>
      </c>
      <c r="J915" t="s">
        <v>5904</v>
      </c>
      <c r="K915" t="s">
        <v>5905</v>
      </c>
      <c r="L915" t="s">
        <v>5906</v>
      </c>
      <c r="M915" t="s">
        <v>5907</v>
      </c>
      <c r="N915" t="s">
        <v>5908</v>
      </c>
      <c r="O915" t="s">
        <v>5909</v>
      </c>
      <c r="P915" t="s">
        <v>5910</v>
      </c>
      <c r="R915" t="s">
        <v>5911</v>
      </c>
      <c r="S915" t="s">
        <v>3458</v>
      </c>
    </row>
    <row r="916" spans="1:19" x14ac:dyDescent="0.2">
      <c r="A916" t="str">
        <f t="shared" si="14"/>
        <v>metab_compid_47119</v>
      </c>
      <c r="B916">
        <v>100005735</v>
      </c>
      <c r="C916">
        <v>209</v>
      </c>
      <c r="D916">
        <v>47119</v>
      </c>
      <c r="E916">
        <v>149391</v>
      </c>
      <c r="F916" t="s">
        <v>3863</v>
      </c>
      <c r="G916" t="s">
        <v>6220</v>
      </c>
      <c r="H916">
        <v>5835</v>
      </c>
      <c r="I916" t="s">
        <v>3438</v>
      </c>
      <c r="J916" t="s">
        <v>8346</v>
      </c>
      <c r="K916" t="s">
        <v>8347</v>
      </c>
      <c r="L916" t="s">
        <v>8348</v>
      </c>
      <c r="M916" t="s">
        <v>8348</v>
      </c>
      <c r="N916" t="s">
        <v>8349</v>
      </c>
      <c r="O916" t="s">
        <v>8350</v>
      </c>
      <c r="P916" t="s">
        <v>8351</v>
      </c>
      <c r="Q916" t="s">
        <v>8352</v>
      </c>
      <c r="R916" t="s">
        <v>8353</v>
      </c>
      <c r="S916" t="s">
        <v>3469</v>
      </c>
    </row>
    <row r="917" spans="1:19" x14ac:dyDescent="0.2">
      <c r="A917" t="str">
        <f t="shared" si="14"/>
        <v>metab_compid_1898</v>
      </c>
      <c r="B917">
        <v>480</v>
      </c>
      <c r="C917">
        <v>400</v>
      </c>
      <c r="D917">
        <v>1898</v>
      </c>
      <c r="E917">
        <v>155455</v>
      </c>
      <c r="F917" t="s">
        <v>3436</v>
      </c>
      <c r="G917" t="s">
        <v>3661</v>
      </c>
      <c r="H917">
        <v>502</v>
      </c>
      <c r="I917" t="s">
        <v>3438</v>
      </c>
      <c r="J917" t="s">
        <v>4109</v>
      </c>
      <c r="K917" t="s">
        <v>4110</v>
      </c>
      <c r="L917" t="s">
        <v>4111</v>
      </c>
      <c r="M917" t="s">
        <v>4111</v>
      </c>
      <c r="N917" t="s">
        <v>4112</v>
      </c>
      <c r="O917" t="s">
        <v>4113</v>
      </c>
      <c r="P917" t="s">
        <v>4114</v>
      </c>
      <c r="Q917" t="s">
        <v>4115</v>
      </c>
      <c r="R917" t="s">
        <v>4116</v>
      </c>
      <c r="S917" t="s">
        <v>3458</v>
      </c>
    </row>
    <row r="918" spans="1:19" x14ac:dyDescent="0.2">
      <c r="A918" t="str">
        <f t="shared" si="14"/>
        <v>metab_compid_40703</v>
      </c>
      <c r="B918">
        <v>100003674</v>
      </c>
      <c r="C918">
        <v>400</v>
      </c>
      <c r="D918">
        <v>40703</v>
      </c>
      <c r="E918">
        <v>156791</v>
      </c>
      <c r="F918" t="s">
        <v>3853</v>
      </c>
      <c r="G918" t="s">
        <v>5381</v>
      </c>
      <c r="H918">
        <v>963</v>
      </c>
      <c r="I918" t="s">
        <v>3438</v>
      </c>
      <c r="J918" t="s">
        <v>7959</v>
      </c>
      <c r="K918" t="s">
        <v>7960</v>
      </c>
      <c r="L918" t="s">
        <v>7961</v>
      </c>
      <c r="M918" t="s">
        <v>7961</v>
      </c>
      <c r="N918" t="s">
        <v>7962</v>
      </c>
      <c r="O918" t="s">
        <v>7963</v>
      </c>
      <c r="P918" t="s">
        <v>7964</v>
      </c>
      <c r="R918" t="s">
        <v>7965</v>
      </c>
      <c r="S918" t="s">
        <v>3458</v>
      </c>
    </row>
    <row r="919" spans="1:19" x14ac:dyDescent="0.2">
      <c r="A919" t="str">
        <f t="shared" si="14"/>
        <v>metab_compid_32452</v>
      </c>
      <c r="B919">
        <v>100001162</v>
      </c>
      <c r="C919">
        <v>400</v>
      </c>
      <c r="D919">
        <v>32452</v>
      </c>
      <c r="E919">
        <v>155955</v>
      </c>
      <c r="F919" t="s">
        <v>3459</v>
      </c>
      <c r="G919" t="s">
        <v>5754</v>
      </c>
      <c r="H919">
        <v>1789</v>
      </c>
      <c r="I919" t="s">
        <v>3438</v>
      </c>
      <c r="J919" t="s">
        <v>5896</v>
      </c>
      <c r="K919" t="s">
        <v>5897</v>
      </c>
      <c r="L919" t="s">
        <v>5898</v>
      </c>
      <c r="M919" t="s">
        <v>5898</v>
      </c>
      <c r="N919" t="s">
        <v>5899</v>
      </c>
      <c r="O919" t="s">
        <v>5900</v>
      </c>
      <c r="P919" t="s">
        <v>5901</v>
      </c>
      <c r="Q919" t="s">
        <v>5902</v>
      </c>
      <c r="R919" t="s">
        <v>5903</v>
      </c>
      <c r="S919" t="s">
        <v>3458</v>
      </c>
    </row>
    <row r="920" spans="1:19" x14ac:dyDescent="0.2">
      <c r="A920" t="str">
        <f t="shared" si="14"/>
        <v>metab_compid_31932</v>
      </c>
      <c r="B920">
        <v>100001150</v>
      </c>
      <c r="C920">
        <v>209</v>
      </c>
      <c r="D920">
        <v>31932</v>
      </c>
      <c r="E920">
        <v>143851</v>
      </c>
      <c r="F920" t="s">
        <v>3459</v>
      </c>
      <c r="G920" t="s">
        <v>5754</v>
      </c>
      <c r="H920">
        <v>1790</v>
      </c>
      <c r="I920" t="s">
        <v>3438</v>
      </c>
      <c r="J920" t="s">
        <v>5880</v>
      </c>
      <c r="K920" t="s">
        <v>5881</v>
      </c>
      <c r="L920" t="s">
        <v>5882</v>
      </c>
      <c r="M920" t="s">
        <v>5883</v>
      </c>
      <c r="N920" t="s">
        <v>5884</v>
      </c>
      <c r="O920" t="s">
        <v>5885</v>
      </c>
      <c r="P920" t="s">
        <v>5886</v>
      </c>
      <c r="R920" t="s">
        <v>5887</v>
      </c>
      <c r="S920" t="s">
        <v>3469</v>
      </c>
    </row>
    <row r="921" spans="1:19" x14ac:dyDescent="0.2">
      <c r="A921" t="str">
        <f t="shared" si="14"/>
        <v>metab_compid_48480</v>
      </c>
      <c r="B921">
        <v>100006205</v>
      </c>
      <c r="C921">
        <v>305</v>
      </c>
      <c r="D921">
        <v>48480</v>
      </c>
      <c r="E921">
        <v>179393</v>
      </c>
      <c r="F921" t="s">
        <v>3863</v>
      </c>
      <c r="G921" t="s">
        <v>5082</v>
      </c>
      <c r="H921">
        <v>4567</v>
      </c>
      <c r="I921" t="s">
        <v>3438</v>
      </c>
      <c r="J921" t="s">
        <v>8528</v>
      </c>
      <c r="K921" t="s">
        <v>8529</v>
      </c>
      <c r="L921" t="s">
        <v>8530</v>
      </c>
      <c r="M921" t="s">
        <v>8530</v>
      </c>
      <c r="N921" t="s">
        <v>8531</v>
      </c>
      <c r="O921" t="s">
        <v>8532</v>
      </c>
      <c r="P921" t="s">
        <v>8533</v>
      </c>
      <c r="Q921" t="s">
        <v>8534</v>
      </c>
      <c r="R921" t="s">
        <v>8535</v>
      </c>
      <c r="S921" t="s">
        <v>3489</v>
      </c>
    </row>
    <row r="922" spans="1:19" x14ac:dyDescent="0.2">
      <c r="A922" t="str">
        <f t="shared" si="14"/>
        <v>metab_compid_48460</v>
      </c>
      <c r="B922">
        <v>100006264</v>
      </c>
      <c r="C922">
        <v>209</v>
      </c>
      <c r="D922">
        <v>48460</v>
      </c>
      <c r="E922">
        <v>155097</v>
      </c>
      <c r="F922" t="s">
        <v>3863</v>
      </c>
      <c r="G922" t="s">
        <v>5082</v>
      </c>
      <c r="H922">
        <v>4568</v>
      </c>
      <c r="I922" t="s">
        <v>3438</v>
      </c>
      <c r="J922" t="s">
        <v>8565</v>
      </c>
      <c r="K922" t="s">
        <v>8566</v>
      </c>
      <c r="L922" t="s">
        <v>8567</v>
      </c>
      <c r="M922" t="s">
        <v>8567</v>
      </c>
      <c r="N922" t="s">
        <v>8568</v>
      </c>
      <c r="O922" t="s">
        <v>8569</v>
      </c>
      <c r="P922" t="s">
        <v>8570</v>
      </c>
      <c r="R922" t="s">
        <v>8571</v>
      </c>
      <c r="S922" t="s">
        <v>3469</v>
      </c>
    </row>
    <row r="923" spans="1:19" x14ac:dyDescent="0.2">
      <c r="A923" t="str">
        <f t="shared" si="14"/>
        <v>metab_compid_33442</v>
      </c>
      <c r="B923">
        <v>821</v>
      </c>
      <c r="C923">
        <v>209</v>
      </c>
      <c r="D923">
        <v>33442</v>
      </c>
      <c r="E923">
        <v>125870</v>
      </c>
      <c r="F923" t="s">
        <v>3533</v>
      </c>
      <c r="G923" t="s">
        <v>3705</v>
      </c>
      <c r="H923">
        <v>4241</v>
      </c>
      <c r="I923" t="s">
        <v>3438</v>
      </c>
      <c r="J923" t="s">
        <v>4333</v>
      </c>
      <c r="K923" t="s">
        <v>4334</v>
      </c>
      <c r="L923" t="s">
        <v>4335</v>
      </c>
      <c r="M923" t="s">
        <v>4335</v>
      </c>
      <c r="N923" t="s">
        <v>4336</v>
      </c>
      <c r="O923" t="s">
        <v>4337</v>
      </c>
      <c r="P923" t="s">
        <v>4338</v>
      </c>
      <c r="Q923" t="s">
        <v>4339</v>
      </c>
      <c r="R923" t="s">
        <v>4340</v>
      </c>
      <c r="S923" t="s">
        <v>3469</v>
      </c>
    </row>
    <row r="924" spans="1:19" x14ac:dyDescent="0.2">
      <c r="A924" t="str">
        <f t="shared" si="14"/>
        <v>metab_compid_31555</v>
      </c>
      <c r="B924">
        <v>100001121</v>
      </c>
      <c r="C924">
        <v>209</v>
      </c>
      <c r="D924">
        <v>31555</v>
      </c>
      <c r="E924">
        <v>124697</v>
      </c>
      <c r="F924" t="s">
        <v>3448</v>
      </c>
      <c r="G924" t="s">
        <v>5858</v>
      </c>
      <c r="H924">
        <v>4472</v>
      </c>
      <c r="I924" t="s">
        <v>3438</v>
      </c>
      <c r="J924" t="s">
        <v>5859</v>
      </c>
      <c r="K924" t="s">
        <v>5860</v>
      </c>
      <c r="L924" t="s">
        <v>5861</v>
      </c>
      <c r="M924" t="s">
        <v>5861</v>
      </c>
      <c r="N924" t="s">
        <v>5862</v>
      </c>
      <c r="O924" t="s">
        <v>5863</v>
      </c>
      <c r="P924" t="s">
        <v>5864</v>
      </c>
      <c r="Q924" t="s">
        <v>5865</v>
      </c>
      <c r="R924" t="s">
        <v>5866</v>
      </c>
      <c r="S924" t="s">
        <v>3469</v>
      </c>
    </row>
    <row r="925" spans="1:19" x14ac:dyDescent="0.2">
      <c r="A925" t="str">
        <f t="shared" si="14"/>
        <v>metab_compid_48428</v>
      </c>
      <c r="B925">
        <v>100001767</v>
      </c>
      <c r="C925">
        <v>209</v>
      </c>
      <c r="D925">
        <v>48428</v>
      </c>
      <c r="E925">
        <v>155071</v>
      </c>
      <c r="F925" t="s">
        <v>3863</v>
      </c>
      <c r="G925" t="s">
        <v>3864</v>
      </c>
      <c r="H925">
        <v>5140</v>
      </c>
      <c r="I925" t="s">
        <v>3438</v>
      </c>
      <c r="J925" t="s">
        <v>6945</v>
      </c>
      <c r="K925" t="s">
        <v>6946</v>
      </c>
      <c r="L925" t="s">
        <v>6947</v>
      </c>
      <c r="M925" t="s">
        <v>6947</v>
      </c>
      <c r="N925" t="s">
        <v>6948</v>
      </c>
      <c r="O925" t="s">
        <v>6949</v>
      </c>
      <c r="P925" t="s">
        <v>6950</v>
      </c>
      <c r="Q925" t="s">
        <v>6951</v>
      </c>
      <c r="R925" t="s">
        <v>6952</v>
      </c>
      <c r="S925" t="s">
        <v>3469</v>
      </c>
    </row>
    <row r="926" spans="1:19" x14ac:dyDescent="0.2">
      <c r="A926" t="str">
        <f t="shared" si="14"/>
        <v>metab_compid_48990</v>
      </c>
      <c r="B926">
        <v>823</v>
      </c>
      <c r="C926">
        <v>305</v>
      </c>
      <c r="D926">
        <v>48990</v>
      </c>
      <c r="E926">
        <v>160586</v>
      </c>
      <c r="F926" t="s">
        <v>3977</v>
      </c>
      <c r="G926" t="s">
        <v>4084</v>
      </c>
      <c r="H926">
        <v>1256</v>
      </c>
      <c r="I926" t="s">
        <v>3438</v>
      </c>
      <c r="J926" t="s">
        <v>4341</v>
      </c>
      <c r="K926" t="s">
        <v>4342</v>
      </c>
      <c r="L926" t="s">
        <v>796</v>
      </c>
      <c r="M926" t="s">
        <v>796</v>
      </c>
      <c r="N926" t="s">
        <v>4343</v>
      </c>
      <c r="O926" t="s">
        <v>4344</v>
      </c>
      <c r="P926" t="s">
        <v>4345</v>
      </c>
      <c r="Q926" t="s">
        <v>4346</v>
      </c>
      <c r="R926" t="s">
        <v>4347</v>
      </c>
      <c r="S926" t="s">
        <v>3489</v>
      </c>
    </row>
    <row r="927" spans="1:19" x14ac:dyDescent="0.2">
      <c r="A927" t="str">
        <f t="shared" si="14"/>
        <v>metab_compid_39787</v>
      </c>
      <c r="B927">
        <v>100002809</v>
      </c>
      <c r="C927">
        <v>402</v>
      </c>
      <c r="D927">
        <v>39787</v>
      </c>
      <c r="E927">
        <v>159189</v>
      </c>
      <c r="F927" t="s">
        <v>3863</v>
      </c>
      <c r="G927" t="s">
        <v>4933</v>
      </c>
      <c r="H927">
        <v>5920</v>
      </c>
      <c r="I927" t="s">
        <v>3438</v>
      </c>
      <c r="J927" t="s">
        <v>7700</v>
      </c>
      <c r="K927" t="s">
        <v>7701</v>
      </c>
      <c r="L927" t="s">
        <v>7702</v>
      </c>
      <c r="M927" t="s">
        <v>7702</v>
      </c>
      <c r="N927" t="s">
        <v>7703</v>
      </c>
      <c r="O927" t="s">
        <v>7704</v>
      </c>
      <c r="P927" t="s">
        <v>7705</v>
      </c>
      <c r="Q927" t="s">
        <v>7706</v>
      </c>
      <c r="R927" t="s">
        <v>7707</v>
      </c>
      <c r="S927" t="s">
        <v>3447</v>
      </c>
    </row>
    <row r="928" spans="1:19" x14ac:dyDescent="0.2">
      <c r="A928" t="str">
        <f t="shared" si="14"/>
        <v>metab_compid_18335</v>
      </c>
      <c r="B928">
        <v>100000442</v>
      </c>
      <c r="C928">
        <v>305</v>
      </c>
      <c r="D928">
        <v>18335</v>
      </c>
      <c r="E928">
        <v>146498</v>
      </c>
      <c r="F928" t="s">
        <v>3863</v>
      </c>
      <c r="G928" t="s">
        <v>3864</v>
      </c>
      <c r="H928">
        <v>4927</v>
      </c>
      <c r="I928" t="s">
        <v>3438</v>
      </c>
      <c r="J928" t="s">
        <v>5334</v>
      </c>
      <c r="K928" t="s">
        <v>5335</v>
      </c>
      <c r="L928" t="s">
        <v>5336</v>
      </c>
      <c r="M928" t="s">
        <v>5336</v>
      </c>
      <c r="N928" t="s">
        <v>5337</v>
      </c>
      <c r="O928" t="s">
        <v>5338</v>
      </c>
      <c r="P928" t="s">
        <v>5339</v>
      </c>
      <c r="Q928" t="s">
        <v>5340</v>
      </c>
      <c r="R928" t="s">
        <v>5341</v>
      </c>
      <c r="S928" t="s">
        <v>3489</v>
      </c>
    </row>
    <row r="929" spans="1:19" x14ac:dyDescent="0.2">
      <c r="A929" t="str">
        <f t="shared" si="14"/>
        <v>metab_compid_39767</v>
      </c>
      <c r="B929">
        <v>100002968</v>
      </c>
      <c r="C929">
        <v>400</v>
      </c>
      <c r="D929">
        <v>39767</v>
      </c>
      <c r="E929">
        <v>156636</v>
      </c>
      <c r="F929" t="s">
        <v>3863</v>
      </c>
      <c r="G929" t="s">
        <v>7477</v>
      </c>
      <c r="H929">
        <v>5551</v>
      </c>
      <c r="I929" t="s">
        <v>3438</v>
      </c>
      <c r="J929" t="s">
        <v>7784</v>
      </c>
      <c r="K929" t="s">
        <v>7785</v>
      </c>
      <c r="L929" t="s">
        <v>7786</v>
      </c>
      <c r="M929" t="s">
        <v>7786</v>
      </c>
      <c r="N929" t="s">
        <v>7787</v>
      </c>
      <c r="O929" t="s">
        <v>7788</v>
      </c>
      <c r="P929" t="s">
        <v>7789</v>
      </c>
      <c r="Q929" t="s">
        <v>7790</v>
      </c>
      <c r="R929" t="s">
        <v>7791</v>
      </c>
      <c r="S929" t="s">
        <v>3458</v>
      </c>
    </row>
    <row r="930" spans="1:19" x14ac:dyDescent="0.2">
      <c r="A930" t="str">
        <f t="shared" si="14"/>
        <v>metab_compid_1899</v>
      </c>
      <c r="B930">
        <v>182</v>
      </c>
      <c r="C930">
        <v>305</v>
      </c>
      <c r="D930">
        <v>1899</v>
      </c>
      <c r="E930">
        <v>146452</v>
      </c>
      <c r="F930" t="s">
        <v>3448</v>
      </c>
      <c r="G930" t="s">
        <v>3449</v>
      </c>
      <c r="H930">
        <v>4320</v>
      </c>
      <c r="I930" t="s">
        <v>3438</v>
      </c>
      <c r="J930" t="s">
        <v>3578</v>
      </c>
      <c r="K930" t="s">
        <v>3579</v>
      </c>
      <c r="L930" t="s">
        <v>3580</v>
      </c>
      <c r="M930" t="s">
        <v>3580</v>
      </c>
      <c r="N930" t="s">
        <v>3581</v>
      </c>
      <c r="O930" t="s">
        <v>3582</v>
      </c>
      <c r="P930" t="s">
        <v>3583</v>
      </c>
      <c r="Q930" t="s">
        <v>3584</v>
      </c>
      <c r="R930" t="s">
        <v>3585</v>
      </c>
      <c r="S930" t="s">
        <v>3489</v>
      </c>
    </row>
    <row r="931" spans="1:19" x14ac:dyDescent="0.2">
      <c r="A931" t="str">
        <f t="shared" si="14"/>
        <v>metab_compid_38595</v>
      </c>
      <c r="B931">
        <v>100002735</v>
      </c>
      <c r="C931">
        <v>400</v>
      </c>
      <c r="D931">
        <v>38595</v>
      </c>
      <c r="E931">
        <v>156522</v>
      </c>
      <c r="F931" t="s">
        <v>3863</v>
      </c>
      <c r="G931" t="s">
        <v>7590</v>
      </c>
      <c r="H931">
        <v>5770</v>
      </c>
      <c r="I931" t="s">
        <v>3438</v>
      </c>
      <c r="J931" t="s">
        <v>7615</v>
      </c>
      <c r="K931" t="s">
        <v>7616</v>
      </c>
      <c r="L931" t="s">
        <v>7617</v>
      </c>
      <c r="M931" t="s">
        <v>7617</v>
      </c>
      <c r="N931" t="s">
        <v>7618</v>
      </c>
      <c r="O931" t="s">
        <v>7619</v>
      </c>
      <c r="P931" t="s">
        <v>7620</v>
      </c>
      <c r="Q931" t="s">
        <v>7621</v>
      </c>
      <c r="R931" t="s">
        <v>7622</v>
      </c>
      <c r="S931" t="s">
        <v>3458</v>
      </c>
    </row>
    <row r="932" spans="1:19" x14ac:dyDescent="0.2">
      <c r="A932" t="str">
        <f t="shared" si="14"/>
        <v>metab_compid_62485</v>
      </c>
      <c r="B932">
        <v>100020810</v>
      </c>
      <c r="C932">
        <v>400</v>
      </c>
      <c r="D932">
        <v>62485</v>
      </c>
      <c r="E932">
        <v>219753</v>
      </c>
      <c r="F932" t="s">
        <v>3863</v>
      </c>
      <c r="G932" t="s">
        <v>7590</v>
      </c>
      <c r="H932">
        <v>5772</v>
      </c>
      <c r="I932" t="s">
        <v>3438</v>
      </c>
      <c r="J932" t="s">
        <v>9865</v>
      </c>
      <c r="K932" t="s">
        <v>9866</v>
      </c>
      <c r="L932" t="s">
        <v>9867</v>
      </c>
      <c r="M932" t="s">
        <v>9867</v>
      </c>
      <c r="O932" t="s">
        <v>9868</v>
      </c>
      <c r="R932" t="s">
        <v>9869</v>
      </c>
      <c r="S932" t="s">
        <v>3458</v>
      </c>
    </row>
    <row r="933" spans="1:19" x14ac:dyDescent="0.2">
      <c r="A933" t="str">
        <f t="shared" si="14"/>
        <v>metab_compid_40807</v>
      </c>
      <c r="B933">
        <v>100004088</v>
      </c>
      <c r="C933">
        <v>402</v>
      </c>
      <c r="D933">
        <v>40807</v>
      </c>
      <c r="E933">
        <v>159350</v>
      </c>
      <c r="F933" t="s">
        <v>3448</v>
      </c>
      <c r="G933" t="s">
        <v>4124</v>
      </c>
      <c r="H933">
        <v>4458</v>
      </c>
      <c r="I933" t="s">
        <v>3438</v>
      </c>
      <c r="J933" t="s">
        <v>8051</v>
      </c>
      <c r="K933" t="s">
        <v>8052</v>
      </c>
      <c r="L933" t="s">
        <v>8053</v>
      </c>
      <c r="M933" t="s">
        <v>8053</v>
      </c>
      <c r="O933" t="s">
        <v>8054</v>
      </c>
      <c r="P933" t="s">
        <v>8055</v>
      </c>
      <c r="Q933" t="s">
        <v>8056</v>
      </c>
      <c r="R933" t="s">
        <v>8057</v>
      </c>
      <c r="S933" t="s">
        <v>3447</v>
      </c>
    </row>
    <row r="934" spans="1:19" x14ac:dyDescent="0.2">
      <c r="A934" t="str">
        <f t="shared" si="14"/>
        <v>metab_compid_1806</v>
      </c>
      <c r="B934">
        <v>498</v>
      </c>
      <c r="C934">
        <v>402</v>
      </c>
      <c r="D934">
        <v>1806</v>
      </c>
      <c r="E934">
        <v>165222</v>
      </c>
      <c r="F934" t="s">
        <v>3448</v>
      </c>
      <c r="G934" t="s">
        <v>4124</v>
      </c>
      <c r="H934">
        <v>4450</v>
      </c>
      <c r="I934" t="s">
        <v>3438</v>
      </c>
      <c r="J934" t="s">
        <v>4125</v>
      </c>
      <c r="K934" t="s">
        <v>4126</v>
      </c>
      <c r="L934" t="s">
        <v>4127</v>
      </c>
      <c r="M934" t="s">
        <v>4127</v>
      </c>
      <c r="N934" t="s">
        <v>4128</v>
      </c>
      <c r="O934" t="s">
        <v>4129</v>
      </c>
      <c r="P934" t="s">
        <v>4130</v>
      </c>
      <c r="Q934" t="s">
        <v>4131</v>
      </c>
      <c r="R934" t="s">
        <v>4132</v>
      </c>
      <c r="S934" t="s">
        <v>3447</v>
      </c>
    </row>
    <row r="935" spans="1:19" x14ac:dyDescent="0.2">
      <c r="A935" t="str">
        <f t="shared" si="14"/>
        <v>metab_compid_15772</v>
      </c>
      <c r="B935">
        <v>100000406</v>
      </c>
      <c r="C935">
        <v>305</v>
      </c>
      <c r="D935">
        <v>15772</v>
      </c>
      <c r="E935">
        <v>146492</v>
      </c>
      <c r="F935" t="s">
        <v>3977</v>
      </c>
      <c r="G935" t="s">
        <v>4446</v>
      </c>
      <c r="H935">
        <v>1279</v>
      </c>
      <c r="I935" t="s">
        <v>3438</v>
      </c>
      <c r="J935" t="s">
        <v>5303</v>
      </c>
      <c r="K935" t="s">
        <v>5304</v>
      </c>
      <c r="L935" t="s">
        <v>5305</v>
      </c>
      <c r="M935" t="s">
        <v>5305</v>
      </c>
      <c r="N935" t="s">
        <v>5306</v>
      </c>
      <c r="O935" t="s">
        <v>5307</v>
      </c>
      <c r="P935" t="s">
        <v>5308</v>
      </c>
      <c r="Q935" t="s">
        <v>5309</v>
      </c>
      <c r="R935" t="s">
        <v>5310</v>
      </c>
      <c r="S935" t="s">
        <v>3489</v>
      </c>
    </row>
    <row r="936" spans="1:19" x14ac:dyDescent="0.2">
      <c r="A936" t="str">
        <f t="shared" si="14"/>
        <v>metab_compid_1827</v>
      </c>
      <c r="B936">
        <v>500</v>
      </c>
      <c r="C936">
        <v>209</v>
      </c>
      <c r="D936">
        <v>1827</v>
      </c>
      <c r="E936">
        <v>123225</v>
      </c>
      <c r="F936" t="s">
        <v>3448</v>
      </c>
      <c r="G936" t="s">
        <v>4133</v>
      </c>
      <c r="H936">
        <v>4352</v>
      </c>
      <c r="I936" t="s">
        <v>3438</v>
      </c>
      <c r="J936" t="s">
        <v>4134</v>
      </c>
      <c r="K936" t="s">
        <v>4135</v>
      </c>
      <c r="L936" t="s">
        <v>4136</v>
      </c>
      <c r="M936" t="s">
        <v>4136</v>
      </c>
      <c r="N936" t="s">
        <v>4137</v>
      </c>
      <c r="O936" t="s">
        <v>4138</v>
      </c>
      <c r="P936" t="s">
        <v>4139</v>
      </c>
      <c r="Q936" t="s">
        <v>4140</v>
      </c>
      <c r="R936" t="s">
        <v>4141</v>
      </c>
      <c r="S936" t="s">
        <v>3469</v>
      </c>
    </row>
    <row r="937" spans="1:19" x14ac:dyDescent="0.2">
      <c r="A937" t="str">
        <f t="shared" si="14"/>
        <v>metab_compid_27731</v>
      </c>
      <c r="B937">
        <v>100001007</v>
      </c>
      <c r="C937">
        <v>305</v>
      </c>
      <c r="D937">
        <v>27731</v>
      </c>
      <c r="E937">
        <v>147186</v>
      </c>
      <c r="F937" t="s">
        <v>3977</v>
      </c>
      <c r="G937" t="s">
        <v>4446</v>
      </c>
      <c r="H937">
        <v>1280</v>
      </c>
      <c r="I937" t="s">
        <v>3438</v>
      </c>
      <c r="J937" t="s">
        <v>5708</v>
      </c>
      <c r="K937" t="s">
        <v>5709</v>
      </c>
      <c r="L937" t="s">
        <v>5710</v>
      </c>
      <c r="M937" t="s">
        <v>5710</v>
      </c>
      <c r="N937" t="s">
        <v>5711</v>
      </c>
      <c r="O937" t="s">
        <v>5712</v>
      </c>
      <c r="P937" t="s">
        <v>5713</v>
      </c>
      <c r="Q937" t="s">
        <v>5714</v>
      </c>
      <c r="R937" t="s">
        <v>5715</v>
      </c>
      <c r="S937" t="s">
        <v>3489</v>
      </c>
    </row>
    <row r="938" spans="1:19" x14ac:dyDescent="0.2">
      <c r="A938" t="str">
        <f t="shared" si="14"/>
        <v>metab_compid_1471</v>
      </c>
      <c r="B938">
        <v>914</v>
      </c>
      <c r="C938">
        <v>305</v>
      </c>
      <c r="D938">
        <v>1471</v>
      </c>
      <c r="E938">
        <v>147709</v>
      </c>
      <c r="F938" t="s">
        <v>3977</v>
      </c>
      <c r="G938" t="s">
        <v>4446</v>
      </c>
      <c r="H938">
        <v>1278</v>
      </c>
      <c r="I938" t="s">
        <v>3438</v>
      </c>
      <c r="J938" t="s">
        <v>4447</v>
      </c>
      <c r="K938" t="s">
        <v>4448</v>
      </c>
      <c r="L938" t="s">
        <v>4449</v>
      </c>
      <c r="M938" t="s">
        <v>4449</v>
      </c>
      <c r="N938" t="s">
        <v>4450</v>
      </c>
      <c r="O938" t="s">
        <v>4451</v>
      </c>
      <c r="P938" t="s">
        <v>4452</v>
      </c>
      <c r="Q938" t="s">
        <v>4453</v>
      </c>
      <c r="R938" t="s">
        <v>4454</v>
      </c>
      <c r="S938" t="s">
        <v>3489</v>
      </c>
    </row>
    <row r="939" spans="1:19" x14ac:dyDescent="0.2">
      <c r="A939" t="str">
        <f t="shared" si="14"/>
        <v>metab_compid_22196</v>
      </c>
      <c r="B939">
        <v>100000579</v>
      </c>
      <c r="C939">
        <v>400</v>
      </c>
      <c r="D939">
        <v>22196</v>
      </c>
      <c r="E939">
        <v>221338</v>
      </c>
      <c r="F939" t="s">
        <v>3863</v>
      </c>
      <c r="G939" t="s">
        <v>4959</v>
      </c>
      <c r="H939">
        <v>5867</v>
      </c>
      <c r="I939" t="s">
        <v>3438</v>
      </c>
      <c r="J939" t="s">
        <v>5404</v>
      </c>
      <c r="K939" t="s">
        <v>5405</v>
      </c>
      <c r="L939" t="s">
        <v>5406</v>
      </c>
      <c r="M939" t="s">
        <v>5406</v>
      </c>
      <c r="N939" t="s">
        <v>5407</v>
      </c>
      <c r="O939" t="s">
        <v>5408</v>
      </c>
      <c r="P939" t="s">
        <v>5409</v>
      </c>
      <c r="R939" t="s">
        <v>5410</v>
      </c>
      <c r="S939" t="s">
        <v>3458</v>
      </c>
    </row>
    <row r="940" spans="1:19" x14ac:dyDescent="0.2">
      <c r="A940" t="str">
        <f t="shared" si="14"/>
        <v>metab_compid_63278</v>
      </c>
      <c r="B940">
        <v>100020929</v>
      </c>
      <c r="C940">
        <v>402</v>
      </c>
      <c r="D940">
        <v>63278</v>
      </c>
      <c r="E940">
        <v>222250</v>
      </c>
      <c r="F940" t="s">
        <v>3863</v>
      </c>
      <c r="G940" t="s">
        <v>10004</v>
      </c>
      <c r="H940">
        <v>5592</v>
      </c>
      <c r="I940" t="s">
        <v>3438</v>
      </c>
      <c r="J940" t="s">
        <v>10029</v>
      </c>
      <c r="K940" t="s">
        <v>10030</v>
      </c>
      <c r="L940" t="s">
        <v>10031</v>
      </c>
      <c r="M940" t="s">
        <v>10031</v>
      </c>
      <c r="N940" t="s">
        <v>10032</v>
      </c>
      <c r="O940" t="s">
        <v>10033</v>
      </c>
      <c r="P940" t="s">
        <v>10034</v>
      </c>
      <c r="Q940" t="s">
        <v>10035</v>
      </c>
      <c r="R940" t="s">
        <v>10036</v>
      </c>
      <c r="S940" t="s">
        <v>3447</v>
      </c>
    </row>
    <row r="941" spans="1:19" x14ac:dyDescent="0.2">
      <c r="A941" t="str">
        <f t="shared" si="14"/>
        <v>metab_compid_52381</v>
      </c>
      <c r="B941">
        <v>100006745</v>
      </c>
      <c r="C941">
        <v>402</v>
      </c>
      <c r="D941">
        <v>52381</v>
      </c>
      <c r="E941">
        <v>165226</v>
      </c>
      <c r="F941" t="s">
        <v>3863</v>
      </c>
      <c r="G941" t="s">
        <v>4959</v>
      </c>
      <c r="H941">
        <v>5864</v>
      </c>
      <c r="I941" t="s">
        <v>3438</v>
      </c>
      <c r="J941" t="s">
        <v>8761</v>
      </c>
      <c r="K941" t="s">
        <v>8762</v>
      </c>
      <c r="L941" t="s">
        <v>8763</v>
      </c>
      <c r="M941" t="s">
        <v>8763</v>
      </c>
      <c r="N941" t="s">
        <v>8764</v>
      </c>
      <c r="O941" t="s">
        <v>8765</v>
      </c>
      <c r="P941" t="s">
        <v>8766</v>
      </c>
      <c r="Q941" t="s">
        <v>8767</v>
      </c>
      <c r="R941" t="s">
        <v>8768</v>
      </c>
      <c r="S941" t="s">
        <v>3447</v>
      </c>
    </row>
    <row r="942" spans="1:19" x14ac:dyDescent="0.2">
      <c r="A942" t="str">
        <f t="shared" si="14"/>
        <v>metab_compid_42382</v>
      </c>
      <c r="B942">
        <v>197</v>
      </c>
      <c r="C942">
        <v>209</v>
      </c>
      <c r="D942">
        <v>42382</v>
      </c>
      <c r="E942">
        <v>124939</v>
      </c>
      <c r="F942" t="s">
        <v>3436</v>
      </c>
      <c r="G942" t="s">
        <v>3603</v>
      </c>
      <c r="H942">
        <v>452</v>
      </c>
      <c r="I942" t="s">
        <v>3438</v>
      </c>
      <c r="J942" t="s">
        <v>3612</v>
      </c>
      <c r="K942" t="s">
        <v>3613</v>
      </c>
      <c r="L942" t="s">
        <v>3614</v>
      </c>
      <c r="M942" t="s">
        <v>3614</v>
      </c>
      <c r="N942" t="s">
        <v>3615</v>
      </c>
      <c r="O942" t="s">
        <v>3616</v>
      </c>
      <c r="P942" t="s">
        <v>3617</v>
      </c>
      <c r="Q942" t="s">
        <v>3618</v>
      </c>
      <c r="R942" t="s">
        <v>3619</v>
      </c>
      <c r="S942" t="s">
        <v>3469</v>
      </c>
    </row>
    <row r="943" spans="1:19" x14ac:dyDescent="0.2">
      <c r="A943" t="str">
        <f t="shared" si="14"/>
        <v>metab_compid_43239</v>
      </c>
      <c r="B943">
        <v>100004509</v>
      </c>
      <c r="C943">
        <v>400</v>
      </c>
      <c r="D943">
        <v>43239</v>
      </c>
      <c r="E943">
        <v>156985</v>
      </c>
      <c r="F943" t="s">
        <v>3863</v>
      </c>
      <c r="G943" t="s">
        <v>3864</v>
      </c>
      <c r="H943">
        <v>5067</v>
      </c>
      <c r="I943" t="s">
        <v>3438</v>
      </c>
      <c r="J943" t="s">
        <v>8214</v>
      </c>
      <c r="K943" t="s">
        <v>8215</v>
      </c>
      <c r="L943" t="s">
        <v>8216</v>
      </c>
      <c r="M943" t="s">
        <v>8216</v>
      </c>
      <c r="N943" t="s">
        <v>8217</v>
      </c>
      <c r="O943" t="s">
        <v>8218</v>
      </c>
      <c r="P943" t="s">
        <v>8219</v>
      </c>
      <c r="R943" t="s">
        <v>8220</v>
      </c>
      <c r="S943" t="s">
        <v>3458</v>
      </c>
    </row>
    <row r="944" spans="1:19" x14ac:dyDescent="0.2">
      <c r="A944" t="str">
        <f t="shared" si="14"/>
        <v>metab_compid_64177</v>
      </c>
      <c r="B944">
        <v>100021530</v>
      </c>
      <c r="C944">
        <v>400</v>
      </c>
      <c r="D944">
        <v>64177</v>
      </c>
      <c r="E944">
        <v>236998</v>
      </c>
      <c r="F944" t="s">
        <v>3436</v>
      </c>
      <c r="G944" t="s">
        <v>3603</v>
      </c>
      <c r="H944">
        <v>466</v>
      </c>
      <c r="I944" t="s">
        <v>3438</v>
      </c>
      <c r="J944" t="s">
        <v>10154</v>
      </c>
      <c r="K944" t="s">
        <v>10155</v>
      </c>
      <c r="L944" t="s">
        <v>10156</v>
      </c>
      <c r="M944" t="s">
        <v>10156</v>
      </c>
      <c r="N944" t="s">
        <v>10157</v>
      </c>
      <c r="O944" t="s">
        <v>10158</v>
      </c>
      <c r="S944" t="s">
        <v>3458</v>
      </c>
    </row>
    <row r="945" spans="1:19" x14ac:dyDescent="0.2">
      <c r="A945" t="str">
        <f t="shared" si="14"/>
        <v>metab_compid_47897</v>
      </c>
      <c r="B945">
        <v>100002324</v>
      </c>
      <c r="C945">
        <v>400</v>
      </c>
      <c r="D945">
        <v>47897</v>
      </c>
      <c r="E945">
        <v>157694</v>
      </c>
      <c r="F945" t="s">
        <v>3863</v>
      </c>
      <c r="G945" t="s">
        <v>7418</v>
      </c>
      <c r="H945">
        <v>6018</v>
      </c>
      <c r="I945" t="s">
        <v>3438</v>
      </c>
      <c r="J945" t="s">
        <v>7419</v>
      </c>
      <c r="K945" t="s">
        <v>7420</v>
      </c>
      <c r="L945" t="s">
        <v>7421</v>
      </c>
      <c r="M945" t="s">
        <v>7421</v>
      </c>
      <c r="N945" t="s">
        <v>7422</v>
      </c>
      <c r="O945" t="s">
        <v>7423</v>
      </c>
      <c r="P945" t="s">
        <v>7424</v>
      </c>
      <c r="Q945" t="s">
        <v>7425</v>
      </c>
      <c r="R945" t="s">
        <v>7426</v>
      </c>
      <c r="S945" t="s">
        <v>3458</v>
      </c>
    </row>
    <row r="946" spans="1:19" x14ac:dyDescent="0.2">
      <c r="A946" t="str">
        <f t="shared" si="14"/>
        <v>metab_compid_39592</v>
      </c>
      <c r="B946">
        <v>100002749</v>
      </c>
      <c r="C946">
        <v>209</v>
      </c>
      <c r="D946">
        <v>39592</v>
      </c>
      <c r="E946">
        <v>141914</v>
      </c>
      <c r="F946" t="s">
        <v>3436</v>
      </c>
      <c r="G946" t="s">
        <v>3603</v>
      </c>
      <c r="H946">
        <v>463</v>
      </c>
      <c r="I946" t="s">
        <v>3438</v>
      </c>
      <c r="J946" t="s">
        <v>7623</v>
      </c>
      <c r="K946" t="s">
        <v>7624</v>
      </c>
      <c r="L946" t="s">
        <v>7625</v>
      </c>
      <c r="M946" t="s">
        <v>7625</v>
      </c>
      <c r="N946" t="s">
        <v>7626</v>
      </c>
      <c r="O946" t="s">
        <v>7627</v>
      </c>
      <c r="P946" t="s">
        <v>7628</v>
      </c>
      <c r="R946" t="s">
        <v>7629</v>
      </c>
      <c r="S946" t="s">
        <v>3469</v>
      </c>
    </row>
    <row r="947" spans="1:19" x14ac:dyDescent="0.2">
      <c r="A947" t="str">
        <f t="shared" si="14"/>
        <v>metab_compid_43378</v>
      </c>
      <c r="B947">
        <v>100002927</v>
      </c>
      <c r="C947">
        <v>400</v>
      </c>
      <c r="D947">
        <v>43378</v>
      </c>
      <c r="E947">
        <v>211502</v>
      </c>
      <c r="F947" t="s">
        <v>3436</v>
      </c>
      <c r="G947" t="s">
        <v>3603</v>
      </c>
      <c r="H947">
        <v>464</v>
      </c>
      <c r="I947" t="s">
        <v>3438</v>
      </c>
      <c r="J947" t="s">
        <v>7750</v>
      </c>
      <c r="K947" t="s">
        <v>7751</v>
      </c>
      <c r="L947" t="s">
        <v>7752</v>
      </c>
      <c r="M947" t="s">
        <v>7752</v>
      </c>
      <c r="N947" t="s">
        <v>7753</v>
      </c>
      <c r="O947" t="s">
        <v>7754</v>
      </c>
      <c r="P947" t="s">
        <v>7755</v>
      </c>
      <c r="R947" t="s">
        <v>7756</v>
      </c>
      <c r="S947" t="s">
        <v>3458</v>
      </c>
    </row>
    <row r="948" spans="1:19" x14ac:dyDescent="0.2">
      <c r="A948" t="str">
        <f t="shared" si="14"/>
        <v>metab_compid_38127</v>
      </c>
      <c r="B948">
        <v>100002183</v>
      </c>
      <c r="C948">
        <v>400</v>
      </c>
      <c r="D948">
        <v>38127</v>
      </c>
      <c r="E948">
        <v>156445</v>
      </c>
      <c r="F948" t="s">
        <v>3436</v>
      </c>
      <c r="G948" t="s">
        <v>3603</v>
      </c>
      <c r="H948">
        <v>444</v>
      </c>
      <c r="I948" t="s">
        <v>3438</v>
      </c>
      <c r="J948" t="s">
        <v>7332</v>
      </c>
      <c r="K948" t="s">
        <v>7333</v>
      </c>
      <c r="L948" t="s">
        <v>7334</v>
      </c>
      <c r="M948" t="s">
        <v>7334</v>
      </c>
      <c r="N948" t="s">
        <v>7335</v>
      </c>
      <c r="O948" t="s">
        <v>7336</v>
      </c>
      <c r="P948" t="s">
        <v>7337</v>
      </c>
      <c r="Q948" t="s">
        <v>7338</v>
      </c>
      <c r="R948" t="s">
        <v>7339</v>
      </c>
      <c r="S948" t="s">
        <v>3458</v>
      </c>
    </row>
    <row r="949" spans="1:19" x14ac:dyDescent="0.2">
      <c r="A949" t="str">
        <f t="shared" si="14"/>
        <v>metab_compid_21151</v>
      </c>
      <c r="B949">
        <v>100000870</v>
      </c>
      <c r="C949">
        <v>209</v>
      </c>
      <c r="D949">
        <v>21151</v>
      </c>
      <c r="E949">
        <v>124899</v>
      </c>
      <c r="F949" t="s">
        <v>3863</v>
      </c>
      <c r="G949" t="s">
        <v>3864</v>
      </c>
      <c r="H949">
        <v>5064</v>
      </c>
      <c r="I949" t="s">
        <v>3438</v>
      </c>
      <c r="J949" t="s">
        <v>5617</v>
      </c>
      <c r="K949" t="s">
        <v>5618</v>
      </c>
      <c r="L949" t="s">
        <v>5619</v>
      </c>
      <c r="M949" t="s">
        <v>5619</v>
      </c>
      <c r="N949" t="s">
        <v>5620</v>
      </c>
      <c r="O949" t="s">
        <v>5621</v>
      </c>
      <c r="P949" t="s">
        <v>5622</v>
      </c>
      <c r="Q949" t="s">
        <v>5623</v>
      </c>
      <c r="R949" t="s">
        <v>5624</v>
      </c>
      <c r="S949" t="s">
        <v>3469</v>
      </c>
    </row>
    <row r="950" spans="1:19" x14ac:dyDescent="0.2">
      <c r="A950" t="str">
        <f t="shared" si="14"/>
        <v>metab_compid_1515</v>
      </c>
      <c r="B950">
        <v>501</v>
      </c>
      <c r="C950">
        <v>305</v>
      </c>
      <c r="D950">
        <v>1515</v>
      </c>
      <c r="E950">
        <v>164364</v>
      </c>
      <c r="F950" t="s">
        <v>3863</v>
      </c>
      <c r="G950" t="s">
        <v>4142</v>
      </c>
      <c r="H950">
        <v>5989</v>
      </c>
      <c r="I950" t="s">
        <v>3438</v>
      </c>
      <c r="J950" t="s">
        <v>4143</v>
      </c>
      <c r="K950" t="s">
        <v>4144</v>
      </c>
      <c r="L950" t="s">
        <v>4145</v>
      </c>
      <c r="M950" t="s">
        <v>4145</v>
      </c>
      <c r="N950" t="s">
        <v>4146</v>
      </c>
      <c r="O950" t="s">
        <v>4147</v>
      </c>
      <c r="P950" t="s">
        <v>4148</v>
      </c>
      <c r="Q950" t="s">
        <v>4149</v>
      </c>
      <c r="R950" t="s">
        <v>4150</v>
      </c>
      <c r="S950" t="s">
        <v>3489</v>
      </c>
    </row>
    <row r="951" spans="1:19" x14ac:dyDescent="0.2">
      <c r="A951" t="str">
        <f t="shared" si="14"/>
        <v>metab_compid_33384</v>
      </c>
      <c r="B951">
        <v>100001332</v>
      </c>
      <c r="C951">
        <v>209</v>
      </c>
      <c r="D951">
        <v>33384</v>
      </c>
      <c r="E951">
        <v>144296</v>
      </c>
      <c r="F951" t="s">
        <v>3863</v>
      </c>
      <c r="G951" t="s">
        <v>4942</v>
      </c>
      <c r="H951">
        <v>5434</v>
      </c>
      <c r="I951" t="s">
        <v>3438</v>
      </c>
      <c r="J951" t="s">
        <v>6254</v>
      </c>
      <c r="K951" t="s">
        <v>6255</v>
      </c>
      <c r="L951" t="s">
        <v>6256</v>
      </c>
      <c r="M951" t="s">
        <v>6256</v>
      </c>
      <c r="O951" t="s">
        <v>6257</v>
      </c>
      <c r="P951" t="s">
        <v>6258</v>
      </c>
      <c r="R951" t="s">
        <v>6259</v>
      </c>
      <c r="S951" t="s">
        <v>3469</v>
      </c>
    </row>
    <row r="952" spans="1:19" x14ac:dyDescent="0.2">
      <c r="A952" t="str">
        <f t="shared" si="14"/>
        <v>metab_compid_1516</v>
      </c>
      <c r="B952">
        <v>1023</v>
      </c>
      <c r="C952">
        <v>400</v>
      </c>
      <c r="D952">
        <v>1516</v>
      </c>
      <c r="E952">
        <v>155390</v>
      </c>
      <c r="F952" t="s">
        <v>3436</v>
      </c>
      <c r="G952" t="s">
        <v>3882</v>
      </c>
      <c r="H952">
        <v>5</v>
      </c>
      <c r="I952" t="s">
        <v>3438</v>
      </c>
      <c r="J952" t="s">
        <v>4560</v>
      </c>
      <c r="K952" t="s">
        <v>4561</v>
      </c>
      <c r="L952" t="s">
        <v>4562</v>
      </c>
      <c r="M952" t="s">
        <v>4562</v>
      </c>
      <c r="N952" t="s">
        <v>4563</v>
      </c>
      <c r="O952" t="s">
        <v>4564</v>
      </c>
      <c r="P952" t="s">
        <v>4565</v>
      </c>
      <c r="Q952" t="s">
        <v>4566</v>
      </c>
      <c r="R952" t="s">
        <v>4567</v>
      </c>
      <c r="S952" t="s">
        <v>3458</v>
      </c>
    </row>
    <row r="953" spans="1:19" x14ac:dyDescent="0.2">
      <c r="A953" t="str">
        <f t="shared" si="14"/>
        <v>metab_compid_32398</v>
      </c>
      <c r="B953">
        <v>100001211</v>
      </c>
      <c r="C953">
        <v>305</v>
      </c>
      <c r="D953">
        <v>32398</v>
      </c>
      <c r="E953">
        <v>165423</v>
      </c>
      <c r="F953" t="s">
        <v>3459</v>
      </c>
      <c r="G953" t="s">
        <v>3873</v>
      </c>
      <c r="H953">
        <v>1699</v>
      </c>
      <c r="I953" t="s">
        <v>3438</v>
      </c>
      <c r="J953" t="s">
        <v>5974</v>
      </c>
      <c r="K953" t="s">
        <v>5975</v>
      </c>
      <c r="L953" t="s">
        <v>5976</v>
      </c>
      <c r="M953" t="s">
        <v>5976</v>
      </c>
      <c r="N953" t="s">
        <v>5977</v>
      </c>
      <c r="O953" t="s">
        <v>5978</v>
      </c>
      <c r="P953" t="s">
        <v>5979</v>
      </c>
      <c r="Q953" t="s">
        <v>5980</v>
      </c>
      <c r="R953" t="s">
        <v>5981</v>
      </c>
      <c r="S953" t="s">
        <v>3489</v>
      </c>
    </row>
    <row r="954" spans="1:19" x14ac:dyDescent="0.2">
      <c r="A954" t="str">
        <f t="shared" si="14"/>
        <v>metab_compid_1648</v>
      </c>
      <c r="B954">
        <v>503</v>
      </c>
      <c r="C954">
        <v>400</v>
      </c>
      <c r="D954">
        <v>1648</v>
      </c>
      <c r="E954">
        <v>155437</v>
      </c>
      <c r="F954" t="s">
        <v>3436</v>
      </c>
      <c r="G954" t="s">
        <v>3882</v>
      </c>
      <c r="H954">
        <v>10</v>
      </c>
      <c r="I954" t="s">
        <v>3438</v>
      </c>
      <c r="J954" t="s">
        <v>4151</v>
      </c>
      <c r="K954" t="s">
        <v>4152</v>
      </c>
      <c r="L954" t="s">
        <v>4153</v>
      </c>
      <c r="M954" t="s">
        <v>4153</v>
      </c>
      <c r="N954" t="s">
        <v>4154</v>
      </c>
      <c r="O954" t="s">
        <v>4155</v>
      </c>
      <c r="P954" t="s">
        <v>4156</v>
      </c>
      <c r="Q954" t="s">
        <v>4157</v>
      </c>
      <c r="R954" t="s">
        <v>4158</v>
      </c>
      <c r="S954" t="s">
        <v>3458</v>
      </c>
    </row>
    <row r="955" spans="1:19" x14ac:dyDescent="0.2">
      <c r="A955" t="str">
        <f t="shared" si="14"/>
        <v>metab_compid_2342</v>
      </c>
      <c r="B955">
        <v>504</v>
      </c>
      <c r="C955">
        <v>400</v>
      </c>
      <c r="D955">
        <v>2342</v>
      </c>
      <c r="E955">
        <v>155468</v>
      </c>
      <c r="F955" t="s">
        <v>3436</v>
      </c>
      <c r="G955" t="s">
        <v>3470</v>
      </c>
      <c r="H955">
        <v>292</v>
      </c>
      <c r="I955" t="s">
        <v>3438</v>
      </c>
      <c r="J955" t="s">
        <v>4159</v>
      </c>
      <c r="K955" t="s">
        <v>4160</v>
      </c>
      <c r="L955" t="s">
        <v>4161</v>
      </c>
      <c r="M955" t="s">
        <v>4161</v>
      </c>
      <c r="N955" t="s">
        <v>4162</v>
      </c>
      <c r="O955" t="s">
        <v>4163</v>
      </c>
      <c r="P955" t="s">
        <v>4164</v>
      </c>
      <c r="Q955" t="s">
        <v>4165</v>
      </c>
      <c r="R955" t="s">
        <v>4166</v>
      </c>
      <c r="S955" t="s">
        <v>3458</v>
      </c>
    </row>
    <row r="956" spans="1:19" x14ac:dyDescent="0.2">
      <c r="A956" t="str">
        <f t="shared" si="14"/>
        <v>metab_compid_39757</v>
      </c>
      <c r="B956">
        <v>100002804</v>
      </c>
      <c r="C956">
        <v>402</v>
      </c>
      <c r="D956">
        <v>39757</v>
      </c>
      <c r="E956">
        <v>159176</v>
      </c>
      <c r="F956" t="s">
        <v>3863</v>
      </c>
      <c r="G956" t="s">
        <v>4933</v>
      </c>
      <c r="H956">
        <v>5892</v>
      </c>
      <c r="I956" t="s">
        <v>3438</v>
      </c>
      <c r="J956" t="s">
        <v>7668</v>
      </c>
      <c r="K956" t="s">
        <v>7669</v>
      </c>
      <c r="L956" t="s">
        <v>7670</v>
      </c>
      <c r="M956" t="s">
        <v>7670</v>
      </c>
      <c r="N956" t="s">
        <v>7671</v>
      </c>
      <c r="O956" t="s">
        <v>7672</v>
      </c>
      <c r="P956" t="s">
        <v>7673</v>
      </c>
      <c r="Q956" t="s">
        <v>7674</v>
      </c>
      <c r="R956" t="s">
        <v>7675</v>
      </c>
      <c r="S956" t="s">
        <v>3447</v>
      </c>
    </row>
    <row r="957" spans="1:19" x14ac:dyDescent="0.2">
      <c r="A957" t="str">
        <f t="shared" si="14"/>
        <v>metab_compid_52954</v>
      </c>
      <c r="B957">
        <v>100008964</v>
      </c>
      <c r="C957">
        <v>209</v>
      </c>
      <c r="D957">
        <v>52954</v>
      </c>
      <c r="E957">
        <v>166086</v>
      </c>
      <c r="F957" t="s">
        <v>3863</v>
      </c>
      <c r="G957" t="s">
        <v>6220</v>
      </c>
      <c r="H957">
        <v>5794</v>
      </c>
      <c r="I957" t="s">
        <v>3438</v>
      </c>
      <c r="J957" t="s">
        <v>8896</v>
      </c>
      <c r="K957" t="s">
        <v>8897</v>
      </c>
      <c r="L957" t="s">
        <v>8898</v>
      </c>
      <c r="M957" t="s">
        <v>8898</v>
      </c>
      <c r="N957" t="s">
        <v>8899</v>
      </c>
      <c r="O957" t="s">
        <v>8900</v>
      </c>
      <c r="P957" t="s">
        <v>8901</v>
      </c>
      <c r="Q957" t="s">
        <v>8902</v>
      </c>
      <c r="R957" t="s">
        <v>8903</v>
      </c>
      <c r="S957" t="s">
        <v>3469</v>
      </c>
    </row>
    <row r="958" spans="1:19" x14ac:dyDescent="0.2">
      <c r="A958" t="str">
        <f t="shared" si="14"/>
        <v>metab_compid_39788</v>
      </c>
      <c r="B958">
        <v>100002773</v>
      </c>
      <c r="C958">
        <v>402</v>
      </c>
      <c r="D958">
        <v>39788</v>
      </c>
      <c r="E958">
        <v>159190</v>
      </c>
      <c r="F958" t="s">
        <v>3863</v>
      </c>
      <c r="G958" t="s">
        <v>3864</v>
      </c>
      <c r="H958">
        <v>5078</v>
      </c>
      <c r="I958" t="s">
        <v>3438</v>
      </c>
      <c r="J958" t="s">
        <v>7645</v>
      </c>
      <c r="K958" t="s">
        <v>7646</v>
      </c>
      <c r="L958" t="s">
        <v>7647</v>
      </c>
      <c r="M958" t="s">
        <v>7647</v>
      </c>
      <c r="N958" t="s">
        <v>7648</v>
      </c>
      <c r="O958" t="s">
        <v>7649</v>
      </c>
      <c r="P958" t="s">
        <v>7650</v>
      </c>
      <c r="Q958" t="s">
        <v>7651</v>
      </c>
      <c r="R958" t="s">
        <v>7652</v>
      </c>
      <c r="S958" t="s">
        <v>3447</v>
      </c>
    </row>
    <row r="959" spans="1:19" x14ac:dyDescent="0.2">
      <c r="A959" t="str">
        <f t="shared" si="14"/>
        <v>metab_compid_485</v>
      </c>
      <c r="B959">
        <v>50</v>
      </c>
      <c r="C959">
        <v>402</v>
      </c>
      <c r="D959">
        <v>485</v>
      </c>
      <c r="E959">
        <v>157851</v>
      </c>
      <c r="F959" t="s">
        <v>3436</v>
      </c>
      <c r="G959" t="s">
        <v>3437</v>
      </c>
      <c r="H959">
        <v>553</v>
      </c>
      <c r="I959" t="s">
        <v>3438</v>
      </c>
      <c r="J959" t="s">
        <v>3439</v>
      </c>
      <c r="K959" t="s">
        <v>3440</v>
      </c>
      <c r="L959" t="s">
        <v>3441</v>
      </c>
      <c r="M959" t="s">
        <v>3441</v>
      </c>
      <c r="N959" t="s">
        <v>3442</v>
      </c>
      <c r="O959" t="s">
        <v>3443</v>
      </c>
      <c r="P959" t="s">
        <v>3444</v>
      </c>
      <c r="Q959" t="s">
        <v>3445</v>
      </c>
      <c r="R959" t="s">
        <v>3446</v>
      </c>
      <c r="S959" t="s">
        <v>3447</v>
      </c>
    </row>
    <row r="960" spans="1:19" x14ac:dyDescent="0.2">
      <c r="A960" t="str">
        <f t="shared" si="14"/>
        <v>metab_compid_57426</v>
      </c>
      <c r="B960">
        <v>100015643</v>
      </c>
      <c r="C960">
        <v>402</v>
      </c>
      <c r="D960">
        <v>57426</v>
      </c>
      <c r="E960">
        <v>211079</v>
      </c>
      <c r="F960" t="s">
        <v>3459</v>
      </c>
      <c r="G960" t="s">
        <v>3836</v>
      </c>
      <c r="H960">
        <v>3021</v>
      </c>
      <c r="I960" t="s">
        <v>3438</v>
      </c>
      <c r="J960" t="s">
        <v>9335</v>
      </c>
      <c r="K960" t="s">
        <v>9336</v>
      </c>
      <c r="L960" t="s">
        <v>9337</v>
      </c>
      <c r="M960" t="s">
        <v>9337</v>
      </c>
      <c r="N960" t="s">
        <v>9338</v>
      </c>
      <c r="O960" t="s">
        <v>9339</v>
      </c>
      <c r="R960" t="s">
        <v>9340</v>
      </c>
      <c r="S960" t="s">
        <v>3447</v>
      </c>
    </row>
    <row r="961" spans="1:19" x14ac:dyDescent="0.2">
      <c r="A961" t="str">
        <f t="shared" si="14"/>
        <v>metab_compid_17769</v>
      </c>
      <c r="B961">
        <v>313</v>
      </c>
      <c r="C961">
        <v>402</v>
      </c>
      <c r="D961">
        <v>17769</v>
      </c>
      <c r="E961">
        <v>158166</v>
      </c>
      <c r="F961" t="s">
        <v>3459</v>
      </c>
      <c r="G961" t="s">
        <v>3836</v>
      </c>
      <c r="H961">
        <v>3019</v>
      </c>
      <c r="I961" t="s">
        <v>3438</v>
      </c>
      <c r="J961" t="s">
        <v>3837</v>
      </c>
      <c r="K961" t="s">
        <v>3838</v>
      </c>
      <c r="L961" t="s">
        <v>3839</v>
      </c>
      <c r="M961" t="s">
        <v>3839</v>
      </c>
      <c r="N961" t="s">
        <v>3840</v>
      </c>
      <c r="O961" t="s">
        <v>3841</v>
      </c>
      <c r="P961" t="s">
        <v>3842</v>
      </c>
      <c r="Q961" t="s">
        <v>3843</v>
      </c>
      <c r="R961" t="s">
        <v>3844</v>
      </c>
      <c r="S961" t="s">
        <v>3447</v>
      </c>
    </row>
    <row r="962" spans="1:19" x14ac:dyDescent="0.2">
      <c r="A962" t="str">
        <f t="shared" ref="A962:A1025" si="15">_xlfn.CONCAT("metab_compid_", $D962)</f>
        <v>metab_compid_52605</v>
      </c>
      <c r="B962">
        <v>100001876</v>
      </c>
      <c r="C962">
        <v>402</v>
      </c>
      <c r="D962">
        <v>52605</v>
      </c>
      <c r="E962">
        <v>165336</v>
      </c>
      <c r="F962" t="s">
        <v>3459</v>
      </c>
      <c r="G962" t="s">
        <v>3836</v>
      </c>
      <c r="H962">
        <v>3020</v>
      </c>
      <c r="I962" t="s">
        <v>3438</v>
      </c>
      <c r="J962" t="s">
        <v>7074</v>
      </c>
      <c r="K962" t="s">
        <v>7075</v>
      </c>
      <c r="L962" t="s">
        <v>7076</v>
      </c>
      <c r="M962" t="s">
        <v>7076</v>
      </c>
      <c r="N962" t="s">
        <v>7077</v>
      </c>
      <c r="O962" t="s">
        <v>7078</v>
      </c>
      <c r="P962" t="s">
        <v>7079</v>
      </c>
      <c r="R962" t="s">
        <v>7080</v>
      </c>
      <c r="S962" t="s">
        <v>3447</v>
      </c>
    </row>
    <row r="963" spans="1:19" x14ac:dyDescent="0.2">
      <c r="A963" t="str">
        <f t="shared" si="15"/>
        <v>metab_compid_62152</v>
      </c>
      <c r="B963">
        <v>100020276</v>
      </c>
      <c r="C963">
        <v>402</v>
      </c>
      <c r="D963">
        <v>62152</v>
      </c>
      <c r="E963">
        <v>219058</v>
      </c>
      <c r="F963" t="s">
        <v>3459</v>
      </c>
      <c r="G963" t="s">
        <v>814</v>
      </c>
      <c r="H963">
        <v>3132</v>
      </c>
      <c r="I963" t="s">
        <v>3438</v>
      </c>
      <c r="J963" t="s">
        <v>9705</v>
      </c>
      <c r="K963" t="s">
        <v>9706</v>
      </c>
      <c r="L963" t="s">
        <v>9707</v>
      </c>
      <c r="M963" t="s">
        <v>9707</v>
      </c>
      <c r="S963" t="s">
        <v>3447</v>
      </c>
    </row>
    <row r="964" spans="1:19" x14ac:dyDescent="0.2">
      <c r="A964" t="str">
        <f t="shared" si="15"/>
        <v>metab_compid_52433</v>
      </c>
      <c r="B964">
        <v>100006314</v>
      </c>
      <c r="C964">
        <v>402</v>
      </c>
      <c r="D964">
        <v>52433</v>
      </c>
      <c r="E964">
        <v>164557</v>
      </c>
      <c r="F964" t="s">
        <v>3459</v>
      </c>
      <c r="G964" t="s">
        <v>814</v>
      </c>
      <c r="H964">
        <v>3135</v>
      </c>
      <c r="I964" t="s">
        <v>3438</v>
      </c>
      <c r="J964" t="s">
        <v>8614</v>
      </c>
      <c r="K964" t="s">
        <v>8615</v>
      </c>
      <c r="L964" t="s">
        <v>8616</v>
      </c>
      <c r="M964" t="s">
        <v>8616</v>
      </c>
      <c r="N964" t="s">
        <v>8617</v>
      </c>
      <c r="O964" t="s">
        <v>8618</v>
      </c>
      <c r="P964" t="s">
        <v>8619</v>
      </c>
      <c r="S964" t="s">
        <v>3447</v>
      </c>
    </row>
    <row r="965" spans="1:19" x14ac:dyDescent="0.2">
      <c r="A965" t="str">
        <f t="shared" si="15"/>
        <v>metab_compid_57483</v>
      </c>
      <c r="B965">
        <v>100015793</v>
      </c>
      <c r="C965">
        <v>402</v>
      </c>
      <c r="D965">
        <v>57483</v>
      </c>
      <c r="E965">
        <v>211146</v>
      </c>
      <c r="F965" t="s">
        <v>3459</v>
      </c>
      <c r="G965" t="s">
        <v>814</v>
      </c>
      <c r="H965">
        <v>3136</v>
      </c>
      <c r="I965" t="s">
        <v>3438</v>
      </c>
      <c r="J965" t="s">
        <v>9443</v>
      </c>
      <c r="K965" t="s">
        <v>9444</v>
      </c>
      <c r="L965" t="s">
        <v>9445</v>
      </c>
      <c r="M965" t="s">
        <v>9445</v>
      </c>
      <c r="P965" t="s">
        <v>9446</v>
      </c>
      <c r="S965" t="s">
        <v>3447</v>
      </c>
    </row>
    <row r="966" spans="1:19" x14ac:dyDescent="0.2">
      <c r="A966" t="str">
        <f t="shared" si="15"/>
        <v>metab_compid_57473</v>
      </c>
      <c r="B966">
        <v>100009027</v>
      </c>
      <c r="C966">
        <v>402</v>
      </c>
      <c r="D966">
        <v>57473</v>
      </c>
      <c r="E966">
        <v>211136</v>
      </c>
      <c r="F966" t="s">
        <v>3459</v>
      </c>
      <c r="G966" t="s">
        <v>8860</v>
      </c>
      <c r="H966">
        <v>3121</v>
      </c>
      <c r="I966" t="s">
        <v>3438</v>
      </c>
      <c r="J966" t="s">
        <v>9014</v>
      </c>
      <c r="K966" t="s">
        <v>9015</v>
      </c>
      <c r="L966" t="s">
        <v>9016</v>
      </c>
      <c r="M966" t="s">
        <v>9016</v>
      </c>
      <c r="O966" t="s">
        <v>9017</v>
      </c>
      <c r="P966" t="s">
        <v>9018</v>
      </c>
      <c r="R966" t="s">
        <v>9019</v>
      </c>
      <c r="S966" t="s">
        <v>3447</v>
      </c>
    </row>
    <row r="967" spans="1:19" x14ac:dyDescent="0.2">
      <c r="A967" t="str">
        <f t="shared" si="15"/>
        <v>metab_compid_57476</v>
      </c>
      <c r="B967">
        <v>100015786</v>
      </c>
      <c r="C967">
        <v>402</v>
      </c>
      <c r="D967">
        <v>57476</v>
      </c>
      <c r="E967">
        <v>211139</v>
      </c>
      <c r="F967" t="s">
        <v>3459</v>
      </c>
      <c r="G967" t="s">
        <v>8860</v>
      </c>
      <c r="H967">
        <v>3122</v>
      </c>
      <c r="I967" t="s">
        <v>3438</v>
      </c>
      <c r="J967" t="s">
        <v>9415</v>
      </c>
      <c r="K967" t="s">
        <v>9416</v>
      </c>
      <c r="L967" t="s">
        <v>9417</v>
      </c>
      <c r="M967" t="s">
        <v>9417</v>
      </c>
      <c r="P967" t="s">
        <v>9418</v>
      </c>
      <c r="S967" t="s">
        <v>3447</v>
      </c>
    </row>
    <row r="968" spans="1:19" x14ac:dyDescent="0.2">
      <c r="A968" t="str">
        <f t="shared" si="15"/>
        <v>metab_compid_42463</v>
      </c>
      <c r="B968">
        <v>100004328</v>
      </c>
      <c r="C968">
        <v>402</v>
      </c>
      <c r="D968">
        <v>42463</v>
      </c>
      <c r="E968">
        <v>164531</v>
      </c>
      <c r="F968" t="s">
        <v>3459</v>
      </c>
      <c r="G968" t="s">
        <v>814</v>
      </c>
      <c r="H968">
        <v>3133</v>
      </c>
      <c r="I968" t="s">
        <v>3438</v>
      </c>
      <c r="J968" t="s">
        <v>8191</v>
      </c>
      <c r="K968" t="s">
        <v>8192</v>
      </c>
      <c r="L968" t="s">
        <v>8193</v>
      </c>
      <c r="M968" t="s">
        <v>8193</v>
      </c>
      <c r="O968" t="s">
        <v>8194</v>
      </c>
      <c r="P968" t="s">
        <v>8195</v>
      </c>
      <c r="R968" t="s">
        <v>8196</v>
      </c>
      <c r="S968" t="s">
        <v>3447</v>
      </c>
    </row>
    <row r="969" spans="1:19" x14ac:dyDescent="0.2">
      <c r="A969" t="str">
        <f t="shared" si="15"/>
        <v>metab_compid_52615</v>
      </c>
      <c r="B969">
        <v>100008920</v>
      </c>
      <c r="C969">
        <v>402</v>
      </c>
      <c r="D969">
        <v>52615</v>
      </c>
      <c r="E969">
        <v>165347</v>
      </c>
      <c r="F969" t="s">
        <v>3459</v>
      </c>
      <c r="G969" t="s">
        <v>814</v>
      </c>
      <c r="H969">
        <v>3138</v>
      </c>
      <c r="I969" t="s">
        <v>3438</v>
      </c>
      <c r="J969" t="s">
        <v>8811</v>
      </c>
      <c r="K969" t="s">
        <v>8812</v>
      </c>
      <c r="L969" t="s">
        <v>8813</v>
      </c>
      <c r="M969" t="s">
        <v>8813</v>
      </c>
      <c r="N969" t="s">
        <v>8814</v>
      </c>
      <c r="P969" t="s">
        <v>8815</v>
      </c>
      <c r="R969" t="s">
        <v>8816</v>
      </c>
      <c r="S969" t="s">
        <v>3447</v>
      </c>
    </row>
    <row r="970" spans="1:19" x14ac:dyDescent="0.2">
      <c r="A970" t="str">
        <f t="shared" si="15"/>
        <v>metab_compid_37529</v>
      </c>
      <c r="B970">
        <v>100002106</v>
      </c>
      <c r="C970">
        <v>402</v>
      </c>
      <c r="D970">
        <v>37529</v>
      </c>
      <c r="E970">
        <v>164200</v>
      </c>
      <c r="F970" t="s">
        <v>3459</v>
      </c>
      <c r="G970" t="s">
        <v>814</v>
      </c>
      <c r="H970">
        <v>3139</v>
      </c>
      <c r="I970" t="s">
        <v>3438</v>
      </c>
      <c r="J970" t="s">
        <v>7262</v>
      </c>
      <c r="K970" t="s">
        <v>7263</v>
      </c>
      <c r="L970" t="s">
        <v>7264</v>
      </c>
      <c r="M970" t="s">
        <v>7264</v>
      </c>
      <c r="N970" t="s">
        <v>7265</v>
      </c>
      <c r="O970" t="s">
        <v>7266</v>
      </c>
      <c r="P970" t="s">
        <v>7267</v>
      </c>
      <c r="R970" t="s">
        <v>7268</v>
      </c>
      <c r="S970" t="s">
        <v>3447</v>
      </c>
    </row>
    <row r="971" spans="1:19" x14ac:dyDescent="0.2">
      <c r="A971" t="str">
        <f t="shared" si="15"/>
        <v>metab_compid_57475</v>
      </c>
      <c r="B971">
        <v>100015787</v>
      </c>
      <c r="C971">
        <v>402</v>
      </c>
      <c r="D971">
        <v>57475</v>
      </c>
      <c r="E971">
        <v>211138</v>
      </c>
      <c r="F971" t="s">
        <v>3459</v>
      </c>
      <c r="G971" t="s">
        <v>814</v>
      </c>
      <c r="H971">
        <v>3140</v>
      </c>
      <c r="I971" t="s">
        <v>3438</v>
      </c>
      <c r="J971" t="s">
        <v>9419</v>
      </c>
      <c r="K971" t="s">
        <v>9420</v>
      </c>
      <c r="L971" t="s">
        <v>9421</v>
      </c>
      <c r="M971" t="s">
        <v>9421</v>
      </c>
      <c r="S971" t="s">
        <v>3447</v>
      </c>
    </row>
    <row r="972" spans="1:19" x14ac:dyDescent="0.2">
      <c r="A972" t="str">
        <f t="shared" si="15"/>
        <v>metab_compid_48490</v>
      </c>
      <c r="B972">
        <v>100006290</v>
      </c>
      <c r="C972">
        <v>402</v>
      </c>
      <c r="D972">
        <v>48490</v>
      </c>
      <c r="E972">
        <v>164042</v>
      </c>
      <c r="F972" t="s">
        <v>3459</v>
      </c>
      <c r="G972" t="s">
        <v>814</v>
      </c>
      <c r="H972">
        <v>3141</v>
      </c>
      <c r="I972" t="s">
        <v>3438</v>
      </c>
      <c r="J972" t="s">
        <v>8579</v>
      </c>
      <c r="K972" t="s">
        <v>8580</v>
      </c>
      <c r="L972" t="s">
        <v>8581</v>
      </c>
      <c r="M972" t="s">
        <v>8581</v>
      </c>
      <c r="O972" t="s">
        <v>8582</v>
      </c>
      <c r="P972" t="s">
        <v>8583</v>
      </c>
      <c r="R972" t="s">
        <v>8584</v>
      </c>
      <c r="S972" t="s">
        <v>3447</v>
      </c>
    </row>
    <row r="973" spans="1:19" x14ac:dyDescent="0.2">
      <c r="A973" t="str">
        <f t="shared" si="15"/>
        <v>metab_compid_48491</v>
      </c>
      <c r="B973">
        <v>100006292</v>
      </c>
      <c r="C973">
        <v>402</v>
      </c>
      <c r="D973">
        <v>48491</v>
      </c>
      <c r="E973">
        <v>164534</v>
      </c>
      <c r="F973" t="s">
        <v>3459</v>
      </c>
      <c r="G973" t="s">
        <v>814</v>
      </c>
      <c r="H973">
        <v>3142</v>
      </c>
      <c r="I973" t="s">
        <v>3438</v>
      </c>
      <c r="J973" t="s">
        <v>8585</v>
      </c>
      <c r="K973" t="s">
        <v>8586</v>
      </c>
      <c r="L973" t="s">
        <v>8587</v>
      </c>
      <c r="M973" t="s">
        <v>8587</v>
      </c>
      <c r="N973" t="s">
        <v>8588</v>
      </c>
      <c r="P973" t="s">
        <v>8589</v>
      </c>
      <c r="S973" t="s">
        <v>3447</v>
      </c>
    </row>
    <row r="974" spans="1:19" x14ac:dyDescent="0.2">
      <c r="A974" t="str">
        <f t="shared" si="15"/>
        <v>metab_compid_57481</v>
      </c>
      <c r="B974">
        <v>100006293</v>
      </c>
      <c r="C974">
        <v>402</v>
      </c>
      <c r="D974">
        <v>57481</v>
      </c>
      <c r="E974">
        <v>211144</v>
      </c>
      <c r="F974" t="s">
        <v>3459</v>
      </c>
      <c r="G974" t="s">
        <v>814</v>
      </c>
      <c r="H974">
        <v>3143</v>
      </c>
      <c r="I974" t="s">
        <v>3438</v>
      </c>
      <c r="J974" t="s">
        <v>8590</v>
      </c>
      <c r="K974" t="s">
        <v>8591</v>
      </c>
      <c r="L974" t="s">
        <v>8592</v>
      </c>
      <c r="M974" t="s">
        <v>8592</v>
      </c>
      <c r="S974" t="s">
        <v>3447</v>
      </c>
    </row>
    <row r="975" spans="1:19" x14ac:dyDescent="0.2">
      <c r="A975" t="str">
        <f t="shared" si="15"/>
        <v>metab_compid_52495</v>
      </c>
      <c r="B975">
        <v>100009025</v>
      </c>
      <c r="C975">
        <v>402</v>
      </c>
      <c r="D975">
        <v>52495</v>
      </c>
      <c r="E975">
        <v>165187</v>
      </c>
      <c r="F975" t="s">
        <v>3459</v>
      </c>
      <c r="G975" t="s">
        <v>814</v>
      </c>
      <c r="H975">
        <v>3144</v>
      </c>
      <c r="I975" t="s">
        <v>3438</v>
      </c>
      <c r="J975" t="s">
        <v>9004</v>
      </c>
      <c r="K975" t="s">
        <v>9005</v>
      </c>
      <c r="L975" t="s">
        <v>9006</v>
      </c>
      <c r="M975" t="s">
        <v>9006</v>
      </c>
      <c r="P975" t="s">
        <v>9007</v>
      </c>
      <c r="S975" t="s">
        <v>3447</v>
      </c>
    </row>
    <row r="976" spans="1:19" x14ac:dyDescent="0.2">
      <c r="A976" t="str">
        <f t="shared" si="15"/>
        <v>metab_compid_48493</v>
      </c>
      <c r="B976">
        <v>100006295</v>
      </c>
      <c r="C976">
        <v>402</v>
      </c>
      <c r="D976">
        <v>48493</v>
      </c>
      <c r="E976">
        <v>164535</v>
      </c>
      <c r="F976" t="s">
        <v>3459</v>
      </c>
      <c r="G976" t="s">
        <v>814</v>
      </c>
      <c r="H976">
        <v>3146</v>
      </c>
      <c r="I976" t="s">
        <v>3438</v>
      </c>
      <c r="J976" t="s">
        <v>8599</v>
      </c>
      <c r="K976" t="s">
        <v>8600</v>
      </c>
      <c r="L976" t="s">
        <v>8601</v>
      </c>
      <c r="M976" t="s">
        <v>8601</v>
      </c>
      <c r="O976" t="s">
        <v>8602</v>
      </c>
      <c r="P976" t="s">
        <v>8603</v>
      </c>
      <c r="S976" t="s">
        <v>3447</v>
      </c>
    </row>
    <row r="977" spans="1:19" x14ac:dyDescent="0.2">
      <c r="A977" t="str">
        <f t="shared" si="15"/>
        <v>metab_compid_57477</v>
      </c>
      <c r="B977">
        <v>100006296</v>
      </c>
      <c r="C977">
        <v>402</v>
      </c>
      <c r="D977">
        <v>57477</v>
      </c>
      <c r="E977">
        <v>211140</v>
      </c>
      <c r="F977" t="s">
        <v>3459</v>
      </c>
      <c r="G977" t="s">
        <v>814</v>
      </c>
      <c r="H977">
        <v>3147</v>
      </c>
      <c r="I977" t="s">
        <v>3438</v>
      </c>
      <c r="J977" t="s">
        <v>8604</v>
      </c>
      <c r="K977" t="s">
        <v>8605</v>
      </c>
      <c r="L977" t="s">
        <v>8606</v>
      </c>
      <c r="M977" t="s">
        <v>8606</v>
      </c>
      <c r="P977" t="s">
        <v>8607</v>
      </c>
      <c r="S977" t="s">
        <v>3447</v>
      </c>
    </row>
    <row r="978" spans="1:19" x14ac:dyDescent="0.2">
      <c r="A978" t="str">
        <f t="shared" si="15"/>
        <v>metab_compid_47153</v>
      </c>
      <c r="B978">
        <v>100005986</v>
      </c>
      <c r="C978">
        <v>402</v>
      </c>
      <c r="D978">
        <v>47153</v>
      </c>
      <c r="E978">
        <v>164529</v>
      </c>
      <c r="F978" t="s">
        <v>3459</v>
      </c>
      <c r="G978" t="s">
        <v>814</v>
      </c>
      <c r="H978">
        <v>3149</v>
      </c>
      <c r="I978" t="s">
        <v>3438</v>
      </c>
      <c r="J978" t="s">
        <v>8390</v>
      </c>
      <c r="K978" t="s">
        <v>8391</v>
      </c>
      <c r="L978" t="s">
        <v>8392</v>
      </c>
      <c r="M978" t="s">
        <v>8392</v>
      </c>
      <c r="N978" t="s">
        <v>8393</v>
      </c>
      <c r="O978" t="s">
        <v>8394</v>
      </c>
      <c r="P978" t="s">
        <v>8395</v>
      </c>
      <c r="R978" t="s">
        <v>8396</v>
      </c>
      <c r="S978" t="s">
        <v>3447</v>
      </c>
    </row>
    <row r="979" spans="1:19" x14ac:dyDescent="0.2">
      <c r="A979" t="str">
        <f t="shared" si="15"/>
        <v>metab_compid_57478</v>
      </c>
      <c r="B979">
        <v>100015792</v>
      </c>
      <c r="C979">
        <v>402</v>
      </c>
      <c r="D979">
        <v>57478</v>
      </c>
      <c r="E979">
        <v>211141</v>
      </c>
      <c r="F979" t="s">
        <v>3459</v>
      </c>
      <c r="G979" t="s">
        <v>814</v>
      </c>
      <c r="H979">
        <v>3151</v>
      </c>
      <c r="I979" t="s">
        <v>3438</v>
      </c>
      <c r="J979" t="s">
        <v>9438</v>
      </c>
      <c r="K979" t="s">
        <v>9439</v>
      </c>
      <c r="L979" t="s">
        <v>9440</v>
      </c>
      <c r="M979" t="s">
        <v>9440</v>
      </c>
      <c r="O979" t="s">
        <v>9441</v>
      </c>
      <c r="P979" t="s">
        <v>9442</v>
      </c>
      <c r="S979" t="s">
        <v>3447</v>
      </c>
    </row>
    <row r="980" spans="1:19" x14ac:dyDescent="0.2">
      <c r="A980" t="str">
        <f t="shared" si="15"/>
        <v>metab_compid_47154</v>
      </c>
      <c r="B980">
        <v>100005985</v>
      </c>
      <c r="C980">
        <v>402</v>
      </c>
      <c r="D980">
        <v>47154</v>
      </c>
      <c r="E980">
        <v>164532</v>
      </c>
      <c r="F980" t="s">
        <v>3459</v>
      </c>
      <c r="G980" t="s">
        <v>814</v>
      </c>
      <c r="H980">
        <v>3134</v>
      </c>
      <c r="I980" t="s">
        <v>3438</v>
      </c>
      <c r="J980" t="s">
        <v>8386</v>
      </c>
      <c r="K980" t="s">
        <v>8387</v>
      </c>
      <c r="L980" t="s">
        <v>8388</v>
      </c>
      <c r="M980" t="s">
        <v>8388</v>
      </c>
      <c r="P980" t="s">
        <v>8389</v>
      </c>
      <c r="S980" t="s">
        <v>3447</v>
      </c>
    </row>
    <row r="981" spans="1:19" x14ac:dyDescent="0.2">
      <c r="A981" t="str">
        <f t="shared" si="15"/>
        <v>metab_compid_42459</v>
      </c>
      <c r="B981">
        <v>100004329</v>
      </c>
      <c r="C981">
        <v>402</v>
      </c>
      <c r="D981">
        <v>42459</v>
      </c>
      <c r="E981">
        <v>161023</v>
      </c>
      <c r="F981" t="s">
        <v>3459</v>
      </c>
      <c r="G981" t="s">
        <v>814</v>
      </c>
      <c r="H981">
        <v>3137</v>
      </c>
      <c r="I981" t="s">
        <v>3438</v>
      </c>
      <c r="J981" t="s">
        <v>8197</v>
      </c>
      <c r="K981" t="s">
        <v>8198</v>
      </c>
      <c r="L981" t="s">
        <v>8199</v>
      </c>
      <c r="M981" t="s">
        <v>8199</v>
      </c>
      <c r="P981" t="s">
        <v>8200</v>
      </c>
      <c r="S981" t="s">
        <v>3447</v>
      </c>
    </row>
    <row r="982" spans="1:19" x14ac:dyDescent="0.2">
      <c r="A982" t="str">
        <f t="shared" si="15"/>
        <v>metab_compid_57474</v>
      </c>
      <c r="B982">
        <v>100015788</v>
      </c>
      <c r="C982">
        <v>402</v>
      </c>
      <c r="D982">
        <v>57474</v>
      </c>
      <c r="E982">
        <v>211137</v>
      </c>
      <c r="F982" t="s">
        <v>3459</v>
      </c>
      <c r="G982" t="s">
        <v>814</v>
      </c>
      <c r="H982">
        <v>3129</v>
      </c>
      <c r="I982" t="s">
        <v>3438</v>
      </c>
      <c r="J982" t="s">
        <v>9422</v>
      </c>
      <c r="K982" t="s">
        <v>9423</v>
      </c>
      <c r="L982" t="s">
        <v>9424</v>
      </c>
      <c r="M982" t="s">
        <v>9424</v>
      </c>
      <c r="P982" t="s">
        <v>5034</v>
      </c>
      <c r="R982" t="s">
        <v>9425</v>
      </c>
      <c r="S982" t="s">
        <v>3447</v>
      </c>
    </row>
    <row r="983" spans="1:19" x14ac:dyDescent="0.2">
      <c r="A983" t="str">
        <f t="shared" si="15"/>
        <v>metab_compid_57480</v>
      </c>
      <c r="B983">
        <v>100015790</v>
      </c>
      <c r="C983">
        <v>402</v>
      </c>
      <c r="D983">
        <v>57480</v>
      </c>
      <c r="E983">
        <v>211143</v>
      </c>
      <c r="F983" t="s">
        <v>3459</v>
      </c>
      <c r="G983" t="s">
        <v>814</v>
      </c>
      <c r="H983">
        <v>3145</v>
      </c>
      <c r="I983" t="s">
        <v>3438</v>
      </c>
      <c r="J983" t="s">
        <v>9430</v>
      </c>
      <c r="K983" t="s">
        <v>9431</v>
      </c>
      <c r="L983" t="s">
        <v>9432</v>
      </c>
      <c r="M983" t="s">
        <v>9432</v>
      </c>
      <c r="P983" t="s">
        <v>9433</v>
      </c>
      <c r="S983" t="s">
        <v>3447</v>
      </c>
    </row>
    <row r="984" spans="1:19" x14ac:dyDescent="0.2">
      <c r="A984" t="str">
        <f t="shared" si="15"/>
        <v>metab_compid_52435</v>
      </c>
      <c r="B984">
        <v>100008956</v>
      </c>
      <c r="C984">
        <v>402</v>
      </c>
      <c r="D984">
        <v>52435</v>
      </c>
      <c r="E984">
        <v>164559</v>
      </c>
      <c r="F984" t="s">
        <v>3459</v>
      </c>
      <c r="G984" t="s">
        <v>814</v>
      </c>
      <c r="H984">
        <v>3148</v>
      </c>
      <c r="I984" t="s">
        <v>3438</v>
      </c>
      <c r="J984" t="s">
        <v>8871</v>
      </c>
      <c r="K984" t="s">
        <v>8872</v>
      </c>
      <c r="L984" t="s">
        <v>8873</v>
      </c>
      <c r="M984" t="s">
        <v>8873</v>
      </c>
      <c r="P984" t="s">
        <v>8874</v>
      </c>
      <c r="R984" t="s">
        <v>8875</v>
      </c>
      <c r="S984" t="s">
        <v>3447</v>
      </c>
    </row>
    <row r="985" spans="1:19" x14ac:dyDescent="0.2">
      <c r="A985" t="str">
        <f t="shared" si="15"/>
        <v>metab_compid_57482</v>
      </c>
      <c r="B985">
        <v>100015791</v>
      </c>
      <c r="C985">
        <v>402</v>
      </c>
      <c r="D985">
        <v>57482</v>
      </c>
      <c r="E985">
        <v>211145</v>
      </c>
      <c r="F985" t="s">
        <v>3459</v>
      </c>
      <c r="G985" t="s">
        <v>814</v>
      </c>
      <c r="H985">
        <v>3130</v>
      </c>
      <c r="I985" t="s">
        <v>3438</v>
      </c>
      <c r="J985" t="s">
        <v>9434</v>
      </c>
      <c r="K985" t="s">
        <v>9435</v>
      </c>
      <c r="L985" t="s">
        <v>9436</v>
      </c>
      <c r="M985" t="s">
        <v>9436</v>
      </c>
      <c r="P985" t="s">
        <v>9437</v>
      </c>
      <c r="S985" t="s">
        <v>3447</v>
      </c>
    </row>
    <row r="986" spans="1:19" x14ac:dyDescent="0.2">
      <c r="A986" t="str">
        <f t="shared" si="15"/>
        <v>metab_compid_52437</v>
      </c>
      <c r="B986">
        <v>100008957</v>
      </c>
      <c r="C986">
        <v>402</v>
      </c>
      <c r="D986">
        <v>52437</v>
      </c>
      <c r="E986">
        <v>164561</v>
      </c>
      <c r="F986" t="s">
        <v>3459</v>
      </c>
      <c r="G986" t="s">
        <v>814</v>
      </c>
      <c r="H986">
        <v>3150</v>
      </c>
      <c r="I986" t="s">
        <v>3438</v>
      </c>
      <c r="J986" t="s">
        <v>8876</v>
      </c>
      <c r="K986" t="s">
        <v>8877</v>
      </c>
      <c r="L986" t="s">
        <v>8878</v>
      </c>
      <c r="M986" t="s">
        <v>8878</v>
      </c>
      <c r="P986" t="s">
        <v>8879</v>
      </c>
      <c r="R986" t="s">
        <v>8880</v>
      </c>
      <c r="S986" t="s">
        <v>3447</v>
      </c>
    </row>
    <row r="987" spans="1:19" x14ac:dyDescent="0.2">
      <c r="A987" t="str">
        <f t="shared" si="15"/>
        <v>metab_compid_57479</v>
      </c>
      <c r="B987">
        <v>100015789</v>
      </c>
      <c r="C987">
        <v>402</v>
      </c>
      <c r="D987">
        <v>57479</v>
      </c>
      <c r="E987">
        <v>211142</v>
      </c>
      <c r="F987" t="s">
        <v>3459</v>
      </c>
      <c r="G987" t="s">
        <v>814</v>
      </c>
      <c r="H987">
        <v>3131</v>
      </c>
      <c r="I987" t="s">
        <v>3438</v>
      </c>
      <c r="J987" t="s">
        <v>9426</v>
      </c>
      <c r="K987" t="s">
        <v>9427</v>
      </c>
      <c r="L987" t="s">
        <v>9428</v>
      </c>
      <c r="M987" t="s">
        <v>9428</v>
      </c>
      <c r="P987" t="s">
        <v>9429</v>
      </c>
      <c r="S987" t="s">
        <v>3447</v>
      </c>
    </row>
    <row r="988" spans="1:19" x14ac:dyDescent="0.2">
      <c r="A988" t="str">
        <f t="shared" si="15"/>
        <v>metab_compid_17747</v>
      </c>
      <c r="B988">
        <v>297</v>
      </c>
      <c r="C988">
        <v>402</v>
      </c>
      <c r="D988">
        <v>17747</v>
      </c>
      <c r="E988">
        <v>158164</v>
      </c>
      <c r="F988" t="s">
        <v>3459</v>
      </c>
      <c r="G988" t="s">
        <v>3810</v>
      </c>
      <c r="H988">
        <v>3179</v>
      </c>
      <c r="I988" t="s">
        <v>3438</v>
      </c>
      <c r="J988" t="s">
        <v>3811</v>
      </c>
      <c r="K988" t="s">
        <v>3812</v>
      </c>
      <c r="L988" t="s">
        <v>3813</v>
      </c>
      <c r="M988" t="s">
        <v>3813</v>
      </c>
      <c r="N988" t="s">
        <v>3814</v>
      </c>
      <c r="O988" t="s">
        <v>3815</v>
      </c>
      <c r="P988" t="s">
        <v>3816</v>
      </c>
      <c r="Q988" t="s">
        <v>3817</v>
      </c>
      <c r="R988" t="s">
        <v>3818</v>
      </c>
      <c r="S988" t="s">
        <v>3447</v>
      </c>
    </row>
    <row r="989" spans="1:19" x14ac:dyDescent="0.2">
      <c r="A989" t="str">
        <f t="shared" si="15"/>
        <v>metab_compid_34445</v>
      </c>
      <c r="B989">
        <v>100000626</v>
      </c>
      <c r="C989">
        <v>402</v>
      </c>
      <c r="D989">
        <v>34445</v>
      </c>
      <c r="E989">
        <v>158668</v>
      </c>
      <c r="F989" t="s">
        <v>3459</v>
      </c>
      <c r="G989" t="s">
        <v>3810</v>
      </c>
      <c r="H989">
        <v>3181</v>
      </c>
      <c r="I989" t="s">
        <v>3438</v>
      </c>
      <c r="J989" t="s">
        <v>5433</v>
      </c>
      <c r="K989" t="s">
        <v>5434</v>
      </c>
      <c r="L989" t="s">
        <v>5435</v>
      </c>
      <c r="M989" t="s">
        <v>5435</v>
      </c>
      <c r="N989" t="s">
        <v>5436</v>
      </c>
      <c r="O989" t="s">
        <v>5437</v>
      </c>
      <c r="P989" t="s">
        <v>5438</v>
      </c>
      <c r="Q989" t="s">
        <v>5439</v>
      </c>
      <c r="R989" t="s">
        <v>5440</v>
      </c>
      <c r="S989" t="s">
        <v>3447</v>
      </c>
    </row>
    <row r="990" spans="1:19" x14ac:dyDescent="0.2">
      <c r="A990" t="str">
        <f t="shared" si="15"/>
        <v>metab_compid_34384</v>
      </c>
      <c r="B990">
        <v>100001296</v>
      </c>
      <c r="C990">
        <v>400</v>
      </c>
      <c r="D990">
        <v>34384</v>
      </c>
      <c r="E990">
        <v>156088</v>
      </c>
      <c r="F990" t="s">
        <v>3863</v>
      </c>
      <c r="G990" t="s">
        <v>3864</v>
      </c>
      <c r="H990">
        <v>5086</v>
      </c>
      <c r="I990" t="s">
        <v>3438</v>
      </c>
      <c r="J990" t="s">
        <v>6178</v>
      </c>
      <c r="K990" t="s">
        <v>6179</v>
      </c>
      <c r="L990" t="s">
        <v>6180</v>
      </c>
      <c r="M990" t="s">
        <v>6180</v>
      </c>
      <c r="N990" t="s">
        <v>6181</v>
      </c>
      <c r="O990" t="s">
        <v>6182</v>
      </c>
      <c r="P990" t="s">
        <v>6183</v>
      </c>
      <c r="Q990" t="s">
        <v>6184</v>
      </c>
      <c r="R990" t="s">
        <v>6185</v>
      </c>
      <c r="S990" t="s">
        <v>3458</v>
      </c>
    </row>
    <row r="991" spans="1:19" x14ac:dyDescent="0.2">
      <c r="A991" t="str">
        <f t="shared" si="15"/>
        <v>metab_compid_1358</v>
      </c>
      <c r="B991">
        <v>439</v>
      </c>
      <c r="C991">
        <v>209</v>
      </c>
      <c r="D991">
        <v>1358</v>
      </c>
      <c r="E991">
        <v>125724</v>
      </c>
      <c r="F991" t="s">
        <v>3459</v>
      </c>
      <c r="G991" t="s">
        <v>4017</v>
      </c>
      <c r="H991">
        <v>1532</v>
      </c>
      <c r="I991" t="s">
        <v>3438</v>
      </c>
      <c r="J991" t="s">
        <v>4034</v>
      </c>
      <c r="K991" t="s">
        <v>4035</v>
      </c>
      <c r="L991" t="s">
        <v>4036</v>
      </c>
      <c r="M991" t="s">
        <v>4036</v>
      </c>
      <c r="N991" t="s">
        <v>4037</v>
      </c>
      <c r="O991" t="s">
        <v>4038</v>
      </c>
      <c r="P991" t="s">
        <v>4039</v>
      </c>
      <c r="Q991" t="s">
        <v>4040</v>
      </c>
      <c r="R991" t="s">
        <v>4041</v>
      </c>
      <c r="S991" t="s">
        <v>3469</v>
      </c>
    </row>
    <row r="992" spans="1:19" x14ac:dyDescent="0.2">
      <c r="A992" t="str">
        <f t="shared" si="15"/>
        <v>metab_compid_33969</v>
      </c>
      <c r="B992">
        <v>100001229</v>
      </c>
      <c r="C992">
        <v>209</v>
      </c>
      <c r="D992">
        <v>33969</v>
      </c>
      <c r="E992">
        <v>126890</v>
      </c>
      <c r="F992" t="s">
        <v>3459</v>
      </c>
      <c r="G992" t="s">
        <v>3560</v>
      </c>
      <c r="H992">
        <v>1575</v>
      </c>
      <c r="I992" t="s">
        <v>3438</v>
      </c>
      <c r="J992" t="s">
        <v>5990</v>
      </c>
      <c r="K992" t="s">
        <v>5991</v>
      </c>
      <c r="L992" t="s">
        <v>5992</v>
      </c>
      <c r="M992" t="s">
        <v>5992</v>
      </c>
      <c r="N992" t="s">
        <v>5993</v>
      </c>
      <c r="O992" t="s">
        <v>5994</v>
      </c>
      <c r="P992" t="s">
        <v>5995</v>
      </c>
      <c r="Q992" t="s">
        <v>5996</v>
      </c>
      <c r="R992" t="s">
        <v>5997</v>
      </c>
      <c r="S992" t="s">
        <v>3469</v>
      </c>
    </row>
    <row r="993" spans="1:19" x14ac:dyDescent="0.2">
      <c r="A993" t="str">
        <f t="shared" si="15"/>
        <v>metab_compid_38625</v>
      </c>
      <c r="B993">
        <v>100002254</v>
      </c>
      <c r="C993">
        <v>402</v>
      </c>
      <c r="D993">
        <v>38625</v>
      </c>
      <c r="E993">
        <v>159084</v>
      </c>
      <c r="F993" t="s">
        <v>3459</v>
      </c>
      <c r="G993" t="s">
        <v>4774</v>
      </c>
      <c r="H993">
        <v>2181</v>
      </c>
      <c r="I993" t="s">
        <v>3438</v>
      </c>
      <c r="J993" t="s">
        <v>7385</v>
      </c>
      <c r="K993" t="s">
        <v>7386</v>
      </c>
      <c r="L993" t="s">
        <v>7387</v>
      </c>
      <c r="M993" t="s">
        <v>7387</v>
      </c>
      <c r="N993" t="s">
        <v>7388</v>
      </c>
      <c r="O993" t="s">
        <v>7389</v>
      </c>
      <c r="P993" t="s">
        <v>7390</v>
      </c>
      <c r="R993" t="s">
        <v>7391</v>
      </c>
      <c r="S993" t="s">
        <v>3447</v>
      </c>
    </row>
    <row r="994" spans="1:19" x14ac:dyDescent="0.2">
      <c r="A994" t="str">
        <f t="shared" si="15"/>
        <v>metab_compid_19503</v>
      </c>
      <c r="B994">
        <v>1538</v>
      </c>
      <c r="C994">
        <v>402</v>
      </c>
      <c r="D994">
        <v>19503</v>
      </c>
      <c r="E994">
        <v>164530</v>
      </c>
      <c r="F994" t="s">
        <v>3459</v>
      </c>
      <c r="G994" t="s">
        <v>814</v>
      </c>
      <c r="H994">
        <v>3125</v>
      </c>
      <c r="I994" t="s">
        <v>3438</v>
      </c>
      <c r="J994" t="s">
        <v>5029</v>
      </c>
      <c r="K994" t="s">
        <v>5030</v>
      </c>
      <c r="L994" t="s">
        <v>5031</v>
      </c>
      <c r="M994" t="s">
        <v>5031</v>
      </c>
      <c r="N994" t="s">
        <v>5032</v>
      </c>
      <c r="O994" t="s">
        <v>5033</v>
      </c>
      <c r="P994" t="s">
        <v>5034</v>
      </c>
      <c r="Q994" t="s">
        <v>5035</v>
      </c>
      <c r="R994" t="s">
        <v>5036</v>
      </c>
      <c r="S994" t="s">
        <v>3447</v>
      </c>
    </row>
    <row r="995" spans="1:19" x14ac:dyDescent="0.2">
      <c r="A995" t="str">
        <f t="shared" si="15"/>
        <v>metab_compid_34409</v>
      </c>
      <c r="B995">
        <v>100001391</v>
      </c>
      <c r="C995">
        <v>402</v>
      </c>
      <c r="D995">
        <v>34409</v>
      </c>
      <c r="E995">
        <v>158657</v>
      </c>
      <c r="F995" t="s">
        <v>3459</v>
      </c>
      <c r="G995" t="s">
        <v>5526</v>
      </c>
      <c r="H995">
        <v>1884</v>
      </c>
      <c r="I995" t="s">
        <v>3438</v>
      </c>
      <c r="J995" t="s">
        <v>6294</v>
      </c>
      <c r="K995" t="s">
        <v>6295</v>
      </c>
      <c r="L995" t="s">
        <v>6296</v>
      </c>
      <c r="M995" t="s">
        <v>6296</v>
      </c>
      <c r="N995" t="s">
        <v>6297</v>
      </c>
      <c r="O995" t="s">
        <v>6298</v>
      </c>
      <c r="P995" t="s">
        <v>6299</v>
      </c>
      <c r="R995" t="s">
        <v>6300</v>
      </c>
      <c r="S995" t="s">
        <v>3447</v>
      </c>
    </row>
    <row r="996" spans="1:19" x14ac:dyDescent="0.2">
      <c r="A996" t="str">
        <f t="shared" si="15"/>
        <v>metab_compid_57464</v>
      </c>
      <c r="B996">
        <v>100015759</v>
      </c>
      <c r="C996">
        <v>402</v>
      </c>
      <c r="D996">
        <v>57464</v>
      </c>
      <c r="E996">
        <v>211120</v>
      </c>
      <c r="F996" t="s">
        <v>3459</v>
      </c>
      <c r="G996" t="s">
        <v>9134</v>
      </c>
      <c r="H996">
        <v>1968</v>
      </c>
      <c r="I996" t="s">
        <v>3438</v>
      </c>
      <c r="J996" t="s">
        <v>9369</v>
      </c>
      <c r="K996" t="s">
        <v>9370</v>
      </c>
      <c r="L996" t="s">
        <v>9371</v>
      </c>
      <c r="M996" t="s">
        <v>9371</v>
      </c>
      <c r="P996" t="s">
        <v>9372</v>
      </c>
      <c r="R996" t="s">
        <v>9373</v>
      </c>
      <c r="S996" t="s">
        <v>3447</v>
      </c>
    </row>
    <row r="997" spans="1:19" x14ac:dyDescent="0.2">
      <c r="A997" t="str">
        <f t="shared" si="15"/>
        <v>metab_compid_15730</v>
      </c>
      <c r="B997">
        <v>100000016</v>
      </c>
      <c r="C997">
        <v>305</v>
      </c>
      <c r="D997">
        <v>15730</v>
      </c>
      <c r="E997">
        <v>145770</v>
      </c>
      <c r="F997" t="s">
        <v>3459</v>
      </c>
      <c r="G997" t="s">
        <v>3873</v>
      </c>
      <c r="H997">
        <v>1694</v>
      </c>
      <c r="I997" t="s">
        <v>3438</v>
      </c>
      <c r="J997" t="s">
        <v>5183</v>
      </c>
      <c r="K997" t="s">
        <v>5184</v>
      </c>
      <c r="L997" t="s">
        <v>5185</v>
      </c>
      <c r="M997" t="s">
        <v>5185</v>
      </c>
      <c r="N997" t="s">
        <v>5186</v>
      </c>
      <c r="O997" t="s">
        <v>5187</v>
      </c>
      <c r="P997" t="s">
        <v>5188</v>
      </c>
      <c r="Q997" t="s">
        <v>5189</v>
      </c>
      <c r="R997" t="s">
        <v>5190</v>
      </c>
      <c r="S997" t="s">
        <v>3489</v>
      </c>
    </row>
    <row r="998" spans="1:19" x14ac:dyDescent="0.2">
      <c r="A998" t="str">
        <f t="shared" si="15"/>
        <v>metab_compid_52990</v>
      </c>
      <c r="B998">
        <v>100006627</v>
      </c>
      <c r="C998">
        <v>400</v>
      </c>
      <c r="D998">
        <v>52990</v>
      </c>
      <c r="E998">
        <v>166232</v>
      </c>
      <c r="F998" t="s">
        <v>3459</v>
      </c>
      <c r="G998" t="s">
        <v>8397</v>
      </c>
      <c r="H998">
        <v>1933</v>
      </c>
      <c r="I998" t="s">
        <v>3438</v>
      </c>
      <c r="J998" t="s">
        <v>8729</v>
      </c>
      <c r="K998" t="s">
        <v>8730</v>
      </c>
      <c r="L998" t="s">
        <v>8731</v>
      </c>
      <c r="M998" t="s">
        <v>8731</v>
      </c>
      <c r="S998" t="s">
        <v>3458</v>
      </c>
    </row>
    <row r="999" spans="1:19" x14ac:dyDescent="0.2">
      <c r="A999" t="str">
        <f t="shared" si="15"/>
        <v>metab_compid_1437</v>
      </c>
      <c r="B999">
        <v>252</v>
      </c>
      <c r="C999">
        <v>305</v>
      </c>
      <c r="D999">
        <v>1437</v>
      </c>
      <c r="E999">
        <v>147106</v>
      </c>
      <c r="F999" t="s">
        <v>3479</v>
      </c>
      <c r="G999" t="s">
        <v>3480</v>
      </c>
      <c r="H999">
        <v>1466</v>
      </c>
      <c r="I999" t="s">
        <v>3438</v>
      </c>
      <c r="J999" t="s">
        <v>3732</v>
      </c>
      <c r="K999" t="s">
        <v>3733</v>
      </c>
      <c r="L999" t="s">
        <v>3734</v>
      </c>
      <c r="M999" t="s">
        <v>3734</v>
      </c>
      <c r="N999" t="s">
        <v>3735</v>
      </c>
      <c r="O999" t="s">
        <v>3736</v>
      </c>
      <c r="P999" t="s">
        <v>3737</v>
      </c>
      <c r="Q999" t="s">
        <v>3738</v>
      </c>
      <c r="R999" t="s">
        <v>3739</v>
      </c>
      <c r="S999" t="s">
        <v>3489</v>
      </c>
    </row>
    <row r="1000" spans="1:19" x14ac:dyDescent="0.2">
      <c r="A1000" t="str">
        <f t="shared" si="15"/>
        <v>metab_compid_63678</v>
      </c>
      <c r="B1000">
        <v>100021220</v>
      </c>
      <c r="C1000">
        <v>305</v>
      </c>
      <c r="D1000">
        <v>63678</v>
      </c>
      <c r="E1000">
        <v>223092</v>
      </c>
      <c r="F1000" t="s">
        <v>3436</v>
      </c>
      <c r="G1000" t="s">
        <v>3603</v>
      </c>
      <c r="H1000">
        <v>482</v>
      </c>
      <c r="I1000" t="s">
        <v>3438</v>
      </c>
      <c r="J1000" t="s">
        <v>10115</v>
      </c>
      <c r="K1000" t="s">
        <v>10116</v>
      </c>
      <c r="L1000" t="s">
        <v>10117</v>
      </c>
      <c r="M1000" t="s">
        <v>10117</v>
      </c>
      <c r="O1000" t="s">
        <v>10118</v>
      </c>
      <c r="S1000" t="s">
        <v>3489</v>
      </c>
    </row>
    <row r="1001" spans="1:19" x14ac:dyDescent="0.2">
      <c r="A1001" t="str">
        <f t="shared" si="15"/>
        <v>metab_compid_37058</v>
      </c>
      <c r="B1001">
        <v>100001948</v>
      </c>
      <c r="C1001">
        <v>400</v>
      </c>
      <c r="D1001">
        <v>37058</v>
      </c>
      <c r="E1001">
        <v>156287</v>
      </c>
      <c r="F1001" t="s">
        <v>3479</v>
      </c>
      <c r="G1001" t="s">
        <v>3480</v>
      </c>
      <c r="H1001">
        <v>1465</v>
      </c>
      <c r="I1001" t="s">
        <v>3438</v>
      </c>
      <c r="J1001" t="s">
        <v>7092</v>
      </c>
      <c r="K1001" t="s">
        <v>7093</v>
      </c>
      <c r="L1001" t="s">
        <v>7094</v>
      </c>
      <c r="M1001" t="s">
        <v>7094</v>
      </c>
      <c r="N1001" t="s">
        <v>7095</v>
      </c>
      <c r="O1001" t="s">
        <v>7096</v>
      </c>
      <c r="P1001" t="s">
        <v>7097</v>
      </c>
      <c r="R1001" t="s">
        <v>7098</v>
      </c>
      <c r="S1001" t="s">
        <v>3458</v>
      </c>
    </row>
    <row r="1002" spans="1:19" x14ac:dyDescent="0.2">
      <c r="A1002" t="str">
        <f t="shared" si="15"/>
        <v>metab_compid_36649</v>
      </c>
      <c r="B1002">
        <v>100001789</v>
      </c>
      <c r="C1002">
        <v>209</v>
      </c>
      <c r="D1002">
        <v>36649</v>
      </c>
      <c r="E1002">
        <v>127579</v>
      </c>
      <c r="F1002" t="s">
        <v>3863</v>
      </c>
      <c r="G1002" t="s">
        <v>3864</v>
      </c>
      <c r="H1002">
        <v>4704</v>
      </c>
      <c r="I1002" t="s">
        <v>3438</v>
      </c>
      <c r="J1002" t="s">
        <v>6976</v>
      </c>
      <c r="K1002" t="s">
        <v>6977</v>
      </c>
      <c r="L1002" t="s">
        <v>6978</v>
      </c>
      <c r="M1002" t="s">
        <v>6978</v>
      </c>
      <c r="N1002" t="s">
        <v>6979</v>
      </c>
      <c r="P1002" t="s">
        <v>6980</v>
      </c>
      <c r="Q1002" t="s">
        <v>6981</v>
      </c>
      <c r="R1002" t="s">
        <v>6982</v>
      </c>
      <c r="S1002" t="s">
        <v>3469</v>
      </c>
    </row>
    <row r="1003" spans="1:19" x14ac:dyDescent="0.2">
      <c r="A1003" t="str">
        <f t="shared" si="15"/>
        <v>metab_compid_1519</v>
      </c>
      <c r="B1003">
        <v>935</v>
      </c>
      <c r="C1003">
        <v>305</v>
      </c>
      <c r="D1003">
        <v>1519</v>
      </c>
      <c r="E1003">
        <v>147116</v>
      </c>
      <c r="F1003" t="s">
        <v>3977</v>
      </c>
      <c r="G1003" t="s">
        <v>3978</v>
      </c>
      <c r="H1003">
        <v>1343</v>
      </c>
      <c r="I1003" t="s">
        <v>3438</v>
      </c>
      <c r="J1003" t="s">
        <v>4503</v>
      </c>
      <c r="K1003" t="s">
        <v>4504</v>
      </c>
      <c r="L1003" t="s">
        <v>4505</v>
      </c>
      <c r="M1003" t="s">
        <v>4505</v>
      </c>
      <c r="N1003" t="s">
        <v>4506</v>
      </c>
      <c r="O1003" t="s">
        <v>4507</v>
      </c>
      <c r="P1003" t="s">
        <v>4508</v>
      </c>
      <c r="Q1003" t="s">
        <v>4509</v>
      </c>
      <c r="R1003" t="s">
        <v>4510</v>
      </c>
      <c r="S1003" t="s">
        <v>3489</v>
      </c>
    </row>
    <row r="1004" spans="1:19" x14ac:dyDescent="0.2">
      <c r="A1004" t="str">
        <f t="shared" si="15"/>
        <v>metab_compid_62295</v>
      </c>
      <c r="B1004">
        <v>100020496</v>
      </c>
      <c r="C1004">
        <v>209</v>
      </c>
      <c r="D1004">
        <v>62295</v>
      </c>
      <c r="E1004">
        <v>219274</v>
      </c>
      <c r="F1004" t="s">
        <v>3863</v>
      </c>
      <c r="G1004" t="s">
        <v>3864</v>
      </c>
      <c r="H1004">
        <v>5040</v>
      </c>
      <c r="I1004" t="s">
        <v>3438</v>
      </c>
      <c r="L1004" t="s">
        <v>9781</v>
      </c>
      <c r="M1004" t="s">
        <v>9781</v>
      </c>
      <c r="S1004" t="s">
        <v>3469</v>
      </c>
    </row>
    <row r="1005" spans="1:19" x14ac:dyDescent="0.2">
      <c r="A1005" t="str">
        <f t="shared" si="15"/>
        <v>metab_compid_62296</v>
      </c>
      <c r="B1005">
        <v>100020497</v>
      </c>
      <c r="C1005">
        <v>209</v>
      </c>
      <c r="D1005">
        <v>62296</v>
      </c>
      <c r="E1005">
        <v>219275</v>
      </c>
      <c r="F1005" t="s">
        <v>3863</v>
      </c>
      <c r="G1005" t="s">
        <v>3864</v>
      </c>
      <c r="H1005">
        <v>5041</v>
      </c>
      <c r="I1005" t="s">
        <v>3438</v>
      </c>
      <c r="L1005" t="s">
        <v>9782</v>
      </c>
      <c r="M1005" t="s">
        <v>9782</v>
      </c>
      <c r="S1005" t="s">
        <v>3469</v>
      </c>
    </row>
    <row r="1006" spans="1:19" x14ac:dyDescent="0.2">
      <c r="A1006" t="str">
        <f t="shared" si="15"/>
        <v>metab_compid_62297</v>
      </c>
      <c r="B1006">
        <v>100020502</v>
      </c>
      <c r="C1006">
        <v>209</v>
      </c>
      <c r="D1006">
        <v>62297</v>
      </c>
      <c r="E1006">
        <v>219276</v>
      </c>
      <c r="F1006" t="s">
        <v>3863</v>
      </c>
      <c r="G1006" t="s">
        <v>3864</v>
      </c>
      <c r="H1006">
        <v>5046</v>
      </c>
      <c r="I1006" t="s">
        <v>3438</v>
      </c>
      <c r="L1006" t="s">
        <v>9783</v>
      </c>
      <c r="M1006" t="s">
        <v>9783</v>
      </c>
      <c r="S1006" t="s">
        <v>3469</v>
      </c>
    </row>
    <row r="1007" spans="1:19" x14ac:dyDescent="0.2">
      <c r="A1007" t="str">
        <f t="shared" si="15"/>
        <v>metab_compid_62299</v>
      </c>
      <c r="B1007">
        <v>100020504</v>
      </c>
      <c r="C1007">
        <v>209</v>
      </c>
      <c r="D1007">
        <v>62299</v>
      </c>
      <c r="E1007">
        <v>219278</v>
      </c>
      <c r="F1007" t="s">
        <v>3863</v>
      </c>
      <c r="G1007" t="s">
        <v>3864</v>
      </c>
      <c r="H1007">
        <v>5048</v>
      </c>
      <c r="I1007" t="s">
        <v>3438</v>
      </c>
      <c r="L1007" t="s">
        <v>9784</v>
      </c>
      <c r="M1007" t="s">
        <v>9784</v>
      </c>
      <c r="S1007" t="s">
        <v>3469</v>
      </c>
    </row>
    <row r="1008" spans="1:19" x14ac:dyDescent="0.2">
      <c r="A1008" t="str">
        <f t="shared" si="15"/>
        <v>metab_compid_46960</v>
      </c>
      <c r="B1008">
        <v>100002528</v>
      </c>
      <c r="C1008">
        <v>209</v>
      </c>
      <c r="D1008">
        <v>46960</v>
      </c>
      <c r="E1008">
        <v>148213</v>
      </c>
      <c r="F1008" t="s">
        <v>3863</v>
      </c>
      <c r="G1008" t="s">
        <v>5632</v>
      </c>
      <c r="H1008">
        <v>6117</v>
      </c>
      <c r="I1008" t="s">
        <v>3438</v>
      </c>
      <c r="J1008" t="s">
        <v>7551</v>
      </c>
      <c r="K1008" t="s">
        <v>7552</v>
      </c>
      <c r="L1008" t="s">
        <v>7553</v>
      </c>
      <c r="M1008" t="s">
        <v>7553</v>
      </c>
      <c r="N1008" t="s">
        <v>7554</v>
      </c>
      <c r="O1008" t="s">
        <v>7555</v>
      </c>
      <c r="P1008" t="s">
        <v>7556</v>
      </c>
      <c r="Q1008" t="s">
        <v>7557</v>
      </c>
      <c r="R1008" t="s">
        <v>7558</v>
      </c>
      <c r="S1008" t="s">
        <v>3469</v>
      </c>
    </row>
    <row r="1009" spans="1:19" x14ac:dyDescent="0.2">
      <c r="A1009" t="str">
        <f t="shared" si="15"/>
        <v>metab_compid_52950</v>
      </c>
      <c r="B1009">
        <v>100008974</v>
      </c>
      <c r="C1009">
        <v>209</v>
      </c>
      <c r="D1009">
        <v>52950</v>
      </c>
      <c r="E1009">
        <v>166078</v>
      </c>
      <c r="F1009" t="s">
        <v>3863</v>
      </c>
      <c r="G1009" t="s">
        <v>7216</v>
      </c>
      <c r="H1009">
        <v>5736</v>
      </c>
      <c r="I1009" t="s">
        <v>3438</v>
      </c>
      <c r="J1009" t="s">
        <v>8904</v>
      </c>
      <c r="K1009" t="s">
        <v>8905</v>
      </c>
      <c r="L1009" t="s">
        <v>8906</v>
      </c>
      <c r="M1009" t="s">
        <v>8906</v>
      </c>
      <c r="N1009" t="s">
        <v>8907</v>
      </c>
      <c r="O1009" t="s">
        <v>8908</v>
      </c>
      <c r="P1009" t="s">
        <v>8909</v>
      </c>
      <c r="R1009" t="s">
        <v>8910</v>
      </c>
      <c r="S1009" t="s">
        <v>3469</v>
      </c>
    </row>
    <row r="1010" spans="1:19" x14ac:dyDescent="0.2">
      <c r="A1010" t="str">
        <f t="shared" si="15"/>
        <v>metab_compid_64205</v>
      </c>
      <c r="B1010">
        <v>100021080</v>
      </c>
      <c r="C1010">
        <v>402</v>
      </c>
      <c r="D1010">
        <v>64205</v>
      </c>
      <c r="E1010">
        <v>237128</v>
      </c>
      <c r="F1010" t="s">
        <v>3863</v>
      </c>
      <c r="G1010" t="s">
        <v>10053</v>
      </c>
      <c r="H1010">
        <v>5664</v>
      </c>
      <c r="I1010" t="s">
        <v>3438</v>
      </c>
      <c r="J1010" t="s">
        <v>10054</v>
      </c>
      <c r="K1010" t="s">
        <v>10055</v>
      </c>
      <c r="L1010" t="s">
        <v>10056</v>
      </c>
      <c r="M1010" t="s">
        <v>10056</v>
      </c>
      <c r="N1010" t="s">
        <v>10057</v>
      </c>
      <c r="O1010" t="s">
        <v>10058</v>
      </c>
      <c r="P1010" t="s">
        <v>10059</v>
      </c>
      <c r="Q1010" t="s">
        <v>10060</v>
      </c>
      <c r="R1010" t="s">
        <v>10061</v>
      </c>
      <c r="S1010" t="s">
        <v>3447</v>
      </c>
    </row>
    <row r="1011" spans="1:19" x14ac:dyDescent="0.2">
      <c r="A1011" t="str">
        <f t="shared" si="15"/>
        <v>metab_compid_15336</v>
      </c>
      <c r="B1011">
        <v>100000295</v>
      </c>
      <c r="C1011">
        <v>209</v>
      </c>
      <c r="D1011">
        <v>15336</v>
      </c>
      <c r="E1011">
        <v>123251</v>
      </c>
      <c r="F1011" t="s">
        <v>3863</v>
      </c>
      <c r="G1011" t="s">
        <v>3864</v>
      </c>
      <c r="H1011">
        <v>5096</v>
      </c>
      <c r="I1011" t="s">
        <v>3438</v>
      </c>
      <c r="J1011" t="s">
        <v>5295</v>
      </c>
      <c r="K1011" t="s">
        <v>5296</v>
      </c>
      <c r="L1011" t="s">
        <v>5297</v>
      </c>
      <c r="M1011" t="s">
        <v>5297</v>
      </c>
      <c r="N1011" t="s">
        <v>5298</v>
      </c>
      <c r="O1011" t="s">
        <v>5299</v>
      </c>
      <c r="P1011" t="s">
        <v>5300</v>
      </c>
      <c r="Q1011" t="s">
        <v>5301</v>
      </c>
      <c r="R1011" t="s">
        <v>5302</v>
      </c>
      <c r="S1011" t="s">
        <v>3469</v>
      </c>
    </row>
    <row r="1012" spans="1:19" x14ac:dyDescent="0.2">
      <c r="A1012" t="str">
        <f t="shared" si="15"/>
        <v>metab_compid_20693</v>
      </c>
      <c r="B1012">
        <v>100000840</v>
      </c>
      <c r="C1012">
        <v>209</v>
      </c>
      <c r="D1012">
        <v>20693</v>
      </c>
      <c r="E1012">
        <v>143841</v>
      </c>
      <c r="F1012" t="s">
        <v>3863</v>
      </c>
      <c r="G1012" t="s">
        <v>3864</v>
      </c>
      <c r="H1012">
        <v>5229</v>
      </c>
      <c r="I1012" t="s">
        <v>3438</v>
      </c>
      <c r="J1012" t="s">
        <v>5592</v>
      </c>
      <c r="K1012" t="s">
        <v>5593</v>
      </c>
      <c r="L1012" t="s">
        <v>5594</v>
      </c>
      <c r="M1012" t="s">
        <v>5594</v>
      </c>
      <c r="N1012" t="s">
        <v>5595</v>
      </c>
      <c r="O1012" t="s">
        <v>5596</v>
      </c>
      <c r="P1012" t="s">
        <v>5597</v>
      </c>
      <c r="Q1012" t="s">
        <v>5598</v>
      </c>
      <c r="R1012" t="s">
        <v>5599</v>
      </c>
      <c r="S1012" t="s">
        <v>3469</v>
      </c>
    </row>
    <row r="1013" spans="1:19" x14ac:dyDescent="0.2">
      <c r="A1013" t="str">
        <f t="shared" si="15"/>
        <v>metab_compid_2125</v>
      </c>
      <c r="B1013">
        <v>512</v>
      </c>
      <c r="C1013">
        <v>400</v>
      </c>
      <c r="D1013">
        <v>2125</v>
      </c>
      <c r="E1013">
        <v>155458</v>
      </c>
      <c r="F1013" t="s">
        <v>3436</v>
      </c>
      <c r="G1013" t="s">
        <v>3603</v>
      </c>
      <c r="H1013">
        <v>477</v>
      </c>
      <c r="I1013" t="s">
        <v>3438</v>
      </c>
      <c r="J1013" t="s">
        <v>4167</v>
      </c>
      <c r="K1013" t="s">
        <v>4168</v>
      </c>
      <c r="L1013" t="s">
        <v>4169</v>
      </c>
      <c r="M1013" t="s">
        <v>4169</v>
      </c>
      <c r="N1013" t="s">
        <v>4170</v>
      </c>
      <c r="O1013" t="s">
        <v>4171</v>
      </c>
      <c r="P1013" t="s">
        <v>4172</v>
      </c>
      <c r="Q1013" t="s">
        <v>4173</v>
      </c>
      <c r="R1013" t="s">
        <v>4174</v>
      </c>
      <c r="S1013" t="s">
        <v>3458</v>
      </c>
    </row>
    <row r="1014" spans="1:19" x14ac:dyDescent="0.2">
      <c r="A1014" t="str">
        <f t="shared" si="15"/>
        <v>metab_compid_33983</v>
      </c>
      <c r="B1014">
        <v>100001250</v>
      </c>
      <c r="C1014">
        <v>209</v>
      </c>
      <c r="D1014">
        <v>33983</v>
      </c>
      <c r="E1014">
        <v>126892</v>
      </c>
      <c r="F1014" t="s">
        <v>3459</v>
      </c>
      <c r="G1014" t="s">
        <v>3516</v>
      </c>
      <c r="H1014">
        <v>3486</v>
      </c>
      <c r="I1014" t="s">
        <v>3438</v>
      </c>
      <c r="J1014" t="s">
        <v>6013</v>
      </c>
      <c r="K1014" t="s">
        <v>6014</v>
      </c>
      <c r="L1014" t="s">
        <v>6015</v>
      </c>
      <c r="M1014" t="s">
        <v>6015</v>
      </c>
      <c r="N1014" t="s">
        <v>6016</v>
      </c>
      <c r="O1014" t="s">
        <v>6017</v>
      </c>
      <c r="P1014" t="s">
        <v>6018</v>
      </c>
      <c r="R1014" t="s">
        <v>6019</v>
      </c>
      <c r="S1014" t="s">
        <v>3469</v>
      </c>
    </row>
    <row r="1015" spans="1:19" x14ac:dyDescent="0.2">
      <c r="A1015" t="str">
        <f t="shared" si="15"/>
        <v>metab_compid_18494</v>
      </c>
      <c r="B1015">
        <v>1629</v>
      </c>
      <c r="C1015">
        <v>209</v>
      </c>
      <c r="D1015">
        <v>18494</v>
      </c>
      <c r="E1015">
        <v>124667</v>
      </c>
      <c r="F1015" t="s">
        <v>3459</v>
      </c>
      <c r="G1015" t="s">
        <v>3516</v>
      </c>
      <c r="H1015">
        <v>3482</v>
      </c>
      <c r="I1015" t="s">
        <v>3438</v>
      </c>
      <c r="J1015" t="s">
        <v>5059</v>
      </c>
      <c r="K1015" t="s">
        <v>5060</v>
      </c>
      <c r="L1015" t="s">
        <v>5061</v>
      </c>
      <c r="M1015" t="s">
        <v>5061</v>
      </c>
      <c r="N1015" t="s">
        <v>5062</v>
      </c>
      <c r="O1015" t="s">
        <v>5063</v>
      </c>
      <c r="P1015" t="s">
        <v>5064</v>
      </c>
      <c r="Q1015" t="s">
        <v>5065</v>
      </c>
      <c r="R1015" t="s">
        <v>5066</v>
      </c>
      <c r="S1015" t="s">
        <v>3469</v>
      </c>
    </row>
    <row r="1016" spans="1:19" x14ac:dyDescent="0.2">
      <c r="A1016" t="str">
        <f t="shared" si="15"/>
        <v>metab_compid_62890</v>
      </c>
      <c r="B1016">
        <v>100021093</v>
      </c>
      <c r="C1016">
        <v>209</v>
      </c>
      <c r="D1016">
        <v>62890</v>
      </c>
      <c r="E1016">
        <v>220741</v>
      </c>
      <c r="F1016" t="s">
        <v>3459</v>
      </c>
      <c r="G1016" t="s">
        <v>3819</v>
      </c>
      <c r="H1016">
        <v>3561</v>
      </c>
      <c r="I1016" t="s">
        <v>3438</v>
      </c>
      <c r="J1016" t="s">
        <v>10062</v>
      </c>
      <c r="K1016" t="s">
        <v>10063</v>
      </c>
      <c r="L1016" t="s">
        <v>10064</v>
      </c>
      <c r="M1016" t="s">
        <v>10064</v>
      </c>
      <c r="O1016" t="s">
        <v>10065</v>
      </c>
      <c r="P1016" t="s">
        <v>10066</v>
      </c>
      <c r="R1016" t="s">
        <v>10067</v>
      </c>
      <c r="S1016" t="s">
        <v>3469</v>
      </c>
    </row>
    <row r="1017" spans="1:19" x14ac:dyDescent="0.2">
      <c r="A1017" t="str">
        <f t="shared" si="15"/>
        <v>metab_compid_18497</v>
      </c>
      <c r="B1017">
        <v>1648</v>
      </c>
      <c r="C1017">
        <v>209</v>
      </c>
      <c r="D1017">
        <v>18497</v>
      </c>
      <c r="E1017">
        <v>125762</v>
      </c>
      <c r="F1017" t="s">
        <v>3459</v>
      </c>
      <c r="G1017" t="s">
        <v>3516</v>
      </c>
      <c r="H1017">
        <v>3475</v>
      </c>
      <c r="I1017" t="s">
        <v>3438</v>
      </c>
      <c r="J1017" t="s">
        <v>5067</v>
      </c>
      <c r="K1017" t="s">
        <v>5068</v>
      </c>
      <c r="L1017" t="s">
        <v>5069</v>
      </c>
      <c r="M1017" t="s">
        <v>5069</v>
      </c>
      <c r="N1017" t="s">
        <v>5070</v>
      </c>
      <c r="P1017" t="s">
        <v>5071</v>
      </c>
      <c r="Q1017" t="s">
        <v>5072</v>
      </c>
      <c r="R1017" t="s">
        <v>5073</v>
      </c>
      <c r="S1017" t="s">
        <v>3469</v>
      </c>
    </row>
    <row r="1018" spans="1:19" x14ac:dyDescent="0.2">
      <c r="A1018" t="str">
        <f t="shared" si="15"/>
        <v>metab_compid_32807</v>
      </c>
      <c r="B1018">
        <v>100001990</v>
      </c>
      <c r="C1018">
        <v>209</v>
      </c>
      <c r="D1018">
        <v>32807</v>
      </c>
      <c r="E1018">
        <v>142566</v>
      </c>
      <c r="F1018" t="s">
        <v>3459</v>
      </c>
      <c r="G1018" t="s">
        <v>3819</v>
      </c>
      <c r="H1018">
        <v>3556</v>
      </c>
      <c r="I1018" t="s">
        <v>3438</v>
      </c>
      <c r="J1018" t="s">
        <v>7142</v>
      </c>
      <c r="K1018" t="s">
        <v>7143</v>
      </c>
      <c r="L1018" t="s">
        <v>7144</v>
      </c>
      <c r="M1018" t="s">
        <v>7144</v>
      </c>
      <c r="S1018" t="s">
        <v>3469</v>
      </c>
    </row>
    <row r="1019" spans="1:19" x14ac:dyDescent="0.2">
      <c r="A1019" t="str">
        <f t="shared" si="15"/>
        <v>metab_compid_12261</v>
      </c>
      <c r="B1019">
        <v>1668</v>
      </c>
      <c r="C1019">
        <v>209</v>
      </c>
      <c r="D1019">
        <v>12261</v>
      </c>
      <c r="E1019">
        <v>124839</v>
      </c>
      <c r="F1019" t="s">
        <v>3459</v>
      </c>
      <c r="G1019" t="s">
        <v>3819</v>
      </c>
      <c r="H1019">
        <v>3509</v>
      </c>
      <c r="I1019" t="s">
        <v>3438</v>
      </c>
      <c r="J1019" t="s">
        <v>5074</v>
      </c>
      <c r="K1019" t="s">
        <v>5075</v>
      </c>
      <c r="L1019" t="s">
        <v>5076</v>
      </c>
      <c r="M1019" t="s">
        <v>5076</v>
      </c>
      <c r="N1019" t="s">
        <v>5077</v>
      </c>
      <c r="O1019" t="s">
        <v>5078</v>
      </c>
      <c r="P1019" t="s">
        <v>5079</v>
      </c>
      <c r="Q1019" t="s">
        <v>5080</v>
      </c>
      <c r="R1019" t="s">
        <v>5081</v>
      </c>
      <c r="S1019" t="s">
        <v>3469</v>
      </c>
    </row>
    <row r="1020" spans="1:19" x14ac:dyDescent="0.2">
      <c r="A1020" t="str">
        <f t="shared" si="15"/>
        <v>metab_compid_62889</v>
      </c>
      <c r="B1020">
        <v>100006644</v>
      </c>
      <c r="C1020">
        <v>209</v>
      </c>
      <c r="D1020">
        <v>62889</v>
      </c>
      <c r="E1020">
        <v>220740</v>
      </c>
      <c r="F1020" t="s">
        <v>3459</v>
      </c>
      <c r="G1020" t="s">
        <v>3819</v>
      </c>
      <c r="H1020">
        <v>3510</v>
      </c>
      <c r="I1020" t="s">
        <v>3438</v>
      </c>
      <c r="J1020" t="s">
        <v>8741</v>
      </c>
      <c r="K1020" t="s">
        <v>8742</v>
      </c>
      <c r="L1020" t="s">
        <v>8743</v>
      </c>
      <c r="M1020" t="s">
        <v>8743</v>
      </c>
      <c r="S1020" t="s">
        <v>3469</v>
      </c>
    </row>
    <row r="1021" spans="1:19" x14ac:dyDescent="0.2">
      <c r="A1021" t="str">
        <f t="shared" si="15"/>
        <v>metab_compid_36850</v>
      </c>
      <c r="B1021">
        <v>100001658</v>
      </c>
      <c r="C1021">
        <v>209</v>
      </c>
      <c r="D1021">
        <v>36850</v>
      </c>
      <c r="E1021">
        <v>128309</v>
      </c>
      <c r="F1021" t="s">
        <v>3459</v>
      </c>
      <c r="G1021" t="s">
        <v>3819</v>
      </c>
      <c r="H1021">
        <v>3522</v>
      </c>
      <c r="I1021" t="s">
        <v>3438</v>
      </c>
      <c r="J1021" t="s">
        <v>6837</v>
      </c>
      <c r="K1021" t="s">
        <v>6838</v>
      </c>
      <c r="L1021" t="s">
        <v>6839</v>
      </c>
      <c r="M1021" t="s">
        <v>6839</v>
      </c>
      <c r="N1021" t="s">
        <v>6840</v>
      </c>
      <c r="O1021" t="s">
        <v>6841</v>
      </c>
      <c r="P1021" t="s">
        <v>6842</v>
      </c>
      <c r="Q1021" t="s">
        <v>6843</v>
      </c>
      <c r="R1021" t="s">
        <v>6844</v>
      </c>
      <c r="S1021" t="s">
        <v>3469</v>
      </c>
    </row>
    <row r="1022" spans="1:19" x14ac:dyDescent="0.2">
      <c r="A1022" t="str">
        <f t="shared" si="15"/>
        <v>metab_compid_39378</v>
      </c>
      <c r="B1022">
        <v>100002912</v>
      </c>
      <c r="C1022">
        <v>209</v>
      </c>
      <c r="D1022">
        <v>39378</v>
      </c>
      <c r="E1022">
        <v>143716</v>
      </c>
      <c r="F1022" t="s">
        <v>3459</v>
      </c>
      <c r="G1022" t="s">
        <v>3819</v>
      </c>
      <c r="H1022">
        <v>3538</v>
      </c>
      <c r="I1022" t="s">
        <v>3438</v>
      </c>
      <c r="J1022" t="s">
        <v>7743</v>
      </c>
      <c r="K1022" t="s">
        <v>7744</v>
      </c>
      <c r="L1022" t="s">
        <v>7745</v>
      </c>
      <c r="M1022" t="s">
        <v>7745</v>
      </c>
      <c r="N1022" t="s">
        <v>7746</v>
      </c>
      <c r="O1022" t="s">
        <v>7747</v>
      </c>
      <c r="P1022" t="s">
        <v>7748</v>
      </c>
      <c r="R1022" t="s">
        <v>7749</v>
      </c>
      <c r="S1022" t="s">
        <v>3469</v>
      </c>
    </row>
    <row r="1023" spans="1:19" x14ac:dyDescent="0.2">
      <c r="A1023" t="str">
        <f t="shared" si="15"/>
        <v>metab_compid_62918</v>
      </c>
      <c r="B1023">
        <v>100021100</v>
      </c>
      <c r="C1023">
        <v>209</v>
      </c>
      <c r="D1023">
        <v>62918</v>
      </c>
      <c r="E1023">
        <v>220774</v>
      </c>
      <c r="F1023" t="s">
        <v>3459</v>
      </c>
      <c r="G1023" t="s">
        <v>3873</v>
      </c>
      <c r="H1023">
        <v>1712</v>
      </c>
      <c r="I1023" t="s">
        <v>3438</v>
      </c>
      <c r="J1023" t="s">
        <v>10068</v>
      </c>
      <c r="K1023" t="s">
        <v>10069</v>
      </c>
      <c r="L1023" t="s">
        <v>10070</v>
      </c>
      <c r="M1023" t="s">
        <v>10070</v>
      </c>
      <c r="R1023" t="s">
        <v>10071</v>
      </c>
      <c r="S1023" t="s">
        <v>3469</v>
      </c>
    </row>
    <row r="1024" spans="1:19" x14ac:dyDescent="0.2">
      <c r="A1024" t="str">
        <f t="shared" si="15"/>
        <v>metab_compid_62850</v>
      </c>
      <c r="B1024">
        <v>100020343</v>
      </c>
      <c r="C1024">
        <v>209</v>
      </c>
      <c r="D1024">
        <v>62850</v>
      </c>
      <c r="E1024">
        <v>220619</v>
      </c>
      <c r="F1024" t="s">
        <v>3459</v>
      </c>
      <c r="G1024" t="s">
        <v>3560</v>
      </c>
      <c r="H1024">
        <v>1568</v>
      </c>
      <c r="I1024" t="s">
        <v>3438</v>
      </c>
      <c r="J1024" t="s">
        <v>9708</v>
      </c>
      <c r="K1024" t="s">
        <v>9709</v>
      </c>
      <c r="L1024" t="s">
        <v>9710</v>
      </c>
      <c r="M1024" t="s">
        <v>9710</v>
      </c>
      <c r="N1024" t="s">
        <v>9711</v>
      </c>
      <c r="O1024" t="s">
        <v>9712</v>
      </c>
      <c r="P1024" t="s">
        <v>9713</v>
      </c>
      <c r="R1024" t="s">
        <v>9714</v>
      </c>
      <c r="S1024" t="s">
        <v>3469</v>
      </c>
    </row>
    <row r="1025" spans="1:19" x14ac:dyDescent="0.2">
      <c r="A1025" t="str">
        <f t="shared" si="15"/>
        <v>metab_compid_35669</v>
      </c>
      <c r="B1025">
        <v>100001613</v>
      </c>
      <c r="C1025">
        <v>209</v>
      </c>
      <c r="D1025">
        <v>35669</v>
      </c>
      <c r="E1025">
        <v>128271</v>
      </c>
      <c r="F1025" t="s">
        <v>3459</v>
      </c>
      <c r="G1025" t="s">
        <v>3873</v>
      </c>
      <c r="H1025">
        <v>1709</v>
      </c>
      <c r="I1025" t="s">
        <v>3438</v>
      </c>
      <c r="J1025" t="s">
        <v>6750</v>
      </c>
      <c r="K1025" t="s">
        <v>6751</v>
      </c>
      <c r="L1025" t="s">
        <v>6752</v>
      </c>
      <c r="M1025" t="s">
        <v>6753</v>
      </c>
      <c r="N1025" t="s">
        <v>6754</v>
      </c>
      <c r="O1025" t="s">
        <v>6755</v>
      </c>
      <c r="P1025" t="s">
        <v>6756</v>
      </c>
      <c r="R1025" t="s">
        <v>6757</v>
      </c>
      <c r="S1025" t="s">
        <v>3469</v>
      </c>
    </row>
    <row r="1026" spans="1:19" x14ac:dyDescent="0.2">
      <c r="A1026" t="str">
        <f t="shared" ref="A1026:A1089" si="16">_xlfn.CONCAT("metab_compid_", $D1026)</f>
        <v>metab_compid_64411</v>
      </c>
      <c r="B1026">
        <v>100022013</v>
      </c>
      <c r="C1026">
        <v>209</v>
      </c>
      <c r="D1026">
        <v>64411</v>
      </c>
      <c r="E1026">
        <v>237545</v>
      </c>
      <c r="F1026" t="s">
        <v>3459</v>
      </c>
      <c r="G1026" t="s">
        <v>3768</v>
      </c>
      <c r="H1026">
        <v>3330</v>
      </c>
      <c r="I1026" t="s">
        <v>3438</v>
      </c>
      <c r="J1026" t="s">
        <v>10243</v>
      </c>
      <c r="K1026" t="s">
        <v>10244</v>
      </c>
      <c r="L1026" t="s">
        <v>10245</v>
      </c>
      <c r="M1026" t="s">
        <v>10245</v>
      </c>
      <c r="S1026" t="s">
        <v>3469</v>
      </c>
    </row>
    <row r="1027" spans="1:19" x14ac:dyDescent="0.2">
      <c r="A1027" t="str">
        <f t="shared" si="16"/>
        <v>metab_compid_62793</v>
      </c>
      <c r="B1027">
        <v>100020848</v>
      </c>
      <c r="C1027">
        <v>209</v>
      </c>
      <c r="D1027">
        <v>62793</v>
      </c>
      <c r="E1027">
        <v>220408</v>
      </c>
      <c r="F1027" t="s">
        <v>3459</v>
      </c>
      <c r="G1027" t="s">
        <v>3768</v>
      </c>
      <c r="H1027">
        <v>3331</v>
      </c>
      <c r="I1027" t="s">
        <v>3438</v>
      </c>
      <c r="J1027" t="s">
        <v>9923</v>
      </c>
      <c r="K1027" t="s">
        <v>9924</v>
      </c>
      <c r="L1027" t="s">
        <v>9925</v>
      </c>
      <c r="M1027" t="s">
        <v>9925</v>
      </c>
      <c r="S1027" t="s">
        <v>3469</v>
      </c>
    </row>
    <row r="1028" spans="1:19" x14ac:dyDescent="0.2">
      <c r="A1028" t="str">
        <f t="shared" si="16"/>
        <v>metab_compid_64591</v>
      </c>
      <c r="B1028">
        <v>100022127</v>
      </c>
      <c r="C1028">
        <v>209</v>
      </c>
      <c r="D1028">
        <v>64591</v>
      </c>
      <c r="E1028">
        <v>238327</v>
      </c>
      <c r="F1028" t="s">
        <v>3459</v>
      </c>
      <c r="G1028" t="s">
        <v>3768</v>
      </c>
      <c r="H1028">
        <v>3343</v>
      </c>
      <c r="I1028" t="s">
        <v>3438</v>
      </c>
      <c r="J1028" t="s">
        <v>10265</v>
      </c>
      <c r="K1028" t="s">
        <v>10266</v>
      </c>
      <c r="L1028" t="s">
        <v>10267</v>
      </c>
      <c r="M1028" t="s">
        <v>10267</v>
      </c>
      <c r="S1028" t="s">
        <v>3469</v>
      </c>
    </row>
    <row r="1029" spans="1:19" x14ac:dyDescent="0.2">
      <c r="A1029" t="str">
        <f t="shared" si="16"/>
        <v>metab_compid_22206</v>
      </c>
      <c r="B1029">
        <v>100000784</v>
      </c>
      <c r="C1029">
        <v>400</v>
      </c>
      <c r="D1029">
        <v>22206</v>
      </c>
      <c r="E1029">
        <v>155811</v>
      </c>
      <c r="F1029" t="s">
        <v>3863</v>
      </c>
      <c r="G1029" t="s">
        <v>3864</v>
      </c>
      <c r="H1029">
        <v>5097</v>
      </c>
      <c r="I1029" t="s">
        <v>3438</v>
      </c>
      <c r="J1029" t="s">
        <v>5543</v>
      </c>
      <c r="K1029" t="s">
        <v>5544</v>
      </c>
      <c r="L1029" t="s">
        <v>5545</v>
      </c>
      <c r="M1029" t="s">
        <v>5545</v>
      </c>
      <c r="N1029" t="s">
        <v>5546</v>
      </c>
      <c r="O1029" t="s">
        <v>5547</v>
      </c>
      <c r="P1029" t="s">
        <v>5548</v>
      </c>
      <c r="Q1029" t="s">
        <v>5549</v>
      </c>
      <c r="R1029" t="s">
        <v>5550</v>
      </c>
      <c r="S1029" t="s">
        <v>3458</v>
      </c>
    </row>
    <row r="1030" spans="1:19" x14ac:dyDescent="0.2">
      <c r="A1030" t="str">
        <f t="shared" si="16"/>
        <v>metab_compid_18392</v>
      </c>
      <c r="B1030">
        <v>100000445</v>
      </c>
      <c r="C1030">
        <v>400</v>
      </c>
      <c r="D1030">
        <v>18392</v>
      </c>
      <c r="E1030">
        <v>155668</v>
      </c>
      <c r="F1030" t="s">
        <v>3863</v>
      </c>
      <c r="G1030" t="s">
        <v>4373</v>
      </c>
      <c r="H1030">
        <v>4614</v>
      </c>
      <c r="I1030" t="s">
        <v>3438</v>
      </c>
      <c r="J1030" t="s">
        <v>5342</v>
      </c>
      <c r="K1030" t="s">
        <v>5343</v>
      </c>
      <c r="L1030" t="s">
        <v>5344</v>
      </c>
      <c r="M1030" t="s">
        <v>5344</v>
      </c>
      <c r="N1030" t="s">
        <v>5345</v>
      </c>
      <c r="O1030" t="s">
        <v>5346</v>
      </c>
      <c r="P1030" t="s">
        <v>5347</v>
      </c>
      <c r="Q1030" t="s">
        <v>5348</v>
      </c>
      <c r="R1030" t="s">
        <v>5349</v>
      </c>
      <c r="S1030" t="s">
        <v>3458</v>
      </c>
    </row>
    <row r="1031" spans="1:19" x14ac:dyDescent="0.2">
      <c r="A1031" t="str">
        <f t="shared" si="16"/>
        <v>metab_compid_18394</v>
      </c>
      <c r="B1031">
        <v>100000437</v>
      </c>
      <c r="C1031">
        <v>209</v>
      </c>
      <c r="D1031">
        <v>18394</v>
      </c>
      <c r="E1031">
        <v>125760</v>
      </c>
      <c r="F1031" t="s">
        <v>3863</v>
      </c>
      <c r="G1031" t="s">
        <v>4373</v>
      </c>
      <c r="H1031">
        <v>4615</v>
      </c>
      <c r="I1031" t="s">
        <v>3438</v>
      </c>
      <c r="J1031" t="s">
        <v>5326</v>
      </c>
      <c r="K1031" t="s">
        <v>5327</v>
      </c>
      <c r="L1031" t="s">
        <v>5328</v>
      </c>
      <c r="M1031" t="s">
        <v>5328</v>
      </c>
      <c r="N1031" t="s">
        <v>5329</v>
      </c>
      <c r="O1031" t="s">
        <v>5330</v>
      </c>
      <c r="P1031" t="s">
        <v>5331</v>
      </c>
      <c r="Q1031" t="s">
        <v>5332</v>
      </c>
      <c r="R1031" t="s">
        <v>5333</v>
      </c>
      <c r="S1031" t="s">
        <v>3469</v>
      </c>
    </row>
    <row r="1032" spans="1:19" x14ac:dyDescent="0.2">
      <c r="A1032" t="str">
        <f t="shared" si="16"/>
        <v>metab_compid_53231</v>
      </c>
      <c r="B1032">
        <v>100009232</v>
      </c>
      <c r="C1032">
        <v>400</v>
      </c>
      <c r="D1032">
        <v>53231</v>
      </c>
      <c r="E1032">
        <v>179281</v>
      </c>
      <c r="F1032" t="s">
        <v>3863</v>
      </c>
      <c r="G1032" t="s">
        <v>5632</v>
      </c>
      <c r="H1032">
        <v>6270</v>
      </c>
      <c r="I1032" t="s">
        <v>3438</v>
      </c>
      <c r="J1032" t="s">
        <v>9127</v>
      </c>
      <c r="K1032" t="s">
        <v>9128</v>
      </c>
      <c r="L1032" t="s">
        <v>9129</v>
      </c>
      <c r="M1032" t="s">
        <v>9129</v>
      </c>
      <c r="N1032" t="s">
        <v>9130</v>
      </c>
      <c r="O1032" t="s">
        <v>9131</v>
      </c>
      <c r="P1032" t="s">
        <v>9132</v>
      </c>
      <c r="R1032" t="s">
        <v>9133</v>
      </c>
      <c r="S1032" t="s">
        <v>3458</v>
      </c>
    </row>
    <row r="1033" spans="1:19" x14ac:dyDescent="0.2">
      <c r="A1033" t="str">
        <f t="shared" si="16"/>
        <v>metab_compid_27738</v>
      </c>
      <c r="B1033">
        <v>100001022</v>
      </c>
      <c r="C1033">
        <v>305</v>
      </c>
      <c r="D1033">
        <v>27738</v>
      </c>
      <c r="E1033">
        <v>146524</v>
      </c>
      <c r="F1033" t="s">
        <v>3448</v>
      </c>
      <c r="G1033" t="s">
        <v>5600</v>
      </c>
      <c r="H1033">
        <v>4374</v>
      </c>
      <c r="I1033" t="s">
        <v>3438</v>
      </c>
      <c r="J1033" t="s">
        <v>5716</v>
      </c>
      <c r="K1033" t="s">
        <v>5717</v>
      </c>
      <c r="L1033" t="s">
        <v>5718</v>
      </c>
      <c r="M1033" t="s">
        <v>5718</v>
      </c>
      <c r="N1033" t="s">
        <v>5719</v>
      </c>
      <c r="O1033" t="s">
        <v>5720</v>
      </c>
      <c r="P1033" t="s">
        <v>5721</v>
      </c>
      <c r="Q1033" t="s">
        <v>5722</v>
      </c>
      <c r="R1033" t="s">
        <v>5723</v>
      </c>
      <c r="S1033" t="s">
        <v>3489</v>
      </c>
    </row>
    <row r="1034" spans="1:19" x14ac:dyDescent="0.2">
      <c r="A1034" t="str">
        <f t="shared" si="16"/>
        <v>metab_compid_1284</v>
      </c>
      <c r="B1034">
        <v>564</v>
      </c>
      <c r="C1034">
        <v>400</v>
      </c>
      <c r="D1034">
        <v>1284</v>
      </c>
      <c r="E1034">
        <v>155352</v>
      </c>
      <c r="F1034" t="s">
        <v>3436</v>
      </c>
      <c r="G1034" t="s">
        <v>3882</v>
      </c>
      <c r="H1034">
        <v>17</v>
      </c>
      <c r="I1034" t="s">
        <v>3438</v>
      </c>
      <c r="J1034" t="s">
        <v>4231</v>
      </c>
      <c r="K1034" t="s">
        <v>4232</v>
      </c>
      <c r="L1034" t="s">
        <v>4233</v>
      </c>
      <c r="M1034" t="s">
        <v>4233</v>
      </c>
      <c r="N1034" t="s">
        <v>4234</v>
      </c>
      <c r="O1034" t="s">
        <v>4235</v>
      </c>
      <c r="P1034" t="s">
        <v>4236</v>
      </c>
      <c r="Q1034" t="s">
        <v>4237</v>
      </c>
      <c r="R1034" t="s">
        <v>4238</v>
      </c>
      <c r="S1034" t="s">
        <v>3458</v>
      </c>
    </row>
    <row r="1035" spans="1:19" x14ac:dyDescent="0.2">
      <c r="A1035" t="str">
        <f t="shared" si="16"/>
        <v>metab_compid_31530</v>
      </c>
      <c r="B1035">
        <v>100001125</v>
      </c>
      <c r="C1035">
        <v>209</v>
      </c>
      <c r="D1035">
        <v>31530</v>
      </c>
      <c r="E1035">
        <v>125772</v>
      </c>
      <c r="F1035" t="s">
        <v>3853</v>
      </c>
      <c r="G1035" t="s">
        <v>5381</v>
      </c>
      <c r="H1035">
        <v>1002</v>
      </c>
      <c r="I1035" t="s">
        <v>3438</v>
      </c>
      <c r="J1035" t="s">
        <v>5867</v>
      </c>
      <c r="K1035" t="s">
        <v>5868</v>
      </c>
      <c r="L1035" t="s">
        <v>5869</v>
      </c>
      <c r="M1035" t="s">
        <v>5869</v>
      </c>
      <c r="N1035" t="s">
        <v>5870</v>
      </c>
      <c r="O1035" t="s">
        <v>5871</v>
      </c>
      <c r="P1035" t="s">
        <v>5872</v>
      </c>
      <c r="R1035" t="s">
        <v>5873</v>
      </c>
      <c r="S1035" t="s">
        <v>3469</v>
      </c>
    </row>
    <row r="1036" spans="1:19" x14ac:dyDescent="0.2">
      <c r="A1036" t="str">
        <f t="shared" si="16"/>
        <v>metab_compid_36095</v>
      </c>
      <c r="B1036">
        <v>100001757</v>
      </c>
      <c r="C1036">
        <v>209</v>
      </c>
      <c r="D1036">
        <v>36095</v>
      </c>
      <c r="E1036">
        <v>144225</v>
      </c>
      <c r="F1036" t="s">
        <v>3863</v>
      </c>
      <c r="G1036" t="s">
        <v>3864</v>
      </c>
      <c r="H1036">
        <v>5100</v>
      </c>
      <c r="I1036" t="s">
        <v>3438</v>
      </c>
      <c r="J1036" t="s">
        <v>6930</v>
      </c>
      <c r="K1036" t="s">
        <v>6931</v>
      </c>
      <c r="L1036" t="s">
        <v>6932</v>
      </c>
      <c r="M1036" t="s">
        <v>6932</v>
      </c>
      <c r="N1036" t="s">
        <v>6933</v>
      </c>
      <c r="O1036" t="s">
        <v>6934</v>
      </c>
      <c r="P1036" t="s">
        <v>6935</v>
      </c>
      <c r="Q1036" t="s">
        <v>6936</v>
      </c>
      <c r="R1036" t="s">
        <v>6937</v>
      </c>
      <c r="S1036" t="s">
        <v>3469</v>
      </c>
    </row>
    <row r="1037" spans="1:19" x14ac:dyDescent="0.2">
      <c r="A1037" t="str">
        <f t="shared" si="16"/>
        <v>metab_compid_2761</v>
      </c>
      <c r="B1037">
        <v>1094</v>
      </c>
      <c r="C1037">
        <v>209</v>
      </c>
      <c r="D1037">
        <v>2761</v>
      </c>
      <c r="E1037">
        <v>161549</v>
      </c>
      <c r="F1037" t="s">
        <v>3436</v>
      </c>
      <c r="G1037" t="s">
        <v>3687</v>
      </c>
      <c r="H1037">
        <v>250</v>
      </c>
      <c r="I1037" t="s">
        <v>3438</v>
      </c>
      <c r="J1037" t="s">
        <v>4648</v>
      </c>
      <c r="K1037" t="s">
        <v>4649</v>
      </c>
      <c r="L1037" t="s">
        <v>4650</v>
      </c>
      <c r="M1037" t="s">
        <v>4650</v>
      </c>
      <c r="N1037" t="s">
        <v>4651</v>
      </c>
      <c r="O1037" t="s">
        <v>4652</v>
      </c>
      <c r="P1037" t="s">
        <v>4653</v>
      </c>
      <c r="Q1037" t="s">
        <v>4654</v>
      </c>
      <c r="R1037" t="s">
        <v>4655</v>
      </c>
      <c r="S1037" t="s">
        <v>3469</v>
      </c>
    </row>
    <row r="1038" spans="1:19" x14ac:dyDescent="0.2">
      <c r="A1038" t="str">
        <f t="shared" si="16"/>
        <v>metab_compid_35428</v>
      </c>
      <c r="B1038">
        <v>100001597</v>
      </c>
      <c r="C1038">
        <v>400</v>
      </c>
      <c r="D1038">
        <v>35428</v>
      </c>
      <c r="E1038">
        <v>156182</v>
      </c>
      <c r="F1038" t="s">
        <v>3436</v>
      </c>
      <c r="G1038" t="s">
        <v>3498</v>
      </c>
      <c r="H1038">
        <v>405</v>
      </c>
      <c r="I1038" t="s">
        <v>3438</v>
      </c>
      <c r="J1038" t="s">
        <v>6694</v>
      </c>
      <c r="K1038" t="s">
        <v>6695</v>
      </c>
      <c r="L1038" t="s">
        <v>6696</v>
      </c>
      <c r="M1038" t="s">
        <v>6697</v>
      </c>
      <c r="N1038" t="s">
        <v>6698</v>
      </c>
      <c r="O1038" t="s">
        <v>6699</v>
      </c>
      <c r="P1038" t="s">
        <v>6700</v>
      </c>
      <c r="R1038" t="s">
        <v>6701</v>
      </c>
      <c r="S1038" t="s">
        <v>3458</v>
      </c>
    </row>
    <row r="1039" spans="1:19" x14ac:dyDescent="0.2">
      <c r="A1039" t="str">
        <f t="shared" si="16"/>
        <v>metab_compid_2772</v>
      </c>
      <c r="B1039">
        <v>1388</v>
      </c>
      <c r="C1039">
        <v>209</v>
      </c>
      <c r="D1039">
        <v>2772</v>
      </c>
      <c r="E1039">
        <v>152418</v>
      </c>
      <c r="F1039" t="s">
        <v>3863</v>
      </c>
      <c r="G1039" t="s">
        <v>4959</v>
      </c>
      <c r="H1039">
        <v>5840</v>
      </c>
      <c r="I1039" t="s">
        <v>3438</v>
      </c>
      <c r="J1039" t="s">
        <v>4960</v>
      </c>
      <c r="K1039" t="s">
        <v>4961</v>
      </c>
      <c r="L1039" t="s">
        <v>4962</v>
      </c>
      <c r="M1039" t="s">
        <v>4962</v>
      </c>
      <c r="N1039" t="s">
        <v>4963</v>
      </c>
      <c r="O1039" t="s">
        <v>4964</v>
      </c>
      <c r="P1039" t="s">
        <v>4965</v>
      </c>
      <c r="Q1039" t="s">
        <v>4966</v>
      </c>
      <c r="R1039" t="s">
        <v>4967</v>
      </c>
      <c r="S1039" t="s">
        <v>3469</v>
      </c>
    </row>
    <row r="1040" spans="1:19" x14ac:dyDescent="0.2">
      <c r="A1040" t="str">
        <f t="shared" si="16"/>
        <v>metab_compid_53241</v>
      </c>
      <c r="B1040">
        <v>100006381</v>
      </c>
      <c r="C1040">
        <v>400</v>
      </c>
      <c r="D1040">
        <v>53241</v>
      </c>
      <c r="E1040">
        <v>179295</v>
      </c>
      <c r="F1040" t="s">
        <v>3863</v>
      </c>
      <c r="G1040" t="s">
        <v>4942</v>
      </c>
      <c r="H1040">
        <v>5465</v>
      </c>
      <c r="I1040" t="s">
        <v>3438</v>
      </c>
      <c r="J1040" t="s">
        <v>8677</v>
      </c>
      <c r="K1040" t="s">
        <v>8678</v>
      </c>
      <c r="L1040" t="s">
        <v>8679</v>
      </c>
      <c r="M1040" t="s">
        <v>8679</v>
      </c>
      <c r="N1040" t="s">
        <v>8680</v>
      </c>
      <c r="O1040" t="s">
        <v>8681</v>
      </c>
      <c r="P1040" t="s">
        <v>8682</v>
      </c>
      <c r="Q1040" t="s">
        <v>8683</v>
      </c>
      <c r="R1040" t="s">
        <v>8684</v>
      </c>
      <c r="S1040" t="s">
        <v>3458</v>
      </c>
    </row>
    <row r="1041" spans="1:19" x14ac:dyDescent="0.2">
      <c r="A1041" t="str">
        <f t="shared" si="16"/>
        <v>metab_compid_61798</v>
      </c>
      <c r="B1041">
        <v>100019884</v>
      </c>
      <c r="C1041">
        <v>209</v>
      </c>
      <c r="D1041">
        <v>61798</v>
      </c>
      <c r="E1041">
        <v>218189</v>
      </c>
      <c r="F1041" t="s">
        <v>3459</v>
      </c>
      <c r="G1041" t="s">
        <v>4991</v>
      </c>
      <c r="H1041">
        <v>1829</v>
      </c>
      <c r="I1041" t="s">
        <v>3438</v>
      </c>
      <c r="J1041" t="s">
        <v>9582</v>
      </c>
      <c r="K1041" t="s">
        <v>9583</v>
      </c>
      <c r="L1041" t="s">
        <v>9584</v>
      </c>
      <c r="M1041" t="s">
        <v>9584</v>
      </c>
      <c r="O1041" t="s">
        <v>9585</v>
      </c>
      <c r="S1041" t="s">
        <v>3469</v>
      </c>
    </row>
    <row r="1042" spans="1:19" x14ac:dyDescent="0.2">
      <c r="A1042" t="str">
        <f t="shared" si="16"/>
        <v>metab_compid_53026</v>
      </c>
      <c r="B1042">
        <v>100006651</v>
      </c>
      <c r="C1042">
        <v>209</v>
      </c>
      <c r="D1042">
        <v>53026</v>
      </c>
      <c r="E1042">
        <v>166148</v>
      </c>
      <c r="F1042" t="s">
        <v>3863</v>
      </c>
      <c r="G1042" t="s">
        <v>3864</v>
      </c>
      <c r="H1042">
        <v>5174</v>
      </c>
      <c r="I1042" t="s">
        <v>3438</v>
      </c>
      <c r="J1042" t="s">
        <v>8744</v>
      </c>
      <c r="K1042" t="s">
        <v>8745</v>
      </c>
      <c r="L1042" t="s">
        <v>8746</v>
      </c>
      <c r="M1042" t="s">
        <v>8746</v>
      </c>
      <c r="S1042" t="s">
        <v>3469</v>
      </c>
    </row>
    <row r="1043" spans="1:19" x14ac:dyDescent="0.2">
      <c r="A1043" t="str">
        <f t="shared" si="16"/>
        <v>metab_compid_32306</v>
      </c>
      <c r="B1043">
        <v>1001</v>
      </c>
      <c r="C1043">
        <v>400</v>
      </c>
      <c r="D1043">
        <v>32306</v>
      </c>
      <c r="E1043">
        <v>155905</v>
      </c>
      <c r="F1043" t="s">
        <v>3436</v>
      </c>
      <c r="G1043" t="s">
        <v>3661</v>
      </c>
      <c r="H1043">
        <v>520</v>
      </c>
      <c r="I1043" t="s">
        <v>3438</v>
      </c>
      <c r="J1043" t="s">
        <v>4519</v>
      </c>
      <c r="K1043" t="s">
        <v>4520</v>
      </c>
      <c r="L1043" t="s">
        <v>4521</v>
      </c>
      <c r="M1043" t="s">
        <v>4522</v>
      </c>
      <c r="N1043" t="s">
        <v>4523</v>
      </c>
      <c r="O1043" t="s">
        <v>4524</v>
      </c>
      <c r="P1043" t="s">
        <v>4525</v>
      </c>
      <c r="Q1043" t="s">
        <v>4526</v>
      </c>
      <c r="R1043" t="s">
        <v>4527</v>
      </c>
      <c r="S1043" t="s">
        <v>3458</v>
      </c>
    </row>
    <row r="1044" spans="1:19" x14ac:dyDescent="0.2">
      <c r="A1044" t="str">
        <f t="shared" si="16"/>
        <v>metab_compid_607</v>
      </c>
      <c r="B1044">
        <v>537</v>
      </c>
      <c r="C1044">
        <v>400</v>
      </c>
      <c r="D1044">
        <v>607</v>
      </c>
      <c r="E1044">
        <v>155340</v>
      </c>
      <c r="F1044" t="s">
        <v>3436</v>
      </c>
      <c r="G1044" t="s">
        <v>3906</v>
      </c>
      <c r="H1044">
        <v>80</v>
      </c>
      <c r="I1044" t="s">
        <v>3438</v>
      </c>
      <c r="J1044" t="s">
        <v>4207</v>
      </c>
      <c r="K1044" t="s">
        <v>4208</v>
      </c>
      <c r="L1044" t="s">
        <v>4209</v>
      </c>
      <c r="M1044" t="s">
        <v>4209</v>
      </c>
      <c r="N1044" t="s">
        <v>4210</v>
      </c>
      <c r="O1044" t="s">
        <v>4211</v>
      </c>
      <c r="P1044" t="s">
        <v>4212</v>
      </c>
      <c r="Q1044" t="s">
        <v>4213</v>
      </c>
      <c r="R1044" t="s">
        <v>4214</v>
      </c>
      <c r="S1044" t="s">
        <v>3458</v>
      </c>
    </row>
    <row r="1045" spans="1:19" x14ac:dyDescent="0.2">
      <c r="A1045" t="str">
        <f t="shared" si="16"/>
        <v>metab_compid_57691</v>
      </c>
      <c r="B1045">
        <v>100015783</v>
      </c>
      <c r="C1045">
        <v>400</v>
      </c>
      <c r="D1045">
        <v>57691</v>
      </c>
      <c r="E1045">
        <v>213109</v>
      </c>
      <c r="F1045" t="s">
        <v>3863</v>
      </c>
      <c r="G1045" t="s">
        <v>4933</v>
      </c>
      <c r="H1045">
        <v>5918</v>
      </c>
      <c r="I1045" t="s">
        <v>3438</v>
      </c>
      <c r="J1045" t="s">
        <v>9400</v>
      </c>
      <c r="K1045" t="s">
        <v>9401</v>
      </c>
      <c r="L1045" t="s">
        <v>9402</v>
      </c>
      <c r="M1045" t="s">
        <v>9402</v>
      </c>
      <c r="N1045" t="s">
        <v>9403</v>
      </c>
      <c r="O1045" t="s">
        <v>9404</v>
      </c>
      <c r="P1045" t="s">
        <v>9405</v>
      </c>
      <c r="Q1045" t="s">
        <v>9406</v>
      </c>
      <c r="R1045" t="s">
        <v>9407</v>
      </c>
      <c r="S1045" t="s">
        <v>3458</v>
      </c>
    </row>
    <row r="1046" spans="1:19" x14ac:dyDescent="0.2">
      <c r="A1046" t="str">
        <f t="shared" si="16"/>
        <v>metab_compid_62732</v>
      </c>
      <c r="B1046">
        <v>100020610</v>
      </c>
      <c r="C1046">
        <v>209</v>
      </c>
      <c r="D1046">
        <v>62732</v>
      </c>
      <c r="E1046">
        <v>220255</v>
      </c>
      <c r="F1046" t="s">
        <v>3863</v>
      </c>
      <c r="G1046" t="s">
        <v>7477</v>
      </c>
      <c r="H1046">
        <v>5531</v>
      </c>
      <c r="I1046" t="s">
        <v>3438</v>
      </c>
      <c r="J1046" t="s">
        <v>9827</v>
      </c>
      <c r="K1046" t="s">
        <v>9828</v>
      </c>
      <c r="L1046" t="s">
        <v>9829</v>
      </c>
      <c r="M1046" t="s">
        <v>9829</v>
      </c>
      <c r="O1046" t="s">
        <v>9830</v>
      </c>
      <c r="P1046" t="s">
        <v>9831</v>
      </c>
      <c r="R1046" t="s">
        <v>9832</v>
      </c>
      <c r="S1046" t="s">
        <v>3469</v>
      </c>
    </row>
    <row r="1047" spans="1:19" x14ac:dyDescent="0.2">
      <c r="A1047" t="str">
        <f t="shared" si="16"/>
        <v>metab_compid_52436</v>
      </c>
      <c r="B1047">
        <v>100008955</v>
      </c>
      <c r="C1047">
        <v>402</v>
      </c>
      <c r="D1047">
        <v>52436</v>
      </c>
      <c r="E1047">
        <v>164560</v>
      </c>
      <c r="F1047" t="s">
        <v>3459</v>
      </c>
      <c r="G1047" t="s">
        <v>814</v>
      </c>
      <c r="H1047">
        <v>3127</v>
      </c>
      <c r="I1047" t="s">
        <v>3438</v>
      </c>
      <c r="J1047" t="s">
        <v>8867</v>
      </c>
      <c r="K1047" t="s">
        <v>8868</v>
      </c>
      <c r="L1047" t="s">
        <v>8869</v>
      </c>
      <c r="M1047" t="s">
        <v>8869</v>
      </c>
      <c r="P1047" t="s">
        <v>8870</v>
      </c>
      <c r="S1047" t="s">
        <v>3447</v>
      </c>
    </row>
    <row r="1048" spans="1:19" x14ac:dyDescent="0.2">
      <c r="A1048" t="str">
        <f t="shared" si="16"/>
        <v>metab_compid_62919</v>
      </c>
      <c r="B1048">
        <v>100002199</v>
      </c>
      <c r="C1048">
        <v>209</v>
      </c>
      <c r="D1048">
        <v>62919</v>
      </c>
      <c r="E1048">
        <v>220775</v>
      </c>
      <c r="F1048" t="s">
        <v>3459</v>
      </c>
      <c r="G1048" t="s">
        <v>3873</v>
      </c>
      <c r="H1048">
        <v>1708</v>
      </c>
      <c r="I1048" t="s">
        <v>3438</v>
      </c>
      <c r="J1048" t="s">
        <v>7353</v>
      </c>
      <c r="K1048" t="s">
        <v>7354</v>
      </c>
      <c r="L1048" t="s">
        <v>7355</v>
      </c>
      <c r="M1048" t="s">
        <v>7355</v>
      </c>
      <c r="S1048" t="s">
        <v>3469</v>
      </c>
    </row>
    <row r="1049" spans="1:19" x14ac:dyDescent="0.2">
      <c r="A1049" t="str">
        <f t="shared" si="16"/>
        <v>metab_compid_32401</v>
      </c>
      <c r="B1049">
        <v>100001092</v>
      </c>
      <c r="C1049">
        <v>400</v>
      </c>
      <c r="D1049">
        <v>32401</v>
      </c>
      <c r="E1049">
        <v>155930</v>
      </c>
      <c r="F1049" t="s">
        <v>3448</v>
      </c>
      <c r="G1049" t="s">
        <v>3449</v>
      </c>
      <c r="H1049">
        <v>4342</v>
      </c>
      <c r="I1049" t="s">
        <v>3438</v>
      </c>
      <c r="J1049" t="s">
        <v>5812</v>
      </c>
      <c r="K1049" t="s">
        <v>5813</v>
      </c>
      <c r="L1049" t="s">
        <v>5814</v>
      </c>
      <c r="M1049" t="s">
        <v>5814</v>
      </c>
      <c r="N1049" t="s">
        <v>5815</v>
      </c>
      <c r="O1049" t="s">
        <v>5816</v>
      </c>
      <c r="P1049" t="s">
        <v>5817</v>
      </c>
      <c r="Q1049" t="s">
        <v>5818</v>
      </c>
      <c r="R1049" t="s">
        <v>5819</v>
      </c>
      <c r="S1049" t="s">
        <v>3458</v>
      </c>
    </row>
    <row r="1050" spans="1:19" x14ac:dyDescent="0.2">
      <c r="A1050" t="str">
        <f t="shared" si="16"/>
        <v>metab_compid_64075</v>
      </c>
      <c r="B1050">
        <v>100020868</v>
      </c>
      <c r="C1050">
        <v>209</v>
      </c>
      <c r="D1050">
        <v>64075</v>
      </c>
      <c r="E1050">
        <v>235157</v>
      </c>
      <c r="F1050" t="s">
        <v>3863</v>
      </c>
      <c r="G1050" t="s">
        <v>7477</v>
      </c>
      <c r="H1050">
        <v>5559</v>
      </c>
      <c r="I1050" t="s">
        <v>3438</v>
      </c>
      <c r="J1050" t="s">
        <v>9932</v>
      </c>
      <c r="K1050" t="s">
        <v>9933</v>
      </c>
      <c r="L1050" t="s">
        <v>9934</v>
      </c>
      <c r="M1050" t="s">
        <v>9934</v>
      </c>
      <c r="N1050" t="s">
        <v>9935</v>
      </c>
      <c r="O1050" t="s">
        <v>9936</v>
      </c>
      <c r="P1050" t="s">
        <v>9937</v>
      </c>
      <c r="Q1050" t="s">
        <v>9938</v>
      </c>
      <c r="R1050" t="s">
        <v>9939</v>
      </c>
      <c r="S1050" t="s">
        <v>3469</v>
      </c>
    </row>
    <row r="1051" spans="1:19" x14ac:dyDescent="0.2">
      <c r="A1051" t="str">
        <f t="shared" si="16"/>
        <v>metab_compid_40406</v>
      </c>
      <c r="B1051">
        <v>100003397</v>
      </c>
      <c r="C1051">
        <v>400</v>
      </c>
      <c r="D1051">
        <v>40406</v>
      </c>
      <c r="E1051">
        <v>156717</v>
      </c>
      <c r="F1051" t="s">
        <v>3459</v>
      </c>
      <c r="G1051" t="s">
        <v>3758</v>
      </c>
      <c r="H1051">
        <v>2261</v>
      </c>
      <c r="I1051" t="s">
        <v>3438</v>
      </c>
      <c r="J1051" t="s">
        <v>7869</v>
      </c>
      <c r="K1051" t="s">
        <v>7870</v>
      </c>
      <c r="L1051" t="s">
        <v>7871</v>
      </c>
      <c r="M1051" t="s">
        <v>7871</v>
      </c>
      <c r="N1051" t="s">
        <v>7872</v>
      </c>
      <c r="O1051" t="s">
        <v>7873</v>
      </c>
      <c r="P1051" t="s">
        <v>7874</v>
      </c>
      <c r="Q1051" t="s">
        <v>7875</v>
      </c>
      <c r="R1051" t="s">
        <v>7876</v>
      </c>
      <c r="S1051" t="s">
        <v>3458</v>
      </c>
    </row>
    <row r="1052" spans="1:19" x14ac:dyDescent="0.2">
      <c r="A1052" t="str">
        <f t="shared" si="16"/>
        <v>metab_compid_54</v>
      </c>
      <c r="B1052">
        <v>565</v>
      </c>
      <c r="C1052">
        <v>400</v>
      </c>
      <c r="D1052">
        <v>54</v>
      </c>
      <c r="E1052">
        <v>155294</v>
      </c>
      <c r="F1052" t="s">
        <v>3436</v>
      </c>
      <c r="G1052" t="s">
        <v>3470</v>
      </c>
      <c r="H1052">
        <v>259</v>
      </c>
      <c r="I1052" t="s">
        <v>3438</v>
      </c>
      <c r="J1052" t="s">
        <v>4239</v>
      </c>
      <c r="K1052" t="s">
        <v>4240</v>
      </c>
      <c r="L1052" t="s">
        <v>4241</v>
      </c>
      <c r="M1052" t="s">
        <v>4241</v>
      </c>
      <c r="N1052" t="s">
        <v>4242</v>
      </c>
      <c r="O1052" t="s">
        <v>4243</v>
      </c>
      <c r="P1052" t="s">
        <v>4244</v>
      </c>
      <c r="Q1052" t="s">
        <v>4245</v>
      </c>
      <c r="R1052" t="s">
        <v>4246</v>
      </c>
      <c r="S1052" t="s">
        <v>3458</v>
      </c>
    </row>
    <row r="1053" spans="1:19" x14ac:dyDescent="0.2">
      <c r="A1053" t="str">
        <f t="shared" si="16"/>
        <v>metab_compid_37097</v>
      </c>
      <c r="B1053">
        <v>100001743</v>
      </c>
      <c r="C1053">
        <v>400</v>
      </c>
      <c r="D1053">
        <v>37097</v>
      </c>
      <c r="E1053">
        <v>156317</v>
      </c>
      <c r="F1053" t="s">
        <v>3436</v>
      </c>
      <c r="G1053" t="s">
        <v>3470</v>
      </c>
      <c r="H1053">
        <v>269</v>
      </c>
      <c r="I1053" t="s">
        <v>3438</v>
      </c>
      <c r="J1053" t="s">
        <v>6906</v>
      </c>
      <c r="K1053" t="s">
        <v>6907</v>
      </c>
      <c r="L1053" t="s">
        <v>6908</v>
      </c>
      <c r="M1053" t="s">
        <v>6908</v>
      </c>
      <c r="N1053" t="s">
        <v>6909</v>
      </c>
      <c r="O1053" t="s">
        <v>6910</v>
      </c>
      <c r="P1053" t="s">
        <v>6911</v>
      </c>
      <c r="Q1053" t="s">
        <v>6912</v>
      </c>
      <c r="R1053" t="s">
        <v>6913</v>
      </c>
      <c r="S1053" t="s">
        <v>3458</v>
      </c>
    </row>
    <row r="1054" spans="1:19" x14ac:dyDescent="0.2">
      <c r="A1054" t="str">
        <f t="shared" si="16"/>
        <v>metab_compid_48408</v>
      </c>
      <c r="B1054">
        <v>100006092</v>
      </c>
      <c r="C1054">
        <v>209</v>
      </c>
      <c r="D1054">
        <v>48408</v>
      </c>
      <c r="E1054">
        <v>155063</v>
      </c>
      <c r="F1054" t="s">
        <v>3436</v>
      </c>
      <c r="G1054" t="s">
        <v>3687</v>
      </c>
      <c r="H1054">
        <v>231</v>
      </c>
      <c r="I1054" t="s">
        <v>3438</v>
      </c>
      <c r="J1054" t="s">
        <v>8436</v>
      </c>
      <c r="K1054" t="s">
        <v>8437</v>
      </c>
      <c r="L1054" t="s">
        <v>8438</v>
      </c>
      <c r="M1054" t="s">
        <v>8438</v>
      </c>
      <c r="N1054" t="s">
        <v>8439</v>
      </c>
      <c r="O1054" t="s">
        <v>8440</v>
      </c>
      <c r="P1054" t="s">
        <v>8441</v>
      </c>
      <c r="R1054" t="s">
        <v>8442</v>
      </c>
      <c r="S1054" t="s">
        <v>3469</v>
      </c>
    </row>
    <row r="1055" spans="1:19" x14ac:dyDescent="0.2">
      <c r="A1055" t="str">
        <f t="shared" si="16"/>
        <v>metab_compid_1299</v>
      </c>
      <c r="B1055">
        <v>815</v>
      </c>
      <c r="C1055">
        <v>400</v>
      </c>
      <c r="D1055">
        <v>1299</v>
      </c>
      <c r="E1055">
        <v>155353</v>
      </c>
      <c r="F1055" t="s">
        <v>3436</v>
      </c>
      <c r="G1055" t="s">
        <v>3687</v>
      </c>
      <c r="H1055">
        <v>167</v>
      </c>
      <c r="I1055" t="s">
        <v>3438</v>
      </c>
      <c r="J1055" t="s">
        <v>4317</v>
      </c>
      <c r="K1055" t="s">
        <v>4318</v>
      </c>
      <c r="L1055" t="s">
        <v>1068</v>
      </c>
      <c r="M1055" t="s">
        <v>1068</v>
      </c>
      <c r="N1055" t="s">
        <v>4319</v>
      </c>
      <c r="O1055" t="s">
        <v>4320</v>
      </c>
      <c r="P1055" t="s">
        <v>4321</v>
      </c>
      <c r="Q1055" t="s">
        <v>4322</v>
      </c>
      <c r="R1055" t="s">
        <v>4323</v>
      </c>
      <c r="S1055" t="s">
        <v>3458</v>
      </c>
    </row>
    <row r="1056" spans="1:19" x14ac:dyDescent="0.2">
      <c r="A1056" t="str">
        <f t="shared" si="16"/>
        <v>metab_compid_48674</v>
      </c>
      <c r="B1056">
        <v>100006282</v>
      </c>
      <c r="C1056">
        <v>209</v>
      </c>
      <c r="D1056">
        <v>48674</v>
      </c>
      <c r="E1056">
        <v>155105</v>
      </c>
      <c r="F1056" t="s">
        <v>3863</v>
      </c>
      <c r="G1056" t="s">
        <v>3864</v>
      </c>
      <c r="H1056">
        <v>5142</v>
      </c>
      <c r="I1056" t="s">
        <v>3438</v>
      </c>
      <c r="J1056" t="s">
        <v>8572</v>
      </c>
      <c r="K1056" t="s">
        <v>8573</v>
      </c>
      <c r="L1056" t="s">
        <v>8574</v>
      </c>
      <c r="M1056" t="s">
        <v>8574</v>
      </c>
      <c r="N1056" t="s">
        <v>8575</v>
      </c>
      <c r="O1056" t="s">
        <v>8576</v>
      </c>
      <c r="P1056" t="s">
        <v>8577</v>
      </c>
      <c r="R1056" t="s">
        <v>8578</v>
      </c>
      <c r="S1056" t="s">
        <v>3469</v>
      </c>
    </row>
    <row r="1057" spans="1:19" x14ac:dyDescent="0.2">
      <c r="A1057" t="str">
        <f t="shared" si="16"/>
        <v>metab_compid_42395</v>
      </c>
      <c r="B1057">
        <v>100001617</v>
      </c>
      <c r="C1057">
        <v>209</v>
      </c>
      <c r="D1057">
        <v>42395</v>
      </c>
      <c r="E1057">
        <v>128311</v>
      </c>
      <c r="F1057" t="s">
        <v>3459</v>
      </c>
      <c r="G1057" t="s">
        <v>3873</v>
      </c>
      <c r="H1057">
        <v>1701</v>
      </c>
      <c r="I1057" t="s">
        <v>3438</v>
      </c>
      <c r="J1057" t="s">
        <v>6775</v>
      </c>
      <c r="K1057" t="s">
        <v>6776</v>
      </c>
      <c r="L1057" t="s">
        <v>6777</v>
      </c>
      <c r="M1057" t="s">
        <v>6777</v>
      </c>
      <c r="N1057" t="s">
        <v>6778</v>
      </c>
      <c r="O1057" t="s">
        <v>6779</v>
      </c>
      <c r="P1057" t="s">
        <v>6780</v>
      </c>
      <c r="R1057" t="s">
        <v>6781</v>
      </c>
      <c r="S1057" t="s">
        <v>3469</v>
      </c>
    </row>
    <row r="1058" spans="1:19" x14ac:dyDescent="0.2">
      <c r="A1058" t="str">
        <f t="shared" si="16"/>
        <v>metab_compid_63613</v>
      </c>
      <c r="B1058">
        <v>100021131</v>
      </c>
      <c r="C1058">
        <v>402</v>
      </c>
      <c r="D1058">
        <v>63613</v>
      </c>
      <c r="E1058">
        <v>222938</v>
      </c>
      <c r="F1058" t="s">
        <v>3459</v>
      </c>
      <c r="G1058" t="s">
        <v>6535</v>
      </c>
      <c r="H1058">
        <v>1899</v>
      </c>
      <c r="I1058" t="s">
        <v>3438</v>
      </c>
      <c r="J1058" t="s">
        <v>10089</v>
      </c>
      <c r="K1058" t="s">
        <v>10090</v>
      </c>
      <c r="L1058" t="s">
        <v>10091</v>
      </c>
      <c r="M1058" t="s">
        <v>10091</v>
      </c>
      <c r="S1058" t="s">
        <v>3447</v>
      </c>
    </row>
    <row r="1059" spans="1:19" x14ac:dyDescent="0.2">
      <c r="A1059" t="str">
        <f t="shared" si="16"/>
        <v>metab_compid_605</v>
      </c>
      <c r="B1059">
        <v>825</v>
      </c>
      <c r="C1059">
        <v>305</v>
      </c>
      <c r="D1059">
        <v>605</v>
      </c>
      <c r="E1059">
        <v>146422</v>
      </c>
      <c r="F1059" t="s">
        <v>3533</v>
      </c>
      <c r="G1059" t="s">
        <v>3705</v>
      </c>
      <c r="H1059">
        <v>4240</v>
      </c>
      <c r="I1059" t="s">
        <v>3438</v>
      </c>
      <c r="J1059" t="s">
        <v>4348</v>
      </c>
      <c r="K1059" t="s">
        <v>4349</v>
      </c>
      <c r="L1059" t="s">
        <v>4350</v>
      </c>
      <c r="M1059" t="s">
        <v>4350</v>
      </c>
      <c r="N1059" t="s">
        <v>4351</v>
      </c>
      <c r="O1059" t="s">
        <v>4352</v>
      </c>
      <c r="P1059" t="s">
        <v>4353</v>
      </c>
      <c r="Q1059" t="s">
        <v>4354</v>
      </c>
      <c r="R1059" t="s">
        <v>4355</v>
      </c>
      <c r="S1059" t="s">
        <v>3489</v>
      </c>
    </row>
    <row r="1060" spans="1:19" x14ac:dyDescent="0.2">
      <c r="A1060" t="str">
        <f t="shared" si="16"/>
        <v>metab_compid_1604</v>
      </c>
      <c r="B1060">
        <v>1134</v>
      </c>
      <c r="C1060">
        <v>209</v>
      </c>
      <c r="D1060">
        <v>1604</v>
      </c>
      <c r="E1060">
        <v>124593</v>
      </c>
      <c r="F1060" t="s">
        <v>3533</v>
      </c>
      <c r="G1060" t="s">
        <v>3543</v>
      </c>
      <c r="H1060">
        <v>4151</v>
      </c>
      <c r="I1060" t="s">
        <v>3438</v>
      </c>
      <c r="J1060" t="s">
        <v>4750</v>
      </c>
      <c r="K1060" t="s">
        <v>4751</v>
      </c>
      <c r="L1060" t="s">
        <v>4752</v>
      </c>
      <c r="M1060" t="s">
        <v>4752</v>
      </c>
      <c r="N1060" t="s">
        <v>4753</v>
      </c>
      <c r="P1060" t="s">
        <v>4754</v>
      </c>
      <c r="Q1060" t="s">
        <v>4755</v>
      </c>
      <c r="R1060" t="s">
        <v>4756</v>
      </c>
      <c r="S1060" t="s">
        <v>3469</v>
      </c>
    </row>
    <row r="1061" spans="1:19" x14ac:dyDescent="0.2">
      <c r="A1061" t="str">
        <f t="shared" si="16"/>
        <v>metab_compid_1670</v>
      </c>
      <c r="B1061">
        <v>533</v>
      </c>
      <c r="C1061">
        <v>400</v>
      </c>
      <c r="D1061">
        <v>1670</v>
      </c>
      <c r="E1061">
        <v>155443</v>
      </c>
      <c r="F1061" t="s">
        <v>3436</v>
      </c>
      <c r="G1061" t="s">
        <v>3661</v>
      </c>
      <c r="H1061">
        <v>492</v>
      </c>
      <c r="I1061" t="s">
        <v>3438</v>
      </c>
      <c r="J1061" t="s">
        <v>4183</v>
      </c>
      <c r="K1061" t="s">
        <v>4184</v>
      </c>
      <c r="L1061" t="s">
        <v>4185</v>
      </c>
      <c r="M1061" t="s">
        <v>4185</v>
      </c>
      <c r="N1061" t="s">
        <v>4186</v>
      </c>
      <c r="O1061" t="s">
        <v>4187</v>
      </c>
      <c r="P1061" t="s">
        <v>4188</v>
      </c>
      <c r="Q1061" t="s">
        <v>4189</v>
      </c>
      <c r="R1061" t="s">
        <v>4190</v>
      </c>
      <c r="S1061" t="s">
        <v>3458</v>
      </c>
    </row>
    <row r="1062" spans="1:19" x14ac:dyDescent="0.2">
      <c r="A1062" t="str">
        <f t="shared" si="16"/>
        <v>metab_compid_606</v>
      </c>
      <c r="B1062">
        <v>535</v>
      </c>
      <c r="C1062">
        <v>209</v>
      </c>
      <c r="D1062">
        <v>606</v>
      </c>
      <c r="E1062">
        <v>123185</v>
      </c>
      <c r="F1062" t="s">
        <v>3533</v>
      </c>
      <c r="G1062" t="s">
        <v>3705</v>
      </c>
      <c r="H1062">
        <v>4239</v>
      </c>
      <c r="I1062" t="s">
        <v>3438</v>
      </c>
      <c r="J1062" t="s">
        <v>4191</v>
      </c>
      <c r="K1062" t="s">
        <v>4192</v>
      </c>
      <c r="L1062" t="s">
        <v>4193</v>
      </c>
      <c r="M1062" t="s">
        <v>4193</v>
      </c>
      <c r="N1062" t="s">
        <v>4194</v>
      </c>
      <c r="O1062" t="s">
        <v>4195</v>
      </c>
      <c r="P1062" t="s">
        <v>4196</v>
      </c>
      <c r="Q1062" t="s">
        <v>4197</v>
      </c>
      <c r="R1062" t="s">
        <v>4198</v>
      </c>
      <c r="S1062" t="s">
        <v>3469</v>
      </c>
    </row>
    <row r="1063" spans="1:19" x14ac:dyDescent="0.2">
      <c r="A1063" t="str">
        <f t="shared" si="16"/>
        <v>metab_compid_1605</v>
      </c>
      <c r="B1063">
        <v>1135</v>
      </c>
      <c r="C1063">
        <v>209</v>
      </c>
      <c r="D1063">
        <v>1605</v>
      </c>
      <c r="E1063">
        <v>125991</v>
      </c>
      <c r="F1063" t="s">
        <v>3459</v>
      </c>
      <c r="G1063" t="s">
        <v>3819</v>
      </c>
      <c r="H1063">
        <v>3524</v>
      </c>
      <c r="I1063" t="s">
        <v>3438</v>
      </c>
      <c r="J1063" t="s">
        <v>4757</v>
      </c>
      <c r="K1063" t="s">
        <v>4758</v>
      </c>
      <c r="L1063" t="s">
        <v>4759</v>
      </c>
      <c r="M1063" t="s">
        <v>4759</v>
      </c>
      <c r="N1063" t="s">
        <v>4760</v>
      </c>
      <c r="O1063" t="s">
        <v>4761</v>
      </c>
      <c r="P1063" t="s">
        <v>4762</v>
      </c>
      <c r="Q1063" t="s">
        <v>4763</v>
      </c>
      <c r="R1063" t="s">
        <v>4764</v>
      </c>
      <c r="S1063" t="s">
        <v>3469</v>
      </c>
    </row>
    <row r="1064" spans="1:19" x14ac:dyDescent="0.2">
      <c r="A1064" t="str">
        <f t="shared" si="16"/>
        <v>metab_compid_33443</v>
      </c>
      <c r="B1064">
        <v>1136</v>
      </c>
      <c r="C1064">
        <v>209</v>
      </c>
      <c r="D1064">
        <v>33443</v>
      </c>
      <c r="E1064">
        <v>126081</v>
      </c>
      <c r="F1064" t="s">
        <v>3459</v>
      </c>
      <c r="G1064" t="s">
        <v>4765</v>
      </c>
      <c r="H1064">
        <v>1506</v>
      </c>
      <c r="I1064" t="s">
        <v>3438</v>
      </c>
      <c r="J1064" t="s">
        <v>4766</v>
      </c>
      <c r="K1064" t="s">
        <v>4767</v>
      </c>
      <c r="L1064" t="s">
        <v>4768</v>
      </c>
      <c r="M1064" t="s">
        <v>4768</v>
      </c>
      <c r="N1064" t="s">
        <v>4769</v>
      </c>
      <c r="O1064" t="s">
        <v>4770</v>
      </c>
      <c r="P1064" t="s">
        <v>4771</v>
      </c>
      <c r="Q1064" t="s">
        <v>4772</v>
      </c>
      <c r="R1064" t="s">
        <v>4773</v>
      </c>
      <c r="S1064" t="s">
        <v>3469</v>
      </c>
    </row>
    <row r="1065" spans="1:19" x14ac:dyDescent="0.2">
      <c r="A1065" t="str">
        <f t="shared" si="16"/>
        <v>metab_compid_1649</v>
      </c>
      <c r="B1065">
        <v>566</v>
      </c>
      <c r="C1065">
        <v>209</v>
      </c>
      <c r="D1065">
        <v>1649</v>
      </c>
      <c r="E1065">
        <v>125742</v>
      </c>
      <c r="F1065" t="s">
        <v>3436</v>
      </c>
      <c r="G1065" t="s">
        <v>3498</v>
      </c>
      <c r="H1065">
        <v>421</v>
      </c>
      <c r="I1065" t="s">
        <v>3438</v>
      </c>
      <c r="J1065" t="s">
        <v>4247</v>
      </c>
      <c r="K1065" t="s">
        <v>4248</v>
      </c>
      <c r="L1065" t="s">
        <v>1072</v>
      </c>
      <c r="M1065" t="s">
        <v>1072</v>
      </c>
      <c r="N1065" t="s">
        <v>4249</v>
      </c>
      <c r="O1065" t="s">
        <v>4250</v>
      </c>
      <c r="P1065" t="s">
        <v>4251</v>
      </c>
      <c r="Q1065" t="s">
        <v>4252</v>
      </c>
      <c r="R1065" t="s">
        <v>4253</v>
      </c>
      <c r="S1065" t="s">
        <v>3469</v>
      </c>
    </row>
    <row r="1066" spans="1:19" x14ac:dyDescent="0.2">
      <c r="A1066" t="str">
        <f t="shared" si="16"/>
        <v>metab_compid_48566</v>
      </c>
      <c r="B1066">
        <v>100006232</v>
      </c>
      <c r="C1066">
        <v>209</v>
      </c>
      <c r="D1066">
        <v>48566</v>
      </c>
      <c r="E1066">
        <v>179129</v>
      </c>
      <c r="F1066" t="s">
        <v>3863</v>
      </c>
      <c r="G1066" t="s">
        <v>7216</v>
      </c>
      <c r="H1066">
        <v>5727</v>
      </c>
      <c r="I1066" t="s">
        <v>3438</v>
      </c>
      <c r="J1066" t="s">
        <v>8542</v>
      </c>
      <c r="K1066" t="s">
        <v>8543</v>
      </c>
      <c r="L1066" t="s">
        <v>8544</v>
      </c>
      <c r="M1066" t="s">
        <v>8544</v>
      </c>
      <c r="N1066" t="s">
        <v>8545</v>
      </c>
      <c r="O1066" t="s">
        <v>8546</v>
      </c>
      <c r="P1066" t="s">
        <v>8547</v>
      </c>
      <c r="R1066" t="s">
        <v>8548</v>
      </c>
      <c r="S1066" t="s">
        <v>3469</v>
      </c>
    </row>
    <row r="1067" spans="1:19" x14ac:dyDescent="0.2">
      <c r="A1067" t="str">
        <f t="shared" si="16"/>
        <v>metab_compid_42079</v>
      </c>
      <c r="B1067">
        <v>100003640</v>
      </c>
      <c r="C1067">
        <v>400</v>
      </c>
      <c r="D1067">
        <v>42079</v>
      </c>
      <c r="E1067">
        <v>156902</v>
      </c>
      <c r="F1067" t="s">
        <v>3853</v>
      </c>
      <c r="G1067" t="s">
        <v>5381</v>
      </c>
      <c r="H1067">
        <v>1049</v>
      </c>
      <c r="I1067" t="s">
        <v>3438</v>
      </c>
      <c r="J1067" t="s">
        <v>7945</v>
      </c>
      <c r="K1067" t="s">
        <v>7946</v>
      </c>
      <c r="L1067" t="s">
        <v>7947</v>
      </c>
      <c r="M1067" t="s">
        <v>7947</v>
      </c>
      <c r="N1067" t="s">
        <v>7948</v>
      </c>
      <c r="O1067" t="s">
        <v>7949</v>
      </c>
      <c r="P1067" t="s">
        <v>7950</v>
      </c>
      <c r="R1067" t="s">
        <v>7951</v>
      </c>
      <c r="S1067" t="s">
        <v>3458</v>
      </c>
    </row>
    <row r="1068" spans="1:19" x14ac:dyDescent="0.2">
      <c r="A1068" t="str">
        <f t="shared" si="16"/>
        <v>metab_compid_40475</v>
      </c>
      <c r="B1068">
        <v>100003641</v>
      </c>
      <c r="C1068">
        <v>209</v>
      </c>
      <c r="D1068">
        <v>40475</v>
      </c>
      <c r="E1068">
        <v>143011</v>
      </c>
      <c r="F1068" t="s">
        <v>3853</v>
      </c>
      <c r="G1068" t="s">
        <v>5381</v>
      </c>
      <c r="H1068">
        <v>1050</v>
      </c>
      <c r="I1068" t="s">
        <v>3438</v>
      </c>
      <c r="J1068" t="s">
        <v>7952</v>
      </c>
      <c r="K1068" t="s">
        <v>7953</v>
      </c>
      <c r="L1068" t="s">
        <v>7954</v>
      </c>
      <c r="M1068" t="s">
        <v>7954</v>
      </c>
      <c r="N1068" t="s">
        <v>7955</v>
      </c>
      <c r="O1068" t="s">
        <v>7956</v>
      </c>
      <c r="P1068" t="s">
        <v>7957</v>
      </c>
      <c r="R1068" t="s">
        <v>7958</v>
      </c>
      <c r="S1068" t="s">
        <v>3469</v>
      </c>
    </row>
    <row r="1069" spans="1:19" x14ac:dyDescent="0.2">
      <c r="A1069" t="str">
        <f t="shared" si="16"/>
        <v>metab_compid_54910</v>
      </c>
      <c r="B1069">
        <v>100006129</v>
      </c>
      <c r="C1069">
        <v>209</v>
      </c>
      <c r="D1069">
        <v>54910</v>
      </c>
      <c r="E1069">
        <v>208290</v>
      </c>
      <c r="F1069" t="s">
        <v>3436</v>
      </c>
      <c r="G1069" t="s">
        <v>3687</v>
      </c>
      <c r="H1069">
        <v>206</v>
      </c>
      <c r="I1069" t="s">
        <v>3438</v>
      </c>
      <c r="J1069" t="s">
        <v>8477</v>
      </c>
      <c r="K1069" t="s">
        <v>8478</v>
      </c>
      <c r="L1069" t="s">
        <v>8479</v>
      </c>
      <c r="M1069" t="s">
        <v>8479</v>
      </c>
      <c r="N1069" t="s">
        <v>8480</v>
      </c>
      <c r="O1069" t="s">
        <v>8481</v>
      </c>
      <c r="P1069" t="s">
        <v>8482</v>
      </c>
      <c r="R1069" t="s">
        <v>8483</v>
      </c>
      <c r="S1069" t="s">
        <v>3469</v>
      </c>
    </row>
    <row r="1070" spans="1:19" x14ac:dyDescent="0.2">
      <c r="A1070" t="str">
        <f t="shared" si="16"/>
        <v>metab_compid_63853</v>
      </c>
      <c r="B1070">
        <v>100021363</v>
      </c>
      <c r="C1070">
        <v>209</v>
      </c>
      <c r="D1070">
        <v>63853</v>
      </c>
      <c r="E1070">
        <v>223434</v>
      </c>
      <c r="F1070" t="s">
        <v>3863</v>
      </c>
      <c r="G1070" t="s">
        <v>3864</v>
      </c>
      <c r="H1070">
        <v>5241</v>
      </c>
      <c r="I1070" t="s">
        <v>3438</v>
      </c>
      <c r="J1070" t="s">
        <v>10130</v>
      </c>
      <c r="K1070" t="s">
        <v>10131</v>
      </c>
      <c r="L1070" t="s">
        <v>10132</v>
      </c>
      <c r="M1070" t="s">
        <v>10132</v>
      </c>
      <c r="O1070" t="s">
        <v>10133</v>
      </c>
      <c r="P1070" t="s">
        <v>10134</v>
      </c>
      <c r="R1070" t="s">
        <v>10135</v>
      </c>
      <c r="S1070" t="s">
        <v>3469</v>
      </c>
    </row>
    <row r="1071" spans="1:19" x14ac:dyDescent="0.2">
      <c r="A1071" t="str">
        <f t="shared" si="16"/>
        <v>metab_compid_1567</v>
      </c>
      <c r="B1071">
        <v>1111</v>
      </c>
      <c r="C1071">
        <v>209</v>
      </c>
      <c r="D1071">
        <v>1567</v>
      </c>
      <c r="E1071">
        <v>124579</v>
      </c>
      <c r="F1071" t="s">
        <v>3436</v>
      </c>
      <c r="G1071" t="s">
        <v>3687</v>
      </c>
      <c r="H1071">
        <v>207</v>
      </c>
      <c r="I1071" t="s">
        <v>3438</v>
      </c>
      <c r="J1071" t="s">
        <v>4696</v>
      </c>
      <c r="K1071" t="s">
        <v>4697</v>
      </c>
      <c r="L1071" t="s">
        <v>4698</v>
      </c>
      <c r="M1071" t="s">
        <v>4698</v>
      </c>
      <c r="N1071" t="s">
        <v>4699</v>
      </c>
      <c r="O1071" t="s">
        <v>4700</v>
      </c>
      <c r="P1071" t="s">
        <v>4701</v>
      </c>
      <c r="Q1071" t="s">
        <v>4702</v>
      </c>
      <c r="R1071" t="s">
        <v>4703</v>
      </c>
      <c r="S1071" t="s">
        <v>3469</v>
      </c>
    </row>
    <row r="1072" spans="1:19" x14ac:dyDescent="0.2">
      <c r="A1072" t="str">
        <f t="shared" si="16"/>
        <v>metab_compid_38623</v>
      </c>
      <c r="B1072">
        <v>100002807</v>
      </c>
      <c r="C1072">
        <v>402</v>
      </c>
      <c r="D1072">
        <v>38623</v>
      </c>
      <c r="E1072">
        <v>159083</v>
      </c>
      <c r="F1072" t="s">
        <v>3863</v>
      </c>
      <c r="G1072" t="s">
        <v>4933</v>
      </c>
      <c r="H1072">
        <v>5893</v>
      </c>
      <c r="I1072" t="s">
        <v>3438</v>
      </c>
      <c r="J1072" t="s">
        <v>7684</v>
      </c>
      <c r="K1072" t="s">
        <v>7685</v>
      </c>
      <c r="L1072" t="s">
        <v>7686</v>
      </c>
      <c r="M1072" t="s">
        <v>7686</v>
      </c>
      <c r="N1072" t="s">
        <v>7687</v>
      </c>
      <c r="O1072" t="s">
        <v>7688</v>
      </c>
      <c r="P1072" t="s">
        <v>7689</v>
      </c>
      <c r="Q1072" t="s">
        <v>7690</v>
      </c>
      <c r="R1072" t="s">
        <v>7691</v>
      </c>
      <c r="S1072" t="s">
        <v>3447</v>
      </c>
    </row>
    <row r="1073" spans="1:19" x14ac:dyDescent="0.2">
      <c r="A1073" t="str">
        <f t="shared" si="16"/>
        <v>metab_compid_43335</v>
      </c>
      <c r="B1073">
        <v>100004175</v>
      </c>
      <c r="C1073">
        <v>209</v>
      </c>
      <c r="D1073">
        <v>43335</v>
      </c>
      <c r="E1073">
        <v>143989</v>
      </c>
      <c r="F1073" t="s">
        <v>3863</v>
      </c>
      <c r="G1073" t="s">
        <v>7216</v>
      </c>
      <c r="H1073">
        <v>5689</v>
      </c>
      <c r="I1073" t="s">
        <v>3438</v>
      </c>
      <c r="J1073" t="s">
        <v>8109</v>
      </c>
      <c r="K1073" t="s">
        <v>8110</v>
      </c>
      <c r="L1073" t="s">
        <v>8111</v>
      </c>
      <c r="M1073" t="s">
        <v>8111</v>
      </c>
      <c r="N1073" t="s">
        <v>8112</v>
      </c>
      <c r="P1073" t="s">
        <v>8113</v>
      </c>
      <c r="Q1073" t="s">
        <v>8114</v>
      </c>
      <c r="R1073" t="s">
        <v>8115</v>
      </c>
      <c r="S1073" t="s">
        <v>3469</v>
      </c>
    </row>
    <row r="1074" spans="1:19" x14ac:dyDescent="0.2">
      <c r="A1074" t="str">
        <f t="shared" si="16"/>
        <v>metab_compid_46590</v>
      </c>
      <c r="B1074">
        <v>999907765</v>
      </c>
      <c r="C1074">
        <v>209</v>
      </c>
      <c r="D1074">
        <v>46590</v>
      </c>
      <c r="E1074">
        <v>146351</v>
      </c>
      <c r="I1074" t="s">
        <v>10295</v>
      </c>
      <c r="L1074" t="s">
        <v>10296</v>
      </c>
      <c r="M1074" t="s">
        <v>10296</v>
      </c>
      <c r="S1074" t="s">
        <v>3469</v>
      </c>
    </row>
    <row r="1075" spans="1:19" x14ac:dyDescent="0.2">
      <c r="A1075" t="str">
        <f t="shared" si="16"/>
        <v>metab_compid_47478</v>
      </c>
      <c r="B1075">
        <v>999910458</v>
      </c>
      <c r="C1075">
        <v>209</v>
      </c>
      <c r="D1075">
        <v>47478</v>
      </c>
      <c r="E1075">
        <v>148974</v>
      </c>
      <c r="I1075" t="s">
        <v>10295</v>
      </c>
      <c r="L1075" t="s">
        <v>10297</v>
      </c>
      <c r="M1075" t="s">
        <v>10297</v>
      </c>
      <c r="S1075" t="s">
        <v>3469</v>
      </c>
    </row>
    <row r="1076" spans="1:19" x14ac:dyDescent="0.2">
      <c r="A1076" t="str">
        <f t="shared" si="16"/>
        <v>metab_compid_46592</v>
      </c>
      <c r="B1076">
        <v>999911299</v>
      </c>
      <c r="C1076">
        <v>209</v>
      </c>
      <c r="D1076">
        <v>46592</v>
      </c>
      <c r="E1076">
        <v>146353</v>
      </c>
      <c r="I1076" t="s">
        <v>10295</v>
      </c>
      <c r="L1076" t="s">
        <v>10298</v>
      </c>
      <c r="M1076" t="s">
        <v>10298</v>
      </c>
      <c r="S1076" t="s">
        <v>3469</v>
      </c>
    </row>
    <row r="1077" spans="1:19" x14ac:dyDescent="0.2">
      <c r="A1077" t="str">
        <f t="shared" si="16"/>
        <v>metab_compid_46390</v>
      </c>
      <c r="B1077">
        <v>999911308</v>
      </c>
      <c r="C1077">
        <v>209</v>
      </c>
      <c r="D1077">
        <v>46390</v>
      </c>
      <c r="E1077">
        <v>145473</v>
      </c>
      <c r="I1077" t="s">
        <v>10295</v>
      </c>
      <c r="L1077" t="s">
        <v>10299</v>
      </c>
      <c r="M1077" t="s">
        <v>10299</v>
      </c>
      <c r="S1077" t="s">
        <v>3469</v>
      </c>
    </row>
    <row r="1078" spans="1:19" x14ac:dyDescent="0.2">
      <c r="A1078" t="str">
        <f t="shared" si="16"/>
        <v>metab_compid_49592</v>
      </c>
      <c r="B1078">
        <v>999911315</v>
      </c>
      <c r="C1078">
        <v>209</v>
      </c>
      <c r="D1078">
        <v>49592</v>
      </c>
      <c r="E1078">
        <v>161333</v>
      </c>
      <c r="I1078" t="s">
        <v>10295</v>
      </c>
      <c r="L1078" t="s">
        <v>10300</v>
      </c>
      <c r="M1078" t="s">
        <v>10300</v>
      </c>
      <c r="S1078" t="s">
        <v>3469</v>
      </c>
    </row>
    <row r="1079" spans="1:19" x14ac:dyDescent="0.2">
      <c r="A1079" t="str">
        <f t="shared" si="16"/>
        <v>metab_compid_46594</v>
      </c>
      <c r="B1079">
        <v>999911372</v>
      </c>
      <c r="C1079">
        <v>209</v>
      </c>
      <c r="D1079">
        <v>46594</v>
      </c>
      <c r="E1079">
        <v>146355</v>
      </c>
      <c r="I1079" t="s">
        <v>10295</v>
      </c>
      <c r="L1079" t="s">
        <v>10301</v>
      </c>
      <c r="M1079" t="s">
        <v>10301</v>
      </c>
      <c r="S1079" t="s">
        <v>3469</v>
      </c>
    </row>
    <row r="1080" spans="1:19" x14ac:dyDescent="0.2">
      <c r="A1080" t="str">
        <f t="shared" si="16"/>
        <v>metab_compid_46595</v>
      </c>
      <c r="B1080">
        <v>999911378</v>
      </c>
      <c r="C1080">
        <v>209</v>
      </c>
      <c r="D1080">
        <v>46595</v>
      </c>
      <c r="E1080">
        <v>146356</v>
      </c>
      <c r="I1080" t="s">
        <v>10295</v>
      </c>
      <c r="L1080" t="s">
        <v>10302</v>
      </c>
      <c r="M1080" t="s">
        <v>10302</v>
      </c>
      <c r="S1080" t="s">
        <v>3469</v>
      </c>
    </row>
    <row r="1081" spans="1:19" x14ac:dyDescent="0.2">
      <c r="A1081" t="str">
        <f t="shared" si="16"/>
        <v>metab_compid_32698</v>
      </c>
      <c r="B1081">
        <v>999911381</v>
      </c>
      <c r="C1081">
        <v>400</v>
      </c>
      <c r="D1081">
        <v>32698</v>
      </c>
      <c r="E1081">
        <v>155986</v>
      </c>
      <c r="I1081" t="s">
        <v>10295</v>
      </c>
      <c r="L1081" t="s">
        <v>10303</v>
      </c>
      <c r="M1081" t="s">
        <v>10303</v>
      </c>
      <c r="S1081" t="s">
        <v>3458</v>
      </c>
    </row>
    <row r="1082" spans="1:19" x14ac:dyDescent="0.2">
      <c r="A1082" t="str">
        <f t="shared" si="16"/>
        <v>metab_compid_46596</v>
      </c>
      <c r="B1082">
        <v>999911407</v>
      </c>
      <c r="C1082">
        <v>209</v>
      </c>
      <c r="D1082">
        <v>46596</v>
      </c>
      <c r="E1082">
        <v>146357</v>
      </c>
      <c r="I1082" t="s">
        <v>10295</v>
      </c>
      <c r="L1082" t="s">
        <v>10304</v>
      </c>
      <c r="M1082" t="s">
        <v>10304</v>
      </c>
      <c r="S1082" t="s">
        <v>3469</v>
      </c>
    </row>
    <row r="1083" spans="1:19" x14ac:dyDescent="0.2">
      <c r="A1083" t="str">
        <f t="shared" si="16"/>
        <v>metab_compid_46460</v>
      </c>
      <c r="B1083">
        <v>999911444</v>
      </c>
      <c r="C1083">
        <v>209</v>
      </c>
      <c r="D1083">
        <v>46460</v>
      </c>
      <c r="E1083">
        <v>145547</v>
      </c>
      <c r="I1083" t="s">
        <v>10295</v>
      </c>
      <c r="L1083" t="s">
        <v>10305</v>
      </c>
      <c r="M1083" t="s">
        <v>10305</v>
      </c>
      <c r="S1083" t="s">
        <v>3469</v>
      </c>
    </row>
    <row r="1084" spans="1:19" x14ac:dyDescent="0.2">
      <c r="A1084" t="str">
        <f t="shared" si="16"/>
        <v>metab_compid_46601</v>
      </c>
      <c r="B1084">
        <v>999911470</v>
      </c>
      <c r="C1084">
        <v>209</v>
      </c>
      <c r="D1084">
        <v>46601</v>
      </c>
      <c r="E1084">
        <v>149582</v>
      </c>
      <c r="I1084" t="s">
        <v>10295</v>
      </c>
      <c r="L1084" t="s">
        <v>10306</v>
      </c>
      <c r="M1084" t="s">
        <v>10306</v>
      </c>
      <c r="S1084" t="s">
        <v>3469</v>
      </c>
    </row>
    <row r="1085" spans="1:19" x14ac:dyDescent="0.2">
      <c r="A1085" t="str">
        <f t="shared" si="16"/>
        <v>metab_compid_46602</v>
      </c>
      <c r="B1085">
        <v>999911478</v>
      </c>
      <c r="C1085">
        <v>209</v>
      </c>
      <c r="D1085">
        <v>46602</v>
      </c>
      <c r="E1085">
        <v>146364</v>
      </c>
      <c r="I1085" t="s">
        <v>10295</v>
      </c>
      <c r="L1085" t="s">
        <v>10307</v>
      </c>
      <c r="M1085" t="s">
        <v>10307</v>
      </c>
      <c r="S1085" t="s">
        <v>3469</v>
      </c>
    </row>
    <row r="1086" spans="1:19" x14ac:dyDescent="0.2">
      <c r="A1086" t="str">
        <f t="shared" si="16"/>
        <v>metab_compid_47650</v>
      </c>
      <c r="B1086">
        <v>999911483</v>
      </c>
      <c r="C1086">
        <v>209</v>
      </c>
      <c r="D1086">
        <v>47650</v>
      </c>
      <c r="E1086">
        <v>149583</v>
      </c>
      <c r="I1086" t="s">
        <v>10295</v>
      </c>
      <c r="L1086" t="s">
        <v>10308</v>
      </c>
      <c r="M1086" t="s">
        <v>10308</v>
      </c>
      <c r="S1086" t="s">
        <v>3469</v>
      </c>
    </row>
    <row r="1087" spans="1:19" x14ac:dyDescent="0.2">
      <c r="A1087" t="str">
        <f t="shared" si="16"/>
        <v>metab_compid_47493</v>
      </c>
      <c r="B1087">
        <v>999911632</v>
      </c>
      <c r="C1087">
        <v>209</v>
      </c>
      <c r="D1087">
        <v>47493</v>
      </c>
      <c r="E1087">
        <v>148992</v>
      </c>
      <c r="I1087" t="s">
        <v>10295</v>
      </c>
      <c r="L1087" t="s">
        <v>10309</v>
      </c>
      <c r="M1087" t="s">
        <v>10309</v>
      </c>
      <c r="S1087" t="s">
        <v>3469</v>
      </c>
    </row>
    <row r="1088" spans="1:19" x14ac:dyDescent="0.2">
      <c r="A1088" t="str">
        <f t="shared" si="16"/>
        <v>metab_compid_33132</v>
      </c>
      <c r="B1088">
        <v>999911787</v>
      </c>
      <c r="C1088">
        <v>400</v>
      </c>
      <c r="D1088">
        <v>33132</v>
      </c>
      <c r="E1088">
        <v>156002</v>
      </c>
      <c r="I1088" t="s">
        <v>10295</v>
      </c>
      <c r="L1088" t="s">
        <v>10310</v>
      </c>
      <c r="M1088" t="s">
        <v>10310</v>
      </c>
      <c r="S1088" t="s">
        <v>3458</v>
      </c>
    </row>
    <row r="1089" spans="1:19" x14ac:dyDescent="0.2">
      <c r="A1089" t="str">
        <f t="shared" si="16"/>
        <v>metab_compid_33140</v>
      </c>
      <c r="B1089">
        <v>999911795</v>
      </c>
      <c r="C1089">
        <v>400</v>
      </c>
      <c r="D1089">
        <v>33140</v>
      </c>
      <c r="E1089">
        <v>156004</v>
      </c>
      <c r="I1089" t="s">
        <v>10295</v>
      </c>
      <c r="L1089" t="s">
        <v>10311</v>
      </c>
      <c r="M1089" t="s">
        <v>10311</v>
      </c>
      <c r="S1089" t="s">
        <v>3458</v>
      </c>
    </row>
    <row r="1090" spans="1:19" x14ac:dyDescent="0.2">
      <c r="A1090" t="str">
        <f t="shared" ref="A1090:A1153" si="17">_xlfn.CONCAT("metab_compid_", $D1090)</f>
        <v>metab_compid_46466</v>
      </c>
      <c r="B1090">
        <v>999911843</v>
      </c>
      <c r="C1090">
        <v>209</v>
      </c>
      <c r="D1090">
        <v>46466</v>
      </c>
      <c r="E1090">
        <v>145553</v>
      </c>
      <c r="I1090" t="s">
        <v>10295</v>
      </c>
      <c r="L1090" t="s">
        <v>10312</v>
      </c>
      <c r="M1090" t="s">
        <v>10312</v>
      </c>
      <c r="S1090" t="s">
        <v>3469</v>
      </c>
    </row>
    <row r="1091" spans="1:19" x14ac:dyDescent="0.2">
      <c r="A1091" t="str">
        <f t="shared" si="17"/>
        <v>metab_compid_46488</v>
      </c>
      <c r="B1091">
        <v>999911847</v>
      </c>
      <c r="C1091">
        <v>209</v>
      </c>
      <c r="D1091">
        <v>46488</v>
      </c>
      <c r="E1091">
        <v>145575</v>
      </c>
      <c r="I1091" t="s">
        <v>10295</v>
      </c>
      <c r="L1091" t="s">
        <v>10313</v>
      </c>
      <c r="M1091" t="s">
        <v>10313</v>
      </c>
      <c r="S1091" t="s">
        <v>3469</v>
      </c>
    </row>
    <row r="1092" spans="1:19" x14ac:dyDescent="0.2">
      <c r="A1092" t="str">
        <f t="shared" si="17"/>
        <v>metab_compid_46607</v>
      </c>
      <c r="B1092">
        <v>999911849</v>
      </c>
      <c r="C1092">
        <v>209</v>
      </c>
      <c r="D1092">
        <v>46607</v>
      </c>
      <c r="E1092">
        <v>146369</v>
      </c>
      <c r="I1092" t="s">
        <v>10295</v>
      </c>
      <c r="L1092" t="s">
        <v>10314</v>
      </c>
      <c r="M1092" t="s">
        <v>10314</v>
      </c>
      <c r="S1092" t="s">
        <v>3469</v>
      </c>
    </row>
    <row r="1093" spans="1:19" x14ac:dyDescent="0.2">
      <c r="A1093" t="str">
        <f t="shared" si="17"/>
        <v>metab_compid_46507</v>
      </c>
      <c r="B1093">
        <v>999911850</v>
      </c>
      <c r="C1093">
        <v>209</v>
      </c>
      <c r="D1093">
        <v>46507</v>
      </c>
      <c r="E1093">
        <v>145594</v>
      </c>
      <c r="I1093" t="s">
        <v>10295</v>
      </c>
      <c r="L1093" t="s">
        <v>10315</v>
      </c>
      <c r="M1093" t="s">
        <v>10315</v>
      </c>
      <c r="S1093" t="s">
        <v>3469</v>
      </c>
    </row>
    <row r="1094" spans="1:19" x14ac:dyDescent="0.2">
      <c r="A1094" t="str">
        <f t="shared" si="17"/>
        <v>metab_compid_46521</v>
      </c>
      <c r="B1094">
        <v>999911852</v>
      </c>
      <c r="C1094">
        <v>209</v>
      </c>
      <c r="D1094">
        <v>46521</v>
      </c>
      <c r="E1094">
        <v>145608</v>
      </c>
      <c r="I1094" t="s">
        <v>10295</v>
      </c>
      <c r="L1094" t="s">
        <v>10316</v>
      </c>
      <c r="M1094" t="s">
        <v>10316</v>
      </c>
      <c r="S1094" t="s">
        <v>3469</v>
      </c>
    </row>
    <row r="1095" spans="1:19" x14ac:dyDescent="0.2">
      <c r="A1095" t="str">
        <f t="shared" si="17"/>
        <v>metab_compid_47654</v>
      </c>
      <c r="B1095">
        <v>999911858</v>
      </c>
      <c r="C1095">
        <v>209</v>
      </c>
      <c r="D1095">
        <v>47654</v>
      </c>
      <c r="E1095">
        <v>149587</v>
      </c>
      <c r="I1095" t="s">
        <v>10295</v>
      </c>
      <c r="L1095" t="s">
        <v>10317</v>
      </c>
      <c r="M1095" t="s">
        <v>10317</v>
      </c>
      <c r="S1095" t="s">
        <v>3469</v>
      </c>
    </row>
    <row r="1096" spans="1:19" x14ac:dyDescent="0.2">
      <c r="A1096" t="str">
        <f t="shared" si="17"/>
        <v>metab_compid_46608</v>
      </c>
      <c r="B1096">
        <v>999911880</v>
      </c>
      <c r="C1096">
        <v>209</v>
      </c>
      <c r="D1096">
        <v>46608</v>
      </c>
      <c r="E1096">
        <v>146370</v>
      </c>
      <c r="I1096" t="s">
        <v>10295</v>
      </c>
      <c r="L1096" t="s">
        <v>10318</v>
      </c>
      <c r="M1096" t="s">
        <v>10318</v>
      </c>
      <c r="S1096" t="s">
        <v>3469</v>
      </c>
    </row>
    <row r="1097" spans="1:19" x14ac:dyDescent="0.2">
      <c r="A1097" t="str">
        <f t="shared" si="17"/>
        <v>metab_compid_46611</v>
      </c>
      <c r="B1097">
        <v>999912013</v>
      </c>
      <c r="C1097">
        <v>209</v>
      </c>
      <c r="D1097">
        <v>46611</v>
      </c>
      <c r="E1097">
        <v>146373</v>
      </c>
      <c r="I1097" t="s">
        <v>10295</v>
      </c>
      <c r="L1097" t="s">
        <v>10319</v>
      </c>
      <c r="M1097" t="s">
        <v>10319</v>
      </c>
      <c r="S1097" t="s">
        <v>3469</v>
      </c>
    </row>
    <row r="1098" spans="1:19" x14ac:dyDescent="0.2">
      <c r="A1098" t="str">
        <f t="shared" si="17"/>
        <v>metab_compid_47905</v>
      </c>
      <c r="B1098">
        <v>999912026</v>
      </c>
      <c r="C1098">
        <v>209</v>
      </c>
      <c r="D1098">
        <v>47905</v>
      </c>
      <c r="E1098">
        <v>150050</v>
      </c>
      <c r="I1098" t="s">
        <v>10295</v>
      </c>
      <c r="L1098" t="s">
        <v>10320</v>
      </c>
      <c r="M1098" t="s">
        <v>10320</v>
      </c>
      <c r="S1098" t="s">
        <v>3469</v>
      </c>
    </row>
    <row r="1099" spans="1:19" x14ac:dyDescent="0.2">
      <c r="A1099" t="str">
        <f t="shared" si="17"/>
        <v>metab_compid_47686</v>
      </c>
      <c r="B1099">
        <v>999912096</v>
      </c>
      <c r="C1099">
        <v>400</v>
      </c>
      <c r="D1099">
        <v>47686</v>
      </c>
      <c r="E1099">
        <v>157559</v>
      </c>
      <c r="I1099" t="s">
        <v>10295</v>
      </c>
      <c r="L1099" t="s">
        <v>10321</v>
      </c>
      <c r="M1099" t="s">
        <v>10321</v>
      </c>
      <c r="S1099" t="s">
        <v>3458</v>
      </c>
    </row>
    <row r="1100" spans="1:19" x14ac:dyDescent="0.2">
      <c r="A1100" t="str">
        <f t="shared" si="17"/>
        <v>metab_compid_47687</v>
      </c>
      <c r="B1100">
        <v>999912100</v>
      </c>
      <c r="C1100">
        <v>400</v>
      </c>
      <c r="D1100">
        <v>47687</v>
      </c>
      <c r="E1100">
        <v>157560</v>
      </c>
      <c r="I1100" t="s">
        <v>10295</v>
      </c>
      <c r="L1100" t="s">
        <v>10322</v>
      </c>
      <c r="M1100" t="s">
        <v>10322</v>
      </c>
      <c r="S1100" t="s">
        <v>3458</v>
      </c>
    </row>
    <row r="1101" spans="1:19" x14ac:dyDescent="0.2">
      <c r="A1101" t="str">
        <f t="shared" si="17"/>
        <v>metab_compid_47642</v>
      </c>
      <c r="B1101">
        <v>999912101</v>
      </c>
      <c r="C1101">
        <v>400</v>
      </c>
      <c r="D1101">
        <v>47642</v>
      </c>
      <c r="E1101">
        <v>157543</v>
      </c>
      <c r="I1101" t="s">
        <v>10295</v>
      </c>
      <c r="L1101" t="s">
        <v>10323</v>
      </c>
      <c r="M1101" t="s">
        <v>10323</v>
      </c>
      <c r="S1101" t="s">
        <v>3458</v>
      </c>
    </row>
    <row r="1102" spans="1:19" x14ac:dyDescent="0.2">
      <c r="A1102" t="str">
        <f t="shared" si="17"/>
        <v>metab_compid_52597</v>
      </c>
      <c r="B1102">
        <v>999912104</v>
      </c>
      <c r="C1102">
        <v>209</v>
      </c>
      <c r="D1102">
        <v>52597</v>
      </c>
      <c r="E1102">
        <v>165325</v>
      </c>
      <c r="I1102" t="s">
        <v>10295</v>
      </c>
      <c r="L1102" t="s">
        <v>10324</v>
      </c>
      <c r="M1102" t="s">
        <v>10324</v>
      </c>
      <c r="S1102" t="s">
        <v>3469</v>
      </c>
    </row>
    <row r="1103" spans="1:19" x14ac:dyDescent="0.2">
      <c r="A1103" t="str">
        <f t="shared" si="17"/>
        <v>metab_compid_46985</v>
      </c>
      <c r="B1103">
        <v>999912193</v>
      </c>
      <c r="C1103">
        <v>209</v>
      </c>
      <c r="D1103">
        <v>46985</v>
      </c>
      <c r="E1103">
        <v>148238</v>
      </c>
      <c r="I1103" t="s">
        <v>10295</v>
      </c>
      <c r="L1103" t="s">
        <v>10325</v>
      </c>
      <c r="M1103" t="s">
        <v>10325</v>
      </c>
      <c r="S1103" t="s">
        <v>3469</v>
      </c>
    </row>
    <row r="1104" spans="1:19" x14ac:dyDescent="0.2">
      <c r="A1104" t="str">
        <f t="shared" si="17"/>
        <v>metab_compid_46613</v>
      </c>
      <c r="B1104">
        <v>999912216</v>
      </c>
      <c r="C1104">
        <v>209</v>
      </c>
      <c r="D1104">
        <v>46613</v>
      </c>
      <c r="E1104">
        <v>146375</v>
      </c>
      <c r="I1104" t="s">
        <v>10295</v>
      </c>
      <c r="L1104" t="s">
        <v>10326</v>
      </c>
      <c r="M1104" t="s">
        <v>10326</v>
      </c>
      <c r="S1104" t="s">
        <v>3469</v>
      </c>
    </row>
    <row r="1105" spans="1:19" x14ac:dyDescent="0.2">
      <c r="A1105" t="str">
        <f t="shared" si="17"/>
        <v>metab_compid_47911</v>
      </c>
      <c r="B1105">
        <v>999912221</v>
      </c>
      <c r="C1105">
        <v>209</v>
      </c>
      <c r="D1105">
        <v>47911</v>
      </c>
      <c r="E1105">
        <v>150059</v>
      </c>
      <c r="I1105" t="s">
        <v>10295</v>
      </c>
      <c r="L1105" t="s">
        <v>10327</v>
      </c>
      <c r="M1105" t="s">
        <v>10327</v>
      </c>
      <c r="S1105" t="s">
        <v>3469</v>
      </c>
    </row>
    <row r="1106" spans="1:19" x14ac:dyDescent="0.2">
      <c r="A1106" t="str">
        <f t="shared" si="17"/>
        <v>metab_compid_47657</v>
      </c>
      <c r="B1106">
        <v>999912261</v>
      </c>
      <c r="C1106">
        <v>209</v>
      </c>
      <c r="D1106">
        <v>47657</v>
      </c>
      <c r="E1106">
        <v>149590</v>
      </c>
      <c r="I1106" t="s">
        <v>10295</v>
      </c>
      <c r="L1106" t="s">
        <v>10328</v>
      </c>
      <c r="M1106" t="s">
        <v>10328</v>
      </c>
      <c r="S1106" t="s">
        <v>3469</v>
      </c>
    </row>
    <row r="1107" spans="1:19" x14ac:dyDescent="0.2">
      <c r="A1107" t="str">
        <f t="shared" si="17"/>
        <v>metab_compid_47708</v>
      </c>
      <c r="B1107">
        <v>999912283</v>
      </c>
      <c r="C1107">
        <v>400</v>
      </c>
      <c r="D1107">
        <v>47708</v>
      </c>
      <c r="E1107">
        <v>157579</v>
      </c>
      <c r="I1107" t="s">
        <v>10295</v>
      </c>
      <c r="L1107" t="s">
        <v>10329</v>
      </c>
      <c r="M1107" t="s">
        <v>10329</v>
      </c>
      <c r="S1107" t="s">
        <v>3458</v>
      </c>
    </row>
    <row r="1108" spans="1:19" x14ac:dyDescent="0.2">
      <c r="A1108" t="str">
        <f t="shared" si="17"/>
        <v>metab_compid_47917</v>
      </c>
      <c r="B1108">
        <v>999912306</v>
      </c>
      <c r="C1108">
        <v>209</v>
      </c>
      <c r="D1108">
        <v>47917</v>
      </c>
      <c r="E1108">
        <v>150069</v>
      </c>
      <c r="I1108" t="s">
        <v>10295</v>
      </c>
      <c r="L1108" t="s">
        <v>10330</v>
      </c>
      <c r="M1108" t="s">
        <v>10330</v>
      </c>
      <c r="S1108" t="s">
        <v>3469</v>
      </c>
    </row>
    <row r="1109" spans="1:19" x14ac:dyDescent="0.2">
      <c r="A1109" t="str">
        <f t="shared" si="17"/>
        <v>metab_compid_46615</v>
      </c>
      <c r="B1109">
        <v>999912407</v>
      </c>
      <c r="C1109">
        <v>209</v>
      </c>
      <c r="D1109">
        <v>46615</v>
      </c>
      <c r="E1109">
        <v>146377</v>
      </c>
      <c r="I1109" t="s">
        <v>10295</v>
      </c>
      <c r="L1109" t="s">
        <v>10331</v>
      </c>
      <c r="M1109" t="s">
        <v>10331</v>
      </c>
      <c r="S1109" t="s">
        <v>3469</v>
      </c>
    </row>
    <row r="1110" spans="1:19" x14ac:dyDescent="0.2">
      <c r="A1110" t="str">
        <f t="shared" si="17"/>
        <v>metab_compid_47921</v>
      </c>
      <c r="B1110">
        <v>999912410</v>
      </c>
      <c r="C1110">
        <v>209</v>
      </c>
      <c r="D1110">
        <v>47921</v>
      </c>
      <c r="E1110">
        <v>150074</v>
      </c>
      <c r="I1110" t="s">
        <v>10295</v>
      </c>
      <c r="L1110" t="s">
        <v>10332</v>
      </c>
      <c r="M1110" t="s">
        <v>10332</v>
      </c>
      <c r="S1110" t="s">
        <v>3469</v>
      </c>
    </row>
    <row r="1111" spans="1:19" x14ac:dyDescent="0.2">
      <c r="A1111" t="str">
        <f t="shared" si="17"/>
        <v>metab_compid_46616</v>
      </c>
      <c r="B1111">
        <v>999912411</v>
      </c>
      <c r="C1111">
        <v>209</v>
      </c>
      <c r="D1111">
        <v>46616</v>
      </c>
      <c r="E1111">
        <v>146378</v>
      </c>
      <c r="I1111" t="s">
        <v>10295</v>
      </c>
      <c r="L1111" t="s">
        <v>10333</v>
      </c>
      <c r="M1111" t="s">
        <v>10333</v>
      </c>
      <c r="S1111" t="s">
        <v>3469</v>
      </c>
    </row>
    <row r="1112" spans="1:19" x14ac:dyDescent="0.2">
      <c r="A1112" t="str">
        <f t="shared" si="17"/>
        <v>metab_compid_47639</v>
      </c>
      <c r="B1112">
        <v>999912456</v>
      </c>
      <c r="C1112">
        <v>209</v>
      </c>
      <c r="D1112">
        <v>47639</v>
      </c>
      <c r="E1112">
        <v>149571</v>
      </c>
      <c r="I1112" t="s">
        <v>10295</v>
      </c>
      <c r="L1112" t="s">
        <v>10334</v>
      </c>
      <c r="M1112" t="s">
        <v>10334</v>
      </c>
      <c r="S1112" t="s">
        <v>3469</v>
      </c>
    </row>
    <row r="1113" spans="1:19" x14ac:dyDescent="0.2">
      <c r="A1113" t="str">
        <f t="shared" si="17"/>
        <v>metab_compid_46620</v>
      </c>
      <c r="B1113">
        <v>999912462</v>
      </c>
      <c r="C1113">
        <v>400</v>
      </c>
      <c r="D1113">
        <v>46620</v>
      </c>
      <c r="E1113">
        <v>157261</v>
      </c>
      <c r="I1113" t="s">
        <v>10295</v>
      </c>
      <c r="L1113" t="s">
        <v>10335</v>
      </c>
      <c r="M1113" t="s">
        <v>10335</v>
      </c>
      <c r="S1113" t="s">
        <v>3458</v>
      </c>
    </row>
    <row r="1114" spans="1:19" x14ac:dyDescent="0.2">
      <c r="A1114" t="str">
        <f t="shared" si="17"/>
        <v>metab_compid_46510</v>
      </c>
      <c r="B1114">
        <v>999912544</v>
      </c>
      <c r="C1114">
        <v>209</v>
      </c>
      <c r="D1114">
        <v>46510</v>
      </c>
      <c r="E1114">
        <v>145597</v>
      </c>
      <c r="I1114" t="s">
        <v>10295</v>
      </c>
      <c r="L1114" t="s">
        <v>10336</v>
      </c>
      <c r="M1114" t="s">
        <v>10336</v>
      </c>
      <c r="S1114" t="s">
        <v>3469</v>
      </c>
    </row>
    <row r="1115" spans="1:19" x14ac:dyDescent="0.2">
      <c r="A1115" t="str">
        <f t="shared" si="17"/>
        <v>metab_compid_47437</v>
      </c>
      <c r="B1115">
        <v>999912680</v>
      </c>
      <c r="C1115">
        <v>400</v>
      </c>
      <c r="D1115">
        <v>47437</v>
      </c>
      <c r="E1115">
        <v>157418</v>
      </c>
      <c r="I1115" t="s">
        <v>10295</v>
      </c>
      <c r="L1115" t="s">
        <v>10337</v>
      </c>
      <c r="M1115" t="s">
        <v>10337</v>
      </c>
      <c r="S1115" t="s">
        <v>3458</v>
      </c>
    </row>
    <row r="1116" spans="1:19" x14ac:dyDescent="0.2">
      <c r="A1116" t="str">
        <f t="shared" si="17"/>
        <v>metab_compid_47719</v>
      </c>
      <c r="B1116">
        <v>999912689</v>
      </c>
      <c r="C1116">
        <v>400</v>
      </c>
      <c r="D1116">
        <v>47719</v>
      </c>
      <c r="E1116">
        <v>157589</v>
      </c>
      <c r="I1116" t="s">
        <v>10295</v>
      </c>
      <c r="L1116" t="s">
        <v>10338</v>
      </c>
      <c r="M1116" t="s">
        <v>10338</v>
      </c>
      <c r="S1116" t="s">
        <v>3458</v>
      </c>
    </row>
    <row r="1117" spans="1:19" x14ac:dyDescent="0.2">
      <c r="A1117" t="str">
        <f t="shared" si="17"/>
        <v>metab_compid_46962</v>
      </c>
      <c r="B1117">
        <v>999912701</v>
      </c>
      <c r="C1117">
        <v>209</v>
      </c>
      <c r="D1117">
        <v>46962</v>
      </c>
      <c r="E1117">
        <v>148215</v>
      </c>
      <c r="I1117" t="s">
        <v>10295</v>
      </c>
      <c r="L1117" t="s">
        <v>10339</v>
      </c>
      <c r="M1117" t="s">
        <v>10339</v>
      </c>
      <c r="S1117" t="s">
        <v>3469</v>
      </c>
    </row>
    <row r="1118" spans="1:19" x14ac:dyDescent="0.2">
      <c r="A1118" t="str">
        <f t="shared" si="17"/>
        <v>metab_compid_47929</v>
      </c>
      <c r="B1118">
        <v>999912707</v>
      </c>
      <c r="C1118">
        <v>209</v>
      </c>
      <c r="D1118">
        <v>47929</v>
      </c>
      <c r="E1118">
        <v>150086</v>
      </c>
      <c r="I1118" t="s">
        <v>10295</v>
      </c>
      <c r="L1118" t="s">
        <v>10340</v>
      </c>
      <c r="M1118" t="s">
        <v>10340</v>
      </c>
      <c r="S1118" t="s">
        <v>3469</v>
      </c>
    </row>
    <row r="1119" spans="1:19" x14ac:dyDescent="0.2">
      <c r="A1119" t="str">
        <f t="shared" si="17"/>
        <v>metab_compid_46623</v>
      </c>
      <c r="B1119">
        <v>999912729</v>
      </c>
      <c r="C1119">
        <v>209</v>
      </c>
      <c r="D1119">
        <v>46623</v>
      </c>
      <c r="E1119">
        <v>146385</v>
      </c>
      <c r="I1119" t="s">
        <v>10295</v>
      </c>
      <c r="L1119" t="s">
        <v>10341</v>
      </c>
      <c r="M1119" t="s">
        <v>10341</v>
      </c>
      <c r="S1119" t="s">
        <v>3469</v>
      </c>
    </row>
    <row r="1120" spans="1:19" x14ac:dyDescent="0.2">
      <c r="A1120" t="str">
        <f t="shared" si="17"/>
        <v>metab_compid_47937</v>
      </c>
      <c r="B1120">
        <v>999912730</v>
      </c>
      <c r="C1120">
        <v>209</v>
      </c>
      <c r="D1120">
        <v>47937</v>
      </c>
      <c r="E1120">
        <v>150100</v>
      </c>
      <c r="I1120" t="s">
        <v>10295</v>
      </c>
      <c r="L1120" t="s">
        <v>10342</v>
      </c>
      <c r="M1120" t="s">
        <v>10342</v>
      </c>
      <c r="S1120" t="s">
        <v>3469</v>
      </c>
    </row>
    <row r="1121" spans="1:19" x14ac:dyDescent="0.2">
      <c r="A1121" t="str">
        <f t="shared" si="17"/>
        <v>metab_compid_46627</v>
      </c>
      <c r="B1121">
        <v>999912740</v>
      </c>
      <c r="C1121">
        <v>209</v>
      </c>
      <c r="D1121">
        <v>46627</v>
      </c>
      <c r="E1121">
        <v>146567</v>
      </c>
      <c r="I1121" t="s">
        <v>10295</v>
      </c>
      <c r="L1121" t="s">
        <v>10343</v>
      </c>
      <c r="M1121" t="s">
        <v>10343</v>
      </c>
      <c r="S1121" t="s">
        <v>3469</v>
      </c>
    </row>
    <row r="1122" spans="1:19" x14ac:dyDescent="0.2">
      <c r="A1122" t="str">
        <f t="shared" si="17"/>
        <v>metab_compid_46624</v>
      </c>
      <c r="B1122">
        <v>999912798</v>
      </c>
      <c r="C1122">
        <v>400</v>
      </c>
      <c r="D1122">
        <v>46624</v>
      </c>
      <c r="E1122">
        <v>157263</v>
      </c>
      <c r="I1122" t="s">
        <v>10295</v>
      </c>
      <c r="L1122" t="s">
        <v>10344</v>
      </c>
      <c r="M1122" t="s">
        <v>10344</v>
      </c>
      <c r="S1122" t="s">
        <v>3458</v>
      </c>
    </row>
    <row r="1123" spans="1:19" x14ac:dyDescent="0.2">
      <c r="A1123" t="str">
        <f t="shared" si="17"/>
        <v>metab_compid_46986</v>
      </c>
      <c r="B1123">
        <v>999912812</v>
      </c>
      <c r="C1123">
        <v>209</v>
      </c>
      <c r="D1123">
        <v>46986</v>
      </c>
      <c r="E1123">
        <v>148239</v>
      </c>
      <c r="I1123" t="s">
        <v>10295</v>
      </c>
      <c r="L1123" t="s">
        <v>10345</v>
      </c>
      <c r="M1123" t="s">
        <v>10345</v>
      </c>
      <c r="S1123" t="s">
        <v>3469</v>
      </c>
    </row>
    <row r="1124" spans="1:19" x14ac:dyDescent="0.2">
      <c r="A1124" t="str">
        <f t="shared" si="17"/>
        <v>metab_compid_46630</v>
      </c>
      <c r="B1124">
        <v>999912816</v>
      </c>
      <c r="C1124">
        <v>209</v>
      </c>
      <c r="D1124">
        <v>46630</v>
      </c>
      <c r="E1124">
        <v>146570</v>
      </c>
      <c r="I1124" t="s">
        <v>10295</v>
      </c>
      <c r="L1124" t="s">
        <v>10346</v>
      </c>
      <c r="M1124" t="s">
        <v>10346</v>
      </c>
      <c r="S1124" t="s">
        <v>3469</v>
      </c>
    </row>
    <row r="1125" spans="1:19" x14ac:dyDescent="0.2">
      <c r="A1125" t="str">
        <f t="shared" si="17"/>
        <v>metab_compid_46997</v>
      </c>
      <c r="B1125">
        <v>999912822</v>
      </c>
      <c r="C1125">
        <v>209</v>
      </c>
      <c r="D1125">
        <v>46997</v>
      </c>
      <c r="E1125">
        <v>148250</v>
      </c>
      <c r="I1125" t="s">
        <v>10295</v>
      </c>
      <c r="L1125" t="s">
        <v>10347</v>
      </c>
      <c r="M1125" t="s">
        <v>10347</v>
      </c>
      <c r="S1125" t="s">
        <v>3469</v>
      </c>
    </row>
    <row r="1126" spans="1:19" x14ac:dyDescent="0.2">
      <c r="A1126" t="str">
        <f t="shared" si="17"/>
        <v>metab_compid_47662</v>
      </c>
      <c r="B1126">
        <v>999912830</v>
      </c>
      <c r="C1126">
        <v>209</v>
      </c>
      <c r="D1126">
        <v>47662</v>
      </c>
      <c r="E1126">
        <v>149595</v>
      </c>
      <c r="I1126" t="s">
        <v>10295</v>
      </c>
      <c r="L1126" t="s">
        <v>10348</v>
      </c>
      <c r="M1126" t="s">
        <v>10348</v>
      </c>
      <c r="S1126" t="s">
        <v>3469</v>
      </c>
    </row>
    <row r="1127" spans="1:19" x14ac:dyDescent="0.2">
      <c r="A1127" t="str">
        <f t="shared" si="17"/>
        <v>metab_compid_47014</v>
      </c>
      <c r="B1127">
        <v>999912839</v>
      </c>
      <c r="C1127">
        <v>209</v>
      </c>
      <c r="D1127">
        <v>47014</v>
      </c>
      <c r="E1127">
        <v>148267</v>
      </c>
      <c r="I1127" t="s">
        <v>10295</v>
      </c>
      <c r="L1127" t="s">
        <v>10349</v>
      </c>
      <c r="M1127" t="s">
        <v>10349</v>
      </c>
      <c r="S1127" t="s">
        <v>3469</v>
      </c>
    </row>
    <row r="1128" spans="1:19" x14ac:dyDescent="0.2">
      <c r="A1128" t="str">
        <f t="shared" si="17"/>
        <v>metab_compid_46633</v>
      </c>
      <c r="B1128">
        <v>999912844</v>
      </c>
      <c r="C1128">
        <v>209</v>
      </c>
      <c r="D1128">
        <v>46633</v>
      </c>
      <c r="E1128">
        <v>146573</v>
      </c>
      <c r="I1128" t="s">
        <v>10295</v>
      </c>
      <c r="L1128" t="s">
        <v>10350</v>
      </c>
      <c r="M1128" t="s">
        <v>10350</v>
      </c>
      <c r="S1128" t="s">
        <v>3469</v>
      </c>
    </row>
    <row r="1129" spans="1:19" x14ac:dyDescent="0.2">
      <c r="A1129" t="str">
        <f t="shared" si="17"/>
        <v>metab_compid_46364</v>
      </c>
      <c r="B1129">
        <v>999912847</v>
      </c>
      <c r="C1129">
        <v>209</v>
      </c>
      <c r="D1129">
        <v>46364</v>
      </c>
      <c r="E1129">
        <v>145065</v>
      </c>
      <c r="I1129" t="s">
        <v>10295</v>
      </c>
      <c r="L1129" t="s">
        <v>10351</v>
      </c>
      <c r="M1129" t="s">
        <v>10351</v>
      </c>
      <c r="S1129" t="s">
        <v>3469</v>
      </c>
    </row>
    <row r="1130" spans="1:19" x14ac:dyDescent="0.2">
      <c r="A1130" t="str">
        <f t="shared" si="17"/>
        <v>metab_compid_46639</v>
      </c>
      <c r="B1130">
        <v>999912851</v>
      </c>
      <c r="C1130">
        <v>209</v>
      </c>
      <c r="D1130">
        <v>46639</v>
      </c>
      <c r="E1130">
        <v>146579</v>
      </c>
      <c r="I1130" t="s">
        <v>10295</v>
      </c>
      <c r="L1130" t="s">
        <v>10352</v>
      </c>
      <c r="M1130" t="s">
        <v>10352</v>
      </c>
      <c r="S1130" t="s">
        <v>3469</v>
      </c>
    </row>
    <row r="1131" spans="1:19" x14ac:dyDescent="0.2">
      <c r="A1131" t="str">
        <f t="shared" si="17"/>
        <v>metab_compid_47955</v>
      </c>
      <c r="B1131">
        <v>999912906</v>
      </c>
      <c r="C1131">
        <v>209</v>
      </c>
      <c r="D1131">
        <v>47955</v>
      </c>
      <c r="E1131">
        <v>150146</v>
      </c>
      <c r="I1131" t="s">
        <v>10295</v>
      </c>
      <c r="L1131" t="s">
        <v>10353</v>
      </c>
      <c r="M1131" t="s">
        <v>10353</v>
      </c>
      <c r="S1131" t="s">
        <v>3469</v>
      </c>
    </row>
    <row r="1132" spans="1:19" x14ac:dyDescent="0.2">
      <c r="A1132" t="str">
        <f t="shared" si="17"/>
        <v>metab_compid_47788</v>
      </c>
      <c r="B1132">
        <v>999913431</v>
      </c>
      <c r="C1132">
        <v>402</v>
      </c>
      <c r="D1132">
        <v>47788</v>
      </c>
      <c r="E1132">
        <v>160155</v>
      </c>
      <c r="I1132" t="s">
        <v>10295</v>
      </c>
      <c r="L1132" t="s">
        <v>10354</v>
      </c>
      <c r="M1132" t="s">
        <v>10354</v>
      </c>
      <c r="S1132" t="s">
        <v>3447</v>
      </c>
    </row>
    <row r="1133" spans="1:19" x14ac:dyDescent="0.2">
      <c r="A1133" t="str">
        <f t="shared" si="17"/>
        <v>metab_compid_47439</v>
      </c>
      <c r="B1133">
        <v>999913507</v>
      </c>
      <c r="C1133">
        <v>400</v>
      </c>
      <c r="D1133">
        <v>47439</v>
      </c>
      <c r="E1133">
        <v>157420</v>
      </c>
      <c r="I1133" t="s">
        <v>10295</v>
      </c>
      <c r="L1133" t="s">
        <v>10355</v>
      </c>
      <c r="M1133" t="s">
        <v>10355</v>
      </c>
      <c r="S1133" t="s">
        <v>3458</v>
      </c>
    </row>
    <row r="1134" spans="1:19" x14ac:dyDescent="0.2">
      <c r="A1134" t="str">
        <f t="shared" si="17"/>
        <v>metab_compid_47959</v>
      </c>
      <c r="B1134">
        <v>999913553</v>
      </c>
      <c r="C1134">
        <v>209</v>
      </c>
      <c r="D1134">
        <v>47959</v>
      </c>
      <c r="E1134">
        <v>150152</v>
      </c>
      <c r="I1134" t="s">
        <v>10295</v>
      </c>
      <c r="L1134" t="s">
        <v>10356</v>
      </c>
      <c r="M1134" t="s">
        <v>10356</v>
      </c>
      <c r="S1134" t="s">
        <v>3469</v>
      </c>
    </row>
    <row r="1135" spans="1:19" x14ac:dyDescent="0.2">
      <c r="A1135" t="str">
        <f t="shared" si="17"/>
        <v>metab_compid_47790</v>
      </c>
      <c r="B1135">
        <v>999913684</v>
      </c>
      <c r="C1135">
        <v>400</v>
      </c>
      <c r="D1135">
        <v>47790</v>
      </c>
      <c r="E1135">
        <v>157611</v>
      </c>
      <c r="I1135" t="s">
        <v>10295</v>
      </c>
      <c r="L1135" t="s">
        <v>10357</v>
      </c>
      <c r="M1135" t="s">
        <v>10357</v>
      </c>
      <c r="S1135" t="s">
        <v>3458</v>
      </c>
    </row>
    <row r="1136" spans="1:19" x14ac:dyDescent="0.2">
      <c r="A1136" t="str">
        <f t="shared" si="17"/>
        <v>metab_compid_47967</v>
      </c>
      <c r="B1136">
        <v>999913726</v>
      </c>
      <c r="C1136">
        <v>209</v>
      </c>
      <c r="D1136">
        <v>47967</v>
      </c>
      <c r="E1136">
        <v>150163</v>
      </c>
      <c r="I1136" t="s">
        <v>10295</v>
      </c>
      <c r="L1136" t="s">
        <v>10358</v>
      </c>
      <c r="M1136" t="s">
        <v>10358</v>
      </c>
      <c r="S1136" t="s">
        <v>3469</v>
      </c>
    </row>
    <row r="1137" spans="1:19" x14ac:dyDescent="0.2">
      <c r="A1137" t="str">
        <f t="shared" si="17"/>
        <v>metab_compid_46645</v>
      </c>
      <c r="B1137">
        <v>999913728</v>
      </c>
      <c r="C1137">
        <v>209</v>
      </c>
      <c r="D1137">
        <v>46645</v>
      </c>
      <c r="E1137">
        <v>146585</v>
      </c>
      <c r="I1137" t="s">
        <v>10295</v>
      </c>
      <c r="L1137" t="s">
        <v>10359</v>
      </c>
      <c r="M1137" t="s">
        <v>10359</v>
      </c>
      <c r="S1137" t="s">
        <v>3469</v>
      </c>
    </row>
    <row r="1138" spans="1:19" x14ac:dyDescent="0.2">
      <c r="A1138" t="str">
        <f t="shared" si="17"/>
        <v>metab_compid_47977</v>
      </c>
      <c r="B1138">
        <v>999913844</v>
      </c>
      <c r="C1138">
        <v>209</v>
      </c>
      <c r="D1138">
        <v>47977</v>
      </c>
      <c r="E1138">
        <v>150176</v>
      </c>
      <c r="I1138" t="s">
        <v>10295</v>
      </c>
      <c r="L1138" t="s">
        <v>10360</v>
      </c>
      <c r="M1138" t="s">
        <v>10360</v>
      </c>
      <c r="S1138" t="s">
        <v>3469</v>
      </c>
    </row>
    <row r="1139" spans="1:19" x14ac:dyDescent="0.2">
      <c r="A1139" t="str">
        <f t="shared" si="17"/>
        <v>metab_compid_46417</v>
      </c>
      <c r="B1139">
        <v>999913866</v>
      </c>
      <c r="C1139">
        <v>209</v>
      </c>
      <c r="D1139">
        <v>46417</v>
      </c>
      <c r="E1139">
        <v>145500</v>
      </c>
      <c r="I1139" t="s">
        <v>10295</v>
      </c>
      <c r="L1139" t="s">
        <v>10361</v>
      </c>
      <c r="M1139" t="s">
        <v>10361</v>
      </c>
      <c r="S1139" t="s">
        <v>3469</v>
      </c>
    </row>
    <row r="1140" spans="1:19" x14ac:dyDescent="0.2">
      <c r="A1140" t="str">
        <f t="shared" si="17"/>
        <v>metab_compid_46632</v>
      </c>
      <c r="B1140">
        <v>999914056</v>
      </c>
      <c r="C1140">
        <v>400</v>
      </c>
      <c r="D1140">
        <v>46632</v>
      </c>
      <c r="E1140">
        <v>157266</v>
      </c>
      <c r="I1140" t="s">
        <v>10295</v>
      </c>
      <c r="L1140" t="s">
        <v>10362</v>
      </c>
      <c r="M1140" t="s">
        <v>10362</v>
      </c>
      <c r="S1140" t="s">
        <v>3458</v>
      </c>
    </row>
    <row r="1141" spans="1:19" x14ac:dyDescent="0.2">
      <c r="A1141" t="str">
        <f t="shared" si="17"/>
        <v>metab_compid_46657</v>
      </c>
      <c r="B1141">
        <v>999914939</v>
      </c>
      <c r="C1141">
        <v>209</v>
      </c>
      <c r="D1141">
        <v>46657</v>
      </c>
      <c r="E1141">
        <v>146598</v>
      </c>
      <c r="I1141" t="s">
        <v>10295</v>
      </c>
      <c r="L1141" t="s">
        <v>10363</v>
      </c>
      <c r="M1141" t="s">
        <v>10363</v>
      </c>
      <c r="S1141" t="s">
        <v>3469</v>
      </c>
    </row>
    <row r="1142" spans="1:19" x14ac:dyDescent="0.2">
      <c r="A1142" t="str">
        <f t="shared" si="17"/>
        <v>metab_compid_46658</v>
      </c>
      <c r="B1142">
        <v>999915220</v>
      </c>
      <c r="C1142">
        <v>209</v>
      </c>
      <c r="D1142">
        <v>46658</v>
      </c>
      <c r="E1142">
        <v>146599</v>
      </c>
      <c r="I1142" t="s">
        <v>10295</v>
      </c>
      <c r="L1142" t="s">
        <v>10364</v>
      </c>
      <c r="M1142" t="s">
        <v>10364</v>
      </c>
      <c r="S1142" t="s">
        <v>3469</v>
      </c>
    </row>
    <row r="1143" spans="1:19" x14ac:dyDescent="0.2">
      <c r="A1143" t="str">
        <f t="shared" si="17"/>
        <v>metab_compid_46661</v>
      </c>
      <c r="B1143">
        <v>999915245</v>
      </c>
      <c r="C1143">
        <v>209</v>
      </c>
      <c r="D1143">
        <v>46661</v>
      </c>
      <c r="E1143">
        <v>146603</v>
      </c>
      <c r="I1143" t="s">
        <v>10295</v>
      </c>
      <c r="L1143" t="s">
        <v>10365</v>
      </c>
      <c r="M1143" t="s">
        <v>10365</v>
      </c>
      <c r="S1143" t="s">
        <v>3469</v>
      </c>
    </row>
    <row r="1144" spans="1:19" x14ac:dyDescent="0.2">
      <c r="A1144" t="str">
        <f t="shared" si="17"/>
        <v>metab_compid_46283</v>
      </c>
      <c r="B1144">
        <v>999915461</v>
      </c>
      <c r="C1144">
        <v>400</v>
      </c>
      <c r="D1144">
        <v>46283</v>
      </c>
      <c r="E1144">
        <v>157144</v>
      </c>
      <c r="I1144" t="s">
        <v>10295</v>
      </c>
      <c r="L1144" t="s">
        <v>10366</v>
      </c>
      <c r="M1144" t="s">
        <v>10366</v>
      </c>
      <c r="S1144" t="s">
        <v>3458</v>
      </c>
    </row>
    <row r="1145" spans="1:19" x14ac:dyDescent="0.2">
      <c r="A1145" t="str">
        <f t="shared" si="17"/>
        <v>metab_compid_46266</v>
      </c>
      <c r="B1145">
        <v>999915486</v>
      </c>
      <c r="C1145">
        <v>209</v>
      </c>
      <c r="D1145">
        <v>46266</v>
      </c>
      <c r="E1145">
        <v>144512</v>
      </c>
      <c r="I1145" t="s">
        <v>10295</v>
      </c>
      <c r="L1145" t="s">
        <v>10367</v>
      </c>
      <c r="M1145" t="s">
        <v>10367</v>
      </c>
      <c r="S1145" t="s">
        <v>3469</v>
      </c>
    </row>
    <row r="1146" spans="1:19" x14ac:dyDescent="0.2">
      <c r="A1146" t="str">
        <f t="shared" si="17"/>
        <v>metab_compid_46977</v>
      </c>
      <c r="B1146">
        <v>999915503</v>
      </c>
      <c r="C1146">
        <v>209</v>
      </c>
      <c r="D1146">
        <v>46977</v>
      </c>
      <c r="E1146">
        <v>148230</v>
      </c>
      <c r="I1146" t="s">
        <v>10295</v>
      </c>
      <c r="L1146" t="s">
        <v>10368</v>
      </c>
      <c r="M1146" t="s">
        <v>10368</v>
      </c>
      <c r="S1146" t="s">
        <v>3469</v>
      </c>
    </row>
    <row r="1147" spans="1:19" x14ac:dyDescent="0.2">
      <c r="A1147" t="str">
        <f t="shared" si="17"/>
        <v>metab_compid_46666</v>
      </c>
      <c r="B1147">
        <v>999915728</v>
      </c>
      <c r="C1147">
        <v>209</v>
      </c>
      <c r="D1147">
        <v>46666</v>
      </c>
      <c r="E1147">
        <v>146611</v>
      </c>
      <c r="I1147" t="s">
        <v>10295</v>
      </c>
      <c r="L1147" t="s">
        <v>10369</v>
      </c>
      <c r="M1147" t="s">
        <v>10369</v>
      </c>
      <c r="S1147" t="s">
        <v>3469</v>
      </c>
    </row>
    <row r="1148" spans="1:19" x14ac:dyDescent="0.2">
      <c r="A1148" t="str">
        <f t="shared" si="17"/>
        <v>metab_compid_47988</v>
      </c>
      <c r="B1148">
        <v>999916087</v>
      </c>
      <c r="C1148">
        <v>209</v>
      </c>
      <c r="D1148">
        <v>47988</v>
      </c>
      <c r="E1148">
        <v>150190</v>
      </c>
      <c r="I1148" t="s">
        <v>10295</v>
      </c>
      <c r="L1148" t="s">
        <v>10370</v>
      </c>
      <c r="M1148" t="s">
        <v>10370</v>
      </c>
      <c r="S1148" t="s">
        <v>3469</v>
      </c>
    </row>
    <row r="1149" spans="1:19" x14ac:dyDescent="0.2">
      <c r="A1149" t="str">
        <f t="shared" si="17"/>
        <v>metab_compid_46461</v>
      </c>
      <c r="B1149">
        <v>999916124</v>
      </c>
      <c r="C1149">
        <v>209</v>
      </c>
      <c r="D1149">
        <v>46461</v>
      </c>
      <c r="E1149">
        <v>145548</v>
      </c>
      <c r="I1149" t="s">
        <v>10295</v>
      </c>
      <c r="L1149" t="s">
        <v>10371</v>
      </c>
      <c r="M1149" t="s">
        <v>10371</v>
      </c>
      <c r="S1149" t="s">
        <v>3469</v>
      </c>
    </row>
    <row r="1150" spans="1:19" x14ac:dyDescent="0.2">
      <c r="A1150" t="str">
        <f t="shared" si="17"/>
        <v>metab_compid_47802</v>
      </c>
      <c r="B1150">
        <v>999916397</v>
      </c>
      <c r="C1150">
        <v>400</v>
      </c>
      <c r="D1150">
        <v>47802</v>
      </c>
      <c r="E1150">
        <v>157623</v>
      </c>
      <c r="I1150" t="s">
        <v>10295</v>
      </c>
      <c r="L1150" t="s">
        <v>10372</v>
      </c>
      <c r="M1150" t="s">
        <v>10372</v>
      </c>
      <c r="S1150" t="s">
        <v>3458</v>
      </c>
    </row>
    <row r="1151" spans="1:19" x14ac:dyDescent="0.2">
      <c r="A1151" t="str">
        <f t="shared" si="17"/>
        <v>metab_compid_46673</v>
      </c>
      <c r="B1151">
        <v>999916576</v>
      </c>
      <c r="C1151">
        <v>209</v>
      </c>
      <c r="D1151">
        <v>46673</v>
      </c>
      <c r="E1151">
        <v>146620</v>
      </c>
      <c r="I1151" t="s">
        <v>10295</v>
      </c>
      <c r="L1151" t="s">
        <v>10373</v>
      </c>
      <c r="M1151" t="s">
        <v>10373</v>
      </c>
      <c r="S1151" t="s">
        <v>3469</v>
      </c>
    </row>
    <row r="1152" spans="1:19" x14ac:dyDescent="0.2">
      <c r="A1152" t="str">
        <f t="shared" si="17"/>
        <v>metab_compid_47804</v>
      </c>
      <c r="B1152">
        <v>999916580</v>
      </c>
      <c r="C1152">
        <v>400</v>
      </c>
      <c r="D1152">
        <v>47804</v>
      </c>
      <c r="E1152">
        <v>157625</v>
      </c>
      <c r="I1152" t="s">
        <v>10295</v>
      </c>
      <c r="L1152" t="s">
        <v>10374</v>
      </c>
      <c r="M1152" t="s">
        <v>10374</v>
      </c>
      <c r="S1152" t="s">
        <v>3458</v>
      </c>
    </row>
    <row r="1153" spans="1:19" x14ac:dyDescent="0.2">
      <c r="A1153" t="str">
        <f t="shared" si="17"/>
        <v>metab_compid_47992</v>
      </c>
      <c r="B1153">
        <v>999916649</v>
      </c>
      <c r="C1153">
        <v>209</v>
      </c>
      <c r="D1153">
        <v>47992</v>
      </c>
      <c r="E1153">
        <v>150196</v>
      </c>
      <c r="I1153" t="s">
        <v>10295</v>
      </c>
      <c r="L1153" t="s">
        <v>10375</v>
      </c>
      <c r="M1153" t="s">
        <v>10375</v>
      </c>
      <c r="S1153" t="s">
        <v>3469</v>
      </c>
    </row>
    <row r="1154" spans="1:19" x14ac:dyDescent="0.2">
      <c r="A1154" t="str">
        <f t="shared" ref="A1154:A1217" si="18">_xlfn.CONCAT("metab_compid_", $D1154)</f>
        <v>metab_compid_46681</v>
      </c>
      <c r="B1154">
        <v>999916935</v>
      </c>
      <c r="C1154">
        <v>209</v>
      </c>
      <c r="D1154">
        <v>46681</v>
      </c>
      <c r="E1154">
        <v>146628</v>
      </c>
      <c r="I1154" t="s">
        <v>10295</v>
      </c>
      <c r="L1154" t="s">
        <v>10376</v>
      </c>
      <c r="M1154" t="s">
        <v>10376</v>
      </c>
      <c r="S1154" t="s">
        <v>3469</v>
      </c>
    </row>
    <row r="1155" spans="1:19" x14ac:dyDescent="0.2">
      <c r="A1155" t="str">
        <f t="shared" si="18"/>
        <v>metab_compid_46685</v>
      </c>
      <c r="B1155">
        <v>999916964</v>
      </c>
      <c r="C1155">
        <v>209</v>
      </c>
      <c r="D1155">
        <v>46685</v>
      </c>
      <c r="E1155">
        <v>146632</v>
      </c>
      <c r="I1155" t="s">
        <v>10295</v>
      </c>
      <c r="L1155" t="s">
        <v>10377</v>
      </c>
      <c r="M1155" t="s">
        <v>10377</v>
      </c>
      <c r="S1155" t="s">
        <v>3469</v>
      </c>
    </row>
    <row r="1156" spans="1:19" x14ac:dyDescent="0.2">
      <c r="A1156" t="str">
        <f t="shared" si="18"/>
        <v>metab_compid_47993</v>
      </c>
      <c r="B1156">
        <v>999917010</v>
      </c>
      <c r="C1156">
        <v>209</v>
      </c>
      <c r="D1156">
        <v>47993</v>
      </c>
      <c r="E1156">
        <v>150197</v>
      </c>
      <c r="I1156" t="s">
        <v>10295</v>
      </c>
      <c r="L1156" t="s">
        <v>10378</v>
      </c>
      <c r="M1156" t="s">
        <v>10378</v>
      </c>
      <c r="S1156" t="s">
        <v>3469</v>
      </c>
    </row>
    <row r="1157" spans="1:19" x14ac:dyDescent="0.2">
      <c r="A1157" t="str">
        <f t="shared" si="18"/>
        <v>metab_compid_46691</v>
      </c>
      <c r="B1157">
        <v>999917146</v>
      </c>
      <c r="C1157">
        <v>209</v>
      </c>
      <c r="D1157">
        <v>46691</v>
      </c>
      <c r="E1157">
        <v>146642</v>
      </c>
      <c r="I1157" t="s">
        <v>10295</v>
      </c>
      <c r="L1157" t="s">
        <v>10379</v>
      </c>
      <c r="M1157" t="s">
        <v>10379</v>
      </c>
      <c r="S1157" t="s">
        <v>3469</v>
      </c>
    </row>
    <row r="1158" spans="1:19" x14ac:dyDescent="0.2">
      <c r="A1158" t="str">
        <f t="shared" si="18"/>
        <v>metab_compid_47813</v>
      </c>
      <c r="B1158">
        <v>999917323</v>
      </c>
      <c r="C1158">
        <v>400</v>
      </c>
      <c r="D1158">
        <v>47813</v>
      </c>
      <c r="E1158">
        <v>157634</v>
      </c>
      <c r="I1158" t="s">
        <v>10295</v>
      </c>
      <c r="L1158" t="s">
        <v>10380</v>
      </c>
      <c r="M1158" t="s">
        <v>10380</v>
      </c>
      <c r="S1158" t="s">
        <v>3458</v>
      </c>
    </row>
    <row r="1159" spans="1:19" x14ac:dyDescent="0.2">
      <c r="A1159" t="str">
        <f t="shared" si="18"/>
        <v>metab_compid_46672</v>
      </c>
      <c r="B1159">
        <v>999917325</v>
      </c>
      <c r="C1159">
        <v>209</v>
      </c>
      <c r="D1159">
        <v>46672</v>
      </c>
      <c r="E1159">
        <v>146618</v>
      </c>
      <c r="I1159" t="s">
        <v>10295</v>
      </c>
      <c r="L1159" t="s">
        <v>10381</v>
      </c>
      <c r="M1159" t="s">
        <v>10381</v>
      </c>
      <c r="S1159" t="s">
        <v>3469</v>
      </c>
    </row>
    <row r="1160" spans="1:19" x14ac:dyDescent="0.2">
      <c r="A1160" t="str">
        <f t="shared" si="18"/>
        <v>metab_compid_47818</v>
      </c>
      <c r="B1160">
        <v>999917328</v>
      </c>
      <c r="C1160">
        <v>402</v>
      </c>
      <c r="D1160">
        <v>47818</v>
      </c>
      <c r="E1160">
        <v>160185</v>
      </c>
      <c r="I1160" t="s">
        <v>10295</v>
      </c>
      <c r="L1160" t="s">
        <v>10382</v>
      </c>
      <c r="M1160" t="s">
        <v>10382</v>
      </c>
      <c r="S1160" t="s">
        <v>3447</v>
      </c>
    </row>
    <row r="1161" spans="1:19" x14ac:dyDescent="0.2">
      <c r="A1161" t="str">
        <f t="shared" si="18"/>
        <v>metab_compid_47820</v>
      </c>
      <c r="B1161">
        <v>999917335</v>
      </c>
      <c r="C1161">
        <v>402</v>
      </c>
      <c r="D1161">
        <v>47820</v>
      </c>
      <c r="E1161">
        <v>160187</v>
      </c>
      <c r="I1161" t="s">
        <v>10295</v>
      </c>
      <c r="L1161" t="s">
        <v>10383</v>
      </c>
      <c r="M1161" t="s">
        <v>10383</v>
      </c>
      <c r="S1161" t="s">
        <v>3447</v>
      </c>
    </row>
    <row r="1162" spans="1:19" x14ac:dyDescent="0.2">
      <c r="A1162" t="str">
        <f t="shared" si="18"/>
        <v>metab_compid_47995</v>
      </c>
      <c r="B1162">
        <v>999917343</v>
      </c>
      <c r="C1162">
        <v>209</v>
      </c>
      <c r="D1162">
        <v>47995</v>
      </c>
      <c r="E1162">
        <v>150199</v>
      </c>
      <c r="I1162" t="s">
        <v>10295</v>
      </c>
      <c r="L1162" t="s">
        <v>10384</v>
      </c>
      <c r="M1162" t="s">
        <v>10384</v>
      </c>
      <c r="S1162" t="s">
        <v>3469</v>
      </c>
    </row>
    <row r="1163" spans="1:19" x14ac:dyDescent="0.2">
      <c r="A1163" t="str">
        <f t="shared" si="18"/>
        <v>metab_compid_46989</v>
      </c>
      <c r="B1163">
        <v>999917348</v>
      </c>
      <c r="C1163">
        <v>209</v>
      </c>
      <c r="D1163">
        <v>46989</v>
      </c>
      <c r="E1163">
        <v>148242</v>
      </c>
      <c r="I1163" t="s">
        <v>10295</v>
      </c>
      <c r="L1163" t="s">
        <v>10385</v>
      </c>
      <c r="M1163" t="s">
        <v>10385</v>
      </c>
      <c r="S1163" t="s">
        <v>3469</v>
      </c>
    </row>
    <row r="1164" spans="1:19" x14ac:dyDescent="0.2">
      <c r="A1164" t="str">
        <f t="shared" si="18"/>
        <v>metab_compid_48001</v>
      </c>
      <c r="B1164">
        <v>999917351</v>
      </c>
      <c r="C1164">
        <v>209</v>
      </c>
      <c r="D1164">
        <v>48001</v>
      </c>
      <c r="E1164">
        <v>150205</v>
      </c>
      <c r="I1164" t="s">
        <v>10295</v>
      </c>
      <c r="L1164" t="s">
        <v>10386</v>
      </c>
      <c r="M1164" t="s">
        <v>10386</v>
      </c>
      <c r="S1164" t="s">
        <v>3469</v>
      </c>
    </row>
    <row r="1165" spans="1:19" x14ac:dyDescent="0.2">
      <c r="A1165" t="str">
        <f t="shared" si="18"/>
        <v>metab_compid_48003</v>
      </c>
      <c r="B1165">
        <v>999917353</v>
      </c>
      <c r="C1165">
        <v>209</v>
      </c>
      <c r="D1165">
        <v>48003</v>
      </c>
      <c r="E1165">
        <v>150207</v>
      </c>
      <c r="I1165" t="s">
        <v>10295</v>
      </c>
      <c r="L1165" t="s">
        <v>10387</v>
      </c>
      <c r="M1165" t="s">
        <v>10387</v>
      </c>
      <c r="S1165" t="s">
        <v>3469</v>
      </c>
    </row>
    <row r="1166" spans="1:19" x14ac:dyDescent="0.2">
      <c r="A1166" t="str">
        <f t="shared" si="18"/>
        <v>metab_compid_48007</v>
      </c>
      <c r="B1166">
        <v>999917355</v>
      </c>
      <c r="C1166">
        <v>209</v>
      </c>
      <c r="D1166">
        <v>48007</v>
      </c>
      <c r="E1166">
        <v>150211</v>
      </c>
      <c r="I1166" t="s">
        <v>10295</v>
      </c>
      <c r="L1166" t="s">
        <v>10388</v>
      </c>
      <c r="M1166" t="s">
        <v>10388</v>
      </c>
      <c r="S1166" t="s">
        <v>3469</v>
      </c>
    </row>
    <row r="1167" spans="1:19" x14ac:dyDescent="0.2">
      <c r="A1167" t="str">
        <f t="shared" si="18"/>
        <v>metab_compid_48009</v>
      </c>
      <c r="B1167">
        <v>999917357</v>
      </c>
      <c r="C1167">
        <v>209</v>
      </c>
      <c r="D1167">
        <v>48009</v>
      </c>
      <c r="E1167">
        <v>150214</v>
      </c>
      <c r="I1167" t="s">
        <v>10295</v>
      </c>
      <c r="L1167" t="s">
        <v>10389</v>
      </c>
      <c r="M1167" t="s">
        <v>10389</v>
      </c>
      <c r="S1167" t="s">
        <v>3469</v>
      </c>
    </row>
    <row r="1168" spans="1:19" x14ac:dyDescent="0.2">
      <c r="A1168" t="str">
        <f t="shared" si="18"/>
        <v>metab_compid_48013</v>
      </c>
      <c r="B1168">
        <v>999917361</v>
      </c>
      <c r="C1168">
        <v>209</v>
      </c>
      <c r="D1168">
        <v>48013</v>
      </c>
      <c r="E1168">
        <v>150218</v>
      </c>
      <c r="I1168" t="s">
        <v>10295</v>
      </c>
      <c r="L1168" t="s">
        <v>10390</v>
      </c>
      <c r="M1168" t="s">
        <v>10390</v>
      </c>
      <c r="S1168" t="s">
        <v>3469</v>
      </c>
    </row>
    <row r="1169" spans="1:19" x14ac:dyDescent="0.2">
      <c r="A1169" t="str">
        <f t="shared" si="18"/>
        <v>metab_compid_46994</v>
      </c>
      <c r="B1169">
        <v>999917367</v>
      </c>
      <c r="C1169">
        <v>209</v>
      </c>
      <c r="D1169">
        <v>46994</v>
      </c>
      <c r="E1169">
        <v>148247</v>
      </c>
      <c r="I1169" t="s">
        <v>10295</v>
      </c>
      <c r="L1169" t="s">
        <v>10391</v>
      </c>
      <c r="M1169" t="s">
        <v>10391</v>
      </c>
      <c r="S1169" t="s">
        <v>3469</v>
      </c>
    </row>
    <row r="1170" spans="1:19" x14ac:dyDescent="0.2">
      <c r="A1170" t="str">
        <f t="shared" si="18"/>
        <v>metab_compid_48051</v>
      </c>
      <c r="B1170">
        <v>999917398</v>
      </c>
      <c r="C1170">
        <v>209</v>
      </c>
      <c r="D1170">
        <v>48051</v>
      </c>
      <c r="E1170">
        <v>150257</v>
      </c>
      <c r="I1170" t="s">
        <v>10295</v>
      </c>
      <c r="L1170" t="s">
        <v>10392</v>
      </c>
      <c r="M1170" t="s">
        <v>10392</v>
      </c>
      <c r="S1170" t="s">
        <v>3469</v>
      </c>
    </row>
    <row r="1171" spans="1:19" x14ac:dyDescent="0.2">
      <c r="A1171" t="str">
        <f t="shared" si="18"/>
        <v>metab_compid_46705</v>
      </c>
      <c r="B1171">
        <v>999917438</v>
      </c>
      <c r="C1171">
        <v>209</v>
      </c>
      <c r="D1171">
        <v>46705</v>
      </c>
      <c r="E1171">
        <v>146667</v>
      </c>
      <c r="I1171" t="s">
        <v>10295</v>
      </c>
      <c r="L1171" t="s">
        <v>10393</v>
      </c>
      <c r="M1171" t="s">
        <v>10393</v>
      </c>
      <c r="S1171" t="s">
        <v>3469</v>
      </c>
    </row>
    <row r="1172" spans="1:19" x14ac:dyDescent="0.2">
      <c r="A1172" t="str">
        <f t="shared" si="18"/>
        <v>metab_compid_48052</v>
      </c>
      <c r="B1172">
        <v>999917612</v>
      </c>
      <c r="C1172">
        <v>209</v>
      </c>
      <c r="D1172">
        <v>48052</v>
      </c>
      <c r="E1172">
        <v>150258</v>
      </c>
      <c r="I1172" t="s">
        <v>10295</v>
      </c>
      <c r="L1172" t="s">
        <v>10394</v>
      </c>
      <c r="M1172" t="s">
        <v>10394</v>
      </c>
      <c r="S1172" t="s">
        <v>3469</v>
      </c>
    </row>
    <row r="1173" spans="1:19" x14ac:dyDescent="0.2">
      <c r="A1173" t="str">
        <f t="shared" si="18"/>
        <v>metab_compid_46707</v>
      </c>
      <c r="B1173">
        <v>999917653</v>
      </c>
      <c r="C1173">
        <v>209</v>
      </c>
      <c r="D1173">
        <v>46707</v>
      </c>
      <c r="E1173">
        <v>146670</v>
      </c>
      <c r="I1173" t="s">
        <v>10295</v>
      </c>
      <c r="L1173" t="s">
        <v>10395</v>
      </c>
      <c r="M1173" t="s">
        <v>10395</v>
      </c>
      <c r="S1173" t="s">
        <v>3469</v>
      </c>
    </row>
    <row r="1174" spans="1:19" x14ac:dyDescent="0.2">
      <c r="A1174" t="str">
        <f t="shared" si="18"/>
        <v>metab_compid_46709</v>
      </c>
      <c r="B1174">
        <v>999917654</v>
      </c>
      <c r="C1174">
        <v>209</v>
      </c>
      <c r="D1174">
        <v>46709</v>
      </c>
      <c r="E1174">
        <v>146673</v>
      </c>
      <c r="I1174" t="s">
        <v>10295</v>
      </c>
      <c r="L1174" t="s">
        <v>10396</v>
      </c>
      <c r="M1174" t="s">
        <v>10396</v>
      </c>
      <c r="S1174" t="s">
        <v>3469</v>
      </c>
    </row>
    <row r="1175" spans="1:19" x14ac:dyDescent="0.2">
      <c r="A1175" t="str">
        <f t="shared" si="18"/>
        <v>metab_compid_46970</v>
      </c>
      <c r="B1175">
        <v>999917676</v>
      </c>
      <c r="C1175">
        <v>209</v>
      </c>
      <c r="D1175">
        <v>46970</v>
      </c>
      <c r="E1175">
        <v>148223</v>
      </c>
      <c r="I1175" t="s">
        <v>10295</v>
      </c>
      <c r="L1175" t="s">
        <v>10397</v>
      </c>
      <c r="M1175" t="s">
        <v>10397</v>
      </c>
      <c r="S1175" t="s">
        <v>3469</v>
      </c>
    </row>
    <row r="1176" spans="1:19" x14ac:dyDescent="0.2">
      <c r="A1176" t="str">
        <f t="shared" si="18"/>
        <v>metab_compid_48025</v>
      </c>
      <c r="B1176">
        <v>999917685</v>
      </c>
      <c r="C1176">
        <v>209</v>
      </c>
      <c r="D1176">
        <v>48025</v>
      </c>
      <c r="E1176">
        <v>150231</v>
      </c>
      <c r="I1176" t="s">
        <v>10295</v>
      </c>
      <c r="L1176" t="s">
        <v>10398</v>
      </c>
      <c r="M1176" t="s">
        <v>10398</v>
      </c>
      <c r="S1176" t="s">
        <v>3469</v>
      </c>
    </row>
    <row r="1177" spans="1:19" x14ac:dyDescent="0.2">
      <c r="A1177" t="str">
        <f t="shared" si="18"/>
        <v>metab_compid_46710</v>
      </c>
      <c r="B1177">
        <v>999917690</v>
      </c>
      <c r="C1177">
        <v>209</v>
      </c>
      <c r="D1177">
        <v>46710</v>
      </c>
      <c r="E1177">
        <v>146674</v>
      </c>
      <c r="I1177" t="s">
        <v>10295</v>
      </c>
      <c r="L1177" t="s">
        <v>10399</v>
      </c>
      <c r="M1177" t="s">
        <v>10399</v>
      </c>
      <c r="S1177" t="s">
        <v>3469</v>
      </c>
    </row>
    <row r="1178" spans="1:19" x14ac:dyDescent="0.2">
      <c r="A1178" t="str">
        <f t="shared" si="18"/>
        <v>metab_compid_47323</v>
      </c>
      <c r="B1178">
        <v>999917969</v>
      </c>
      <c r="C1178">
        <v>209</v>
      </c>
      <c r="D1178">
        <v>47323</v>
      </c>
      <c r="E1178">
        <v>148800</v>
      </c>
      <c r="I1178" t="s">
        <v>10295</v>
      </c>
      <c r="L1178" t="s">
        <v>10400</v>
      </c>
      <c r="M1178" t="s">
        <v>10400</v>
      </c>
      <c r="S1178" t="s">
        <v>3469</v>
      </c>
    </row>
    <row r="1179" spans="1:19" x14ac:dyDescent="0.2">
      <c r="A1179" t="str">
        <f t="shared" si="18"/>
        <v>metab_compid_47342</v>
      </c>
      <c r="B1179">
        <v>999918345</v>
      </c>
      <c r="C1179">
        <v>209</v>
      </c>
      <c r="D1179">
        <v>47342</v>
      </c>
      <c r="E1179">
        <v>148819</v>
      </c>
      <c r="I1179" t="s">
        <v>10295</v>
      </c>
      <c r="L1179" t="s">
        <v>10401</v>
      </c>
      <c r="M1179" t="s">
        <v>10401</v>
      </c>
      <c r="S1179" t="s">
        <v>3469</v>
      </c>
    </row>
    <row r="1180" spans="1:19" x14ac:dyDescent="0.2">
      <c r="A1180" t="str">
        <f t="shared" si="18"/>
        <v>metab_compid_46687</v>
      </c>
      <c r="B1180">
        <v>999918779</v>
      </c>
      <c r="C1180">
        <v>209</v>
      </c>
      <c r="D1180">
        <v>46687</v>
      </c>
      <c r="E1180">
        <v>146634</v>
      </c>
      <c r="I1180" t="s">
        <v>10295</v>
      </c>
      <c r="L1180" t="s">
        <v>10402</v>
      </c>
      <c r="M1180" t="s">
        <v>10402</v>
      </c>
      <c r="S1180" t="s">
        <v>3469</v>
      </c>
    </row>
    <row r="1181" spans="1:19" x14ac:dyDescent="0.2">
      <c r="A1181" t="str">
        <f t="shared" si="18"/>
        <v>metab_compid_48047</v>
      </c>
      <c r="B1181">
        <v>999918886</v>
      </c>
      <c r="C1181">
        <v>209</v>
      </c>
      <c r="D1181">
        <v>48047</v>
      </c>
      <c r="E1181">
        <v>150253</v>
      </c>
      <c r="I1181" t="s">
        <v>10295</v>
      </c>
      <c r="L1181" t="s">
        <v>10403</v>
      </c>
      <c r="M1181" t="s">
        <v>10403</v>
      </c>
      <c r="S1181" t="s">
        <v>3469</v>
      </c>
    </row>
    <row r="1182" spans="1:19" x14ac:dyDescent="0.2">
      <c r="A1182" t="str">
        <f t="shared" si="18"/>
        <v>metab_compid_47301</v>
      </c>
      <c r="B1182">
        <v>999918887</v>
      </c>
      <c r="C1182">
        <v>209</v>
      </c>
      <c r="D1182">
        <v>47301</v>
      </c>
      <c r="E1182">
        <v>148778</v>
      </c>
      <c r="I1182" t="s">
        <v>10295</v>
      </c>
      <c r="L1182" t="s">
        <v>10404</v>
      </c>
      <c r="M1182" t="s">
        <v>10404</v>
      </c>
      <c r="S1182" t="s">
        <v>3469</v>
      </c>
    </row>
    <row r="1183" spans="1:19" x14ac:dyDescent="0.2">
      <c r="A1183" t="str">
        <f t="shared" si="18"/>
        <v>metab_compid_48048</v>
      </c>
      <c r="B1183">
        <v>999918888</v>
      </c>
      <c r="C1183">
        <v>209</v>
      </c>
      <c r="D1183">
        <v>48048</v>
      </c>
      <c r="E1183">
        <v>150254</v>
      </c>
      <c r="I1183" t="s">
        <v>10295</v>
      </c>
      <c r="L1183" t="s">
        <v>10405</v>
      </c>
      <c r="M1183" t="s">
        <v>10405</v>
      </c>
      <c r="S1183" t="s">
        <v>3469</v>
      </c>
    </row>
    <row r="1184" spans="1:19" x14ac:dyDescent="0.2">
      <c r="A1184" t="str">
        <f t="shared" si="18"/>
        <v>metab_compid_46690</v>
      </c>
      <c r="B1184">
        <v>999918901</v>
      </c>
      <c r="C1184">
        <v>209</v>
      </c>
      <c r="D1184">
        <v>46690</v>
      </c>
      <c r="E1184">
        <v>146640</v>
      </c>
      <c r="I1184" t="s">
        <v>10295</v>
      </c>
      <c r="L1184" t="s">
        <v>10406</v>
      </c>
      <c r="M1184" t="s">
        <v>10406</v>
      </c>
      <c r="S1184" t="s">
        <v>3469</v>
      </c>
    </row>
    <row r="1185" spans="1:19" x14ac:dyDescent="0.2">
      <c r="A1185" t="str">
        <f t="shared" si="18"/>
        <v>metab_compid_46695</v>
      </c>
      <c r="B1185">
        <v>999918913</v>
      </c>
      <c r="C1185">
        <v>209</v>
      </c>
      <c r="D1185">
        <v>46695</v>
      </c>
      <c r="E1185">
        <v>146647</v>
      </c>
      <c r="I1185" t="s">
        <v>10295</v>
      </c>
      <c r="L1185" t="s">
        <v>10407</v>
      </c>
      <c r="M1185" t="s">
        <v>10407</v>
      </c>
      <c r="S1185" t="s">
        <v>3469</v>
      </c>
    </row>
    <row r="1186" spans="1:19" x14ac:dyDescent="0.2">
      <c r="A1186" t="str">
        <f t="shared" si="18"/>
        <v>metab_compid_47671</v>
      </c>
      <c r="B1186">
        <v>999918921</v>
      </c>
      <c r="C1186">
        <v>209</v>
      </c>
      <c r="D1186">
        <v>47671</v>
      </c>
      <c r="E1186">
        <v>149605</v>
      </c>
      <c r="I1186" t="s">
        <v>10295</v>
      </c>
      <c r="L1186" t="s">
        <v>10408</v>
      </c>
      <c r="M1186" t="s">
        <v>10408</v>
      </c>
      <c r="S1186" t="s">
        <v>3469</v>
      </c>
    </row>
    <row r="1187" spans="1:19" x14ac:dyDescent="0.2">
      <c r="A1187" t="str">
        <f t="shared" si="18"/>
        <v>metab_compid_46700</v>
      </c>
      <c r="B1187">
        <v>999918922</v>
      </c>
      <c r="C1187">
        <v>209</v>
      </c>
      <c r="D1187">
        <v>46700</v>
      </c>
      <c r="E1187">
        <v>146656</v>
      </c>
      <c r="I1187" t="s">
        <v>10295</v>
      </c>
      <c r="L1187" t="s">
        <v>10409</v>
      </c>
      <c r="M1187" t="s">
        <v>10409</v>
      </c>
      <c r="S1187" t="s">
        <v>3469</v>
      </c>
    </row>
    <row r="1188" spans="1:19" x14ac:dyDescent="0.2">
      <c r="A1188" t="str">
        <f t="shared" si="18"/>
        <v>metab_compid_46701</v>
      </c>
      <c r="B1188">
        <v>999919141</v>
      </c>
      <c r="C1188">
        <v>209</v>
      </c>
      <c r="D1188">
        <v>46701</v>
      </c>
      <c r="E1188">
        <v>146658</v>
      </c>
      <c r="I1188" t="s">
        <v>10295</v>
      </c>
      <c r="L1188" t="s">
        <v>10410</v>
      </c>
      <c r="M1188" t="s">
        <v>10410</v>
      </c>
      <c r="S1188" t="s">
        <v>3469</v>
      </c>
    </row>
    <row r="1189" spans="1:19" x14ac:dyDescent="0.2">
      <c r="A1189" t="str">
        <f t="shared" si="18"/>
        <v>metab_compid_47672</v>
      </c>
      <c r="B1189">
        <v>999919183</v>
      </c>
      <c r="C1189">
        <v>209</v>
      </c>
      <c r="D1189">
        <v>47672</v>
      </c>
      <c r="E1189">
        <v>149606</v>
      </c>
      <c r="I1189" t="s">
        <v>10295</v>
      </c>
      <c r="L1189" t="s">
        <v>10411</v>
      </c>
      <c r="M1189" t="s">
        <v>10411</v>
      </c>
      <c r="S1189" t="s">
        <v>3469</v>
      </c>
    </row>
    <row r="1190" spans="1:19" x14ac:dyDescent="0.2">
      <c r="A1190" t="str">
        <f t="shared" si="18"/>
        <v>metab_compid_47673</v>
      </c>
      <c r="B1190">
        <v>999919299</v>
      </c>
      <c r="C1190">
        <v>209</v>
      </c>
      <c r="D1190">
        <v>47673</v>
      </c>
      <c r="E1190">
        <v>149607</v>
      </c>
      <c r="I1190" t="s">
        <v>10295</v>
      </c>
      <c r="L1190" t="s">
        <v>10412</v>
      </c>
      <c r="M1190" t="s">
        <v>10412</v>
      </c>
      <c r="S1190" t="s">
        <v>3469</v>
      </c>
    </row>
    <row r="1191" spans="1:19" x14ac:dyDescent="0.2">
      <c r="A1191" t="str">
        <f t="shared" si="18"/>
        <v>metab_compid_46261</v>
      </c>
      <c r="B1191">
        <v>999919438</v>
      </c>
      <c r="C1191">
        <v>209</v>
      </c>
      <c r="D1191">
        <v>46261</v>
      </c>
      <c r="E1191">
        <v>144424</v>
      </c>
      <c r="I1191" t="s">
        <v>10295</v>
      </c>
      <c r="L1191" t="s">
        <v>10413</v>
      </c>
      <c r="M1191" t="s">
        <v>10413</v>
      </c>
      <c r="S1191" t="s">
        <v>3469</v>
      </c>
    </row>
    <row r="1192" spans="1:19" x14ac:dyDescent="0.2">
      <c r="A1192" t="str">
        <f t="shared" si="18"/>
        <v>metab_compid_46259</v>
      </c>
      <c r="B1192">
        <v>999921258</v>
      </c>
      <c r="C1192">
        <v>209</v>
      </c>
      <c r="D1192">
        <v>46259</v>
      </c>
      <c r="E1192">
        <v>144401</v>
      </c>
      <c r="I1192" t="s">
        <v>10295</v>
      </c>
      <c r="L1192" t="s">
        <v>10414</v>
      </c>
      <c r="M1192" t="s">
        <v>10414</v>
      </c>
      <c r="S1192" t="s">
        <v>3469</v>
      </c>
    </row>
    <row r="1193" spans="1:19" x14ac:dyDescent="0.2">
      <c r="A1193" t="str">
        <f t="shared" si="18"/>
        <v>metab_compid_46285</v>
      </c>
      <c r="B1193">
        <v>999921283</v>
      </c>
      <c r="C1193">
        <v>400</v>
      </c>
      <c r="D1193">
        <v>46285</v>
      </c>
      <c r="E1193">
        <v>157146</v>
      </c>
      <c r="I1193" t="s">
        <v>10295</v>
      </c>
      <c r="L1193" t="s">
        <v>10415</v>
      </c>
      <c r="M1193" t="s">
        <v>10415</v>
      </c>
      <c r="S1193" t="s">
        <v>3458</v>
      </c>
    </row>
    <row r="1194" spans="1:19" x14ac:dyDescent="0.2">
      <c r="A1194" t="str">
        <f t="shared" si="18"/>
        <v>metab_compid_46294</v>
      </c>
      <c r="B1194">
        <v>999921285</v>
      </c>
      <c r="C1194">
        <v>209</v>
      </c>
      <c r="D1194">
        <v>46294</v>
      </c>
      <c r="E1194">
        <v>144527</v>
      </c>
      <c r="I1194" t="s">
        <v>10295</v>
      </c>
      <c r="L1194" t="s">
        <v>10416</v>
      </c>
      <c r="M1194" t="s">
        <v>10416</v>
      </c>
      <c r="S1194" t="s">
        <v>3469</v>
      </c>
    </row>
    <row r="1195" spans="1:19" x14ac:dyDescent="0.2">
      <c r="A1195" t="str">
        <f t="shared" si="18"/>
        <v>metab_compid_46295</v>
      </c>
      <c r="B1195">
        <v>999921286</v>
      </c>
      <c r="C1195">
        <v>209</v>
      </c>
      <c r="D1195">
        <v>46295</v>
      </c>
      <c r="E1195">
        <v>144528</v>
      </c>
      <c r="I1195" t="s">
        <v>10295</v>
      </c>
      <c r="L1195" t="s">
        <v>10417</v>
      </c>
      <c r="M1195" t="s">
        <v>10417</v>
      </c>
      <c r="S1195" t="s">
        <v>3469</v>
      </c>
    </row>
    <row r="1196" spans="1:19" x14ac:dyDescent="0.2">
      <c r="A1196" t="str">
        <f t="shared" si="18"/>
        <v>metab_compid_46354</v>
      </c>
      <c r="B1196">
        <v>999921310</v>
      </c>
      <c r="C1196">
        <v>209</v>
      </c>
      <c r="D1196">
        <v>46354</v>
      </c>
      <c r="E1196">
        <v>145053</v>
      </c>
      <c r="I1196" t="s">
        <v>10295</v>
      </c>
      <c r="L1196" t="s">
        <v>10418</v>
      </c>
      <c r="M1196" t="s">
        <v>10418</v>
      </c>
      <c r="S1196" t="s">
        <v>3469</v>
      </c>
    </row>
    <row r="1197" spans="1:19" x14ac:dyDescent="0.2">
      <c r="A1197" t="str">
        <f t="shared" si="18"/>
        <v>metab_compid_46356</v>
      </c>
      <c r="B1197">
        <v>999921312</v>
      </c>
      <c r="C1197">
        <v>209</v>
      </c>
      <c r="D1197">
        <v>46356</v>
      </c>
      <c r="E1197">
        <v>145055</v>
      </c>
      <c r="I1197" t="s">
        <v>10295</v>
      </c>
      <c r="L1197" t="s">
        <v>10419</v>
      </c>
      <c r="M1197" t="s">
        <v>10419</v>
      </c>
      <c r="S1197" t="s">
        <v>3469</v>
      </c>
    </row>
    <row r="1198" spans="1:19" x14ac:dyDescent="0.2">
      <c r="A1198" t="str">
        <f t="shared" si="18"/>
        <v>metab_compid_46363</v>
      </c>
      <c r="B1198">
        <v>999921319</v>
      </c>
      <c r="C1198">
        <v>209</v>
      </c>
      <c r="D1198">
        <v>46363</v>
      </c>
      <c r="E1198">
        <v>145064</v>
      </c>
      <c r="I1198" t="s">
        <v>10295</v>
      </c>
      <c r="L1198" t="s">
        <v>10420</v>
      </c>
      <c r="M1198" t="s">
        <v>10420</v>
      </c>
      <c r="S1198" t="s">
        <v>3469</v>
      </c>
    </row>
    <row r="1199" spans="1:19" x14ac:dyDescent="0.2">
      <c r="A1199" t="str">
        <f t="shared" si="18"/>
        <v>metab_compid_46384</v>
      </c>
      <c r="B1199">
        <v>999921339</v>
      </c>
      <c r="C1199">
        <v>209</v>
      </c>
      <c r="D1199">
        <v>46384</v>
      </c>
      <c r="E1199">
        <v>145467</v>
      </c>
      <c r="I1199" t="s">
        <v>10295</v>
      </c>
      <c r="L1199" t="s">
        <v>10421</v>
      </c>
      <c r="M1199" t="s">
        <v>10421</v>
      </c>
      <c r="S1199" t="s">
        <v>3469</v>
      </c>
    </row>
    <row r="1200" spans="1:19" x14ac:dyDescent="0.2">
      <c r="A1200" t="str">
        <f t="shared" si="18"/>
        <v>metab_compid_46396</v>
      </c>
      <c r="B1200">
        <v>999921351</v>
      </c>
      <c r="C1200">
        <v>209</v>
      </c>
      <c r="D1200">
        <v>46396</v>
      </c>
      <c r="E1200">
        <v>145479</v>
      </c>
      <c r="I1200" t="s">
        <v>10295</v>
      </c>
      <c r="L1200" t="s">
        <v>10422</v>
      </c>
      <c r="M1200" t="s">
        <v>10422</v>
      </c>
      <c r="S1200" t="s">
        <v>3469</v>
      </c>
    </row>
    <row r="1201" spans="1:19" x14ac:dyDescent="0.2">
      <c r="A1201" t="str">
        <f t="shared" si="18"/>
        <v>metab_compid_46398</v>
      </c>
      <c r="B1201">
        <v>999921353</v>
      </c>
      <c r="C1201">
        <v>209</v>
      </c>
      <c r="D1201">
        <v>46398</v>
      </c>
      <c r="E1201">
        <v>145481</v>
      </c>
      <c r="I1201" t="s">
        <v>10295</v>
      </c>
      <c r="L1201" t="s">
        <v>10423</v>
      </c>
      <c r="M1201" t="s">
        <v>10423</v>
      </c>
      <c r="S1201" t="s">
        <v>3469</v>
      </c>
    </row>
    <row r="1202" spans="1:19" x14ac:dyDescent="0.2">
      <c r="A1202" t="str">
        <f t="shared" si="18"/>
        <v>metab_compid_46409</v>
      </c>
      <c r="B1202">
        <v>999921364</v>
      </c>
      <c r="C1202">
        <v>209</v>
      </c>
      <c r="D1202">
        <v>46409</v>
      </c>
      <c r="E1202">
        <v>145492</v>
      </c>
      <c r="I1202" t="s">
        <v>10295</v>
      </c>
      <c r="L1202" t="s">
        <v>10424</v>
      </c>
      <c r="M1202" t="s">
        <v>10424</v>
      </c>
      <c r="S1202" t="s">
        <v>3469</v>
      </c>
    </row>
    <row r="1203" spans="1:19" x14ac:dyDescent="0.2">
      <c r="A1203" t="str">
        <f t="shared" si="18"/>
        <v>metab_compid_46428</v>
      </c>
      <c r="B1203">
        <v>999921383</v>
      </c>
      <c r="C1203">
        <v>209</v>
      </c>
      <c r="D1203">
        <v>46428</v>
      </c>
      <c r="E1203">
        <v>145511</v>
      </c>
      <c r="I1203" t="s">
        <v>10295</v>
      </c>
      <c r="L1203" t="s">
        <v>10425</v>
      </c>
      <c r="M1203" t="s">
        <v>10425</v>
      </c>
      <c r="S1203" t="s">
        <v>3469</v>
      </c>
    </row>
    <row r="1204" spans="1:19" x14ac:dyDescent="0.2">
      <c r="A1204" t="str">
        <f t="shared" si="18"/>
        <v>metab_compid_46455</v>
      </c>
      <c r="B1204">
        <v>999921410</v>
      </c>
      <c r="C1204">
        <v>209</v>
      </c>
      <c r="D1204">
        <v>46455</v>
      </c>
      <c r="E1204">
        <v>145542</v>
      </c>
      <c r="I1204" t="s">
        <v>10295</v>
      </c>
      <c r="L1204" t="s">
        <v>10426</v>
      </c>
      <c r="M1204" t="s">
        <v>10426</v>
      </c>
      <c r="S1204" t="s">
        <v>3469</v>
      </c>
    </row>
    <row r="1205" spans="1:19" x14ac:dyDescent="0.2">
      <c r="A1205" t="str">
        <f t="shared" si="18"/>
        <v>metab_compid_46486</v>
      </c>
      <c r="B1205">
        <v>999921441</v>
      </c>
      <c r="C1205">
        <v>209</v>
      </c>
      <c r="D1205">
        <v>46486</v>
      </c>
      <c r="E1205">
        <v>145573</v>
      </c>
      <c r="I1205" t="s">
        <v>10295</v>
      </c>
      <c r="L1205" t="s">
        <v>10427</v>
      </c>
      <c r="M1205" t="s">
        <v>10427</v>
      </c>
      <c r="S1205" t="s">
        <v>3469</v>
      </c>
    </row>
    <row r="1206" spans="1:19" x14ac:dyDescent="0.2">
      <c r="A1206" t="str">
        <f t="shared" si="18"/>
        <v>metab_compid_46487</v>
      </c>
      <c r="B1206">
        <v>999921442</v>
      </c>
      <c r="C1206">
        <v>209</v>
      </c>
      <c r="D1206">
        <v>46487</v>
      </c>
      <c r="E1206">
        <v>145574</v>
      </c>
      <c r="I1206" t="s">
        <v>10295</v>
      </c>
      <c r="L1206" t="s">
        <v>10428</v>
      </c>
      <c r="M1206" t="s">
        <v>10428</v>
      </c>
      <c r="S1206" t="s">
        <v>3469</v>
      </c>
    </row>
    <row r="1207" spans="1:19" x14ac:dyDescent="0.2">
      <c r="A1207" t="str">
        <f t="shared" si="18"/>
        <v>metab_compid_46512</v>
      </c>
      <c r="B1207">
        <v>999921467</v>
      </c>
      <c r="C1207">
        <v>209</v>
      </c>
      <c r="D1207">
        <v>46512</v>
      </c>
      <c r="E1207">
        <v>145599</v>
      </c>
      <c r="I1207" t="s">
        <v>10295</v>
      </c>
      <c r="L1207" t="s">
        <v>10429</v>
      </c>
      <c r="M1207" t="s">
        <v>10429</v>
      </c>
      <c r="S1207" t="s">
        <v>3469</v>
      </c>
    </row>
    <row r="1208" spans="1:19" x14ac:dyDescent="0.2">
      <c r="A1208" t="str">
        <f t="shared" si="18"/>
        <v>metab_compid_46515</v>
      </c>
      <c r="B1208">
        <v>999921470</v>
      </c>
      <c r="C1208">
        <v>209</v>
      </c>
      <c r="D1208">
        <v>46515</v>
      </c>
      <c r="E1208">
        <v>145602</v>
      </c>
      <c r="I1208" t="s">
        <v>10295</v>
      </c>
      <c r="L1208" t="s">
        <v>10430</v>
      </c>
      <c r="M1208" t="s">
        <v>10430</v>
      </c>
      <c r="S1208" t="s">
        <v>3469</v>
      </c>
    </row>
    <row r="1209" spans="1:19" x14ac:dyDescent="0.2">
      <c r="A1209" t="str">
        <f t="shared" si="18"/>
        <v>metab_compid_46516</v>
      </c>
      <c r="B1209">
        <v>999921471</v>
      </c>
      <c r="C1209">
        <v>209</v>
      </c>
      <c r="D1209">
        <v>46516</v>
      </c>
      <c r="E1209">
        <v>145603</v>
      </c>
      <c r="I1209" t="s">
        <v>10295</v>
      </c>
      <c r="L1209" t="s">
        <v>10431</v>
      </c>
      <c r="M1209" t="s">
        <v>10431</v>
      </c>
      <c r="S1209" t="s">
        <v>3469</v>
      </c>
    </row>
    <row r="1210" spans="1:19" x14ac:dyDescent="0.2">
      <c r="A1210" t="str">
        <f t="shared" si="18"/>
        <v>metab_compid_46674</v>
      </c>
      <c r="B1210">
        <v>999921607</v>
      </c>
      <c r="C1210">
        <v>209</v>
      </c>
      <c r="D1210">
        <v>46674</v>
      </c>
      <c r="E1210">
        <v>146621</v>
      </c>
      <c r="I1210" t="s">
        <v>10295</v>
      </c>
      <c r="L1210" t="s">
        <v>10432</v>
      </c>
      <c r="M1210" t="s">
        <v>10432</v>
      </c>
      <c r="S1210" t="s">
        <v>3469</v>
      </c>
    </row>
    <row r="1211" spans="1:19" x14ac:dyDescent="0.2">
      <c r="A1211" t="str">
        <f t="shared" si="18"/>
        <v>metab_compid_46696</v>
      </c>
      <c r="B1211">
        <v>999921628</v>
      </c>
      <c r="C1211">
        <v>209</v>
      </c>
      <c r="D1211">
        <v>46696</v>
      </c>
      <c r="E1211">
        <v>146648</v>
      </c>
      <c r="I1211" t="s">
        <v>10295</v>
      </c>
      <c r="L1211" t="s">
        <v>10433</v>
      </c>
      <c r="M1211" t="s">
        <v>10433</v>
      </c>
      <c r="S1211" t="s">
        <v>3469</v>
      </c>
    </row>
    <row r="1212" spans="1:19" x14ac:dyDescent="0.2">
      <c r="A1212" t="str">
        <f t="shared" si="18"/>
        <v>metab_compid_46902</v>
      </c>
      <c r="B1212">
        <v>999921733</v>
      </c>
      <c r="C1212">
        <v>209</v>
      </c>
      <c r="D1212">
        <v>46902</v>
      </c>
      <c r="E1212">
        <v>148140</v>
      </c>
      <c r="I1212" t="s">
        <v>10295</v>
      </c>
      <c r="L1212" t="s">
        <v>10434</v>
      </c>
      <c r="M1212" t="s">
        <v>10434</v>
      </c>
      <c r="S1212" t="s">
        <v>3469</v>
      </c>
    </row>
    <row r="1213" spans="1:19" x14ac:dyDescent="0.2">
      <c r="A1213" t="str">
        <f t="shared" si="18"/>
        <v>metab_compid_46905</v>
      </c>
      <c r="B1213">
        <v>999921736</v>
      </c>
      <c r="C1213">
        <v>209</v>
      </c>
      <c r="D1213">
        <v>46905</v>
      </c>
      <c r="E1213">
        <v>148143</v>
      </c>
      <c r="I1213" t="s">
        <v>10295</v>
      </c>
      <c r="L1213" t="s">
        <v>10435</v>
      </c>
      <c r="M1213" t="s">
        <v>10435</v>
      </c>
      <c r="S1213" t="s">
        <v>3469</v>
      </c>
    </row>
    <row r="1214" spans="1:19" x14ac:dyDescent="0.2">
      <c r="A1214" t="str">
        <f t="shared" si="18"/>
        <v>metab_compid_46911</v>
      </c>
      <c r="B1214">
        <v>999921742</v>
      </c>
      <c r="C1214">
        <v>209</v>
      </c>
      <c r="D1214">
        <v>46911</v>
      </c>
      <c r="E1214">
        <v>148149</v>
      </c>
      <c r="I1214" t="s">
        <v>10295</v>
      </c>
      <c r="L1214" t="s">
        <v>10436</v>
      </c>
      <c r="M1214" t="s">
        <v>10436</v>
      </c>
      <c r="S1214" t="s">
        <v>3469</v>
      </c>
    </row>
    <row r="1215" spans="1:19" x14ac:dyDescent="0.2">
      <c r="A1215" t="str">
        <f t="shared" si="18"/>
        <v>metab_compid_46923</v>
      </c>
      <c r="B1215">
        <v>999921752</v>
      </c>
      <c r="C1215">
        <v>209</v>
      </c>
      <c r="D1215">
        <v>46923</v>
      </c>
      <c r="E1215">
        <v>148161</v>
      </c>
      <c r="I1215" t="s">
        <v>10295</v>
      </c>
      <c r="L1215" t="s">
        <v>10437</v>
      </c>
      <c r="M1215" t="s">
        <v>10437</v>
      </c>
      <c r="S1215" t="s">
        <v>3469</v>
      </c>
    </row>
    <row r="1216" spans="1:19" x14ac:dyDescent="0.2">
      <c r="A1216" t="str">
        <f t="shared" si="18"/>
        <v>metab_compid_46972</v>
      </c>
      <c r="B1216">
        <v>999921796</v>
      </c>
      <c r="C1216">
        <v>209</v>
      </c>
      <c r="D1216">
        <v>46972</v>
      </c>
      <c r="E1216">
        <v>148225</v>
      </c>
      <c r="I1216" t="s">
        <v>10295</v>
      </c>
      <c r="L1216" t="s">
        <v>10438</v>
      </c>
      <c r="M1216" t="s">
        <v>10438</v>
      </c>
      <c r="S1216" t="s">
        <v>3469</v>
      </c>
    </row>
    <row r="1217" spans="1:19" x14ac:dyDescent="0.2">
      <c r="A1217" t="str">
        <f t="shared" si="18"/>
        <v>metab_compid_46980</v>
      </c>
      <c r="B1217">
        <v>999921803</v>
      </c>
      <c r="C1217">
        <v>209</v>
      </c>
      <c r="D1217">
        <v>46980</v>
      </c>
      <c r="E1217">
        <v>148233</v>
      </c>
      <c r="I1217" t="s">
        <v>10295</v>
      </c>
      <c r="L1217" t="s">
        <v>10439</v>
      </c>
      <c r="M1217" t="s">
        <v>10439</v>
      </c>
      <c r="S1217" t="s">
        <v>3469</v>
      </c>
    </row>
    <row r="1218" spans="1:19" x14ac:dyDescent="0.2">
      <c r="A1218" t="str">
        <f t="shared" ref="A1218:A1281" si="19">_xlfn.CONCAT("metab_compid_", $D1218)</f>
        <v>metab_compid_46992</v>
      </c>
      <c r="B1218">
        <v>999921815</v>
      </c>
      <c r="C1218">
        <v>209</v>
      </c>
      <c r="D1218">
        <v>46992</v>
      </c>
      <c r="E1218">
        <v>148245</v>
      </c>
      <c r="I1218" t="s">
        <v>10295</v>
      </c>
      <c r="L1218" t="s">
        <v>10440</v>
      </c>
      <c r="M1218" t="s">
        <v>10440</v>
      </c>
      <c r="S1218" t="s">
        <v>3469</v>
      </c>
    </row>
    <row r="1219" spans="1:19" x14ac:dyDescent="0.2">
      <c r="A1219" t="str">
        <f t="shared" si="19"/>
        <v>metab_compid_46998</v>
      </c>
      <c r="B1219">
        <v>999921821</v>
      </c>
      <c r="C1219">
        <v>209</v>
      </c>
      <c r="D1219">
        <v>46998</v>
      </c>
      <c r="E1219">
        <v>148251</v>
      </c>
      <c r="I1219" t="s">
        <v>10295</v>
      </c>
      <c r="L1219" t="s">
        <v>10441</v>
      </c>
      <c r="M1219" t="s">
        <v>10441</v>
      </c>
      <c r="S1219" t="s">
        <v>3469</v>
      </c>
    </row>
    <row r="1220" spans="1:19" x14ac:dyDescent="0.2">
      <c r="A1220" t="str">
        <f t="shared" si="19"/>
        <v>metab_compid_47008</v>
      </c>
      <c r="B1220">
        <v>999921831</v>
      </c>
      <c r="C1220">
        <v>209</v>
      </c>
      <c r="D1220">
        <v>47008</v>
      </c>
      <c r="E1220">
        <v>148261</v>
      </c>
      <c r="I1220" t="s">
        <v>10295</v>
      </c>
      <c r="L1220" t="s">
        <v>10442</v>
      </c>
      <c r="M1220" t="s">
        <v>10442</v>
      </c>
      <c r="S1220" t="s">
        <v>3469</v>
      </c>
    </row>
    <row r="1221" spans="1:19" x14ac:dyDescent="0.2">
      <c r="A1221" t="str">
        <f t="shared" si="19"/>
        <v>metab_compid_47011</v>
      </c>
      <c r="B1221">
        <v>999921834</v>
      </c>
      <c r="C1221">
        <v>209</v>
      </c>
      <c r="D1221">
        <v>47011</v>
      </c>
      <c r="E1221">
        <v>148264</v>
      </c>
      <c r="I1221" t="s">
        <v>10295</v>
      </c>
      <c r="L1221" t="s">
        <v>10443</v>
      </c>
      <c r="M1221" t="s">
        <v>10443</v>
      </c>
      <c r="S1221" t="s">
        <v>3469</v>
      </c>
    </row>
    <row r="1222" spans="1:19" x14ac:dyDescent="0.2">
      <c r="A1222" t="str">
        <f t="shared" si="19"/>
        <v>metab_compid_47016</v>
      </c>
      <c r="B1222">
        <v>999921839</v>
      </c>
      <c r="C1222">
        <v>209</v>
      </c>
      <c r="D1222">
        <v>47016</v>
      </c>
      <c r="E1222">
        <v>148269</v>
      </c>
      <c r="I1222" t="s">
        <v>10295</v>
      </c>
      <c r="L1222" t="s">
        <v>10444</v>
      </c>
      <c r="M1222" t="s">
        <v>10444</v>
      </c>
      <c r="S1222" t="s">
        <v>3469</v>
      </c>
    </row>
    <row r="1223" spans="1:19" x14ac:dyDescent="0.2">
      <c r="A1223" t="str">
        <f t="shared" si="19"/>
        <v>metab_compid_47017</v>
      </c>
      <c r="B1223">
        <v>999921840</v>
      </c>
      <c r="C1223">
        <v>209</v>
      </c>
      <c r="D1223">
        <v>47017</v>
      </c>
      <c r="E1223">
        <v>148270</v>
      </c>
      <c r="I1223" t="s">
        <v>10295</v>
      </c>
      <c r="L1223" t="s">
        <v>10445</v>
      </c>
      <c r="M1223" t="s">
        <v>10445</v>
      </c>
      <c r="S1223" t="s">
        <v>3469</v>
      </c>
    </row>
    <row r="1224" spans="1:19" x14ac:dyDescent="0.2">
      <c r="A1224" t="str">
        <f t="shared" si="19"/>
        <v>metab_compid_47022</v>
      </c>
      <c r="B1224">
        <v>999921845</v>
      </c>
      <c r="C1224">
        <v>209</v>
      </c>
      <c r="D1224">
        <v>47022</v>
      </c>
      <c r="E1224">
        <v>148275</v>
      </c>
      <c r="I1224" t="s">
        <v>10295</v>
      </c>
      <c r="L1224" t="s">
        <v>10446</v>
      </c>
      <c r="M1224" t="s">
        <v>10446</v>
      </c>
      <c r="S1224" t="s">
        <v>3469</v>
      </c>
    </row>
    <row r="1225" spans="1:19" x14ac:dyDescent="0.2">
      <c r="A1225" t="str">
        <f t="shared" si="19"/>
        <v>metab_compid_47028</v>
      </c>
      <c r="B1225">
        <v>999921851</v>
      </c>
      <c r="C1225">
        <v>209</v>
      </c>
      <c r="D1225">
        <v>47028</v>
      </c>
      <c r="E1225">
        <v>148281</v>
      </c>
      <c r="I1225" t="s">
        <v>10295</v>
      </c>
      <c r="L1225" t="s">
        <v>10447</v>
      </c>
      <c r="M1225" t="s">
        <v>10447</v>
      </c>
      <c r="S1225" t="s">
        <v>3469</v>
      </c>
    </row>
    <row r="1226" spans="1:19" x14ac:dyDescent="0.2">
      <c r="A1226" t="str">
        <f t="shared" si="19"/>
        <v>metab_compid_47389</v>
      </c>
      <c r="B1226">
        <v>999922143</v>
      </c>
      <c r="C1226">
        <v>209</v>
      </c>
      <c r="D1226">
        <v>47389</v>
      </c>
      <c r="E1226">
        <v>148866</v>
      </c>
      <c r="I1226" t="s">
        <v>10295</v>
      </c>
      <c r="L1226" t="s">
        <v>10448</v>
      </c>
      <c r="M1226" t="s">
        <v>10448</v>
      </c>
      <c r="S1226" t="s">
        <v>3469</v>
      </c>
    </row>
    <row r="1227" spans="1:19" x14ac:dyDescent="0.2">
      <c r="A1227" t="str">
        <f t="shared" si="19"/>
        <v>metab_compid_47417</v>
      </c>
      <c r="B1227">
        <v>999922162</v>
      </c>
      <c r="C1227">
        <v>400</v>
      </c>
      <c r="D1227">
        <v>47417</v>
      </c>
      <c r="E1227">
        <v>157401</v>
      </c>
      <c r="I1227" t="s">
        <v>10295</v>
      </c>
      <c r="L1227" t="s">
        <v>10449</v>
      </c>
      <c r="M1227" t="s">
        <v>10449</v>
      </c>
      <c r="S1227" t="s">
        <v>3458</v>
      </c>
    </row>
    <row r="1228" spans="1:19" x14ac:dyDescent="0.2">
      <c r="A1228" t="str">
        <f t="shared" si="19"/>
        <v>metab_compid_47784</v>
      </c>
      <c r="B1228">
        <v>999922520</v>
      </c>
      <c r="C1228">
        <v>209</v>
      </c>
      <c r="D1228">
        <v>47784</v>
      </c>
      <c r="E1228">
        <v>149723</v>
      </c>
      <c r="I1228" t="s">
        <v>10295</v>
      </c>
      <c r="L1228" t="s">
        <v>10450</v>
      </c>
      <c r="M1228" t="s">
        <v>10450</v>
      </c>
      <c r="S1228" t="s">
        <v>3469</v>
      </c>
    </row>
    <row r="1229" spans="1:19" x14ac:dyDescent="0.2">
      <c r="A1229" t="str">
        <f t="shared" si="19"/>
        <v>metab_compid_48076</v>
      </c>
      <c r="B1229">
        <v>999922771</v>
      </c>
      <c r="C1229">
        <v>209</v>
      </c>
      <c r="D1229">
        <v>48076</v>
      </c>
      <c r="E1229">
        <v>150290</v>
      </c>
      <c r="I1229" t="s">
        <v>10295</v>
      </c>
      <c r="L1229" t="s">
        <v>10451</v>
      </c>
      <c r="M1229" t="s">
        <v>10451</v>
      </c>
      <c r="S1229" t="s">
        <v>3469</v>
      </c>
    </row>
    <row r="1230" spans="1:19" x14ac:dyDescent="0.2">
      <c r="A1230" t="str">
        <f t="shared" si="19"/>
        <v>metab_compid_48081</v>
      </c>
      <c r="B1230">
        <v>999922776</v>
      </c>
      <c r="C1230">
        <v>209</v>
      </c>
      <c r="D1230">
        <v>48081</v>
      </c>
      <c r="E1230">
        <v>150295</v>
      </c>
      <c r="I1230" t="s">
        <v>10295</v>
      </c>
      <c r="L1230" t="s">
        <v>10452</v>
      </c>
      <c r="M1230" t="s">
        <v>10452</v>
      </c>
      <c r="S1230" t="s">
        <v>3469</v>
      </c>
    </row>
    <row r="1231" spans="1:19" x14ac:dyDescent="0.2">
      <c r="A1231" t="str">
        <f t="shared" si="19"/>
        <v>metab_compid_48185</v>
      </c>
      <c r="B1231">
        <v>999922834</v>
      </c>
      <c r="C1231">
        <v>209</v>
      </c>
      <c r="D1231">
        <v>48185</v>
      </c>
      <c r="E1231">
        <v>153109</v>
      </c>
      <c r="I1231" t="s">
        <v>10295</v>
      </c>
      <c r="L1231" t="s">
        <v>10453</v>
      </c>
      <c r="M1231" t="s">
        <v>10453</v>
      </c>
      <c r="S1231" t="s">
        <v>3469</v>
      </c>
    </row>
    <row r="1232" spans="1:19" x14ac:dyDescent="0.2">
      <c r="A1232" t="str">
        <f t="shared" si="19"/>
        <v>metab_compid_49459</v>
      </c>
      <c r="B1232">
        <v>999923583</v>
      </c>
      <c r="C1232">
        <v>400</v>
      </c>
      <c r="D1232">
        <v>49459</v>
      </c>
      <c r="E1232">
        <v>161121</v>
      </c>
      <c r="I1232" t="s">
        <v>10295</v>
      </c>
      <c r="L1232" t="s">
        <v>10454</v>
      </c>
      <c r="M1232" t="s">
        <v>10454</v>
      </c>
      <c r="S1232" t="s">
        <v>3458</v>
      </c>
    </row>
    <row r="1233" spans="1:19" x14ac:dyDescent="0.2">
      <c r="A1233" t="str">
        <f t="shared" si="19"/>
        <v>metab_compid_49463</v>
      </c>
      <c r="B1233">
        <v>999923587</v>
      </c>
      <c r="C1233">
        <v>400</v>
      </c>
      <c r="D1233">
        <v>49463</v>
      </c>
      <c r="E1233">
        <v>161125</v>
      </c>
      <c r="I1233" t="s">
        <v>10295</v>
      </c>
      <c r="L1233" t="s">
        <v>10455</v>
      </c>
      <c r="M1233" t="s">
        <v>10455</v>
      </c>
      <c r="S1233" t="s">
        <v>3458</v>
      </c>
    </row>
    <row r="1234" spans="1:19" x14ac:dyDescent="0.2">
      <c r="A1234" t="str">
        <f t="shared" si="19"/>
        <v>metab_compid_49469</v>
      </c>
      <c r="B1234">
        <v>999923593</v>
      </c>
      <c r="C1234">
        <v>400</v>
      </c>
      <c r="D1234">
        <v>49469</v>
      </c>
      <c r="E1234">
        <v>161131</v>
      </c>
      <c r="I1234" t="s">
        <v>10295</v>
      </c>
      <c r="L1234" t="s">
        <v>10456</v>
      </c>
      <c r="M1234" t="s">
        <v>10456</v>
      </c>
      <c r="S1234" t="s">
        <v>3458</v>
      </c>
    </row>
    <row r="1235" spans="1:19" x14ac:dyDescent="0.2">
      <c r="A1235" t="str">
        <f t="shared" si="19"/>
        <v>metab_compid_49512</v>
      </c>
      <c r="B1235">
        <v>999923636</v>
      </c>
      <c r="C1235">
        <v>400</v>
      </c>
      <c r="D1235">
        <v>49512</v>
      </c>
      <c r="E1235">
        <v>161176</v>
      </c>
      <c r="I1235" t="s">
        <v>10295</v>
      </c>
      <c r="L1235" t="s">
        <v>10457</v>
      </c>
      <c r="M1235" t="s">
        <v>10457</v>
      </c>
      <c r="S1235" t="s">
        <v>3458</v>
      </c>
    </row>
    <row r="1236" spans="1:19" x14ac:dyDescent="0.2">
      <c r="A1236" t="str">
        <f t="shared" si="19"/>
        <v>metab_compid_49515</v>
      </c>
      <c r="B1236">
        <v>999923639</v>
      </c>
      <c r="C1236">
        <v>400</v>
      </c>
      <c r="D1236">
        <v>49515</v>
      </c>
      <c r="E1236">
        <v>161179</v>
      </c>
      <c r="I1236" t="s">
        <v>10295</v>
      </c>
      <c r="L1236" t="s">
        <v>10458</v>
      </c>
      <c r="M1236" t="s">
        <v>10458</v>
      </c>
      <c r="S1236" t="s">
        <v>3458</v>
      </c>
    </row>
    <row r="1237" spans="1:19" x14ac:dyDescent="0.2">
      <c r="A1237" t="str">
        <f t="shared" si="19"/>
        <v>metab_compid_49517</v>
      </c>
      <c r="B1237">
        <v>999923641</v>
      </c>
      <c r="C1237">
        <v>402</v>
      </c>
      <c r="D1237">
        <v>49517</v>
      </c>
      <c r="E1237">
        <v>161185</v>
      </c>
      <c r="I1237" t="s">
        <v>10295</v>
      </c>
      <c r="L1237" t="s">
        <v>10459</v>
      </c>
      <c r="M1237" t="s">
        <v>10459</v>
      </c>
      <c r="S1237" t="s">
        <v>3447</v>
      </c>
    </row>
    <row r="1238" spans="1:19" x14ac:dyDescent="0.2">
      <c r="A1238" t="str">
        <f t="shared" si="19"/>
        <v>metab_compid_49521</v>
      </c>
      <c r="B1238">
        <v>999923644</v>
      </c>
      <c r="C1238">
        <v>400</v>
      </c>
      <c r="D1238">
        <v>49521</v>
      </c>
      <c r="E1238">
        <v>161202</v>
      </c>
      <c r="I1238" t="s">
        <v>10295</v>
      </c>
      <c r="L1238" t="s">
        <v>10460</v>
      </c>
      <c r="M1238" t="s">
        <v>10460</v>
      </c>
      <c r="S1238" t="s">
        <v>3458</v>
      </c>
    </row>
    <row r="1239" spans="1:19" x14ac:dyDescent="0.2">
      <c r="A1239" t="str">
        <f t="shared" si="19"/>
        <v>metab_compid_49525</v>
      </c>
      <c r="B1239">
        <v>999923648</v>
      </c>
      <c r="C1239">
        <v>400</v>
      </c>
      <c r="D1239">
        <v>49525</v>
      </c>
      <c r="E1239">
        <v>161206</v>
      </c>
      <c r="I1239" t="s">
        <v>10295</v>
      </c>
      <c r="L1239" t="s">
        <v>10461</v>
      </c>
      <c r="M1239" t="s">
        <v>10461</v>
      </c>
      <c r="S1239" t="s">
        <v>3458</v>
      </c>
    </row>
    <row r="1240" spans="1:19" x14ac:dyDescent="0.2">
      <c r="A1240" t="str">
        <f t="shared" si="19"/>
        <v>metab_compid_49531</v>
      </c>
      <c r="B1240">
        <v>999923654</v>
      </c>
      <c r="C1240">
        <v>400</v>
      </c>
      <c r="D1240">
        <v>49531</v>
      </c>
      <c r="E1240">
        <v>161212</v>
      </c>
      <c r="I1240" t="s">
        <v>10295</v>
      </c>
      <c r="L1240" t="s">
        <v>10462</v>
      </c>
      <c r="M1240" t="s">
        <v>10462</v>
      </c>
      <c r="S1240" t="s">
        <v>3458</v>
      </c>
    </row>
    <row r="1241" spans="1:19" x14ac:dyDescent="0.2">
      <c r="A1241" t="str">
        <f t="shared" si="19"/>
        <v>metab_compid_49532</v>
      </c>
      <c r="B1241">
        <v>999923655</v>
      </c>
      <c r="C1241">
        <v>400</v>
      </c>
      <c r="D1241">
        <v>49532</v>
      </c>
      <c r="E1241">
        <v>161213</v>
      </c>
      <c r="I1241" t="s">
        <v>10295</v>
      </c>
      <c r="L1241" t="s">
        <v>10463</v>
      </c>
      <c r="M1241" t="s">
        <v>10463</v>
      </c>
      <c r="S1241" t="s">
        <v>3458</v>
      </c>
    </row>
    <row r="1242" spans="1:19" x14ac:dyDescent="0.2">
      <c r="A1242" t="str">
        <f t="shared" si="19"/>
        <v>metab_compid_49536</v>
      </c>
      <c r="B1242">
        <v>999923659</v>
      </c>
      <c r="C1242">
        <v>400</v>
      </c>
      <c r="D1242">
        <v>49536</v>
      </c>
      <c r="E1242">
        <v>161217</v>
      </c>
      <c r="I1242" t="s">
        <v>10295</v>
      </c>
      <c r="L1242" t="s">
        <v>10464</v>
      </c>
      <c r="M1242" t="s">
        <v>10464</v>
      </c>
      <c r="S1242" t="s">
        <v>3458</v>
      </c>
    </row>
    <row r="1243" spans="1:19" x14ac:dyDescent="0.2">
      <c r="A1243" t="str">
        <f t="shared" si="19"/>
        <v>metab_compid_49539</v>
      </c>
      <c r="B1243">
        <v>999923662</v>
      </c>
      <c r="C1243">
        <v>400</v>
      </c>
      <c r="D1243">
        <v>49539</v>
      </c>
      <c r="E1243">
        <v>161220</v>
      </c>
      <c r="I1243" t="s">
        <v>10295</v>
      </c>
      <c r="L1243" t="s">
        <v>10465</v>
      </c>
      <c r="M1243" t="s">
        <v>10465</v>
      </c>
      <c r="S1243" t="s">
        <v>3458</v>
      </c>
    </row>
    <row r="1244" spans="1:19" x14ac:dyDescent="0.2">
      <c r="A1244" t="str">
        <f t="shared" si="19"/>
        <v>metab_compid_49542</v>
      </c>
      <c r="B1244">
        <v>999923665</v>
      </c>
      <c r="C1244">
        <v>400</v>
      </c>
      <c r="D1244">
        <v>49542</v>
      </c>
      <c r="E1244">
        <v>161233</v>
      </c>
      <c r="I1244" t="s">
        <v>10295</v>
      </c>
      <c r="L1244" t="s">
        <v>10466</v>
      </c>
      <c r="M1244" t="s">
        <v>10466</v>
      </c>
      <c r="S1244" t="s">
        <v>3458</v>
      </c>
    </row>
    <row r="1245" spans="1:19" x14ac:dyDescent="0.2">
      <c r="A1245" t="str">
        <f t="shared" si="19"/>
        <v>metab_compid_49543</v>
      </c>
      <c r="B1245">
        <v>999923666</v>
      </c>
      <c r="C1245">
        <v>400</v>
      </c>
      <c r="D1245">
        <v>49543</v>
      </c>
      <c r="E1245">
        <v>161234</v>
      </c>
      <c r="I1245" t="s">
        <v>10295</v>
      </c>
      <c r="L1245" t="s">
        <v>10467</v>
      </c>
      <c r="M1245" t="s">
        <v>10467</v>
      </c>
      <c r="S1245" t="s">
        <v>3458</v>
      </c>
    </row>
    <row r="1246" spans="1:19" x14ac:dyDescent="0.2">
      <c r="A1246" t="str">
        <f t="shared" si="19"/>
        <v>metab_compid_49557</v>
      </c>
      <c r="B1246">
        <v>999923680</v>
      </c>
      <c r="C1246">
        <v>402</v>
      </c>
      <c r="D1246">
        <v>49557</v>
      </c>
      <c r="E1246">
        <v>161248</v>
      </c>
      <c r="I1246" t="s">
        <v>10295</v>
      </c>
      <c r="L1246" t="s">
        <v>10468</v>
      </c>
      <c r="M1246" t="s">
        <v>10468</v>
      </c>
      <c r="S1246" t="s">
        <v>3447</v>
      </c>
    </row>
    <row r="1247" spans="1:19" x14ac:dyDescent="0.2">
      <c r="A1247" t="str">
        <f t="shared" si="19"/>
        <v>metab_compid_49637</v>
      </c>
      <c r="B1247">
        <v>999923739</v>
      </c>
      <c r="C1247">
        <v>400</v>
      </c>
      <c r="D1247">
        <v>49637</v>
      </c>
      <c r="E1247">
        <v>161456</v>
      </c>
      <c r="I1247" t="s">
        <v>10295</v>
      </c>
      <c r="L1247" t="s">
        <v>10469</v>
      </c>
      <c r="M1247" t="s">
        <v>10469</v>
      </c>
      <c r="S1247" t="s">
        <v>3458</v>
      </c>
    </row>
    <row r="1248" spans="1:19" x14ac:dyDescent="0.2">
      <c r="A1248" t="str">
        <f t="shared" si="19"/>
        <v>metab_compid_49679</v>
      </c>
      <c r="B1248">
        <v>999923780</v>
      </c>
      <c r="C1248">
        <v>400</v>
      </c>
      <c r="D1248">
        <v>49679</v>
      </c>
      <c r="E1248">
        <v>161531</v>
      </c>
      <c r="I1248" t="s">
        <v>10295</v>
      </c>
      <c r="L1248" t="s">
        <v>10470</v>
      </c>
      <c r="M1248" t="s">
        <v>10470</v>
      </c>
      <c r="S1248" t="s">
        <v>3458</v>
      </c>
    </row>
    <row r="1249" spans="1:19" x14ac:dyDescent="0.2">
      <c r="A1249" t="str">
        <f t="shared" si="19"/>
        <v>metab_compid_49681</v>
      </c>
      <c r="B1249">
        <v>999923782</v>
      </c>
      <c r="C1249">
        <v>402</v>
      </c>
      <c r="D1249">
        <v>49681</v>
      </c>
      <c r="E1249">
        <v>161533</v>
      </c>
      <c r="I1249" t="s">
        <v>10295</v>
      </c>
      <c r="L1249" t="s">
        <v>10471</v>
      </c>
      <c r="M1249" t="s">
        <v>10471</v>
      </c>
      <c r="S1249" t="s">
        <v>3447</v>
      </c>
    </row>
    <row r="1250" spans="1:19" x14ac:dyDescent="0.2">
      <c r="A1250" t="str">
        <f t="shared" si="19"/>
        <v>metab_compid_49688</v>
      </c>
      <c r="B1250">
        <v>999923787</v>
      </c>
      <c r="C1250">
        <v>209</v>
      </c>
      <c r="D1250">
        <v>49688</v>
      </c>
      <c r="E1250">
        <v>161555</v>
      </c>
      <c r="I1250" t="s">
        <v>10295</v>
      </c>
      <c r="L1250" t="s">
        <v>10472</v>
      </c>
      <c r="M1250" t="s">
        <v>10472</v>
      </c>
      <c r="S1250" t="s">
        <v>3469</v>
      </c>
    </row>
    <row r="1251" spans="1:19" x14ac:dyDescent="0.2">
      <c r="A1251" t="str">
        <f t="shared" si="19"/>
        <v>metab_compid_49883</v>
      </c>
      <c r="B1251">
        <v>999923974</v>
      </c>
      <c r="C1251">
        <v>209</v>
      </c>
      <c r="D1251">
        <v>49883</v>
      </c>
      <c r="E1251">
        <v>161829</v>
      </c>
      <c r="I1251" t="s">
        <v>10295</v>
      </c>
      <c r="L1251" t="s">
        <v>10473</v>
      </c>
      <c r="M1251" t="s">
        <v>10473</v>
      </c>
      <c r="S1251" t="s">
        <v>3469</v>
      </c>
    </row>
    <row r="1252" spans="1:19" x14ac:dyDescent="0.2">
      <c r="A1252" t="str">
        <f t="shared" si="19"/>
        <v>metab_compid_52025</v>
      </c>
      <c r="B1252">
        <v>999923997</v>
      </c>
      <c r="C1252">
        <v>400</v>
      </c>
      <c r="D1252">
        <v>52025</v>
      </c>
      <c r="E1252">
        <v>164326</v>
      </c>
      <c r="I1252" t="s">
        <v>10295</v>
      </c>
      <c r="L1252" t="s">
        <v>10474</v>
      </c>
      <c r="M1252" t="s">
        <v>10474</v>
      </c>
      <c r="S1252" t="s">
        <v>3458</v>
      </c>
    </row>
    <row r="1253" spans="1:19" x14ac:dyDescent="0.2">
      <c r="A1253" t="str">
        <f t="shared" si="19"/>
        <v>metab_compid_52280</v>
      </c>
      <c r="B1253">
        <v>999924241</v>
      </c>
      <c r="C1253">
        <v>400</v>
      </c>
      <c r="D1253">
        <v>52280</v>
      </c>
      <c r="E1253">
        <v>164303</v>
      </c>
      <c r="I1253" t="s">
        <v>10295</v>
      </c>
      <c r="L1253" t="s">
        <v>10475</v>
      </c>
      <c r="M1253" t="s">
        <v>10475</v>
      </c>
      <c r="S1253" t="s">
        <v>3458</v>
      </c>
    </row>
    <row r="1254" spans="1:19" x14ac:dyDescent="0.2">
      <c r="A1254" t="str">
        <f t="shared" si="19"/>
        <v>metab_compid_52286</v>
      </c>
      <c r="B1254">
        <v>999924243</v>
      </c>
      <c r="C1254">
        <v>400</v>
      </c>
      <c r="D1254">
        <v>52286</v>
      </c>
      <c r="E1254">
        <v>164314</v>
      </c>
      <c r="I1254" t="s">
        <v>10295</v>
      </c>
      <c r="L1254" t="s">
        <v>10476</v>
      </c>
      <c r="M1254" t="s">
        <v>10476</v>
      </c>
      <c r="S1254" t="s">
        <v>3458</v>
      </c>
    </row>
    <row r="1255" spans="1:19" x14ac:dyDescent="0.2">
      <c r="A1255" t="str">
        <f t="shared" si="19"/>
        <v>metab_compid_52483</v>
      </c>
      <c r="B1255">
        <v>999924295</v>
      </c>
      <c r="C1255">
        <v>209</v>
      </c>
      <c r="D1255">
        <v>52483</v>
      </c>
      <c r="E1255">
        <v>165167</v>
      </c>
      <c r="I1255" t="s">
        <v>10295</v>
      </c>
      <c r="L1255" t="s">
        <v>10477</v>
      </c>
      <c r="M1255" t="s">
        <v>10477</v>
      </c>
      <c r="S1255" t="s">
        <v>3469</v>
      </c>
    </row>
    <row r="1256" spans="1:19" x14ac:dyDescent="0.2">
      <c r="A1256" t="str">
        <f t="shared" si="19"/>
        <v>metab_compid_52524</v>
      </c>
      <c r="B1256">
        <v>999924328</v>
      </c>
      <c r="C1256">
        <v>209</v>
      </c>
      <c r="D1256">
        <v>52524</v>
      </c>
      <c r="E1256">
        <v>165251</v>
      </c>
      <c r="I1256" t="s">
        <v>10295</v>
      </c>
      <c r="L1256" t="s">
        <v>10478</v>
      </c>
      <c r="M1256" t="s">
        <v>10478</v>
      </c>
      <c r="S1256" t="s">
        <v>3469</v>
      </c>
    </row>
    <row r="1257" spans="1:19" x14ac:dyDescent="0.2">
      <c r="A1257" t="str">
        <f t="shared" si="19"/>
        <v>metab_compid_52533</v>
      </c>
      <c r="B1257">
        <v>999924337</v>
      </c>
      <c r="C1257">
        <v>209</v>
      </c>
      <c r="D1257">
        <v>52533</v>
      </c>
      <c r="E1257">
        <v>165260</v>
      </c>
      <c r="I1257" t="s">
        <v>10295</v>
      </c>
      <c r="L1257" t="s">
        <v>10479</v>
      </c>
      <c r="M1257" t="s">
        <v>10479</v>
      </c>
      <c r="S1257" t="s">
        <v>3469</v>
      </c>
    </row>
    <row r="1258" spans="1:19" x14ac:dyDescent="0.2">
      <c r="A1258" t="str">
        <f t="shared" si="19"/>
        <v>metab_compid_52548</v>
      </c>
      <c r="B1258">
        <v>999924352</v>
      </c>
      <c r="C1258">
        <v>209</v>
      </c>
      <c r="D1258">
        <v>52548</v>
      </c>
      <c r="E1258">
        <v>165275</v>
      </c>
      <c r="I1258" t="s">
        <v>10295</v>
      </c>
      <c r="L1258" t="s">
        <v>10480</v>
      </c>
      <c r="M1258" t="s">
        <v>10480</v>
      </c>
      <c r="S1258" t="s">
        <v>3469</v>
      </c>
    </row>
    <row r="1259" spans="1:19" x14ac:dyDescent="0.2">
      <c r="A1259" t="str">
        <f t="shared" si="19"/>
        <v>metab_compid_52637</v>
      </c>
      <c r="B1259">
        <v>999924408</v>
      </c>
      <c r="C1259">
        <v>400</v>
      </c>
      <c r="D1259">
        <v>52637</v>
      </c>
      <c r="E1259">
        <v>165390</v>
      </c>
      <c r="I1259" t="s">
        <v>10295</v>
      </c>
      <c r="L1259" t="s">
        <v>10481</v>
      </c>
      <c r="M1259" t="s">
        <v>10481</v>
      </c>
      <c r="S1259" t="s">
        <v>3458</v>
      </c>
    </row>
    <row r="1260" spans="1:19" x14ac:dyDescent="0.2">
      <c r="A1260" t="str">
        <f t="shared" si="19"/>
        <v>metab_compid_52639</v>
      </c>
      <c r="B1260">
        <v>999924410</v>
      </c>
      <c r="C1260">
        <v>400</v>
      </c>
      <c r="D1260">
        <v>52639</v>
      </c>
      <c r="E1260">
        <v>165392</v>
      </c>
      <c r="I1260" t="s">
        <v>10295</v>
      </c>
      <c r="L1260" t="s">
        <v>10482</v>
      </c>
      <c r="M1260" t="s">
        <v>10482</v>
      </c>
      <c r="S1260" t="s">
        <v>3458</v>
      </c>
    </row>
    <row r="1261" spans="1:19" x14ac:dyDescent="0.2">
      <c r="A1261" t="str">
        <f t="shared" si="19"/>
        <v>metab_compid_52640</v>
      </c>
      <c r="B1261">
        <v>999924411</v>
      </c>
      <c r="C1261">
        <v>400</v>
      </c>
      <c r="D1261">
        <v>52640</v>
      </c>
      <c r="E1261">
        <v>165393</v>
      </c>
      <c r="I1261" t="s">
        <v>10295</v>
      </c>
      <c r="L1261" t="s">
        <v>10483</v>
      </c>
      <c r="M1261" t="s">
        <v>10483</v>
      </c>
      <c r="S1261" t="s">
        <v>3458</v>
      </c>
    </row>
    <row r="1262" spans="1:19" x14ac:dyDescent="0.2">
      <c r="A1262" t="str">
        <f t="shared" si="19"/>
        <v>metab_compid_52647</v>
      </c>
      <c r="B1262">
        <v>999924418</v>
      </c>
      <c r="C1262">
        <v>209</v>
      </c>
      <c r="D1262">
        <v>52647</v>
      </c>
      <c r="E1262">
        <v>165400</v>
      </c>
      <c r="I1262" t="s">
        <v>10295</v>
      </c>
      <c r="L1262" t="s">
        <v>10484</v>
      </c>
      <c r="M1262" t="s">
        <v>10484</v>
      </c>
      <c r="S1262" t="s">
        <v>3469</v>
      </c>
    </row>
    <row r="1263" spans="1:19" x14ac:dyDescent="0.2">
      <c r="A1263" t="str">
        <f t="shared" si="19"/>
        <v>metab_compid_52636</v>
      </c>
      <c r="B1263">
        <v>999924422</v>
      </c>
      <c r="C1263">
        <v>400</v>
      </c>
      <c r="D1263">
        <v>52636</v>
      </c>
      <c r="E1263">
        <v>165389</v>
      </c>
      <c r="I1263" t="s">
        <v>10295</v>
      </c>
      <c r="L1263" t="s">
        <v>10485</v>
      </c>
      <c r="M1263" t="s">
        <v>10485</v>
      </c>
      <c r="S1263" t="s">
        <v>3458</v>
      </c>
    </row>
    <row r="1264" spans="1:19" x14ac:dyDescent="0.2">
      <c r="A1264" t="str">
        <f t="shared" si="19"/>
        <v>metab_compid_52661</v>
      </c>
      <c r="B1264">
        <v>999924431</v>
      </c>
      <c r="C1264">
        <v>400</v>
      </c>
      <c r="D1264">
        <v>52661</v>
      </c>
      <c r="E1264">
        <v>165416</v>
      </c>
      <c r="I1264" t="s">
        <v>10295</v>
      </c>
      <c r="L1264" t="s">
        <v>10486</v>
      </c>
      <c r="M1264" t="s">
        <v>10486</v>
      </c>
      <c r="S1264" t="s">
        <v>3458</v>
      </c>
    </row>
    <row r="1265" spans="1:19" x14ac:dyDescent="0.2">
      <c r="A1265" t="str">
        <f t="shared" si="19"/>
        <v>metab_compid_52790</v>
      </c>
      <c r="B1265">
        <v>999924473</v>
      </c>
      <c r="C1265">
        <v>400</v>
      </c>
      <c r="D1265">
        <v>52790</v>
      </c>
      <c r="E1265">
        <v>165629</v>
      </c>
      <c r="I1265" t="s">
        <v>10295</v>
      </c>
      <c r="L1265" t="s">
        <v>10487</v>
      </c>
      <c r="M1265" t="s">
        <v>10487</v>
      </c>
      <c r="S1265" t="s">
        <v>3458</v>
      </c>
    </row>
    <row r="1266" spans="1:19" x14ac:dyDescent="0.2">
      <c r="A1266" t="str">
        <f t="shared" si="19"/>
        <v>metab_compid_52792</v>
      </c>
      <c r="B1266">
        <v>999924475</v>
      </c>
      <c r="C1266">
        <v>400</v>
      </c>
      <c r="D1266">
        <v>52792</v>
      </c>
      <c r="E1266">
        <v>165631</v>
      </c>
      <c r="I1266" t="s">
        <v>10295</v>
      </c>
      <c r="L1266" t="s">
        <v>10488</v>
      </c>
      <c r="M1266" t="s">
        <v>10488</v>
      </c>
      <c r="S1266" t="s">
        <v>3458</v>
      </c>
    </row>
    <row r="1267" spans="1:19" x14ac:dyDescent="0.2">
      <c r="A1267" t="str">
        <f t="shared" si="19"/>
        <v>metab_compid_52813</v>
      </c>
      <c r="B1267">
        <v>999924494</v>
      </c>
      <c r="C1267">
        <v>209</v>
      </c>
      <c r="D1267">
        <v>52813</v>
      </c>
      <c r="E1267">
        <v>165658</v>
      </c>
      <c r="I1267" t="s">
        <v>10295</v>
      </c>
      <c r="L1267" t="s">
        <v>10489</v>
      </c>
      <c r="M1267" t="s">
        <v>10489</v>
      </c>
      <c r="S1267" t="s">
        <v>3469</v>
      </c>
    </row>
    <row r="1268" spans="1:19" x14ac:dyDescent="0.2">
      <c r="A1268" t="str">
        <f t="shared" si="19"/>
        <v>metab_compid_52865</v>
      </c>
      <c r="B1268">
        <v>999924544</v>
      </c>
      <c r="C1268">
        <v>209</v>
      </c>
      <c r="D1268">
        <v>52865</v>
      </c>
      <c r="E1268">
        <v>165711</v>
      </c>
      <c r="I1268" t="s">
        <v>10295</v>
      </c>
      <c r="L1268" t="s">
        <v>10490</v>
      </c>
      <c r="M1268" t="s">
        <v>10490</v>
      </c>
      <c r="S1268" t="s">
        <v>3469</v>
      </c>
    </row>
    <row r="1269" spans="1:19" x14ac:dyDescent="0.2">
      <c r="A1269" t="str">
        <f t="shared" si="19"/>
        <v>metab_compid_52866</v>
      </c>
      <c r="B1269">
        <v>999924545</v>
      </c>
      <c r="C1269">
        <v>209</v>
      </c>
      <c r="D1269">
        <v>52866</v>
      </c>
      <c r="E1269">
        <v>165712</v>
      </c>
      <c r="I1269" t="s">
        <v>10295</v>
      </c>
      <c r="L1269" t="s">
        <v>10491</v>
      </c>
      <c r="M1269" t="s">
        <v>10491</v>
      </c>
      <c r="S1269" t="s">
        <v>3469</v>
      </c>
    </row>
    <row r="1270" spans="1:19" x14ac:dyDescent="0.2">
      <c r="A1270" t="str">
        <f t="shared" si="19"/>
        <v>metab_compid_52867</v>
      </c>
      <c r="B1270">
        <v>999924546</v>
      </c>
      <c r="C1270">
        <v>209</v>
      </c>
      <c r="D1270">
        <v>52867</v>
      </c>
      <c r="E1270">
        <v>165713</v>
      </c>
      <c r="I1270" t="s">
        <v>10295</v>
      </c>
      <c r="L1270" t="s">
        <v>10492</v>
      </c>
      <c r="M1270" t="s">
        <v>10492</v>
      </c>
      <c r="S1270" t="s">
        <v>3469</v>
      </c>
    </row>
    <row r="1271" spans="1:19" x14ac:dyDescent="0.2">
      <c r="A1271" t="str">
        <f t="shared" si="19"/>
        <v>metab_compid_52877</v>
      </c>
      <c r="B1271">
        <v>999924556</v>
      </c>
      <c r="C1271">
        <v>209</v>
      </c>
      <c r="D1271">
        <v>52877</v>
      </c>
      <c r="E1271">
        <v>165723</v>
      </c>
      <c r="I1271" t="s">
        <v>10295</v>
      </c>
      <c r="L1271" t="s">
        <v>10493</v>
      </c>
      <c r="M1271" t="s">
        <v>10493</v>
      </c>
      <c r="S1271" t="s">
        <v>3469</v>
      </c>
    </row>
    <row r="1272" spans="1:19" x14ac:dyDescent="0.2">
      <c r="A1272" t="str">
        <f t="shared" si="19"/>
        <v>metab_compid_52892</v>
      </c>
      <c r="B1272">
        <v>999924571</v>
      </c>
      <c r="C1272">
        <v>209</v>
      </c>
      <c r="D1272">
        <v>52892</v>
      </c>
      <c r="E1272">
        <v>165738</v>
      </c>
      <c r="I1272" t="s">
        <v>10295</v>
      </c>
      <c r="L1272" t="s">
        <v>10494</v>
      </c>
      <c r="M1272" t="s">
        <v>10494</v>
      </c>
      <c r="S1272" t="s">
        <v>3469</v>
      </c>
    </row>
    <row r="1273" spans="1:19" x14ac:dyDescent="0.2">
      <c r="A1273" t="str">
        <f t="shared" si="19"/>
        <v>metab_compid_52899</v>
      </c>
      <c r="B1273">
        <v>999924578</v>
      </c>
      <c r="C1273">
        <v>209</v>
      </c>
      <c r="D1273">
        <v>52899</v>
      </c>
      <c r="E1273">
        <v>165745</v>
      </c>
      <c r="I1273" t="s">
        <v>10295</v>
      </c>
      <c r="L1273" t="s">
        <v>10495</v>
      </c>
      <c r="M1273" t="s">
        <v>10495</v>
      </c>
      <c r="S1273" t="s">
        <v>3469</v>
      </c>
    </row>
    <row r="1274" spans="1:19" x14ac:dyDescent="0.2">
      <c r="A1274" t="str">
        <f t="shared" si="19"/>
        <v>metab_compid_52902</v>
      </c>
      <c r="B1274">
        <v>999924581</v>
      </c>
      <c r="C1274">
        <v>209</v>
      </c>
      <c r="D1274">
        <v>52902</v>
      </c>
      <c r="E1274">
        <v>165748</v>
      </c>
      <c r="I1274" t="s">
        <v>10295</v>
      </c>
      <c r="L1274" t="s">
        <v>10496</v>
      </c>
      <c r="M1274" t="s">
        <v>10496</v>
      </c>
      <c r="S1274" t="s">
        <v>3469</v>
      </c>
    </row>
    <row r="1275" spans="1:19" x14ac:dyDescent="0.2">
      <c r="A1275" t="str">
        <f t="shared" si="19"/>
        <v>metab_compid_52903</v>
      </c>
      <c r="B1275">
        <v>999924582</v>
      </c>
      <c r="C1275">
        <v>209</v>
      </c>
      <c r="D1275">
        <v>52903</v>
      </c>
      <c r="E1275">
        <v>165749</v>
      </c>
      <c r="I1275" t="s">
        <v>10295</v>
      </c>
      <c r="L1275" t="s">
        <v>10497</v>
      </c>
      <c r="M1275" t="s">
        <v>10497</v>
      </c>
      <c r="S1275" t="s">
        <v>3469</v>
      </c>
    </row>
    <row r="1276" spans="1:19" x14ac:dyDescent="0.2">
      <c r="A1276" t="str">
        <f t="shared" si="19"/>
        <v>metab_compid_52909</v>
      </c>
      <c r="B1276">
        <v>999924588</v>
      </c>
      <c r="C1276">
        <v>209</v>
      </c>
      <c r="D1276">
        <v>52909</v>
      </c>
      <c r="E1276">
        <v>165756</v>
      </c>
      <c r="I1276" t="s">
        <v>10295</v>
      </c>
      <c r="L1276" t="s">
        <v>10498</v>
      </c>
      <c r="M1276" t="s">
        <v>10498</v>
      </c>
      <c r="S1276" t="s">
        <v>3469</v>
      </c>
    </row>
    <row r="1277" spans="1:19" x14ac:dyDescent="0.2">
      <c r="A1277" t="str">
        <f t="shared" si="19"/>
        <v>metab_compid_53023</v>
      </c>
      <c r="B1277">
        <v>999924608</v>
      </c>
      <c r="C1277">
        <v>209</v>
      </c>
      <c r="D1277">
        <v>53023</v>
      </c>
      <c r="E1277">
        <v>165964</v>
      </c>
      <c r="I1277" t="s">
        <v>10295</v>
      </c>
      <c r="L1277" t="s">
        <v>10499</v>
      </c>
      <c r="M1277" t="s">
        <v>10499</v>
      </c>
      <c r="S1277" t="s">
        <v>3469</v>
      </c>
    </row>
    <row r="1278" spans="1:19" x14ac:dyDescent="0.2">
      <c r="A1278" t="str">
        <f t="shared" si="19"/>
        <v>metab_compid_53157</v>
      </c>
      <c r="B1278">
        <v>999924728</v>
      </c>
      <c r="C1278">
        <v>400</v>
      </c>
      <c r="D1278">
        <v>53157</v>
      </c>
      <c r="E1278">
        <v>166544</v>
      </c>
      <c r="I1278" t="s">
        <v>10295</v>
      </c>
      <c r="L1278" t="s">
        <v>10500</v>
      </c>
      <c r="M1278" t="s">
        <v>10500</v>
      </c>
      <c r="S1278" t="s">
        <v>3458</v>
      </c>
    </row>
    <row r="1279" spans="1:19" x14ac:dyDescent="0.2">
      <c r="A1279" t="str">
        <f t="shared" si="19"/>
        <v>metab_compid_53172</v>
      </c>
      <c r="B1279">
        <v>999924736</v>
      </c>
      <c r="C1279">
        <v>400</v>
      </c>
      <c r="D1279">
        <v>53172</v>
      </c>
      <c r="E1279">
        <v>166597</v>
      </c>
      <c r="I1279" t="s">
        <v>10295</v>
      </c>
      <c r="L1279" t="s">
        <v>10501</v>
      </c>
      <c r="M1279" t="s">
        <v>10501</v>
      </c>
      <c r="S1279" t="s">
        <v>3458</v>
      </c>
    </row>
    <row r="1280" spans="1:19" x14ac:dyDescent="0.2">
      <c r="A1280" t="str">
        <f t="shared" si="19"/>
        <v>metab_compid_54695</v>
      </c>
      <c r="B1280">
        <v>999924757</v>
      </c>
      <c r="C1280">
        <v>209</v>
      </c>
      <c r="D1280">
        <v>54695</v>
      </c>
      <c r="E1280">
        <v>180942</v>
      </c>
      <c r="I1280" t="s">
        <v>10295</v>
      </c>
      <c r="L1280" t="s">
        <v>10502</v>
      </c>
      <c r="M1280" t="s">
        <v>10502</v>
      </c>
      <c r="S1280" t="s">
        <v>3469</v>
      </c>
    </row>
    <row r="1281" spans="1:19" x14ac:dyDescent="0.2">
      <c r="A1281" t="str">
        <f t="shared" si="19"/>
        <v>metab_compid_54823</v>
      </c>
      <c r="B1281">
        <v>999924795</v>
      </c>
      <c r="C1281">
        <v>209</v>
      </c>
      <c r="D1281">
        <v>54823</v>
      </c>
      <c r="E1281">
        <v>192369</v>
      </c>
      <c r="I1281" t="s">
        <v>10295</v>
      </c>
      <c r="L1281" t="s">
        <v>10503</v>
      </c>
      <c r="M1281" t="s">
        <v>10503</v>
      </c>
      <c r="S1281" t="s">
        <v>3469</v>
      </c>
    </row>
    <row r="1282" spans="1:19" x14ac:dyDescent="0.2">
      <c r="A1282" t="str">
        <f t="shared" ref="A1282:A1332" si="20">_xlfn.CONCAT("metab_compid_", $D1282)</f>
        <v>metab_compid_54839</v>
      </c>
      <c r="B1282">
        <v>999924811</v>
      </c>
      <c r="C1282">
        <v>400</v>
      </c>
      <c r="D1282">
        <v>54839</v>
      </c>
      <c r="E1282">
        <v>207725</v>
      </c>
      <c r="I1282" t="s">
        <v>10295</v>
      </c>
      <c r="L1282" t="s">
        <v>10504</v>
      </c>
      <c r="M1282" t="s">
        <v>10504</v>
      </c>
      <c r="S1282" t="s">
        <v>3458</v>
      </c>
    </row>
    <row r="1283" spans="1:19" x14ac:dyDescent="0.2">
      <c r="A1283" t="str">
        <f t="shared" si="20"/>
        <v>metab_compid_54840</v>
      </c>
      <c r="B1283">
        <v>999924812</v>
      </c>
      <c r="C1283">
        <v>400</v>
      </c>
      <c r="D1283">
        <v>54840</v>
      </c>
      <c r="E1283">
        <v>207726</v>
      </c>
      <c r="I1283" t="s">
        <v>10295</v>
      </c>
      <c r="L1283" t="s">
        <v>10505</v>
      </c>
      <c r="M1283" t="s">
        <v>10505</v>
      </c>
      <c r="S1283" t="s">
        <v>3458</v>
      </c>
    </row>
    <row r="1284" spans="1:19" x14ac:dyDescent="0.2">
      <c r="A1284" t="str">
        <f t="shared" si="20"/>
        <v>metab_compid_57714</v>
      </c>
      <c r="B1284">
        <v>999924947</v>
      </c>
      <c r="C1284">
        <v>209</v>
      </c>
      <c r="D1284">
        <v>57714</v>
      </c>
      <c r="E1284">
        <v>213216</v>
      </c>
      <c r="I1284" t="s">
        <v>10295</v>
      </c>
      <c r="L1284" t="s">
        <v>10506</v>
      </c>
      <c r="M1284" t="s">
        <v>10506</v>
      </c>
      <c r="S1284" t="s">
        <v>3469</v>
      </c>
    </row>
    <row r="1285" spans="1:19" x14ac:dyDescent="0.2">
      <c r="A1285" t="str">
        <f t="shared" si="20"/>
        <v>metab_compid_57716</v>
      </c>
      <c r="B1285">
        <v>999924949</v>
      </c>
      <c r="C1285">
        <v>209</v>
      </c>
      <c r="D1285">
        <v>57716</v>
      </c>
      <c r="E1285">
        <v>213218</v>
      </c>
      <c r="I1285" t="s">
        <v>10295</v>
      </c>
      <c r="L1285" t="s">
        <v>10507</v>
      </c>
      <c r="M1285" t="s">
        <v>10507</v>
      </c>
      <c r="S1285" t="s">
        <v>3469</v>
      </c>
    </row>
    <row r="1286" spans="1:19" x14ac:dyDescent="0.2">
      <c r="A1286" t="str">
        <f t="shared" si="20"/>
        <v>metab_compid_57718</v>
      </c>
      <c r="B1286">
        <v>999924951</v>
      </c>
      <c r="C1286">
        <v>209</v>
      </c>
      <c r="D1286">
        <v>57718</v>
      </c>
      <c r="E1286">
        <v>213220</v>
      </c>
      <c r="I1286" t="s">
        <v>10295</v>
      </c>
      <c r="L1286" t="s">
        <v>10508</v>
      </c>
      <c r="M1286" t="s">
        <v>10508</v>
      </c>
      <c r="S1286" t="s">
        <v>3469</v>
      </c>
    </row>
    <row r="1287" spans="1:19" x14ac:dyDescent="0.2">
      <c r="A1287" t="str">
        <f t="shared" si="20"/>
        <v>metab_compid_57719</v>
      </c>
      <c r="B1287">
        <v>999924952</v>
      </c>
      <c r="C1287">
        <v>209</v>
      </c>
      <c r="D1287">
        <v>57719</v>
      </c>
      <c r="E1287">
        <v>213221</v>
      </c>
      <c r="I1287" t="s">
        <v>10295</v>
      </c>
      <c r="L1287" t="s">
        <v>10509</v>
      </c>
      <c r="M1287" t="s">
        <v>10509</v>
      </c>
      <c r="S1287" t="s">
        <v>3469</v>
      </c>
    </row>
    <row r="1288" spans="1:19" x14ac:dyDescent="0.2">
      <c r="A1288" t="str">
        <f t="shared" si="20"/>
        <v>metab_compid_57720</v>
      </c>
      <c r="B1288">
        <v>999924953</v>
      </c>
      <c r="C1288">
        <v>209</v>
      </c>
      <c r="D1288">
        <v>57720</v>
      </c>
      <c r="E1288">
        <v>213222</v>
      </c>
      <c r="I1288" t="s">
        <v>10295</v>
      </c>
      <c r="L1288" t="s">
        <v>10510</v>
      </c>
      <c r="M1288" t="s">
        <v>10510</v>
      </c>
      <c r="S1288" t="s">
        <v>3469</v>
      </c>
    </row>
    <row r="1289" spans="1:19" x14ac:dyDescent="0.2">
      <c r="A1289" t="str">
        <f t="shared" si="20"/>
        <v>metab_compid_57754</v>
      </c>
      <c r="B1289">
        <v>999924970</v>
      </c>
      <c r="C1289">
        <v>400</v>
      </c>
      <c r="D1289">
        <v>57754</v>
      </c>
      <c r="E1289">
        <v>213353</v>
      </c>
      <c r="I1289" t="s">
        <v>10295</v>
      </c>
      <c r="L1289" t="s">
        <v>10511</v>
      </c>
      <c r="M1289" t="s">
        <v>10511</v>
      </c>
      <c r="S1289" t="s">
        <v>3458</v>
      </c>
    </row>
    <row r="1290" spans="1:19" x14ac:dyDescent="0.2">
      <c r="A1290" t="str">
        <f t="shared" si="20"/>
        <v>metab_compid_61682</v>
      </c>
      <c r="B1290">
        <v>999925109</v>
      </c>
      <c r="C1290">
        <v>400</v>
      </c>
      <c r="D1290">
        <v>61682</v>
      </c>
      <c r="E1290">
        <v>217977</v>
      </c>
      <c r="I1290" t="s">
        <v>10295</v>
      </c>
      <c r="L1290" t="s">
        <v>10512</v>
      </c>
      <c r="M1290" t="s">
        <v>10512</v>
      </c>
      <c r="S1290" t="s">
        <v>3458</v>
      </c>
    </row>
    <row r="1291" spans="1:19" x14ac:dyDescent="0.2">
      <c r="A1291" t="str">
        <f t="shared" si="20"/>
        <v>metab_compid_62403</v>
      </c>
      <c r="B1291">
        <v>999925217</v>
      </c>
      <c r="C1291">
        <v>400</v>
      </c>
      <c r="D1291">
        <v>62403</v>
      </c>
      <c r="E1291">
        <v>219550</v>
      </c>
      <c r="I1291" t="s">
        <v>10295</v>
      </c>
      <c r="L1291" t="s">
        <v>10513</v>
      </c>
      <c r="M1291" t="s">
        <v>10513</v>
      </c>
      <c r="S1291" t="s">
        <v>3458</v>
      </c>
    </row>
    <row r="1292" spans="1:19" x14ac:dyDescent="0.2">
      <c r="A1292" t="str">
        <f t="shared" si="20"/>
        <v>metab_compid_62494</v>
      </c>
      <c r="B1292">
        <v>999925265</v>
      </c>
      <c r="C1292">
        <v>400</v>
      </c>
      <c r="D1292">
        <v>62494</v>
      </c>
      <c r="E1292">
        <v>219776</v>
      </c>
      <c r="I1292" t="s">
        <v>10295</v>
      </c>
      <c r="L1292" t="s">
        <v>10514</v>
      </c>
      <c r="M1292" t="s">
        <v>10514</v>
      </c>
      <c r="S1292" t="s">
        <v>3458</v>
      </c>
    </row>
    <row r="1293" spans="1:19" x14ac:dyDescent="0.2">
      <c r="A1293" t="str">
        <f t="shared" si="20"/>
        <v>metab_compid_62500</v>
      </c>
      <c r="B1293">
        <v>999925271</v>
      </c>
      <c r="C1293">
        <v>400</v>
      </c>
      <c r="D1293">
        <v>62500</v>
      </c>
      <c r="E1293">
        <v>219782</v>
      </c>
      <c r="I1293" t="s">
        <v>10295</v>
      </c>
      <c r="L1293" t="s">
        <v>10515</v>
      </c>
      <c r="M1293" t="s">
        <v>10515</v>
      </c>
      <c r="S1293" t="s">
        <v>3458</v>
      </c>
    </row>
    <row r="1294" spans="1:19" x14ac:dyDescent="0.2">
      <c r="A1294" t="str">
        <f t="shared" si="20"/>
        <v>metab_compid_62521</v>
      </c>
      <c r="B1294">
        <v>999925279</v>
      </c>
      <c r="C1294">
        <v>209</v>
      </c>
      <c r="D1294">
        <v>62521</v>
      </c>
      <c r="E1294">
        <v>219836</v>
      </c>
      <c r="I1294" t="s">
        <v>10295</v>
      </c>
      <c r="L1294" t="s">
        <v>10516</v>
      </c>
      <c r="M1294" t="s">
        <v>10516</v>
      </c>
      <c r="S1294" t="s">
        <v>3469</v>
      </c>
    </row>
    <row r="1295" spans="1:19" x14ac:dyDescent="0.2">
      <c r="A1295" t="str">
        <f t="shared" si="20"/>
        <v>metab_compid_62636</v>
      </c>
      <c r="B1295">
        <v>999925343</v>
      </c>
      <c r="C1295">
        <v>400</v>
      </c>
      <c r="D1295">
        <v>62636</v>
      </c>
      <c r="E1295">
        <v>220135</v>
      </c>
      <c r="I1295" t="s">
        <v>10295</v>
      </c>
      <c r="L1295" t="s">
        <v>10517</v>
      </c>
      <c r="M1295" t="s">
        <v>10517</v>
      </c>
      <c r="S1295" t="s">
        <v>3458</v>
      </c>
    </row>
    <row r="1296" spans="1:19" x14ac:dyDescent="0.2">
      <c r="A1296" t="str">
        <f t="shared" si="20"/>
        <v>metab_compid_62664</v>
      </c>
      <c r="B1296">
        <v>999925371</v>
      </c>
      <c r="C1296">
        <v>209</v>
      </c>
      <c r="D1296">
        <v>62664</v>
      </c>
      <c r="E1296">
        <v>220176</v>
      </c>
      <c r="I1296" t="s">
        <v>10295</v>
      </c>
      <c r="L1296" t="s">
        <v>10518</v>
      </c>
      <c r="M1296" t="s">
        <v>10518</v>
      </c>
      <c r="S1296" t="s">
        <v>3469</v>
      </c>
    </row>
    <row r="1297" spans="1:19" x14ac:dyDescent="0.2">
      <c r="A1297" t="str">
        <f t="shared" si="20"/>
        <v>metab_compid_62700</v>
      </c>
      <c r="B1297">
        <v>999925406</v>
      </c>
      <c r="C1297">
        <v>209</v>
      </c>
      <c r="D1297">
        <v>62700</v>
      </c>
      <c r="E1297">
        <v>220213</v>
      </c>
      <c r="I1297" t="s">
        <v>10295</v>
      </c>
      <c r="L1297" t="s">
        <v>10519</v>
      </c>
      <c r="M1297" t="s">
        <v>10519</v>
      </c>
      <c r="S1297" t="s">
        <v>3469</v>
      </c>
    </row>
    <row r="1298" spans="1:19" x14ac:dyDescent="0.2">
      <c r="A1298" t="str">
        <f t="shared" si="20"/>
        <v>metab_compid_62714</v>
      </c>
      <c r="B1298">
        <v>999925417</v>
      </c>
      <c r="C1298">
        <v>400</v>
      </c>
      <c r="D1298">
        <v>62714</v>
      </c>
      <c r="E1298">
        <v>220232</v>
      </c>
      <c r="I1298" t="s">
        <v>10295</v>
      </c>
      <c r="L1298" t="s">
        <v>10520</v>
      </c>
      <c r="M1298" t="s">
        <v>10520</v>
      </c>
      <c r="S1298" t="s">
        <v>3458</v>
      </c>
    </row>
    <row r="1299" spans="1:19" x14ac:dyDescent="0.2">
      <c r="A1299" t="str">
        <f t="shared" si="20"/>
        <v>metab_compid_62716</v>
      </c>
      <c r="B1299">
        <v>999925419</v>
      </c>
      <c r="C1299">
        <v>400</v>
      </c>
      <c r="D1299">
        <v>62716</v>
      </c>
      <c r="E1299">
        <v>220234</v>
      </c>
      <c r="I1299" t="s">
        <v>10295</v>
      </c>
      <c r="L1299" t="s">
        <v>10521</v>
      </c>
      <c r="M1299" t="s">
        <v>10521</v>
      </c>
      <c r="S1299" t="s">
        <v>3458</v>
      </c>
    </row>
    <row r="1300" spans="1:19" x14ac:dyDescent="0.2">
      <c r="A1300" t="str">
        <f t="shared" si="20"/>
        <v>metab_compid_62717</v>
      </c>
      <c r="B1300">
        <v>999925420</v>
      </c>
      <c r="C1300">
        <v>400</v>
      </c>
      <c r="D1300">
        <v>62717</v>
      </c>
      <c r="E1300">
        <v>220235</v>
      </c>
      <c r="I1300" t="s">
        <v>10295</v>
      </c>
      <c r="L1300" t="s">
        <v>10522</v>
      </c>
      <c r="M1300" t="s">
        <v>10522</v>
      </c>
      <c r="S1300" t="s">
        <v>3458</v>
      </c>
    </row>
    <row r="1301" spans="1:19" x14ac:dyDescent="0.2">
      <c r="A1301" t="str">
        <f t="shared" si="20"/>
        <v>metab_compid_62719</v>
      </c>
      <c r="B1301">
        <v>999925422</v>
      </c>
      <c r="C1301">
        <v>400</v>
      </c>
      <c r="D1301">
        <v>62719</v>
      </c>
      <c r="E1301">
        <v>220237</v>
      </c>
      <c r="I1301" t="s">
        <v>10295</v>
      </c>
      <c r="L1301" t="s">
        <v>10523</v>
      </c>
      <c r="M1301" t="s">
        <v>10523</v>
      </c>
      <c r="S1301" t="s">
        <v>3458</v>
      </c>
    </row>
    <row r="1302" spans="1:19" x14ac:dyDescent="0.2">
      <c r="A1302" t="str">
        <f t="shared" si="20"/>
        <v>metab_compid_62749</v>
      </c>
      <c r="B1302">
        <v>999925433</v>
      </c>
      <c r="C1302">
        <v>209</v>
      </c>
      <c r="D1302">
        <v>62749</v>
      </c>
      <c r="E1302">
        <v>220316</v>
      </c>
      <c r="I1302" t="s">
        <v>10295</v>
      </c>
      <c r="L1302" t="s">
        <v>10524</v>
      </c>
      <c r="M1302" t="s">
        <v>10524</v>
      </c>
      <c r="S1302" t="s">
        <v>3469</v>
      </c>
    </row>
    <row r="1303" spans="1:19" x14ac:dyDescent="0.2">
      <c r="A1303" t="str">
        <f t="shared" si="20"/>
        <v>metab_compid_62820</v>
      </c>
      <c r="B1303">
        <v>999925450</v>
      </c>
      <c r="C1303">
        <v>209</v>
      </c>
      <c r="D1303">
        <v>62820</v>
      </c>
      <c r="E1303">
        <v>220481</v>
      </c>
      <c r="I1303" t="s">
        <v>10295</v>
      </c>
      <c r="L1303" t="s">
        <v>10525</v>
      </c>
      <c r="M1303" t="s">
        <v>10525</v>
      </c>
      <c r="S1303" t="s">
        <v>3469</v>
      </c>
    </row>
    <row r="1304" spans="1:19" x14ac:dyDescent="0.2">
      <c r="A1304" t="str">
        <f t="shared" si="20"/>
        <v>metab_compid_62824</v>
      </c>
      <c r="B1304">
        <v>999925454</v>
      </c>
      <c r="C1304">
        <v>209</v>
      </c>
      <c r="D1304">
        <v>62824</v>
      </c>
      <c r="E1304">
        <v>220485</v>
      </c>
      <c r="I1304" t="s">
        <v>10295</v>
      </c>
      <c r="L1304" t="s">
        <v>10526</v>
      </c>
      <c r="M1304" t="s">
        <v>10526</v>
      </c>
      <c r="S1304" t="s">
        <v>3469</v>
      </c>
    </row>
    <row r="1305" spans="1:19" x14ac:dyDescent="0.2">
      <c r="A1305" t="str">
        <f t="shared" si="20"/>
        <v>metab_compid_62945</v>
      </c>
      <c r="B1305">
        <v>999925511</v>
      </c>
      <c r="C1305">
        <v>209</v>
      </c>
      <c r="D1305">
        <v>62945</v>
      </c>
      <c r="E1305">
        <v>220813</v>
      </c>
      <c r="I1305" t="s">
        <v>10295</v>
      </c>
      <c r="L1305" t="s">
        <v>10527</v>
      </c>
      <c r="M1305" t="s">
        <v>10527</v>
      </c>
      <c r="S1305" t="s">
        <v>3469</v>
      </c>
    </row>
    <row r="1306" spans="1:19" x14ac:dyDescent="0.2">
      <c r="A1306" t="str">
        <f t="shared" si="20"/>
        <v>metab_compid_62963</v>
      </c>
      <c r="B1306">
        <v>999925519</v>
      </c>
      <c r="C1306">
        <v>400</v>
      </c>
      <c r="D1306">
        <v>62963</v>
      </c>
      <c r="E1306">
        <v>220852</v>
      </c>
      <c r="I1306" t="s">
        <v>10295</v>
      </c>
      <c r="L1306" t="s">
        <v>10528</v>
      </c>
      <c r="M1306" t="s">
        <v>10528</v>
      </c>
      <c r="S1306" t="s">
        <v>3458</v>
      </c>
    </row>
    <row r="1307" spans="1:19" x14ac:dyDescent="0.2">
      <c r="A1307" t="str">
        <f t="shared" si="20"/>
        <v>metab_compid_62964</v>
      </c>
      <c r="B1307">
        <v>999925520</v>
      </c>
      <c r="C1307">
        <v>400</v>
      </c>
      <c r="D1307">
        <v>62964</v>
      </c>
      <c r="E1307">
        <v>220853</v>
      </c>
      <c r="I1307" t="s">
        <v>10295</v>
      </c>
      <c r="L1307" t="s">
        <v>10529</v>
      </c>
      <c r="M1307" t="s">
        <v>10529</v>
      </c>
      <c r="S1307" t="s">
        <v>3458</v>
      </c>
    </row>
    <row r="1308" spans="1:19" x14ac:dyDescent="0.2">
      <c r="A1308" t="str">
        <f t="shared" si="20"/>
        <v>metab_compid_63560</v>
      </c>
      <c r="B1308">
        <v>999925790</v>
      </c>
      <c r="C1308">
        <v>400</v>
      </c>
      <c r="D1308">
        <v>63560</v>
      </c>
      <c r="E1308">
        <v>222789</v>
      </c>
      <c r="I1308" t="s">
        <v>10295</v>
      </c>
      <c r="L1308" t="s">
        <v>10530</v>
      </c>
      <c r="M1308" t="s">
        <v>10530</v>
      </c>
      <c r="S1308" t="s">
        <v>3458</v>
      </c>
    </row>
    <row r="1309" spans="1:19" x14ac:dyDescent="0.2">
      <c r="A1309" t="str">
        <f t="shared" si="20"/>
        <v>metab_compid_63592</v>
      </c>
      <c r="B1309">
        <v>999925810</v>
      </c>
      <c r="C1309">
        <v>400</v>
      </c>
      <c r="D1309">
        <v>63592</v>
      </c>
      <c r="E1309">
        <v>222878</v>
      </c>
      <c r="I1309" t="s">
        <v>10295</v>
      </c>
      <c r="L1309" t="s">
        <v>10531</v>
      </c>
      <c r="M1309" t="s">
        <v>10531</v>
      </c>
      <c r="S1309" t="s">
        <v>3458</v>
      </c>
    </row>
    <row r="1310" spans="1:19" x14ac:dyDescent="0.2">
      <c r="A1310" t="str">
        <f t="shared" si="20"/>
        <v>metab_compid_63721</v>
      </c>
      <c r="B1310">
        <v>999925855</v>
      </c>
      <c r="C1310">
        <v>400</v>
      </c>
      <c r="D1310">
        <v>63721</v>
      </c>
      <c r="E1310">
        <v>223226</v>
      </c>
      <c r="I1310" t="s">
        <v>10295</v>
      </c>
      <c r="L1310" t="s">
        <v>10532</v>
      </c>
      <c r="M1310" t="s">
        <v>10532</v>
      </c>
      <c r="S1310" t="s">
        <v>3458</v>
      </c>
    </row>
    <row r="1311" spans="1:19" x14ac:dyDescent="0.2">
      <c r="A1311" t="str">
        <f t="shared" si="20"/>
        <v>metab_compid_63840</v>
      </c>
      <c r="B1311">
        <v>999925936</v>
      </c>
      <c r="C1311">
        <v>400</v>
      </c>
      <c r="D1311">
        <v>63840</v>
      </c>
      <c r="E1311">
        <v>223405</v>
      </c>
      <c r="I1311" t="s">
        <v>10295</v>
      </c>
      <c r="L1311" t="s">
        <v>10533</v>
      </c>
      <c r="M1311" t="s">
        <v>10533</v>
      </c>
      <c r="S1311" t="s">
        <v>3458</v>
      </c>
    </row>
    <row r="1312" spans="1:19" x14ac:dyDescent="0.2">
      <c r="A1312" t="str">
        <f t="shared" si="20"/>
        <v>metab_compid_63899</v>
      </c>
      <c r="B1312">
        <v>999925948</v>
      </c>
      <c r="C1312">
        <v>400</v>
      </c>
      <c r="D1312">
        <v>63899</v>
      </c>
      <c r="E1312">
        <v>223706</v>
      </c>
      <c r="I1312" t="s">
        <v>10295</v>
      </c>
      <c r="L1312" t="s">
        <v>10534</v>
      </c>
      <c r="M1312" t="s">
        <v>10534</v>
      </c>
      <c r="S1312" t="s">
        <v>3458</v>
      </c>
    </row>
    <row r="1313" spans="1:19" x14ac:dyDescent="0.2">
      <c r="A1313" t="str">
        <f t="shared" si="20"/>
        <v>metab_compid_63908</v>
      </c>
      <c r="B1313">
        <v>999925957</v>
      </c>
      <c r="C1313">
        <v>400</v>
      </c>
      <c r="D1313">
        <v>63908</v>
      </c>
      <c r="E1313">
        <v>223734</v>
      </c>
      <c r="I1313" t="s">
        <v>10295</v>
      </c>
      <c r="L1313" t="s">
        <v>10535</v>
      </c>
      <c r="M1313" t="s">
        <v>10535</v>
      </c>
      <c r="S1313" t="s">
        <v>3458</v>
      </c>
    </row>
    <row r="1314" spans="1:19" x14ac:dyDescent="0.2">
      <c r="A1314" t="str">
        <f t="shared" si="20"/>
        <v>metab_compid_63973</v>
      </c>
      <c r="B1314">
        <v>999925983</v>
      </c>
      <c r="C1314">
        <v>400</v>
      </c>
      <c r="D1314">
        <v>63973</v>
      </c>
      <c r="E1314">
        <v>224190</v>
      </c>
      <c r="I1314" t="s">
        <v>10295</v>
      </c>
      <c r="L1314" t="s">
        <v>10536</v>
      </c>
      <c r="M1314" t="s">
        <v>10536</v>
      </c>
      <c r="S1314" t="s">
        <v>3458</v>
      </c>
    </row>
    <row r="1315" spans="1:19" x14ac:dyDescent="0.2">
      <c r="A1315" t="str">
        <f t="shared" si="20"/>
        <v>metab_compid_64337</v>
      </c>
      <c r="B1315">
        <v>999926062</v>
      </c>
      <c r="C1315">
        <v>209</v>
      </c>
      <c r="D1315">
        <v>64337</v>
      </c>
      <c r="E1315">
        <v>237366</v>
      </c>
      <c r="I1315" t="s">
        <v>10295</v>
      </c>
      <c r="L1315" t="s">
        <v>10537</v>
      </c>
      <c r="M1315" t="s">
        <v>10537</v>
      </c>
      <c r="S1315" t="s">
        <v>3469</v>
      </c>
    </row>
    <row r="1316" spans="1:19" x14ac:dyDescent="0.2">
      <c r="A1316" t="str">
        <f t="shared" si="20"/>
        <v>metab_compid_64372</v>
      </c>
      <c r="B1316">
        <v>999926097</v>
      </c>
      <c r="C1316">
        <v>400</v>
      </c>
      <c r="D1316">
        <v>64372</v>
      </c>
      <c r="E1316">
        <v>237426</v>
      </c>
      <c r="I1316" t="s">
        <v>10295</v>
      </c>
      <c r="L1316" t="s">
        <v>10538</v>
      </c>
      <c r="M1316" t="s">
        <v>10538</v>
      </c>
      <c r="S1316" t="s">
        <v>3458</v>
      </c>
    </row>
    <row r="1317" spans="1:19" x14ac:dyDescent="0.2">
      <c r="A1317" t="str">
        <f t="shared" si="20"/>
        <v>metab_compid_64395</v>
      </c>
      <c r="B1317">
        <v>999926106</v>
      </c>
      <c r="C1317">
        <v>402</v>
      </c>
      <c r="D1317">
        <v>64395</v>
      </c>
      <c r="E1317">
        <v>237486</v>
      </c>
      <c r="I1317" t="s">
        <v>10295</v>
      </c>
      <c r="L1317" t="s">
        <v>10539</v>
      </c>
      <c r="M1317" t="s">
        <v>10539</v>
      </c>
      <c r="S1317" t="s">
        <v>3447</v>
      </c>
    </row>
    <row r="1318" spans="1:19" x14ac:dyDescent="0.2">
      <c r="A1318" t="str">
        <f t="shared" si="20"/>
        <v>metab_compid_64396</v>
      </c>
      <c r="B1318">
        <v>999926107</v>
      </c>
      <c r="C1318">
        <v>402</v>
      </c>
      <c r="D1318">
        <v>64396</v>
      </c>
      <c r="E1318">
        <v>237487</v>
      </c>
      <c r="I1318" t="s">
        <v>10295</v>
      </c>
      <c r="L1318" t="s">
        <v>10540</v>
      </c>
      <c r="M1318" t="s">
        <v>10540</v>
      </c>
      <c r="S1318" t="s">
        <v>3447</v>
      </c>
    </row>
    <row r="1319" spans="1:19" x14ac:dyDescent="0.2">
      <c r="A1319" t="str">
        <f t="shared" si="20"/>
        <v>metab_compid_64397</v>
      </c>
      <c r="B1319">
        <v>999926108</v>
      </c>
      <c r="C1319">
        <v>402</v>
      </c>
      <c r="D1319">
        <v>64397</v>
      </c>
      <c r="E1319">
        <v>237488</v>
      </c>
      <c r="I1319" t="s">
        <v>10295</v>
      </c>
      <c r="L1319" t="s">
        <v>10541</v>
      </c>
      <c r="M1319" t="s">
        <v>10541</v>
      </c>
      <c r="S1319" t="s">
        <v>3447</v>
      </c>
    </row>
    <row r="1320" spans="1:19" x14ac:dyDescent="0.2">
      <c r="A1320" t="str">
        <f t="shared" si="20"/>
        <v>metab_compid_64399</v>
      </c>
      <c r="B1320">
        <v>999926109</v>
      </c>
      <c r="C1320">
        <v>209</v>
      </c>
      <c r="D1320">
        <v>64399</v>
      </c>
      <c r="E1320">
        <v>237506</v>
      </c>
      <c r="I1320" t="s">
        <v>10295</v>
      </c>
      <c r="L1320" t="s">
        <v>10542</v>
      </c>
      <c r="M1320" t="s">
        <v>10542</v>
      </c>
      <c r="S1320" t="s">
        <v>3469</v>
      </c>
    </row>
    <row r="1321" spans="1:19" x14ac:dyDescent="0.2">
      <c r="A1321" t="str">
        <f t="shared" si="20"/>
        <v>metab_compid_64401</v>
      </c>
      <c r="B1321">
        <v>999926111</v>
      </c>
      <c r="C1321">
        <v>209</v>
      </c>
      <c r="D1321">
        <v>64401</v>
      </c>
      <c r="E1321">
        <v>237508</v>
      </c>
      <c r="I1321" t="s">
        <v>10295</v>
      </c>
      <c r="L1321" t="s">
        <v>10543</v>
      </c>
      <c r="M1321" t="s">
        <v>10543</v>
      </c>
      <c r="S1321" t="s">
        <v>3469</v>
      </c>
    </row>
    <row r="1322" spans="1:19" x14ac:dyDescent="0.2">
      <c r="A1322" t="str">
        <f t="shared" si="20"/>
        <v>metab_compid_64440</v>
      </c>
      <c r="B1322">
        <v>999926119</v>
      </c>
      <c r="C1322">
        <v>209</v>
      </c>
      <c r="D1322">
        <v>64440</v>
      </c>
      <c r="E1322">
        <v>237727</v>
      </c>
      <c r="I1322" t="s">
        <v>10295</v>
      </c>
      <c r="L1322" t="s">
        <v>10544</v>
      </c>
      <c r="M1322" t="s">
        <v>10544</v>
      </c>
      <c r="S1322" t="s">
        <v>3469</v>
      </c>
    </row>
    <row r="1323" spans="1:19" x14ac:dyDescent="0.2">
      <c r="A1323" t="str">
        <f t="shared" si="20"/>
        <v>metab_compid_64917</v>
      </c>
      <c r="B1323">
        <v>999926191</v>
      </c>
      <c r="C1323">
        <v>209</v>
      </c>
      <c r="D1323">
        <v>64917</v>
      </c>
      <c r="E1323">
        <v>240210</v>
      </c>
      <c r="I1323" t="s">
        <v>10295</v>
      </c>
      <c r="L1323" t="s">
        <v>10545</v>
      </c>
      <c r="M1323" t="s">
        <v>10545</v>
      </c>
      <c r="S1323" t="s">
        <v>3469</v>
      </c>
    </row>
    <row r="1324" spans="1:19" x14ac:dyDescent="0.2">
      <c r="A1324" t="str">
        <f t="shared" si="20"/>
        <v>metab_compid_64921</v>
      </c>
      <c r="B1324">
        <v>999926193</v>
      </c>
      <c r="C1324">
        <v>209</v>
      </c>
      <c r="D1324">
        <v>64921</v>
      </c>
      <c r="E1324">
        <v>240215</v>
      </c>
      <c r="I1324" t="s">
        <v>10295</v>
      </c>
      <c r="L1324" t="s">
        <v>10546</v>
      </c>
      <c r="M1324" t="s">
        <v>10546</v>
      </c>
      <c r="S1324" t="s">
        <v>3469</v>
      </c>
    </row>
    <row r="1325" spans="1:19" x14ac:dyDescent="0.2">
      <c r="A1325" t="str">
        <f t="shared" si="20"/>
        <v>metab_compid_64950</v>
      </c>
      <c r="B1325">
        <v>999926220</v>
      </c>
      <c r="C1325">
        <v>209</v>
      </c>
      <c r="D1325">
        <v>64950</v>
      </c>
      <c r="E1325">
        <v>240319</v>
      </c>
      <c r="I1325" t="s">
        <v>10295</v>
      </c>
      <c r="L1325" t="s">
        <v>10547</v>
      </c>
      <c r="M1325" t="s">
        <v>10547</v>
      </c>
      <c r="S1325" t="s">
        <v>3469</v>
      </c>
    </row>
    <row r="1326" spans="1:19" x14ac:dyDescent="0.2">
      <c r="A1326" t="str">
        <f t="shared" si="20"/>
        <v>metab_compid_64987</v>
      </c>
      <c r="B1326">
        <v>999926235</v>
      </c>
      <c r="C1326">
        <v>400</v>
      </c>
      <c r="D1326">
        <v>64987</v>
      </c>
      <c r="E1326">
        <v>240488</v>
      </c>
      <c r="I1326" t="s">
        <v>10295</v>
      </c>
      <c r="L1326" t="s">
        <v>10548</v>
      </c>
      <c r="M1326" t="s">
        <v>10548</v>
      </c>
      <c r="S1326" t="s">
        <v>3458</v>
      </c>
    </row>
    <row r="1327" spans="1:19" x14ac:dyDescent="0.2">
      <c r="A1327" t="str">
        <f t="shared" si="20"/>
        <v>metab_compid_65032</v>
      </c>
      <c r="B1327">
        <v>999926268</v>
      </c>
      <c r="C1327">
        <v>209</v>
      </c>
      <c r="D1327">
        <v>65032</v>
      </c>
      <c r="E1327">
        <v>240634</v>
      </c>
      <c r="I1327" t="s">
        <v>10295</v>
      </c>
      <c r="L1327" t="s">
        <v>10549</v>
      </c>
      <c r="M1327" t="s">
        <v>10549</v>
      </c>
      <c r="S1327" t="s">
        <v>3469</v>
      </c>
    </row>
    <row r="1328" spans="1:19" x14ac:dyDescent="0.2">
      <c r="A1328" t="str">
        <f t="shared" si="20"/>
        <v>metab_compid_65045</v>
      </c>
      <c r="B1328">
        <v>999926273</v>
      </c>
      <c r="C1328">
        <v>402</v>
      </c>
      <c r="D1328">
        <v>65045</v>
      </c>
      <c r="E1328">
        <v>240706</v>
      </c>
      <c r="I1328" t="s">
        <v>10295</v>
      </c>
      <c r="L1328" t="s">
        <v>10550</v>
      </c>
      <c r="M1328" t="s">
        <v>10550</v>
      </c>
      <c r="S1328" t="s">
        <v>3447</v>
      </c>
    </row>
    <row r="1329" spans="1:19" x14ac:dyDescent="0.2">
      <c r="A1329" t="str">
        <f t="shared" si="20"/>
        <v>metab_compid_3147</v>
      </c>
      <c r="B1329">
        <v>1004</v>
      </c>
      <c r="C1329">
        <v>305</v>
      </c>
      <c r="D1329">
        <v>3147</v>
      </c>
      <c r="E1329">
        <v>147146</v>
      </c>
      <c r="F1329" t="s">
        <v>3533</v>
      </c>
      <c r="G1329" t="s">
        <v>3543</v>
      </c>
      <c r="H1329">
        <v>4141</v>
      </c>
      <c r="I1329" t="s">
        <v>3438</v>
      </c>
      <c r="J1329" t="s">
        <v>4536</v>
      </c>
      <c r="K1329" t="s">
        <v>4537</v>
      </c>
      <c r="L1329" t="s">
        <v>4538</v>
      </c>
      <c r="M1329" t="s">
        <v>4538</v>
      </c>
      <c r="N1329" t="s">
        <v>4539</v>
      </c>
      <c r="O1329" t="s">
        <v>4540</v>
      </c>
      <c r="P1329" t="s">
        <v>4541</v>
      </c>
      <c r="Q1329" t="s">
        <v>4542</v>
      </c>
      <c r="R1329" t="s">
        <v>4543</v>
      </c>
      <c r="S1329" t="s">
        <v>3489</v>
      </c>
    </row>
    <row r="1330" spans="1:19" x14ac:dyDescent="0.2">
      <c r="A1330" t="str">
        <f t="shared" si="20"/>
        <v>metab_compid_15679</v>
      </c>
      <c r="B1330">
        <v>100000015</v>
      </c>
      <c r="C1330">
        <v>209</v>
      </c>
      <c r="D1330">
        <v>15679</v>
      </c>
      <c r="E1330">
        <v>123267</v>
      </c>
      <c r="F1330" t="s">
        <v>3436</v>
      </c>
      <c r="G1330" t="s">
        <v>3470</v>
      </c>
      <c r="H1330">
        <v>283</v>
      </c>
      <c r="I1330" t="s">
        <v>3438</v>
      </c>
      <c r="J1330" t="s">
        <v>5175</v>
      </c>
      <c r="K1330" t="s">
        <v>5176</v>
      </c>
      <c r="L1330" t="s">
        <v>5177</v>
      </c>
      <c r="M1330" t="s">
        <v>5177</v>
      </c>
      <c r="N1330" t="s">
        <v>5178</v>
      </c>
      <c r="O1330" t="s">
        <v>5179</v>
      </c>
      <c r="P1330" t="s">
        <v>5180</v>
      </c>
      <c r="Q1330" t="s">
        <v>5181</v>
      </c>
      <c r="R1330" t="s">
        <v>5182</v>
      </c>
      <c r="S1330" t="s">
        <v>3469</v>
      </c>
    </row>
    <row r="1331" spans="1:19" x14ac:dyDescent="0.2">
      <c r="A1331" t="str">
        <f t="shared" si="20"/>
        <v>metab_compid_57517</v>
      </c>
      <c r="B1331">
        <v>100015836</v>
      </c>
      <c r="C1331">
        <v>402</v>
      </c>
      <c r="D1331">
        <v>57517</v>
      </c>
      <c r="E1331">
        <v>211218</v>
      </c>
      <c r="F1331" t="s">
        <v>3459</v>
      </c>
      <c r="G1331" t="s">
        <v>6535</v>
      </c>
      <c r="H1331">
        <v>1908</v>
      </c>
      <c r="I1331" t="s">
        <v>3438</v>
      </c>
      <c r="J1331" t="s">
        <v>9485</v>
      </c>
      <c r="K1331" t="s">
        <v>9486</v>
      </c>
      <c r="L1331" t="s">
        <v>9487</v>
      </c>
      <c r="M1331" t="s">
        <v>9487</v>
      </c>
      <c r="S1331" t="s">
        <v>3447</v>
      </c>
    </row>
    <row r="1332" spans="1:19" x14ac:dyDescent="0.2">
      <c r="A1332" t="str">
        <f t="shared" si="20"/>
        <v>metab_compid_62976</v>
      </c>
      <c r="B1332">
        <v>100004174</v>
      </c>
      <c r="C1332">
        <v>400</v>
      </c>
      <c r="D1332">
        <v>62976</v>
      </c>
      <c r="E1332">
        <v>221394</v>
      </c>
      <c r="F1332" t="s">
        <v>3863</v>
      </c>
      <c r="G1332" t="s">
        <v>4933</v>
      </c>
      <c r="H1332">
        <v>5925</v>
      </c>
      <c r="I1332" t="s">
        <v>3438</v>
      </c>
      <c r="J1332" t="s">
        <v>8102</v>
      </c>
      <c r="K1332" t="s">
        <v>8103</v>
      </c>
      <c r="L1332" t="s">
        <v>8104</v>
      </c>
      <c r="M1332" t="s">
        <v>8104</v>
      </c>
      <c r="N1332" t="s">
        <v>8105</v>
      </c>
      <c r="P1332" t="s">
        <v>8106</v>
      </c>
      <c r="Q1332" t="s">
        <v>8107</v>
      </c>
      <c r="R1332" t="s">
        <v>8108</v>
      </c>
      <c r="S1332" t="s">
        <v>3458</v>
      </c>
    </row>
  </sheetData>
  <autoFilter ref="A1:S1332" xr:uid="{4F1AE07E-4D74-2744-A61F-D420ECFE16B6}"/>
  <conditionalFormatting sqref="A1:A1048576">
    <cfRule type="duplicateValues" dxfId="27" priority="1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41DB8A-3264-1742-922B-CA3F7BB97887}">
  <dimension ref="A1:G251"/>
  <sheetViews>
    <sheetView zoomScale="75" workbookViewId="0">
      <selection sqref="A1:XFD1"/>
    </sheetView>
  </sheetViews>
  <sheetFormatPr baseColWidth="10" defaultRowHeight="16" x14ac:dyDescent="0.2"/>
  <cols>
    <col min="1" max="1" width="20.6640625" bestFit="1" customWidth="1"/>
  </cols>
  <sheetData>
    <row r="1" spans="1:7" x14ac:dyDescent="0.2">
      <c r="A1" t="s">
        <v>13424</v>
      </c>
      <c r="B1" t="s">
        <v>10551</v>
      </c>
      <c r="C1" t="s">
        <v>10552</v>
      </c>
      <c r="D1" t="s">
        <v>10553</v>
      </c>
      <c r="E1" t="s">
        <v>10554</v>
      </c>
      <c r="F1" t="s">
        <v>10555</v>
      </c>
      <c r="G1" t="s">
        <v>10556</v>
      </c>
    </row>
    <row r="2" spans="1:7" x14ac:dyDescent="0.2">
      <c r="A2" t="str">
        <f t="shared" ref="A2:A65" si="0">_xlfn.CONCAT("metab_", $B2)</f>
        <v>metab_acetate</v>
      </c>
      <c r="B2" t="s">
        <v>14</v>
      </c>
      <c r="C2" t="s">
        <v>15</v>
      </c>
      <c r="D2" t="s">
        <v>13</v>
      </c>
      <c r="E2" t="s">
        <v>13</v>
      </c>
      <c r="F2" t="s">
        <v>10761</v>
      </c>
      <c r="G2" t="s">
        <v>15</v>
      </c>
    </row>
    <row r="3" spans="1:7" x14ac:dyDescent="0.2">
      <c r="A3" t="str">
        <f t="shared" si="0"/>
        <v>metab_acetoacetate</v>
      </c>
      <c r="B3" t="s">
        <v>18</v>
      </c>
      <c r="C3" t="s">
        <v>19</v>
      </c>
      <c r="D3" t="s">
        <v>13</v>
      </c>
      <c r="E3" t="s">
        <v>13</v>
      </c>
      <c r="F3" t="s">
        <v>10762</v>
      </c>
      <c r="G3" t="s">
        <v>19</v>
      </c>
    </row>
    <row r="4" spans="1:7" x14ac:dyDescent="0.2">
      <c r="A4" t="str">
        <f t="shared" si="0"/>
        <v>metab_acetone</v>
      </c>
      <c r="B4" t="s">
        <v>22</v>
      </c>
      <c r="C4" t="s">
        <v>23</v>
      </c>
      <c r="D4" t="s">
        <v>13</v>
      </c>
      <c r="E4" t="s">
        <v>13</v>
      </c>
      <c r="F4" t="s">
        <v>10763</v>
      </c>
      <c r="G4" t="s">
        <v>23</v>
      </c>
    </row>
    <row r="5" spans="1:7" x14ac:dyDescent="0.2">
      <c r="A5" t="str">
        <f t="shared" si="0"/>
        <v>metab_ala</v>
      </c>
      <c r="B5" t="s">
        <v>10732</v>
      </c>
      <c r="C5" t="s">
        <v>10733</v>
      </c>
      <c r="D5" t="s">
        <v>30</v>
      </c>
      <c r="E5" t="s">
        <v>30</v>
      </c>
      <c r="F5" t="s">
        <v>10733</v>
      </c>
      <c r="G5" t="s">
        <v>27</v>
      </c>
    </row>
    <row r="6" spans="1:7" x14ac:dyDescent="0.2">
      <c r="A6" t="str">
        <f t="shared" si="0"/>
        <v>metab_albumin</v>
      </c>
      <c r="B6" t="s">
        <v>31</v>
      </c>
      <c r="C6" t="s">
        <v>32</v>
      </c>
      <c r="D6" t="s">
        <v>35</v>
      </c>
      <c r="E6" t="s">
        <v>35</v>
      </c>
      <c r="F6" t="s">
        <v>10765</v>
      </c>
      <c r="G6" t="s">
        <v>32</v>
      </c>
    </row>
    <row r="7" spans="1:7" x14ac:dyDescent="0.2">
      <c r="A7" t="str">
        <f t="shared" si="0"/>
        <v>metab_apoa1</v>
      </c>
      <c r="B7" t="s">
        <v>10674</v>
      </c>
      <c r="C7" t="s">
        <v>10675</v>
      </c>
      <c r="D7" t="s">
        <v>41</v>
      </c>
      <c r="E7" t="s">
        <v>41</v>
      </c>
      <c r="F7" t="s">
        <v>10675</v>
      </c>
      <c r="G7" t="s">
        <v>40</v>
      </c>
    </row>
    <row r="8" spans="1:7" x14ac:dyDescent="0.2">
      <c r="A8" t="str">
        <f t="shared" si="0"/>
        <v>metab_apob</v>
      </c>
      <c r="B8" t="s">
        <v>10672</v>
      </c>
      <c r="C8" t="s">
        <v>10673</v>
      </c>
      <c r="D8" t="s">
        <v>41</v>
      </c>
      <c r="E8" t="s">
        <v>41</v>
      </c>
      <c r="F8" t="s">
        <v>10673</v>
      </c>
      <c r="G8" t="s">
        <v>43</v>
      </c>
    </row>
    <row r="9" spans="1:7" x14ac:dyDescent="0.2">
      <c r="A9" t="str">
        <f t="shared" si="0"/>
        <v>metab_apobapoa1</v>
      </c>
      <c r="B9" t="s">
        <v>10676</v>
      </c>
      <c r="C9" t="s">
        <v>10677</v>
      </c>
      <c r="D9" t="s">
        <v>41</v>
      </c>
      <c r="E9" t="s">
        <v>41</v>
      </c>
      <c r="F9" t="s">
        <v>10678</v>
      </c>
      <c r="G9" t="s">
        <v>50</v>
      </c>
    </row>
    <row r="10" spans="1:7" x14ac:dyDescent="0.2">
      <c r="A10" t="str">
        <f t="shared" si="0"/>
        <v>metab_bohbutyrate</v>
      </c>
      <c r="B10" t="s">
        <v>10758</v>
      </c>
      <c r="C10" t="s">
        <v>10759</v>
      </c>
      <c r="D10" t="s">
        <v>13</v>
      </c>
      <c r="E10" t="s">
        <v>13</v>
      </c>
      <c r="F10" t="s">
        <v>10760</v>
      </c>
      <c r="G10" t="s">
        <v>10</v>
      </c>
    </row>
    <row r="11" spans="1:7" x14ac:dyDescent="0.2">
      <c r="A11" t="str">
        <f t="shared" si="0"/>
        <v>metab_cholines</v>
      </c>
      <c r="B11" t="s">
        <v>10665</v>
      </c>
      <c r="C11" t="s">
        <v>10666</v>
      </c>
      <c r="D11" t="s">
        <v>656</v>
      </c>
      <c r="E11" t="s">
        <v>656</v>
      </c>
      <c r="F11" t="s">
        <v>10667</v>
      </c>
      <c r="G11" t="s">
        <v>830</v>
      </c>
    </row>
    <row r="12" spans="1:7" x14ac:dyDescent="0.2">
      <c r="A12" t="str">
        <f t="shared" si="0"/>
        <v>metab_citrate</v>
      </c>
      <c r="B12" t="s">
        <v>337</v>
      </c>
      <c r="C12" t="s">
        <v>338</v>
      </c>
      <c r="D12" t="s">
        <v>341</v>
      </c>
      <c r="E12" t="s">
        <v>341</v>
      </c>
      <c r="F12" t="s">
        <v>10756</v>
      </c>
      <c r="G12" t="s">
        <v>338</v>
      </c>
    </row>
    <row r="13" spans="1:7" x14ac:dyDescent="0.2">
      <c r="A13" t="str">
        <f t="shared" si="0"/>
        <v>metab_clinicalldlc</v>
      </c>
      <c r="B13" t="s">
        <v>10569</v>
      </c>
      <c r="C13" t="s">
        <v>10570</v>
      </c>
      <c r="D13" t="s">
        <v>346</v>
      </c>
      <c r="E13" t="s">
        <v>346</v>
      </c>
      <c r="F13" t="s">
        <v>10571</v>
      </c>
      <c r="G13" t="s">
        <v>345</v>
      </c>
    </row>
    <row r="14" spans="1:7" x14ac:dyDescent="0.2">
      <c r="A14" t="str">
        <f t="shared" si="0"/>
        <v>metab_creatinine</v>
      </c>
      <c r="B14" t="s">
        <v>417</v>
      </c>
      <c r="C14" t="s">
        <v>418</v>
      </c>
      <c r="D14" t="s">
        <v>35</v>
      </c>
      <c r="E14" t="s">
        <v>35</v>
      </c>
      <c r="F14" t="s">
        <v>10764</v>
      </c>
      <c r="G14" t="s">
        <v>418</v>
      </c>
    </row>
    <row r="15" spans="1:7" x14ac:dyDescent="0.2">
      <c r="A15" t="str">
        <f t="shared" si="0"/>
        <v>metab_dha</v>
      </c>
      <c r="B15" t="s">
        <v>10702</v>
      </c>
      <c r="C15" t="s">
        <v>10703</v>
      </c>
      <c r="D15" t="s">
        <v>426</v>
      </c>
      <c r="E15" t="s">
        <v>426</v>
      </c>
      <c r="F15" t="s">
        <v>10704</v>
      </c>
      <c r="G15" t="s">
        <v>431</v>
      </c>
    </row>
    <row r="16" spans="1:7" x14ac:dyDescent="0.2">
      <c r="A16" t="str">
        <f t="shared" si="0"/>
        <v>metab_dhapct</v>
      </c>
      <c r="B16" t="s">
        <v>10723</v>
      </c>
      <c r="C16" t="s">
        <v>10724</v>
      </c>
      <c r="D16" t="s">
        <v>426</v>
      </c>
      <c r="E16" t="s">
        <v>437</v>
      </c>
      <c r="F16" t="s">
        <v>10725</v>
      </c>
      <c r="G16" t="s">
        <v>436</v>
      </c>
    </row>
    <row r="17" spans="1:7" x14ac:dyDescent="0.2">
      <c r="A17" t="str">
        <f t="shared" si="0"/>
        <v>metab_gln</v>
      </c>
      <c r="B17" t="s">
        <v>10734</v>
      </c>
      <c r="C17" t="s">
        <v>10735</v>
      </c>
      <c r="D17" t="s">
        <v>30</v>
      </c>
      <c r="E17" t="s">
        <v>30</v>
      </c>
      <c r="F17" t="s">
        <v>10735</v>
      </c>
      <c r="G17" t="s">
        <v>568</v>
      </c>
    </row>
    <row r="18" spans="1:7" x14ac:dyDescent="0.2">
      <c r="A18" t="str">
        <f t="shared" si="0"/>
        <v>metab_glucose</v>
      </c>
      <c r="B18" t="s">
        <v>563</v>
      </c>
      <c r="C18" t="s">
        <v>564</v>
      </c>
      <c r="D18" t="s">
        <v>341</v>
      </c>
      <c r="E18" t="s">
        <v>341</v>
      </c>
      <c r="F18" t="s">
        <v>10753</v>
      </c>
      <c r="G18" t="s">
        <v>564</v>
      </c>
    </row>
    <row r="19" spans="1:7" x14ac:dyDescent="0.2">
      <c r="A19" t="str">
        <f t="shared" si="0"/>
        <v>metab_gly</v>
      </c>
      <c r="B19" t="s">
        <v>10736</v>
      </c>
      <c r="C19" t="s">
        <v>10737</v>
      </c>
      <c r="D19" t="s">
        <v>30</v>
      </c>
      <c r="E19" t="s">
        <v>30</v>
      </c>
      <c r="F19" t="s">
        <v>10737</v>
      </c>
      <c r="G19" t="s">
        <v>572</v>
      </c>
    </row>
    <row r="20" spans="1:7" x14ac:dyDescent="0.2">
      <c r="A20" t="str">
        <f t="shared" si="0"/>
        <v>metab_glyca</v>
      </c>
      <c r="B20" t="s">
        <v>10766</v>
      </c>
      <c r="C20" t="s">
        <v>10767</v>
      </c>
      <c r="D20" t="s">
        <v>580</v>
      </c>
      <c r="E20" t="s">
        <v>580</v>
      </c>
      <c r="F20" t="s">
        <v>10768</v>
      </c>
      <c r="G20" t="s">
        <v>579</v>
      </c>
    </row>
    <row r="21" spans="1:7" x14ac:dyDescent="0.2">
      <c r="A21" t="str">
        <f t="shared" si="0"/>
        <v>metab_glycerol</v>
      </c>
      <c r="B21" t="s">
        <v>4890</v>
      </c>
      <c r="C21" t="s">
        <v>1085</v>
      </c>
      <c r="D21" t="s">
        <v>341</v>
      </c>
      <c r="E21" t="s">
        <v>341</v>
      </c>
      <c r="F21" t="s">
        <v>10757</v>
      </c>
      <c r="G21" t="s">
        <v>1085</v>
      </c>
    </row>
    <row r="22" spans="1:7" x14ac:dyDescent="0.2">
      <c r="A22" t="str">
        <f t="shared" si="0"/>
        <v>metab_hdlc</v>
      </c>
      <c r="B22" t="s">
        <v>10575</v>
      </c>
      <c r="C22" t="s">
        <v>10576</v>
      </c>
      <c r="D22" t="s">
        <v>346</v>
      </c>
      <c r="E22" t="s">
        <v>346</v>
      </c>
      <c r="F22" t="s">
        <v>10577</v>
      </c>
      <c r="G22" t="s">
        <v>584</v>
      </c>
    </row>
    <row r="23" spans="1:7" x14ac:dyDescent="0.2">
      <c r="A23" t="str">
        <f t="shared" si="0"/>
        <v>metab_hdlce</v>
      </c>
      <c r="B23" t="s">
        <v>10611</v>
      </c>
      <c r="C23" t="s">
        <v>10612</v>
      </c>
      <c r="D23" t="s">
        <v>220</v>
      </c>
      <c r="E23" t="s">
        <v>220</v>
      </c>
      <c r="F23" t="s">
        <v>10613</v>
      </c>
      <c r="G23" t="s">
        <v>219</v>
      </c>
    </row>
    <row r="24" spans="1:7" x14ac:dyDescent="0.2">
      <c r="A24" t="str">
        <f t="shared" si="0"/>
        <v>metab_hdlfc</v>
      </c>
      <c r="B24" t="s">
        <v>10623</v>
      </c>
      <c r="C24" t="s">
        <v>10624</v>
      </c>
      <c r="D24" t="s">
        <v>442</v>
      </c>
      <c r="E24" t="s">
        <v>442</v>
      </c>
      <c r="F24" t="s">
        <v>10625</v>
      </c>
      <c r="G24" t="s">
        <v>446</v>
      </c>
    </row>
    <row r="25" spans="1:7" x14ac:dyDescent="0.2">
      <c r="A25" t="str">
        <f t="shared" si="0"/>
        <v>metab_hdll</v>
      </c>
      <c r="B25" t="s">
        <v>10635</v>
      </c>
      <c r="C25" t="s">
        <v>10636</v>
      </c>
      <c r="D25" t="s">
        <v>857</v>
      </c>
      <c r="E25" t="s">
        <v>857</v>
      </c>
      <c r="F25" t="s">
        <v>10637</v>
      </c>
      <c r="G25" t="s">
        <v>861</v>
      </c>
    </row>
    <row r="26" spans="1:7" x14ac:dyDescent="0.2">
      <c r="A26" t="str">
        <f t="shared" si="0"/>
        <v>metab_hdlp</v>
      </c>
      <c r="B26" t="s">
        <v>10647</v>
      </c>
      <c r="C26" t="s">
        <v>10648</v>
      </c>
      <c r="D26" t="s">
        <v>356</v>
      </c>
      <c r="E26" t="s">
        <v>356</v>
      </c>
      <c r="F26" t="s">
        <v>10649</v>
      </c>
      <c r="G26" t="s">
        <v>355</v>
      </c>
    </row>
    <row r="27" spans="1:7" x14ac:dyDescent="0.2">
      <c r="A27" t="str">
        <f t="shared" si="0"/>
        <v>metab_hdlpl</v>
      </c>
      <c r="B27" t="s">
        <v>10599</v>
      </c>
      <c r="C27" t="s">
        <v>10600</v>
      </c>
      <c r="D27" t="s">
        <v>665</v>
      </c>
      <c r="E27" t="s">
        <v>665</v>
      </c>
      <c r="F27" t="s">
        <v>10601</v>
      </c>
      <c r="G27" t="s">
        <v>668</v>
      </c>
    </row>
    <row r="28" spans="1:7" x14ac:dyDescent="0.2">
      <c r="A28" t="str">
        <f t="shared" si="0"/>
        <v>metab_hdlsize</v>
      </c>
      <c r="B28" t="s">
        <v>10656</v>
      </c>
      <c r="C28" t="s">
        <v>10657</v>
      </c>
      <c r="D28" t="s">
        <v>56</v>
      </c>
      <c r="E28" t="s">
        <v>56</v>
      </c>
      <c r="F28" t="s">
        <v>10658</v>
      </c>
      <c r="G28" t="s">
        <v>55</v>
      </c>
    </row>
    <row r="29" spans="1:7" x14ac:dyDescent="0.2">
      <c r="A29" t="str">
        <f t="shared" si="0"/>
        <v>metab_hdltg</v>
      </c>
      <c r="B29" t="s">
        <v>10587</v>
      </c>
      <c r="C29" t="s">
        <v>10588</v>
      </c>
      <c r="D29" t="s">
        <v>945</v>
      </c>
      <c r="E29" t="s">
        <v>945</v>
      </c>
      <c r="F29" t="s">
        <v>10589</v>
      </c>
      <c r="G29" t="s">
        <v>944</v>
      </c>
    </row>
    <row r="30" spans="1:7" x14ac:dyDescent="0.2">
      <c r="A30" t="str">
        <f t="shared" si="0"/>
        <v>metab_his</v>
      </c>
      <c r="B30" t="s">
        <v>10738</v>
      </c>
      <c r="C30" t="s">
        <v>10739</v>
      </c>
      <c r="D30" t="s">
        <v>30</v>
      </c>
      <c r="E30" t="s">
        <v>30</v>
      </c>
      <c r="F30" t="s">
        <v>10739</v>
      </c>
      <c r="G30" t="s">
        <v>586</v>
      </c>
    </row>
    <row r="31" spans="1:7" x14ac:dyDescent="0.2">
      <c r="A31" t="str">
        <f t="shared" si="0"/>
        <v>metab_idlc</v>
      </c>
      <c r="B31" t="s">
        <v>10866</v>
      </c>
      <c r="C31" t="s">
        <v>10867</v>
      </c>
      <c r="D31" t="s">
        <v>72</v>
      </c>
      <c r="E31" t="s">
        <v>78</v>
      </c>
      <c r="F31" t="s">
        <v>10559</v>
      </c>
      <c r="G31" t="s">
        <v>71</v>
      </c>
    </row>
    <row r="32" spans="1:7" x14ac:dyDescent="0.2">
      <c r="A32" t="str">
        <f t="shared" si="0"/>
        <v>metab_idlce</v>
      </c>
      <c r="B32" t="s">
        <v>10868</v>
      </c>
      <c r="C32" t="s">
        <v>10869</v>
      </c>
      <c r="D32" t="s">
        <v>72</v>
      </c>
      <c r="E32" t="s">
        <v>78</v>
      </c>
      <c r="F32" t="s">
        <v>10782</v>
      </c>
      <c r="G32" t="s">
        <v>215</v>
      </c>
    </row>
    <row r="33" spans="1:7" x14ac:dyDescent="0.2">
      <c r="A33" t="str">
        <f t="shared" si="0"/>
        <v>metab_idlcepct</v>
      </c>
      <c r="B33" t="s">
        <v>11041</v>
      </c>
      <c r="C33" t="s">
        <v>11042</v>
      </c>
      <c r="D33" t="s">
        <v>144</v>
      </c>
      <c r="E33" t="s">
        <v>150</v>
      </c>
      <c r="F33" t="s">
        <v>10980</v>
      </c>
      <c r="G33" t="s">
        <v>143</v>
      </c>
    </row>
    <row r="34" spans="1:7" x14ac:dyDescent="0.2">
      <c r="A34" t="str">
        <f t="shared" si="0"/>
        <v>metab_idlcpct</v>
      </c>
      <c r="B34" t="s">
        <v>11039</v>
      </c>
      <c r="C34" t="s">
        <v>11040</v>
      </c>
      <c r="D34" t="s">
        <v>144</v>
      </c>
      <c r="E34" t="s">
        <v>150</v>
      </c>
      <c r="F34" t="s">
        <v>10977</v>
      </c>
      <c r="G34" t="s">
        <v>143</v>
      </c>
    </row>
    <row r="35" spans="1:7" x14ac:dyDescent="0.2">
      <c r="A35" t="str">
        <f t="shared" si="0"/>
        <v>metab_idlfc</v>
      </c>
      <c r="B35" t="s">
        <v>10870</v>
      </c>
      <c r="C35" t="s">
        <v>10871</v>
      </c>
      <c r="D35" t="s">
        <v>72</v>
      </c>
      <c r="E35" t="s">
        <v>78</v>
      </c>
      <c r="F35" t="s">
        <v>10785</v>
      </c>
      <c r="G35" t="s">
        <v>442</v>
      </c>
    </row>
    <row r="36" spans="1:7" x14ac:dyDescent="0.2">
      <c r="A36" t="str">
        <f t="shared" si="0"/>
        <v>metab_idlfcpct</v>
      </c>
      <c r="B36" t="s">
        <v>11043</v>
      </c>
      <c r="C36" t="s">
        <v>11044</v>
      </c>
      <c r="D36" t="s">
        <v>144</v>
      </c>
      <c r="E36" t="s">
        <v>150</v>
      </c>
      <c r="F36" t="s">
        <v>10983</v>
      </c>
      <c r="G36" t="s">
        <v>143</v>
      </c>
    </row>
    <row r="37" spans="1:7" x14ac:dyDescent="0.2">
      <c r="A37" t="str">
        <f t="shared" si="0"/>
        <v>metab_idll</v>
      </c>
      <c r="B37" t="s">
        <v>10862</v>
      </c>
      <c r="C37" t="s">
        <v>10863</v>
      </c>
      <c r="D37" t="s">
        <v>72</v>
      </c>
      <c r="E37" t="s">
        <v>78</v>
      </c>
      <c r="F37" t="s">
        <v>10774</v>
      </c>
      <c r="G37" t="s">
        <v>857</v>
      </c>
    </row>
    <row r="38" spans="1:7" x14ac:dyDescent="0.2">
      <c r="A38" t="str">
        <f t="shared" si="0"/>
        <v>metab_idlp</v>
      </c>
      <c r="B38" t="s">
        <v>10860</v>
      </c>
      <c r="C38" t="s">
        <v>10861</v>
      </c>
      <c r="D38" t="s">
        <v>72</v>
      </c>
      <c r="E38" t="s">
        <v>78</v>
      </c>
      <c r="F38" t="s">
        <v>10771</v>
      </c>
      <c r="G38" t="s">
        <v>351</v>
      </c>
    </row>
    <row r="39" spans="1:7" x14ac:dyDescent="0.2">
      <c r="A39" t="str">
        <f t="shared" si="0"/>
        <v>metab_idlpl</v>
      </c>
      <c r="B39" t="s">
        <v>10864</v>
      </c>
      <c r="C39" t="s">
        <v>10865</v>
      </c>
      <c r="D39" t="s">
        <v>72</v>
      </c>
      <c r="E39" t="s">
        <v>78</v>
      </c>
      <c r="F39" t="s">
        <v>10777</v>
      </c>
      <c r="G39" t="s">
        <v>665</v>
      </c>
    </row>
    <row r="40" spans="1:7" x14ac:dyDescent="0.2">
      <c r="A40" t="str">
        <f t="shared" si="0"/>
        <v>metab_idlplpct</v>
      </c>
      <c r="B40" t="s">
        <v>11037</v>
      </c>
      <c r="C40" t="s">
        <v>11038</v>
      </c>
      <c r="D40" t="s">
        <v>144</v>
      </c>
      <c r="E40" t="s">
        <v>150</v>
      </c>
      <c r="F40" t="s">
        <v>10974</v>
      </c>
      <c r="G40" t="s">
        <v>143</v>
      </c>
    </row>
    <row r="41" spans="1:7" x14ac:dyDescent="0.2">
      <c r="A41" t="str">
        <f t="shared" si="0"/>
        <v>metab_idltg</v>
      </c>
      <c r="B41" t="s">
        <v>10872</v>
      </c>
      <c r="C41" t="s">
        <v>10873</v>
      </c>
      <c r="D41" t="s">
        <v>72</v>
      </c>
      <c r="E41" t="s">
        <v>78</v>
      </c>
      <c r="F41" t="s">
        <v>10788</v>
      </c>
      <c r="G41" t="s">
        <v>935</v>
      </c>
    </row>
    <row r="42" spans="1:7" x14ac:dyDescent="0.2">
      <c r="A42" t="str">
        <f t="shared" si="0"/>
        <v>metab_idltgpct</v>
      </c>
      <c r="B42" t="s">
        <v>11045</v>
      </c>
      <c r="C42" t="s">
        <v>11046</v>
      </c>
      <c r="D42" t="s">
        <v>144</v>
      </c>
      <c r="E42" t="s">
        <v>150</v>
      </c>
      <c r="F42" t="s">
        <v>10996</v>
      </c>
      <c r="G42" t="s">
        <v>143</v>
      </c>
    </row>
    <row r="43" spans="1:7" x14ac:dyDescent="0.2">
      <c r="A43" t="str">
        <f t="shared" si="0"/>
        <v>metab_ile</v>
      </c>
      <c r="B43" t="s">
        <v>10743</v>
      </c>
      <c r="C43" t="s">
        <v>10744</v>
      </c>
      <c r="D43" t="s">
        <v>30</v>
      </c>
      <c r="E43" t="s">
        <v>593</v>
      </c>
      <c r="F43" t="s">
        <v>10744</v>
      </c>
      <c r="G43" t="s">
        <v>590</v>
      </c>
    </row>
    <row r="44" spans="1:7" x14ac:dyDescent="0.2">
      <c r="A44" t="str">
        <f t="shared" si="0"/>
        <v>metab_la</v>
      </c>
      <c r="B44" t="s">
        <v>10699</v>
      </c>
      <c r="C44" t="s">
        <v>10700</v>
      </c>
      <c r="D44" t="s">
        <v>426</v>
      </c>
      <c r="E44" t="s">
        <v>426</v>
      </c>
      <c r="F44" t="s">
        <v>10701</v>
      </c>
      <c r="G44" t="s">
        <v>610</v>
      </c>
    </row>
    <row r="45" spans="1:7" x14ac:dyDescent="0.2">
      <c r="A45" t="str">
        <f t="shared" si="0"/>
        <v>metab_lactate</v>
      </c>
      <c r="B45" t="s">
        <v>594</v>
      </c>
      <c r="C45" t="s">
        <v>595</v>
      </c>
      <c r="D45" t="s">
        <v>341</v>
      </c>
      <c r="E45" t="s">
        <v>341</v>
      </c>
      <c r="F45" t="s">
        <v>10754</v>
      </c>
      <c r="G45" t="s">
        <v>595</v>
      </c>
    </row>
    <row r="46" spans="1:7" x14ac:dyDescent="0.2">
      <c r="A46" t="str">
        <f t="shared" si="0"/>
        <v>metab_lapct</v>
      </c>
      <c r="B46" t="s">
        <v>10720</v>
      </c>
      <c r="C46" t="s">
        <v>10721</v>
      </c>
      <c r="D46" t="s">
        <v>426</v>
      </c>
      <c r="E46" t="s">
        <v>437</v>
      </c>
      <c r="F46" t="s">
        <v>10722</v>
      </c>
      <c r="G46" t="s">
        <v>615</v>
      </c>
    </row>
    <row r="47" spans="1:7" x14ac:dyDescent="0.2">
      <c r="A47" t="str">
        <f t="shared" si="0"/>
        <v>metab_ldlc</v>
      </c>
      <c r="B47" t="s">
        <v>10572</v>
      </c>
      <c r="C47" t="s">
        <v>10573</v>
      </c>
      <c r="D47" t="s">
        <v>346</v>
      </c>
      <c r="E47" t="s">
        <v>346</v>
      </c>
      <c r="F47" t="s">
        <v>10574</v>
      </c>
      <c r="G47" t="s">
        <v>601</v>
      </c>
    </row>
    <row r="48" spans="1:7" x14ac:dyDescent="0.2">
      <c r="A48" t="str">
        <f t="shared" si="0"/>
        <v>metab_ldlce</v>
      </c>
      <c r="B48" t="s">
        <v>10608</v>
      </c>
      <c r="C48" t="s">
        <v>10609</v>
      </c>
      <c r="D48" t="s">
        <v>220</v>
      </c>
      <c r="E48" t="s">
        <v>220</v>
      </c>
      <c r="F48" t="s">
        <v>10610</v>
      </c>
      <c r="G48" t="s">
        <v>240</v>
      </c>
    </row>
    <row r="49" spans="1:7" x14ac:dyDescent="0.2">
      <c r="A49" t="str">
        <f t="shared" si="0"/>
        <v>metab_ldlfc</v>
      </c>
      <c r="B49" t="s">
        <v>10620</v>
      </c>
      <c r="C49" t="s">
        <v>10621</v>
      </c>
      <c r="D49" t="s">
        <v>442</v>
      </c>
      <c r="E49" t="s">
        <v>442</v>
      </c>
      <c r="F49" t="s">
        <v>10622</v>
      </c>
      <c r="G49" t="s">
        <v>466</v>
      </c>
    </row>
    <row r="50" spans="1:7" x14ac:dyDescent="0.2">
      <c r="A50" t="str">
        <f t="shared" si="0"/>
        <v>metab_ldll</v>
      </c>
      <c r="B50" t="s">
        <v>10632</v>
      </c>
      <c r="C50" t="s">
        <v>10633</v>
      </c>
      <c r="D50" t="s">
        <v>857</v>
      </c>
      <c r="E50" t="s">
        <v>857</v>
      </c>
      <c r="F50" t="s">
        <v>10634</v>
      </c>
      <c r="G50" t="s">
        <v>881</v>
      </c>
    </row>
    <row r="51" spans="1:7" x14ac:dyDescent="0.2">
      <c r="A51" t="str">
        <f t="shared" si="0"/>
        <v>metab_ldlp</v>
      </c>
      <c r="B51" t="s">
        <v>10644</v>
      </c>
      <c r="C51" t="s">
        <v>10645</v>
      </c>
      <c r="D51" t="s">
        <v>356</v>
      </c>
      <c r="E51" t="s">
        <v>356</v>
      </c>
      <c r="F51" t="s">
        <v>10646</v>
      </c>
      <c r="G51" t="s">
        <v>376</v>
      </c>
    </row>
    <row r="52" spans="1:7" x14ac:dyDescent="0.2">
      <c r="A52" t="str">
        <f t="shared" si="0"/>
        <v>metab_ldlpl</v>
      </c>
      <c r="B52" t="s">
        <v>10596</v>
      </c>
      <c r="C52" t="s">
        <v>10597</v>
      </c>
      <c r="D52" t="s">
        <v>665</v>
      </c>
      <c r="E52" t="s">
        <v>665</v>
      </c>
      <c r="F52" t="s">
        <v>10598</v>
      </c>
      <c r="G52" t="s">
        <v>686</v>
      </c>
    </row>
    <row r="53" spans="1:7" x14ac:dyDescent="0.2">
      <c r="A53" t="str">
        <f t="shared" si="0"/>
        <v>metab_ldlsize</v>
      </c>
      <c r="B53" t="s">
        <v>10653</v>
      </c>
      <c r="C53" t="s">
        <v>10654</v>
      </c>
      <c r="D53" t="s">
        <v>56</v>
      </c>
      <c r="E53" t="s">
        <v>56</v>
      </c>
      <c r="F53" t="s">
        <v>10655</v>
      </c>
      <c r="G53" t="s">
        <v>61</v>
      </c>
    </row>
    <row r="54" spans="1:7" x14ac:dyDescent="0.2">
      <c r="A54" t="str">
        <f t="shared" si="0"/>
        <v>metab_ldltg</v>
      </c>
      <c r="B54" t="s">
        <v>10584</v>
      </c>
      <c r="C54" t="s">
        <v>10585</v>
      </c>
      <c r="D54" t="s">
        <v>945</v>
      </c>
      <c r="E54" t="s">
        <v>945</v>
      </c>
      <c r="F54" t="s">
        <v>10586</v>
      </c>
      <c r="G54" t="s">
        <v>965</v>
      </c>
    </row>
    <row r="55" spans="1:7" x14ac:dyDescent="0.2">
      <c r="A55" t="str">
        <f t="shared" si="0"/>
        <v>metab_leu</v>
      </c>
      <c r="B55" t="s">
        <v>10745</v>
      </c>
      <c r="C55" t="s">
        <v>10746</v>
      </c>
      <c r="D55" t="s">
        <v>30</v>
      </c>
      <c r="E55" t="s">
        <v>593</v>
      </c>
      <c r="F55" t="s">
        <v>10746</v>
      </c>
      <c r="G55" t="s">
        <v>603</v>
      </c>
    </row>
    <row r="56" spans="1:7" x14ac:dyDescent="0.2">
      <c r="A56" t="str">
        <f t="shared" si="0"/>
        <v>metab_lhdlc</v>
      </c>
      <c r="B56" t="s">
        <v>10936</v>
      </c>
      <c r="C56" t="s">
        <v>10937</v>
      </c>
      <c r="D56" t="s">
        <v>72</v>
      </c>
      <c r="E56" t="s">
        <v>83</v>
      </c>
      <c r="F56" t="s">
        <v>10559</v>
      </c>
      <c r="G56" t="s">
        <v>71</v>
      </c>
    </row>
    <row r="57" spans="1:7" x14ac:dyDescent="0.2">
      <c r="A57" t="str">
        <f t="shared" si="0"/>
        <v>metab_lhdlce</v>
      </c>
      <c r="B57" t="s">
        <v>10938</v>
      </c>
      <c r="C57" t="s">
        <v>10939</v>
      </c>
      <c r="D57" t="s">
        <v>72</v>
      </c>
      <c r="E57" t="s">
        <v>83</v>
      </c>
      <c r="F57" t="s">
        <v>10782</v>
      </c>
      <c r="G57" t="s">
        <v>215</v>
      </c>
    </row>
    <row r="58" spans="1:7" x14ac:dyDescent="0.2">
      <c r="A58" t="str">
        <f t="shared" si="0"/>
        <v>metab_lhdlcepct</v>
      </c>
      <c r="B58" t="s">
        <v>11091</v>
      </c>
      <c r="C58" t="s">
        <v>11092</v>
      </c>
      <c r="D58" t="s">
        <v>144</v>
      </c>
      <c r="E58" t="s">
        <v>155</v>
      </c>
      <c r="F58" t="s">
        <v>10980</v>
      </c>
      <c r="G58" t="s">
        <v>143</v>
      </c>
    </row>
    <row r="59" spans="1:7" x14ac:dyDescent="0.2">
      <c r="A59" t="str">
        <f t="shared" si="0"/>
        <v>metab_lhdlcpct</v>
      </c>
      <c r="B59" t="s">
        <v>11089</v>
      </c>
      <c r="C59" t="s">
        <v>11090</v>
      </c>
      <c r="D59" t="s">
        <v>144</v>
      </c>
      <c r="E59" t="s">
        <v>155</v>
      </c>
      <c r="F59" t="s">
        <v>10977</v>
      </c>
      <c r="G59" t="s">
        <v>143</v>
      </c>
    </row>
    <row r="60" spans="1:7" x14ac:dyDescent="0.2">
      <c r="A60" t="str">
        <f t="shared" si="0"/>
        <v>metab_lhdlfc</v>
      </c>
      <c r="B60" t="s">
        <v>10940</v>
      </c>
      <c r="C60" t="s">
        <v>10941</v>
      </c>
      <c r="D60" t="s">
        <v>72</v>
      </c>
      <c r="E60" t="s">
        <v>83</v>
      </c>
      <c r="F60" t="s">
        <v>10785</v>
      </c>
      <c r="G60" t="s">
        <v>442</v>
      </c>
    </row>
    <row r="61" spans="1:7" x14ac:dyDescent="0.2">
      <c r="A61" t="str">
        <f t="shared" si="0"/>
        <v>metab_lhdlfcpct</v>
      </c>
      <c r="B61" t="s">
        <v>11093</v>
      </c>
      <c r="C61" t="s">
        <v>11094</v>
      </c>
      <c r="D61" t="s">
        <v>144</v>
      </c>
      <c r="E61" t="s">
        <v>155</v>
      </c>
      <c r="F61" t="s">
        <v>10983</v>
      </c>
      <c r="G61" t="s">
        <v>143</v>
      </c>
    </row>
    <row r="62" spans="1:7" x14ac:dyDescent="0.2">
      <c r="A62" t="str">
        <f t="shared" si="0"/>
        <v>metab_lhdll</v>
      </c>
      <c r="B62" t="s">
        <v>10932</v>
      </c>
      <c r="C62" t="s">
        <v>10933</v>
      </c>
      <c r="D62" t="s">
        <v>72</v>
      </c>
      <c r="E62" t="s">
        <v>83</v>
      </c>
      <c r="F62" t="s">
        <v>10774</v>
      </c>
      <c r="G62" t="s">
        <v>857</v>
      </c>
    </row>
    <row r="63" spans="1:7" x14ac:dyDescent="0.2">
      <c r="A63" t="str">
        <f t="shared" si="0"/>
        <v>metab_lhdlp</v>
      </c>
      <c r="B63" t="s">
        <v>10930</v>
      </c>
      <c r="C63" t="s">
        <v>10931</v>
      </c>
      <c r="D63" t="s">
        <v>72</v>
      </c>
      <c r="E63" t="s">
        <v>83</v>
      </c>
      <c r="F63" t="s">
        <v>10771</v>
      </c>
      <c r="G63" t="s">
        <v>351</v>
      </c>
    </row>
    <row r="64" spans="1:7" x14ac:dyDescent="0.2">
      <c r="A64" t="str">
        <f t="shared" si="0"/>
        <v>metab_lhdlpl</v>
      </c>
      <c r="B64" t="s">
        <v>10934</v>
      </c>
      <c r="C64" t="s">
        <v>10935</v>
      </c>
      <c r="D64" t="s">
        <v>72</v>
      </c>
      <c r="E64" t="s">
        <v>83</v>
      </c>
      <c r="F64" t="s">
        <v>10777</v>
      </c>
      <c r="G64" t="s">
        <v>665</v>
      </c>
    </row>
    <row r="65" spans="1:7" x14ac:dyDescent="0.2">
      <c r="A65" t="str">
        <f t="shared" si="0"/>
        <v>metab_lhdlplpct</v>
      </c>
      <c r="B65" t="s">
        <v>11087</v>
      </c>
      <c r="C65" t="s">
        <v>11088</v>
      </c>
      <c r="D65" t="s">
        <v>144</v>
      </c>
      <c r="E65" t="s">
        <v>155</v>
      </c>
      <c r="F65" t="s">
        <v>10974</v>
      </c>
      <c r="G65" t="s">
        <v>143</v>
      </c>
    </row>
    <row r="66" spans="1:7" x14ac:dyDescent="0.2">
      <c r="A66" t="str">
        <f t="shared" ref="A66:A129" si="1">_xlfn.CONCAT("metab_", $B66)</f>
        <v>metab_lhdltg</v>
      </c>
      <c r="B66" t="s">
        <v>10942</v>
      </c>
      <c r="C66" t="s">
        <v>10943</v>
      </c>
      <c r="D66" t="s">
        <v>72</v>
      </c>
      <c r="E66" t="s">
        <v>83</v>
      </c>
      <c r="F66" t="s">
        <v>10788</v>
      </c>
      <c r="G66" t="s">
        <v>935</v>
      </c>
    </row>
    <row r="67" spans="1:7" x14ac:dyDescent="0.2">
      <c r="A67" t="str">
        <f t="shared" si="1"/>
        <v>metab_lhdltgpct</v>
      </c>
      <c r="B67" t="s">
        <v>11095</v>
      </c>
      <c r="C67" t="s">
        <v>11096</v>
      </c>
      <c r="D67" t="s">
        <v>144</v>
      </c>
      <c r="E67" t="s">
        <v>155</v>
      </c>
      <c r="F67" t="s">
        <v>10996</v>
      </c>
      <c r="G67" t="s">
        <v>143</v>
      </c>
    </row>
    <row r="68" spans="1:7" x14ac:dyDescent="0.2">
      <c r="A68" t="str">
        <f t="shared" si="1"/>
        <v>metab_lldlc</v>
      </c>
      <c r="B68" t="s">
        <v>10880</v>
      </c>
      <c r="C68" t="s">
        <v>10881</v>
      </c>
      <c r="D68" t="s">
        <v>72</v>
      </c>
      <c r="E68" t="s">
        <v>88</v>
      </c>
      <c r="F68" t="s">
        <v>10559</v>
      </c>
      <c r="G68" t="s">
        <v>71</v>
      </c>
    </row>
    <row r="69" spans="1:7" x14ac:dyDescent="0.2">
      <c r="A69" t="str">
        <f t="shared" si="1"/>
        <v>metab_lldlce</v>
      </c>
      <c r="B69" t="s">
        <v>10882</v>
      </c>
      <c r="C69" t="s">
        <v>10883</v>
      </c>
      <c r="D69" t="s">
        <v>72</v>
      </c>
      <c r="E69" t="s">
        <v>88</v>
      </c>
      <c r="F69" t="s">
        <v>10782</v>
      </c>
      <c r="G69" t="s">
        <v>215</v>
      </c>
    </row>
    <row r="70" spans="1:7" x14ac:dyDescent="0.2">
      <c r="A70" t="str">
        <f t="shared" si="1"/>
        <v>metab_lldlcepct</v>
      </c>
      <c r="B70" t="s">
        <v>11051</v>
      </c>
      <c r="C70" t="s">
        <v>11052</v>
      </c>
      <c r="D70" t="s">
        <v>144</v>
      </c>
      <c r="E70" t="s">
        <v>160</v>
      </c>
      <c r="F70" t="s">
        <v>10980</v>
      </c>
      <c r="G70" t="s">
        <v>143</v>
      </c>
    </row>
    <row r="71" spans="1:7" x14ac:dyDescent="0.2">
      <c r="A71" t="str">
        <f t="shared" si="1"/>
        <v>metab_lldlcpct</v>
      </c>
      <c r="B71" t="s">
        <v>11049</v>
      </c>
      <c r="C71" t="s">
        <v>11050</v>
      </c>
      <c r="D71" t="s">
        <v>144</v>
      </c>
      <c r="E71" t="s">
        <v>160</v>
      </c>
      <c r="F71" t="s">
        <v>10977</v>
      </c>
      <c r="G71" t="s">
        <v>143</v>
      </c>
    </row>
    <row r="72" spans="1:7" x14ac:dyDescent="0.2">
      <c r="A72" t="str">
        <f t="shared" si="1"/>
        <v>metab_lldlfc</v>
      </c>
      <c r="B72" t="s">
        <v>10884</v>
      </c>
      <c r="C72" t="s">
        <v>10885</v>
      </c>
      <c r="D72" t="s">
        <v>72</v>
      </c>
      <c r="E72" t="s">
        <v>88</v>
      </c>
      <c r="F72" t="s">
        <v>10785</v>
      </c>
      <c r="G72" t="s">
        <v>442</v>
      </c>
    </row>
    <row r="73" spans="1:7" x14ac:dyDescent="0.2">
      <c r="A73" t="str">
        <f t="shared" si="1"/>
        <v>metab_lldlfcpct</v>
      </c>
      <c r="B73" t="s">
        <v>11053</v>
      </c>
      <c r="C73" t="s">
        <v>11054</v>
      </c>
      <c r="D73" t="s">
        <v>144</v>
      </c>
      <c r="E73" t="s">
        <v>160</v>
      </c>
      <c r="F73" t="s">
        <v>10983</v>
      </c>
      <c r="G73" t="s">
        <v>143</v>
      </c>
    </row>
    <row r="74" spans="1:7" x14ac:dyDescent="0.2">
      <c r="A74" t="str">
        <f t="shared" si="1"/>
        <v>metab_lldll</v>
      </c>
      <c r="B74" t="s">
        <v>10876</v>
      </c>
      <c r="C74" t="s">
        <v>10877</v>
      </c>
      <c r="D74" t="s">
        <v>72</v>
      </c>
      <c r="E74" t="s">
        <v>88</v>
      </c>
      <c r="F74" t="s">
        <v>10774</v>
      </c>
      <c r="G74" t="s">
        <v>857</v>
      </c>
    </row>
    <row r="75" spans="1:7" x14ac:dyDescent="0.2">
      <c r="A75" t="str">
        <f t="shared" si="1"/>
        <v>metab_lldlp</v>
      </c>
      <c r="B75" t="s">
        <v>10874</v>
      </c>
      <c r="C75" t="s">
        <v>10875</v>
      </c>
      <c r="D75" t="s">
        <v>72</v>
      </c>
      <c r="E75" t="s">
        <v>88</v>
      </c>
      <c r="F75" t="s">
        <v>10771</v>
      </c>
      <c r="G75" t="s">
        <v>351</v>
      </c>
    </row>
    <row r="76" spans="1:7" x14ac:dyDescent="0.2">
      <c r="A76" t="str">
        <f t="shared" si="1"/>
        <v>metab_lldlpl</v>
      </c>
      <c r="B76" t="s">
        <v>10878</v>
      </c>
      <c r="C76" t="s">
        <v>10879</v>
      </c>
      <c r="D76" t="s">
        <v>72</v>
      </c>
      <c r="E76" t="s">
        <v>88</v>
      </c>
      <c r="F76" t="s">
        <v>10777</v>
      </c>
      <c r="G76" t="s">
        <v>665</v>
      </c>
    </row>
    <row r="77" spans="1:7" x14ac:dyDescent="0.2">
      <c r="A77" t="str">
        <f t="shared" si="1"/>
        <v>metab_lldlplpct</v>
      </c>
      <c r="B77" t="s">
        <v>11047</v>
      </c>
      <c r="C77" t="s">
        <v>11048</v>
      </c>
      <c r="D77" t="s">
        <v>144</v>
      </c>
      <c r="E77" t="s">
        <v>160</v>
      </c>
      <c r="F77" t="s">
        <v>10974</v>
      </c>
      <c r="G77" t="s">
        <v>143</v>
      </c>
    </row>
    <row r="78" spans="1:7" x14ac:dyDescent="0.2">
      <c r="A78" t="str">
        <f t="shared" si="1"/>
        <v>metab_lldltg</v>
      </c>
      <c r="B78" t="s">
        <v>10886</v>
      </c>
      <c r="C78" t="s">
        <v>10887</v>
      </c>
      <c r="D78" t="s">
        <v>72</v>
      </c>
      <c r="E78" t="s">
        <v>88</v>
      </c>
      <c r="F78" t="s">
        <v>10788</v>
      </c>
      <c r="G78" t="s">
        <v>935</v>
      </c>
    </row>
    <row r="79" spans="1:7" x14ac:dyDescent="0.2">
      <c r="A79" t="str">
        <f t="shared" si="1"/>
        <v>metab_lldltgpct</v>
      </c>
      <c r="B79" t="s">
        <v>11055</v>
      </c>
      <c r="C79" t="s">
        <v>11056</v>
      </c>
      <c r="D79" t="s">
        <v>144</v>
      </c>
      <c r="E79" t="s">
        <v>160</v>
      </c>
      <c r="F79" t="s">
        <v>10996</v>
      </c>
      <c r="G79" t="s">
        <v>143</v>
      </c>
    </row>
    <row r="80" spans="1:7" x14ac:dyDescent="0.2">
      <c r="A80" t="str">
        <f t="shared" si="1"/>
        <v>metab_lvldlc</v>
      </c>
      <c r="B80" t="s">
        <v>10809</v>
      </c>
      <c r="C80" t="s">
        <v>10810</v>
      </c>
      <c r="D80" t="s">
        <v>72</v>
      </c>
      <c r="E80" t="s">
        <v>93</v>
      </c>
      <c r="F80" t="s">
        <v>10559</v>
      </c>
      <c r="G80" t="s">
        <v>71</v>
      </c>
    </row>
    <row r="81" spans="1:7" x14ac:dyDescent="0.2">
      <c r="A81" t="str">
        <f t="shared" si="1"/>
        <v>metab_lvldlce</v>
      </c>
      <c r="B81" t="s">
        <v>10811</v>
      </c>
      <c r="C81" t="s">
        <v>10812</v>
      </c>
      <c r="D81" t="s">
        <v>72</v>
      </c>
      <c r="E81" t="s">
        <v>93</v>
      </c>
      <c r="F81" t="s">
        <v>10782</v>
      </c>
      <c r="G81" t="s">
        <v>215</v>
      </c>
    </row>
    <row r="82" spans="1:7" x14ac:dyDescent="0.2">
      <c r="A82" t="str">
        <f t="shared" si="1"/>
        <v>metab_lvldlcepct</v>
      </c>
      <c r="B82" t="s">
        <v>11001</v>
      </c>
      <c r="C82" t="s">
        <v>11002</v>
      </c>
      <c r="D82" t="s">
        <v>144</v>
      </c>
      <c r="E82" t="s">
        <v>165</v>
      </c>
      <c r="F82" t="s">
        <v>10980</v>
      </c>
      <c r="G82" t="s">
        <v>143</v>
      </c>
    </row>
    <row r="83" spans="1:7" x14ac:dyDescent="0.2">
      <c r="A83" t="str">
        <f t="shared" si="1"/>
        <v>metab_lvldlcpct</v>
      </c>
      <c r="B83" t="s">
        <v>10999</v>
      </c>
      <c r="C83" t="s">
        <v>11000</v>
      </c>
      <c r="D83" t="s">
        <v>144</v>
      </c>
      <c r="E83" t="s">
        <v>165</v>
      </c>
      <c r="F83" t="s">
        <v>10977</v>
      </c>
      <c r="G83" t="s">
        <v>143</v>
      </c>
    </row>
    <row r="84" spans="1:7" x14ac:dyDescent="0.2">
      <c r="A84" t="str">
        <f t="shared" si="1"/>
        <v>metab_lvldlfc</v>
      </c>
      <c r="B84" t="s">
        <v>10813</v>
      </c>
      <c r="C84" t="s">
        <v>10814</v>
      </c>
      <c r="D84" t="s">
        <v>72</v>
      </c>
      <c r="E84" t="s">
        <v>93</v>
      </c>
      <c r="F84" t="s">
        <v>10785</v>
      </c>
      <c r="G84" t="s">
        <v>442</v>
      </c>
    </row>
    <row r="85" spans="1:7" x14ac:dyDescent="0.2">
      <c r="A85" t="str">
        <f t="shared" si="1"/>
        <v>metab_lvldlfcpct</v>
      </c>
      <c r="B85" t="s">
        <v>11003</v>
      </c>
      <c r="C85" t="s">
        <v>11004</v>
      </c>
      <c r="D85" t="s">
        <v>144</v>
      </c>
      <c r="E85" t="s">
        <v>165</v>
      </c>
      <c r="F85" t="s">
        <v>10983</v>
      </c>
      <c r="G85" t="s">
        <v>143</v>
      </c>
    </row>
    <row r="86" spans="1:7" x14ac:dyDescent="0.2">
      <c r="A86" t="str">
        <f t="shared" si="1"/>
        <v>metab_lvldll</v>
      </c>
      <c r="B86" t="s">
        <v>10805</v>
      </c>
      <c r="C86" t="s">
        <v>10806</v>
      </c>
      <c r="D86" t="s">
        <v>72</v>
      </c>
      <c r="E86" t="s">
        <v>93</v>
      </c>
      <c r="F86" t="s">
        <v>10774</v>
      </c>
      <c r="G86" t="s">
        <v>857</v>
      </c>
    </row>
    <row r="87" spans="1:7" x14ac:dyDescent="0.2">
      <c r="A87" t="str">
        <f t="shared" si="1"/>
        <v>metab_lvldlp</v>
      </c>
      <c r="B87" t="s">
        <v>10803</v>
      </c>
      <c r="C87" t="s">
        <v>10804</v>
      </c>
      <c r="D87" t="s">
        <v>72</v>
      </c>
      <c r="E87" t="s">
        <v>93</v>
      </c>
      <c r="F87" t="s">
        <v>10771</v>
      </c>
      <c r="G87" t="s">
        <v>351</v>
      </c>
    </row>
    <row r="88" spans="1:7" x14ac:dyDescent="0.2">
      <c r="A88" t="str">
        <f t="shared" si="1"/>
        <v>metab_lvldlpl</v>
      </c>
      <c r="B88" t="s">
        <v>10807</v>
      </c>
      <c r="C88" t="s">
        <v>10808</v>
      </c>
      <c r="D88" t="s">
        <v>72</v>
      </c>
      <c r="E88" t="s">
        <v>93</v>
      </c>
      <c r="F88" t="s">
        <v>10777</v>
      </c>
      <c r="G88" t="s">
        <v>665</v>
      </c>
    </row>
    <row r="89" spans="1:7" x14ac:dyDescent="0.2">
      <c r="A89" t="str">
        <f t="shared" si="1"/>
        <v>metab_lvldlplpct</v>
      </c>
      <c r="B89" t="s">
        <v>10997</v>
      </c>
      <c r="C89" t="s">
        <v>10998</v>
      </c>
      <c r="D89" t="s">
        <v>144</v>
      </c>
      <c r="E89" t="s">
        <v>165</v>
      </c>
      <c r="F89" t="s">
        <v>10974</v>
      </c>
      <c r="G89" t="s">
        <v>143</v>
      </c>
    </row>
    <row r="90" spans="1:7" x14ac:dyDescent="0.2">
      <c r="A90" t="str">
        <f t="shared" si="1"/>
        <v>metab_lvldltg</v>
      </c>
      <c r="B90" t="s">
        <v>10815</v>
      </c>
      <c r="C90" t="s">
        <v>10816</v>
      </c>
      <c r="D90" t="s">
        <v>72</v>
      </c>
      <c r="E90" t="s">
        <v>93</v>
      </c>
      <c r="F90" t="s">
        <v>10788</v>
      </c>
      <c r="G90" t="s">
        <v>935</v>
      </c>
    </row>
    <row r="91" spans="1:7" x14ac:dyDescent="0.2">
      <c r="A91" t="str">
        <f t="shared" si="1"/>
        <v>metab_lvldltgpct</v>
      </c>
      <c r="B91" t="s">
        <v>11005</v>
      </c>
      <c r="C91" t="s">
        <v>11006</v>
      </c>
      <c r="D91" t="s">
        <v>144</v>
      </c>
      <c r="E91" t="s">
        <v>165</v>
      </c>
      <c r="F91" t="s">
        <v>10996</v>
      </c>
      <c r="G91" t="s">
        <v>143</v>
      </c>
    </row>
    <row r="92" spans="1:7" x14ac:dyDescent="0.2">
      <c r="A92" t="str">
        <f t="shared" si="1"/>
        <v>metab_mhdlc</v>
      </c>
      <c r="B92" t="s">
        <v>10950</v>
      </c>
      <c r="C92" t="s">
        <v>10951</v>
      </c>
      <c r="D92" t="s">
        <v>72</v>
      </c>
      <c r="E92" t="s">
        <v>98</v>
      </c>
      <c r="F92" t="s">
        <v>10559</v>
      </c>
      <c r="G92" t="s">
        <v>71</v>
      </c>
    </row>
    <row r="93" spans="1:7" x14ac:dyDescent="0.2">
      <c r="A93" t="str">
        <f t="shared" si="1"/>
        <v>metab_mhdlce</v>
      </c>
      <c r="B93" t="s">
        <v>10952</v>
      </c>
      <c r="C93" t="s">
        <v>10953</v>
      </c>
      <c r="D93" t="s">
        <v>72</v>
      </c>
      <c r="E93" t="s">
        <v>98</v>
      </c>
      <c r="F93" t="s">
        <v>10782</v>
      </c>
      <c r="G93" t="s">
        <v>215</v>
      </c>
    </row>
    <row r="94" spans="1:7" x14ac:dyDescent="0.2">
      <c r="A94" t="str">
        <f t="shared" si="1"/>
        <v>metab_mhdlcepct</v>
      </c>
      <c r="B94" t="s">
        <v>11101</v>
      </c>
      <c r="C94" t="s">
        <v>11102</v>
      </c>
      <c r="D94" t="s">
        <v>144</v>
      </c>
      <c r="E94" t="s">
        <v>170</v>
      </c>
      <c r="F94" t="s">
        <v>10980</v>
      </c>
      <c r="G94" t="s">
        <v>143</v>
      </c>
    </row>
    <row r="95" spans="1:7" x14ac:dyDescent="0.2">
      <c r="A95" t="str">
        <f t="shared" si="1"/>
        <v>metab_mhdlcpct</v>
      </c>
      <c r="B95" t="s">
        <v>11099</v>
      </c>
      <c r="C95" t="s">
        <v>11100</v>
      </c>
      <c r="D95" t="s">
        <v>144</v>
      </c>
      <c r="E95" t="s">
        <v>170</v>
      </c>
      <c r="F95" t="s">
        <v>10977</v>
      </c>
      <c r="G95" t="s">
        <v>143</v>
      </c>
    </row>
    <row r="96" spans="1:7" x14ac:dyDescent="0.2">
      <c r="A96" t="str">
        <f t="shared" si="1"/>
        <v>metab_mhdlfc</v>
      </c>
      <c r="B96" t="s">
        <v>10954</v>
      </c>
      <c r="C96" t="s">
        <v>10955</v>
      </c>
      <c r="D96" t="s">
        <v>72</v>
      </c>
      <c r="E96" t="s">
        <v>98</v>
      </c>
      <c r="F96" t="s">
        <v>10785</v>
      </c>
      <c r="G96" t="s">
        <v>442</v>
      </c>
    </row>
    <row r="97" spans="1:7" x14ac:dyDescent="0.2">
      <c r="A97" t="str">
        <f t="shared" si="1"/>
        <v>metab_mhdlfcpct</v>
      </c>
      <c r="B97" t="s">
        <v>11103</v>
      </c>
      <c r="C97" t="s">
        <v>11104</v>
      </c>
      <c r="D97" t="s">
        <v>144</v>
      </c>
      <c r="E97" t="s">
        <v>170</v>
      </c>
      <c r="F97" t="s">
        <v>10983</v>
      </c>
      <c r="G97" t="s">
        <v>143</v>
      </c>
    </row>
    <row r="98" spans="1:7" x14ac:dyDescent="0.2">
      <c r="A98" t="str">
        <f t="shared" si="1"/>
        <v>metab_mhdll</v>
      </c>
      <c r="B98" t="s">
        <v>10946</v>
      </c>
      <c r="C98" t="s">
        <v>10947</v>
      </c>
      <c r="D98" t="s">
        <v>72</v>
      </c>
      <c r="E98" t="s">
        <v>98</v>
      </c>
      <c r="F98" t="s">
        <v>10774</v>
      </c>
      <c r="G98" t="s">
        <v>857</v>
      </c>
    </row>
    <row r="99" spans="1:7" x14ac:dyDescent="0.2">
      <c r="A99" t="str">
        <f t="shared" si="1"/>
        <v>metab_mhdlp</v>
      </c>
      <c r="B99" t="s">
        <v>10944</v>
      </c>
      <c r="C99" t="s">
        <v>10945</v>
      </c>
      <c r="D99" t="s">
        <v>72</v>
      </c>
      <c r="E99" t="s">
        <v>98</v>
      </c>
      <c r="F99" t="s">
        <v>10771</v>
      </c>
      <c r="G99" t="s">
        <v>351</v>
      </c>
    </row>
    <row r="100" spans="1:7" x14ac:dyDescent="0.2">
      <c r="A100" t="str">
        <f t="shared" si="1"/>
        <v>metab_mhdlpl</v>
      </c>
      <c r="B100" t="s">
        <v>10948</v>
      </c>
      <c r="C100" t="s">
        <v>10949</v>
      </c>
      <c r="D100" t="s">
        <v>72</v>
      </c>
      <c r="E100" t="s">
        <v>98</v>
      </c>
      <c r="F100" t="s">
        <v>10777</v>
      </c>
      <c r="G100" t="s">
        <v>665</v>
      </c>
    </row>
    <row r="101" spans="1:7" x14ac:dyDescent="0.2">
      <c r="A101" t="str">
        <f t="shared" si="1"/>
        <v>metab_mhdlplpct</v>
      </c>
      <c r="B101" t="s">
        <v>11097</v>
      </c>
      <c r="C101" t="s">
        <v>11098</v>
      </c>
      <c r="D101" t="s">
        <v>144</v>
      </c>
      <c r="E101" t="s">
        <v>170</v>
      </c>
      <c r="F101" t="s">
        <v>10974</v>
      </c>
      <c r="G101" t="s">
        <v>143</v>
      </c>
    </row>
    <row r="102" spans="1:7" x14ac:dyDescent="0.2">
      <c r="A102" t="str">
        <f t="shared" si="1"/>
        <v>metab_mhdltg</v>
      </c>
      <c r="B102" t="s">
        <v>10956</v>
      </c>
      <c r="C102" t="s">
        <v>10957</v>
      </c>
      <c r="D102" t="s">
        <v>72</v>
      </c>
      <c r="E102" t="s">
        <v>98</v>
      </c>
      <c r="F102" t="s">
        <v>10788</v>
      </c>
      <c r="G102" t="s">
        <v>935</v>
      </c>
    </row>
    <row r="103" spans="1:7" x14ac:dyDescent="0.2">
      <c r="A103" t="str">
        <f t="shared" si="1"/>
        <v>metab_mhdltgpct</v>
      </c>
      <c r="B103" t="s">
        <v>11105</v>
      </c>
      <c r="C103" t="s">
        <v>11106</v>
      </c>
      <c r="D103" t="s">
        <v>144</v>
      </c>
      <c r="E103" t="s">
        <v>170</v>
      </c>
      <c r="F103" t="s">
        <v>10996</v>
      </c>
      <c r="G103" t="s">
        <v>143</v>
      </c>
    </row>
    <row r="104" spans="1:7" x14ac:dyDescent="0.2">
      <c r="A104" t="str">
        <f t="shared" si="1"/>
        <v>metab_mldlc</v>
      </c>
      <c r="B104" t="s">
        <v>10894</v>
      </c>
      <c r="C104" t="s">
        <v>10895</v>
      </c>
      <c r="D104" t="s">
        <v>72</v>
      </c>
      <c r="E104" t="s">
        <v>103</v>
      </c>
      <c r="F104" t="s">
        <v>10559</v>
      </c>
      <c r="G104" t="s">
        <v>71</v>
      </c>
    </row>
    <row r="105" spans="1:7" x14ac:dyDescent="0.2">
      <c r="A105" t="str">
        <f t="shared" si="1"/>
        <v>metab_mldlce</v>
      </c>
      <c r="B105" t="s">
        <v>10896</v>
      </c>
      <c r="C105" t="s">
        <v>10897</v>
      </c>
      <c r="D105" t="s">
        <v>72</v>
      </c>
      <c r="E105" t="s">
        <v>103</v>
      </c>
      <c r="F105" t="s">
        <v>10782</v>
      </c>
      <c r="G105" t="s">
        <v>215</v>
      </c>
    </row>
    <row r="106" spans="1:7" x14ac:dyDescent="0.2">
      <c r="A106" t="str">
        <f t="shared" si="1"/>
        <v>metab_mldlcepct</v>
      </c>
      <c r="B106" t="s">
        <v>11061</v>
      </c>
      <c r="C106" t="s">
        <v>11062</v>
      </c>
      <c r="D106" t="s">
        <v>144</v>
      </c>
      <c r="E106" t="s">
        <v>175</v>
      </c>
      <c r="F106" t="s">
        <v>10980</v>
      </c>
      <c r="G106" t="s">
        <v>143</v>
      </c>
    </row>
    <row r="107" spans="1:7" x14ac:dyDescent="0.2">
      <c r="A107" t="str">
        <f t="shared" si="1"/>
        <v>metab_mldlcpct</v>
      </c>
      <c r="B107" t="s">
        <v>11059</v>
      </c>
      <c r="C107" t="s">
        <v>11060</v>
      </c>
      <c r="D107" t="s">
        <v>144</v>
      </c>
      <c r="E107" t="s">
        <v>175</v>
      </c>
      <c r="F107" t="s">
        <v>10977</v>
      </c>
      <c r="G107" t="s">
        <v>143</v>
      </c>
    </row>
    <row r="108" spans="1:7" x14ac:dyDescent="0.2">
      <c r="A108" t="str">
        <f t="shared" si="1"/>
        <v>metab_mldlfc</v>
      </c>
      <c r="B108" t="s">
        <v>10898</v>
      </c>
      <c r="C108" t="s">
        <v>10899</v>
      </c>
      <c r="D108" t="s">
        <v>72</v>
      </c>
      <c r="E108" t="s">
        <v>103</v>
      </c>
      <c r="F108" t="s">
        <v>10785</v>
      </c>
      <c r="G108" t="s">
        <v>442</v>
      </c>
    </row>
    <row r="109" spans="1:7" x14ac:dyDescent="0.2">
      <c r="A109" t="str">
        <f t="shared" si="1"/>
        <v>metab_mldlfcpct</v>
      </c>
      <c r="B109" t="s">
        <v>11063</v>
      </c>
      <c r="C109" t="s">
        <v>11064</v>
      </c>
      <c r="D109" t="s">
        <v>144</v>
      </c>
      <c r="E109" t="s">
        <v>175</v>
      </c>
      <c r="F109" t="s">
        <v>10983</v>
      </c>
      <c r="G109" t="s">
        <v>143</v>
      </c>
    </row>
    <row r="110" spans="1:7" x14ac:dyDescent="0.2">
      <c r="A110" t="str">
        <f t="shared" si="1"/>
        <v>metab_mldll</v>
      </c>
      <c r="B110" t="s">
        <v>10890</v>
      </c>
      <c r="C110" t="s">
        <v>10891</v>
      </c>
      <c r="D110" t="s">
        <v>72</v>
      </c>
      <c r="E110" t="s">
        <v>103</v>
      </c>
      <c r="F110" t="s">
        <v>10774</v>
      </c>
      <c r="G110" t="s">
        <v>857</v>
      </c>
    </row>
    <row r="111" spans="1:7" x14ac:dyDescent="0.2">
      <c r="A111" t="str">
        <f t="shared" si="1"/>
        <v>metab_mldlp</v>
      </c>
      <c r="B111" t="s">
        <v>10888</v>
      </c>
      <c r="C111" t="s">
        <v>10889</v>
      </c>
      <c r="D111" t="s">
        <v>72</v>
      </c>
      <c r="E111" t="s">
        <v>103</v>
      </c>
      <c r="F111" t="s">
        <v>10771</v>
      </c>
      <c r="G111" t="s">
        <v>351</v>
      </c>
    </row>
    <row r="112" spans="1:7" x14ac:dyDescent="0.2">
      <c r="A112" t="str">
        <f t="shared" si="1"/>
        <v>metab_mldlpl</v>
      </c>
      <c r="B112" t="s">
        <v>10892</v>
      </c>
      <c r="C112" t="s">
        <v>10893</v>
      </c>
      <c r="D112" t="s">
        <v>72</v>
      </c>
      <c r="E112" t="s">
        <v>103</v>
      </c>
      <c r="F112" t="s">
        <v>10777</v>
      </c>
      <c r="G112" t="s">
        <v>665</v>
      </c>
    </row>
    <row r="113" spans="1:7" x14ac:dyDescent="0.2">
      <c r="A113" t="str">
        <f t="shared" si="1"/>
        <v>metab_mldlplpct</v>
      </c>
      <c r="B113" t="s">
        <v>11057</v>
      </c>
      <c r="C113" t="s">
        <v>11058</v>
      </c>
      <c r="D113" t="s">
        <v>144</v>
      </c>
      <c r="E113" t="s">
        <v>175</v>
      </c>
      <c r="F113" t="s">
        <v>10974</v>
      </c>
      <c r="G113" t="s">
        <v>143</v>
      </c>
    </row>
    <row r="114" spans="1:7" x14ac:dyDescent="0.2">
      <c r="A114" t="str">
        <f t="shared" si="1"/>
        <v>metab_mldltg</v>
      </c>
      <c r="B114" t="s">
        <v>10900</v>
      </c>
      <c r="C114" t="s">
        <v>10901</v>
      </c>
      <c r="D114" t="s">
        <v>72</v>
      </c>
      <c r="E114" t="s">
        <v>103</v>
      </c>
      <c r="F114" t="s">
        <v>10788</v>
      </c>
      <c r="G114" t="s">
        <v>935</v>
      </c>
    </row>
    <row r="115" spans="1:7" x14ac:dyDescent="0.2">
      <c r="A115" t="str">
        <f t="shared" si="1"/>
        <v>metab_mldltgpct</v>
      </c>
      <c r="B115" t="s">
        <v>11065</v>
      </c>
      <c r="C115" t="s">
        <v>11066</v>
      </c>
      <c r="D115" t="s">
        <v>144</v>
      </c>
      <c r="E115" t="s">
        <v>175</v>
      </c>
      <c r="F115" t="s">
        <v>10996</v>
      </c>
      <c r="G115" t="s">
        <v>143</v>
      </c>
    </row>
    <row r="116" spans="1:7" x14ac:dyDescent="0.2">
      <c r="A116" t="str">
        <f t="shared" si="1"/>
        <v>metab_mufa</v>
      </c>
      <c r="B116" t="s">
        <v>10694</v>
      </c>
      <c r="C116" t="s">
        <v>10695</v>
      </c>
      <c r="D116" t="s">
        <v>426</v>
      </c>
      <c r="E116" t="s">
        <v>426</v>
      </c>
      <c r="F116" t="s">
        <v>10696</v>
      </c>
      <c r="G116" t="s">
        <v>620</v>
      </c>
    </row>
    <row r="117" spans="1:7" x14ac:dyDescent="0.2">
      <c r="A117" t="str">
        <f t="shared" si="1"/>
        <v>metab_mufapct</v>
      </c>
      <c r="B117" t="s">
        <v>10714</v>
      </c>
      <c r="C117" t="s">
        <v>10715</v>
      </c>
      <c r="D117" t="s">
        <v>426</v>
      </c>
      <c r="E117" t="s">
        <v>437</v>
      </c>
      <c r="F117" t="s">
        <v>10716</v>
      </c>
      <c r="G117" t="s">
        <v>623</v>
      </c>
    </row>
    <row r="118" spans="1:7" x14ac:dyDescent="0.2">
      <c r="A118" t="str">
        <f t="shared" si="1"/>
        <v>metab_mvldlc</v>
      </c>
      <c r="B118" t="s">
        <v>10823</v>
      </c>
      <c r="C118" t="s">
        <v>10824</v>
      </c>
      <c r="D118" t="s">
        <v>72</v>
      </c>
      <c r="E118" t="s">
        <v>108</v>
      </c>
      <c r="F118" t="s">
        <v>10559</v>
      </c>
      <c r="G118" t="s">
        <v>71</v>
      </c>
    </row>
    <row r="119" spans="1:7" x14ac:dyDescent="0.2">
      <c r="A119" t="str">
        <f t="shared" si="1"/>
        <v>metab_mvldlce</v>
      </c>
      <c r="B119" t="s">
        <v>10825</v>
      </c>
      <c r="C119" t="s">
        <v>10826</v>
      </c>
      <c r="D119" t="s">
        <v>72</v>
      </c>
      <c r="E119" t="s">
        <v>108</v>
      </c>
      <c r="F119" t="s">
        <v>10782</v>
      </c>
      <c r="G119" t="s">
        <v>215</v>
      </c>
    </row>
    <row r="120" spans="1:7" x14ac:dyDescent="0.2">
      <c r="A120" t="str">
        <f t="shared" si="1"/>
        <v>metab_mvldlcepct</v>
      </c>
      <c r="B120" t="s">
        <v>11011</v>
      </c>
      <c r="C120" t="s">
        <v>11012</v>
      </c>
      <c r="D120" t="s">
        <v>144</v>
      </c>
      <c r="E120" t="s">
        <v>180</v>
      </c>
      <c r="F120" t="s">
        <v>10980</v>
      </c>
      <c r="G120" t="s">
        <v>143</v>
      </c>
    </row>
    <row r="121" spans="1:7" x14ac:dyDescent="0.2">
      <c r="A121" t="str">
        <f t="shared" si="1"/>
        <v>metab_mvldlcpct</v>
      </c>
      <c r="B121" t="s">
        <v>11009</v>
      </c>
      <c r="C121" t="s">
        <v>11010</v>
      </c>
      <c r="D121" t="s">
        <v>144</v>
      </c>
      <c r="E121" t="s">
        <v>180</v>
      </c>
      <c r="F121" t="s">
        <v>10977</v>
      </c>
      <c r="G121" t="s">
        <v>143</v>
      </c>
    </row>
    <row r="122" spans="1:7" x14ac:dyDescent="0.2">
      <c r="A122" t="str">
        <f t="shared" si="1"/>
        <v>metab_mvldlfc</v>
      </c>
      <c r="B122" t="s">
        <v>10827</v>
      </c>
      <c r="C122" t="s">
        <v>10828</v>
      </c>
      <c r="D122" t="s">
        <v>72</v>
      </c>
      <c r="E122" t="s">
        <v>108</v>
      </c>
      <c r="F122" t="s">
        <v>10785</v>
      </c>
      <c r="G122" t="s">
        <v>442</v>
      </c>
    </row>
    <row r="123" spans="1:7" x14ac:dyDescent="0.2">
      <c r="A123" t="str">
        <f t="shared" si="1"/>
        <v>metab_mvldlfcpct</v>
      </c>
      <c r="B123" t="s">
        <v>11013</v>
      </c>
      <c r="C123" t="s">
        <v>11014</v>
      </c>
      <c r="D123" t="s">
        <v>144</v>
      </c>
      <c r="E123" t="s">
        <v>180</v>
      </c>
      <c r="F123" t="s">
        <v>10983</v>
      </c>
      <c r="G123" t="s">
        <v>143</v>
      </c>
    </row>
    <row r="124" spans="1:7" x14ac:dyDescent="0.2">
      <c r="A124" t="str">
        <f t="shared" si="1"/>
        <v>metab_mvldll</v>
      </c>
      <c r="B124" t="s">
        <v>10819</v>
      </c>
      <c r="C124" t="s">
        <v>10820</v>
      </c>
      <c r="D124" t="s">
        <v>72</v>
      </c>
      <c r="E124" t="s">
        <v>108</v>
      </c>
      <c r="F124" t="s">
        <v>10774</v>
      </c>
      <c r="G124" t="s">
        <v>857</v>
      </c>
    </row>
    <row r="125" spans="1:7" x14ac:dyDescent="0.2">
      <c r="A125" t="str">
        <f t="shared" si="1"/>
        <v>metab_mvldlp</v>
      </c>
      <c r="B125" t="s">
        <v>10817</v>
      </c>
      <c r="C125" t="s">
        <v>10818</v>
      </c>
      <c r="D125" t="s">
        <v>72</v>
      </c>
      <c r="E125" t="s">
        <v>108</v>
      </c>
      <c r="F125" t="s">
        <v>10771</v>
      </c>
      <c r="G125" t="s">
        <v>351</v>
      </c>
    </row>
    <row r="126" spans="1:7" x14ac:dyDescent="0.2">
      <c r="A126" t="str">
        <f t="shared" si="1"/>
        <v>metab_mvldlpl</v>
      </c>
      <c r="B126" t="s">
        <v>10821</v>
      </c>
      <c r="C126" t="s">
        <v>10822</v>
      </c>
      <c r="D126" t="s">
        <v>72</v>
      </c>
      <c r="E126" t="s">
        <v>108</v>
      </c>
      <c r="F126" t="s">
        <v>10777</v>
      </c>
      <c r="G126" t="s">
        <v>665</v>
      </c>
    </row>
    <row r="127" spans="1:7" x14ac:dyDescent="0.2">
      <c r="A127" t="str">
        <f t="shared" si="1"/>
        <v>metab_mvldlplpct</v>
      </c>
      <c r="B127" t="s">
        <v>11007</v>
      </c>
      <c r="C127" t="s">
        <v>11008</v>
      </c>
      <c r="D127" t="s">
        <v>144</v>
      </c>
      <c r="E127" t="s">
        <v>180</v>
      </c>
      <c r="F127" t="s">
        <v>10974</v>
      </c>
      <c r="G127" t="s">
        <v>143</v>
      </c>
    </row>
    <row r="128" spans="1:7" x14ac:dyDescent="0.2">
      <c r="A128" t="str">
        <f t="shared" si="1"/>
        <v>metab_mvldltg</v>
      </c>
      <c r="B128" t="s">
        <v>10829</v>
      </c>
      <c r="C128" t="s">
        <v>10830</v>
      </c>
      <c r="D128" t="s">
        <v>72</v>
      </c>
      <c r="E128" t="s">
        <v>108</v>
      </c>
      <c r="F128" t="s">
        <v>10788</v>
      </c>
      <c r="G128" t="s">
        <v>935</v>
      </c>
    </row>
    <row r="129" spans="1:7" x14ac:dyDescent="0.2">
      <c r="A129" t="str">
        <f t="shared" si="1"/>
        <v>metab_mvldltgpct</v>
      </c>
      <c r="B129" t="s">
        <v>11015</v>
      </c>
      <c r="C129" t="s">
        <v>11016</v>
      </c>
      <c r="D129" t="s">
        <v>144</v>
      </c>
      <c r="E129" t="s">
        <v>180</v>
      </c>
      <c r="F129" t="s">
        <v>10996</v>
      </c>
      <c r="G129" t="s">
        <v>143</v>
      </c>
    </row>
    <row r="130" spans="1:7" x14ac:dyDescent="0.2">
      <c r="A130" t="str">
        <f t="shared" ref="A130:A193" si="2">_xlfn.CONCAT("metab_", $B130)</f>
        <v>metab_nonhdlc</v>
      </c>
      <c r="B130" t="s">
        <v>10560</v>
      </c>
      <c r="C130" t="s">
        <v>10561</v>
      </c>
      <c r="D130" t="s">
        <v>346</v>
      </c>
      <c r="E130" t="s">
        <v>346</v>
      </c>
      <c r="F130" t="s">
        <v>10562</v>
      </c>
      <c r="G130" t="s">
        <v>825</v>
      </c>
    </row>
    <row r="131" spans="1:7" x14ac:dyDescent="0.2">
      <c r="A131" t="str">
        <f t="shared" si="2"/>
        <v>metab_omega3</v>
      </c>
      <c r="B131" t="s">
        <v>10685</v>
      </c>
      <c r="C131" t="s">
        <v>10686</v>
      </c>
      <c r="D131" t="s">
        <v>426</v>
      </c>
      <c r="E131" t="s">
        <v>426</v>
      </c>
      <c r="F131" t="s">
        <v>10687</v>
      </c>
      <c r="G131" t="s">
        <v>629</v>
      </c>
    </row>
    <row r="132" spans="1:7" x14ac:dyDescent="0.2">
      <c r="A132" t="str">
        <f t="shared" si="2"/>
        <v>metab_omega3pct</v>
      </c>
      <c r="B132" t="s">
        <v>10705</v>
      </c>
      <c r="C132" t="s">
        <v>10706</v>
      </c>
      <c r="D132" t="s">
        <v>426</v>
      </c>
      <c r="E132" t="s">
        <v>437</v>
      </c>
      <c r="F132" t="s">
        <v>10707</v>
      </c>
      <c r="G132" t="s">
        <v>632</v>
      </c>
    </row>
    <row r="133" spans="1:7" x14ac:dyDescent="0.2">
      <c r="A133" t="str">
        <f t="shared" si="2"/>
        <v>metab_omega6</v>
      </c>
      <c r="B133" t="s">
        <v>10688</v>
      </c>
      <c r="C133" t="s">
        <v>10689</v>
      </c>
      <c r="D133" t="s">
        <v>426</v>
      </c>
      <c r="E133" t="s">
        <v>426</v>
      </c>
      <c r="F133" t="s">
        <v>10690</v>
      </c>
      <c r="G133" t="s">
        <v>638</v>
      </c>
    </row>
    <row r="134" spans="1:7" x14ac:dyDescent="0.2">
      <c r="A134" t="str">
        <f t="shared" si="2"/>
        <v>metab_omega6omega3</v>
      </c>
      <c r="B134" t="s">
        <v>10729</v>
      </c>
      <c r="C134" t="s">
        <v>10730</v>
      </c>
      <c r="D134" t="s">
        <v>426</v>
      </c>
      <c r="E134" t="s">
        <v>437</v>
      </c>
      <c r="F134" t="s">
        <v>10731</v>
      </c>
      <c r="G134" t="s">
        <v>642</v>
      </c>
    </row>
    <row r="135" spans="1:7" x14ac:dyDescent="0.2">
      <c r="A135" t="str">
        <f t="shared" si="2"/>
        <v>metab_omega6pct</v>
      </c>
      <c r="B135" t="s">
        <v>10708</v>
      </c>
      <c r="C135" t="s">
        <v>10709</v>
      </c>
      <c r="D135" t="s">
        <v>426</v>
      </c>
      <c r="E135" t="s">
        <v>437</v>
      </c>
      <c r="F135" t="s">
        <v>10710</v>
      </c>
      <c r="G135" t="s">
        <v>645</v>
      </c>
    </row>
    <row r="136" spans="1:7" x14ac:dyDescent="0.2">
      <c r="A136" t="str">
        <f t="shared" si="2"/>
        <v>metab_phe</v>
      </c>
      <c r="B136" t="s">
        <v>10749</v>
      </c>
      <c r="C136" t="s">
        <v>10750</v>
      </c>
      <c r="D136" t="s">
        <v>30</v>
      </c>
      <c r="E136" t="s">
        <v>651</v>
      </c>
      <c r="F136" t="s">
        <v>10750</v>
      </c>
      <c r="G136" t="s">
        <v>648</v>
      </c>
    </row>
    <row r="137" spans="1:7" x14ac:dyDescent="0.2">
      <c r="A137" t="str">
        <f t="shared" si="2"/>
        <v>metab_phosphatidylc</v>
      </c>
      <c r="B137" t="s">
        <v>10668</v>
      </c>
      <c r="C137" t="s">
        <v>10669</v>
      </c>
      <c r="D137" t="s">
        <v>656</v>
      </c>
      <c r="E137" t="s">
        <v>656</v>
      </c>
      <c r="F137" t="s">
        <v>10670</v>
      </c>
      <c r="G137" t="s">
        <v>653</v>
      </c>
    </row>
    <row r="138" spans="1:7" x14ac:dyDescent="0.2">
      <c r="A138" t="str">
        <f t="shared" si="2"/>
        <v>metab_phosphoglyc</v>
      </c>
      <c r="B138" t="s">
        <v>10659</v>
      </c>
      <c r="C138" t="s">
        <v>10660</v>
      </c>
      <c r="D138" t="s">
        <v>656</v>
      </c>
      <c r="E138" t="s">
        <v>656</v>
      </c>
      <c r="F138" t="s">
        <v>10661</v>
      </c>
      <c r="G138" t="s">
        <v>658</v>
      </c>
    </row>
    <row r="139" spans="1:7" x14ac:dyDescent="0.2">
      <c r="A139" t="str">
        <f t="shared" si="2"/>
        <v>metab_pufa</v>
      </c>
      <c r="B139" t="s">
        <v>10691</v>
      </c>
      <c r="C139" t="s">
        <v>10692</v>
      </c>
      <c r="D139" t="s">
        <v>426</v>
      </c>
      <c r="E139" t="s">
        <v>426</v>
      </c>
      <c r="F139" t="s">
        <v>10693</v>
      </c>
      <c r="G139" t="s">
        <v>787</v>
      </c>
    </row>
    <row r="140" spans="1:7" x14ac:dyDescent="0.2">
      <c r="A140" t="str">
        <f t="shared" si="2"/>
        <v>metab_pufamufa</v>
      </c>
      <c r="B140" t="s">
        <v>10726</v>
      </c>
      <c r="C140" t="s">
        <v>10727</v>
      </c>
      <c r="D140" t="s">
        <v>426</v>
      </c>
      <c r="E140" t="s">
        <v>437</v>
      </c>
      <c r="F140" t="s">
        <v>10728</v>
      </c>
      <c r="G140" t="s">
        <v>791</v>
      </c>
    </row>
    <row r="141" spans="1:7" x14ac:dyDescent="0.2">
      <c r="A141" t="str">
        <f t="shared" si="2"/>
        <v>metab_pufapct</v>
      </c>
      <c r="B141" t="s">
        <v>10711</v>
      </c>
      <c r="C141" t="s">
        <v>10712</v>
      </c>
      <c r="D141" t="s">
        <v>426</v>
      </c>
      <c r="E141" t="s">
        <v>437</v>
      </c>
      <c r="F141" t="s">
        <v>10713</v>
      </c>
      <c r="G141" t="s">
        <v>794</v>
      </c>
    </row>
    <row r="142" spans="1:7" x14ac:dyDescent="0.2">
      <c r="A142" t="str">
        <f t="shared" si="2"/>
        <v>metab_pyruvate</v>
      </c>
      <c r="B142" t="s">
        <v>796</v>
      </c>
      <c r="C142" t="s">
        <v>797</v>
      </c>
      <c r="D142" t="s">
        <v>341</v>
      </c>
      <c r="E142" t="s">
        <v>341</v>
      </c>
      <c r="F142" t="s">
        <v>10755</v>
      </c>
      <c r="G142" t="s">
        <v>797</v>
      </c>
    </row>
    <row r="143" spans="1:7" x14ac:dyDescent="0.2">
      <c r="A143" t="str">
        <f t="shared" si="2"/>
        <v>metab_remnantc</v>
      </c>
      <c r="B143" t="s">
        <v>10563</v>
      </c>
      <c r="C143" t="s">
        <v>10564</v>
      </c>
      <c r="D143" t="s">
        <v>346</v>
      </c>
      <c r="E143" t="s">
        <v>346</v>
      </c>
      <c r="F143" t="s">
        <v>10565</v>
      </c>
      <c r="G143" t="s">
        <v>804</v>
      </c>
    </row>
    <row r="144" spans="1:7" x14ac:dyDescent="0.2">
      <c r="A144" t="str">
        <f t="shared" si="2"/>
        <v>metab_sfa</v>
      </c>
      <c r="B144" t="s">
        <v>10697</v>
      </c>
      <c r="C144" t="s">
        <v>10698</v>
      </c>
      <c r="D144" t="s">
        <v>426</v>
      </c>
      <c r="E144" t="s">
        <v>426</v>
      </c>
      <c r="F144" t="s">
        <v>10698</v>
      </c>
      <c r="G144" t="s">
        <v>807</v>
      </c>
    </row>
    <row r="145" spans="1:7" x14ac:dyDescent="0.2">
      <c r="A145" t="str">
        <f t="shared" si="2"/>
        <v>metab_sfapct</v>
      </c>
      <c r="B145" t="s">
        <v>10717</v>
      </c>
      <c r="C145" t="s">
        <v>10718</v>
      </c>
      <c r="D145" t="s">
        <v>426</v>
      </c>
      <c r="E145" t="s">
        <v>437</v>
      </c>
      <c r="F145" t="s">
        <v>10719</v>
      </c>
      <c r="G145" t="s">
        <v>811</v>
      </c>
    </row>
    <row r="146" spans="1:7" x14ac:dyDescent="0.2">
      <c r="A146" t="str">
        <f t="shared" si="2"/>
        <v>metab_shdlc</v>
      </c>
      <c r="B146" t="s">
        <v>10964</v>
      </c>
      <c r="C146" t="s">
        <v>10965</v>
      </c>
      <c r="D146" t="s">
        <v>72</v>
      </c>
      <c r="E146" t="s">
        <v>113</v>
      </c>
      <c r="F146" t="s">
        <v>10559</v>
      </c>
      <c r="G146" t="s">
        <v>71</v>
      </c>
    </row>
    <row r="147" spans="1:7" x14ac:dyDescent="0.2">
      <c r="A147" t="str">
        <f t="shared" si="2"/>
        <v>metab_shdlce</v>
      </c>
      <c r="B147" t="s">
        <v>10966</v>
      </c>
      <c r="C147" t="s">
        <v>10967</v>
      </c>
      <c r="D147" t="s">
        <v>72</v>
      </c>
      <c r="E147" t="s">
        <v>113</v>
      </c>
      <c r="F147" t="s">
        <v>10782</v>
      </c>
      <c r="G147" t="s">
        <v>215</v>
      </c>
    </row>
    <row r="148" spans="1:7" x14ac:dyDescent="0.2">
      <c r="A148" t="str">
        <f t="shared" si="2"/>
        <v>metab_shdlcepct</v>
      </c>
      <c r="B148" t="s">
        <v>11111</v>
      </c>
      <c r="C148" t="s">
        <v>11112</v>
      </c>
      <c r="D148" t="s">
        <v>144</v>
      </c>
      <c r="E148" t="s">
        <v>185</v>
      </c>
      <c r="F148" t="s">
        <v>10980</v>
      </c>
      <c r="G148" t="s">
        <v>143</v>
      </c>
    </row>
    <row r="149" spans="1:7" x14ac:dyDescent="0.2">
      <c r="A149" t="str">
        <f t="shared" si="2"/>
        <v>metab_shdlcpct</v>
      </c>
      <c r="B149" t="s">
        <v>11109</v>
      </c>
      <c r="C149" t="s">
        <v>11110</v>
      </c>
      <c r="D149" t="s">
        <v>144</v>
      </c>
      <c r="E149" t="s">
        <v>185</v>
      </c>
      <c r="F149" t="s">
        <v>10977</v>
      </c>
      <c r="G149" t="s">
        <v>143</v>
      </c>
    </row>
    <row r="150" spans="1:7" x14ac:dyDescent="0.2">
      <c r="A150" t="str">
        <f t="shared" si="2"/>
        <v>metab_shdlfc</v>
      </c>
      <c r="B150" t="s">
        <v>10968</v>
      </c>
      <c r="C150" t="s">
        <v>10969</v>
      </c>
      <c r="D150" t="s">
        <v>72</v>
      </c>
      <c r="E150" t="s">
        <v>113</v>
      </c>
      <c r="F150" t="s">
        <v>10785</v>
      </c>
      <c r="G150" t="s">
        <v>442</v>
      </c>
    </row>
    <row r="151" spans="1:7" x14ac:dyDescent="0.2">
      <c r="A151" t="str">
        <f t="shared" si="2"/>
        <v>metab_shdlfcpct</v>
      </c>
      <c r="B151" t="s">
        <v>11113</v>
      </c>
      <c r="C151" t="s">
        <v>11114</v>
      </c>
      <c r="D151" t="s">
        <v>144</v>
      </c>
      <c r="E151" t="s">
        <v>185</v>
      </c>
      <c r="F151" t="s">
        <v>10983</v>
      </c>
      <c r="G151" t="s">
        <v>143</v>
      </c>
    </row>
    <row r="152" spans="1:7" x14ac:dyDescent="0.2">
      <c r="A152" t="str">
        <f t="shared" si="2"/>
        <v>metab_shdll</v>
      </c>
      <c r="B152" t="s">
        <v>10960</v>
      </c>
      <c r="C152" t="s">
        <v>10961</v>
      </c>
      <c r="D152" t="s">
        <v>72</v>
      </c>
      <c r="E152" t="s">
        <v>113</v>
      </c>
      <c r="F152" t="s">
        <v>10774</v>
      </c>
      <c r="G152" t="s">
        <v>857</v>
      </c>
    </row>
    <row r="153" spans="1:7" x14ac:dyDescent="0.2">
      <c r="A153" t="str">
        <f t="shared" si="2"/>
        <v>metab_shdlp</v>
      </c>
      <c r="B153" t="s">
        <v>10958</v>
      </c>
      <c r="C153" t="s">
        <v>10959</v>
      </c>
      <c r="D153" t="s">
        <v>72</v>
      </c>
      <c r="E153" t="s">
        <v>113</v>
      </c>
      <c r="F153" t="s">
        <v>10771</v>
      </c>
      <c r="G153" t="s">
        <v>351</v>
      </c>
    </row>
    <row r="154" spans="1:7" x14ac:dyDescent="0.2">
      <c r="A154" t="str">
        <f t="shared" si="2"/>
        <v>metab_shdlpl</v>
      </c>
      <c r="B154" t="s">
        <v>10962</v>
      </c>
      <c r="C154" t="s">
        <v>10963</v>
      </c>
      <c r="D154" t="s">
        <v>72</v>
      </c>
      <c r="E154" t="s">
        <v>113</v>
      </c>
      <c r="F154" t="s">
        <v>10777</v>
      </c>
      <c r="G154" t="s">
        <v>665</v>
      </c>
    </row>
    <row r="155" spans="1:7" x14ac:dyDescent="0.2">
      <c r="A155" t="str">
        <f t="shared" si="2"/>
        <v>metab_shdlplpct</v>
      </c>
      <c r="B155" t="s">
        <v>11107</v>
      </c>
      <c r="C155" t="s">
        <v>11108</v>
      </c>
      <c r="D155" t="s">
        <v>144</v>
      </c>
      <c r="E155" t="s">
        <v>185</v>
      </c>
      <c r="F155" t="s">
        <v>10974</v>
      </c>
      <c r="G155" t="s">
        <v>143</v>
      </c>
    </row>
    <row r="156" spans="1:7" x14ac:dyDescent="0.2">
      <c r="A156" t="str">
        <f t="shared" si="2"/>
        <v>metab_shdltg</v>
      </c>
      <c r="B156" t="s">
        <v>10970</v>
      </c>
      <c r="C156" t="s">
        <v>10971</v>
      </c>
      <c r="D156" t="s">
        <v>72</v>
      </c>
      <c r="E156" t="s">
        <v>113</v>
      </c>
      <c r="F156" t="s">
        <v>10788</v>
      </c>
      <c r="G156" t="s">
        <v>935</v>
      </c>
    </row>
    <row r="157" spans="1:7" x14ac:dyDescent="0.2">
      <c r="A157" t="str">
        <f t="shared" si="2"/>
        <v>metab_shdltgpct</v>
      </c>
      <c r="B157" t="s">
        <v>11115</v>
      </c>
      <c r="C157" t="s">
        <v>11116</v>
      </c>
      <c r="D157" t="s">
        <v>144</v>
      </c>
      <c r="E157" t="s">
        <v>185</v>
      </c>
      <c r="F157" t="s">
        <v>10996</v>
      </c>
      <c r="G157" t="s">
        <v>143</v>
      </c>
    </row>
    <row r="158" spans="1:7" x14ac:dyDescent="0.2">
      <c r="A158" t="str">
        <f t="shared" si="2"/>
        <v>metab_sldlc</v>
      </c>
      <c r="B158" t="s">
        <v>10908</v>
      </c>
      <c r="C158" t="s">
        <v>10909</v>
      </c>
      <c r="D158" t="s">
        <v>72</v>
      </c>
      <c r="E158" t="s">
        <v>118</v>
      </c>
      <c r="F158" t="s">
        <v>10559</v>
      </c>
      <c r="G158" t="s">
        <v>71</v>
      </c>
    </row>
    <row r="159" spans="1:7" x14ac:dyDescent="0.2">
      <c r="A159" t="str">
        <f t="shared" si="2"/>
        <v>metab_sldlce</v>
      </c>
      <c r="B159" t="s">
        <v>10910</v>
      </c>
      <c r="C159" t="s">
        <v>10911</v>
      </c>
      <c r="D159" t="s">
        <v>72</v>
      </c>
      <c r="E159" t="s">
        <v>118</v>
      </c>
      <c r="F159" t="s">
        <v>10782</v>
      </c>
      <c r="G159" t="s">
        <v>215</v>
      </c>
    </row>
    <row r="160" spans="1:7" x14ac:dyDescent="0.2">
      <c r="A160" t="str">
        <f t="shared" si="2"/>
        <v>metab_sldlcepct</v>
      </c>
      <c r="B160" t="s">
        <v>11071</v>
      </c>
      <c r="C160" t="s">
        <v>11072</v>
      </c>
      <c r="D160" t="s">
        <v>144</v>
      </c>
      <c r="E160" t="s">
        <v>190</v>
      </c>
      <c r="F160" t="s">
        <v>10980</v>
      </c>
      <c r="G160" t="s">
        <v>143</v>
      </c>
    </row>
    <row r="161" spans="1:7" x14ac:dyDescent="0.2">
      <c r="A161" t="str">
        <f t="shared" si="2"/>
        <v>metab_sldlcpct</v>
      </c>
      <c r="B161" t="s">
        <v>11069</v>
      </c>
      <c r="C161" t="s">
        <v>11070</v>
      </c>
      <c r="D161" t="s">
        <v>144</v>
      </c>
      <c r="E161" t="s">
        <v>190</v>
      </c>
      <c r="F161" t="s">
        <v>10977</v>
      </c>
      <c r="G161" t="s">
        <v>143</v>
      </c>
    </row>
    <row r="162" spans="1:7" x14ac:dyDescent="0.2">
      <c r="A162" t="str">
        <f t="shared" si="2"/>
        <v>metab_sldlfc</v>
      </c>
      <c r="B162" t="s">
        <v>10912</v>
      </c>
      <c r="C162" t="s">
        <v>10913</v>
      </c>
      <c r="D162" t="s">
        <v>72</v>
      </c>
      <c r="E162" t="s">
        <v>118</v>
      </c>
      <c r="F162" t="s">
        <v>10785</v>
      </c>
      <c r="G162" t="s">
        <v>442</v>
      </c>
    </row>
    <row r="163" spans="1:7" x14ac:dyDescent="0.2">
      <c r="A163" t="str">
        <f t="shared" si="2"/>
        <v>metab_sldlfcpct</v>
      </c>
      <c r="B163" t="s">
        <v>11073</v>
      </c>
      <c r="C163" t="s">
        <v>11074</v>
      </c>
      <c r="D163" t="s">
        <v>144</v>
      </c>
      <c r="E163" t="s">
        <v>190</v>
      </c>
      <c r="F163" t="s">
        <v>10983</v>
      </c>
      <c r="G163" t="s">
        <v>143</v>
      </c>
    </row>
    <row r="164" spans="1:7" x14ac:dyDescent="0.2">
      <c r="A164" t="str">
        <f t="shared" si="2"/>
        <v>metab_sldll</v>
      </c>
      <c r="B164" t="s">
        <v>10904</v>
      </c>
      <c r="C164" t="s">
        <v>10905</v>
      </c>
      <c r="D164" t="s">
        <v>72</v>
      </c>
      <c r="E164" t="s">
        <v>118</v>
      </c>
      <c r="F164" t="s">
        <v>10774</v>
      </c>
      <c r="G164" t="s">
        <v>857</v>
      </c>
    </row>
    <row r="165" spans="1:7" x14ac:dyDescent="0.2">
      <c r="A165" t="str">
        <f t="shared" si="2"/>
        <v>metab_sldlp</v>
      </c>
      <c r="B165" t="s">
        <v>10902</v>
      </c>
      <c r="C165" t="s">
        <v>10903</v>
      </c>
      <c r="D165" t="s">
        <v>72</v>
      </c>
      <c r="E165" t="s">
        <v>118</v>
      </c>
      <c r="F165" t="s">
        <v>10771</v>
      </c>
      <c r="G165" t="s">
        <v>351</v>
      </c>
    </row>
    <row r="166" spans="1:7" x14ac:dyDescent="0.2">
      <c r="A166" t="str">
        <f t="shared" si="2"/>
        <v>metab_sldlpl</v>
      </c>
      <c r="B166" t="s">
        <v>10906</v>
      </c>
      <c r="C166" t="s">
        <v>10907</v>
      </c>
      <c r="D166" t="s">
        <v>72</v>
      </c>
      <c r="E166" t="s">
        <v>118</v>
      </c>
      <c r="F166" t="s">
        <v>10777</v>
      </c>
      <c r="G166" t="s">
        <v>665</v>
      </c>
    </row>
    <row r="167" spans="1:7" x14ac:dyDescent="0.2">
      <c r="A167" t="str">
        <f t="shared" si="2"/>
        <v>metab_sldlplpct</v>
      </c>
      <c r="B167" t="s">
        <v>11067</v>
      </c>
      <c r="C167" t="s">
        <v>11068</v>
      </c>
      <c r="D167" t="s">
        <v>144</v>
      </c>
      <c r="E167" t="s">
        <v>190</v>
      </c>
      <c r="F167" t="s">
        <v>10974</v>
      </c>
      <c r="G167" t="s">
        <v>143</v>
      </c>
    </row>
    <row r="168" spans="1:7" x14ac:dyDescent="0.2">
      <c r="A168" t="str">
        <f t="shared" si="2"/>
        <v>metab_sldltg</v>
      </c>
      <c r="B168" t="s">
        <v>10914</v>
      </c>
      <c r="C168" t="s">
        <v>10915</v>
      </c>
      <c r="D168" t="s">
        <v>72</v>
      </c>
      <c r="E168" t="s">
        <v>118</v>
      </c>
      <c r="F168" t="s">
        <v>10788</v>
      </c>
      <c r="G168" t="s">
        <v>935</v>
      </c>
    </row>
    <row r="169" spans="1:7" x14ac:dyDescent="0.2">
      <c r="A169" t="str">
        <f t="shared" si="2"/>
        <v>metab_sldltgpct</v>
      </c>
      <c r="B169" t="s">
        <v>11075</v>
      </c>
      <c r="C169" t="s">
        <v>11076</v>
      </c>
      <c r="D169" t="s">
        <v>144</v>
      </c>
      <c r="E169" t="s">
        <v>190</v>
      </c>
      <c r="F169" t="s">
        <v>10996</v>
      </c>
      <c r="G169" t="s">
        <v>143</v>
      </c>
    </row>
    <row r="170" spans="1:7" x14ac:dyDescent="0.2">
      <c r="A170" t="str">
        <f t="shared" si="2"/>
        <v>metab_sphingomyelins</v>
      </c>
      <c r="B170" t="s">
        <v>813</v>
      </c>
      <c r="C170" t="s">
        <v>814</v>
      </c>
      <c r="D170" t="s">
        <v>656</v>
      </c>
      <c r="E170" t="s">
        <v>656</v>
      </c>
      <c r="F170" t="s">
        <v>10671</v>
      </c>
      <c r="G170" t="s">
        <v>814</v>
      </c>
    </row>
    <row r="171" spans="1:7" x14ac:dyDescent="0.2">
      <c r="A171" t="str">
        <f t="shared" si="2"/>
        <v>metab_svldlc</v>
      </c>
      <c r="B171" t="s">
        <v>10837</v>
      </c>
      <c r="C171" t="s">
        <v>10838</v>
      </c>
      <c r="D171" t="s">
        <v>72</v>
      </c>
      <c r="E171" t="s">
        <v>123</v>
      </c>
      <c r="F171" t="s">
        <v>10559</v>
      </c>
      <c r="G171" t="s">
        <v>71</v>
      </c>
    </row>
    <row r="172" spans="1:7" x14ac:dyDescent="0.2">
      <c r="A172" t="str">
        <f t="shared" si="2"/>
        <v>metab_svldlce</v>
      </c>
      <c r="B172" t="s">
        <v>10839</v>
      </c>
      <c r="C172" t="s">
        <v>10840</v>
      </c>
      <c r="D172" t="s">
        <v>72</v>
      </c>
      <c r="E172" t="s">
        <v>123</v>
      </c>
      <c r="F172" t="s">
        <v>10782</v>
      </c>
      <c r="G172" t="s">
        <v>215</v>
      </c>
    </row>
    <row r="173" spans="1:7" x14ac:dyDescent="0.2">
      <c r="A173" t="str">
        <f t="shared" si="2"/>
        <v>metab_svldlcepct</v>
      </c>
      <c r="B173" t="s">
        <v>11021</v>
      </c>
      <c r="C173" t="s">
        <v>11022</v>
      </c>
      <c r="D173" t="s">
        <v>144</v>
      </c>
      <c r="E173" t="s">
        <v>195</v>
      </c>
      <c r="F173" t="s">
        <v>10980</v>
      </c>
      <c r="G173" t="s">
        <v>143</v>
      </c>
    </row>
    <row r="174" spans="1:7" x14ac:dyDescent="0.2">
      <c r="A174" t="str">
        <f t="shared" si="2"/>
        <v>metab_svldlcpct</v>
      </c>
      <c r="B174" t="s">
        <v>11019</v>
      </c>
      <c r="C174" t="s">
        <v>11020</v>
      </c>
      <c r="D174" t="s">
        <v>144</v>
      </c>
      <c r="E174" t="s">
        <v>195</v>
      </c>
      <c r="F174" t="s">
        <v>10977</v>
      </c>
      <c r="G174" t="s">
        <v>143</v>
      </c>
    </row>
    <row r="175" spans="1:7" x14ac:dyDescent="0.2">
      <c r="A175" t="str">
        <f t="shared" si="2"/>
        <v>metab_svldlfc</v>
      </c>
      <c r="B175" t="s">
        <v>10841</v>
      </c>
      <c r="C175" t="s">
        <v>10842</v>
      </c>
      <c r="D175" t="s">
        <v>72</v>
      </c>
      <c r="E175" t="s">
        <v>123</v>
      </c>
      <c r="F175" t="s">
        <v>10785</v>
      </c>
      <c r="G175" t="s">
        <v>442</v>
      </c>
    </row>
    <row r="176" spans="1:7" x14ac:dyDescent="0.2">
      <c r="A176" t="str">
        <f t="shared" si="2"/>
        <v>metab_svldlfcpct</v>
      </c>
      <c r="B176" t="s">
        <v>11023</v>
      </c>
      <c r="C176" t="s">
        <v>11024</v>
      </c>
      <c r="D176" t="s">
        <v>144</v>
      </c>
      <c r="E176" t="s">
        <v>195</v>
      </c>
      <c r="F176" t="s">
        <v>10983</v>
      </c>
      <c r="G176" t="s">
        <v>143</v>
      </c>
    </row>
    <row r="177" spans="1:7" x14ac:dyDescent="0.2">
      <c r="A177" t="str">
        <f t="shared" si="2"/>
        <v>metab_svldll</v>
      </c>
      <c r="B177" t="s">
        <v>10833</v>
      </c>
      <c r="C177" t="s">
        <v>10834</v>
      </c>
      <c r="D177" t="s">
        <v>72</v>
      </c>
      <c r="E177" t="s">
        <v>123</v>
      </c>
      <c r="F177" t="s">
        <v>10774</v>
      </c>
      <c r="G177" t="s">
        <v>857</v>
      </c>
    </row>
    <row r="178" spans="1:7" x14ac:dyDescent="0.2">
      <c r="A178" t="str">
        <f t="shared" si="2"/>
        <v>metab_svldlp</v>
      </c>
      <c r="B178" t="s">
        <v>10831</v>
      </c>
      <c r="C178" t="s">
        <v>10832</v>
      </c>
      <c r="D178" t="s">
        <v>72</v>
      </c>
      <c r="E178" t="s">
        <v>123</v>
      </c>
      <c r="F178" t="s">
        <v>10771</v>
      </c>
      <c r="G178" t="s">
        <v>351</v>
      </c>
    </row>
    <row r="179" spans="1:7" x14ac:dyDescent="0.2">
      <c r="A179" t="str">
        <f t="shared" si="2"/>
        <v>metab_svldlpl</v>
      </c>
      <c r="B179" t="s">
        <v>10835</v>
      </c>
      <c r="C179" t="s">
        <v>10836</v>
      </c>
      <c r="D179" t="s">
        <v>72</v>
      </c>
      <c r="E179" t="s">
        <v>123</v>
      </c>
      <c r="F179" t="s">
        <v>10777</v>
      </c>
      <c r="G179" t="s">
        <v>665</v>
      </c>
    </row>
    <row r="180" spans="1:7" x14ac:dyDescent="0.2">
      <c r="A180" t="str">
        <f t="shared" si="2"/>
        <v>metab_svldlplpct</v>
      </c>
      <c r="B180" t="s">
        <v>11017</v>
      </c>
      <c r="C180" t="s">
        <v>11018</v>
      </c>
      <c r="D180" t="s">
        <v>144</v>
      </c>
      <c r="E180" t="s">
        <v>195</v>
      </c>
      <c r="F180" t="s">
        <v>10974</v>
      </c>
      <c r="G180" t="s">
        <v>143</v>
      </c>
    </row>
    <row r="181" spans="1:7" x14ac:dyDescent="0.2">
      <c r="A181" t="str">
        <f t="shared" si="2"/>
        <v>metab_svldltg</v>
      </c>
      <c r="B181" t="s">
        <v>10843</v>
      </c>
      <c r="C181" t="s">
        <v>10844</v>
      </c>
      <c r="D181" t="s">
        <v>72</v>
      </c>
      <c r="E181" t="s">
        <v>123</v>
      </c>
      <c r="F181" t="s">
        <v>10788</v>
      </c>
      <c r="G181" t="s">
        <v>935</v>
      </c>
    </row>
    <row r="182" spans="1:7" x14ac:dyDescent="0.2">
      <c r="A182" t="str">
        <f t="shared" si="2"/>
        <v>metab_svldltgpct</v>
      </c>
      <c r="B182" t="s">
        <v>11025</v>
      </c>
      <c r="C182" t="s">
        <v>11026</v>
      </c>
      <c r="D182" t="s">
        <v>144</v>
      </c>
      <c r="E182" t="s">
        <v>195</v>
      </c>
      <c r="F182" t="s">
        <v>10996</v>
      </c>
      <c r="G182" t="s">
        <v>143</v>
      </c>
    </row>
    <row r="183" spans="1:7" x14ac:dyDescent="0.2">
      <c r="A183" t="str">
        <f t="shared" si="2"/>
        <v>metab_tgpg</v>
      </c>
      <c r="B183" t="s">
        <v>10662</v>
      </c>
      <c r="C183" t="s">
        <v>10663</v>
      </c>
      <c r="D183" t="s">
        <v>1011</v>
      </c>
      <c r="E183" t="s">
        <v>1011</v>
      </c>
      <c r="F183" t="s">
        <v>10664</v>
      </c>
      <c r="G183" t="s">
        <v>143</v>
      </c>
    </row>
    <row r="184" spans="1:7" x14ac:dyDescent="0.2">
      <c r="A184" t="str">
        <f t="shared" si="2"/>
        <v>metab_totalbcaa</v>
      </c>
      <c r="B184" t="s">
        <v>10740</v>
      </c>
      <c r="C184" t="s">
        <v>10741</v>
      </c>
      <c r="D184" t="s">
        <v>30</v>
      </c>
      <c r="E184" t="s">
        <v>593</v>
      </c>
      <c r="F184" t="s">
        <v>10742</v>
      </c>
      <c r="G184" t="s">
        <v>834</v>
      </c>
    </row>
    <row r="185" spans="1:7" x14ac:dyDescent="0.2">
      <c r="A185" t="str">
        <f t="shared" si="2"/>
        <v>metab_totalc</v>
      </c>
      <c r="B185" t="s">
        <v>10557</v>
      </c>
      <c r="C185" t="s">
        <v>10558</v>
      </c>
      <c r="D185" t="s">
        <v>346</v>
      </c>
      <c r="E185" t="s">
        <v>346</v>
      </c>
      <c r="F185" t="s">
        <v>10559</v>
      </c>
      <c r="G185" t="s">
        <v>71</v>
      </c>
    </row>
    <row r="186" spans="1:7" x14ac:dyDescent="0.2">
      <c r="A186" t="str">
        <f t="shared" si="2"/>
        <v>metab_totalce</v>
      </c>
      <c r="B186" t="s">
        <v>10602</v>
      </c>
      <c r="C186" t="s">
        <v>10603</v>
      </c>
      <c r="D186" t="s">
        <v>220</v>
      </c>
      <c r="E186" t="s">
        <v>220</v>
      </c>
      <c r="F186" t="s">
        <v>10604</v>
      </c>
      <c r="G186" t="s">
        <v>843</v>
      </c>
    </row>
    <row r="187" spans="1:7" x14ac:dyDescent="0.2">
      <c r="A187" t="str">
        <f t="shared" si="2"/>
        <v>metab_totalfa</v>
      </c>
      <c r="B187" t="s">
        <v>10679</v>
      </c>
      <c r="C187" t="s">
        <v>10680</v>
      </c>
      <c r="D187" t="s">
        <v>426</v>
      </c>
      <c r="E187" t="s">
        <v>426</v>
      </c>
      <c r="F187" t="s">
        <v>10681</v>
      </c>
      <c r="G187" t="s">
        <v>846</v>
      </c>
    </row>
    <row r="188" spans="1:7" x14ac:dyDescent="0.2">
      <c r="A188" t="str">
        <f t="shared" si="2"/>
        <v>metab_totalfc</v>
      </c>
      <c r="B188" t="s">
        <v>10614</v>
      </c>
      <c r="C188" t="s">
        <v>10615</v>
      </c>
      <c r="D188" t="s">
        <v>442</v>
      </c>
      <c r="E188" t="s">
        <v>442</v>
      </c>
      <c r="F188" t="s">
        <v>10616</v>
      </c>
      <c r="G188" t="s">
        <v>852</v>
      </c>
    </row>
    <row r="189" spans="1:7" x14ac:dyDescent="0.2">
      <c r="A189" t="str">
        <f t="shared" si="2"/>
        <v>metab_totall</v>
      </c>
      <c r="B189" t="s">
        <v>10626</v>
      </c>
      <c r="C189" t="s">
        <v>10627</v>
      </c>
      <c r="D189" t="s">
        <v>857</v>
      </c>
      <c r="E189" t="s">
        <v>857</v>
      </c>
      <c r="F189" t="s">
        <v>10628</v>
      </c>
      <c r="G189" t="s">
        <v>885</v>
      </c>
    </row>
    <row r="190" spans="1:7" x14ac:dyDescent="0.2">
      <c r="A190" t="str">
        <f t="shared" si="2"/>
        <v>metab_totalp</v>
      </c>
      <c r="B190" t="s">
        <v>10638</v>
      </c>
      <c r="C190" t="s">
        <v>10639</v>
      </c>
      <c r="D190" t="s">
        <v>356</v>
      </c>
      <c r="E190" t="s">
        <v>356</v>
      </c>
      <c r="F190" t="s">
        <v>10640</v>
      </c>
      <c r="G190" t="s">
        <v>838</v>
      </c>
    </row>
    <row r="191" spans="1:7" x14ac:dyDescent="0.2">
      <c r="A191" t="str">
        <f t="shared" si="2"/>
        <v>metab_totalpl</v>
      </c>
      <c r="B191" t="s">
        <v>10590</v>
      </c>
      <c r="C191" t="s">
        <v>10591</v>
      </c>
      <c r="D191" t="s">
        <v>665</v>
      </c>
      <c r="E191" t="s">
        <v>665</v>
      </c>
      <c r="F191" t="s">
        <v>10592</v>
      </c>
      <c r="G191" t="s">
        <v>929</v>
      </c>
    </row>
    <row r="192" spans="1:7" x14ac:dyDescent="0.2">
      <c r="A192" t="str">
        <f t="shared" si="2"/>
        <v>metab_totaltg</v>
      </c>
      <c r="B192" t="s">
        <v>10578</v>
      </c>
      <c r="C192" t="s">
        <v>10579</v>
      </c>
      <c r="D192" t="s">
        <v>935</v>
      </c>
      <c r="E192" t="s">
        <v>935</v>
      </c>
      <c r="F192" t="s">
        <v>10580</v>
      </c>
      <c r="G192" t="s">
        <v>934</v>
      </c>
    </row>
    <row r="193" spans="1:7" x14ac:dyDescent="0.2">
      <c r="A193" t="str">
        <f t="shared" si="2"/>
        <v>metab_tyr</v>
      </c>
      <c r="B193" t="s">
        <v>10751</v>
      </c>
      <c r="C193" t="s">
        <v>10752</v>
      </c>
      <c r="D193" t="s">
        <v>30</v>
      </c>
      <c r="E193" t="s">
        <v>651</v>
      </c>
      <c r="F193" t="s">
        <v>10752</v>
      </c>
      <c r="G193" t="s">
        <v>1069</v>
      </c>
    </row>
    <row r="194" spans="1:7" x14ac:dyDescent="0.2">
      <c r="A194" t="str">
        <f t="shared" ref="A194:A251" si="3">_xlfn.CONCAT("metab_", $B194)</f>
        <v>metab_unsaturation</v>
      </c>
      <c r="B194" t="s">
        <v>10682</v>
      </c>
      <c r="C194" t="s">
        <v>10683</v>
      </c>
      <c r="D194" t="s">
        <v>426</v>
      </c>
      <c r="E194" t="s">
        <v>426</v>
      </c>
      <c r="F194" t="s">
        <v>10684</v>
      </c>
      <c r="G194" t="s">
        <v>425</v>
      </c>
    </row>
    <row r="195" spans="1:7" x14ac:dyDescent="0.2">
      <c r="A195" t="str">
        <f t="shared" si="3"/>
        <v>metab_val</v>
      </c>
      <c r="B195" t="s">
        <v>10747</v>
      </c>
      <c r="C195" t="s">
        <v>10748</v>
      </c>
      <c r="D195" t="s">
        <v>30</v>
      </c>
      <c r="E195" t="s">
        <v>593</v>
      </c>
      <c r="F195" t="s">
        <v>10748</v>
      </c>
      <c r="G195" t="s">
        <v>1073</v>
      </c>
    </row>
    <row r="196" spans="1:7" x14ac:dyDescent="0.2">
      <c r="A196" t="str">
        <f t="shared" si="3"/>
        <v>metab_vldlc</v>
      </c>
      <c r="B196" t="s">
        <v>10566</v>
      </c>
      <c r="C196" t="s">
        <v>10567</v>
      </c>
      <c r="D196" t="s">
        <v>346</v>
      </c>
      <c r="E196" t="s">
        <v>346</v>
      </c>
      <c r="F196" t="s">
        <v>10568</v>
      </c>
      <c r="G196" t="s">
        <v>1079</v>
      </c>
    </row>
    <row r="197" spans="1:7" x14ac:dyDescent="0.2">
      <c r="A197" t="str">
        <f t="shared" si="3"/>
        <v>metab_vldlce</v>
      </c>
      <c r="B197" t="s">
        <v>10605</v>
      </c>
      <c r="C197" t="s">
        <v>10606</v>
      </c>
      <c r="D197" t="s">
        <v>220</v>
      </c>
      <c r="E197" t="s">
        <v>220</v>
      </c>
      <c r="F197" t="s">
        <v>10607</v>
      </c>
      <c r="G197" t="s">
        <v>280</v>
      </c>
    </row>
    <row r="198" spans="1:7" x14ac:dyDescent="0.2">
      <c r="A198" t="str">
        <f t="shared" si="3"/>
        <v>metab_vldlfc</v>
      </c>
      <c r="B198" t="s">
        <v>10617</v>
      </c>
      <c r="C198" t="s">
        <v>10618</v>
      </c>
      <c r="D198" t="s">
        <v>442</v>
      </c>
      <c r="E198" t="s">
        <v>442</v>
      </c>
      <c r="F198" t="s">
        <v>10619</v>
      </c>
      <c r="G198" t="s">
        <v>506</v>
      </c>
    </row>
    <row r="199" spans="1:7" x14ac:dyDescent="0.2">
      <c r="A199" t="str">
        <f t="shared" si="3"/>
        <v>metab_vldll</v>
      </c>
      <c r="B199" t="s">
        <v>10629</v>
      </c>
      <c r="C199" t="s">
        <v>10630</v>
      </c>
      <c r="D199" t="s">
        <v>857</v>
      </c>
      <c r="E199" t="s">
        <v>857</v>
      </c>
      <c r="F199" t="s">
        <v>10631</v>
      </c>
      <c r="G199" t="s">
        <v>925</v>
      </c>
    </row>
    <row r="200" spans="1:7" x14ac:dyDescent="0.2">
      <c r="A200" t="str">
        <f t="shared" si="3"/>
        <v>metab_vldlp</v>
      </c>
      <c r="B200" t="s">
        <v>10641</v>
      </c>
      <c r="C200" t="s">
        <v>10642</v>
      </c>
      <c r="D200" t="s">
        <v>356</v>
      </c>
      <c r="E200" t="s">
        <v>356</v>
      </c>
      <c r="F200" t="s">
        <v>10643</v>
      </c>
      <c r="G200" t="s">
        <v>416</v>
      </c>
    </row>
    <row r="201" spans="1:7" x14ac:dyDescent="0.2">
      <c r="A201" t="str">
        <f t="shared" si="3"/>
        <v>metab_vldlpl</v>
      </c>
      <c r="B201" t="s">
        <v>10593</v>
      </c>
      <c r="C201" t="s">
        <v>10594</v>
      </c>
      <c r="D201" t="s">
        <v>665</v>
      </c>
      <c r="E201" t="s">
        <v>665</v>
      </c>
      <c r="F201" t="s">
        <v>10595</v>
      </c>
      <c r="G201" t="s">
        <v>725</v>
      </c>
    </row>
    <row r="202" spans="1:7" x14ac:dyDescent="0.2">
      <c r="A202" t="str">
        <f t="shared" si="3"/>
        <v>metab_vldlsize</v>
      </c>
      <c r="B202" t="s">
        <v>10650</v>
      </c>
      <c r="C202" t="s">
        <v>10651</v>
      </c>
      <c r="D202" t="s">
        <v>56</v>
      </c>
      <c r="E202" t="s">
        <v>56</v>
      </c>
      <c r="F202" t="s">
        <v>10652</v>
      </c>
      <c r="G202" t="s">
        <v>66</v>
      </c>
    </row>
    <row r="203" spans="1:7" x14ac:dyDescent="0.2">
      <c r="A203" t="str">
        <f t="shared" si="3"/>
        <v>metab_vldltg</v>
      </c>
      <c r="B203" t="s">
        <v>10581</v>
      </c>
      <c r="C203" t="s">
        <v>10582</v>
      </c>
      <c r="D203" t="s">
        <v>945</v>
      </c>
      <c r="E203" t="s">
        <v>945</v>
      </c>
      <c r="F203" t="s">
        <v>10583</v>
      </c>
      <c r="G203" t="s">
        <v>1006</v>
      </c>
    </row>
    <row r="204" spans="1:7" x14ac:dyDescent="0.2">
      <c r="A204" t="str">
        <f t="shared" si="3"/>
        <v>metab_xlhdlc</v>
      </c>
      <c r="B204" t="s">
        <v>10922</v>
      </c>
      <c r="C204" t="s">
        <v>10923</v>
      </c>
      <c r="D204" t="s">
        <v>72</v>
      </c>
      <c r="E204" t="s">
        <v>128</v>
      </c>
      <c r="F204" t="s">
        <v>10559</v>
      </c>
      <c r="G204" t="s">
        <v>71</v>
      </c>
    </row>
    <row r="205" spans="1:7" x14ac:dyDescent="0.2">
      <c r="A205" t="str">
        <f t="shared" si="3"/>
        <v>metab_xlhdlce</v>
      </c>
      <c r="B205" t="s">
        <v>10924</v>
      </c>
      <c r="C205" t="s">
        <v>10925</v>
      </c>
      <c r="D205" t="s">
        <v>72</v>
      </c>
      <c r="E205" t="s">
        <v>128</v>
      </c>
      <c r="F205" t="s">
        <v>10782</v>
      </c>
      <c r="G205" t="s">
        <v>215</v>
      </c>
    </row>
    <row r="206" spans="1:7" x14ac:dyDescent="0.2">
      <c r="A206" t="str">
        <f t="shared" si="3"/>
        <v>metab_xlhdlcepct</v>
      </c>
      <c r="B206" t="s">
        <v>11081</v>
      </c>
      <c r="C206" t="s">
        <v>11082</v>
      </c>
      <c r="D206" t="s">
        <v>144</v>
      </c>
      <c r="E206" t="s">
        <v>200</v>
      </c>
      <c r="F206" t="s">
        <v>10980</v>
      </c>
      <c r="G206" t="s">
        <v>143</v>
      </c>
    </row>
    <row r="207" spans="1:7" x14ac:dyDescent="0.2">
      <c r="A207" t="str">
        <f t="shared" si="3"/>
        <v>metab_xlhdlcpct</v>
      </c>
      <c r="B207" t="s">
        <v>11079</v>
      </c>
      <c r="C207" t="s">
        <v>11080</v>
      </c>
      <c r="D207" t="s">
        <v>144</v>
      </c>
      <c r="E207" t="s">
        <v>200</v>
      </c>
      <c r="F207" t="s">
        <v>10977</v>
      </c>
      <c r="G207" t="s">
        <v>143</v>
      </c>
    </row>
    <row r="208" spans="1:7" x14ac:dyDescent="0.2">
      <c r="A208" t="str">
        <f t="shared" si="3"/>
        <v>metab_xlhdlfc</v>
      </c>
      <c r="B208" t="s">
        <v>10926</v>
      </c>
      <c r="C208" t="s">
        <v>10927</v>
      </c>
      <c r="D208" t="s">
        <v>72</v>
      </c>
      <c r="E208" t="s">
        <v>128</v>
      </c>
      <c r="F208" t="s">
        <v>10785</v>
      </c>
      <c r="G208" t="s">
        <v>442</v>
      </c>
    </row>
    <row r="209" spans="1:7" x14ac:dyDescent="0.2">
      <c r="A209" t="str">
        <f t="shared" si="3"/>
        <v>metab_xlhdlfcpct</v>
      </c>
      <c r="B209" t="s">
        <v>11083</v>
      </c>
      <c r="C209" t="s">
        <v>11084</v>
      </c>
      <c r="D209" t="s">
        <v>144</v>
      </c>
      <c r="E209" t="s">
        <v>200</v>
      </c>
      <c r="F209" t="s">
        <v>10983</v>
      </c>
      <c r="G209" t="s">
        <v>143</v>
      </c>
    </row>
    <row r="210" spans="1:7" x14ac:dyDescent="0.2">
      <c r="A210" t="str">
        <f t="shared" si="3"/>
        <v>metab_xlhdll</v>
      </c>
      <c r="B210" t="s">
        <v>10918</v>
      </c>
      <c r="C210" t="s">
        <v>10919</v>
      </c>
      <c r="D210" t="s">
        <v>72</v>
      </c>
      <c r="E210" t="s">
        <v>128</v>
      </c>
      <c r="F210" t="s">
        <v>10774</v>
      </c>
      <c r="G210" t="s">
        <v>857</v>
      </c>
    </row>
    <row r="211" spans="1:7" x14ac:dyDescent="0.2">
      <c r="A211" t="str">
        <f t="shared" si="3"/>
        <v>metab_xlhdlp</v>
      </c>
      <c r="B211" t="s">
        <v>10916</v>
      </c>
      <c r="C211" t="s">
        <v>10917</v>
      </c>
      <c r="D211" t="s">
        <v>72</v>
      </c>
      <c r="E211" t="s">
        <v>128</v>
      </c>
      <c r="F211" t="s">
        <v>10771</v>
      </c>
      <c r="G211" t="s">
        <v>351</v>
      </c>
    </row>
    <row r="212" spans="1:7" x14ac:dyDescent="0.2">
      <c r="A212" t="str">
        <f t="shared" si="3"/>
        <v>metab_xlhdlpl</v>
      </c>
      <c r="B212" t="s">
        <v>10920</v>
      </c>
      <c r="C212" t="s">
        <v>10921</v>
      </c>
      <c r="D212" t="s">
        <v>72</v>
      </c>
      <c r="E212" t="s">
        <v>128</v>
      </c>
      <c r="F212" t="s">
        <v>10777</v>
      </c>
      <c r="G212" t="s">
        <v>665</v>
      </c>
    </row>
    <row r="213" spans="1:7" x14ac:dyDescent="0.2">
      <c r="A213" t="str">
        <f t="shared" si="3"/>
        <v>metab_xlhdlplpct</v>
      </c>
      <c r="B213" t="s">
        <v>11077</v>
      </c>
      <c r="C213" t="s">
        <v>11078</v>
      </c>
      <c r="D213" t="s">
        <v>144</v>
      </c>
      <c r="E213" t="s">
        <v>200</v>
      </c>
      <c r="F213" t="s">
        <v>10974</v>
      </c>
      <c r="G213" t="s">
        <v>143</v>
      </c>
    </row>
    <row r="214" spans="1:7" x14ac:dyDescent="0.2">
      <c r="A214" t="str">
        <f t="shared" si="3"/>
        <v>metab_xlhdltg</v>
      </c>
      <c r="B214" t="s">
        <v>10928</v>
      </c>
      <c r="C214" t="s">
        <v>10929</v>
      </c>
      <c r="D214" t="s">
        <v>72</v>
      </c>
      <c r="E214" t="s">
        <v>128</v>
      </c>
      <c r="F214" t="s">
        <v>10788</v>
      </c>
      <c r="G214" t="s">
        <v>935</v>
      </c>
    </row>
    <row r="215" spans="1:7" x14ac:dyDescent="0.2">
      <c r="A215" t="str">
        <f t="shared" si="3"/>
        <v>metab_xlhdltgpct</v>
      </c>
      <c r="B215" t="s">
        <v>11085</v>
      </c>
      <c r="C215" t="s">
        <v>11086</v>
      </c>
      <c r="D215" t="s">
        <v>144</v>
      </c>
      <c r="E215" t="s">
        <v>200</v>
      </c>
      <c r="F215" t="s">
        <v>10996</v>
      </c>
      <c r="G215" t="s">
        <v>143</v>
      </c>
    </row>
    <row r="216" spans="1:7" x14ac:dyDescent="0.2">
      <c r="A216" t="str">
        <f t="shared" si="3"/>
        <v>metab_xlvldlc</v>
      </c>
      <c r="B216" t="s">
        <v>10795</v>
      </c>
      <c r="C216" t="s">
        <v>10796</v>
      </c>
      <c r="D216" t="s">
        <v>72</v>
      </c>
      <c r="E216" t="s">
        <v>133</v>
      </c>
      <c r="F216" t="s">
        <v>10559</v>
      </c>
      <c r="G216" t="s">
        <v>71</v>
      </c>
    </row>
    <row r="217" spans="1:7" x14ac:dyDescent="0.2">
      <c r="A217" t="str">
        <f t="shared" si="3"/>
        <v>metab_xlvldlce</v>
      </c>
      <c r="B217" t="s">
        <v>10797</v>
      </c>
      <c r="C217" t="s">
        <v>10798</v>
      </c>
      <c r="D217" t="s">
        <v>72</v>
      </c>
      <c r="E217" t="s">
        <v>133</v>
      </c>
      <c r="F217" t="s">
        <v>10782</v>
      </c>
      <c r="G217" t="s">
        <v>215</v>
      </c>
    </row>
    <row r="218" spans="1:7" x14ac:dyDescent="0.2">
      <c r="A218" t="str">
        <f t="shared" si="3"/>
        <v>metab_xlvldlcepct</v>
      </c>
      <c r="B218" t="s">
        <v>10990</v>
      </c>
      <c r="C218" t="s">
        <v>10991</v>
      </c>
      <c r="D218" t="s">
        <v>144</v>
      </c>
      <c r="E218" t="s">
        <v>205</v>
      </c>
      <c r="F218" t="s">
        <v>10980</v>
      </c>
      <c r="G218" t="s">
        <v>143</v>
      </c>
    </row>
    <row r="219" spans="1:7" x14ac:dyDescent="0.2">
      <c r="A219" t="str">
        <f t="shared" si="3"/>
        <v>metab_xlvldlcpct</v>
      </c>
      <c r="B219" t="s">
        <v>10988</v>
      </c>
      <c r="C219" t="s">
        <v>10989</v>
      </c>
      <c r="D219" t="s">
        <v>144</v>
      </c>
      <c r="E219" t="s">
        <v>205</v>
      </c>
      <c r="F219" t="s">
        <v>10977</v>
      </c>
      <c r="G219" t="s">
        <v>143</v>
      </c>
    </row>
    <row r="220" spans="1:7" x14ac:dyDescent="0.2">
      <c r="A220" t="str">
        <f t="shared" si="3"/>
        <v>metab_xlvldlfc</v>
      </c>
      <c r="B220" t="s">
        <v>10799</v>
      </c>
      <c r="C220" t="s">
        <v>10800</v>
      </c>
      <c r="D220" t="s">
        <v>72</v>
      </c>
      <c r="E220" t="s">
        <v>133</v>
      </c>
      <c r="F220" t="s">
        <v>10785</v>
      </c>
      <c r="G220" t="s">
        <v>442</v>
      </c>
    </row>
    <row r="221" spans="1:7" x14ac:dyDescent="0.2">
      <c r="A221" t="str">
        <f t="shared" si="3"/>
        <v>metab_xlvldlfcpct</v>
      </c>
      <c r="B221" t="s">
        <v>10992</v>
      </c>
      <c r="C221" t="s">
        <v>10993</v>
      </c>
      <c r="D221" t="s">
        <v>144</v>
      </c>
      <c r="E221" t="s">
        <v>205</v>
      </c>
      <c r="F221" t="s">
        <v>10983</v>
      </c>
      <c r="G221" t="s">
        <v>143</v>
      </c>
    </row>
    <row r="222" spans="1:7" x14ac:dyDescent="0.2">
      <c r="A222" t="str">
        <f t="shared" si="3"/>
        <v>metab_xlvldll</v>
      </c>
      <c r="B222" t="s">
        <v>10791</v>
      </c>
      <c r="C222" t="s">
        <v>10792</v>
      </c>
      <c r="D222" t="s">
        <v>72</v>
      </c>
      <c r="E222" t="s">
        <v>133</v>
      </c>
      <c r="F222" t="s">
        <v>10774</v>
      </c>
      <c r="G222" t="s">
        <v>857</v>
      </c>
    </row>
    <row r="223" spans="1:7" x14ac:dyDescent="0.2">
      <c r="A223" t="str">
        <f t="shared" si="3"/>
        <v>metab_xlvldlp</v>
      </c>
      <c r="B223" t="s">
        <v>10789</v>
      </c>
      <c r="C223" t="s">
        <v>10790</v>
      </c>
      <c r="D223" t="s">
        <v>72</v>
      </c>
      <c r="E223" t="s">
        <v>133</v>
      </c>
      <c r="F223" t="s">
        <v>10771</v>
      </c>
      <c r="G223" t="s">
        <v>351</v>
      </c>
    </row>
    <row r="224" spans="1:7" x14ac:dyDescent="0.2">
      <c r="A224" t="str">
        <f t="shared" si="3"/>
        <v>metab_xlvldlpl</v>
      </c>
      <c r="B224" t="s">
        <v>10793</v>
      </c>
      <c r="C224" t="s">
        <v>10794</v>
      </c>
      <c r="D224" t="s">
        <v>72</v>
      </c>
      <c r="E224" t="s">
        <v>133</v>
      </c>
      <c r="F224" t="s">
        <v>10777</v>
      </c>
      <c r="G224" t="s">
        <v>665</v>
      </c>
    </row>
    <row r="225" spans="1:7" x14ac:dyDescent="0.2">
      <c r="A225" t="str">
        <f t="shared" si="3"/>
        <v>metab_xlvldlplpct</v>
      </c>
      <c r="B225" t="s">
        <v>10986</v>
      </c>
      <c r="C225" t="s">
        <v>10987</v>
      </c>
      <c r="D225" t="s">
        <v>144</v>
      </c>
      <c r="E225" t="s">
        <v>205</v>
      </c>
      <c r="F225" t="s">
        <v>10974</v>
      </c>
      <c r="G225" t="s">
        <v>143</v>
      </c>
    </row>
    <row r="226" spans="1:7" x14ac:dyDescent="0.2">
      <c r="A226" t="str">
        <f t="shared" si="3"/>
        <v>metab_xlvldltg</v>
      </c>
      <c r="B226" t="s">
        <v>10801</v>
      </c>
      <c r="C226" t="s">
        <v>10802</v>
      </c>
      <c r="D226" t="s">
        <v>72</v>
      </c>
      <c r="E226" t="s">
        <v>133</v>
      </c>
      <c r="F226" t="s">
        <v>10788</v>
      </c>
      <c r="G226" t="s">
        <v>935</v>
      </c>
    </row>
    <row r="227" spans="1:7" x14ac:dyDescent="0.2">
      <c r="A227" t="str">
        <f t="shared" si="3"/>
        <v>metab_xlvldltgpct</v>
      </c>
      <c r="B227" t="s">
        <v>10994</v>
      </c>
      <c r="C227" t="s">
        <v>10995</v>
      </c>
      <c r="D227" t="s">
        <v>144</v>
      </c>
      <c r="E227" t="s">
        <v>205</v>
      </c>
      <c r="F227" t="s">
        <v>10996</v>
      </c>
      <c r="G227" t="s">
        <v>143</v>
      </c>
    </row>
    <row r="228" spans="1:7" x14ac:dyDescent="0.2">
      <c r="A228" t="str">
        <f t="shared" si="3"/>
        <v>metab_xsvldlc</v>
      </c>
      <c r="B228" t="s">
        <v>10852</v>
      </c>
      <c r="C228" t="s">
        <v>10853</v>
      </c>
      <c r="D228" t="s">
        <v>72</v>
      </c>
      <c r="E228" t="s">
        <v>138</v>
      </c>
      <c r="F228" t="s">
        <v>10559</v>
      </c>
      <c r="G228" t="s">
        <v>71</v>
      </c>
    </row>
    <row r="229" spans="1:7" x14ac:dyDescent="0.2">
      <c r="A229" t="str">
        <f t="shared" si="3"/>
        <v>metab_xsvldlce</v>
      </c>
      <c r="B229" t="s">
        <v>10854</v>
      </c>
      <c r="C229" t="s">
        <v>10855</v>
      </c>
      <c r="D229" t="s">
        <v>72</v>
      </c>
      <c r="E229" t="s">
        <v>138</v>
      </c>
      <c r="F229" t="s">
        <v>10782</v>
      </c>
      <c r="G229" t="s">
        <v>215</v>
      </c>
    </row>
    <row r="230" spans="1:7" x14ac:dyDescent="0.2">
      <c r="A230" t="str">
        <f t="shared" si="3"/>
        <v>metab_xsvldlcepct</v>
      </c>
      <c r="B230" t="s">
        <v>11031</v>
      </c>
      <c r="C230" t="s">
        <v>11032</v>
      </c>
      <c r="D230" t="s">
        <v>144</v>
      </c>
      <c r="E230" t="s">
        <v>210</v>
      </c>
      <c r="F230" t="s">
        <v>10980</v>
      </c>
      <c r="G230" t="s">
        <v>143</v>
      </c>
    </row>
    <row r="231" spans="1:7" x14ac:dyDescent="0.2">
      <c r="A231" t="str">
        <f t="shared" si="3"/>
        <v>metab_xsvldlcpct</v>
      </c>
      <c r="B231" t="s">
        <v>11029</v>
      </c>
      <c r="C231" t="s">
        <v>11030</v>
      </c>
      <c r="D231" t="s">
        <v>144</v>
      </c>
      <c r="E231" t="s">
        <v>210</v>
      </c>
      <c r="F231" t="s">
        <v>10977</v>
      </c>
      <c r="G231" t="s">
        <v>143</v>
      </c>
    </row>
    <row r="232" spans="1:7" x14ac:dyDescent="0.2">
      <c r="A232" t="str">
        <f t="shared" si="3"/>
        <v>metab_xsvldlfc</v>
      </c>
      <c r="B232" t="s">
        <v>10856</v>
      </c>
      <c r="C232" t="s">
        <v>10857</v>
      </c>
      <c r="D232" t="s">
        <v>72</v>
      </c>
      <c r="E232" t="s">
        <v>138</v>
      </c>
      <c r="F232" t="s">
        <v>10785</v>
      </c>
      <c r="G232" t="s">
        <v>442</v>
      </c>
    </row>
    <row r="233" spans="1:7" x14ac:dyDescent="0.2">
      <c r="A233" t="str">
        <f t="shared" si="3"/>
        <v>metab_xsvldlfcpct</v>
      </c>
      <c r="B233" t="s">
        <v>11033</v>
      </c>
      <c r="C233" t="s">
        <v>11034</v>
      </c>
      <c r="D233" t="s">
        <v>144</v>
      </c>
      <c r="E233" t="s">
        <v>210</v>
      </c>
      <c r="F233" t="s">
        <v>10983</v>
      </c>
      <c r="G233" t="s">
        <v>143</v>
      </c>
    </row>
    <row r="234" spans="1:7" x14ac:dyDescent="0.2">
      <c r="A234" t="str">
        <f t="shared" si="3"/>
        <v>metab_xsvldll</v>
      </c>
      <c r="B234" t="s">
        <v>10847</v>
      </c>
      <c r="C234" t="s">
        <v>10848</v>
      </c>
      <c r="D234" t="s">
        <v>72</v>
      </c>
      <c r="E234" t="s">
        <v>138</v>
      </c>
      <c r="F234" t="s">
        <v>10774</v>
      </c>
      <c r="G234" t="s">
        <v>857</v>
      </c>
    </row>
    <row r="235" spans="1:7" x14ac:dyDescent="0.2">
      <c r="A235" t="str">
        <f t="shared" si="3"/>
        <v>metab_xsvldlp</v>
      </c>
      <c r="B235" t="s">
        <v>10845</v>
      </c>
      <c r="C235" t="s">
        <v>10846</v>
      </c>
      <c r="D235" t="s">
        <v>72</v>
      </c>
      <c r="E235" t="s">
        <v>138</v>
      </c>
      <c r="F235" t="s">
        <v>10771</v>
      </c>
      <c r="G235" t="s">
        <v>351</v>
      </c>
    </row>
    <row r="236" spans="1:7" x14ac:dyDescent="0.2">
      <c r="A236" t="str">
        <f t="shared" si="3"/>
        <v>metab_xsvldlpl</v>
      </c>
      <c r="B236" t="s">
        <v>10849</v>
      </c>
      <c r="C236" t="s">
        <v>10850</v>
      </c>
      <c r="D236" t="s">
        <v>72</v>
      </c>
      <c r="E236" t="s">
        <v>138</v>
      </c>
      <c r="F236" t="s">
        <v>10851</v>
      </c>
      <c r="G236" t="s">
        <v>665</v>
      </c>
    </row>
    <row r="237" spans="1:7" x14ac:dyDescent="0.2">
      <c r="A237" t="str">
        <f t="shared" si="3"/>
        <v>metab_xsvldlplpct</v>
      </c>
      <c r="B237" t="s">
        <v>11027</v>
      </c>
      <c r="C237" t="s">
        <v>11028</v>
      </c>
      <c r="D237" t="s">
        <v>144</v>
      </c>
      <c r="E237" t="s">
        <v>210</v>
      </c>
      <c r="F237" t="s">
        <v>10974</v>
      </c>
      <c r="G237" t="s">
        <v>143</v>
      </c>
    </row>
    <row r="238" spans="1:7" x14ac:dyDescent="0.2">
      <c r="A238" t="str">
        <f t="shared" si="3"/>
        <v>metab_xsvldltg</v>
      </c>
      <c r="B238" t="s">
        <v>10858</v>
      </c>
      <c r="C238" t="s">
        <v>10859</v>
      </c>
      <c r="D238" t="s">
        <v>72</v>
      </c>
      <c r="E238" t="s">
        <v>138</v>
      </c>
      <c r="F238" t="s">
        <v>10788</v>
      </c>
      <c r="G238" t="s">
        <v>935</v>
      </c>
    </row>
    <row r="239" spans="1:7" x14ac:dyDescent="0.2">
      <c r="A239" t="str">
        <f t="shared" si="3"/>
        <v>metab_xsvldltgpct</v>
      </c>
      <c r="B239" t="s">
        <v>11035</v>
      </c>
      <c r="C239" t="s">
        <v>11036</v>
      </c>
      <c r="D239" t="s">
        <v>144</v>
      </c>
      <c r="E239" t="s">
        <v>210</v>
      </c>
      <c r="F239" t="s">
        <v>10996</v>
      </c>
      <c r="G239" t="s">
        <v>143</v>
      </c>
    </row>
    <row r="240" spans="1:7" x14ac:dyDescent="0.2">
      <c r="A240" t="str">
        <f t="shared" si="3"/>
        <v>metab_xxlvldlc</v>
      </c>
      <c r="B240" t="s">
        <v>10778</v>
      </c>
      <c r="C240" t="s">
        <v>10779</v>
      </c>
      <c r="D240" t="s">
        <v>72</v>
      </c>
      <c r="E240" t="s">
        <v>73</v>
      </c>
      <c r="F240" t="s">
        <v>10559</v>
      </c>
      <c r="G240" t="s">
        <v>71</v>
      </c>
    </row>
    <row r="241" spans="1:7" x14ac:dyDescent="0.2">
      <c r="A241" t="str">
        <f t="shared" si="3"/>
        <v>metab_xxlvldlce</v>
      </c>
      <c r="B241" t="s">
        <v>10780</v>
      </c>
      <c r="C241" t="s">
        <v>10781</v>
      </c>
      <c r="D241" t="s">
        <v>72</v>
      </c>
      <c r="E241" t="s">
        <v>73</v>
      </c>
      <c r="F241" t="s">
        <v>10782</v>
      </c>
      <c r="G241" t="s">
        <v>215</v>
      </c>
    </row>
    <row r="242" spans="1:7" x14ac:dyDescent="0.2">
      <c r="A242" t="str">
        <f t="shared" si="3"/>
        <v>metab_xxlvldlcepct</v>
      </c>
      <c r="B242" t="s">
        <v>10978</v>
      </c>
      <c r="C242" t="s">
        <v>10979</v>
      </c>
      <c r="D242" t="s">
        <v>144</v>
      </c>
      <c r="E242" t="s">
        <v>145</v>
      </c>
      <c r="F242" t="s">
        <v>10980</v>
      </c>
      <c r="G242" t="s">
        <v>143</v>
      </c>
    </row>
    <row r="243" spans="1:7" x14ac:dyDescent="0.2">
      <c r="A243" t="str">
        <f t="shared" si="3"/>
        <v>metab_xxlvldlcpct</v>
      </c>
      <c r="B243" t="s">
        <v>10975</v>
      </c>
      <c r="C243" t="s">
        <v>10976</v>
      </c>
      <c r="D243" t="s">
        <v>144</v>
      </c>
      <c r="E243" t="s">
        <v>145</v>
      </c>
      <c r="F243" t="s">
        <v>10977</v>
      </c>
      <c r="G243" t="s">
        <v>143</v>
      </c>
    </row>
    <row r="244" spans="1:7" x14ac:dyDescent="0.2">
      <c r="A244" t="str">
        <f t="shared" si="3"/>
        <v>metab_xxlvldlfc</v>
      </c>
      <c r="B244" t="s">
        <v>10783</v>
      </c>
      <c r="C244" t="s">
        <v>10784</v>
      </c>
      <c r="D244" t="s">
        <v>72</v>
      </c>
      <c r="E244" t="s">
        <v>73</v>
      </c>
      <c r="F244" t="s">
        <v>10785</v>
      </c>
      <c r="G244" t="s">
        <v>442</v>
      </c>
    </row>
    <row r="245" spans="1:7" x14ac:dyDescent="0.2">
      <c r="A245" t="str">
        <f t="shared" si="3"/>
        <v>metab_xxlvldlfcpct</v>
      </c>
      <c r="B245" t="s">
        <v>10981</v>
      </c>
      <c r="C245" t="s">
        <v>10982</v>
      </c>
      <c r="D245" t="s">
        <v>144</v>
      </c>
      <c r="E245" t="s">
        <v>145</v>
      </c>
      <c r="F245" t="s">
        <v>10983</v>
      </c>
      <c r="G245" t="s">
        <v>143</v>
      </c>
    </row>
    <row r="246" spans="1:7" x14ac:dyDescent="0.2">
      <c r="A246" t="str">
        <f t="shared" si="3"/>
        <v>metab_xxlvldll</v>
      </c>
      <c r="B246" t="s">
        <v>10772</v>
      </c>
      <c r="C246" t="s">
        <v>10773</v>
      </c>
      <c r="D246" t="s">
        <v>72</v>
      </c>
      <c r="E246" t="s">
        <v>73</v>
      </c>
      <c r="F246" t="s">
        <v>10774</v>
      </c>
      <c r="G246" t="s">
        <v>857</v>
      </c>
    </row>
    <row r="247" spans="1:7" x14ac:dyDescent="0.2">
      <c r="A247" t="str">
        <f t="shared" si="3"/>
        <v>metab_xxlvldlp</v>
      </c>
      <c r="B247" t="s">
        <v>10769</v>
      </c>
      <c r="C247" t="s">
        <v>10770</v>
      </c>
      <c r="D247" t="s">
        <v>72</v>
      </c>
      <c r="E247" t="s">
        <v>73</v>
      </c>
      <c r="F247" t="s">
        <v>10771</v>
      </c>
      <c r="G247" t="s">
        <v>351</v>
      </c>
    </row>
    <row r="248" spans="1:7" x14ac:dyDescent="0.2">
      <c r="A248" t="str">
        <f t="shared" si="3"/>
        <v>metab_xxlvldlpl</v>
      </c>
      <c r="B248" t="s">
        <v>10775</v>
      </c>
      <c r="C248" t="s">
        <v>10776</v>
      </c>
      <c r="D248" t="s">
        <v>72</v>
      </c>
      <c r="E248" t="s">
        <v>73</v>
      </c>
      <c r="F248" t="s">
        <v>10777</v>
      </c>
      <c r="G248" t="s">
        <v>665</v>
      </c>
    </row>
    <row r="249" spans="1:7" x14ac:dyDescent="0.2">
      <c r="A249" t="str">
        <f t="shared" si="3"/>
        <v>metab_xxlvldlplpct</v>
      </c>
      <c r="B249" t="s">
        <v>10972</v>
      </c>
      <c r="C249" t="s">
        <v>10973</v>
      </c>
      <c r="D249" t="s">
        <v>144</v>
      </c>
      <c r="E249" t="s">
        <v>145</v>
      </c>
      <c r="F249" t="s">
        <v>10974</v>
      </c>
      <c r="G249" t="s">
        <v>143</v>
      </c>
    </row>
    <row r="250" spans="1:7" x14ac:dyDescent="0.2">
      <c r="A250" t="str">
        <f t="shared" si="3"/>
        <v>metab_xxlvldltg</v>
      </c>
      <c r="B250" t="s">
        <v>10786</v>
      </c>
      <c r="C250" t="s">
        <v>10787</v>
      </c>
      <c r="D250" t="s">
        <v>72</v>
      </c>
      <c r="E250" t="s">
        <v>73</v>
      </c>
      <c r="F250" t="s">
        <v>10788</v>
      </c>
      <c r="G250" t="s">
        <v>935</v>
      </c>
    </row>
    <row r="251" spans="1:7" x14ac:dyDescent="0.2">
      <c r="A251" t="str">
        <f t="shared" si="3"/>
        <v>metab_xxlvldltgpct</v>
      </c>
      <c r="B251" t="s">
        <v>10984</v>
      </c>
      <c r="C251" t="s">
        <v>10985</v>
      </c>
      <c r="D251" t="s">
        <v>144</v>
      </c>
      <c r="E251" t="s">
        <v>145</v>
      </c>
      <c r="F251" t="s">
        <v>10788</v>
      </c>
      <c r="G251" t="s">
        <v>143</v>
      </c>
    </row>
  </sheetData>
  <autoFilter ref="A1:G1" xr:uid="{FE41DB8A-3264-1742-922B-CA3F7BB97887}">
    <sortState xmlns:xlrd2="http://schemas.microsoft.com/office/spreadsheetml/2017/richdata2" ref="A2:G251">
      <sortCondition ref="A1:A251"/>
    </sortState>
  </autoFilter>
  <conditionalFormatting sqref="A1:A251">
    <cfRule type="duplicateValues" dxfId="26" priority="2"/>
  </conditionalFormatting>
  <conditionalFormatting sqref="A1:A1048576">
    <cfRule type="duplicateValues" dxfId="25" priority="1"/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A4ED11-CD6F-3F40-BF79-27737DBD9B1A}">
  <dimension ref="A1:P1063"/>
  <sheetViews>
    <sheetView zoomScale="75" workbookViewId="0">
      <selection activeCell="D15" sqref="D15"/>
    </sheetView>
  </sheetViews>
  <sheetFormatPr baseColWidth="10" defaultRowHeight="16" x14ac:dyDescent="0.2"/>
  <cols>
    <col min="1" max="1" width="20.33203125" bestFit="1" customWidth="1"/>
    <col min="2" max="2" width="16.33203125" bestFit="1" customWidth="1"/>
    <col min="4" max="4" width="58" bestFit="1" customWidth="1"/>
    <col min="16" max="16" width="13.5" bestFit="1" customWidth="1"/>
  </cols>
  <sheetData>
    <row r="1" spans="1:16" x14ac:dyDescent="0.2">
      <c r="A1" t="s">
        <v>13424</v>
      </c>
      <c r="B1" t="s">
        <v>11306</v>
      </c>
      <c r="C1" t="s">
        <v>11307</v>
      </c>
      <c r="D1" t="s">
        <v>11308</v>
      </c>
      <c r="E1" t="s">
        <v>3422</v>
      </c>
      <c r="F1" t="s">
        <v>11309</v>
      </c>
      <c r="G1" t="s">
        <v>11310</v>
      </c>
      <c r="H1" t="s">
        <v>11311</v>
      </c>
      <c r="I1" t="s">
        <v>11312</v>
      </c>
      <c r="J1" t="s">
        <v>11313</v>
      </c>
      <c r="K1" t="s">
        <v>11314</v>
      </c>
      <c r="L1" t="s">
        <v>11315</v>
      </c>
      <c r="M1" t="s">
        <v>11316</v>
      </c>
      <c r="N1" t="s">
        <v>11317</v>
      </c>
      <c r="O1" t="s">
        <v>11318</v>
      </c>
      <c r="P1" t="s">
        <v>10551</v>
      </c>
    </row>
    <row r="2" spans="1:16" x14ac:dyDescent="0.2">
      <c r="A2" t="str">
        <f>_xlfn.CONCAT("metab_compid_", $G2)</f>
        <v>metab_compid_57814</v>
      </c>
      <c r="B2" t="s">
        <v>11319</v>
      </c>
      <c r="C2">
        <v>426</v>
      </c>
      <c r="D2" t="s">
        <v>9559</v>
      </c>
      <c r="E2" t="s">
        <v>3436</v>
      </c>
      <c r="F2" t="s">
        <v>3437</v>
      </c>
      <c r="G2">
        <v>57814</v>
      </c>
      <c r="H2" t="s">
        <v>11320</v>
      </c>
      <c r="I2">
        <v>100016038</v>
      </c>
      <c r="J2">
        <v>3080</v>
      </c>
      <c r="K2">
        <v>188.17573999999999</v>
      </c>
      <c r="L2" t="s">
        <v>11145</v>
      </c>
      <c r="M2" t="s">
        <v>11145</v>
      </c>
      <c r="N2" t="s">
        <v>11145</v>
      </c>
      <c r="O2" t="s">
        <v>11145</v>
      </c>
      <c r="P2" t="s">
        <v>11319</v>
      </c>
    </row>
    <row r="3" spans="1:16" x14ac:dyDescent="0.2">
      <c r="A3" t="str">
        <f t="shared" ref="A3:A66" si="0">_xlfn.CONCAT("metab_compid_", $G3)</f>
        <v>metab_compid_52603</v>
      </c>
      <c r="B3" t="s">
        <v>11321</v>
      </c>
      <c r="C3">
        <v>1852</v>
      </c>
      <c r="D3" t="s">
        <v>8771</v>
      </c>
      <c r="E3" t="s">
        <v>3459</v>
      </c>
      <c r="F3" t="s">
        <v>5021</v>
      </c>
      <c r="G3">
        <v>52603</v>
      </c>
      <c r="H3" t="s">
        <v>11322</v>
      </c>
      <c r="I3">
        <v>100008903</v>
      </c>
      <c r="J3">
        <v>2006</v>
      </c>
      <c r="K3">
        <v>782.56943999999999</v>
      </c>
      <c r="L3" t="s">
        <v>8772</v>
      </c>
      <c r="M3">
        <v>5288075</v>
      </c>
      <c r="N3" t="s">
        <v>11145</v>
      </c>
      <c r="O3" t="s">
        <v>11323</v>
      </c>
      <c r="P3" t="s">
        <v>11321</v>
      </c>
    </row>
    <row r="4" spans="1:16" x14ac:dyDescent="0.2">
      <c r="A4" t="str">
        <f t="shared" si="0"/>
        <v>metab_compid_19130</v>
      </c>
      <c r="B4" t="s">
        <v>11324</v>
      </c>
      <c r="C4">
        <v>1778</v>
      </c>
      <c r="D4" t="s">
        <v>5451</v>
      </c>
      <c r="E4" t="s">
        <v>3459</v>
      </c>
      <c r="F4" t="s">
        <v>5021</v>
      </c>
      <c r="G4">
        <v>19130</v>
      </c>
      <c r="H4" t="s">
        <v>11322</v>
      </c>
      <c r="I4">
        <v>100000657</v>
      </c>
      <c r="J4">
        <v>2365</v>
      </c>
      <c r="K4">
        <v>734.56943999999999</v>
      </c>
      <c r="L4" t="s">
        <v>5452</v>
      </c>
      <c r="M4">
        <v>452110</v>
      </c>
      <c r="N4" t="s">
        <v>11145</v>
      </c>
      <c r="O4" t="s">
        <v>11325</v>
      </c>
      <c r="P4" t="s">
        <v>11324</v>
      </c>
    </row>
    <row r="5" spans="1:16" x14ac:dyDescent="0.2">
      <c r="A5" t="str">
        <f t="shared" si="0"/>
        <v>metab_compid_20675</v>
      </c>
      <c r="B5" t="s">
        <v>11326</v>
      </c>
      <c r="C5">
        <v>926</v>
      </c>
      <c r="D5" t="s">
        <v>5413</v>
      </c>
      <c r="E5" t="s">
        <v>3977</v>
      </c>
      <c r="F5" t="s">
        <v>4084</v>
      </c>
      <c r="G5">
        <v>20675</v>
      </c>
      <c r="H5" t="s">
        <v>11327</v>
      </c>
      <c r="I5">
        <v>100000580</v>
      </c>
      <c r="J5">
        <v>802</v>
      </c>
      <c r="K5">
        <v>163.06119000000001</v>
      </c>
      <c r="L5" t="s">
        <v>5414</v>
      </c>
      <c r="M5">
        <v>64960</v>
      </c>
      <c r="N5" t="s">
        <v>5416</v>
      </c>
      <c r="O5" t="s">
        <v>11328</v>
      </c>
      <c r="P5" t="s">
        <v>11326</v>
      </c>
    </row>
    <row r="6" spans="1:16" x14ac:dyDescent="0.2">
      <c r="A6" t="str">
        <f t="shared" si="0"/>
        <v>metab_compid_44621</v>
      </c>
      <c r="B6" t="s">
        <v>11329</v>
      </c>
      <c r="C6">
        <v>2282</v>
      </c>
      <c r="D6" t="s">
        <v>8288</v>
      </c>
      <c r="E6" t="s">
        <v>3459</v>
      </c>
      <c r="F6" t="s">
        <v>7722</v>
      </c>
      <c r="G6">
        <v>44621</v>
      </c>
      <c r="H6" t="s">
        <v>11322</v>
      </c>
      <c r="I6">
        <v>100005372</v>
      </c>
      <c r="J6">
        <v>1566</v>
      </c>
      <c r="K6">
        <v>464.31360000000001</v>
      </c>
      <c r="L6" t="s">
        <v>11145</v>
      </c>
      <c r="M6" t="s">
        <v>11145</v>
      </c>
      <c r="N6" t="s">
        <v>11145</v>
      </c>
      <c r="O6" t="s">
        <v>11145</v>
      </c>
      <c r="P6" t="s">
        <v>11329</v>
      </c>
    </row>
    <row r="7" spans="1:16" x14ac:dyDescent="0.2">
      <c r="A7" t="str">
        <f t="shared" si="0"/>
        <v>metab_compid_52689</v>
      </c>
      <c r="B7" t="s">
        <v>11330</v>
      </c>
      <c r="C7">
        <v>2260</v>
      </c>
      <c r="D7" t="s">
        <v>9001</v>
      </c>
      <c r="E7" t="s">
        <v>3459</v>
      </c>
      <c r="F7" t="s">
        <v>8803</v>
      </c>
      <c r="G7">
        <v>52689</v>
      </c>
      <c r="H7" t="s">
        <v>11322</v>
      </c>
      <c r="I7">
        <v>100009014</v>
      </c>
      <c r="J7">
        <v>2154</v>
      </c>
      <c r="K7">
        <v>766.57452000000001</v>
      </c>
      <c r="L7" t="s">
        <v>11145</v>
      </c>
      <c r="M7" t="s">
        <v>11145</v>
      </c>
      <c r="N7" t="s">
        <v>11145</v>
      </c>
      <c r="O7" t="s">
        <v>11331</v>
      </c>
      <c r="P7" t="s">
        <v>11330</v>
      </c>
    </row>
    <row r="8" spans="1:16" x14ac:dyDescent="0.2">
      <c r="A8" t="str">
        <f t="shared" si="0"/>
        <v>metab_compid_52673</v>
      </c>
      <c r="B8" t="s">
        <v>11332</v>
      </c>
      <c r="C8">
        <v>2252</v>
      </c>
      <c r="D8" t="s">
        <v>8978</v>
      </c>
      <c r="E8" t="s">
        <v>3459</v>
      </c>
      <c r="F8" t="s">
        <v>8803</v>
      </c>
      <c r="G8">
        <v>52673</v>
      </c>
      <c r="H8" t="s">
        <v>11322</v>
      </c>
      <c r="I8">
        <v>100009002</v>
      </c>
      <c r="J8">
        <v>2270</v>
      </c>
      <c r="K8">
        <v>724.52756999999997</v>
      </c>
      <c r="L8" t="s">
        <v>11145</v>
      </c>
      <c r="M8" t="s">
        <v>11145</v>
      </c>
      <c r="N8" t="s">
        <v>11145</v>
      </c>
      <c r="O8" t="s">
        <v>11333</v>
      </c>
      <c r="P8" t="s">
        <v>11332</v>
      </c>
    </row>
    <row r="9" spans="1:16" x14ac:dyDescent="0.2">
      <c r="A9" t="str">
        <f t="shared" si="0"/>
        <v>metab_compid_52682</v>
      </c>
      <c r="B9" t="s">
        <v>11334</v>
      </c>
      <c r="C9">
        <v>2261</v>
      </c>
      <c r="D9" t="s">
        <v>8995</v>
      </c>
      <c r="E9" t="s">
        <v>3459</v>
      </c>
      <c r="F9" t="s">
        <v>8803</v>
      </c>
      <c r="G9">
        <v>52682</v>
      </c>
      <c r="H9" t="s">
        <v>11322</v>
      </c>
      <c r="I9">
        <v>100009009</v>
      </c>
      <c r="J9">
        <v>2226</v>
      </c>
      <c r="K9">
        <v>742.57452000000001</v>
      </c>
      <c r="L9" t="s">
        <v>11145</v>
      </c>
      <c r="M9" t="s">
        <v>11145</v>
      </c>
      <c r="N9" t="s">
        <v>11145</v>
      </c>
      <c r="O9" t="s">
        <v>11335</v>
      </c>
      <c r="P9" t="s">
        <v>11334</v>
      </c>
    </row>
    <row r="10" spans="1:16" x14ac:dyDescent="0.2">
      <c r="A10" t="str">
        <f t="shared" si="0"/>
        <v>metab_compid_52677</v>
      </c>
      <c r="B10" t="s">
        <v>11336</v>
      </c>
      <c r="C10">
        <v>2249</v>
      </c>
      <c r="D10" t="s">
        <v>9066</v>
      </c>
      <c r="E10" t="s">
        <v>3459</v>
      </c>
      <c r="F10" t="s">
        <v>8803</v>
      </c>
      <c r="G10">
        <v>52677</v>
      </c>
      <c r="H10" t="s">
        <v>11322</v>
      </c>
      <c r="I10">
        <v>100009069</v>
      </c>
      <c r="J10">
        <v>2351</v>
      </c>
      <c r="K10">
        <v>700.52756999999997</v>
      </c>
      <c r="L10" t="s">
        <v>11145</v>
      </c>
      <c r="M10" t="s">
        <v>11145</v>
      </c>
      <c r="N10" t="s">
        <v>11145</v>
      </c>
      <c r="O10" t="s">
        <v>11337</v>
      </c>
      <c r="P10" t="s">
        <v>11336</v>
      </c>
    </row>
    <row r="11" spans="1:16" x14ac:dyDescent="0.2">
      <c r="A11" t="str">
        <f t="shared" si="0"/>
        <v>metab_compid_52478</v>
      </c>
      <c r="B11" t="s">
        <v>11338</v>
      </c>
      <c r="C11">
        <v>2254</v>
      </c>
      <c r="D11" t="s">
        <v>8990</v>
      </c>
      <c r="E11" t="s">
        <v>3459</v>
      </c>
      <c r="F11" t="s">
        <v>8803</v>
      </c>
      <c r="G11">
        <v>52478</v>
      </c>
      <c r="H11" t="s">
        <v>11322</v>
      </c>
      <c r="I11">
        <v>100009007</v>
      </c>
      <c r="J11">
        <v>2443</v>
      </c>
      <c r="K11">
        <v>744.59016999999994</v>
      </c>
      <c r="L11" t="s">
        <v>11145</v>
      </c>
      <c r="M11" t="s">
        <v>11145</v>
      </c>
      <c r="N11" t="s">
        <v>11145</v>
      </c>
      <c r="O11" t="s">
        <v>11145</v>
      </c>
      <c r="P11" t="s">
        <v>11338</v>
      </c>
    </row>
    <row r="12" spans="1:16" x14ac:dyDescent="0.2">
      <c r="A12" t="str">
        <f t="shared" si="0"/>
        <v>metab_compid_52477</v>
      </c>
      <c r="B12" t="s">
        <v>11339</v>
      </c>
      <c r="C12">
        <v>2248</v>
      </c>
      <c r="D12" t="s">
        <v>8984</v>
      </c>
      <c r="E12" t="s">
        <v>3459</v>
      </c>
      <c r="F12" t="s">
        <v>8803</v>
      </c>
      <c r="G12">
        <v>52477</v>
      </c>
      <c r="H12" t="s">
        <v>11322</v>
      </c>
      <c r="I12">
        <v>100009005</v>
      </c>
      <c r="J12">
        <v>2600</v>
      </c>
      <c r="K12">
        <v>702.54322000000002</v>
      </c>
      <c r="L12" t="s">
        <v>11145</v>
      </c>
      <c r="M12" t="s">
        <v>11145</v>
      </c>
      <c r="N12" t="s">
        <v>11145</v>
      </c>
      <c r="O12" t="s">
        <v>11340</v>
      </c>
      <c r="P12" t="s">
        <v>11339</v>
      </c>
    </row>
    <row r="13" spans="1:16" x14ac:dyDescent="0.2">
      <c r="A13" t="str">
        <f t="shared" si="0"/>
        <v>metab_compid_52713</v>
      </c>
      <c r="B13" t="s">
        <v>11341</v>
      </c>
      <c r="C13">
        <v>2251</v>
      </c>
      <c r="D13" t="s">
        <v>9090</v>
      </c>
      <c r="E13" t="s">
        <v>3459</v>
      </c>
      <c r="F13" t="s">
        <v>8803</v>
      </c>
      <c r="G13">
        <v>52713</v>
      </c>
      <c r="H13" t="s">
        <v>11322</v>
      </c>
      <c r="I13">
        <v>100009160</v>
      </c>
      <c r="J13">
        <v>2218</v>
      </c>
      <c r="K13">
        <v>716.55886999999996</v>
      </c>
      <c r="L13" t="s">
        <v>11145</v>
      </c>
      <c r="M13" t="s">
        <v>11145</v>
      </c>
      <c r="N13" t="s">
        <v>11145</v>
      </c>
      <c r="O13" t="s">
        <v>11342</v>
      </c>
      <c r="P13" t="s">
        <v>11341</v>
      </c>
    </row>
    <row r="14" spans="1:16" x14ac:dyDescent="0.2">
      <c r="A14" t="str">
        <f t="shared" si="0"/>
        <v>metab_compid_52716</v>
      </c>
      <c r="B14" t="s">
        <v>11343</v>
      </c>
      <c r="C14">
        <v>2250</v>
      </c>
      <c r="D14" t="s">
        <v>9096</v>
      </c>
      <c r="E14" t="s">
        <v>3459</v>
      </c>
      <c r="F14" t="s">
        <v>8803</v>
      </c>
      <c r="G14">
        <v>52716</v>
      </c>
      <c r="H14" t="s">
        <v>11322</v>
      </c>
      <c r="I14">
        <v>100009162</v>
      </c>
      <c r="J14">
        <v>2454</v>
      </c>
      <c r="K14">
        <v>718.57452000000001</v>
      </c>
      <c r="L14" t="s">
        <v>11145</v>
      </c>
      <c r="M14">
        <v>11146967</v>
      </c>
      <c r="N14" t="s">
        <v>11145</v>
      </c>
      <c r="O14" t="s">
        <v>11344</v>
      </c>
      <c r="P14" t="s">
        <v>11343</v>
      </c>
    </row>
    <row r="15" spans="1:16" x14ac:dyDescent="0.2">
      <c r="A15" t="str">
        <f t="shared" si="0"/>
        <v>metab_compid_52474</v>
      </c>
      <c r="B15" t="s">
        <v>11345</v>
      </c>
      <c r="C15">
        <v>2279</v>
      </c>
      <c r="D15" t="s">
        <v>7725</v>
      </c>
      <c r="E15" t="s">
        <v>3459</v>
      </c>
      <c r="F15" t="s">
        <v>7722</v>
      </c>
      <c r="G15">
        <v>52474</v>
      </c>
      <c r="H15" t="s">
        <v>11322</v>
      </c>
      <c r="I15">
        <v>100002875</v>
      </c>
      <c r="J15">
        <v>1547</v>
      </c>
      <c r="K15">
        <v>480.34485000000001</v>
      </c>
      <c r="L15" t="s">
        <v>11145</v>
      </c>
      <c r="M15">
        <v>10917802</v>
      </c>
      <c r="N15" t="s">
        <v>11145</v>
      </c>
      <c r="O15" t="s">
        <v>11346</v>
      </c>
      <c r="P15" t="s">
        <v>11345</v>
      </c>
    </row>
    <row r="16" spans="1:16" x14ac:dyDescent="0.2">
      <c r="A16" t="str">
        <f t="shared" si="0"/>
        <v>metab_compid_39270</v>
      </c>
      <c r="B16" t="s">
        <v>11347</v>
      </c>
      <c r="C16">
        <v>2280</v>
      </c>
      <c r="D16" t="s">
        <v>7808</v>
      </c>
      <c r="E16" t="s">
        <v>3459</v>
      </c>
      <c r="F16" t="s">
        <v>7722</v>
      </c>
      <c r="G16">
        <v>39270</v>
      </c>
      <c r="H16" t="s">
        <v>11322</v>
      </c>
      <c r="I16">
        <v>100003000</v>
      </c>
      <c r="J16">
        <v>1558</v>
      </c>
      <c r="K16">
        <v>438.29790000000003</v>
      </c>
      <c r="L16" t="s">
        <v>11145</v>
      </c>
      <c r="M16" t="s">
        <v>11145</v>
      </c>
      <c r="N16" t="s">
        <v>11145</v>
      </c>
      <c r="O16" t="s">
        <v>11145</v>
      </c>
      <c r="P16" t="s">
        <v>11347</v>
      </c>
    </row>
    <row r="17" spans="1:16" x14ac:dyDescent="0.2">
      <c r="A17" t="str">
        <f t="shared" si="0"/>
        <v>metab_compid_52475</v>
      </c>
      <c r="B17" t="s">
        <v>11348</v>
      </c>
      <c r="C17">
        <v>2265</v>
      </c>
      <c r="D17" t="s">
        <v>8972</v>
      </c>
      <c r="E17" t="s">
        <v>3459</v>
      </c>
      <c r="F17" t="s">
        <v>8803</v>
      </c>
      <c r="G17">
        <v>52475</v>
      </c>
      <c r="H17" t="s">
        <v>11322</v>
      </c>
      <c r="I17">
        <v>100008999</v>
      </c>
      <c r="J17">
        <v>2511</v>
      </c>
      <c r="K17">
        <v>752.55886999999996</v>
      </c>
      <c r="L17" t="s">
        <v>11145</v>
      </c>
      <c r="M17">
        <v>9547058</v>
      </c>
      <c r="N17" t="s">
        <v>11145</v>
      </c>
      <c r="O17" t="s">
        <v>11349</v>
      </c>
      <c r="P17" t="s">
        <v>11348</v>
      </c>
    </row>
    <row r="18" spans="1:16" x14ac:dyDescent="0.2">
      <c r="A18" t="str">
        <f t="shared" si="0"/>
        <v>metab_compid_52748</v>
      </c>
      <c r="B18" t="s">
        <v>11350</v>
      </c>
      <c r="C18">
        <v>2257</v>
      </c>
      <c r="D18" t="s">
        <v>9120</v>
      </c>
      <c r="E18" t="s">
        <v>3459</v>
      </c>
      <c r="F18" t="s">
        <v>8803</v>
      </c>
      <c r="G18">
        <v>52748</v>
      </c>
      <c r="H18" t="s">
        <v>11322</v>
      </c>
      <c r="I18">
        <v>100009225</v>
      </c>
      <c r="J18">
        <v>2633</v>
      </c>
      <c r="K18">
        <v>728.55886999999996</v>
      </c>
      <c r="L18" t="s">
        <v>11145</v>
      </c>
      <c r="M18" t="s">
        <v>11145</v>
      </c>
      <c r="N18" t="s">
        <v>11145</v>
      </c>
      <c r="O18" t="s">
        <v>11351</v>
      </c>
      <c r="P18" t="s">
        <v>11350</v>
      </c>
    </row>
    <row r="19" spans="1:16" x14ac:dyDescent="0.2">
      <c r="A19" t="str">
        <f t="shared" si="0"/>
        <v>metab_compid_52614</v>
      </c>
      <c r="B19" t="s">
        <v>11352</v>
      </c>
      <c r="C19">
        <v>2256</v>
      </c>
      <c r="D19" t="s">
        <v>8806</v>
      </c>
      <c r="E19" t="s">
        <v>3459</v>
      </c>
      <c r="F19" t="s">
        <v>8803</v>
      </c>
      <c r="G19">
        <v>52614</v>
      </c>
      <c r="H19" t="s">
        <v>11322</v>
      </c>
      <c r="I19">
        <v>100008919</v>
      </c>
      <c r="J19">
        <v>2950</v>
      </c>
      <c r="K19">
        <v>730.57452000000001</v>
      </c>
      <c r="L19" t="s">
        <v>8807</v>
      </c>
      <c r="M19" t="s">
        <v>11145</v>
      </c>
      <c r="N19" t="s">
        <v>11145</v>
      </c>
      <c r="O19" t="s">
        <v>11353</v>
      </c>
      <c r="P19" t="s">
        <v>11352</v>
      </c>
    </row>
    <row r="20" spans="1:16" x14ac:dyDescent="0.2">
      <c r="A20" t="str">
        <f t="shared" si="0"/>
        <v>metab_compid_39271</v>
      </c>
      <c r="B20" t="s">
        <v>11354</v>
      </c>
      <c r="C20">
        <v>2284</v>
      </c>
      <c r="D20" t="s">
        <v>7813</v>
      </c>
      <c r="E20" t="s">
        <v>3459</v>
      </c>
      <c r="F20" t="s">
        <v>7722</v>
      </c>
      <c r="G20">
        <v>39271</v>
      </c>
      <c r="H20" t="s">
        <v>11322</v>
      </c>
      <c r="I20">
        <v>100003001</v>
      </c>
      <c r="J20">
        <v>1649</v>
      </c>
      <c r="K20">
        <v>466.32920000000001</v>
      </c>
      <c r="L20" t="s">
        <v>11145</v>
      </c>
      <c r="M20" t="s">
        <v>11145</v>
      </c>
      <c r="N20" t="s">
        <v>11145</v>
      </c>
      <c r="O20" t="s">
        <v>11145</v>
      </c>
      <c r="P20" t="s">
        <v>11354</v>
      </c>
    </row>
    <row r="21" spans="1:16" x14ac:dyDescent="0.2">
      <c r="A21" t="str">
        <f t="shared" si="0"/>
        <v>metab_compid_46325</v>
      </c>
      <c r="B21" t="s">
        <v>11355</v>
      </c>
      <c r="C21">
        <v>2046</v>
      </c>
      <c r="D21" t="s">
        <v>11356</v>
      </c>
      <c r="E21" t="s">
        <v>3459</v>
      </c>
      <c r="F21" t="s">
        <v>5441</v>
      </c>
      <c r="G21">
        <v>46325</v>
      </c>
      <c r="H21" t="s">
        <v>11327</v>
      </c>
      <c r="I21">
        <v>100004442</v>
      </c>
      <c r="J21">
        <v>5499</v>
      </c>
      <c r="K21">
        <v>457.23606000000001</v>
      </c>
      <c r="L21" t="s">
        <v>11357</v>
      </c>
      <c r="M21" t="s">
        <v>11145</v>
      </c>
      <c r="N21" t="s">
        <v>11145</v>
      </c>
      <c r="O21" t="s">
        <v>11145</v>
      </c>
      <c r="P21" t="s">
        <v>11355</v>
      </c>
    </row>
    <row r="22" spans="1:16" x14ac:dyDescent="0.2">
      <c r="A22" t="str">
        <f t="shared" si="0"/>
        <v>metab_compid_33228</v>
      </c>
      <c r="B22" t="s">
        <v>11358</v>
      </c>
      <c r="C22">
        <v>2083</v>
      </c>
      <c r="D22" t="s">
        <v>6602</v>
      </c>
      <c r="E22" t="s">
        <v>3459</v>
      </c>
      <c r="F22" t="s">
        <v>5441</v>
      </c>
      <c r="G22">
        <v>33228</v>
      </c>
      <c r="H22" t="s">
        <v>11322</v>
      </c>
      <c r="I22">
        <v>100001551</v>
      </c>
      <c r="J22">
        <v>1460</v>
      </c>
      <c r="K22">
        <v>544.33977000000004</v>
      </c>
      <c r="L22" t="s">
        <v>11145</v>
      </c>
      <c r="M22" t="s">
        <v>11145</v>
      </c>
      <c r="N22" t="s">
        <v>6605</v>
      </c>
      <c r="O22" t="s">
        <v>11359</v>
      </c>
      <c r="P22" t="s">
        <v>11358</v>
      </c>
    </row>
    <row r="23" spans="1:16" x14ac:dyDescent="0.2">
      <c r="A23" t="str">
        <f t="shared" si="0"/>
        <v>metab_compid_35186</v>
      </c>
      <c r="B23" t="s">
        <v>11360</v>
      </c>
      <c r="C23">
        <v>2123</v>
      </c>
      <c r="D23" t="s">
        <v>6641</v>
      </c>
      <c r="E23" t="s">
        <v>3459</v>
      </c>
      <c r="F23" t="s">
        <v>5441</v>
      </c>
      <c r="G23">
        <v>35186</v>
      </c>
      <c r="H23" t="s">
        <v>11322</v>
      </c>
      <c r="I23">
        <v>100001571</v>
      </c>
      <c r="J23">
        <v>1470</v>
      </c>
      <c r="K23">
        <v>502.29282000000001</v>
      </c>
      <c r="L23" t="s">
        <v>11145</v>
      </c>
      <c r="M23">
        <v>42607465</v>
      </c>
      <c r="N23" t="s">
        <v>11145</v>
      </c>
      <c r="O23" t="s">
        <v>11361</v>
      </c>
      <c r="P23" t="s">
        <v>11360</v>
      </c>
    </row>
    <row r="24" spans="1:16" x14ac:dyDescent="0.2">
      <c r="A24" t="str">
        <f t="shared" si="0"/>
        <v>metab_compid_34214</v>
      </c>
      <c r="B24" t="s">
        <v>11362</v>
      </c>
      <c r="C24">
        <v>2157</v>
      </c>
      <c r="D24" t="s">
        <v>6821</v>
      </c>
      <c r="E24" t="s">
        <v>3459</v>
      </c>
      <c r="F24" t="s">
        <v>5441</v>
      </c>
      <c r="G24">
        <v>34214</v>
      </c>
      <c r="H24" t="s">
        <v>11327</v>
      </c>
      <c r="I24">
        <v>100001654</v>
      </c>
      <c r="J24">
        <v>5482</v>
      </c>
      <c r="K24">
        <v>619.28887999999995</v>
      </c>
      <c r="L24" t="s">
        <v>11145</v>
      </c>
      <c r="M24" t="s">
        <v>11145</v>
      </c>
      <c r="N24" t="s">
        <v>11145</v>
      </c>
      <c r="O24" t="s">
        <v>11363</v>
      </c>
      <c r="P24" t="s">
        <v>11362</v>
      </c>
    </row>
    <row r="25" spans="1:16" x14ac:dyDescent="0.2">
      <c r="A25" t="str">
        <f t="shared" si="0"/>
        <v>metab_compid_34397</v>
      </c>
      <c r="B25" t="s">
        <v>11364</v>
      </c>
      <c r="C25">
        <v>2308</v>
      </c>
      <c r="D25" t="s">
        <v>6453</v>
      </c>
      <c r="E25" t="s">
        <v>3459</v>
      </c>
      <c r="F25" t="s">
        <v>5418</v>
      </c>
      <c r="G25">
        <v>34397</v>
      </c>
      <c r="H25" t="s">
        <v>11327</v>
      </c>
      <c r="I25">
        <v>100001433</v>
      </c>
      <c r="J25">
        <v>6250</v>
      </c>
      <c r="K25">
        <v>303.23293000000001</v>
      </c>
      <c r="L25" t="s">
        <v>6454</v>
      </c>
      <c r="M25">
        <v>5282281</v>
      </c>
      <c r="N25" t="s">
        <v>6457</v>
      </c>
      <c r="O25" t="s">
        <v>11365</v>
      </c>
      <c r="P25" t="s">
        <v>11364</v>
      </c>
    </row>
    <row r="26" spans="1:16" x14ac:dyDescent="0.2">
      <c r="A26" t="str">
        <f t="shared" si="0"/>
        <v>metab_compid_64879</v>
      </c>
      <c r="B26" t="s">
        <v>11366</v>
      </c>
      <c r="C26">
        <v>295</v>
      </c>
      <c r="D26" t="s">
        <v>10279</v>
      </c>
      <c r="E26" t="s">
        <v>3436</v>
      </c>
      <c r="F26" t="s">
        <v>3498</v>
      </c>
      <c r="G26">
        <v>64879</v>
      </c>
      <c r="H26" t="s">
        <v>11327</v>
      </c>
      <c r="I26">
        <v>100022479</v>
      </c>
      <c r="J26">
        <v>2628</v>
      </c>
      <c r="K26">
        <v>202.10847999999999</v>
      </c>
      <c r="L26" t="s">
        <v>10280</v>
      </c>
      <c r="M26">
        <v>85541231</v>
      </c>
      <c r="N26" t="s">
        <v>11145</v>
      </c>
      <c r="O26" t="s">
        <v>11367</v>
      </c>
      <c r="P26" t="s">
        <v>11366</v>
      </c>
    </row>
    <row r="27" spans="1:16" x14ac:dyDescent="0.2">
      <c r="A27" t="str">
        <f t="shared" si="0"/>
        <v>metab_compid_64880</v>
      </c>
      <c r="B27" t="s">
        <v>11368</v>
      </c>
      <c r="C27">
        <v>259</v>
      </c>
      <c r="D27" t="s">
        <v>10282</v>
      </c>
      <c r="E27" t="s">
        <v>3436</v>
      </c>
      <c r="F27" t="s">
        <v>3498</v>
      </c>
      <c r="G27">
        <v>64880</v>
      </c>
      <c r="H27" t="s">
        <v>11327</v>
      </c>
      <c r="I27">
        <v>100022480</v>
      </c>
      <c r="J27">
        <v>2663</v>
      </c>
      <c r="K27">
        <v>202.10847999999999</v>
      </c>
      <c r="L27" t="s">
        <v>10283</v>
      </c>
      <c r="M27">
        <v>57329455</v>
      </c>
      <c r="N27" t="s">
        <v>11145</v>
      </c>
      <c r="O27" t="s">
        <v>11369</v>
      </c>
      <c r="P27" t="s">
        <v>11368</v>
      </c>
    </row>
    <row r="28" spans="1:16" x14ac:dyDescent="0.2">
      <c r="A28" t="str">
        <f t="shared" si="0"/>
        <v>metab_compid_64881</v>
      </c>
      <c r="B28" t="s">
        <v>11370</v>
      </c>
      <c r="C28">
        <v>118</v>
      </c>
      <c r="D28" t="s">
        <v>10285</v>
      </c>
      <c r="E28" t="s">
        <v>3436</v>
      </c>
      <c r="F28" t="s">
        <v>3524</v>
      </c>
      <c r="G28">
        <v>64881</v>
      </c>
      <c r="H28" t="s">
        <v>11327</v>
      </c>
      <c r="I28">
        <v>100022482</v>
      </c>
      <c r="J28">
        <v>2844</v>
      </c>
      <c r="K28">
        <v>236.09282999999999</v>
      </c>
      <c r="L28" t="s">
        <v>10286</v>
      </c>
      <c r="M28">
        <v>11075454</v>
      </c>
      <c r="N28" t="s">
        <v>11145</v>
      </c>
      <c r="O28" t="s">
        <v>11371</v>
      </c>
      <c r="P28" t="s">
        <v>11370</v>
      </c>
    </row>
    <row r="29" spans="1:16" x14ac:dyDescent="0.2">
      <c r="A29" t="str">
        <f t="shared" si="0"/>
        <v>metab_compid_64882</v>
      </c>
      <c r="B29" t="s">
        <v>11372</v>
      </c>
      <c r="C29">
        <v>134</v>
      </c>
      <c r="D29" t="s">
        <v>10288</v>
      </c>
      <c r="E29" t="s">
        <v>3436</v>
      </c>
      <c r="F29" t="s">
        <v>3687</v>
      </c>
      <c r="G29">
        <v>64882</v>
      </c>
      <c r="H29" t="s">
        <v>11327</v>
      </c>
      <c r="I29">
        <v>100022484</v>
      </c>
      <c r="J29">
        <v>1846</v>
      </c>
      <c r="K29">
        <v>252.08774</v>
      </c>
      <c r="L29" t="s">
        <v>10289</v>
      </c>
      <c r="M29">
        <v>22167491</v>
      </c>
      <c r="N29" t="s">
        <v>11145</v>
      </c>
      <c r="O29" t="s">
        <v>11373</v>
      </c>
      <c r="P29" t="s">
        <v>11372</v>
      </c>
    </row>
    <row r="30" spans="1:16" x14ac:dyDescent="0.2">
      <c r="A30" t="str">
        <f t="shared" si="0"/>
        <v>metab_compid_64883</v>
      </c>
      <c r="B30" t="s">
        <v>11374</v>
      </c>
      <c r="C30">
        <v>316</v>
      </c>
      <c r="D30" t="s">
        <v>10291</v>
      </c>
      <c r="E30" t="s">
        <v>3436</v>
      </c>
      <c r="F30" t="s">
        <v>3498</v>
      </c>
      <c r="G30">
        <v>64883</v>
      </c>
      <c r="H30" t="s">
        <v>11327</v>
      </c>
      <c r="I30">
        <v>100022485</v>
      </c>
      <c r="J30">
        <v>2008</v>
      </c>
      <c r="K30">
        <v>188.09282999999999</v>
      </c>
      <c r="L30" t="s">
        <v>10292</v>
      </c>
      <c r="M30">
        <v>131770417</v>
      </c>
      <c r="N30" t="s">
        <v>11145</v>
      </c>
      <c r="O30" t="s">
        <v>11375</v>
      </c>
      <c r="P30" t="s">
        <v>11374</v>
      </c>
    </row>
    <row r="31" spans="1:16" x14ac:dyDescent="0.2">
      <c r="A31" t="str">
        <f t="shared" si="0"/>
        <v>metab_compid_48341</v>
      </c>
      <c r="B31" t="s">
        <v>11376</v>
      </c>
      <c r="C31">
        <v>2307</v>
      </c>
      <c r="D31" t="s">
        <v>8470</v>
      </c>
      <c r="E31" t="s">
        <v>3459</v>
      </c>
      <c r="F31" t="s">
        <v>5418</v>
      </c>
      <c r="G31">
        <v>48341</v>
      </c>
      <c r="H31" t="s">
        <v>11327</v>
      </c>
      <c r="I31">
        <v>100006121</v>
      </c>
      <c r="J31">
        <v>6400</v>
      </c>
      <c r="K31">
        <v>305.24858</v>
      </c>
      <c r="L31" t="s">
        <v>11145</v>
      </c>
      <c r="M31" t="s">
        <v>11145</v>
      </c>
      <c r="N31" t="s">
        <v>11145</v>
      </c>
      <c r="O31" t="s">
        <v>11145</v>
      </c>
      <c r="P31" t="s">
        <v>11376</v>
      </c>
    </row>
    <row r="32" spans="1:16" x14ac:dyDescent="0.2">
      <c r="A32" t="str">
        <f t="shared" si="0"/>
        <v>metab_compid_35153</v>
      </c>
      <c r="B32" t="s">
        <v>11377</v>
      </c>
      <c r="C32">
        <v>2311</v>
      </c>
      <c r="D32" t="s">
        <v>6525</v>
      </c>
      <c r="E32" t="s">
        <v>3459</v>
      </c>
      <c r="F32" t="s">
        <v>5418</v>
      </c>
      <c r="G32">
        <v>35153</v>
      </c>
      <c r="H32" t="s">
        <v>11327</v>
      </c>
      <c r="I32">
        <v>100001481</v>
      </c>
      <c r="J32">
        <v>6150</v>
      </c>
      <c r="K32">
        <v>309.22235999999998</v>
      </c>
      <c r="L32" t="s">
        <v>11145</v>
      </c>
      <c r="M32" t="s">
        <v>11145</v>
      </c>
      <c r="N32" t="s">
        <v>11145</v>
      </c>
      <c r="O32" t="s">
        <v>11378</v>
      </c>
      <c r="P32" t="s">
        <v>11377</v>
      </c>
    </row>
    <row r="33" spans="1:16" x14ac:dyDescent="0.2">
      <c r="A33" t="str">
        <f t="shared" si="0"/>
        <v>metab_compid_45951</v>
      </c>
      <c r="B33" t="s">
        <v>11379</v>
      </c>
      <c r="C33">
        <v>2068</v>
      </c>
      <c r="D33" t="s">
        <v>8281</v>
      </c>
      <c r="E33" t="s">
        <v>3459</v>
      </c>
      <c r="F33" t="s">
        <v>5441</v>
      </c>
      <c r="G33">
        <v>45951</v>
      </c>
      <c r="H33" t="s">
        <v>11322</v>
      </c>
      <c r="I33">
        <v>100005350</v>
      </c>
      <c r="J33">
        <v>1410</v>
      </c>
      <c r="K33">
        <v>518.32411999999999</v>
      </c>
      <c r="L33" t="s">
        <v>11145</v>
      </c>
      <c r="M33" t="s">
        <v>11145</v>
      </c>
      <c r="N33" t="s">
        <v>11145</v>
      </c>
      <c r="O33" t="s">
        <v>11380</v>
      </c>
      <c r="P33" t="s">
        <v>11379</v>
      </c>
    </row>
    <row r="34" spans="1:16" x14ac:dyDescent="0.2">
      <c r="A34" t="str">
        <f t="shared" si="0"/>
        <v>metab_compid_34393</v>
      </c>
      <c r="B34" t="s">
        <v>11381</v>
      </c>
      <c r="C34">
        <v>2303</v>
      </c>
      <c r="D34" t="s">
        <v>6461</v>
      </c>
      <c r="E34" t="s">
        <v>3459</v>
      </c>
      <c r="F34" t="s">
        <v>5418</v>
      </c>
      <c r="G34">
        <v>34393</v>
      </c>
      <c r="H34" t="s">
        <v>11327</v>
      </c>
      <c r="I34">
        <v>100001435</v>
      </c>
      <c r="J34">
        <v>6214</v>
      </c>
      <c r="K34">
        <v>277.21728000000002</v>
      </c>
      <c r="L34" t="s">
        <v>6462</v>
      </c>
      <c r="M34">
        <v>53480978</v>
      </c>
      <c r="N34" t="s">
        <v>11145</v>
      </c>
      <c r="O34" t="s">
        <v>11382</v>
      </c>
      <c r="P34" t="s">
        <v>11381</v>
      </c>
    </row>
    <row r="35" spans="1:16" x14ac:dyDescent="0.2">
      <c r="A35" t="str">
        <f t="shared" si="0"/>
        <v>metab_compid_52710</v>
      </c>
      <c r="B35" t="s">
        <v>11383</v>
      </c>
      <c r="C35">
        <v>1856</v>
      </c>
      <c r="D35" t="s">
        <v>9078</v>
      </c>
      <c r="E35" t="s">
        <v>3459</v>
      </c>
      <c r="F35" t="s">
        <v>5021</v>
      </c>
      <c r="G35">
        <v>52710</v>
      </c>
      <c r="H35" t="s">
        <v>11322</v>
      </c>
      <c r="I35">
        <v>100009131</v>
      </c>
      <c r="J35">
        <v>1969</v>
      </c>
      <c r="K35">
        <v>806.56943999999999</v>
      </c>
      <c r="L35" t="s">
        <v>11145</v>
      </c>
      <c r="M35" t="s">
        <v>11145</v>
      </c>
      <c r="N35" t="s">
        <v>11145</v>
      </c>
      <c r="O35" t="s">
        <v>11384</v>
      </c>
      <c r="P35" t="s">
        <v>11383</v>
      </c>
    </row>
    <row r="36" spans="1:16" x14ac:dyDescent="0.2">
      <c r="A36" t="str">
        <f t="shared" si="0"/>
        <v>metab_compid_53176</v>
      </c>
      <c r="B36" t="s">
        <v>11385</v>
      </c>
      <c r="C36">
        <v>1853</v>
      </c>
      <c r="D36" t="s">
        <v>9211</v>
      </c>
      <c r="E36" t="s">
        <v>3459</v>
      </c>
      <c r="F36" t="s">
        <v>5021</v>
      </c>
      <c r="G36">
        <v>53176</v>
      </c>
      <c r="H36" t="s">
        <v>11322</v>
      </c>
      <c r="I36">
        <v>100009343</v>
      </c>
      <c r="J36">
        <v>1939</v>
      </c>
      <c r="K36">
        <v>780.55377999999996</v>
      </c>
      <c r="L36" t="s">
        <v>11145</v>
      </c>
      <c r="M36" t="s">
        <v>11145</v>
      </c>
      <c r="N36" t="s">
        <v>11145</v>
      </c>
      <c r="O36" t="s">
        <v>11386</v>
      </c>
      <c r="P36" t="s">
        <v>11385</v>
      </c>
    </row>
    <row r="37" spans="1:16" x14ac:dyDescent="0.2">
      <c r="A37" t="str">
        <f t="shared" si="0"/>
        <v>metab_compid_52690</v>
      </c>
      <c r="B37" t="s">
        <v>11387</v>
      </c>
      <c r="C37">
        <v>2043</v>
      </c>
      <c r="D37" t="s">
        <v>11388</v>
      </c>
      <c r="E37" t="s">
        <v>3459</v>
      </c>
      <c r="F37" t="s">
        <v>5441</v>
      </c>
      <c r="G37">
        <v>52690</v>
      </c>
      <c r="H37" t="s">
        <v>11322</v>
      </c>
      <c r="I37">
        <v>100009082</v>
      </c>
      <c r="J37">
        <v>1550</v>
      </c>
      <c r="K37">
        <v>435.25062000000003</v>
      </c>
      <c r="L37" t="s">
        <v>11145</v>
      </c>
      <c r="M37" t="s">
        <v>11145</v>
      </c>
      <c r="N37" t="s">
        <v>11145</v>
      </c>
      <c r="O37" t="s">
        <v>11389</v>
      </c>
      <c r="P37" t="s">
        <v>11387</v>
      </c>
    </row>
    <row r="38" spans="1:16" x14ac:dyDescent="0.2">
      <c r="A38" t="str">
        <f t="shared" si="0"/>
        <v>metab_compid_34419</v>
      </c>
      <c r="B38" t="s">
        <v>11390</v>
      </c>
      <c r="C38">
        <v>2066</v>
      </c>
      <c r="D38" t="s">
        <v>6318</v>
      </c>
      <c r="E38" t="s">
        <v>3459</v>
      </c>
      <c r="F38" t="s">
        <v>5441</v>
      </c>
      <c r="G38">
        <v>34419</v>
      </c>
      <c r="H38" t="s">
        <v>11322</v>
      </c>
      <c r="I38">
        <v>100001395</v>
      </c>
      <c r="J38">
        <v>1465</v>
      </c>
      <c r="K38">
        <v>520.33977000000004</v>
      </c>
      <c r="L38" t="s">
        <v>11145</v>
      </c>
      <c r="M38">
        <v>11988421</v>
      </c>
      <c r="N38" t="s">
        <v>6321</v>
      </c>
      <c r="O38" t="s">
        <v>11391</v>
      </c>
      <c r="P38" t="s">
        <v>11390</v>
      </c>
    </row>
    <row r="39" spans="1:16" x14ac:dyDescent="0.2">
      <c r="A39" t="str">
        <f t="shared" si="0"/>
        <v>metab_compid_36600</v>
      </c>
      <c r="B39" t="s">
        <v>11392</v>
      </c>
      <c r="C39">
        <v>2112</v>
      </c>
      <c r="D39" t="s">
        <v>6635</v>
      </c>
      <c r="E39" t="s">
        <v>3459</v>
      </c>
      <c r="F39" t="s">
        <v>5441</v>
      </c>
      <c r="G39">
        <v>36600</v>
      </c>
      <c r="H39" t="s">
        <v>11322</v>
      </c>
      <c r="I39">
        <v>100001570</v>
      </c>
      <c r="J39">
        <v>1482</v>
      </c>
      <c r="K39">
        <v>478.29282000000001</v>
      </c>
      <c r="L39" t="s">
        <v>11145</v>
      </c>
      <c r="M39">
        <v>52925130</v>
      </c>
      <c r="N39" t="s">
        <v>11145</v>
      </c>
      <c r="O39" t="s">
        <v>11393</v>
      </c>
      <c r="P39" t="s">
        <v>11392</v>
      </c>
    </row>
    <row r="40" spans="1:16" x14ac:dyDescent="0.2">
      <c r="A40" t="str">
        <f t="shared" si="0"/>
        <v>metab_compid_54885</v>
      </c>
      <c r="B40" t="s">
        <v>11394</v>
      </c>
      <c r="C40">
        <v>2145</v>
      </c>
      <c r="D40" t="s">
        <v>9125</v>
      </c>
      <c r="E40" t="s">
        <v>3459</v>
      </c>
      <c r="F40" t="s">
        <v>5441</v>
      </c>
      <c r="G40">
        <v>54885</v>
      </c>
      <c r="H40" t="s">
        <v>11327</v>
      </c>
      <c r="I40">
        <v>100009227</v>
      </c>
      <c r="J40">
        <v>5516</v>
      </c>
      <c r="K40">
        <v>507.27283999999997</v>
      </c>
      <c r="L40" t="s">
        <v>11145</v>
      </c>
      <c r="M40" t="s">
        <v>11145</v>
      </c>
      <c r="N40" t="s">
        <v>11145</v>
      </c>
      <c r="O40" t="s">
        <v>11145</v>
      </c>
      <c r="P40" t="s">
        <v>11394</v>
      </c>
    </row>
    <row r="41" spans="1:16" x14ac:dyDescent="0.2">
      <c r="A41" t="str">
        <f t="shared" si="0"/>
        <v>metab_compid_36594</v>
      </c>
      <c r="B41" t="s">
        <v>11395</v>
      </c>
      <c r="C41">
        <v>2153</v>
      </c>
      <c r="D41" t="s">
        <v>6960</v>
      </c>
      <c r="E41" t="s">
        <v>3459</v>
      </c>
      <c r="F41" t="s">
        <v>5441</v>
      </c>
      <c r="G41">
        <v>36594</v>
      </c>
      <c r="H41" t="s">
        <v>11327</v>
      </c>
      <c r="I41">
        <v>100001778</v>
      </c>
      <c r="J41">
        <v>5494</v>
      </c>
      <c r="K41">
        <v>595.28887999999995</v>
      </c>
      <c r="L41" t="s">
        <v>11145</v>
      </c>
      <c r="M41" t="s">
        <v>11145</v>
      </c>
      <c r="N41" t="s">
        <v>11145</v>
      </c>
      <c r="O41" t="s">
        <v>11145</v>
      </c>
      <c r="P41" t="s">
        <v>11395</v>
      </c>
    </row>
    <row r="42" spans="1:16" x14ac:dyDescent="0.2">
      <c r="A42" t="str">
        <f t="shared" si="0"/>
        <v>metab_compid_27447</v>
      </c>
      <c r="B42" t="s">
        <v>11396</v>
      </c>
      <c r="C42">
        <v>2302</v>
      </c>
      <c r="D42" t="s">
        <v>5742</v>
      </c>
      <c r="E42" t="s">
        <v>3459</v>
      </c>
      <c r="F42" t="s">
        <v>5418</v>
      </c>
      <c r="G42">
        <v>27447</v>
      </c>
      <c r="H42" t="s">
        <v>11327</v>
      </c>
      <c r="I42">
        <v>100001040</v>
      </c>
      <c r="J42">
        <v>6477</v>
      </c>
      <c r="K42">
        <v>279.23293000000001</v>
      </c>
      <c r="L42" t="s">
        <v>5743</v>
      </c>
      <c r="M42">
        <v>5283469</v>
      </c>
      <c r="N42" t="s">
        <v>11145</v>
      </c>
      <c r="O42" t="s">
        <v>11145</v>
      </c>
      <c r="P42" t="s">
        <v>11396</v>
      </c>
    </row>
    <row r="43" spans="1:16" x14ac:dyDescent="0.2">
      <c r="A43" t="str">
        <f t="shared" si="0"/>
        <v>metab_compid_32350</v>
      </c>
      <c r="B43" t="s">
        <v>11397</v>
      </c>
      <c r="C43">
        <v>83</v>
      </c>
      <c r="D43" t="s">
        <v>5968</v>
      </c>
      <c r="E43" t="s">
        <v>3436</v>
      </c>
      <c r="F43" t="s">
        <v>3906</v>
      </c>
      <c r="G43">
        <v>32350</v>
      </c>
      <c r="H43" t="s">
        <v>11320</v>
      </c>
      <c r="I43">
        <v>100001208</v>
      </c>
      <c r="J43">
        <v>2064</v>
      </c>
      <c r="K43">
        <v>141.06585999999999</v>
      </c>
      <c r="L43" t="s">
        <v>5969</v>
      </c>
      <c r="M43">
        <v>75810</v>
      </c>
      <c r="N43" t="s">
        <v>5972</v>
      </c>
      <c r="O43" t="s">
        <v>11398</v>
      </c>
      <c r="P43" t="s">
        <v>11397</v>
      </c>
    </row>
    <row r="44" spans="1:16" x14ac:dyDescent="0.2">
      <c r="A44" t="str">
        <f t="shared" si="0"/>
        <v>metab_compid_30460</v>
      </c>
      <c r="B44" t="s">
        <v>11399</v>
      </c>
      <c r="C44">
        <v>66</v>
      </c>
      <c r="D44" t="s">
        <v>5749</v>
      </c>
      <c r="E44" t="s">
        <v>3436</v>
      </c>
      <c r="F44" t="s">
        <v>3906</v>
      </c>
      <c r="G44">
        <v>30460</v>
      </c>
      <c r="H44" t="s">
        <v>11327</v>
      </c>
      <c r="I44">
        <v>100001051</v>
      </c>
      <c r="J44">
        <v>1227</v>
      </c>
      <c r="K44">
        <v>168.07785000000001</v>
      </c>
      <c r="L44" t="s">
        <v>5750</v>
      </c>
      <c r="M44">
        <v>92105</v>
      </c>
      <c r="N44" t="s">
        <v>5213</v>
      </c>
      <c r="O44" t="s">
        <v>11400</v>
      </c>
      <c r="P44" t="s">
        <v>11399</v>
      </c>
    </row>
    <row r="45" spans="1:16" x14ac:dyDescent="0.2">
      <c r="A45" t="str">
        <f t="shared" si="0"/>
        <v>metab_compid_27665</v>
      </c>
      <c r="B45" t="s">
        <v>11401</v>
      </c>
      <c r="C45">
        <v>3563</v>
      </c>
      <c r="D45" t="s">
        <v>3452</v>
      </c>
      <c r="E45" t="s">
        <v>3448</v>
      </c>
      <c r="F45" t="s">
        <v>3449</v>
      </c>
      <c r="G45">
        <v>27665</v>
      </c>
      <c r="H45" t="s">
        <v>11320</v>
      </c>
      <c r="I45">
        <v>55</v>
      </c>
      <c r="J45">
        <v>1940</v>
      </c>
      <c r="K45">
        <v>137.07094000000001</v>
      </c>
      <c r="L45" t="s">
        <v>3453</v>
      </c>
      <c r="M45">
        <v>10129985</v>
      </c>
      <c r="N45" t="s">
        <v>3456</v>
      </c>
      <c r="O45" t="s">
        <v>11402</v>
      </c>
      <c r="P45" t="s">
        <v>11401</v>
      </c>
    </row>
    <row r="46" spans="1:16" x14ac:dyDescent="0.2">
      <c r="A46" t="str">
        <f t="shared" si="0"/>
        <v>metab_compid_53195</v>
      </c>
      <c r="B46" t="s">
        <v>11403</v>
      </c>
      <c r="C46">
        <v>1768</v>
      </c>
      <c r="D46" t="s">
        <v>9084</v>
      </c>
      <c r="E46" t="s">
        <v>3459</v>
      </c>
      <c r="F46" t="s">
        <v>5021</v>
      </c>
      <c r="G46">
        <v>53195</v>
      </c>
      <c r="H46" t="s">
        <v>11322</v>
      </c>
      <c r="I46">
        <v>100009139</v>
      </c>
      <c r="J46">
        <v>1914</v>
      </c>
      <c r="K46">
        <v>754.53813000000002</v>
      </c>
      <c r="L46" t="s">
        <v>11145</v>
      </c>
      <c r="M46" t="s">
        <v>11145</v>
      </c>
      <c r="N46" t="s">
        <v>11145</v>
      </c>
      <c r="O46" t="s">
        <v>11404</v>
      </c>
      <c r="P46" t="s">
        <v>11403</v>
      </c>
    </row>
    <row r="47" spans="1:16" x14ac:dyDescent="0.2">
      <c r="A47" t="str">
        <f t="shared" si="0"/>
        <v>metab_compid_19258</v>
      </c>
      <c r="B47" t="s">
        <v>11405</v>
      </c>
      <c r="C47">
        <v>1764</v>
      </c>
      <c r="D47" t="s">
        <v>5467</v>
      </c>
      <c r="E47" t="s">
        <v>3459</v>
      </c>
      <c r="F47" t="s">
        <v>5021</v>
      </c>
      <c r="G47">
        <v>19258</v>
      </c>
      <c r="H47" t="s">
        <v>11322</v>
      </c>
      <c r="I47">
        <v>100000672</v>
      </c>
      <c r="J47">
        <v>2147</v>
      </c>
      <c r="K47">
        <v>706.53813000000002</v>
      </c>
      <c r="L47" t="s">
        <v>5468</v>
      </c>
      <c r="M47">
        <v>129657</v>
      </c>
      <c r="N47" t="s">
        <v>11145</v>
      </c>
      <c r="O47" t="s">
        <v>11406</v>
      </c>
      <c r="P47" t="s">
        <v>11405</v>
      </c>
    </row>
    <row r="48" spans="1:16" x14ac:dyDescent="0.2">
      <c r="A48" t="str">
        <f t="shared" si="0"/>
        <v>metab_compid_35625</v>
      </c>
      <c r="B48" t="s">
        <v>11407</v>
      </c>
      <c r="C48">
        <v>2294</v>
      </c>
      <c r="D48" t="s">
        <v>6784</v>
      </c>
      <c r="E48" t="s">
        <v>3459</v>
      </c>
      <c r="F48" t="s">
        <v>5418</v>
      </c>
      <c r="G48">
        <v>35625</v>
      </c>
      <c r="H48" t="s">
        <v>11327</v>
      </c>
      <c r="I48">
        <v>100001618</v>
      </c>
      <c r="J48">
        <v>6353.3</v>
      </c>
      <c r="K48">
        <v>227.20162999999999</v>
      </c>
      <c r="L48" t="s">
        <v>6785</v>
      </c>
      <c r="M48">
        <v>79050</v>
      </c>
      <c r="N48" t="s">
        <v>6788</v>
      </c>
      <c r="O48" t="s">
        <v>11408</v>
      </c>
      <c r="P48" t="s">
        <v>11407</v>
      </c>
    </row>
    <row r="49" spans="1:16" x14ac:dyDescent="0.2">
      <c r="A49" t="str">
        <f t="shared" si="0"/>
        <v>metab_compid_55041</v>
      </c>
      <c r="B49" t="s">
        <v>11409</v>
      </c>
      <c r="C49">
        <v>1928</v>
      </c>
      <c r="D49" t="s">
        <v>9102</v>
      </c>
      <c r="E49" t="s">
        <v>3459</v>
      </c>
      <c r="F49" t="s">
        <v>5006</v>
      </c>
      <c r="G49">
        <v>55041</v>
      </c>
      <c r="H49" t="s">
        <v>11322</v>
      </c>
      <c r="I49">
        <v>100009219</v>
      </c>
      <c r="J49">
        <v>2200</v>
      </c>
      <c r="K49">
        <v>766.53813000000002</v>
      </c>
      <c r="L49" t="s">
        <v>11145</v>
      </c>
      <c r="M49" t="s">
        <v>11145</v>
      </c>
      <c r="N49" t="s">
        <v>11145</v>
      </c>
      <c r="O49" t="s">
        <v>11410</v>
      </c>
      <c r="P49" t="s">
        <v>11409</v>
      </c>
    </row>
    <row r="50" spans="1:16" x14ac:dyDescent="0.2">
      <c r="A50" t="str">
        <f t="shared" si="0"/>
        <v>metab_compid_52697</v>
      </c>
      <c r="B50" t="s">
        <v>11411</v>
      </c>
      <c r="C50">
        <v>1851</v>
      </c>
      <c r="D50" t="s">
        <v>9072</v>
      </c>
      <c r="E50" t="s">
        <v>3459</v>
      </c>
      <c r="F50" t="s">
        <v>5021</v>
      </c>
      <c r="G50">
        <v>52697</v>
      </c>
      <c r="H50" t="s">
        <v>11322</v>
      </c>
      <c r="I50">
        <v>100009130</v>
      </c>
      <c r="J50">
        <v>2011</v>
      </c>
      <c r="K50">
        <v>832.58509000000004</v>
      </c>
      <c r="L50" t="s">
        <v>11145</v>
      </c>
      <c r="M50" t="s">
        <v>11145</v>
      </c>
      <c r="N50" t="s">
        <v>11145</v>
      </c>
      <c r="O50" t="s">
        <v>11412</v>
      </c>
      <c r="P50" t="s">
        <v>11411</v>
      </c>
    </row>
    <row r="51" spans="1:16" x14ac:dyDescent="0.2">
      <c r="A51" t="str">
        <f t="shared" si="0"/>
        <v>metab_compid_52687</v>
      </c>
      <c r="B51" t="s">
        <v>11413</v>
      </c>
      <c r="C51">
        <v>1925</v>
      </c>
      <c r="D51" t="s">
        <v>11414</v>
      </c>
      <c r="E51" t="s">
        <v>3459</v>
      </c>
      <c r="F51" t="s">
        <v>5006</v>
      </c>
      <c r="G51">
        <v>52687</v>
      </c>
      <c r="H51" t="s">
        <v>11322</v>
      </c>
      <c r="I51">
        <v>100009078</v>
      </c>
      <c r="J51">
        <v>2270</v>
      </c>
      <c r="K51">
        <v>742.53813000000002</v>
      </c>
      <c r="L51" t="s">
        <v>11145</v>
      </c>
      <c r="M51">
        <v>9546753</v>
      </c>
      <c r="N51" t="s">
        <v>11145</v>
      </c>
      <c r="O51" t="s">
        <v>11415</v>
      </c>
      <c r="P51" t="s">
        <v>11413</v>
      </c>
    </row>
    <row r="52" spans="1:16" x14ac:dyDescent="0.2">
      <c r="A52" t="str">
        <f t="shared" si="0"/>
        <v>metab_compid_48258</v>
      </c>
      <c r="B52" t="s">
        <v>11416</v>
      </c>
      <c r="C52">
        <v>2063</v>
      </c>
      <c r="D52" t="s">
        <v>6098</v>
      </c>
      <c r="E52" t="s">
        <v>3459</v>
      </c>
      <c r="F52" t="s">
        <v>5441</v>
      </c>
      <c r="G52">
        <v>48258</v>
      </c>
      <c r="H52" t="s">
        <v>11322</v>
      </c>
      <c r="I52">
        <v>100001272</v>
      </c>
      <c r="J52">
        <v>1540</v>
      </c>
      <c r="K52">
        <v>522.35541999999998</v>
      </c>
      <c r="L52" t="s">
        <v>6099</v>
      </c>
      <c r="M52">
        <v>16081932</v>
      </c>
      <c r="N52" t="s">
        <v>11145</v>
      </c>
      <c r="O52" t="s">
        <v>11417</v>
      </c>
      <c r="P52" t="s">
        <v>11416</v>
      </c>
    </row>
    <row r="53" spans="1:16" x14ac:dyDescent="0.2">
      <c r="A53" t="str">
        <f t="shared" si="0"/>
        <v>metab_compid_35628</v>
      </c>
      <c r="B53" t="s">
        <v>11418</v>
      </c>
      <c r="C53">
        <v>2110</v>
      </c>
      <c r="D53" t="s">
        <v>6628</v>
      </c>
      <c r="E53" t="s">
        <v>3459</v>
      </c>
      <c r="F53" t="s">
        <v>5441</v>
      </c>
      <c r="G53">
        <v>35628</v>
      </c>
      <c r="H53" t="s">
        <v>11322</v>
      </c>
      <c r="I53">
        <v>100001569</v>
      </c>
      <c r="J53">
        <v>1554</v>
      </c>
      <c r="K53">
        <v>480.30847</v>
      </c>
      <c r="L53" t="s">
        <v>6629</v>
      </c>
      <c r="M53">
        <v>9547071</v>
      </c>
      <c r="N53" t="s">
        <v>11145</v>
      </c>
      <c r="O53" t="s">
        <v>11419</v>
      </c>
      <c r="P53" t="s">
        <v>11418</v>
      </c>
    </row>
    <row r="54" spans="1:16" x14ac:dyDescent="0.2">
      <c r="A54" t="str">
        <f t="shared" si="0"/>
        <v>metab_compid_45968</v>
      </c>
      <c r="B54" t="s">
        <v>11420</v>
      </c>
      <c r="C54">
        <v>2143</v>
      </c>
      <c r="D54" t="s">
        <v>8337</v>
      </c>
      <c r="E54" t="s">
        <v>3459</v>
      </c>
      <c r="F54" t="s">
        <v>5441</v>
      </c>
      <c r="G54">
        <v>45968</v>
      </c>
      <c r="H54" t="s">
        <v>11327</v>
      </c>
      <c r="I54">
        <v>100005716</v>
      </c>
      <c r="J54">
        <v>5610</v>
      </c>
      <c r="K54">
        <v>509.28849000000002</v>
      </c>
      <c r="L54" t="s">
        <v>11145</v>
      </c>
      <c r="M54" t="s">
        <v>11145</v>
      </c>
      <c r="N54" t="s">
        <v>11145</v>
      </c>
      <c r="O54" t="s">
        <v>11145</v>
      </c>
      <c r="P54" t="s">
        <v>11420</v>
      </c>
    </row>
    <row r="55" spans="1:16" x14ac:dyDescent="0.2">
      <c r="A55" t="str">
        <f t="shared" si="0"/>
        <v>metab_compid_36602</v>
      </c>
      <c r="B55" t="s">
        <v>11421</v>
      </c>
      <c r="C55">
        <v>2151</v>
      </c>
      <c r="D55" t="s">
        <v>11422</v>
      </c>
      <c r="E55" t="s">
        <v>3459</v>
      </c>
      <c r="F55" t="s">
        <v>5441</v>
      </c>
      <c r="G55">
        <v>36602</v>
      </c>
      <c r="H55" t="s">
        <v>11327</v>
      </c>
      <c r="I55">
        <v>100001777</v>
      </c>
      <c r="J55">
        <v>5599</v>
      </c>
      <c r="K55">
        <v>597.30453</v>
      </c>
      <c r="L55" t="s">
        <v>11145</v>
      </c>
      <c r="M55" t="s">
        <v>11145</v>
      </c>
      <c r="N55" t="s">
        <v>11145</v>
      </c>
      <c r="O55" t="s">
        <v>11145</v>
      </c>
      <c r="P55" t="s">
        <v>11421</v>
      </c>
    </row>
    <row r="56" spans="1:16" x14ac:dyDescent="0.2">
      <c r="A56" t="str">
        <f t="shared" si="0"/>
        <v>metab_compid_21184</v>
      </c>
      <c r="B56" t="s">
        <v>11423</v>
      </c>
      <c r="C56">
        <v>2301</v>
      </c>
      <c r="D56" t="s">
        <v>5643</v>
      </c>
      <c r="E56" t="s">
        <v>3459</v>
      </c>
      <c r="F56" t="s">
        <v>5418</v>
      </c>
      <c r="G56">
        <v>21184</v>
      </c>
      <c r="H56" t="s">
        <v>11327</v>
      </c>
      <c r="I56">
        <v>100000924</v>
      </c>
      <c r="J56">
        <v>6650</v>
      </c>
      <c r="K56">
        <v>281.24858</v>
      </c>
      <c r="L56" t="s">
        <v>5644</v>
      </c>
      <c r="M56">
        <v>5283468</v>
      </c>
      <c r="N56" t="s">
        <v>11145</v>
      </c>
      <c r="O56" t="s">
        <v>11424</v>
      </c>
      <c r="P56" t="s">
        <v>11423</v>
      </c>
    </row>
    <row r="57" spans="1:16" x14ac:dyDescent="0.2">
      <c r="A57" t="str">
        <f t="shared" si="0"/>
        <v>metab_compid_53180</v>
      </c>
      <c r="B57" t="s">
        <v>11425</v>
      </c>
      <c r="C57">
        <v>1807</v>
      </c>
      <c r="D57" t="s">
        <v>9217</v>
      </c>
      <c r="E57" t="s">
        <v>3459</v>
      </c>
      <c r="F57" t="s">
        <v>5021</v>
      </c>
      <c r="G57">
        <v>53180</v>
      </c>
      <c r="H57" t="s">
        <v>11322</v>
      </c>
      <c r="I57">
        <v>100009345</v>
      </c>
      <c r="J57">
        <v>1850</v>
      </c>
      <c r="K57">
        <v>754.53813000000002</v>
      </c>
      <c r="L57" t="s">
        <v>11145</v>
      </c>
      <c r="M57" t="s">
        <v>11145</v>
      </c>
      <c r="N57" t="s">
        <v>11145</v>
      </c>
      <c r="O57" t="s">
        <v>11426</v>
      </c>
      <c r="P57" t="s">
        <v>11425</v>
      </c>
    </row>
    <row r="58" spans="1:16" x14ac:dyDescent="0.2">
      <c r="A58" t="str">
        <f t="shared" si="0"/>
        <v>metab_compid_33230</v>
      </c>
      <c r="B58" t="s">
        <v>11427</v>
      </c>
      <c r="C58">
        <v>2055</v>
      </c>
      <c r="D58" t="s">
        <v>6560</v>
      </c>
      <c r="E58" t="s">
        <v>3459</v>
      </c>
      <c r="F58" t="s">
        <v>5441</v>
      </c>
      <c r="G58">
        <v>33230</v>
      </c>
      <c r="H58" t="s">
        <v>11322</v>
      </c>
      <c r="I58">
        <v>100001511</v>
      </c>
      <c r="J58">
        <v>1450</v>
      </c>
      <c r="K58">
        <v>494.32411999999999</v>
      </c>
      <c r="L58" t="s">
        <v>11145</v>
      </c>
      <c r="M58">
        <v>24779461</v>
      </c>
      <c r="N58" t="s">
        <v>11145</v>
      </c>
      <c r="O58" t="s">
        <v>6611</v>
      </c>
      <c r="P58" t="s">
        <v>11427</v>
      </c>
    </row>
    <row r="59" spans="1:16" x14ac:dyDescent="0.2">
      <c r="A59" t="str">
        <f t="shared" si="0"/>
        <v>metab_compid_52431</v>
      </c>
      <c r="B59" t="s">
        <v>11428</v>
      </c>
      <c r="C59">
        <v>2298</v>
      </c>
      <c r="D59" t="s">
        <v>8858</v>
      </c>
      <c r="E59" t="s">
        <v>3459</v>
      </c>
      <c r="F59" t="s">
        <v>5418</v>
      </c>
      <c r="G59">
        <v>52431</v>
      </c>
      <c r="H59" t="s">
        <v>11327</v>
      </c>
      <c r="I59">
        <v>100008952</v>
      </c>
      <c r="J59">
        <v>6094</v>
      </c>
      <c r="K59">
        <v>253.21727000000001</v>
      </c>
      <c r="L59" t="s">
        <v>11145</v>
      </c>
      <c r="M59" t="s">
        <v>11145</v>
      </c>
      <c r="N59" t="s">
        <v>11145</v>
      </c>
      <c r="O59" t="s">
        <v>11429</v>
      </c>
      <c r="P59" t="s">
        <v>11428</v>
      </c>
    </row>
    <row r="60" spans="1:16" x14ac:dyDescent="0.2">
      <c r="A60" t="str">
        <f t="shared" si="0"/>
        <v>metab_compid_52462</v>
      </c>
      <c r="B60" t="s">
        <v>11430</v>
      </c>
      <c r="C60">
        <v>1795</v>
      </c>
      <c r="D60" t="s">
        <v>8785</v>
      </c>
      <c r="E60" t="s">
        <v>3459</v>
      </c>
      <c r="F60" t="s">
        <v>5021</v>
      </c>
      <c r="G60">
        <v>52462</v>
      </c>
      <c r="H60" t="s">
        <v>11322</v>
      </c>
      <c r="I60">
        <v>100008914</v>
      </c>
      <c r="J60">
        <v>2091</v>
      </c>
      <c r="K60">
        <v>782.56943999999999</v>
      </c>
      <c r="L60" t="s">
        <v>8786</v>
      </c>
      <c r="M60">
        <v>10747814</v>
      </c>
      <c r="N60" t="s">
        <v>11145</v>
      </c>
      <c r="O60" t="s">
        <v>11431</v>
      </c>
      <c r="P60" t="s">
        <v>11430</v>
      </c>
    </row>
    <row r="61" spans="1:16" x14ac:dyDescent="0.2">
      <c r="A61" t="str">
        <f t="shared" si="0"/>
        <v>metab_compid_52464</v>
      </c>
      <c r="B61" t="s">
        <v>11432</v>
      </c>
      <c r="C61">
        <v>1902</v>
      </c>
      <c r="D61" t="s">
        <v>8939</v>
      </c>
      <c r="E61" t="s">
        <v>3459</v>
      </c>
      <c r="F61" t="s">
        <v>5006</v>
      </c>
      <c r="G61">
        <v>52464</v>
      </c>
      <c r="H61" t="s">
        <v>11322</v>
      </c>
      <c r="I61">
        <v>100008990</v>
      </c>
      <c r="J61">
        <v>2198</v>
      </c>
      <c r="K61">
        <v>740.52247999999997</v>
      </c>
      <c r="L61" t="s">
        <v>11145</v>
      </c>
      <c r="M61">
        <v>9546800</v>
      </c>
      <c r="N61" t="s">
        <v>11145</v>
      </c>
      <c r="O61" t="s">
        <v>11433</v>
      </c>
      <c r="P61" t="s">
        <v>11432</v>
      </c>
    </row>
    <row r="62" spans="1:16" x14ac:dyDescent="0.2">
      <c r="A62" t="str">
        <f t="shared" si="0"/>
        <v>metab_compid_52467</v>
      </c>
      <c r="B62" t="s">
        <v>11434</v>
      </c>
      <c r="C62">
        <v>2001</v>
      </c>
      <c r="D62" t="s">
        <v>8957</v>
      </c>
      <c r="E62" t="s">
        <v>3459</v>
      </c>
      <c r="F62" t="s">
        <v>5014</v>
      </c>
      <c r="G62">
        <v>52467</v>
      </c>
      <c r="H62" t="s">
        <v>11322</v>
      </c>
      <c r="I62">
        <v>100008993</v>
      </c>
      <c r="J62">
        <v>2567</v>
      </c>
      <c r="K62">
        <v>876.55966000000001</v>
      </c>
      <c r="L62" t="s">
        <v>11145</v>
      </c>
      <c r="M62" t="s">
        <v>11145</v>
      </c>
      <c r="N62" t="s">
        <v>11145</v>
      </c>
      <c r="O62" t="s">
        <v>11435</v>
      </c>
      <c r="P62" t="s">
        <v>11434</v>
      </c>
    </row>
    <row r="63" spans="1:16" x14ac:dyDescent="0.2">
      <c r="A63" t="str">
        <f t="shared" si="0"/>
        <v>metab_compid_52454</v>
      </c>
      <c r="B63" t="s">
        <v>11436</v>
      </c>
      <c r="C63">
        <v>1791</v>
      </c>
      <c r="D63" t="s">
        <v>8936</v>
      </c>
      <c r="E63" t="s">
        <v>3459</v>
      </c>
      <c r="F63" t="s">
        <v>5021</v>
      </c>
      <c r="G63">
        <v>52454</v>
      </c>
      <c r="H63" t="s">
        <v>11322</v>
      </c>
      <c r="I63">
        <v>100008985</v>
      </c>
      <c r="J63">
        <v>2199</v>
      </c>
      <c r="K63">
        <v>784.58509000000004</v>
      </c>
      <c r="L63" t="s">
        <v>11145</v>
      </c>
      <c r="M63" t="s">
        <v>11145</v>
      </c>
      <c r="N63" t="s">
        <v>11145</v>
      </c>
      <c r="O63" t="s">
        <v>11145</v>
      </c>
      <c r="P63" t="s">
        <v>11436</v>
      </c>
    </row>
    <row r="64" spans="1:16" x14ac:dyDescent="0.2">
      <c r="A64" t="str">
        <f t="shared" si="0"/>
        <v>metab_compid_52610</v>
      </c>
      <c r="B64" t="s">
        <v>11437</v>
      </c>
      <c r="C64">
        <v>1801</v>
      </c>
      <c r="D64" t="s">
        <v>8792</v>
      </c>
      <c r="E64" t="s">
        <v>3459</v>
      </c>
      <c r="F64" t="s">
        <v>5021</v>
      </c>
      <c r="G64">
        <v>52610</v>
      </c>
      <c r="H64" t="s">
        <v>11322</v>
      </c>
      <c r="I64">
        <v>100008915</v>
      </c>
      <c r="J64">
        <v>2023</v>
      </c>
      <c r="K64">
        <v>806.56943999999999</v>
      </c>
      <c r="L64" t="s">
        <v>8793</v>
      </c>
      <c r="M64">
        <v>6441886</v>
      </c>
      <c r="N64" t="s">
        <v>11145</v>
      </c>
      <c r="O64" t="s">
        <v>11438</v>
      </c>
      <c r="P64" t="s">
        <v>11437</v>
      </c>
    </row>
    <row r="65" spans="1:16" x14ac:dyDescent="0.2">
      <c r="A65" t="str">
        <f t="shared" si="0"/>
        <v>metab_compid_52465</v>
      </c>
      <c r="B65" t="s">
        <v>11439</v>
      </c>
      <c r="C65">
        <v>1904</v>
      </c>
      <c r="D65" t="s">
        <v>8945</v>
      </c>
      <c r="E65" t="s">
        <v>3459</v>
      </c>
      <c r="F65" t="s">
        <v>5006</v>
      </c>
      <c r="G65">
        <v>52465</v>
      </c>
      <c r="H65" t="s">
        <v>11322</v>
      </c>
      <c r="I65">
        <v>100008991</v>
      </c>
      <c r="J65">
        <v>2119</v>
      </c>
      <c r="K65">
        <v>764.52247999999997</v>
      </c>
      <c r="L65" t="s">
        <v>11145</v>
      </c>
      <c r="M65">
        <v>9546799</v>
      </c>
      <c r="N65" t="s">
        <v>11145</v>
      </c>
      <c r="O65" t="s">
        <v>11440</v>
      </c>
      <c r="P65" t="s">
        <v>11439</v>
      </c>
    </row>
    <row r="66" spans="1:16" x14ac:dyDescent="0.2">
      <c r="A66" t="str">
        <f t="shared" si="0"/>
        <v>metab_compid_42446</v>
      </c>
      <c r="B66" t="s">
        <v>11441</v>
      </c>
      <c r="C66">
        <v>1785</v>
      </c>
      <c r="D66" t="s">
        <v>5024</v>
      </c>
      <c r="E66" t="s">
        <v>3459</v>
      </c>
      <c r="F66" t="s">
        <v>5021</v>
      </c>
      <c r="G66">
        <v>42446</v>
      </c>
      <c r="H66" t="s">
        <v>11322</v>
      </c>
      <c r="I66">
        <v>1537</v>
      </c>
      <c r="J66">
        <v>2160</v>
      </c>
      <c r="K66">
        <v>758.56943999999999</v>
      </c>
      <c r="L66" t="s">
        <v>5025</v>
      </c>
      <c r="M66">
        <v>5287971</v>
      </c>
      <c r="N66" t="s">
        <v>11145</v>
      </c>
      <c r="O66" t="s">
        <v>11442</v>
      </c>
      <c r="P66" t="s">
        <v>11441</v>
      </c>
    </row>
    <row r="67" spans="1:16" x14ac:dyDescent="0.2">
      <c r="A67" t="str">
        <f t="shared" ref="A67:A130" si="1">_xlfn.CONCAT("metab_compid_", $G67)</f>
        <v>metab_compid_42449</v>
      </c>
      <c r="B67" t="s">
        <v>11443</v>
      </c>
      <c r="C67">
        <v>1899</v>
      </c>
      <c r="D67" t="s">
        <v>7070</v>
      </c>
      <c r="E67" t="s">
        <v>3459</v>
      </c>
      <c r="F67" t="s">
        <v>5006</v>
      </c>
      <c r="G67">
        <v>42449</v>
      </c>
      <c r="H67" t="s">
        <v>11322</v>
      </c>
      <c r="I67">
        <v>100001870</v>
      </c>
      <c r="J67">
        <v>2275</v>
      </c>
      <c r="K67">
        <v>716.52247999999997</v>
      </c>
      <c r="L67" t="s">
        <v>11145</v>
      </c>
      <c r="M67">
        <v>9546747</v>
      </c>
      <c r="N67" t="s">
        <v>11145</v>
      </c>
      <c r="O67" t="s">
        <v>11444</v>
      </c>
      <c r="P67" t="s">
        <v>11443</v>
      </c>
    </row>
    <row r="68" spans="1:16" x14ac:dyDescent="0.2">
      <c r="A68" t="str">
        <f t="shared" si="1"/>
        <v>metab_compid_52450</v>
      </c>
      <c r="B68" t="s">
        <v>11445</v>
      </c>
      <c r="C68">
        <v>1999</v>
      </c>
      <c r="D68" t="s">
        <v>5017</v>
      </c>
      <c r="E68" t="s">
        <v>3459</v>
      </c>
      <c r="F68" t="s">
        <v>5014</v>
      </c>
      <c r="G68">
        <v>52450</v>
      </c>
      <c r="H68" t="s">
        <v>11322</v>
      </c>
      <c r="I68">
        <v>1528</v>
      </c>
      <c r="J68">
        <v>2730</v>
      </c>
      <c r="K68">
        <v>852.55966000000001</v>
      </c>
      <c r="L68" t="s">
        <v>11145</v>
      </c>
      <c r="M68" t="s">
        <v>11145</v>
      </c>
      <c r="N68" t="s">
        <v>11145</v>
      </c>
      <c r="O68" t="s">
        <v>11446</v>
      </c>
      <c r="P68" t="s">
        <v>11445</v>
      </c>
    </row>
    <row r="69" spans="1:16" x14ac:dyDescent="0.2">
      <c r="A69" t="str">
        <f t="shared" si="1"/>
        <v>metab_compid_52461</v>
      </c>
      <c r="B69" t="s">
        <v>11447</v>
      </c>
      <c r="C69">
        <v>1782</v>
      </c>
      <c r="D69" t="s">
        <v>5039</v>
      </c>
      <c r="E69" t="s">
        <v>3459</v>
      </c>
      <c r="F69" t="s">
        <v>5021</v>
      </c>
      <c r="G69">
        <v>52461</v>
      </c>
      <c r="H69" t="s">
        <v>11322</v>
      </c>
      <c r="I69">
        <v>1539</v>
      </c>
      <c r="J69">
        <v>2358</v>
      </c>
      <c r="K69">
        <v>760.58509000000004</v>
      </c>
      <c r="L69" t="s">
        <v>11448</v>
      </c>
      <c r="M69">
        <v>6436017</v>
      </c>
      <c r="N69" t="s">
        <v>11145</v>
      </c>
      <c r="O69" t="s">
        <v>11449</v>
      </c>
      <c r="P69" t="s">
        <v>11447</v>
      </c>
    </row>
    <row r="70" spans="1:16" x14ac:dyDescent="0.2">
      <c r="A70" t="str">
        <f t="shared" si="1"/>
        <v>metab_compid_19263</v>
      </c>
      <c r="B70" t="s">
        <v>11450</v>
      </c>
      <c r="C70">
        <v>1898</v>
      </c>
      <c r="D70" t="s">
        <v>5009</v>
      </c>
      <c r="E70" t="s">
        <v>3459</v>
      </c>
      <c r="F70" t="s">
        <v>5006</v>
      </c>
      <c r="G70">
        <v>19263</v>
      </c>
      <c r="H70" t="s">
        <v>11322</v>
      </c>
      <c r="I70">
        <v>1526</v>
      </c>
      <c r="J70">
        <v>2509</v>
      </c>
      <c r="K70">
        <v>718.53813000000002</v>
      </c>
      <c r="L70" t="s">
        <v>5010</v>
      </c>
      <c r="M70">
        <v>5283496</v>
      </c>
      <c r="N70" t="s">
        <v>11145</v>
      </c>
      <c r="O70" t="s">
        <v>11451</v>
      </c>
      <c r="P70" t="s">
        <v>11450</v>
      </c>
    </row>
    <row r="71" spans="1:16" x14ac:dyDescent="0.2">
      <c r="A71" t="str">
        <f t="shared" si="1"/>
        <v>metab_compid_52669</v>
      </c>
      <c r="B71" t="s">
        <v>11452</v>
      </c>
      <c r="C71">
        <v>1997</v>
      </c>
      <c r="D71" t="s">
        <v>9060</v>
      </c>
      <c r="E71" t="s">
        <v>3459</v>
      </c>
      <c r="F71" t="s">
        <v>5014</v>
      </c>
      <c r="G71">
        <v>52669</v>
      </c>
      <c r="H71" t="s">
        <v>11322</v>
      </c>
      <c r="I71">
        <v>100009066</v>
      </c>
      <c r="J71">
        <v>3140</v>
      </c>
      <c r="K71">
        <v>854.57530999999994</v>
      </c>
      <c r="L71" t="s">
        <v>11145</v>
      </c>
      <c r="M71" t="s">
        <v>11145</v>
      </c>
      <c r="N71" t="s">
        <v>11145</v>
      </c>
      <c r="O71" t="s">
        <v>11453</v>
      </c>
      <c r="P71" t="s">
        <v>11452</v>
      </c>
    </row>
    <row r="72" spans="1:16" x14ac:dyDescent="0.2">
      <c r="A72" t="str">
        <f t="shared" si="1"/>
        <v>metab_compid_52470</v>
      </c>
      <c r="B72" t="s">
        <v>11454</v>
      </c>
      <c r="C72">
        <v>1779</v>
      </c>
      <c r="D72" t="s">
        <v>8931</v>
      </c>
      <c r="E72" t="s">
        <v>3459</v>
      </c>
      <c r="F72" t="s">
        <v>5021</v>
      </c>
      <c r="G72">
        <v>52470</v>
      </c>
      <c r="H72" t="s">
        <v>11322</v>
      </c>
      <c r="I72">
        <v>100008984</v>
      </c>
      <c r="J72">
        <v>2160</v>
      </c>
      <c r="K72">
        <v>732.55377999999996</v>
      </c>
      <c r="L72" t="s">
        <v>11145</v>
      </c>
      <c r="M72" t="s">
        <v>11145</v>
      </c>
      <c r="N72" t="s">
        <v>11145</v>
      </c>
      <c r="O72" t="s">
        <v>11455</v>
      </c>
      <c r="P72" t="s">
        <v>11454</v>
      </c>
    </row>
    <row r="73" spans="1:16" x14ac:dyDescent="0.2">
      <c r="A73" t="str">
        <f t="shared" si="1"/>
        <v>metab_compid_52616</v>
      </c>
      <c r="B73" t="s">
        <v>11456</v>
      </c>
      <c r="C73">
        <v>1780</v>
      </c>
      <c r="D73" t="s">
        <v>8819</v>
      </c>
      <c r="E73" t="s">
        <v>3459</v>
      </c>
      <c r="F73" t="s">
        <v>5021</v>
      </c>
      <c r="G73">
        <v>52616</v>
      </c>
      <c r="H73" t="s">
        <v>11322</v>
      </c>
      <c r="I73">
        <v>100008921</v>
      </c>
      <c r="J73">
        <v>2653</v>
      </c>
      <c r="K73">
        <v>762.60073999999997</v>
      </c>
      <c r="L73" t="s">
        <v>8820</v>
      </c>
      <c r="M73" t="s">
        <v>11145</v>
      </c>
      <c r="N73" t="s">
        <v>11145</v>
      </c>
      <c r="O73" t="s">
        <v>11457</v>
      </c>
      <c r="P73" t="s">
        <v>11456</v>
      </c>
    </row>
    <row r="74" spans="1:16" x14ac:dyDescent="0.2">
      <c r="A74" t="str">
        <f t="shared" si="1"/>
        <v>metab_compid_34428</v>
      </c>
      <c r="B74" t="s">
        <v>11458</v>
      </c>
      <c r="C74">
        <v>2039</v>
      </c>
      <c r="D74" t="s">
        <v>6476</v>
      </c>
      <c r="E74" t="s">
        <v>3459</v>
      </c>
      <c r="F74" t="s">
        <v>5441</v>
      </c>
      <c r="G74">
        <v>34428</v>
      </c>
      <c r="H74" t="s">
        <v>11327</v>
      </c>
      <c r="I74">
        <v>100001445</v>
      </c>
      <c r="J74">
        <v>5600</v>
      </c>
      <c r="K74">
        <v>409.23606000000001</v>
      </c>
      <c r="L74" t="s">
        <v>6477</v>
      </c>
      <c r="M74">
        <v>6419701</v>
      </c>
      <c r="N74" t="s">
        <v>6480</v>
      </c>
      <c r="O74" t="s">
        <v>6479</v>
      </c>
      <c r="P74" t="s">
        <v>11458</v>
      </c>
    </row>
    <row r="75" spans="1:16" x14ac:dyDescent="0.2">
      <c r="A75" t="str">
        <f t="shared" si="1"/>
        <v>metab_compid_33955</v>
      </c>
      <c r="B75" t="s">
        <v>11459</v>
      </c>
      <c r="C75">
        <v>2053</v>
      </c>
      <c r="D75" t="s">
        <v>6060</v>
      </c>
      <c r="E75" t="s">
        <v>3459</v>
      </c>
      <c r="F75" t="s">
        <v>5441</v>
      </c>
      <c r="G75">
        <v>33955</v>
      </c>
      <c r="H75" t="s">
        <v>11322</v>
      </c>
      <c r="I75">
        <v>100001263</v>
      </c>
      <c r="J75">
        <v>1525</v>
      </c>
      <c r="K75">
        <v>496.33976999999999</v>
      </c>
      <c r="L75" t="s">
        <v>6061</v>
      </c>
      <c r="M75">
        <v>86554</v>
      </c>
      <c r="N75" t="s">
        <v>11145</v>
      </c>
      <c r="O75" t="s">
        <v>11460</v>
      </c>
      <c r="P75" t="s">
        <v>11459</v>
      </c>
    </row>
    <row r="76" spans="1:16" x14ac:dyDescent="0.2">
      <c r="A76" t="str">
        <f t="shared" si="1"/>
        <v>metab_compid_35631</v>
      </c>
      <c r="B76" t="s">
        <v>11461</v>
      </c>
      <c r="C76">
        <v>2101</v>
      </c>
      <c r="D76" t="s">
        <v>6621</v>
      </c>
      <c r="E76" t="s">
        <v>3459</v>
      </c>
      <c r="F76" t="s">
        <v>5441</v>
      </c>
      <c r="G76">
        <v>35631</v>
      </c>
      <c r="H76" t="s">
        <v>11322</v>
      </c>
      <c r="I76">
        <v>100001567</v>
      </c>
      <c r="J76">
        <v>1544</v>
      </c>
      <c r="K76">
        <v>454.29282000000001</v>
      </c>
      <c r="L76" t="s">
        <v>6622</v>
      </c>
      <c r="M76">
        <v>9547069</v>
      </c>
      <c r="N76" t="s">
        <v>11145</v>
      </c>
      <c r="O76" t="s">
        <v>11462</v>
      </c>
      <c r="P76" t="s">
        <v>11461</v>
      </c>
    </row>
    <row r="77" spans="1:16" x14ac:dyDescent="0.2">
      <c r="A77" t="str">
        <f t="shared" si="1"/>
        <v>metab_compid_45970</v>
      </c>
      <c r="B77" t="s">
        <v>11463</v>
      </c>
      <c r="C77">
        <v>2139</v>
      </c>
      <c r="D77" t="s">
        <v>8342</v>
      </c>
      <c r="E77" t="s">
        <v>3459</v>
      </c>
      <c r="F77" t="s">
        <v>5441</v>
      </c>
      <c r="G77">
        <v>45970</v>
      </c>
      <c r="H77" t="s">
        <v>11327</v>
      </c>
      <c r="I77">
        <v>100005717</v>
      </c>
      <c r="J77">
        <v>5570</v>
      </c>
      <c r="K77">
        <v>483.27283999999997</v>
      </c>
      <c r="L77" t="s">
        <v>11145</v>
      </c>
      <c r="M77">
        <v>3300276</v>
      </c>
      <c r="N77" t="s">
        <v>11145</v>
      </c>
      <c r="O77" t="s">
        <v>11145</v>
      </c>
      <c r="P77" t="s">
        <v>11463</v>
      </c>
    </row>
    <row r="78" spans="1:16" x14ac:dyDescent="0.2">
      <c r="A78" t="str">
        <f t="shared" si="1"/>
        <v>metab_compid_35305</v>
      </c>
      <c r="B78" t="s">
        <v>11464</v>
      </c>
      <c r="C78">
        <v>2146</v>
      </c>
      <c r="D78" t="s">
        <v>6826</v>
      </c>
      <c r="E78" t="s">
        <v>3459</v>
      </c>
      <c r="F78" t="s">
        <v>5441</v>
      </c>
      <c r="G78">
        <v>35305</v>
      </c>
      <c r="H78" t="s">
        <v>11327</v>
      </c>
      <c r="I78">
        <v>100001655</v>
      </c>
      <c r="J78">
        <v>5564</v>
      </c>
      <c r="K78">
        <v>571.28887999999995</v>
      </c>
      <c r="L78" t="s">
        <v>11145</v>
      </c>
      <c r="M78" t="s">
        <v>11145</v>
      </c>
      <c r="N78" t="s">
        <v>11145</v>
      </c>
      <c r="O78" t="s">
        <v>11465</v>
      </c>
      <c r="P78" t="s">
        <v>11464</v>
      </c>
    </row>
    <row r="79" spans="1:16" x14ac:dyDescent="0.2">
      <c r="A79" t="str">
        <f t="shared" si="1"/>
        <v>metab_compid_61868</v>
      </c>
      <c r="B79" t="s">
        <v>11466</v>
      </c>
      <c r="C79">
        <v>84</v>
      </c>
      <c r="D79" t="s">
        <v>6861</v>
      </c>
      <c r="E79" t="s">
        <v>3436</v>
      </c>
      <c r="F79" t="s">
        <v>3906</v>
      </c>
      <c r="G79">
        <v>61868</v>
      </c>
      <c r="H79" t="s">
        <v>11320</v>
      </c>
      <c r="I79">
        <v>100001668</v>
      </c>
      <c r="J79">
        <v>2006</v>
      </c>
      <c r="K79">
        <v>259.09246999999999</v>
      </c>
      <c r="L79" t="s">
        <v>6862</v>
      </c>
      <c r="M79">
        <v>5117448</v>
      </c>
      <c r="N79" t="s">
        <v>6865</v>
      </c>
      <c r="O79" t="s">
        <v>11467</v>
      </c>
      <c r="P79" t="s">
        <v>11466</v>
      </c>
    </row>
    <row r="80" spans="1:16" x14ac:dyDescent="0.2">
      <c r="A80" t="str">
        <f t="shared" si="1"/>
        <v>metab_compid_42450</v>
      </c>
      <c r="B80" t="s">
        <v>11468</v>
      </c>
      <c r="C80">
        <v>1828</v>
      </c>
      <c r="D80" t="s">
        <v>7063</v>
      </c>
      <c r="E80" t="s">
        <v>3459</v>
      </c>
      <c r="F80" t="s">
        <v>5021</v>
      </c>
      <c r="G80">
        <v>42450</v>
      </c>
      <c r="H80" t="s">
        <v>11322</v>
      </c>
      <c r="I80">
        <v>100001869</v>
      </c>
      <c r="J80">
        <v>2300</v>
      </c>
      <c r="K80">
        <v>810.60073999999997</v>
      </c>
      <c r="L80" t="s">
        <v>7064</v>
      </c>
      <c r="M80">
        <v>16219824</v>
      </c>
      <c r="N80" t="s">
        <v>11145</v>
      </c>
      <c r="O80" t="s">
        <v>11469</v>
      </c>
      <c r="P80" t="s">
        <v>11468</v>
      </c>
    </row>
    <row r="81" spans="1:16" x14ac:dyDescent="0.2">
      <c r="A81" t="str">
        <f t="shared" si="1"/>
        <v>metab_compid_52447</v>
      </c>
      <c r="B81" t="s">
        <v>11470</v>
      </c>
      <c r="C81">
        <v>1919</v>
      </c>
      <c r="D81" t="s">
        <v>8919</v>
      </c>
      <c r="E81" t="s">
        <v>3459</v>
      </c>
      <c r="F81" t="s">
        <v>5006</v>
      </c>
      <c r="G81">
        <v>52447</v>
      </c>
      <c r="H81" t="s">
        <v>11322</v>
      </c>
      <c r="I81">
        <v>100008977</v>
      </c>
      <c r="J81">
        <v>2424</v>
      </c>
      <c r="K81">
        <v>768.55377999999996</v>
      </c>
      <c r="L81" t="s">
        <v>11145</v>
      </c>
      <c r="M81">
        <v>5289133</v>
      </c>
      <c r="N81" t="s">
        <v>11145</v>
      </c>
      <c r="O81" t="s">
        <v>11471</v>
      </c>
      <c r="P81" t="s">
        <v>11470</v>
      </c>
    </row>
    <row r="82" spans="1:16" x14ac:dyDescent="0.2">
      <c r="A82" t="str">
        <f t="shared" si="1"/>
        <v>metab_compid_52449</v>
      </c>
      <c r="B82" t="s">
        <v>11472</v>
      </c>
      <c r="C82">
        <v>2016</v>
      </c>
      <c r="D82" t="s">
        <v>5429</v>
      </c>
      <c r="E82" t="s">
        <v>3459</v>
      </c>
      <c r="F82" t="s">
        <v>5014</v>
      </c>
      <c r="G82">
        <v>52449</v>
      </c>
      <c r="H82" t="s">
        <v>11322</v>
      </c>
      <c r="I82">
        <v>100000616</v>
      </c>
      <c r="J82">
        <v>3000</v>
      </c>
      <c r="K82">
        <v>904.59096</v>
      </c>
      <c r="L82" t="s">
        <v>5430</v>
      </c>
      <c r="M82" t="s">
        <v>11145</v>
      </c>
      <c r="N82" t="s">
        <v>11145</v>
      </c>
      <c r="O82" t="s">
        <v>11473</v>
      </c>
      <c r="P82" t="s">
        <v>11472</v>
      </c>
    </row>
    <row r="83" spans="1:16" x14ac:dyDescent="0.2">
      <c r="A83" t="str">
        <f t="shared" si="1"/>
        <v>metab_compid_52611</v>
      </c>
      <c r="B83" t="s">
        <v>11474</v>
      </c>
      <c r="C83">
        <v>1834</v>
      </c>
      <c r="D83" t="s">
        <v>8799</v>
      </c>
      <c r="E83" t="s">
        <v>3459</v>
      </c>
      <c r="F83" t="s">
        <v>5021</v>
      </c>
      <c r="G83">
        <v>52611</v>
      </c>
      <c r="H83" t="s">
        <v>11322</v>
      </c>
      <c r="I83">
        <v>100008916</v>
      </c>
      <c r="J83">
        <v>2197</v>
      </c>
      <c r="K83">
        <v>834.60127999999997</v>
      </c>
      <c r="L83" t="s">
        <v>8800</v>
      </c>
      <c r="M83" t="s">
        <v>11145</v>
      </c>
      <c r="N83" t="s">
        <v>11145</v>
      </c>
      <c r="O83" t="s">
        <v>11475</v>
      </c>
      <c r="P83" t="s">
        <v>11474</v>
      </c>
    </row>
    <row r="84" spans="1:16" x14ac:dyDescent="0.2">
      <c r="A84" t="str">
        <f t="shared" si="1"/>
        <v>metab_compid_52466</v>
      </c>
      <c r="B84" t="s">
        <v>11476</v>
      </c>
      <c r="C84">
        <v>1923</v>
      </c>
      <c r="D84" t="s">
        <v>8951</v>
      </c>
      <c r="E84" t="s">
        <v>3459</v>
      </c>
      <c r="F84" t="s">
        <v>5006</v>
      </c>
      <c r="G84">
        <v>52466</v>
      </c>
      <c r="H84" t="s">
        <v>11322</v>
      </c>
      <c r="I84">
        <v>100008992</v>
      </c>
      <c r="J84">
        <v>2317</v>
      </c>
      <c r="K84">
        <v>792.55377999999996</v>
      </c>
      <c r="L84" t="s">
        <v>11145</v>
      </c>
      <c r="M84">
        <v>9546798</v>
      </c>
      <c r="N84" t="s">
        <v>11145</v>
      </c>
      <c r="O84" t="s">
        <v>11477</v>
      </c>
      <c r="P84" t="s">
        <v>11476</v>
      </c>
    </row>
    <row r="85" spans="1:16" x14ac:dyDescent="0.2">
      <c r="A85" t="str">
        <f t="shared" si="1"/>
        <v>metab_compid_52452</v>
      </c>
      <c r="B85" t="s">
        <v>11478</v>
      </c>
      <c r="C85">
        <v>1820</v>
      </c>
      <c r="D85" t="s">
        <v>8926</v>
      </c>
      <c r="E85" t="s">
        <v>3459</v>
      </c>
      <c r="F85" t="s">
        <v>5021</v>
      </c>
      <c r="G85">
        <v>52452</v>
      </c>
      <c r="H85" t="s">
        <v>11322</v>
      </c>
      <c r="I85">
        <v>100008980</v>
      </c>
      <c r="J85">
        <v>2380</v>
      </c>
      <c r="K85">
        <v>786.60073999999997</v>
      </c>
      <c r="L85" t="s">
        <v>11145</v>
      </c>
      <c r="M85" t="s">
        <v>11145</v>
      </c>
      <c r="N85" t="s">
        <v>11145</v>
      </c>
      <c r="O85" t="s">
        <v>11479</v>
      </c>
      <c r="P85" t="s">
        <v>11478</v>
      </c>
    </row>
    <row r="86" spans="1:16" x14ac:dyDescent="0.2">
      <c r="A86" t="str">
        <f t="shared" si="1"/>
        <v>metab_compid_52446</v>
      </c>
      <c r="B86" t="s">
        <v>11480</v>
      </c>
      <c r="C86">
        <v>1914</v>
      </c>
      <c r="D86" t="s">
        <v>8913</v>
      </c>
      <c r="E86" t="s">
        <v>3459</v>
      </c>
      <c r="F86" t="s">
        <v>5006</v>
      </c>
      <c r="G86">
        <v>52446</v>
      </c>
      <c r="H86" t="s">
        <v>11322</v>
      </c>
      <c r="I86">
        <v>100008976</v>
      </c>
      <c r="J86">
        <v>2522</v>
      </c>
      <c r="K86">
        <v>744.55377999999996</v>
      </c>
      <c r="L86" t="s">
        <v>11145</v>
      </c>
      <c r="M86">
        <v>9546749</v>
      </c>
      <c r="N86" t="s">
        <v>11145</v>
      </c>
      <c r="O86" t="s">
        <v>11481</v>
      </c>
      <c r="P86" t="s">
        <v>11480</v>
      </c>
    </row>
    <row r="87" spans="1:16" x14ac:dyDescent="0.2">
      <c r="A87" t="str">
        <f t="shared" si="1"/>
        <v>metab_compid_52468</v>
      </c>
      <c r="B87" t="s">
        <v>11482</v>
      </c>
      <c r="C87">
        <v>2005</v>
      </c>
      <c r="D87" t="s">
        <v>8962</v>
      </c>
      <c r="E87" t="s">
        <v>3459</v>
      </c>
      <c r="F87" t="s">
        <v>5014</v>
      </c>
      <c r="G87">
        <v>52468</v>
      </c>
      <c r="H87" t="s">
        <v>11322</v>
      </c>
      <c r="I87">
        <v>100008994</v>
      </c>
      <c r="J87">
        <v>3185</v>
      </c>
      <c r="K87">
        <v>880.59096</v>
      </c>
      <c r="L87" t="s">
        <v>11145</v>
      </c>
      <c r="M87" t="s">
        <v>11145</v>
      </c>
      <c r="N87" t="s">
        <v>11145</v>
      </c>
      <c r="O87" t="s">
        <v>11483</v>
      </c>
      <c r="P87" t="s">
        <v>11482</v>
      </c>
    </row>
    <row r="88" spans="1:16" x14ac:dyDescent="0.2">
      <c r="A88" t="str">
        <f t="shared" si="1"/>
        <v>metab_compid_52438</v>
      </c>
      <c r="B88" t="s">
        <v>11484</v>
      </c>
      <c r="C88">
        <v>1817</v>
      </c>
      <c r="D88" t="s">
        <v>8778</v>
      </c>
      <c r="E88" t="s">
        <v>3459</v>
      </c>
      <c r="F88" t="s">
        <v>5021</v>
      </c>
      <c r="G88">
        <v>52438</v>
      </c>
      <c r="H88" t="s">
        <v>11322</v>
      </c>
      <c r="I88">
        <v>100008904</v>
      </c>
      <c r="J88">
        <v>2644</v>
      </c>
      <c r="K88">
        <v>788.61639000000002</v>
      </c>
      <c r="L88" t="s">
        <v>8779</v>
      </c>
      <c r="M88" t="s">
        <v>11145</v>
      </c>
      <c r="N88" t="s">
        <v>11145</v>
      </c>
      <c r="O88" t="s">
        <v>11485</v>
      </c>
      <c r="P88" t="s">
        <v>11484</v>
      </c>
    </row>
    <row r="89" spans="1:16" x14ac:dyDescent="0.2">
      <c r="A89" t="str">
        <f t="shared" si="1"/>
        <v>metab_compid_42448</v>
      </c>
      <c r="B89" t="s">
        <v>11486</v>
      </c>
      <c r="C89">
        <v>1911</v>
      </c>
      <c r="D89" t="s">
        <v>7047</v>
      </c>
      <c r="E89" t="s">
        <v>3459</v>
      </c>
      <c r="F89" t="s">
        <v>5006</v>
      </c>
      <c r="G89">
        <v>42448</v>
      </c>
      <c r="H89" t="s">
        <v>11322</v>
      </c>
      <c r="I89">
        <v>100001856</v>
      </c>
      <c r="J89">
        <v>2858</v>
      </c>
      <c r="K89">
        <v>746.56943999999999</v>
      </c>
      <c r="L89" t="s">
        <v>11145</v>
      </c>
      <c r="M89" t="s">
        <v>11145</v>
      </c>
      <c r="N89" t="s">
        <v>11145</v>
      </c>
      <c r="O89" t="s">
        <v>11487</v>
      </c>
      <c r="P89" t="s">
        <v>11486</v>
      </c>
    </row>
    <row r="90" spans="1:16" x14ac:dyDescent="0.2">
      <c r="A90" t="str">
        <f t="shared" si="1"/>
        <v>metab_compid_52726</v>
      </c>
      <c r="B90" t="s">
        <v>11488</v>
      </c>
      <c r="C90">
        <v>2004</v>
      </c>
      <c r="D90" t="s">
        <v>11489</v>
      </c>
      <c r="E90" t="s">
        <v>3459</v>
      </c>
      <c r="F90" t="s">
        <v>5014</v>
      </c>
      <c r="G90">
        <v>52726</v>
      </c>
      <c r="H90" t="s">
        <v>11322</v>
      </c>
      <c r="I90">
        <v>100009181</v>
      </c>
      <c r="J90">
        <v>3711</v>
      </c>
      <c r="K90">
        <v>882.60661000000005</v>
      </c>
      <c r="L90" t="s">
        <v>11145</v>
      </c>
      <c r="M90" t="s">
        <v>11145</v>
      </c>
      <c r="N90" t="s">
        <v>11145</v>
      </c>
      <c r="O90" t="s">
        <v>11145</v>
      </c>
      <c r="P90" t="s">
        <v>11488</v>
      </c>
    </row>
    <row r="91" spans="1:16" x14ac:dyDescent="0.2">
      <c r="A91" t="str">
        <f t="shared" si="1"/>
        <v>metab_compid_19265</v>
      </c>
      <c r="B91" t="s">
        <v>11490</v>
      </c>
      <c r="C91">
        <v>1970</v>
      </c>
      <c r="D91" t="s">
        <v>11491</v>
      </c>
      <c r="E91" t="s">
        <v>3459</v>
      </c>
      <c r="F91" t="s">
        <v>11492</v>
      </c>
      <c r="G91">
        <v>19265</v>
      </c>
      <c r="H91" t="s">
        <v>11322</v>
      </c>
      <c r="I91">
        <v>100000639</v>
      </c>
      <c r="J91">
        <v>3000</v>
      </c>
      <c r="K91">
        <v>790.55925999999999</v>
      </c>
      <c r="L91" t="s">
        <v>11145</v>
      </c>
      <c r="M91">
        <v>9547087</v>
      </c>
      <c r="N91" t="s">
        <v>11145</v>
      </c>
      <c r="O91" t="s">
        <v>11493</v>
      </c>
      <c r="P91" t="s">
        <v>11490</v>
      </c>
    </row>
    <row r="92" spans="1:16" x14ac:dyDescent="0.2">
      <c r="A92" t="str">
        <f t="shared" si="1"/>
        <v>metab_compid_33961</v>
      </c>
      <c r="B92" t="s">
        <v>11494</v>
      </c>
      <c r="C92">
        <v>2061</v>
      </c>
      <c r="D92" t="s">
        <v>6091</v>
      </c>
      <c r="E92" t="s">
        <v>3459</v>
      </c>
      <c r="F92" t="s">
        <v>5441</v>
      </c>
      <c r="G92">
        <v>33961</v>
      </c>
      <c r="H92" t="s">
        <v>11322</v>
      </c>
      <c r="I92">
        <v>100001271</v>
      </c>
      <c r="J92">
        <v>1606</v>
      </c>
      <c r="K92">
        <v>524.37107000000003</v>
      </c>
      <c r="L92" t="s">
        <v>6092</v>
      </c>
      <c r="M92">
        <v>497299</v>
      </c>
      <c r="N92" t="s">
        <v>11145</v>
      </c>
      <c r="O92" t="s">
        <v>11495</v>
      </c>
      <c r="P92" t="s">
        <v>11494</v>
      </c>
    </row>
    <row r="93" spans="1:16" x14ac:dyDescent="0.2">
      <c r="A93" t="str">
        <f t="shared" si="1"/>
        <v>metab_compid_42398</v>
      </c>
      <c r="B93" t="s">
        <v>11496</v>
      </c>
      <c r="C93">
        <v>2108</v>
      </c>
      <c r="D93" t="s">
        <v>6506</v>
      </c>
      <c r="E93" t="s">
        <v>3459</v>
      </c>
      <c r="F93" t="s">
        <v>5441</v>
      </c>
      <c r="G93">
        <v>42398</v>
      </c>
      <c r="H93" t="s">
        <v>11322</v>
      </c>
      <c r="I93">
        <v>100001461</v>
      </c>
      <c r="J93">
        <v>1626</v>
      </c>
      <c r="K93">
        <v>482.32411999999999</v>
      </c>
      <c r="L93" t="s">
        <v>6507</v>
      </c>
      <c r="M93">
        <v>9547068</v>
      </c>
      <c r="N93" t="s">
        <v>11145</v>
      </c>
      <c r="O93" t="s">
        <v>11497</v>
      </c>
      <c r="P93" t="s">
        <v>11496</v>
      </c>
    </row>
    <row r="94" spans="1:16" x14ac:dyDescent="0.2">
      <c r="A94" t="str">
        <f t="shared" si="1"/>
        <v>metab_compid_34437</v>
      </c>
      <c r="B94" t="s">
        <v>11498</v>
      </c>
      <c r="C94">
        <v>2141</v>
      </c>
      <c r="D94" t="s">
        <v>6513</v>
      </c>
      <c r="E94" t="s">
        <v>3459</v>
      </c>
      <c r="F94" t="s">
        <v>5441</v>
      </c>
      <c r="G94">
        <v>34437</v>
      </c>
      <c r="H94" t="s">
        <v>11327</v>
      </c>
      <c r="I94">
        <v>100001462</v>
      </c>
      <c r="J94">
        <v>5816</v>
      </c>
      <c r="K94">
        <v>511.30414000000002</v>
      </c>
      <c r="L94" t="s">
        <v>11145</v>
      </c>
      <c r="M94" t="s">
        <v>11145</v>
      </c>
      <c r="N94" t="s">
        <v>11145</v>
      </c>
      <c r="O94" t="s">
        <v>11145</v>
      </c>
      <c r="P94" t="s">
        <v>11498</v>
      </c>
    </row>
    <row r="95" spans="1:16" x14ac:dyDescent="0.2">
      <c r="A95" t="str">
        <f t="shared" si="1"/>
        <v>metab_compid_19324</v>
      </c>
      <c r="B95" t="s">
        <v>11499</v>
      </c>
      <c r="C95">
        <v>2149</v>
      </c>
      <c r="D95" t="s">
        <v>5444</v>
      </c>
      <c r="E95" t="s">
        <v>3459</v>
      </c>
      <c r="F95" t="s">
        <v>5441</v>
      </c>
      <c r="G95">
        <v>19324</v>
      </c>
      <c r="H95" t="s">
        <v>11327</v>
      </c>
      <c r="I95">
        <v>100000656</v>
      </c>
      <c r="J95">
        <v>5794</v>
      </c>
      <c r="K95">
        <v>599.32018000000005</v>
      </c>
      <c r="L95" t="s">
        <v>5445</v>
      </c>
      <c r="M95" t="s">
        <v>11145</v>
      </c>
      <c r="N95" t="s">
        <v>11145</v>
      </c>
      <c r="O95" t="s">
        <v>11500</v>
      </c>
      <c r="P95" t="s">
        <v>11499</v>
      </c>
    </row>
    <row r="96" spans="1:16" x14ac:dyDescent="0.2">
      <c r="A96" t="str">
        <f t="shared" si="1"/>
        <v>metab_compid_33971</v>
      </c>
      <c r="B96" t="s">
        <v>11501</v>
      </c>
      <c r="C96">
        <v>1184</v>
      </c>
      <c r="D96" t="s">
        <v>6127</v>
      </c>
      <c r="E96" t="s">
        <v>3459</v>
      </c>
      <c r="F96" t="s">
        <v>11502</v>
      </c>
      <c r="G96">
        <v>33971</v>
      </c>
      <c r="H96" t="s">
        <v>11327</v>
      </c>
      <c r="I96">
        <v>100001278</v>
      </c>
      <c r="J96">
        <v>5555</v>
      </c>
      <c r="K96">
        <v>267.23295000000002</v>
      </c>
      <c r="L96" t="s">
        <v>6128</v>
      </c>
      <c r="M96">
        <v>5312435</v>
      </c>
      <c r="N96" t="s">
        <v>11145</v>
      </c>
      <c r="O96" t="s">
        <v>11503</v>
      </c>
      <c r="P96" t="s">
        <v>11501</v>
      </c>
    </row>
    <row r="97" spans="1:16" x14ac:dyDescent="0.2">
      <c r="A97" t="str">
        <f t="shared" si="1"/>
        <v>metab_compid_33972</v>
      </c>
      <c r="B97" t="s">
        <v>11504</v>
      </c>
      <c r="C97">
        <v>1196</v>
      </c>
      <c r="D97" t="s">
        <v>6120</v>
      </c>
      <c r="E97" t="s">
        <v>3459</v>
      </c>
      <c r="F97" t="s">
        <v>11502</v>
      </c>
      <c r="G97">
        <v>33972</v>
      </c>
      <c r="H97" t="s">
        <v>11327</v>
      </c>
      <c r="I97">
        <v>100001277</v>
      </c>
      <c r="J97">
        <v>5780</v>
      </c>
      <c r="K97">
        <v>295.26425</v>
      </c>
      <c r="L97" t="s">
        <v>6121</v>
      </c>
      <c r="M97">
        <v>5312513</v>
      </c>
      <c r="N97" t="s">
        <v>11145</v>
      </c>
      <c r="O97" t="s">
        <v>11505</v>
      </c>
      <c r="P97" t="s">
        <v>11504</v>
      </c>
    </row>
    <row r="98" spans="1:16" x14ac:dyDescent="0.2">
      <c r="A98" t="str">
        <f t="shared" si="1"/>
        <v>metab_compid_32497</v>
      </c>
      <c r="B98" t="s">
        <v>11506</v>
      </c>
      <c r="C98">
        <v>1171</v>
      </c>
      <c r="D98" t="s">
        <v>5952</v>
      </c>
      <c r="E98" t="s">
        <v>3459</v>
      </c>
      <c r="F98" t="s">
        <v>3569</v>
      </c>
      <c r="G98">
        <v>32497</v>
      </c>
      <c r="H98" t="s">
        <v>11327</v>
      </c>
      <c r="I98">
        <v>100001197</v>
      </c>
      <c r="J98">
        <v>5085.8</v>
      </c>
      <c r="K98">
        <v>183.13905</v>
      </c>
      <c r="L98" t="s">
        <v>5953</v>
      </c>
      <c r="M98">
        <v>14891</v>
      </c>
      <c r="N98" t="s">
        <v>5956</v>
      </c>
      <c r="O98" t="s">
        <v>11507</v>
      </c>
      <c r="P98" t="s">
        <v>11506</v>
      </c>
    </row>
    <row r="99" spans="1:16" x14ac:dyDescent="0.2">
      <c r="A99" t="str">
        <f t="shared" si="1"/>
        <v>metab_compid_37536</v>
      </c>
      <c r="B99" t="s">
        <v>11508</v>
      </c>
      <c r="C99">
        <v>1659</v>
      </c>
      <c r="D99" t="s">
        <v>7326</v>
      </c>
      <c r="E99" t="s">
        <v>3459</v>
      </c>
      <c r="F99" t="s">
        <v>4910</v>
      </c>
      <c r="G99">
        <v>37536</v>
      </c>
      <c r="H99" t="s">
        <v>11327</v>
      </c>
      <c r="I99">
        <v>100002167</v>
      </c>
      <c r="J99">
        <v>5326</v>
      </c>
      <c r="K99">
        <v>319.22786000000002</v>
      </c>
      <c r="L99" t="s">
        <v>11509</v>
      </c>
      <c r="M99">
        <v>5312983</v>
      </c>
      <c r="N99" t="s">
        <v>11145</v>
      </c>
      <c r="O99" t="s">
        <v>11510</v>
      </c>
      <c r="P99" t="s">
        <v>11508</v>
      </c>
    </row>
    <row r="100" spans="1:16" x14ac:dyDescent="0.2">
      <c r="A100" t="str">
        <f t="shared" si="1"/>
        <v>metab_compid_57393</v>
      </c>
      <c r="B100" t="s">
        <v>11511</v>
      </c>
      <c r="C100">
        <v>1665</v>
      </c>
      <c r="D100" t="s">
        <v>4913</v>
      </c>
      <c r="E100" t="s">
        <v>3459</v>
      </c>
      <c r="F100" t="s">
        <v>4910</v>
      </c>
      <c r="G100">
        <v>57393</v>
      </c>
      <c r="H100" t="s">
        <v>11327</v>
      </c>
      <c r="I100">
        <v>1261</v>
      </c>
      <c r="J100">
        <v>5175</v>
      </c>
      <c r="K100">
        <v>279.19657000000001</v>
      </c>
      <c r="L100" t="s">
        <v>4914</v>
      </c>
      <c r="M100">
        <v>5283141</v>
      </c>
      <c r="N100" t="s">
        <v>4917</v>
      </c>
      <c r="O100" t="s">
        <v>11512</v>
      </c>
      <c r="P100" t="s">
        <v>11511</v>
      </c>
    </row>
    <row r="101" spans="1:16" x14ac:dyDescent="0.2">
      <c r="A101" t="str">
        <f t="shared" si="1"/>
        <v>metab_compid_37752</v>
      </c>
      <c r="B101" t="s">
        <v>11513</v>
      </c>
      <c r="C101">
        <v>1557</v>
      </c>
      <c r="D101" t="s">
        <v>7349</v>
      </c>
      <c r="E101" t="s">
        <v>3459</v>
      </c>
      <c r="F101" t="s">
        <v>4869</v>
      </c>
      <c r="G101">
        <v>37752</v>
      </c>
      <c r="H101" t="s">
        <v>11327</v>
      </c>
      <c r="I101">
        <v>100002196</v>
      </c>
      <c r="J101">
        <v>5275</v>
      </c>
      <c r="K101">
        <v>295.22825</v>
      </c>
      <c r="L101" t="s">
        <v>11145</v>
      </c>
      <c r="M101">
        <v>43013</v>
      </c>
      <c r="N101" t="s">
        <v>11145</v>
      </c>
      <c r="O101" t="s">
        <v>11145</v>
      </c>
      <c r="P101" t="s">
        <v>11513</v>
      </c>
    </row>
    <row r="102" spans="1:16" x14ac:dyDescent="0.2">
      <c r="A102" t="str">
        <f t="shared" si="1"/>
        <v>metab_compid_53034</v>
      </c>
      <c r="B102" t="s">
        <v>11514</v>
      </c>
      <c r="C102">
        <v>1560</v>
      </c>
      <c r="D102" t="s">
        <v>11515</v>
      </c>
      <c r="E102" t="s">
        <v>3459</v>
      </c>
      <c r="F102" t="s">
        <v>4869</v>
      </c>
      <c r="G102">
        <v>53034</v>
      </c>
      <c r="H102" t="s">
        <v>11327</v>
      </c>
      <c r="I102">
        <v>100009278</v>
      </c>
      <c r="J102">
        <v>5296</v>
      </c>
      <c r="K102">
        <v>343.22786000000002</v>
      </c>
      <c r="L102" t="s">
        <v>11145</v>
      </c>
      <c r="M102" t="s">
        <v>11145</v>
      </c>
      <c r="N102" t="s">
        <v>11145</v>
      </c>
      <c r="O102" t="s">
        <v>11145</v>
      </c>
      <c r="P102" t="s">
        <v>11514</v>
      </c>
    </row>
    <row r="103" spans="1:16" x14ac:dyDescent="0.2">
      <c r="A103" t="str">
        <f t="shared" si="1"/>
        <v>metab_compid_38768</v>
      </c>
      <c r="B103" t="s">
        <v>11516</v>
      </c>
      <c r="C103">
        <v>1293</v>
      </c>
      <c r="D103" t="s">
        <v>11517</v>
      </c>
      <c r="E103" t="s">
        <v>3459</v>
      </c>
      <c r="F103" t="s">
        <v>4101</v>
      </c>
      <c r="G103">
        <v>38768</v>
      </c>
      <c r="H103" t="s">
        <v>11327</v>
      </c>
      <c r="I103">
        <v>100002945</v>
      </c>
      <c r="J103">
        <v>5695</v>
      </c>
      <c r="K103">
        <v>269.24867999999998</v>
      </c>
      <c r="L103" t="s">
        <v>11145</v>
      </c>
      <c r="M103">
        <v>17903417</v>
      </c>
      <c r="N103" t="s">
        <v>11145</v>
      </c>
      <c r="O103" t="s">
        <v>11145</v>
      </c>
      <c r="P103" t="s">
        <v>11516</v>
      </c>
    </row>
    <row r="104" spans="1:16" x14ac:dyDescent="0.2">
      <c r="A104" t="str">
        <f t="shared" si="1"/>
        <v>metab_compid_39609</v>
      </c>
      <c r="B104" t="s">
        <v>11518</v>
      </c>
      <c r="C104">
        <v>1553</v>
      </c>
      <c r="D104" t="s">
        <v>7778</v>
      </c>
      <c r="E104" t="s">
        <v>3459</v>
      </c>
      <c r="F104" t="s">
        <v>4869</v>
      </c>
      <c r="G104">
        <v>39609</v>
      </c>
      <c r="H104" t="s">
        <v>11327</v>
      </c>
      <c r="I104">
        <v>100002953</v>
      </c>
      <c r="J104">
        <v>5236.2</v>
      </c>
      <c r="K104">
        <v>271.22786000000002</v>
      </c>
      <c r="L104" t="s">
        <v>7779</v>
      </c>
      <c r="M104">
        <v>10466</v>
      </c>
      <c r="N104" t="s">
        <v>7782</v>
      </c>
      <c r="O104" t="s">
        <v>11519</v>
      </c>
      <c r="P104" t="s">
        <v>11518</v>
      </c>
    </row>
    <row r="105" spans="1:16" x14ac:dyDescent="0.2">
      <c r="A105" t="str">
        <f t="shared" si="1"/>
        <v>metab_compid_38168</v>
      </c>
      <c r="B105" t="s">
        <v>11520</v>
      </c>
      <c r="C105">
        <v>2681</v>
      </c>
      <c r="D105" t="s">
        <v>11521</v>
      </c>
      <c r="E105" t="s">
        <v>3459</v>
      </c>
      <c r="F105" t="s">
        <v>5559</v>
      </c>
      <c r="G105">
        <v>38168</v>
      </c>
      <c r="H105" t="s">
        <v>11327</v>
      </c>
      <c r="I105">
        <v>100002126</v>
      </c>
      <c r="J105">
        <v>4240</v>
      </c>
      <c r="K105">
        <v>383.15338000000003</v>
      </c>
      <c r="L105" t="s">
        <v>11145</v>
      </c>
      <c r="M105" t="s">
        <v>11145</v>
      </c>
      <c r="N105" t="s">
        <v>11145</v>
      </c>
      <c r="O105" t="s">
        <v>11145</v>
      </c>
      <c r="P105" t="s">
        <v>11520</v>
      </c>
    </row>
    <row r="106" spans="1:16" x14ac:dyDescent="0.2">
      <c r="A106" t="str">
        <f t="shared" si="1"/>
        <v>metab_compid_38296</v>
      </c>
      <c r="B106" t="s">
        <v>11522</v>
      </c>
      <c r="C106">
        <v>1296</v>
      </c>
      <c r="D106" t="s">
        <v>11523</v>
      </c>
      <c r="E106" t="s">
        <v>3459</v>
      </c>
      <c r="F106" t="s">
        <v>4101</v>
      </c>
      <c r="G106">
        <v>38296</v>
      </c>
      <c r="H106" t="s">
        <v>11327</v>
      </c>
      <c r="I106">
        <v>100002356</v>
      </c>
      <c r="J106">
        <v>5993</v>
      </c>
      <c r="K106">
        <v>297.2799</v>
      </c>
      <c r="L106" t="s">
        <v>7430</v>
      </c>
      <c r="M106">
        <v>3083779</v>
      </c>
      <c r="N106" t="s">
        <v>11145</v>
      </c>
      <c r="O106" t="s">
        <v>11524</v>
      </c>
      <c r="P106" t="s">
        <v>11522</v>
      </c>
    </row>
    <row r="107" spans="1:16" x14ac:dyDescent="0.2">
      <c r="A107" t="str">
        <f t="shared" si="1"/>
        <v>metab_compid_52602</v>
      </c>
      <c r="B107" t="s">
        <v>11525</v>
      </c>
      <c r="C107">
        <v>3492</v>
      </c>
      <c r="D107" t="s">
        <v>4201</v>
      </c>
      <c r="E107" t="s">
        <v>3533</v>
      </c>
      <c r="F107" t="s">
        <v>3705</v>
      </c>
      <c r="G107">
        <v>52602</v>
      </c>
      <c r="H107" t="s">
        <v>11327</v>
      </c>
      <c r="I107">
        <v>536</v>
      </c>
      <c r="J107">
        <v>1586</v>
      </c>
      <c r="K107">
        <v>227.06729999999999</v>
      </c>
      <c r="L107" t="s">
        <v>4202</v>
      </c>
      <c r="M107">
        <v>13712</v>
      </c>
      <c r="N107" t="s">
        <v>4205</v>
      </c>
      <c r="O107" t="s">
        <v>11526</v>
      </c>
      <c r="P107" t="s">
        <v>11525</v>
      </c>
    </row>
    <row r="108" spans="1:16" x14ac:dyDescent="0.2">
      <c r="A108" t="str">
        <f t="shared" si="1"/>
        <v>metab_compid_57655</v>
      </c>
      <c r="B108" t="s">
        <v>11527</v>
      </c>
      <c r="C108">
        <v>3480</v>
      </c>
      <c r="D108" t="s">
        <v>9259</v>
      </c>
      <c r="E108" t="s">
        <v>3533</v>
      </c>
      <c r="F108" t="s">
        <v>3705</v>
      </c>
      <c r="G108">
        <v>57655</v>
      </c>
      <c r="H108" t="s">
        <v>11327</v>
      </c>
      <c r="I108">
        <v>100010896</v>
      </c>
      <c r="J108">
        <v>1831</v>
      </c>
      <c r="K108">
        <v>257.07790999999997</v>
      </c>
      <c r="L108" t="s">
        <v>9260</v>
      </c>
      <c r="M108">
        <v>102212</v>
      </c>
      <c r="N108" t="s">
        <v>11145</v>
      </c>
      <c r="O108" t="s">
        <v>11145</v>
      </c>
      <c r="P108" t="s">
        <v>11527</v>
      </c>
    </row>
    <row r="109" spans="1:16" x14ac:dyDescent="0.2">
      <c r="A109" t="str">
        <f t="shared" si="1"/>
        <v>metab_compid_57547</v>
      </c>
      <c r="B109" t="s">
        <v>11528</v>
      </c>
      <c r="C109">
        <v>324</v>
      </c>
      <c r="D109" t="s">
        <v>9246</v>
      </c>
      <c r="E109" t="s">
        <v>3436</v>
      </c>
      <c r="F109" t="s">
        <v>3498</v>
      </c>
      <c r="G109">
        <v>57547</v>
      </c>
      <c r="H109" t="s">
        <v>11327</v>
      </c>
      <c r="I109">
        <v>100010869</v>
      </c>
      <c r="J109">
        <v>787</v>
      </c>
      <c r="K109">
        <v>133.05063000000001</v>
      </c>
      <c r="L109" t="s">
        <v>9247</v>
      </c>
      <c r="M109">
        <v>301941</v>
      </c>
      <c r="N109" t="s">
        <v>11145</v>
      </c>
      <c r="O109" t="s">
        <v>11529</v>
      </c>
      <c r="P109" t="s">
        <v>11528</v>
      </c>
    </row>
    <row r="110" spans="1:16" x14ac:dyDescent="0.2">
      <c r="A110" t="str">
        <f t="shared" si="1"/>
        <v>metab_compid_6146</v>
      </c>
      <c r="B110" t="s">
        <v>11530</v>
      </c>
      <c r="C110">
        <v>102</v>
      </c>
      <c r="D110" t="s">
        <v>3955</v>
      </c>
      <c r="E110" t="s">
        <v>3436</v>
      </c>
      <c r="F110" t="s">
        <v>3586</v>
      </c>
      <c r="G110">
        <v>6146</v>
      </c>
      <c r="H110" t="s">
        <v>11327</v>
      </c>
      <c r="I110">
        <v>381</v>
      </c>
      <c r="J110">
        <v>639.20000000000005</v>
      </c>
      <c r="K110">
        <v>160.06153</v>
      </c>
      <c r="L110" t="s">
        <v>11531</v>
      </c>
      <c r="M110">
        <v>469</v>
      </c>
      <c r="N110" t="s">
        <v>3959</v>
      </c>
      <c r="O110" t="s">
        <v>11532</v>
      </c>
      <c r="P110" t="s">
        <v>11530</v>
      </c>
    </row>
    <row r="111" spans="1:16" x14ac:dyDescent="0.2">
      <c r="A111" t="str">
        <f t="shared" si="1"/>
        <v>metab_compid_42374</v>
      </c>
      <c r="B111" t="s">
        <v>11533</v>
      </c>
      <c r="C111">
        <v>442</v>
      </c>
      <c r="D111" t="s">
        <v>4744</v>
      </c>
      <c r="E111" t="s">
        <v>3436</v>
      </c>
      <c r="F111" t="s">
        <v>3793</v>
      </c>
      <c r="G111">
        <v>42374</v>
      </c>
      <c r="H111" t="s">
        <v>11320</v>
      </c>
      <c r="I111">
        <v>1128</v>
      </c>
      <c r="J111">
        <v>2059</v>
      </c>
      <c r="K111">
        <v>104.07061</v>
      </c>
      <c r="L111" t="s">
        <v>4745</v>
      </c>
      <c r="M111">
        <v>439691</v>
      </c>
      <c r="N111" t="s">
        <v>11534</v>
      </c>
      <c r="O111" t="s">
        <v>11535</v>
      </c>
      <c r="P111" t="s">
        <v>11533</v>
      </c>
    </row>
    <row r="112" spans="1:16" x14ac:dyDescent="0.2">
      <c r="A112" t="str">
        <f t="shared" si="1"/>
        <v>metab_compid_43343</v>
      </c>
      <c r="B112" t="s">
        <v>11536</v>
      </c>
      <c r="C112">
        <v>1391</v>
      </c>
      <c r="D112" t="s">
        <v>8142</v>
      </c>
      <c r="E112" t="s">
        <v>3459</v>
      </c>
      <c r="F112" t="s">
        <v>8139</v>
      </c>
      <c r="G112">
        <v>43343</v>
      </c>
      <c r="H112" t="s">
        <v>11322</v>
      </c>
      <c r="I112">
        <v>100004227</v>
      </c>
      <c r="J112">
        <v>750</v>
      </c>
      <c r="K112">
        <v>160.13320999999999</v>
      </c>
      <c r="L112" t="s">
        <v>8143</v>
      </c>
      <c r="M112">
        <v>69522</v>
      </c>
      <c r="N112" t="s">
        <v>11145</v>
      </c>
      <c r="O112" t="s">
        <v>11537</v>
      </c>
      <c r="P112" t="s">
        <v>11536</v>
      </c>
    </row>
    <row r="113" spans="1:16" x14ac:dyDescent="0.2">
      <c r="A113" t="str">
        <f t="shared" si="1"/>
        <v>metab_compid_48675</v>
      </c>
      <c r="B113" t="s">
        <v>11538</v>
      </c>
      <c r="C113">
        <v>2320</v>
      </c>
      <c r="D113" t="s">
        <v>11539</v>
      </c>
      <c r="E113" t="s">
        <v>3459</v>
      </c>
      <c r="F113" t="s">
        <v>5418</v>
      </c>
      <c r="G113">
        <v>48675</v>
      </c>
      <c r="H113" t="s">
        <v>11327</v>
      </c>
      <c r="I113">
        <v>100006352</v>
      </c>
      <c r="J113">
        <v>6050</v>
      </c>
      <c r="K113">
        <v>309.22235999999998</v>
      </c>
      <c r="L113" t="s">
        <v>11145</v>
      </c>
      <c r="M113" t="s">
        <v>11145</v>
      </c>
      <c r="N113" t="s">
        <v>11145</v>
      </c>
      <c r="O113" t="s">
        <v>11540</v>
      </c>
      <c r="P113" t="s">
        <v>11538</v>
      </c>
    </row>
    <row r="114" spans="1:16" x14ac:dyDescent="0.2">
      <c r="A114" t="str">
        <f t="shared" si="1"/>
        <v>metab_compid_36746</v>
      </c>
      <c r="B114" t="s">
        <v>11541</v>
      </c>
      <c r="C114">
        <v>319</v>
      </c>
      <c r="D114" t="s">
        <v>6587</v>
      </c>
      <c r="E114" t="s">
        <v>3436</v>
      </c>
      <c r="F114" t="s">
        <v>3498</v>
      </c>
      <c r="G114">
        <v>36746</v>
      </c>
      <c r="H114" t="s">
        <v>11327</v>
      </c>
      <c r="I114">
        <v>100001541</v>
      </c>
      <c r="J114">
        <v>1800</v>
      </c>
      <c r="K114">
        <v>131.07136</v>
      </c>
      <c r="L114" t="s">
        <v>6588</v>
      </c>
      <c r="M114">
        <v>164623</v>
      </c>
      <c r="N114" t="s">
        <v>11145</v>
      </c>
      <c r="O114" t="s">
        <v>11542</v>
      </c>
      <c r="P114" t="s">
        <v>11541</v>
      </c>
    </row>
    <row r="115" spans="1:16" x14ac:dyDescent="0.2">
      <c r="A115" t="str">
        <f t="shared" si="1"/>
        <v>metab_compid_57663</v>
      </c>
      <c r="B115" t="s">
        <v>11543</v>
      </c>
      <c r="C115">
        <v>1528</v>
      </c>
      <c r="D115" t="s">
        <v>9315</v>
      </c>
      <c r="E115" t="s">
        <v>3459</v>
      </c>
      <c r="F115" t="s">
        <v>4869</v>
      </c>
      <c r="G115">
        <v>57663</v>
      </c>
      <c r="H115" t="s">
        <v>11327</v>
      </c>
      <c r="I115">
        <v>100015637</v>
      </c>
      <c r="J115">
        <v>6384</v>
      </c>
      <c r="K115">
        <v>355.32177000000001</v>
      </c>
      <c r="L115" t="s">
        <v>11145</v>
      </c>
      <c r="M115">
        <v>193484</v>
      </c>
      <c r="N115" t="s">
        <v>11145</v>
      </c>
      <c r="O115" t="s">
        <v>11145</v>
      </c>
      <c r="P115" t="s">
        <v>11543</v>
      </c>
    </row>
    <row r="116" spans="1:16" x14ac:dyDescent="0.2">
      <c r="A116" t="str">
        <f t="shared" si="1"/>
        <v>metab_compid_52281</v>
      </c>
      <c r="B116" t="s">
        <v>11544</v>
      </c>
      <c r="C116">
        <v>444</v>
      </c>
      <c r="D116" t="s">
        <v>8827</v>
      </c>
      <c r="E116" t="s">
        <v>3436</v>
      </c>
      <c r="F116" t="s">
        <v>3793</v>
      </c>
      <c r="G116">
        <v>52281</v>
      </c>
      <c r="H116" t="s">
        <v>11545</v>
      </c>
      <c r="I116">
        <v>100008928</v>
      </c>
      <c r="J116">
        <v>1258</v>
      </c>
      <c r="K116">
        <v>103.04006</v>
      </c>
      <c r="L116" t="s">
        <v>11145</v>
      </c>
      <c r="M116" t="s">
        <v>11145</v>
      </c>
      <c r="N116" t="s">
        <v>11145</v>
      </c>
      <c r="O116" t="s">
        <v>11145</v>
      </c>
      <c r="P116" t="s">
        <v>11544</v>
      </c>
    </row>
    <row r="117" spans="1:16" x14ac:dyDescent="0.2">
      <c r="A117" t="str">
        <f t="shared" si="1"/>
        <v>metab_compid_42489</v>
      </c>
      <c r="B117" t="s">
        <v>11546</v>
      </c>
      <c r="C117">
        <v>1521</v>
      </c>
      <c r="D117" t="s">
        <v>8060</v>
      </c>
      <c r="E117" t="s">
        <v>3459</v>
      </c>
      <c r="F117" t="s">
        <v>4869</v>
      </c>
      <c r="G117">
        <v>42489</v>
      </c>
      <c r="H117" t="s">
        <v>11327</v>
      </c>
      <c r="I117">
        <v>100004089</v>
      </c>
      <c r="J117">
        <v>4840</v>
      </c>
      <c r="K117">
        <v>187.13396</v>
      </c>
      <c r="L117" t="s">
        <v>8061</v>
      </c>
      <c r="M117">
        <v>21488</v>
      </c>
      <c r="N117" t="s">
        <v>11145</v>
      </c>
      <c r="O117" t="s">
        <v>11145</v>
      </c>
      <c r="P117" t="s">
        <v>11546</v>
      </c>
    </row>
    <row r="118" spans="1:16" x14ac:dyDescent="0.2">
      <c r="A118" t="str">
        <f t="shared" si="1"/>
        <v>metab_compid_37253</v>
      </c>
      <c r="B118" t="s">
        <v>11547</v>
      </c>
      <c r="C118">
        <v>1311</v>
      </c>
      <c r="D118" t="s">
        <v>7234</v>
      </c>
      <c r="E118" t="s">
        <v>3459</v>
      </c>
      <c r="F118" t="s">
        <v>3873</v>
      </c>
      <c r="G118">
        <v>37253</v>
      </c>
      <c r="H118" t="s">
        <v>11545</v>
      </c>
      <c r="I118">
        <v>100002070</v>
      </c>
      <c r="J118">
        <v>3352.8</v>
      </c>
      <c r="K118">
        <v>147.02988999999999</v>
      </c>
      <c r="L118" t="s">
        <v>7235</v>
      </c>
      <c r="M118">
        <v>43</v>
      </c>
      <c r="N118" t="s">
        <v>7238</v>
      </c>
      <c r="O118" t="s">
        <v>11548</v>
      </c>
      <c r="P118" t="s">
        <v>11547</v>
      </c>
    </row>
    <row r="119" spans="1:16" x14ac:dyDescent="0.2">
      <c r="A119" t="str">
        <f t="shared" si="1"/>
        <v>metab_compid_52916</v>
      </c>
      <c r="B119" t="s">
        <v>11549</v>
      </c>
      <c r="C119">
        <v>1522</v>
      </c>
      <c r="D119" t="s">
        <v>8845</v>
      </c>
      <c r="E119" t="s">
        <v>3459</v>
      </c>
      <c r="F119" t="s">
        <v>4869</v>
      </c>
      <c r="G119">
        <v>52916</v>
      </c>
      <c r="H119" t="s">
        <v>11327</v>
      </c>
      <c r="I119">
        <v>100008934</v>
      </c>
      <c r="J119">
        <v>5211</v>
      </c>
      <c r="K119">
        <v>215.16525999999999</v>
      </c>
      <c r="L119" t="s">
        <v>8846</v>
      </c>
      <c r="M119">
        <v>97783</v>
      </c>
      <c r="N119" t="s">
        <v>11145</v>
      </c>
      <c r="O119" t="s">
        <v>11145</v>
      </c>
      <c r="P119" t="s">
        <v>11549</v>
      </c>
    </row>
    <row r="120" spans="1:16" x14ac:dyDescent="0.2">
      <c r="A120" t="str">
        <f t="shared" si="1"/>
        <v>metab_compid_61698</v>
      </c>
      <c r="B120" t="s">
        <v>11550</v>
      </c>
      <c r="C120">
        <v>1530</v>
      </c>
      <c r="D120" t="s">
        <v>9321</v>
      </c>
      <c r="E120" t="s">
        <v>3459</v>
      </c>
      <c r="F120" t="s">
        <v>4869</v>
      </c>
      <c r="G120">
        <v>61698</v>
      </c>
      <c r="H120" t="s">
        <v>11327</v>
      </c>
      <c r="I120">
        <v>100015638</v>
      </c>
      <c r="J120">
        <v>6345</v>
      </c>
      <c r="K120">
        <v>381.33742000000001</v>
      </c>
      <c r="L120" t="s">
        <v>11145</v>
      </c>
      <c r="M120">
        <v>5312783</v>
      </c>
      <c r="N120" t="s">
        <v>11145</v>
      </c>
      <c r="O120" t="s">
        <v>11145</v>
      </c>
      <c r="P120" t="s">
        <v>11550</v>
      </c>
    </row>
    <row r="121" spans="1:16" x14ac:dyDescent="0.2">
      <c r="A121" t="str">
        <f t="shared" si="1"/>
        <v>metab_compid_22036</v>
      </c>
      <c r="B121" t="s">
        <v>11551</v>
      </c>
      <c r="C121">
        <v>1520</v>
      </c>
      <c r="D121" t="s">
        <v>5505</v>
      </c>
      <c r="E121" t="s">
        <v>3459</v>
      </c>
      <c r="F121" t="s">
        <v>4869</v>
      </c>
      <c r="G121">
        <v>22036</v>
      </c>
      <c r="H121" t="s">
        <v>11327</v>
      </c>
      <c r="I121">
        <v>100000743</v>
      </c>
      <c r="J121">
        <v>3736.8</v>
      </c>
      <c r="K121">
        <v>159.10265999999999</v>
      </c>
      <c r="L121" t="s">
        <v>5506</v>
      </c>
      <c r="M121">
        <v>94180</v>
      </c>
      <c r="N121" t="s">
        <v>11145</v>
      </c>
      <c r="O121" t="s">
        <v>11552</v>
      </c>
      <c r="P121" t="s">
        <v>11551</v>
      </c>
    </row>
    <row r="122" spans="1:16" x14ac:dyDescent="0.2">
      <c r="A122" t="str">
        <f t="shared" si="1"/>
        <v>metab_compid_35675</v>
      </c>
      <c r="B122" t="s">
        <v>11553</v>
      </c>
      <c r="C122">
        <v>1524</v>
      </c>
      <c r="D122" t="s">
        <v>6655</v>
      </c>
      <c r="E122" t="s">
        <v>3459</v>
      </c>
      <c r="F122" t="s">
        <v>4869</v>
      </c>
      <c r="G122">
        <v>35675</v>
      </c>
      <c r="H122" t="s">
        <v>11327</v>
      </c>
      <c r="I122">
        <v>100001579</v>
      </c>
      <c r="J122">
        <v>5511.2</v>
      </c>
      <c r="K122">
        <v>271.22786000000002</v>
      </c>
      <c r="L122" t="s">
        <v>6656</v>
      </c>
      <c r="M122">
        <v>92836</v>
      </c>
      <c r="N122" t="s">
        <v>11145</v>
      </c>
      <c r="O122" t="s">
        <v>11554</v>
      </c>
      <c r="P122" t="s">
        <v>11553</v>
      </c>
    </row>
    <row r="123" spans="1:16" x14ac:dyDescent="0.2">
      <c r="A123" t="str">
        <f t="shared" si="1"/>
        <v>metab_compid_1432</v>
      </c>
      <c r="B123" t="s">
        <v>11555</v>
      </c>
      <c r="C123">
        <v>180</v>
      </c>
      <c r="D123" t="s">
        <v>3681</v>
      </c>
      <c r="E123" t="s">
        <v>3436</v>
      </c>
      <c r="F123" t="s">
        <v>3687</v>
      </c>
      <c r="G123">
        <v>1432</v>
      </c>
      <c r="H123" t="s">
        <v>11545</v>
      </c>
      <c r="I123">
        <v>235</v>
      </c>
      <c r="J123">
        <v>858.6</v>
      </c>
      <c r="K123">
        <v>151.04006000000001</v>
      </c>
      <c r="L123" t="s">
        <v>3682</v>
      </c>
      <c r="M123">
        <v>11970</v>
      </c>
      <c r="N123" t="s">
        <v>3685</v>
      </c>
      <c r="O123" t="s">
        <v>11556</v>
      </c>
      <c r="P123" t="s">
        <v>11555</v>
      </c>
    </row>
    <row r="124" spans="1:16" x14ac:dyDescent="0.2">
      <c r="A124" t="str">
        <f t="shared" si="1"/>
        <v>metab_compid_17945</v>
      </c>
      <c r="B124" t="s">
        <v>11557</v>
      </c>
      <c r="C124">
        <v>1526</v>
      </c>
      <c r="D124" t="s">
        <v>4872</v>
      </c>
      <c r="E124" t="s">
        <v>3459</v>
      </c>
      <c r="F124" t="s">
        <v>4869</v>
      </c>
      <c r="G124">
        <v>17945</v>
      </c>
      <c r="H124" t="s">
        <v>11327</v>
      </c>
      <c r="I124">
        <v>1239</v>
      </c>
      <c r="J124">
        <v>5695</v>
      </c>
      <c r="K124">
        <v>299.25916999999998</v>
      </c>
      <c r="L124" t="s">
        <v>4873</v>
      </c>
      <c r="M124">
        <v>69417</v>
      </c>
      <c r="N124" t="s">
        <v>11558</v>
      </c>
      <c r="O124" t="s">
        <v>11145</v>
      </c>
      <c r="P124" t="s">
        <v>11557</v>
      </c>
    </row>
    <row r="125" spans="1:16" x14ac:dyDescent="0.2">
      <c r="A125" t="str">
        <f t="shared" si="1"/>
        <v>metab_compid_32506</v>
      </c>
      <c r="B125" t="s">
        <v>11559</v>
      </c>
      <c r="C125">
        <v>2317</v>
      </c>
      <c r="D125" t="s">
        <v>5681</v>
      </c>
      <c r="E125" t="s">
        <v>3459</v>
      </c>
      <c r="F125" t="s">
        <v>5418</v>
      </c>
      <c r="G125">
        <v>32506</v>
      </c>
      <c r="H125" t="s">
        <v>11327</v>
      </c>
      <c r="I125">
        <v>100000987</v>
      </c>
      <c r="J125">
        <v>6250</v>
      </c>
      <c r="K125">
        <v>279.23293000000001</v>
      </c>
      <c r="L125" t="s">
        <v>5682</v>
      </c>
      <c r="M125">
        <v>5365676</v>
      </c>
      <c r="N125" t="s">
        <v>11145</v>
      </c>
      <c r="O125" t="s">
        <v>11560</v>
      </c>
      <c r="P125" t="s">
        <v>11559</v>
      </c>
    </row>
    <row r="126" spans="1:16" x14ac:dyDescent="0.2">
      <c r="A126" t="str">
        <f t="shared" si="1"/>
        <v>metab_compid_45095</v>
      </c>
      <c r="B126" t="s">
        <v>11561</v>
      </c>
      <c r="C126">
        <v>299</v>
      </c>
      <c r="D126" t="s">
        <v>6545</v>
      </c>
      <c r="E126" t="s">
        <v>3436</v>
      </c>
      <c r="F126" t="s">
        <v>3498</v>
      </c>
      <c r="G126">
        <v>45095</v>
      </c>
      <c r="H126" t="s">
        <v>11320</v>
      </c>
      <c r="I126">
        <v>100001509</v>
      </c>
      <c r="J126">
        <v>3050</v>
      </c>
      <c r="K126">
        <v>246.16999000000001</v>
      </c>
      <c r="L126" t="s">
        <v>6546</v>
      </c>
      <c r="M126">
        <v>6426901</v>
      </c>
      <c r="N126" t="s">
        <v>11145</v>
      </c>
      <c r="O126" t="s">
        <v>11562</v>
      </c>
      <c r="P126" t="s">
        <v>11561</v>
      </c>
    </row>
    <row r="127" spans="1:16" x14ac:dyDescent="0.2">
      <c r="A127" t="str">
        <f t="shared" si="1"/>
        <v>metab_compid_52282</v>
      </c>
      <c r="B127" t="s">
        <v>11563</v>
      </c>
      <c r="C127">
        <v>1143</v>
      </c>
      <c r="D127" t="s">
        <v>8833</v>
      </c>
      <c r="E127" t="s">
        <v>3479</v>
      </c>
      <c r="F127" t="s">
        <v>3480</v>
      </c>
      <c r="G127">
        <v>52282</v>
      </c>
      <c r="H127" t="s">
        <v>11327</v>
      </c>
      <c r="I127">
        <v>100008929</v>
      </c>
      <c r="J127">
        <v>575</v>
      </c>
      <c r="K127">
        <v>205.03538</v>
      </c>
      <c r="L127" t="s">
        <v>11145</v>
      </c>
      <c r="M127" t="s">
        <v>11145</v>
      </c>
      <c r="N127" t="s">
        <v>11145</v>
      </c>
      <c r="O127" t="s">
        <v>11145</v>
      </c>
      <c r="P127" t="s">
        <v>11563</v>
      </c>
    </row>
    <row r="128" spans="1:16" x14ac:dyDescent="0.2">
      <c r="A128" t="str">
        <f t="shared" si="1"/>
        <v>metab_compid_55072</v>
      </c>
      <c r="B128" t="s">
        <v>11564</v>
      </c>
      <c r="C128">
        <v>372</v>
      </c>
      <c r="D128" t="s">
        <v>7655</v>
      </c>
      <c r="E128" t="s">
        <v>3436</v>
      </c>
      <c r="F128" t="s">
        <v>3661</v>
      </c>
      <c r="G128">
        <v>55072</v>
      </c>
      <c r="H128" t="s">
        <v>11320</v>
      </c>
      <c r="I128">
        <v>100002784</v>
      </c>
      <c r="J128">
        <v>1760</v>
      </c>
      <c r="K128">
        <v>174.08732000000001</v>
      </c>
      <c r="L128">
        <v>663193</v>
      </c>
      <c r="M128">
        <v>558</v>
      </c>
      <c r="N128" t="s">
        <v>7659</v>
      </c>
      <c r="O128" t="s">
        <v>11565</v>
      </c>
      <c r="P128" t="s">
        <v>11564</v>
      </c>
    </row>
    <row r="129" spans="1:16" x14ac:dyDescent="0.2">
      <c r="A129" t="str">
        <f t="shared" si="1"/>
        <v>metab_compid_47118</v>
      </c>
      <c r="B129" t="s">
        <v>11566</v>
      </c>
      <c r="C129">
        <v>2056</v>
      </c>
      <c r="D129" t="s">
        <v>6609</v>
      </c>
      <c r="E129" t="s">
        <v>3459</v>
      </c>
      <c r="F129" t="s">
        <v>5441</v>
      </c>
      <c r="G129">
        <v>47118</v>
      </c>
      <c r="H129" t="s">
        <v>11327</v>
      </c>
      <c r="I129">
        <v>100001561</v>
      </c>
      <c r="J129">
        <v>5720</v>
      </c>
      <c r="K129">
        <v>568.32560000000001</v>
      </c>
      <c r="L129" t="s">
        <v>11145</v>
      </c>
      <c r="M129" t="s">
        <v>11145</v>
      </c>
      <c r="N129" t="s">
        <v>11145</v>
      </c>
      <c r="O129" t="s">
        <v>6611</v>
      </c>
      <c r="P129" t="s">
        <v>11566</v>
      </c>
    </row>
    <row r="130" spans="1:16" x14ac:dyDescent="0.2">
      <c r="A130" t="str">
        <f t="shared" si="1"/>
        <v>metab_compid_35253</v>
      </c>
      <c r="B130" t="s">
        <v>11567</v>
      </c>
      <c r="C130">
        <v>2054</v>
      </c>
      <c r="D130" t="s">
        <v>6615</v>
      </c>
      <c r="E130" t="s">
        <v>3459</v>
      </c>
      <c r="F130" t="s">
        <v>5441</v>
      </c>
      <c r="G130">
        <v>35253</v>
      </c>
      <c r="H130" t="s">
        <v>11327</v>
      </c>
      <c r="I130">
        <v>100001562</v>
      </c>
      <c r="J130">
        <v>6215</v>
      </c>
      <c r="K130">
        <v>570.34124999999995</v>
      </c>
      <c r="L130" t="s">
        <v>11145</v>
      </c>
      <c r="M130">
        <v>15061532</v>
      </c>
      <c r="N130" t="s">
        <v>11145</v>
      </c>
      <c r="O130" t="s">
        <v>11568</v>
      </c>
      <c r="P130" t="s">
        <v>11567</v>
      </c>
    </row>
    <row r="131" spans="1:16" x14ac:dyDescent="0.2">
      <c r="A131" t="str">
        <f t="shared" ref="A131:A194" si="2">_xlfn.CONCAT("metab_compid_", $G131)</f>
        <v>metab_compid_31675</v>
      </c>
      <c r="B131" t="s">
        <v>11569</v>
      </c>
      <c r="C131">
        <v>57</v>
      </c>
      <c r="D131" t="s">
        <v>5793</v>
      </c>
      <c r="E131" t="s">
        <v>3436</v>
      </c>
      <c r="F131" t="s">
        <v>4215</v>
      </c>
      <c r="G131">
        <v>31675</v>
      </c>
      <c r="H131" t="s">
        <v>11320</v>
      </c>
      <c r="I131">
        <v>100001081</v>
      </c>
      <c r="J131">
        <v>1262</v>
      </c>
      <c r="K131">
        <v>86.060040000000001</v>
      </c>
      <c r="L131" t="s">
        <v>5794</v>
      </c>
      <c r="M131">
        <v>12025</v>
      </c>
      <c r="N131" t="s">
        <v>11145</v>
      </c>
      <c r="O131" t="s">
        <v>11570</v>
      </c>
      <c r="P131" t="s">
        <v>11569</v>
      </c>
    </row>
    <row r="132" spans="1:16" x14ac:dyDescent="0.2">
      <c r="A132" t="str">
        <f t="shared" si="2"/>
        <v>metab_compid_41220</v>
      </c>
      <c r="B132" t="s">
        <v>11571</v>
      </c>
      <c r="C132">
        <v>2109</v>
      </c>
      <c r="D132" t="s">
        <v>7994</v>
      </c>
      <c r="E132" t="s">
        <v>3459</v>
      </c>
      <c r="F132" t="s">
        <v>5441</v>
      </c>
      <c r="G132">
        <v>41220</v>
      </c>
      <c r="H132" t="s">
        <v>11327</v>
      </c>
      <c r="I132">
        <v>100003901</v>
      </c>
      <c r="J132">
        <v>6350</v>
      </c>
      <c r="K132">
        <v>480.30955999999998</v>
      </c>
      <c r="L132" t="s">
        <v>11145</v>
      </c>
      <c r="M132" t="s">
        <v>11145</v>
      </c>
      <c r="N132" t="s">
        <v>11145</v>
      </c>
      <c r="O132" t="s">
        <v>11572</v>
      </c>
      <c r="P132" t="s">
        <v>11571</v>
      </c>
    </row>
    <row r="133" spans="1:16" x14ac:dyDescent="0.2">
      <c r="A133" t="str">
        <f t="shared" si="2"/>
        <v>metab_compid_46115</v>
      </c>
      <c r="B133" t="s">
        <v>11573</v>
      </c>
      <c r="C133">
        <v>2616</v>
      </c>
      <c r="D133" t="s">
        <v>7160</v>
      </c>
      <c r="E133" t="s">
        <v>3459</v>
      </c>
      <c r="F133" t="s">
        <v>7151</v>
      </c>
      <c r="G133">
        <v>46115</v>
      </c>
      <c r="H133" t="s">
        <v>11327</v>
      </c>
      <c r="I133">
        <v>100001999</v>
      </c>
      <c r="J133">
        <v>3935</v>
      </c>
      <c r="K133">
        <v>245.06711000000001</v>
      </c>
      <c r="L133" t="s">
        <v>7161</v>
      </c>
      <c r="M133">
        <v>134595</v>
      </c>
      <c r="N133" t="s">
        <v>11145</v>
      </c>
      <c r="O133" t="s">
        <v>11145</v>
      </c>
      <c r="P133" t="s">
        <v>11573</v>
      </c>
    </row>
    <row r="134" spans="1:16" x14ac:dyDescent="0.2">
      <c r="A134" t="str">
        <f t="shared" si="2"/>
        <v>metab_compid_32197</v>
      </c>
      <c r="B134" t="s">
        <v>11574</v>
      </c>
      <c r="C134">
        <v>145</v>
      </c>
      <c r="D134" t="s">
        <v>3690</v>
      </c>
      <c r="E134" t="s">
        <v>3436</v>
      </c>
      <c r="F134" t="s">
        <v>3687</v>
      </c>
      <c r="G134">
        <v>32197</v>
      </c>
      <c r="H134" t="s">
        <v>11327</v>
      </c>
      <c r="I134">
        <v>240</v>
      </c>
      <c r="J134">
        <v>1379</v>
      </c>
      <c r="K134">
        <v>181.05063000000001</v>
      </c>
      <c r="L134" t="s">
        <v>3692</v>
      </c>
      <c r="M134">
        <v>9378</v>
      </c>
      <c r="N134" t="s">
        <v>3695</v>
      </c>
      <c r="O134" t="s">
        <v>11575</v>
      </c>
      <c r="P134" t="s">
        <v>11574</v>
      </c>
    </row>
    <row r="135" spans="1:16" x14ac:dyDescent="0.2">
      <c r="A135" t="str">
        <f t="shared" si="2"/>
        <v>metab_compid_1566</v>
      </c>
      <c r="B135" t="s">
        <v>11576</v>
      </c>
      <c r="C135">
        <v>3531</v>
      </c>
      <c r="D135" t="s">
        <v>4714</v>
      </c>
      <c r="E135" t="s">
        <v>3533</v>
      </c>
      <c r="F135" t="s">
        <v>3534</v>
      </c>
      <c r="G135">
        <v>1566</v>
      </c>
      <c r="H135" t="s">
        <v>11320</v>
      </c>
      <c r="I135">
        <v>1114</v>
      </c>
      <c r="J135">
        <v>2190</v>
      </c>
      <c r="K135">
        <v>104.07061</v>
      </c>
      <c r="L135" t="s">
        <v>11577</v>
      </c>
      <c r="M135">
        <v>64956</v>
      </c>
      <c r="N135" t="s">
        <v>4718</v>
      </c>
      <c r="O135" t="s">
        <v>11578</v>
      </c>
      <c r="P135" t="s">
        <v>11576</v>
      </c>
    </row>
    <row r="136" spans="1:16" x14ac:dyDescent="0.2">
      <c r="A136" t="str">
        <f t="shared" si="2"/>
        <v>metab_compid_61871</v>
      </c>
      <c r="B136" t="s">
        <v>11579</v>
      </c>
      <c r="C136">
        <v>1344</v>
      </c>
      <c r="D136" t="s">
        <v>9629</v>
      </c>
      <c r="E136" t="s">
        <v>3459</v>
      </c>
      <c r="F136" t="s">
        <v>3873</v>
      </c>
      <c r="G136">
        <v>61871</v>
      </c>
      <c r="H136" t="s">
        <v>11327</v>
      </c>
      <c r="I136">
        <v>100020004</v>
      </c>
      <c r="J136">
        <v>4000</v>
      </c>
      <c r="K136">
        <v>267.12378999999999</v>
      </c>
      <c r="L136" t="s">
        <v>11145</v>
      </c>
      <c r="M136">
        <v>194501</v>
      </c>
      <c r="N136" t="s">
        <v>11145</v>
      </c>
      <c r="O136" t="s">
        <v>11145</v>
      </c>
      <c r="P136" t="s">
        <v>11579</v>
      </c>
    </row>
    <row r="137" spans="1:16" x14ac:dyDescent="0.2">
      <c r="A137" t="str">
        <f t="shared" si="2"/>
        <v>metab_compid_31787</v>
      </c>
      <c r="B137" t="s">
        <v>11580</v>
      </c>
      <c r="C137">
        <v>1342</v>
      </c>
      <c r="D137" t="s">
        <v>5921</v>
      </c>
      <c r="E137" t="s">
        <v>3459</v>
      </c>
      <c r="F137" t="s">
        <v>3873</v>
      </c>
      <c r="G137">
        <v>31787</v>
      </c>
      <c r="H137" t="s">
        <v>11327</v>
      </c>
      <c r="I137">
        <v>100001178</v>
      </c>
      <c r="J137">
        <v>2800</v>
      </c>
      <c r="K137">
        <v>239.09249</v>
      </c>
      <c r="L137" t="s">
        <v>5922</v>
      </c>
      <c r="M137">
        <v>123979</v>
      </c>
      <c r="N137" t="s">
        <v>11145</v>
      </c>
      <c r="O137" t="s">
        <v>11581</v>
      </c>
      <c r="P137" t="s">
        <v>11580</v>
      </c>
    </row>
    <row r="138" spans="1:16" x14ac:dyDescent="0.2">
      <c r="A138" t="str">
        <f t="shared" si="2"/>
        <v>metab_compid_32397</v>
      </c>
      <c r="B138" t="s">
        <v>11582</v>
      </c>
      <c r="C138">
        <v>305</v>
      </c>
      <c r="D138" t="s">
        <v>5914</v>
      </c>
      <c r="E138" t="s">
        <v>3436</v>
      </c>
      <c r="F138" t="s">
        <v>3498</v>
      </c>
      <c r="G138">
        <v>32397</v>
      </c>
      <c r="H138" t="s">
        <v>11327</v>
      </c>
      <c r="I138">
        <v>100001170</v>
      </c>
      <c r="J138">
        <v>975</v>
      </c>
      <c r="K138">
        <v>117.05571</v>
      </c>
      <c r="L138" t="s">
        <v>5915</v>
      </c>
      <c r="M138">
        <v>188979</v>
      </c>
      <c r="N138" t="s">
        <v>11145</v>
      </c>
      <c r="O138" t="s">
        <v>11583</v>
      </c>
      <c r="P138" t="s">
        <v>11582</v>
      </c>
    </row>
    <row r="139" spans="1:16" x14ac:dyDescent="0.2">
      <c r="A139" t="str">
        <f t="shared" si="2"/>
        <v>metab_compid_531</v>
      </c>
      <c r="B139" t="s">
        <v>11584</v>
      </c>
      <c r="C139">
        <v>2545</v>
      </c>
      <c r="D139" t="s">
        <v>3510</v>
      </c>
      <c r="E139" t="s">
        <v>3459</v>
      </c>
      <c r="F139" t="s">
        <v>3507</v>
      </c>
      <c r="G139">
        <v>531</v>
      </c>
      <c r="H139" t="s">
        <v>11545</v>
      </c>
      <c r="I139">
        <v>112</v>
      </c>
      <c r="J139">
        <v>2850</v>
      </c>
      <c r="K139">
        <v>161.04554999999999</v>
      </c>
      <c r="L139" t="s">
        <v>3511</v>
      </c>
      <c r="M139">
        <v>1662</v>
      </c>
      <c r="N139" t="s">
        <v>3514</v>
      </c>
      <c r="O139" t="s">
        <v>11585</v>
      </c>
      <c r="P139" t="s">
        <v>11584</v>
      </c>
    </row>
    <row r="140" spans="1:16" x14ac:dyDescent="0.2">
      <c r="A140" t="str">
        <f t="shared" si="2"/>
        <v>metab_compid_62069</v>
      </c>
      <c r="B140" t="s">
        <v>11586</v>
      </c>
      <c r="C140">
        <v>1316</v>
      </c>
      <c r="D140" t="s">
        <v>11587</v>
      </c>
      <c r="E140" t="s">
        <v>3459</v>
      </c>
      <c r="F140" t="s">
        <v>3873</v>
      </c>
      <c r="G140">
        <v>62069</v>
      </c>
      <c r="H140" t="s">
        <v>11545</v>
      </c>
      <c r="I140">
        <v>100004396</v>
      </c>
      <c r="J140">
        <v>3131</v>
      </c>
      <c r="K140">
        <v>161.04553999999999</v>
      </c>
      <c r="L140" t="s">
        <v>11145</v>
      </c>
      <c r="M140">
        <v>151913</v>
      </c>
      <c r="N140" t="s">
        <v>11145</v>
      </c>
      <c r="O140" t="s">
        <v>11588</v>
      </c>
      <c r="P140" t="s">
        <v>11586</v>
      </c>
    </row>
    <row r="141" spans="1:16" x14ac:dyDescent="0.2">
      <c r="A141" t="str">
        <f t="shared" si="2"/>
        <v>metab_compid_542</v>
      </c>
      <c r="B141" t="s">
        <v>11589</v>
      </c>
      <c r="C141">
        <v>1501</v>
      </c>
      <c r="D141" t="s">
        <v>3743</v>
      </c>
      <c r="E141" t="s">
        <v>3459</v>
      </c>
      <c r="F141" t="s">
        <v>3740</v>
      </c>
      <c r="G141">
        <v>542</v>
      </c>
      <c r="H141" t="s">
        <v>11545</v>
      </c>
      <c r="I141">
        <v>254</v>
      </c>
      <c r="J141">
        <v>1444</v>
      </c>
      <c r="K141">
        <v>103.04007</v>
      </c>
      <c r="L141" t="s">
        <v>3744</v>
      </c>
      <c r="M141">
        <v>441</v>
      </c>
      <c r="N141" t="s">
        <v>11590</v>
      </c>
      <c r="O141" t="s">
        <v>11591</v>
      </c>
      <c r="P141" t="s">
        <v>11589</v>
      </c>
    </row>
    <row r="142" spans="1:16" x14ac:dyDescent="0.2">
      <c r="A142" t="str">
        <f t="shared" si="2"/>
        <v>metab_compid_62064</v>
      </c>
      <c r="B142" t="s">
        <v>11592</v>
      </c>
      <c r="C142">
        <v>1433</v>
      </c>
      <c r="D142" t="s">
        <v>9665</v>
      </c>
      <c r="E142" t="s">
        <v>3459</v>
      </c>
      <c r="F142" t="s">
        <v>11593</v>
      </c>
      <c r="G142">
        <v>62064</v>
      </c>
      <c r="H142" t="s">
        <v>11545</v>
      </c>
      <c r="I142">
        <v>100020211</v>
      </c>
      <c r="J142">
        <v>1818</v>
      </c>
      <c r="K142">
        <v>160.06152</v>
      </c>
      <c r="L142" t="s">
        <v>11145</v>
      </c>
      <c r="M142" t="s">
        <v>11145</v>
      </c>
      <c r="N142" t="s">
        <v>11145</v>
      </c>
      <c r="O142" t="s">
        <v>11145</v>
      </c>
      <c r="P142" t="s">
        <v>11592</v>
      </c>
    </row>
    <row r="143" spans="1:16" x14ac:dyDescent="0.2">
      <c r="A143" t="str">
        <f t="shared" si="2"/>
        <v>metab_compid_43264</v>
      </c>
      <c r="B143" t="s">
        <v>11594</v>
      </c>
      <c r="C143">
        <v>1438</v>
      </c>
      <c r="D143" t="s">
        <v>11595</v>
      </c>
      <c r="E143" t="s">
        <v>3459</v>
      </c>
      <c r="F143" t="s">
        <v>11596</v>
      </c>
      <c r="G143">
        <v>43264</v>
      </c>
      <c r="H143" t="s">
        <v>11320</v>
      </c>
      <c r="I143">
        <v>100003926</v>
      </c>
      <c r="J143">
        <v>2400</v>
      </c>
      <c r="K143">
        <v>248.14924999999999</v>
      </c>
      <c r="L143" t="s">
        <v>11145</v>
      </c>
      <c r="M143">
        <v>53481617</v>
      </c>
      <c r="N143" t="s">
        <v>11145</v>
      </c>
      <c r="O143" t="s">
        <v>11597</v>
      </c>
      <c r="P143" t="s">
        <v>11594</v>
      </c>
    </row>
    <row r="144" spans="1:16" x14ac:dyDescent="0.2">
      <c r="A144" t="str">
        <f t="shared" si="2"/>
        <v>metab_compid_52984</v>
      </c>
      <c r="B144" t="s">
        <v>11598</v>
      </c>
      <c r="C144">
        <v>1439</v>
      </c>
      <c r="D144" t="s">
        <v>11599</v>
      </c>
      <c r="E144" t="s">
        <v>3459</v>
      </c>
      <c r="F144" t="s">
        <v>11596</v>
      </c>
      <c r="G144">
        <v>52984</v>
      </c>
      <c r="H144" t="s">
        <v>11320</v>
      </c>
      <c r="I144">
        <v>100009271</v>
      </c>
      <c r="J144">
        <v>2340</v>
      </c>
      <c r="K144">
        <v>248.14924999999999</v>
      </c>
      <c r="L144" t="s">
        <v>11145</v>
      </c>
      <c r="M144" t="s">
        <v>11145</v>
      </c>
      <c r="N144" t="s">
        <v>11145</v>
      </c>
      <c r="O144" t="s">
        <v>11597</v>
      </c>
      <c r="P144" t="s">
        <v>11598</v>
      </c>
    </row>
    <row r="145" spans="1:16" x14ac:dyDescent="0.2">
      <c r="A145" t="str">
        <f t="shared" si="2"/>
        <v>metab_compid_22053</v>
      </c>
      <c r="B145" t="s">
        <v>11600</v>
      </c>
      <c r="C145">
        <v>1536</v>
      </c>
      <c r="D145" t="s">
        <v>5688</v>
      </c>
      <c r="E145" t="s">
        <v>3459</v>
      </c>
      <c r="F145" t="s">
        <v>4869</v>
      </c>
      <c r="G145">
        <v>22053</v>
      </c>
      <c r="H145" t="s">
        <v>11327</v>
      </c>
      <c r="I145">
        <v>100000997</v>
      </c>
      <c r="J145">
        <v>4634.7</v>
      </c>
      <c r="K145">
        <v>187.13396</v>
      </c>
      <c r="L145" t="s">
        <v>5689</v>
      </c>
      <c r="M145">
        <v>26612</v>
      </c>
      <c r="N145" t="s">
        <v>11145</v>
      </c>
      <c r="O145" t="s">
        <v>11601</v>
      </c>
      <c r="P145" t="s">
        <v>11600</v>
      </c>
    </row>
    <row r="146" spans="1:16" x14ac:dyDescent="0.2">
      <c r="A146" t="str">
        <f t="shared" si="2"/>
        <v>metab_compid_53230</v>
      </c>
      <c r="B146" t="s">
        <v>11602</v>
      </c>
      <c r="C146">
        <v>1533</v>
      </c>
      <c r="D146" t="s">
        <v>8636</v>
      </c>
      <c r="E146" t="s">
        <v>3459</v>
      </c>
      <c r="F146" t="s">
        <v>4869</v>
      </c>
      <c r="G146">
        <v>53230</v>
      </c>
      <c r="H146" t="s">
        <v>11327</v>
      </c>
      <c r="I146">
        <v>100006367</v>
      </c>
      <c r="J146">
        <v>1725</v>
      </c>
      <c r="K146">
        <v>131.07136</v>
      </c>
      <c r="L146" t="s">
        <v>8637</v>
      </c>
      <c r="M146">
        <v>151492</v>
      </c>
      <c r="N146" t="s">
        <v>11145</v>
      </c>
      <c r="O146" t="s">
        <v>11145</v>
      </c>
      <c r="P146" t="s">
        <v>11602</v>
      </c>
    </row>
    <row r="147" spans="1:16" x14ac:dyDescent="0.2">
      <c r="A147" t="str">
        <f t="shared" si="2"/>
        <v>metab_compid_1549</v>
      </c>
      <c r="B147" t="s">
        <v>11603</v>
      </c>
      <c r="C147">
        <v>323</v>
      </c>
      <c r="D147" t="s">
        <v>3501</v>
      </c>
      <c r="E147" t="s">
        <v>3436</v>
      </c>
      <c r="F147" t="s">
        <v>3498</v>
      </c>
      <c r="G147">
        <v>1549</v>
      </c>
      <c r="H147" t="s">
        <v>11545</v>
      </c>
      <c r="I147">
        <v>111</v>
      </c>
      <c r="J147">
        <v>1619</v>
      </c>
      <c r="K147">
        <v>103.04007</v>
      </c>
      <c r="L147" t="s">
        <v>3502</v>
      </c>
      <c r="M147">
        <v>87</v>
      </c>
      <c r="N147" t="s">
        <v>11604</v>
      </c>
      <c r="O147" t="s">
        <v>11605</v>
      </c>
      <c r="P147" t="s">
        <v>11603</v>
      </c>
    </row>
    <row r="148" spans="1:16" x14ac:dyDescent="0.2">
      <c r="A148" t="str">
        <f t="shared" si="2"/>
        <v>metab_compid_32457</v>
      </c>
      <c r="B148" t="s">
        <v>11606</v>
      </c>
      <c r="C148">
        <v>1538</v>
      </c>
      <c r="D148" t="s">
        <v>5853</v>
      </c>
      <c r="E148" t="s">
        <v>3459</v>
      </c>
      <c r="F148" t="s">
        <v>4869</v>
      </c>
      <c r="G148">
        <v>32457</v>
      </c>
      <c r="H148" t="s">
        <v>11327</v>
      </c>
      <c r="I148">
        <v>100001112</v>
      </c>
      <c r="J148">
        <v>5175</v>
      </c>
      <c r="K148">
        <v>215.16525999999999</v>
      </c>
      <c r="L148" t="s">
        <v>5854</v>
      </c>
      <c r="M148">
        <v>94216</v>
      </c>
      <c r="N148" t="s">
        <v>11145</v>
      </c>
      <c r="O148" t="s">
        <v>11607</v>
      </c>
      <c r="P148" t="s">
        <v>11606</v>
      </c>
    </row>
    <row r="149" spans="1:16" x14ac:dyDescent="0.2">
      <c r="A149" t="str">
        <f t="shared" si="2"/>
        <v>metab_compid_22001</v>
      </c>
      <c r="B149" t="s">
        <v>11608</v>
      </c>
      <c r="C149">
        <v>1534</v>
      </c>
      <c r="D149" t="s">
        <v>5512</v>
      </c>
      <c r="E149" t="s">
        <v>3459</v>
      </c>
      <c r="F149" t="s">
        <v>4869</v>
      </c>
      <c r="G149">
        <v>22001</v>
      </c>
      <c r="H149" t="s">
        <v>11327</v>
      </c>
      <c r="I149">
        <v>100000773</v>
      </c>
      <c r="J149">
        <v>3446</v>
      </c>
      <c r="K149">
        <v>159.10265999999999</v>
      </c>
      <c r="L149" t="s">
        <v>5513</v>
      </c>
      <c r="M149">
        <v>26613</v>
      </c>
      <c r="N149" t="s">
        <v>11145</v>
      </c>
      <c r="O149" t="s">
        <v>11609</v>
      </c>
      <c r="P149" t="s">
        <v>11608</v>
      </c>
    </row>
    <row r="150" spans="1:16" x14ac:dyDescent="0.2">
      <c r="A150" t="str">
        <f t="shared" si="2"/>
        <v>metab_compid_61843</v>
      </c>
      <c r="B150" t="s">
        <v>11610</v>
      </c>
      <c r="C150">
        <v>1542</v>
      </c>
      <c r="D150" t="s">
        <v>11611</v>
      </c>
      <c r="E150" t="s">
        <v>3459</v>
      </c>
      <c r="F150" t="s">
        <v>4869</v>
      </c>
      <c r="G150">
        <v>61843</v>
      </c>
      <c r="H150" t="s">
        <v>11327</v>
      </c>
      <c r="I150">
        <v>100019966</v>
      </c>
      <c r="J150">
        <v>5508</v>
      </c>
      <c r="K150">
        <v>297.24351000000001</v>
      </c>
      <c r="L150" t="s">
        <v>11145</v>
      </c>
      <c r="M150" t="s">
        <v>11145</v>
      </c>
      <c r="N150" t="s">
        <v>11145</v>
      </c>
      <c r="O150" t="s">
        <v>11145</v>
      </c>
      <c r="P150" t="s">
        <v>11610</v>
      </c>
    </row>
    <row r="151" spans="1:16" x14ac:dyDescent="0.2">
      <c r="A151" t="str">
        <f t="shared" si="2"/>
        <v>metab_compid_31943</v>
      </c>
      <c r="B151" t="s">
        <v>11612</v>
      </c>
      <c r="C151">
        <v>1537</v>
      </c>
      <c r="D151" t="s">
        <v>11613</v>
      </c>
      <c r="E151" t="s">
        <v>3459</v>
      </c>
      <c r="F151" t="s">
        <v>4869</v>
      </c>
      <c r="G151">
        <v>31943</v>
      </c>
      <c r="H151" t="s">
        <v>11327</v>
      </c>
      <c r="I151">
        <v>100001145</v>
      </c>
      <c r="J151">
        <v>1282</v>
      </c>
      <c r="K151">
        <v>217.10813999999999</v>
      </c>
      <c r="L151" t="s">
        <v>11614</v>
      </c>
      <c r="M151">
        <v>3017884</v>
      </c>
      <c r="N151" t="s">
        <v>11145</v>
      </c>
      <c r="O151" t="s">
        <v>11615</v>
      </c>
      <c r="P151" t="s">
        <v>11612</v>
      </c>
    </row>
    <row r="152" spans="1:16" x14ac:dyDescent="0.2">
      <c r="A152" t="str">
        <f t="shared" si="2"/>
        <v>metab_compid_27672</v>
      </c>
      <c r="B152" t="s">
        <v>11616</v>
      </c>
      <c r="C152">
        <v>251</v>
      </c>
      <c r="D152" t="s">
        <v>5376</v>
      </c>
      <c r="E152" t="s">
        <v>3436</v>
      </c>
      <c r="F152" t="s">
        <v>3470</v>
      </c>
      <c r="G152">
        <v>27672</v>
      </c>
      <c r="H152" t="s">
        <v>11327</v>
      </c>
      <c r="I152">
        <v>100000467</v>
      </c>
      <c r="J152">
        <v>2222.1999999999998</v>
      </c>
      <c r="K152">
        <v>212.00229999999999</v>
      </c>
      <c r="L152" t="s">
        <v>5377</v>
      </c>
      <c r="M152">
        <v>10258</v>
      </c>
      <c r="N152" t="s">
        <v>11145</v>
      </c>
      <c r="O152" t="s">
        <v>11617</v>
      </c>
      <c r="P152" t="s">
        <v>11616</v>
      </c>
    </row>
    <row r="153" spans="1:16" x14ac:dyDescent="0.2">
      <c r="A153" t="str">
        <f t="shared" si="2"/>
        <v>metab_compid_44618</v>
      </c>
      <c r="B153" t="s">
        <v>11618</v>
      </c>
      <c r="C153">
        <v>165</v>
      </c>
      <c r="D153" t="s">
        <v>11619</v>
      </c>
      <c r="E153" t="s">
        <v>3436</v>
      </c>
      <c r="F153" t="s">
        <v>3687</v>
      </c>
      <c r="G153">
        <v>44618</v>
      </c>
      <c r="H153" t="s">
        <v>11327</v>
      </c>
      <c r="I153">
        <v>100004634</v>
      </c>
      <c r="J153">
        <v>1722</v>
      </c>
      <c r="K153">
        <v>246.04416000000001</v>
      </c>
      <c r="L153" t="s">
        <v>11145</v>
      </c>
      <c r="M153" t="s">
        <v>11145</v>
      </c>
      <c r="N153" t="s">
        <v>11145</v>
      </c>
      <c r="O153" t="s">
        <v>11145</v>
      </c>
      <c r="P153" t="s">
        <v>11618</v>
      </c>
    </row>
    <row r="154" spans="1:16" x14ac:dyDescent="0.2">
      <c r="A154" t="str">
        <f t="shared" si="2"/>
        <v>metab_compid_12017</v>
      </c>
      <c r="B154" t="s">
        <v>11620</v>
      </c>
      <c r="C154">
        <v>163</v>
      </c>
      <c r="D154" t="s">
        <v>4928</v>
      </c>
      <c r="E154" t="s">
        <v>3436</v>
      </c>
      <c r="F154" t="s">
        <v>3687</v>
      </c>
      <c r="G154">
        <v>12017</v>
      </c>
      <c r="H154" t="s">
        <v>11320</v>
      </c>
      <c r="I154">
        <v>1342</v>
      </c>
      <c r="J154">
        <v>2555</v>
      </c>
      <c r="K154">
        <v>212.09173999999999</v>
      </c>
      <c r="L154" t="s">
        <v>4929</v>
      </c>
      <c r="M154">
        <v>1670</v>
      </c>
      <c r="N154" t="s">
        <v>11145</v>
      </c>
      <c r="O154" t="s">
        <v>11621</v>
      </c>
      <c r="P154" t="s">
        <v>11620</v>
      </c>
    </row>
    <row r="155" spans="1:16" x14ac:dyDescent="0.2">
      <c r="A155" t="str">
        <f t="shared" si="2"/>
        <v>metab_compid_44526</v>
      </c>
      <c r="B155" t="s">
        <v>11622</v>
      </c>
      <c r="C155">
        <v>318</v>
      </c>
      <c r="D155" t="s">
        <v>5650</v>
      </c>
      <c r="E155" t="s">
        <v>3436</v>
      </c>
      <c r="F155" t="s">
        <v>3498</v>
      </c>
      <c r="G155">
        <v>44526</v>
      </c>
      <c r="H155" t="s">
        <v>11327</v>
      </c>
      <c r="I155">
        <v>100000936</v>
      </c>
      <c r="J155">
        <v>1465</v>
      </c>
      <c r="K155">
        <v>115.04006</v>
      </c>
      <c r="L155" t="s">
        <v>5651</v>
      </c>
      <c r="M155">
        <v>49</v>
      </c>
      <c r="N155" t="s">
        <v>5654</v>
      </c>
      <c r="O155" t="s">
        <v>11623</v>
      </c>
      <c r="P155" t="s">
        <v>11622</v>
      </c>
    </row>
    <row r="156" spans="1:16" x14ac:dyDescent="0.2">
      <c r="A156" t="str">
        <f t="shared" si="2"/>
        <v>metab_compid_15676</v>
      </c>
      <c r="B156" t="s">
        <v>11624</v>
      </c>
      <c r="C156">
        <v>296</v>
      </c>
      <c r="D156" t="s">
        <v>5193</v>
      </c>
      <c r="E156" t="s">
        <v>3436</v>
      </c>
      <c r="F156" t="s">
        <v>3498</v>
      </c>
      <c r="G156">
        <v>15676</v>
      </c>
      <c r="H156" t="s">
        <v>11327</v>
      </c>
      <c r="I156">
        <v>100000036</v>
      </c>
      <c r="J156">
        <v>2064.1999999999998</v>
      </c>
      <c r="K156">
        <v>129.05572000000001</v>
      </c>
      <c r="L156" t="s">
        <v>11625</v>
      </c>
      <c r="M156">
        <v>47</v>
      </c>
      <c r="N156" t="s">
        <v>11626</v>
      </c>
      <c r="O156" t="s">
        <v>11627</v>
      </c>
      <c r="P156" t="s">
        <v>11624</v>
      </c>
    </row>
    <row r="157" spans="1:16" x14ac:dyDescent="0.2">
      <c r="A157" t="str">
        <f t="shared" si="2"/>
        <v>metab_compid_57747</v>
      </c>
      <c r="B157" t="s">
        <v>11628</v>
      </c>
      <c r="C157">
        <v>279</v>
      </c>
      <c r="D157" t="s">
        <v>7502</v>
      </c>
      <c r="E157" t="s">
        <v>3436</v>
      </c>
      <c r="F157" t="s">
        <v>3498</v>
      </c>
      <c r="G157">
        <v>57747</v>
      </c>
      <c r="H157" t="s">
        <v>11545</v>
      </c>
      <c r="I157">
        <v>100002458</v>
      </c>
      <c r="J157">
        <v>2700</v>
      </c>
      <c r="K157">
        <v>99.045180000000002</v>
      </c>
      <c r="L157" t="s">
        <v>7503</v>
      </c>
      <c r="M157">
        <v>1551553</v>
      </c>
      <c r="N157" t="s">
        <v>11145</v>
      </c>
      <c r="O157" t="s">
        <v>11629</v>
      </c>
      <c r="P157" t="s">
        <v>11628</v>
      </c>
    </row>
    <row r="158" spans="1:16" x14ac:dyDescent="0.2">
      <c r="A158" t="str">
        <f t="shared" si="2"/>
        <v>metab_compid_15677</v>
      </c>
      <c r="B158" t="s">
        <v>11630</v>
      </c>
      <c r="C158">
        <v>67</v>
      </c>
      <c r="D158" t="s">
        <v>5209</v>
      </c>
      <c r="E158" t="s">
        <v>3436</v>
      </c>
      <c r="F158" t="s">
        <v>3906</v>
      </c>
      <c r="G158">
        <v>15677</v>
      </c>
      <c r="H158" t="s">
        <v>11327</v>
      </c>
      <c r="I158">
        <v>100000042</v>
      </c>
      <c r="J158">
        <v>906.3</v>
      </c>
      <c r="K158">
        <v>168.07785000000001</v>
      </c>
      <c r="L158" t="s">
        <v>5210</v>
      </c>
      <c r="M158">
        <v>64969</v>
      </c>
      <c r="N158" t="s">
        <v>5213</v>
      </c>
      <c r="O158" t="s">
        <v>11631</v>
      </c>
      <c r="P158" t="s">
        <v>11630</v>
      </c>
    </row>
    <row r="159" spans="1:16" x14ac:dyDescent="0.2">
      <c r="A159" t="str">
        <f t="shared" si="2"/>
        <v>metab_compid_47089</v>
      </c>
      <c r="B159" t="s">
        <v>11632</v>
      </c>
      <c r="C159">
        <v>363</v>
      </c>
      <c r="D159" t="s">
        <v>11633</v>
      </c>
      <c r="E159" t="s">
        <v>3436</v>
      </c>
      <c r="F159" t="s">
        <v>3603</v>
      </c>
      <c r="G159">
        <v>47089</v>
      </c>
      <c r="H159" t="s">
        <v>11545</v>
      </c>
      <c r="I159">
        <v>382</v>
      </c>
      <c r="J159">
        <v>2890</v>
      </c>
      <c r="K159">
        <v>167.99722</v>
      </c>
      <c r="L159" t="s">
        <v>3964</v>
      </c>
      <c r="M159">
        <v>72886</v>
      </c>
      <c r="N159" t="s">
        <v>3967</v>
      </c>
      <c r="O159" t="s">
        <v>11634</v>
      </c>
      <c r="P159" t="s">
        <v>11632</v>
      </c>
    </row>
    <row r="160" spans="1:16" x14ac:dyDescent="0.2">
      <c r="A160" t="str">
        <f t="shared" si="2"/>
        <v>metab_compid_3155</v>
      </c>
      <c r="B160" t="s">
        <v>11635</v>
      </c>
      <c r="C160">
        <v>3495</v>
      </c>
      <c r="D160" t="s">
        <v>4602</v>
      </c>
      <c r="E160" t="s">
        <v>3533</v>
      </c>
      <c r="F160" t="s">
        <v>3705</v>
      </c>
      <c r="G160">
        <v>3155</v>
      </c>
      <c r="H160" t="s">
        <v>11545</v>
      </c>
      <c r="I160">
        <v>1053</v>
      </c>
      <c r="J160">
        <v>2230</v>
      </c>
      <c r="K160">
        <v>131.04621</v>
      </c>
      <c r="L160" t="s">
        <v>4603</v>
      </c>
      <c r="M160">
        <v>111</v>
      </c>
      <c r="N160" t="s">
        <v>4606</v>
      </c>
      <c r="O160" t="s">
        <v>11636</v>
      </c>
      <c r="P160" t="s">
        <v>11635</v>
      </c>
    </row>
    <row r="161" spans="1:16" x14ac:dyDescent="0.2">
      <c r="A161" t="str">
        <f t="shared" si="2"/>
        <v>metab_compid_36803</v>
      </c>
      <c r="B161" t="s">
        <v>11637</v>
      </c>
      <c r="C161">
        <v>2573</v>
      </c>
      <c r="D161" t="s">
        <v>6736</v>
      </c>
      <c r="E161" t="s">
        <v>3459</v>
      </c>
      <c r="F161" t="s">
        <v>3749</v>
      </c>
      <c r="G161">
        <v>36803</v>
      </c>
      <c r="H161" t="s">
        <v>11327</v>
      </c>
      <c r="I161">
        <v>100001611</v>
      </c>
      <c r="J161">
        <v>5275</v>
      </c>
      <c r="K161">
        <v>431.31668000000002</v>
      </c>
      <c r="L161" t="s">
        <v>6737</v>
      </c>
      <c r="M161">
        <v>3081084</v>
      </c>
      <c r="N161" t="s">
        <v>6740</v>
      </c>
      <c r="O161" t="s">
        <v>11145</v>
      </c>
      <c r="P161" t="s">
        <v>11637</v>
      </c>
    </row>
    <row r="162" spans="1:16" x14ac:dyDescent="0.2">
      <c r="A162" t="str">
        <f t="shared" si="2"/>
        <v>metab_compid_54805</v>
      </c>
      <c r="B162" t="s">
        <v>11638</v>
      </c>
      <c r="C162">
        <v>2574</v>
      </c>
      <c r="D162" t="s">
        <v>8649</v>
      </c>
      <c r="E162" t="s">
        <v>3459</v>
      </c>
      <c r="F162" t="s">
        <v>3749</v>
      </c>
      <c r="G162">
        <v>54805</v>
      </c>
      <c r="H162" t="s">
        <v>11327</v>
      </c>
      <c r="I162">
        <v>100006370</v>
      </c>
      <c r="J162">
        <v>5398</v>
      </c>
      <c r="K162">
        <v>415.32177000000001</v>
      </c>
      <c r="L162" t="s">
        <v>8650</v>
      </c>
      <c r="M162">
        <v>165511</v>
      </c>
      <c r="N162" t="s">
        <v>8652</v>
      </c>
      <c r="O162" t="s">
        <v>11145</v>
      </c>
      <c r="P162" t="s">
        <v>11638</v>
      </c>
    </row>
    <row r="163" spans="1:16" x14ac:dyDescent="0.2">
      <c r="A163" t="str">
        <f t="shared" si="2"/>
        <v>metab_compid_38125</v>
      </c>
      <c r="B163" t="s">
        <v>11639</v>
      </c>
      <c r="C163">
        <v>2584</v>
      </c>
      <c r="D163" t="s">
        <v>7372</v>
      </c>
      <c r="E163" t="s">
        <v>3459</v>
      </c>
      <c r="F163" t="s">
        <v>3749</v>
      </c>
      <c r="G163">
        <v>38125</v>
      </c>
      <c r="H163" t="s">
        <v>11322</v>
      </c>
      <c r="I163">
        <v>100002227</v>
      </c>
      <c r="J163">
        <v>2520</v>
      </c>
      <c r="K163">
        <v>385.34649999999999</v>
      </c>
      <c r="L163" t="s">
        <v>7373</v>
      </c>
      <c r="M163">
        <v>91477</v>
      </c>
      <c r="N163" t="s">
        <v>7376</v>
      </c>
      <c r="O163" t="s">
        <v>11640</v>
      </c>
      <c r="P163" t="s">
        <v>11639</v>
      </c>
    </row>
    <row r="164" spans="1:16" x14ac:dyDescent="0.2">
      <c r="A164" t="str">
        <f t="shared" si="2"/>
        <v>metab_compid_15681</v>
      </c>
      <c r="B164" t="s">
        <v>11641</v>
      </c>
      <c r="C164">
        <v>429</v>
      </c>
      <c r="D164" t="s">
        <v>5233</v>
      </c>
      <c r="E164" t="s">
        <v>3436</v>
      </c>
      <c r="F164" t="s">
        <v>5230</v>
      </c>
      <c r="G164">
        <v>15681</v>
      </c>
      <c r="H164" t="s">
        <v>11320</v>
      </c>
      <c r="I164">
        <v>100000096</v>
      </c>
      <c r="J164">
        <v>2320</v>
      </c>
      <c r="K164">
        <v>146.09241</v>
      </c>
      <c r="L164" t="s">
        <v>11642</v>
      </c>
      <c r="M164">
        <v>500</v>
      </c>
      <c r="N164" t="s">
        <v>5237</v>
      </c>
      <c r="O164" t="s">
        <v>11643</v>
      </c>
      <c r="P164" t="s">
        <v>11641</v>
      </c>
    </row>
    <row r="165" spans="1:16" x14ac:dyDescent="0.2">
      <c r="A165" t="str">
        <f t="shared" si="2"/>
        <v>metab_compid_1669</v>
      </c>
      <c r="B165" t="s">
        <v>11644</v>
      </c>
      <c r="C165">
        <v>142</v>
      </c>
      <c r="D165" t="s">
        <v>4792</v>
      </c>
      <c r="E165" t="s">
        <v>3436</v>
      </c>
      <c r="F165" t="s">
        <v>3687</v>
      </c>
      <c r="G165">
        <v>1669</v>
      </c>
      <c r="H165" t="s">
        <v>11327</v>
      </c>
      <c r="I165">
        <v>1141</v>
      </c>
      <c r="J165">
        <v>1690</v>
      </c>
      <c r="K165">
        <v>179.03497999999999</v>
      </c>
      <c r="L165" t="s">
        <v>4793</v>
      </c>
      <c r="M165">
        <v>979</v>
      </c>
      <c r="N165" t="s">
        <v>4796</v>
      </c>
      <c r="O165" t="s">
        <v>11645</v>
      </c>
      <c r="P165" t="s">
        <v>11644</v>
      </c>
    </row>
    <row r="166" spans="1:16" x14ac:dyDescent="0.2">
      <c r="A166" t="str">
        <f t="shared" si="2"/>
        <v>metab_compid_48457</v>
      </c>
      <c r="B166" t="s">
        <v>11646</v>
      </c>
      <c r="C166">
        <v>152</v>
      </c>
      <c r="D166" t="s">
        <v>8563</v>
      </c>
      <c r="E166" t="s">
        <v>3436</v>
      </c>
      <c r="F166" t="s">
        <v>3687</v>
      </c>
      <c r="G166">
        <v>48457</v>
      </c>
      <c r="H166" t="s">
        <v>11327</v>
      </c>
      <c r="I166">
        <v>100006262</v>
      </c>
      <c r="J166">
        <v>2412</v>
      </c>
      <c r="K166">
        <v>203.00196</v>
      </c>
      <c r="L166" t="s">
        <v>8564</v>
      </c>
      <c r="M166" t="s">
        <v>11145</v>
      </c>
      <c r="N166" t="s">
        <v>11145</v>
      </c>
      <c r="O166" t="s">
        <v>11145</v>
      </c>
      <c r="P166" t="s">
        <v>11646</v>
      </c>
    </row>
    <row r="167" spans="1:16" x14ac:dyDescent="0.2">
      <c r="A167" t="str">
        <f t="shared" si="2"/>
        <v>metab_compid_22116</v>
      </c>
      <c r="B167" t="s">
        <v>11647</v>
      </c>
      <c r="C167">
        <v>261</v>
      </c>
      <c r="D167" t="s">
        <v>5398</v>
      </c>
      <c r="E167" t="s">
        <v>3436</v>
      </c>
      <c r="F167" t="s">
        <v>3498</v>
      </c>
      <c r="G167">
        <v>22116</v>
      </c>
      <c r="H167" t="s">
        <v>11327</v>
      </c>
      <c r="I167">
        <v>100000551</v>
      </c>
      <c r="J167">
        <v>2170</v>
      </c>
      <c r="K167">
        <v>129.05571</v>
      </c>
      <c r="L167" t="s">
        <v>5399</v>
      </c>
      <c r="M167">
        <v>70</v>
      </c>
      <c r="N167" t="s">
        <v>5402</v>
      </c>
      <c r="O167" t="s">
        <v>11648</v>
      </c>
      <c r="P167" t="s">
        <v>11647</v>
      </c>
    </row>
    <row r="168" spans="1:16" x14ac:dyDescent="0.2">
      <c r="A168" t="str">
        <f t="shared" si="2"/>
        <v>metab_compid_1418</v>
      </c>
      <c r="B168" t="s">
        <v>11649</v>
      </c>
      <c r="C168">
        <v>3529</v>
      </c>
      <c r="D168" t="s">
        <v>3537</v>
      </c>
      <c r="E168" t="s">
        <v>3533</v>
      </c>
      <c r="F168" t="s">
        <v>3534</v>
      </c>
      <c r="G168">
        <v>1418</v>
      </c>
      <c r="H168" t="s">
        <v>11327</v>
      </c>
      <c r="I168">
        <v>158</v>
      </c>
      <c r="J168">
        <v>1637.8</v>
      </c>
      <c r="K168">
        <v>127.0513</v>
      </c>
      <c r="L168" t="s">
        <v>3538</v>
      </c>
      <c r="M168">
        <v>93556</v>
      </c>
      <c r="N168" t="s">
        <v>3541</v>
      </c>
      <c r="O168" t="s">
        <v>11650</v>
      </c>
      <c r="P168" t="s">
        <v>11649</v>
      </c>
    </row>
    <row r="169" spans="1:16" x14ac:dyDescent="0.2">
      <c r="A169" t="str">
        <f t="shared" si="2"/>
        <v>metab_compid_1559</v>
      </c>
      <c r="B169" t="s">
        <v>11651</v>
      </c>
      <c r="C169">
        <v>3488</v>
      </c>
      <c r="D169" t="s">
        <v>4736</v>
      </c>
      <c r="E169" t="s">
        <v>3533</v>
      </c>
      <c r="F169" t="s">
        <v>3705</v>
      </c>
      <c r="G169">
        <v>1559</v>
      </c>
      <c r="H169" t="s">
        <v>11327</v>
      </c>
      <c r="I169">
        <v>1125</v>
      </c>
      <c r="J169">
        <v>1120</v>
      </c>
      <c r="K169">
        <v>113.03565</v>
      </c>
      <c r="L169" t="s">
        <v>4737</v>
      </c>
      <c r="M169">
        <v>649</v>
      </c>
      <c r="N169" t="s">
        <v>4740</v>
      </c>
      <c r="O169" t="s">
        <v>11652</v>
      </c>
      <c r="P169" t="s">
        <v>11651</v>
      </c>
    </row>
    <row r="170" spans="1:16" x14ac:dyDescent="0.2">
      <c r="A170" t="str">
        <f t="shared" si="2"/>
        <v>metab_compid_61833</v>
      </c>
      <c r="B170" t="s">
        <v>11653</v>
      </c>
      <c r="C170">
        <v>3479</v>
      </c>
      <c r="D170" t="s">
        <v>6440</v>
      </c>
      <c r="E170" t="s">
        <v>3533</v>
      </c>
      <c r="F170" t="s">
        <v>3705</v>
      </c>
      <c r="G170">
        <v>61833</v>
      </c>
      <c r="H170" t="s">
        <v>11327</v>
      </c>
      <c r="I170">
        <v>100001425</v>
      </c>
      <c r="J170">
        <v>1119</v>
      </c>
      <c r="K170">
        <v>245.07791</v>
      </c>
      <c r="L170">
        <v>1361384</v>
      </c>
      <c r="M170">
        <v>94312</v>
      </c>
      <c r="N170" t="s">
        <v>11145</v>
      </c>
      <c r="O170" t="s">
        <v>11145</v>
      </c>
      <c r="P170" t="s">
        <v>11653</v>
      </c>
    </row>
    <row r="171" spans="1:16" x14ac:dyDescent="0.2">
      <c r="A171" t="str">
        <f t="shared" si="2"/>
        <v>metab_compid_43582</v>
      </c>
      <c r="B171" t="s">
        <v>11654</v>
      </c>
      <c r="C171">
        <v>100</v>
      </c>
      <c r="D171" t="s">
        <v>11655</v>
      </c>
      <c r="E171" t="s">
        <v>3436</v>
      </c>
      <c r="F171" t="s">
        <v>3586</v>
      </c>
      <c r="G171">
        <v>43582</v>
      </c>
      <c r="H171" t="s">
        <v>11320</v>
      </c>
      <c r="I171">
        <v>100002462</v>
      </c>
      <c r="J171">
        <v>2755</v>
      </c>
      <c r="K171">
        <v>325.16055</v>
      </c>
      <c r="L171" t="s">
        <v>7510</v>
      </c>
      <c r="M171" t="s">
        <v>11145</v>
      </c>
      <c r="N171" t="s">
        <v>11145</v>
      </c>
      <c r="O171" t="s">
        <v>11145</v>
      </c>
      <c r="P171" t="s">
        <v>11654</v>
      </c>
    </row>
    <row r="172" spans="1:16" x14ac:dyDescent="0.2">
      <c r="A172" t="str">
        <f t="shared" si="2"/>
        <v>metab_compid_33968</v>
      </c>
      <c r="B172" t="s">
        <v>11656</v>
      </c>
      <c r="C172">
        <v>1173</v>
      </c>
      <c r="D172" t="s">
        <v>6000</v>
      </c>
      <c r="E172" t="s">
        <v>3459</v>
      </c>
      <c r="F172" t="s">
        <v>3569</v>
      </c>
      <c r="G172">
        <v>33968</v>
      </c>
      <c r="H172" t="s">
        <v>11327</v>
      </c>
      <c r="I172">
        <v>100001232</v>
      </c>
      <c r="J172">
        <v>5224</v>
      </c>
      <c r="K172">
        <v>197.15469999999999</v>
      </c>
      <c r="L172" t="s">
        <v>6001</v>
      </c>
      <c r="M172">
        <v>5312378</v>
      </c>
      <c r="N172" t="s">
        <v>11145</v>
      </c>
      <c r="O172" t="s">
        <v>11657</v>
      </c>
      <c r="P172" t="s">
        <v>11656</v>
      </c>
    </row>
    <row r="173" spans="1:16" x14ac:dyDescent="0.2">
      <c r="A173" t="str">
        <f t="shared" si="2"/>
        <v>metab_compid_61769</v>
      </c>
      <c r="B173" t="s">
        <v>11658</v>
      </c>
      <c r="C173">
        <v>1448</v>
      </c>
      <c r="D173" t="s">
        <v>9565</v>
      </c>
      <c r="E173" t="s">
        <v>3459</v>
      </c>
      <c r="F173" t="s">
        <v>11596</v>
      </c>
      <c r="G173">
        <v>61769</v>
      </c>
      <c r="H173" t="s">
        <v>11322</v>
      </c>
      <c r="I173">
        <v>100016069</v>
      </c>
      <c r="J173">
        <v>1135</v>
      </c>
      <c r="K173">
        <v>342.26389</v>
      </c>
      <c r="L173" t="s">
        <v>11145</v>
      </c>
      <c r="M173" t="s">
        <v>11145</v>
      </c>
      <c r="N173" t="s">
        <v>11145</v>
      </c>
      <c r="O173" t="s">
        <v>11145</v>
      </c>
      <c r="P173" t="s">
        <v>11658</v>
      </c>
    </row>
    <row r="174" spans="1:16" x14ac:dyDescent="0.2">
      <c r="A174" t="str">
        <f t="shared" si="2"/>
        <v>metab_compid_31938</v>
      </c>
      <c r="B174" t="s">
        <v>11659</v>
      </c>
      <c r="C174">
        <v>1546</v>
      </c>
      <c r="D174" t="s">
        <v>11660</v>
      </c>
      <c r="E174" t="s">
        <v>3459</v>
      </c>
      <c r="F174" t="s">
        <v>4869</v>
      </c>
      <c r="G174">
        <v>31938</v>
      </c>
      <c r="H174" t="s">
        <v>11327</v>
      </c>
      <c r="I174">
        <v>100001148</v>
      </c>
      <c r="J174">
        <v>1267</v>
      </c>
      <c r="K174">
        <v>131.07136</v>
      </c>
      <c r="L174" t="s">
        <v>11661</v>
      </c>
      <c r="M174">
        <v>170748</v>
      </c>
      <c r="N174" t="s">
        <v>11145</v>
      </c>
      <c r="O174" t="s">
        <v>11662</v>
      </c>
      <c r="P174" t="s">
        <v>11659</v>
      </c>
    </row>
    <row r="175" spans="1:16" x14ac:dyDescent="0.2">
      <c r="A175" t="str">
        <f t="shared" si="2"/>
        <v>metab_compid_437</v>
      </c>
      <c r="B175" t="s">
        <v>11663</v>
      </c>
      <c r="C175">
        <v>234</v>
      </c>
      <c r="D175" t="s">
        <v>3473</v>
      </c>
      <c r="E175" t="s">
        <v>3436</v>
      </c>
      <c r="F175" t="s">
        <v>3470</v>
      </c>
      <c r="G175">
        <v>437</v>
      </c>
      <c r="H175" t="s">
        <v>11320</v>
      </c>
      <c r="I175">
        <v>71</v>
      </c>
      <c r="J175">
        <v>1893</v>
      </c>
      <c r="K175">
        <v>192.06551999999999</v>
      </c>
      <c r="L175" t="s">
        <v>3474</v>
      </c>
      <c r="M175">
        <v>1826</v>
      </c>
      <c r="N175" t="s">
        <v>3477</v>
      </c>
      <c r="O175" t="s">
        <v>11664</v>
      </c>
      <c r="P175" t="s">
        <v>11663</v>
      </c>
    </row>
    <row r="176" spans="1:16" x14ac:dyDescent="0.2">
      <c r="A176" t="str">
        <f t="shared" si="2"/>
        <v>metab_compid_1419</v>
      </c>
      <c r="B176" t="s">
        <v>11665</v>
      </c>
      <c r="C176">
        <v>419</v>
      </c>
      <c r="D176" t="s">
        <v>3632</v>
      </c>
      <c r="E176" t="s">
        <v>3436</v>
      </c>
      <c r="F176" t="s">
        <v>3437</v>
      </c>
      <c r="G176">
        <v>1419</v>
      </c>
      <c r="H176" t="s">
        <v>11320</v>
      </c>
      <c r="I176">
        <v>212</v>
      </c>
      <c r="J176">
        <v>2752</v>
      </c>
      <c r="K176">
        <v>298.09683999999999</v>
      </c>
      <c r="L176" t="s">
        <v>3633</v>
      </c>
      <c r="M176">
        <v>439176</v>
      </c>
      <c r="N176" t="s">
        <v>3636</v>
      </c>
      <c r="O176" t="s">
        <v>11666</v>
      </c>
      <c r="P176" t="s">
        <v>11665</v>
      </c>
    </row>
    <row r="177" spans="1:16" x14ac:dyDescent="0.2">
      <c r="A177" t="str">
        <f t="shared" si="2"/>
        <v>metab_compid_62100</v>
      </c>
      <c r="B177" t="s">
        <v>11667</v>
      </c>
      <c r="C177">
        <v>336</v>
      </c>
      <c r="D177" t="s">
        <v>7257</v>
      </c>
      <c r="E177" t="s">
        <v>3436</v>
      </c>
      <c r="F177" t="s">
        <v>3603</v>
      </c>
      <c r="G177">
        <v>62100</v>
      </c>
      <c r="H177" t="s">
        <v>11320</v>
      </c>
      <c r="I177">
        <v>100002103</v>
      </c>
      <c r="J177">
        <v>790</v>
      </c>
      <c r="K177">
        <v>181.05291</v>
      </c>
      <c r="L177" t="s">
        <v>7258</v>
      </c>
      <c r="M177">
        <v>494</v>
      </c>
      <c r="N177" t="s">
        <v>11145</v>
      </c>
      <c r="O177" t="s">
        <v>11668</v>
      </c>
      <c r="P177" t="s">
        <v>11667</v>
      </c>
    </row>
    <row r="178" spans="1:16" x14ac:dyDescent="0.2">
      <c r="A178" t="str">
        <f t="shared" si="2"/>
        <v>metab_compid_35136</v>
      </c>
      <c r="B178" t="s">
        <v>11669</v>
      </c>
      <c r="C178">
        <v>3481</v>
      </c>
      <c r="D178" t="s">
        <v>6484</v>
      </c>
      <c r="E178" t="s">
        <v>3533</v>
      </c>
      <c r="F178" t="s">
        <v>3705</v>
      </c>
      <c r="G178">
        <v>35136</v>
      </c>
      <c r="H178" t="s">
        <v>11327</v>
      </c>
      <c r="I178">
        <v>100001446</v>
      </c>
      <c r="J178">
        <v>1778.1</v>
      </c>
      <c r="K178">
        <v>257.07790999999997</v>
      </c>
      <c r="L178" t="s">
        <v>6485</v>
      </c>
      <c r="M178">
        <v>445408</v>
      </c>
      <c r="N178" t="s">
        <v>11145</v>
      </c>
      <c r="O178" t="s">
        <v>11670</v>
      </c>
      <c r="P178" t="s">
        <v>11669</v>
      </c>
    </row>
    <row r="179" spans="1:16" x14ac:dyDescent="0.2">
      <c r="A179" t="str">
        <f t="shared" si="2"/>
        <v>metab_compid_1494</v>
      </c>
      <c r="B179" t="s">
        <v>11671</v>
      </c>
      <c r="C179">
        <v>441</v>
      </c>
      <c r="D179" t="s">
        <v>4546</v>
      </c>
      <c r="E179" t="s">
        <v>3436</v>
      </c>
      <c r="F179" t="s">
        <v>3793</v>
      </c>
      <c r="G179">
        <v>1494</v>
      </c>
      <c r="H179" t="s">
        <v>11327</v>
      </c>
      <c r="I179">
        <v>1021</v>
      </c>
      <c r="J179">
        <v>738.5</v>
      </c>
      <c r="K179">
        <v>128.03531000000001</v>
      </c>
      <c r="L179" t="s">
        <v>4547</v>
      </c>
      <c r="M179">
        <v>7405</v>
      </c>
      <c r="N179" t="s">
        <v>11672</v>
      </c>
      <c r="O179" t="s">
        <v>11673</v>
      </c>
      <c r="P179" t="s">
        <v>11671</v>
      </c>
    </row>
    <row r="180" spans="1:16" x14ac:dyDescent="0.2">
      <c r="A180" t="str">
        <f t="shared" si="2"/>
        <v>metab_compid_37184</v>
      </c>
      <c r="B180" t="s">
        <v>11674</v>
      </c>
      <c r="C180">
        <v>2717</v>
      </c>
      <c r="D180" t="s">
        <v>7183</v>
      </c>
      <c r="E180" t="s">
        <v>3459</v>
      </c>
      <c r="F180" t="s">
        <v>5559</v>
      </c>
      <c r="G180">
        <v>37184</v>
      </c>
      <c r="H180" t="s">
        <v>11327</v>
      </c>
      <c r="I180">
        <v>100002017</v>
      </c>
      <c r="J180">
        <v>4275</v>
      </c>
      <c r="K180">
        <v>225.06965</v>
      </c>
      <c r="L180" t="s">
        <v>11145</v>
      </c>
      <c r="M180" t="s">
        <v>11145</v>
      </c>
      <c r="N180" t="s">
        <v>11145</v>
      </c>
      <c r="O180" t="s">
        <v>11145</v>
      </c>
      <c r="P180" t="s">
        <v>11674</v>
      </c>
    </row>
    <row r="181" spans="1:16" x14ac:dyDescent="0.2">
      <c r="A181" t="str">
        <f t="shared" si="2"/>
        <v>metab_compid_37186</v>
      </c>
      <c r="B181" t="s">
        <v>11675</v>
      </c>
      <c r="C181">
        <v>2715</v>
      </c>
      <c r="D181" t="s">
        <v>7188</v>
      </c>
      <c r="E181" t="s">
        <v>3459</v>
      </c>
      <c r="F181" t="s">
        <v>5559</v>
      </c>
      <c r="G181">
        <v>37186</v>
      </c>
      <c r="H181" t="s">
        <v>11327</v>
      </c>
      <c r="I181">
        <v>100002018</v>
      </c>
      <c r="J181">
        <v>4925</v>
      </c>
      <c r="K181">
        <v>371.18975999999998</v>
      </c>
      <c r="L181" t="s">
        <v>11145</v>
      </c>
      <c r="M181" t="s">
        <v>11145</v>
      </c>
      <c r="N181" t="s">
        <v>11145</v>
      </c>
      <c r="O181" t="s">
        <v>11145</v>
      </c>
      <c r="P181" t="s">
        <v>11675</v>
      </c>
    </row>
    <row r="182" spans="1:16" x14ac:dyDescent="0.2">
      <c r="A182" t="str">
        <f t="shared" si="2"/>
        <v>metab_compid_37187</v>
      </c>
      <c r="B182" t="s">
        <v>11676</v>
      </c>
      <c r="C182">
        <v>2726</v>
      </c>
      <c r="D182" t="s">
        <v>7192</v>
      </c>
      <c r="E182" t="s">
        <v>3459</v>
      </c>
      <c r="F182" t="s">
        <v>5559</v>
      </c>
      <c r="G182">
        <v>37187</v>
      </c>
      <c r="H182" t="s">
        <v>11327</v>
      </c>
      <c r="I182">
        <v>100002021</v>
      </c>
      <c r="J182">
        <v>4215</v>
      </c>
      <c r="K182">
        <v>225.06965</v>
      </c>
      <c r="L182" t="s">
        <v>11145</v>
      </c>
      <c r="M182" t="s">
        <v>11145</v>
      </c>
      <c r="N182" t="s">
        <v>11145</v>
      </c>
      <c r="O182" t="s">
        <v>11145</v>
      </c>
      <c r="P182" t="s">
        <v>11676</v>
      </c>
    </row>
    <row r="183" spans="1:16" x14ac:dyDescent="0.2">
      <c r="A183" t="str">
        <f t="shared" si="2"/>
        <v>metab_compid_37190</v>
      </c>
      <c r="B183" t="s">
        <v>11677</v>
      </c>
      <c r="C183">
        <v>2723</v>
      </c>
      <c r="D183" t="s">
        <v>7128</v>
      </c>
      <c r="E183" t="s">
        <v>3459</v>
      </c>
      <c r="F183" t="s">
        <v>5559</v>
      </c>
      <c r="G183">
        <v>37190</v>
      </c>
      <c r="H183" t="s">
        <v>11327</v>
      </c>
      <c r="I183">
        <v>100001987</v>
      </c>
      <c r="J183">
        <v>3880</v>
      </c>
      <c r="K183">
        <v>225.06965</v>
      </c>
      <c r="L183" t="s">
        <v>7129</v>
      </c>
      <c r="M183">
        <v>242332</v>
      </c>
      <c r="N183" t="s">
        <v>7131</v>
      </c>
      <c r="O183" t="s">
        <v>7130</v>
      </c>
      <c r="P183" t="s">
        <v>11677</v>
      </c>
    </row>
    <row r="184" spans="1:16" x14ac:dyDescent="0.2">
      <c r="A184" t="str">
        <f t="shared" si="2"/>
        <v>metab_compid_37192</v>
      </c>
      <c r="B184" t="s">
        <v>11678</v>
      </c>
      <c r="C184">
        <v>2722</v>
      </c>
      <c r="D184" t="s">
        <v>7195</v>
      </c>
      <c r="E184" t="s">
        <v>3459</v>
      </c>
      <c r="F184" t="s">
        <v>5559</v>
      </c>
      <c r="G184">
        <v>37192</v>
      </c>
      <c r="H184" t="s">
        <v>11327</v>
      </c>
      <c r="I184">
        <v>100002024</v>
      </c>
      <c r="J184">
        <v>4685</v>
      </c>
      <c r="K184">
        <v>371.18975999999998</v>
      </c>
      <c r="L184" t="s">
        <v>11145</v>
      </c>
      <c r="M184" t="s">
        <v>11145</v>
      </c>
      <c r="N184" t="s">
        <v>11145</v>
      </c>
      <c r="O184" t="s">
        <v>11145</v>
      </c>
      <c r="P184" t="s">
        <v>11678</v>
      </c>
    </row>
    <row r="185" spans="1:16" x14ac:dyDescent="0.2">
      <c r="A185" t="str">
        <f t="shared" si="2"/>
        <v>metab_compid_37198</v>
      </c>
      <c r="B185" t="s">
        <v>11679</v>
      </c>
      <c r="C185">
        <v>2641</v>
      </c>
      <c r="D185" t="s">
        <v>7136</v>
      </c>
      <c r="E185" t="s">
        <v>3459</v>
      </c>
      <c r="F185" t="s">
        <v>7133</v>
      </c>
      <c r="G185">
        <v>37198</v>
      </c>
      <c r="H185" t="s">
        <v>11327</v>
      </c>
      <c r="I185">
        <v>100001988</v>
      </c>
      <c r="J185">
        <v>3962</v>
      </c>
      <c r="K185">
        <v>239.08529999999999</v>
      </c>
      <c r="L185" t="s">
        <v>11145</v>
      </c>
      <c r="M185" t="s">
        <v>11145</v>
      </c>
      <c r="N185" t="s">
        <v>11145</v>
      </c>
      <c r="O185" t="s">
        <v>11145</v>
      </c>
      <c r="P185" t="s">
        <v>11679</v>
      </c>
    </row>
    <row r="186" spans="1:16" x14ac:dyDescent="0.2">
      <c r="A186" t="str">
        <f t="shared" si="2"/>
        <v>metab_compid_37200</v>
      </c>
      <c r="B186" t="s">
        <v>11680</v>
      </c>
      <c r="C186">
        <v>2635</v>
      </c>
      <c r="D186" t="s">
        <v>7174</v>
      </c>
      <c r="E186" t="s">
        <v>3459</v>
      </c>
      <c r="F186" t="s">
        <v>7133</v>
      </c>
      <c r="G186">
        <v>37200</v>
      </c>
      <c r="H186" t="s">
        <v>11327</v>
      </c>
      <c r="I186">
        <v>100002014</v>
      </c>
      <c r="J186">
        <v>5060</v>
      </c>
      <c r="K186">
        <v>399.22106000000002</v>
      </c>
      <c r="L186" t="s">
        <v>11145</v>
      </c>
      <c r="M186" t="s">
        <v>11145</v>
      </c>
      <c r="N186" t="s">
        <v>11145</v>
      </c>
      <c r="O186" t="s">
        <v>11145</v>
      </c>
      <c r="P186" t="s">
        <v>11680</v>
      </c>
    </row>
    <row r="187" spans="1:16" x14ac:dyDescent="0.2">
      <c r="A187" t="str">
        <f t="shared" si="2"/>
        <v>metab_compid_37196</v>
      </c>
      <c r="B187" t="s">
        <v>11681</v>
      </c>
      <c r="C187">
        <v>2632</v>
      </c>
      <c r="D187" t="s">
        <v>7170</v>
      </c>
      <c r="E187" t="s">
        <v>3459</v>
      </c>
      <c r="F187" t="s">
        <v>7133</v>
      </c>
      <c r="G187">
        <v>37196</v>
      </c>
      <c r="H187" t="s">
        <v>11327</v>
      </c>
      <c r="I187">
        <v>100002009</v>
      </c>
      <c r="J187">
        <v>5180</v>
      </c>
      <c r="K187">
        <v>399.22106000000002</v>
      </c>
      <c r="L187" t="s">
        <v>11145</v>
      </c>
      <c r="M187" t="s">
        <v>11145</v>
      </c>
      <c r="N187" t="s">
        <v>11145</v>
      </c>
      <c r="O187" t="s">
        <v>11145</v>
      </c>
      <c r="P187" t="s">
        <v>11681</v>
      </c>
    </row>
    <row r="188" spans="1:16" x14ac:dyDescent="0.2">
      <c r="A188" t="str">
        <f t="shared" si="2"/>
        <v>metab_compid_62503</v>
      </c>
      <c r="B188" t="s">
        <v>11682</v>
      </c>
      <c r="C188">
        <v>254</v>
      </c>
      <c r="D188" t="s">
        <v>9757</v>
      </c>
      <c r="E188" t="s">
        <v>3436</v>
      </c>
      <c r="F188" t="s">
        <v>3470</v>
      </c>
      <c r="G188">
        <v>62503</v>
      </c>
      <c r="H188" t="s">
        <v>11327</v>
      </c>
      <c r="I188">
        <v>100020414</v>
      </c>
      <c r="J188">
        <v>3565</v>
      </c>
      <c r="K188">
        <v>280.99311</v>
      </c>
      <c r="L188" t="s">
        <v>11145</v>
      </c>
      <c r="M188" t="s">
        <v>11145</v>
      </c>
      <c r="N188" t="s">
        <v>11145</v>
      </c>
      <c r="O188" t="s">
        <v>11145</v>
      </c>
      <c r="P188" t="s">
        <v>11682</v>
      </c>
    </row>
    <row r="189" spans="1:16" x14ac:dyDescent="0.2">
      <c r="A189" t="str">
        <f t="shared" si="2"/>
        <v>metab_compid_43231</v>
      </c>
      <c r="B189" t="s">
        <v>11683</v>
      </c>
      <c r="C189">
        <v>111</v>
      </c>
      <c r="D189" t="s">
        <v>8209</v>
      </c>
      <c r="E189" t="s">
        <v>3436</v>
      </c>
      <c r="F189" t="s">
        <v>3586</v>
      </c>
      <c r="G189">
        <v>43231</v>
      </c>
      <c r="H189" t="s">
        <v>11327</v>
      </c>
      <c r="I189">
        <v>100004499</v>
      </c>
      <c r="J189">
        <v>965</v>
      </c>
      <c r="K189">
        <v>142.05096</v>
      </c>
      <c r="L189" t="s">
        <v>8210</v>
      </c>
      <c r="M189">
        <v>3014237</v>
      </c>
      <c r="N189" t="s">
        <v>11145</v>
      </c>
      <c r="O189" t="s">
        <v>11684</v>
      </c>
      <c r="P189" t="s">
        <v>11683</v>
      </c>
    </row>
    <row r="190" spans="1:16" x14ac:dyDescent="0.2">
      <c r="A190" t="str">
        <f t="shared" si="2"/>
        <v>metab_compid_36776</v>
      </c>
      <c r="B190" t="s">
        <v>11685</v>
      </c>
      <c r="C190">
        <v>2571</v>
      </c>
      <c r="D190" t="s">
        <v>11686</v>
      </c>
      <c r="E190" t="s">
        <v>3459</v>
      </c>
      <c r="F190" t="s">
        <v>3749</v>
      </c>
      <c r="G190">
        <v>36776</v>
      </c>
      <c r="H190" t="s">
        <v>11327</v>
      </c>
      <c r="I190">
        <v>100001609</v>
      </c>
      <c r="J190">
        <v>5288.1</v>
      </c>
      <c r="K190">
        <v>429.30103000000003</v>
      </c>
      <c r="L190" t="s">
        <v>6729</v>
      </c>
      <c r="M190">
        <v>3081085</v>
      </c>
      <c r="N190" t="s">
        <v>6732</v>
      </c>
      <c r="O190" t="s">
        <v>11687</v>
      </c>
      <c r="P190" t="s">
        <v>11685</v>
      </c>
    </row>
    <row r="191" spans="1:16" x14ac:dyDescent="0.2">
      <c r="A191" t="str">
        <f t="shared" si="2"/>
        <v>metab_compid_35114</v>
      </c>
      <c r="B191" t="s">
        <v>11688</v>
      </c>
      <c r="C191">
        <v>3445</v>
      </c>
      <c r="D191" t="s">
        <v>6498</v>
      </c>
      <c r="E191" t="s">
        <v>3533</v>
      </c>
      <c r="F191" t="s">
        <v>4656</v>
      </c>
      <c r="G191">
        <v>35114</v>
      </c>
      <c r="H191" t="s">
        <v>11327</v>
      </c>
      <c r="I191">
        <v>100001456</v>
      </c>
      <c r="J191">
        <v>1729.7</v>
      </c>
      <c r="K191">
        <v>164.05778000000001</v>
      </c>
      <c r="L191" t="s">
        <v>6499</v>
      </c>
      <c r="M191">
        <v>11361</v>
      </c>
      <c r="N191" t="s">
        <v>6502</v>
      </c>
      <c r="O191" t="s">
        <v>11689</v>
      </c>
      <c r="P191" t="s">
        <v>11688</v>
      </c>
    </row>
    <row r="192" spans="1:16" x14ac:dyDescent="0.2">
      <c r="A192" t="str">
        <f t="shared" si="2"/>
        <v>metab_compid_47120</v>
      </c>
      <c r="B192" t="s">
        <v>11690</v>
      </c>
      <c r="C192">
        <v>1573</v>
      </c>
      <c r="D192" t="s">
        <v>8356</v>
      </c>
      <c r="E192" t="s">
        <v>3459</v>
      </c>
      <c r="F192" t="s">
        <v>4869</v>
      </c>
      <c r="G192">
        <v>47120</v>
      </c>
      <c r="H192" t="s">
        <v>11327</v>
      </c>
      <c r="I192">
        <v>100005834</v>
      </c>
      <c r="J192">
        <v>5384</v>
      </c>
      <c r="K192">
        <v>299.25916999999998</v>
      </c>
      <c r="L192" t="s">
        <v>8357</v>
      </c>
      <c r="M192">
        <v>9570127</v>
      </c>
      <c r="N192" t="s">
        <v>11145</v>
      </c>
      <c r="O192" t="s">
        <v>11691</v>
      </c>
      <c r="P192" t="s">
        <v>11690</v>
      </c>
    </row>
    <row r="193" spans="1:16" x14ac:dyDescent="0.2">
      <c r="A193" t="str">
        <f t="shared" si="2"/>
        <v>metab_compid_32198</v>
      </c>
      <c r="B193" t="s">
        <v>11692</v>
      </c>
      <c r="C193">
        <v>1436</v>
      </c>
      <c r="D193" t="s">
        <v>5571</v>
      </c>
      <c r="E193" t="s">
        <v>3459</v>
      </c>
      <c r="F193" t="s">
        <v>11596</v>
      </c>
      <c r="G193">
        <v>32198</v>
      </c>
      <c r="H193" t="s">
        <v>11320</v>
      </c>
      <c r="I193">
        <v>100000802</v>
      </c>
      <c r="J193">
        <v>2282</v>
      </c>
      <c r="K193">
        <v>204.12304</v>
      </c>
      <c r="L193" t="s">
        <v>5572</v>
      </c>
      <c r="M193">
        <v>1</v>
      </c>
      <c r="N193" t="s">
        <v>5575</v>
      </c>
      <c r="O193" t="s">
        <v>11693</v>
      </c>
      <c r="P193" t="s">
        <v>11692</v>
      </c>
    </row>
    <row r="194" spans="1:16" x14ac:dyDescent="0.2">
      <c r="A194" t="str">
        <f t="shared" si="2"/>
        <v>metab_compid_43258</v>
      </c>
      <c r="B194" t="s">
        <v>11694</v>
      </c>
      <c r="C194">
        <v>415</v>
      </c>
      <c r="D194" t="s">
        <v>8238</v>
      </c>
      <c r="E194" t="s">
        <v>3436</v>
      </c>
      <c r="F194" t="s">
        <v>3437</v>
      </c>
      <c r="G194">
        <v>43258</v>
      </c>
      <c r="H194" t="s">
        <v>11320</v>
      </c>
      <c r="I194">
        <v>100004541</v>
      </c>
      <c r="J194">
        <v>1813</v>
      </c>
      <c r="K194">
        <v>185.12845999999999</v>
      </c>
      <c r="L194" t="s">
        <v>11695</v>
      </c>
      <c r="M194">
        <v>129397</v>
      </c>
      <c r="N194" t="s">
        <v>11145</v>
      </c>
      <c r="O194" t="s">
        <v>11145</v>
      </c>
      <c r="P194" t="s">
        <v>11694</v>
      </c>
    </row>
    <row r="195" spans="1:16" x14ac:dyDescent="0.2">
      <c r="A195" t="str">
        <f t="shared" ref="A195:A258" si="3">_xlfn.CONCAT("metab_compid_", $G195)</f>
        <v>metab_compid_46173</v>
      </c>
      <c r="B195" t="s">
        <v>11696</v>
      </c>
      <c r="C195">
        <v>1124</v>
      </c>
      <c r="D195" t="s">
        <v>6283</v>
      </c>
      <c r="E195" t="s">
        <v>3479</v>
      </c>
      <c r="F195" t="s">
        <v>3480</v>
      </c>
      <c r="G195">
        <v>46173</v>
      </c>
      <c r="H195" t="s">
        <v>11327</v>
      </c>
      <c r="I195">
        <v>100001359</v>
      </c>
      <c r="J195">
        <v>580</v>
      </c>
      <c r="K195">
        <v>173.00916000000001</v>
      </c>
      <c r="L195" t="s">
        <v>11145</v>
      </c>
      <c r="M195" t="s">
        <v>11145</v>
      </c>
      <c r="N195" t="s">
        <v>11145</v>
      </c>
      <c r="O195" t="s">
        <v>11145</v>
      </c>
      <c r="P195" t="s">
        <v>11696</v>
      </c>
    </row>
    <row r="196" spans="1:16" x14ac:dyDescent="0.2">
      <c r="A196" t="str">
        <f t="shared" si="3"/>
        <v>metab_compid_554</v>
      </c>
      <c r="B196" t="s">
        <v>11697</v>
      </c>
      <c r="C196">
        <v>3410</v>
      </c>
      <c r="D196" t="s">
        <v>4392</v>
      </c>
      <c r="E196" t="s">
        <v>3533</v>
      </c>
      <c r="F196" t="s">
        <v>3620</v>
      </c>
      <c r="G196">
        <v>554</v>
      </c>
      <c r="H196" t="s">
        <v>11327</v>
      </c>
      <c r="I196">
        <v>880</v>
      </c>
      <c r="J196">
        <v>1680</v>
      </c>
      <c r="K196">
        <v>134.04722000000001</v>
      </c>
      <c r="L196" t="s">
        <v>4393</v>
      </c>
      <c r="M196">
        <v>190</v>
      </c>
      <c r="N196" t="s">
        <v>4396</v>
      </c>
      <c r="O196" t="s">
        <v>11698</v>
      </c>
      <c r="P196" t="s">
        <v>11697</v>
      </c>
    </row>
    <row r="197" spans="1:16" x14ac:dyDescent="0.2">
      <c r="A197" t="str">
        <f t="shared" si="3"/>
        <v>metab_compid_52988</v>
      </c>
      <c r="B197" t="s">
        <v>11699</v>
      </c>
      <c r="C197">
        <v>1464</v>
      </c>
      <c r="D197" t="s">
        <v>8719</v>
      </c>
      <c r="E197" t="s">
        <v>3459</v>
      </c>
      <c r="F197" t="s">
        <v>11596</v>
      </c>
      <c r="G197">
        <v>52988</v>
      </c>
      <c r="H197" t="s">
        <v>11320</v>
      </c>
      <c r="I197">
        <v>100006614</v>
      </c>
      <c r="J197">
        <v>2570</v>
      </c>
      <c r="K197">
        <v>290.15982000000002</v>
      </c>
      <c r="L197" t="s">
        <v>11145</v>
      </c>
      <c r="M197">
        <v>71296139</v>
      </c>
      <c r="N197" t="s">
        <v>11145</v>
      </c>
      <c r="O197" t="s">
        <v>11700</v>
      </c>
      <c r="P197" t="s">
        <v>11699</v>
      </c>
    </row>
    <row r="198" spans="1:16" x14ac:dyDescent="0.2">
      <c r="A198" t="str">
        <f t="shared" si="3"/>
        <v>metab_compid_32980</v>
      </c>
      <c r="B198" t="s">
        <v>11701</v>
      </c>
      <c r="C198">
        <v>1233</v>
      </c>
      <c r="D198" t="s">
        <v>5944</v>
      </c>
      <c r="E198" t="s">
        <v>3459</v>
      </c>
      <c r="F198" t="s">
        <v>11702</v>
      </c>
      <c r="G198">
        <v>32980</v>
      </c>
      <c r="H198" t="s">
        <v>11327</v>
      </c>
      <c r="I198">
        <v>100001193</v>
      </c>
      <c r="J198">
        <v>5678</v>
      </c>
      <c r="K198">
        <v>331.26425</v>
      </c>
      <c r="L198" t="s">
        <v>5945</v>
      </c>
      <c r="M198">
        <v>5497181</v>
      </c>
      <c r="N198" t="s">
        <v>5948</v>
      </c>
      <c r="O198" t="s">
        <v>11703</v>
      </c>
      <c r="P198" t="s">
        <v>11701</v>
      </c>
    </row>
    <row r="199" spans="1:16" x14ac:dyDescent="0.2">
      <c r="A199" t="str">
        <f t="shared" si="3"/>
        <v>metab_compid_57528</v>
      </c>
      <c r="B199" t="s">
        <v>11704</v>
      </c>
      <c r="C199">
        <v>1473</v>
      </c>
      <c r="D199" t="s">
        <v>11705</v>
      </c>
      <c r="E199" t="s">
        <v>3459</v>
      </c>
      <c r="F199" t="s">
        <v>11596</v>
      </c>
      <c r="G199">
        <v>57528</v>
      </c>
      <c r="H199" t="s">
        <v>11322</v>
      </c>
      <c r="I199">
        <v>100015850</v>
      </c>
      <c r="J199">
        <v>1415</v>
      </c>
      <c r="K199">
        <v>476.37342999999998</v>
      </c>
      <c r="L199" t="s">
        <v>11145</v>
      </c>
      <c r="M199" t="s">
        <v>11145</v>
      </c>
      <c r="N199" t="s">
        <v>11145</v>
      </c>
      <c r="O199" t="s">
        <v>11145</v>
      </c>
      <c r="P199" t="s">
        <v>11704</v>
      </c>
    </row>
    <row r="200" spans="1:16" x14ac:dyDescent="0.2">
      <c r="A200" t="str">
        <f t="shared" si="3"/>
        <v>metab_compid_1126</v>
      </c>
      <c r="B200" t="s">
        <v>11706</v>
      </c>
      <c r="C200">
        <v>28</v>
      </c>
      <c r="D200" t="s">
        <v>26</v>
      </c>
      <c r="E200" t="s">
        <v>3436</v>
      </c>
      <c r="F200" t="s">
        <v>3670</v>
      </c>
      <c r="G200">
        <v>1126</v>
      </c>
      <c r="H200" t="s">
        <v>11320</v>
      </c>
      <c r="I200">
        <v>811</v>
      </c>
      <c r="J200">
        <v>1700</v>
      </c>
      <c r="K200">
        <v>90.054959999999994</v>
      </c>
      <c r="L200" t="s">
        <v>4312</v>
      </c>
      <c r="M200">
        <v>5950</v>
      </c>
      <c r="N200" t="s">
        <v>4315</v>
      </c>
      <c r="O200" t="s">
        <v>11707</v>
      </c>
      <c r="P200" t="s">
        <v>11706</v>
      </c>
    </row>
    <row r="201" spans="1:16" x14ac:dyDescent="0.2">
      <c r="A201" t="str">
        <f t="shared" si="3"/>
        <v>metab_compid_1107</v>
      </c>
      <c r="B201" t="s">
        <v>11708</v>
      </c>
      <c r="C201">
        <v>3396</v>
      </c>
      <c r="D201" t="s">
        <v>4530</v>
      </c>
      <c r="E201" t="s">
        <v>3533</v>
      </c>
      <c r="F201" t="s">
        <v>3543</v>
      </c>
      <c r="G201">
        <v>1107</v>
      </c>
      <c r="H201" t="s">
        <v>11545</v>
      </c>
      <c r="I201">
        <v>1002</v>
      </c>
      <c r="J201">
        <v>1672</v>
      </c>
      <c r="K201">
        <v>157.03671</v>
      </c>
      <c r="L201" t="s">
        <v>4531</v>
      </c>
      <c r="M201">
        <v>204</v>
      </c>
      <c r="N201" t="s">
        <v>11709</v>
      </c>
      <c r="O201" t="s">
        <v>11710</v>
      </c>
      <c r="P201" t="s">
        <v>11708</v>
      </c>
    </row>
    <row r="202" spans="1:16" x14ac:dyDescent="0.2">
      <c r="A202" t="str">
        <f t="shared" si="3"/>
        <v>metab_compid_37073</v>
      </c>
      <c r="B202" t="s">
        <v>11711</v>
      </c>
      <c r="C202">
        <v>1518</v>
      </c>
      <c r="D202" t="s">
        <v>11712</v>
      </c>
      <c r="E202" t="s">
        <v>3459</v>
      </c>
      <c r="F202" t="s">
        <v>4869</v>
      </c>
      <c r="G202">
        <v>37073</v>
      </c>
      <c r="H202" t="s">
        <v>11327</v>
      </c>
      <c r="I202">
        <v>100001723</v>
      </c>
      <c r="J202">
        <v>1920</v>
      </c>
      <c r="K202">
        <v>131.07136</v>
      </c>
      <c r="L202" t="s">
        <v>11713</v>
      </c>
      <c r="M202">
        <v>99824</v>
      </c>
      <c r="N202" t="s">
        <v>11145</v>
      </c>
      <c r="O202" t="s">
        <v>11714</v>
      </c>
      <c r="P202" t="s">
        <v>11711</v>
      </c>
    </row>
    <row r="203" spans="1:16" x14ac:dyDescent="0.2">
      <c r="A203" t="str">
        <f t="shared" si="3"/>
        <v>metab_compid_22132</v>
      </c>
      <c r="B203" t="s">
        <v>11715</v>
      </c>
      <c r="C203">
        <v>264</v>
      </c>
      <c r="D203" t="s">
        <v>5474</v>
      </c>
      <c r="E203" t="s">
        <v>3436</v>
      </c>
      <c r="F203" t="s">
        <v>3498</v>
      </c>
      <c r="G203">
        <v>22132</v>
      </c>
      <c r="H203" t="s">
        <v>11327</v>
      </c>
      <c r="I203">
        <v>100000706</v>
      </c>
      <c r="J203">
        <v>1840</v>
      </c>
      <c r="K203">
        <v>131.07136</v>
      </c>
      <c r="L203" t="s">
        <v>5475</v>
      </c>
      <c r="M203">
        <v>83697</v>
      </c>
      <c r="N203" t="s">
        <v>5478</v>
      </c>
      <c r="O203" t="s">
        <v>11716</v>
      </c>
      <c r="P203" t="s">
        <v>11715</v>
      </c>
    </row>
    <row r="204" spans="1:16" x14ac:dyDescent="0.2">
      <c r="A204" t="str">
        <f t="shared" si="3"/>
        <v>metab_compid_46537</v>
      </c>
      <c r="B204" t="s">
        <v>11717</v>
      </c>
      <c r="C204">
        <v>297</v>
      </c>
      <c r="D204" t="s">
        <v>6188</v>
      </c>
      <c r="E204" t="s">
        <v>3436</v>
      </c>
      <c r="F204" t="s">
        <v>3498</v>
      </c>
      <c r="G204">
        <v>46537</v>
      </c>
      <c r="H204" t="s">
        <v>11545</v>
      </c>
      <c r="I204">
        <v>100001300</v>
      </c>
      <c r="J204">
        <v>1052</v>
      </c>
      <c r="K204">
        <v>117.05571</v>
      </c>
      <c r="L204" t="s">
        <v>6189</v>
      </c>
      <c r="M204">
        <v>99823</v>
      </c>
      <c r="N204" t="s">
        <v>11145</v>
      </c>
      <c r="O204" t="s">
        <v>11718</v>
      </c>
      <c r="P204" t="s">
        <v>11717</v>
      </c>
    </row>
    <row r="205" spans="1:16" x14ac:dyDescent="0.2">
      <c r="A205" t="str">
        <f t="shared" si="3"/>
        <v>metab_compid_62101</v>
      </c>
      <c r="B205" t="s">
        <v>11719</v>
      </c>
      <c r="C205">
        <v>43</v>
      </c>
      <c r="D205" t="s">
        <v>7458</v>
      </c>
      <c r="E205" t="s">
        <v>3436</v>
      </c>
      <c r="F205" t="s">
        <v>4215</v>
      </c>
      <c r="G205">
        <v>62101</v>
      </c>
      <c r="H205" t="s">
        <v>11545</v>
      </c>
      <c r="I205">
        <v>100002397</v>
      </c>
      <c r="J205">
        <v>1916</v>
      </c>
      <c r="K205">
        <v>144.03022999999999</v>
      </c>
      <c r="L205" t="s">
        <v>7459</v>
      </c>
      <c r="M205" t="s">
        <v>11145</v>
      </c>
      <c r="N205" t="s">
        <v>11145</v>
      </c>
      <c r="O205" t="s">
        <v>11145</v>
      </c>
      <c r="P205" t="s">
        <v>11719</v>
      </c>
    </row>
    <row r="206" spans="1:16" x14ac:dyDescent="0.2">
      <c r="A206" t="str">
        <f t="shared" si="3"/>
        <v>metab_compid_528</v>
      </c>
      <c r="B206" t="s">
        <v>11720</v>
      </c>
      <c r="C206">
        <v>1128</v>
      </c>
      <c r="D206" t="s">
        <v>3483</v>
      </c>
      <c r="E206" t="s">
        <v>3479</v>
      </c>
      <c r="F206" t="s">
        <v>3480</v>
      </c>
      <c r="G206">
        <v>528</v>
      </c>
      <c r="H206" t="s">
        <v>11545</v>
      </c>
      <c r="I206">
        <v>93</v>
      </c>
      <c r="J206">
        <v>2700</v>
      </c>
      <c r="K206">
        <v>145.01425</v>
      </c>
      <c r="L206" t="s">
        <v>11721</v>
      </c>
      <c r="M206">
        <v>51</v>
      </c>
      <c r="N206" t="s">
        <v>3487</v>
      </c>
      <c r="O206" t="s">
        <v>11722</v>
      </c>
      <c r="P206" t="s">
        <v>11720</v>
      </c>
    </row>
    <row r="207" spans="1:16" x14ac:dyDescent="0.2">
      <c r="A207" t="str">
        <f t="shared" si="3"/>
        <v>metab_compid_1561</v>
      </c>
      <c r="B207" t="s">
        <v>11723</v>
      </c>
      <c r="C207">
        <v>3597</v>
      </c>
      <c r="D207" t="s">
        <v>4682</v>
      </c>
      <c r="E207" t="s">
        <v>3448</v>
      </c>
      <c r="F207" t="s">
        <v>4679</v>
      </c>
      <c r="G207">
        <v>1561</v>
      </c>
      <c r="H207" t="s">
        <v>11322</v>
      </c>
      <c r="I207">
        <v>1105</v>
      </c>
      <c r="J207">
        <v>2522</v>
      </c>
      <c r="K207">
        <v>430.37817999999999</v>
      </c>
      <c r="L207" t="s">
        <v>11724</v>
      </c>
      <c r="M207">
        <v>14985</v>
      </c>
      <c r="N207" t="s">
        <v>4686</v>
      </c>
      <c r="O207" t="s">
        <v>11725</v>
      </c>
      <c r="P207" t="s">
        <v>11723</v>
      </c>
    </row>
    <row r="208" spans="1:16" x14ac:dyDescent="0.2">
      <c r="A208" t="str">
        <f t="shared" si="3"/>
        <v>metab_compid_32827</v>
      </c>
      <c r="B208" t="s">
        <v>11726</v>
      </c>
      <c r="C208">
        <v>2730</v>
      </c>
      <c r="D208" t="s">
        <v>7315</v>
      </c>
      <c r="E208" t="s">
        <v>3459</v>
      </c>
      <c r="F208" t="s">
        <v>5559</v>
      </c>
      <c r="G208">
        <v>32827</v>
      </c>
      <c r="H208" t="s">
        <v>11327</v>
      </c>
      <c r="I208">
        <v>100002152</v>
      </c>
      <c r="J208">
        <v>3871</v>
      </c>
      <c r="K208">
        <v>383.15339999999998</v>
      </c>
      <c r="L208" t="s">
        <v>11145</v>
      </c>
      <c r="M208" t="s">
        <v>11145</v>
      </c>
      <c r="N208" t="s">
        <v>5566</v>
      </c>
      <c r="O208" t="s">
        <v>11727</v>
      </c>
      <c r="P208" t="s">
        <v>11726</v>
      </c>
    </row>
    <row r="209" spans="1:16" x14ac:dyDescent="0.2">
      <c r="A209" t="str">
        <f t="shared" si="3"/>
        <v>metab_compid_37207</v>
      </c>
      <c r="B209" t="s">
        <v>11728</v>
      </c>
      <c r="C209">
        <v>2705</v>
      </c>
      <c r="D209" t="s">
        <v>7198</v>
      </c>
      <c r="E209" t="s">
        <v>3459</v>
      </c>
      <c r="F209" t="s">
        <v>5559</v>
      </c>
      <c r="G209">
        <v>37207</v>
      </c>
      <c r="H209" t="s">
        <v>11327</v>
      </c>
      <c r="I209">
        <v>100002026</v>
      </c>
      <c r="J209">
        <v>4712</v>
      </c>
      <c r="K209">
        <v>369.17410999999998</v>
      </c>
      <c r="L209" t="s">
        <v>11145</v>
      </c>
      <c r="M209" t="s">
        <v>11145</v>
      </c>
      <c r="N209" t="s">
        <v>11145</v>
      </c>
      <c r="O209" t="s">
        <v>11145</v>
      </c>
      <c r="P209" t="s">
        <v>11728</v>
      </c>
    </row>
    <row r="210" spans="1:16" x14ac:dyDescent="0.2">
      <c r="A210" t="str">
        <f t="shared" si="3"/>
        <v>metab_compid_37209</v>
      </c>
      <c r="B210" t="s">
        <v>11729</v>
      </c>
      <c r="C210">
        <v>2706</v>
      </c>
      <c r="D210" t="s">
        <v>7201</v>
      </c>
      <c r="E210" t="s">
        <v>3459</v>
      </c>
      <c r="F210" t="s">
        <v>5559</v>
      </c>
      <c r="G210">
        <v>37209</v>
      </c>
      <c r="H210" t="s">
        <v>11327</v>
      </c>
      <c r="I210">
        <v>100002027</v>
      </c>
      <c r="J210">
        <v>5180</v>
      </c>
      <c r="K210">
        <v>369.17410999999998</v>
      </c>
      <c r="L210" t="s">
        <v>11145</v>
      </c>
      <c r="M210" t="s">
        <v>11145</v>
      </c>
      <c r="N210" t="s">
        <v>11145</v>
      </c>
      <c r="O210" t="s">
        <v>11145</v>
      </c>
      <c r="P210" t="s">
        <v>11729</v>
      </c>
    </row>
    <row r="211" spans="1:16" x14ac:dyDescent="0.2">
      <c r="A211" t="str">
        <f t="shared" si="3"/>
        <v>metab_compid_37202</v>
      </c>
      <c r="B211" t="s">
        <v>11730</v>
      </c>
      <c r="C211">
        <v>2701</v>
      </c>
      <c r="D211" t="s">
        <v>7147</v>
      </c>
      <c r="E211" t="s">
        <v>3459</v>
      </c>
      <c r="F211" t="s">
        <v>5559</v>
      </c>
      <c r="G211">
        <v>37202</v>
      </c>
      <c r="H211" t="s">
        <v>11327</v>
      </c>
      <c r="I211">
        <v>100001992</v>
      </c>
      <c r="J211">
        <v>3740</v>
      </c>
      <c r="K211">
        <v>224.06182000000001</v>
      </c>
      <c r="L211" t="s">
        <v>11145</v>
      </c>
      <c r="M211">
        <v>87120982</v>
      </c>
      <c r="N211" t="s">
        <v>7149</v>
      </c>
      <c r="O211" t="s">
        <v>11731</v>
      </c>
      <c r="P211" t="s">
        <v>11730</v>
      </c>
    </row>
    <row r="212" spans="1:16" x14ac:dyDescent="0.2">
      <c r="A212" t="str">
        <f t="shared" si="3"/>
        <v>metab_compid_37203</v>
      </c>
      <c r="B212" t="s">
        <v>11732</v>
      </c>
      <c r="C212">
        <v>2702</v>
      </c>
      <c r="D212" t="s">
        <v>7157</v>
      </c>
      <c r="E212" t="s">
        <v>3459</v>
      </c>
      <c r="F212" t="s">
        <v>5559</v>
      </c>
      <c r="G212">
        <v>37203</v>
      </c>
      <c r="H212" t="s">
        <v>11327</v>
      </c>
      <c r="I212">
        <v>100001994</v>
      </c>
      <c r="J212">
        <v>4065</v>
      </c>
      <c r="K212">
        <v>224.0624</v>
      </c>
      <c r="L212" t="s">
        <v>11145</v>
      </c>
      <c r="M212">
        <v>87120982</v>
      </c>
      <c r="N212" t="s">
        <v>7149</v>
      </c>
      <c r="O212" t="s">
        <v>11731</v>
      </c>
      <c r="P212" t="s">
        <v>11732</v>
      </c>
    </row>
    <row r="213" spans="1:16" x14ac:dyDescent="0.2">
      <c r="A213" t="str">
        <f t="shared" si="3"/>
        <v>metab_compid_37211</v>
      </c>
      <c r="B213" t="s">
        <v>11733</v>
      </c>
      <c r="C213">
        <v>2698</v>
      </c>
      <c r="D213" t="s">
        <v>7204</v>
      </c>
      <c r="E213" t="s">
        <v>3459</v>
      </c>
      <c r="F213" t="s">
        <v>5559</v>
      </c>
      <c r="G213">
        <v>37211</v>
      </c>
      <c r="H213" t="s">
        <v>11327</v>
      </c>
      <c r="I213">
        <v>100002028</v>
      </c>
      <c r="J213">
        <v>4535</v>
      </c>
      <c r="K213">
        <v>369.17410999999998</v>
      </c>
      <c r="L213" t="s">
        <v>7205</v>
      </c>
      <c r="M213">
        <v>13847309</v>
      </c>
      <c r="N213" t="s">
        <v>11145</v>
      </c>
      <c r="O213" t="s">
        <v>11731</v>
      </c>
      <c r="P213" t="s">
        <v>11733</v>
      </c>
    </row>
    <row r="214" spans="1:16" x14ac:dyDescent="0.2">
      <c r="A214" t="str">
        <f t="shared" si="3"/>
        <v>metab_compid_37210</v>
      </c>
      <c r="B214" t="s">
        <v>11734</v>
      </c>
      <c r="C214">
        <v>2699</v>
      </c>
      <c r="D214" t="s">
        <v>7210</v>
      </c>
      <c r="E214" t="s">
        <v>3459</v>
      </c>
      <c r="F214" t="s">
        <v>5559</v>
      </c>
      <c r="G214">
        <v>37210</v>
      </c>
      <c r="H214" t="s">
        <v>11327</v>
      </c>
      <c r="I214">
        <v>100002029</v>
      </c>
      <c r="J214">
        <v>4500</v>
      </c>
      <c r="K214">
        <v>369.17410999999998</v>
      </c>
      <c r="L214" t="s">
        <v>11145</v>
      </c>
      <c r="M214" t="s">
        <v>11145</v>
      </c>
      <c r="N214" t="s">
        <v>11145</v>
      </c>
      <c r="O214" t="s">
        <v>11145</v>
      </c>
      <c r="P214" t="s">
        <v>11734</v>
      </c>
    </row>
    <row r="215" spans="1:16" x14ac:dyDescent="0.2">
      <c r="A215" t="str">
        <f t="shared" si="3"/>
        <v>metab_compid_61846</v>
      </c>
      <c r="B215" t="s">
        <v>11735</v>
      </c>
      <c r="C215">
        <v>2682</v>
      </c>
      <c r="D215" t="s">
        <v>7632</v>
      </c>
      <c r="E215" t="s">
        <v>3459</v>
      </c>
      <c r="F215" t="s">
        <v>5559</v>
      </c>
      <c r="G215">
        <v>61846</v>
      </c>
      <c r="H215" t="s">
        <v>11327</v>
      </c>
      <c r="I215">
        <v>100002761</v>
      </c>
      <c r="J215">
        <v>4953</v>
      </c>
      <c r="K215">
        <v>465.24939000000001</v>
      </c>
      <c r="L215" t="s">
        <v>7633</v>
      </c>
      <c r="M215">
        <v>114833</v>
      </c>
      <c r="N215" t="s">
        <v>7636</v>
      </c>
      <c r="O215" t="s">
        <v>11736</v>
      </c>
      <c r="P215" t="s">
        <v>11735</v>
      </c>
    </row>
    <row r="216" spans="1:16" x14ac:dyDescent="0.2">
      <c r="A216" t="str">
        <f t="shared" si="3"/>
        <v>metab_compid_31591</v>
      </c>
      <c r="B216" t="s">
        <v>11737</v>
      </c>
      <c r="C216">
        <v>2692</v>
      </c>
      <c r="D216" t="s">
        <v>5786</v>
      </c>
      <c r="E216" t="s">
        <v>3459</v>
      </c>
      <c r="F216" t="s">
        <v>5559</v>
      </c>
      <c r="G216">
        <v>31591</v>
      </c>
      <c r="H216" t="s">
        <v>11327</v>
      </c>
      <c r="I216">
        <v>100001073</v>
      </c>
      <c r="J216">
        <v>5022</v>
      </c>
      <c r="K216">
        <v>369.17410999999998</v>
      </c>
      <c r="L216" t="s">
        <v>5787</v>
      </c>
      <c r="M216">
        <v>159663</v>
      </c>
      <c r="N216" t="s">
        <v>11145</v>
      </c>
      <c r="O216" t="s">
        <v>11727</v>
      </c>
      <c r="P216" t="s">
        <v>11737</v>
      </c>
    </row>
    <row r="217" spans="1:16" x14ac:dyDescent="0.2">
      <c r="A217" t="str">
        <f t="shared" si="3"/>
        <v>metab_compid_48885</v>
      </c>
      <c r="B217" t="s">
        <v>11738</v>
      </c>
      <c r="C217">
        <v>986</v>
      </c>
      <c r="D217" t="s">
        <v>8701</v>
      </c>
      <c r="E217" t="s">
        <v>3977</v>
      </c>
      <c r="F217" t="s">
        <v>4446</v>
      </c>
      <c r="G217">
        <v>48885</v>
      </c>
      <c r="H217" t="s">
        <v>11545</v>
      </c>
      <c r="I217">
        <v>100006430</v>
      </c>
      <c r="J217">
        <v>1932.4</v>
      </c>
      <c r="K217">
        <v>151.06120000000001</v>
      </c>
      <c r="L217" t="s">
        <v>11145</v>
      </c>
      <c r="M217">
        <v>6912</v>
      </c>
      <c r="N217" t="s">
        <v>11739</v>
      </c>
      <c r="O217" t="s">
        <v>11145</v>
      </c>
      <c r="P217" t="s">
        <v>11738</v>
      </c>
    </row>
    <row r="218" spans="1:16" x14ac:dyDescent="0.2">
      <c r="A218" t="str">
        <f t="shared" si="3"/>
        <v>metab_compid_48255</v>
      </c>
      <c r="B218" t="s">
        <v>11740</v>
      </c>
      <c r="C218">
        <v>988</v>
      </c>
      <c r="D218" t="s">
        <v>8459</v>
      </c>
      <c r="E218" t="s">
        <v>3977</v>
      </c>
      <c r="F218" t="s">
        <v>4446</v>
      </c>
      <c r="G218">
        <v>48255</v>
      </c>
      <c r="H218" t="s">
        <v>11545</v>
      </c>
      <c r="I218">
        <v>100006115</v>
      </c>
      <c r="J218">
        <v>2700</v>
      </c>
      <c r="K218">
        <v>165.04046</v>
      </c>
      <c r="L218" t="s">
        <v>11145</v>
      </c>
      <c r="M218" t="s">
        <v>11145</v>
      </c>
      <c r="N218" t="s">
        <v>11145</v>
      </c>
      <c r="O218" t="s">
        <v>11145</v>
      </c>
      <c r="P218" t="s">
        <v>11740</v>
      </c>
    </row>
    <row r="219" spans="1:16" x14ac:dyDescent="0.2">
      <c r="A219" t="str">
        <f t="shared" si="3"/>
        <v>metab_compid_1118</v>
      </c>
      <c r="B219" t="s">
        <v>11741</v>
      </c>
      <c r="C219">
        <v>1199</v>
      </c>
      <c r="D219" t="s">
        <v>4431</v>
      </c>
      <c r="E219" t="s">
        <v>3459</v>
      </c>
      <c r="F219" t="s">
        <v>11502</v>
      </c>
      <c r="G219">
        <v>1118</v>
      </c>
      <c r="H219" t="s">
        <v>11327</v>
      </c>
      <c r="I219">
        <v>893</v>
      </c>
      <c r="J219">
        <v>6240</v>
      </c>
      <c r="K219">
        <v>311.29554999999999</v>
      </c>
      <c r="L219" t="s">
        <v>4432</v>
      </c>
      <c r="M219">
        <v>10467</v>
      </c>
      <c r="N219" t="s">
        <v>4435</v>
      </c>
      <c r="O219" t="s">
        <v>11742</v>
      </c>
      <c r="P219" t="s">
        <v>11741</v>
      </c>
    </row>
    <row r="220" spans="1:16" x14ac:dyDescent="0.2">
      <c r="A220" t="str">
        <f t="shared" si="3"/>
        <v>metab_compid_1110</v>
      </c>
      <c r="B220" t="s">
        <v>11743</v>
      </c>
      <c r="C220">
        <v>1232</v>
      </c>
      <c r="D220" t="s">
        <v>3655</v>
      </c>
      <c r="E220" t="s">
        <v>3459</v>
      </c>
      <c r="F220" t="s">
        <v>11702</v>
      </c>
      <c r="G220">
        <v>1110</v>
      </c>
      <c r="H220" t="s">
        <v>11327</v>
      </c>
      <c r="I220">
        <v>229</v>
      </c>
      <c r="J220">
        <v>5535</v>
      </c>
      <c r="K220">
        <v>303.23295000000002</v>
      </c>
      <c r="L220" t="s">
        <v>3656</v>
      </c>
      <c r="M220">
        <v>444899</v>
      </c>
      <c r="N220" t="s">
        <v>3659</v>
      </c>
      <c r="O220" t="s">
        <v>11744</v>
      </c>
      <c r="P220" t="s">
        <v>11743</v>
      </c>
    </row>
    <row r="221" spans="1:16" x14ac:dyDescent="0.2">
      <c r="A221" t="str">
        <f t="shared" si="3"/>
        <v>metab_compid_32463</v>
      </c>
      <c r="B221" t="s">
        <v>11745</v>
      </c>
      <c r="C221">
        <v>1680</v>
      </c>
      <c r="D221" t="s">
        <v>11746</v>
      </c>
      <c r="E221" t="s">
        <v>3459</v>
      </c>
      <c r="F221" t="s">
        <v>4774</v>
      </c>
      <c r="G221">
        <v>32463</v>
      </c>
      <c r="H221" t="s">
        <v>11322</v>
      </c>
      <c r="I221">
        <v>1488</v>
      </c>
      <c r="J221">
        <v>1535</v>
      </c>
      <c r="K221">
        <v>348.28971000000001</v>
      </c>
      <c r="L221" t="s">
        <v>11747</v>
      </c>
      <c r="M221">
        <v>5281969</v>
      </c>
      <c r="N221" t="s">
        <v>11748</v>
      </c>
      <c r="O221" t="s">
        <v>11749</v>
      </c>
      <c r="P221" t="s">
        <v>11745</v>
      </c>
    </row>
    <row r="222" spans="1:16" x14ac:dyDescent="0.2">
      <c r="A222" t="str">
        <f t="shared" si="3"/>
        <v>metab_compid_57518</v>
      </c>
      <c r="B222" t="s">
        <v>11750</v>
      </c>
      <c r="C222">
        <v>1472</v>
      </c>
      <c r="D222" t="s">
        <v>9490</v>
      </c>
      <c r="E222" t="s">
        <v>3459</v>
      </c>
      <c r="F222" t="s">
        <v>11596</v>
      </c>
      <c r="G222">
        <v>57518</v>
      </c>
      <c r="H222" t="s">
        <v>11322</v>
      </c>
      <c r="I222">
        <v>100015837</v>
      </c>
      <c r="J222">
        <v>1353</v>
      </c>
      <c r="K222">
        <v>448.34215</v>
      </c>
      <c r="L222" t="s">
        <v>11145</v>
      </c>
      <c r="M222" t="s">
        <v>11145</v>
      </c>
      <c r="N222" t="s">
        <v>11145</v>
      </c>
      <c r="O222" t="s">
        <v>11145</v>
      </c>
      <c r="P222" t="s">
        <v>11750</v>
      </c>
    </row>
    <row r="223" spans="1:16" x14ac:dyDescent="0.2">
      <c r="A223" t="str">
        <f t="shared" si="3"/>
        <v>metab_compid_53261</v>
      </c>
      <c r="B223" t="s">
        <v>11751</v>
      </c>
      <c r="C223">
        <v>1512</v>
      </c>
      <c r="D223" t="s">
        <v>9185</v>
      </c>
      <c r="E223" t="s">
        <v>3459</v>
      </c>
      <c r="F223" t="s">
        <v>9134</v>
      </c>
      <c r="G223">
        <v>53261</v>
      </c>
      <c r="H223" t="s">
        <v>11322</v>
      </c>
      <c r="I223">
        <v>100009332</v>
      </c>
      <c r="J223">
        <v>1390</v>
      </c>
      <c r="K223">
        <v>390.33665999999999</v>
      </c>
      <c r="L223" t="s">
        <v>11145</v>
      </c>
      <c r="M223" t="s">
        <v>11145</v>
      </c>
      <c r="N223" t="s">
        <v>11145</v>
      </c>
      <c r="O223" t="s">
        <v>11145</v>
      </c>
      <c r="P223" t="s">
        <v>11751</v>
      </c>
    </row>
    <row r="224" spans="1:16" x14ac:dyDescent="0.2">
      <c r="A224" t="str">
        <f t="shared" si="3"/>
        <v>metab_compid_57461</v>
      </c>
      <c r="B224" t="s">
        <v>11752</v>
      </c>
      <c r="C224">
        <v>396</v>
      </c>
      <c r="D224" t="s">
        <v>7640</v>
      </c>
      <c r="E224" t="s">
        <v>3436</v>
      </c>
      <c r="F224" t="s">
        <v>3661</v>
      </c>
      <c r="G224">
        <v>57461</v>
      </c>
      <c r="H224" t="s">
        <v>11320</v>
      </c>
      <c r="I224">
        <v>100002769</v>
      </c>
      <c r="J224">
        <v>2150</v>
      </c>
      <c r="K224">
        <v>176.10297</v>
      </c>
      <c r="L224" t="s">
        <v>7641</v>
      </c>
      <c r="M224">
        <v>160437</v>
      </c>
      <c r="N224" t="s">
        <v>11145</v>
      </c>
      <c r="O224" t="s">
        <v>11753</v>
      </c>
      <c r="P224" t="s">
        <v>11752</v>
      </c>
    </row>
    <row r="225" spans="1:16" x14ac:dyDescent="0.2">
      <c r="A225" t="str">
        <f t="shared" si="3"/>
        <v>metab_compid_1638</v>
      </c>
      <c r="B225" t="s">
        <v>11754</v>
      </c>
      <c r="C225">
        <v>365</v>
      </c>
      <c r="D225" t="s">
        <v>3664</v>
      </c>
      <c r="E225" t="s">
        <v>3436</v>
      </c>
      <c r="F225" t="s">
        <v>3661</v>
      </c>
      <c r="G225">
        <v>1638</v>
      </c>
      <c r="H225" t="s">
        <v>11320</v>
      </c>
      <c r="I225">
        <v>231</v>
      </c>
      <c r="J225">
        <v>2825</v>
      </c>
      <c r="K225">
        <v>175.11895999999999</v>
      </c>
      <c r="L225" t="s">
        <v>3665</v>
      </c>
      <c r="M225">
        <v>232</v>
      </c>
      <c r="N225" t="s">
        <v>3668</v>
      </c>
      <c r="O225" t="s">
        <v>11755</v>
      </c>
      <c r="P225" t="s">
        <v>11754</v>
      </c>
    </row>
    <row r="226" spans="1:16" x14ac:dyDescent="0.2">
      <c r="A226" t="str">
        <f t="shared" si="3"/>
        <v>metab_compid_512</v>
      </c>
      <c r="B226" t="s">
        <v>11756</v>
      </c>
      <c r="C226">
        <v>38</v>
      </c>
      <c r="D226" t="s">
        <v>4457</v>
      </c>
      <c r="E226" t="s">
        <v>3436</v>
      </c>
      <c r="F226" t="s">
        <v>3670</v>
      </c>
      <c r="G226">
        <v>512</v>
      </c>
      <c r="H226" t="s">
        <v>11320</v>
      </c>
      <c r="I226">
        <v>917</v>
      </c>
      <c r="J226">
        <v>1225</v>
      </c>
      <c r="K226">
        <v>133.06076999999999</v>
      </c>
      <c r="L226" t="s">
        <v>4458</v>
      </c>
      <c r="M226">
        <v>6267</v>
      </c>
      <c r="N226" t="s">
        <v>4461</v>
      </c>
      <c r="O226" t="s">
        <v>11757</v>
      </c>
      <c r="P226" t="s">
        <v>11756</v>
      </c>
    </row>
    <row r="227" spans="1:16" x14ac:dyDescent="0.2">
      <c r="A227" t="str">
        <f t="shared" si="3"/>
        <v>metab_compid_443</v>
      </c>
      <c r="B227" t="s">
        <v>11758</v>
      </c>
      <c r="C227">
        <v>34</v>
      </c>
      <c r="D227" t="s">
        <v>3673</v>
      </c>
      <c r="E227" t="s">
        <v>3436</v>
      </c>
      <c r="F227" t="s">
        <v>3670</v>
      </c>
      <c r="G227">
        <v>443</v>
      </c>
      <c r="H227" t="s">
        <v>11320</v>
      </c>
      <c r="I227">
        <v>234</v>
      </c>
      <c r="J227">
        <v>1165</v>
      </c>
      <c r="K227">
        <v>134.04479000000001</v>
      </c>
      <c r="L227" t="s">
        <v>3674</v>
      </c>
      <c r="M227">
        <v>5960</v>
      </c>
      <c r="N227" t="s">
        <v>3677</v>
      </c>
      <c r="O227" t="s">
        <v>11759</v>
      </c>
      <c r="P227" t="s">
        <v>11758</v>
      </c>
    </row>
    <row r="228" spans="1:16" x14ac:dyDescent="0.2">
      <c r="A228" t="str">
        <f t="shared" si="3"/>
        <v>metab_compid_57331</v>
      </c>
      <c r="B228" t="s">
        <v>11760</v>
      </c>
      <c r="C228">
        <v>2498</v>
      </c>
      <c r="D228" t="s">
        <v>9010</v>
      </c>
      <c r="E228" t="s">
        <v>3459</v>
      </c>
      <c r="F228" t="s">
        <v>8860</v>
      </c>
      <c r="G228">
        <v>57331</v>
      </c>
      <c r="H228" t="s">
        <v>11322</v>
      </c>
      <c r="I228">
        <v>100009026</v>
      </c>
      <c r="J228">
        <v>3150</v>
      </c>
      <c r="K228">
        <v>789.68440999999996</v>
      </c>
      <c r="L228" t="s">
        <v>11145</v>
      </c>
      <c r="M228" t="s">
        <v>11145</v>
      </c>
      <c r="N228" t="s">
        <v>11145</v>
      </c>
      <c r="O228" t="s">
        <v>11761</v>
      </c>
      <c r="P228" t="s">
        <v>11760</v>
      </c>
    </row>
    <row r="229" spans="1:16" x14ac:dyDescent="0.2">
      <c r="A229" t="str">
        <f t="shared" si="3"/>
        <v>metab_compid_48492</v>
      </c>
      <c r="B229" t="s">
        <v>11762</v>
      </c>
      <c r="C229">
        <v>2503</v>
      </c>
      <c r="D229" t="s">
        <v>8595</v>
      </c>
      <c r="E229" t="s">
        <v>3459</v>
      </c>
      <c r="F229" t="s">
        <v>814</v>
      </c>
      <c r="G229">
        <v>48492</v>
      </c>
      <c r="H229" t="s">
        <v>11322</v>
      </c>
      <c r="I229">
        <v>100006294</v>
      </c>
      <c r="J229">
        <v>3083</v>
      </c>
      <c r="K229">
        <v>787.66876000000002</v>
      </c>
      <c r="L229" t="s">
        <v>11145</v>
      </c>
      <c r="M229" t="s">
        <v>11145</v>
      </c>
      <c r="N229" t="s">
        <v>11145</v>
      </c>
      <c r="O229" t="s">
        <v>11763</v>
      </c>
      <c r="P229" t="s">
        <v>11762</v>
      </c>
    </row>
    <row r="230" spans="1:16" x14ac:dyDescent="0.2">
      <c r="A230" t="str">
        <f t="shared" si="3"/>
        <v>metab_compid_57514</v>
      </c>
      <c r="B230" t="s">
        <v>11764</v>
      </c>
      <c r="C230">
        <v>1474</v>
      </c>
      <c r="D230" t="s">
        <v>9465</v>
      </c>
      <c r="E230" t="s">
        <v>3459</v>
      </c>
      <c r="F230" t="s">
        <v>11596</v>
      </c>
      <c r="G230">
        <v>57514</v>
      </c>
      <c r="H230" t="s">
        <v>11322</v>
      </c>
      <c r="I230">
        <v>100015832</v>
      </c>
      <c r="J230">
        <v>1561</v>
      </c>
      <c r="K230">
        <v>484.43603999999999</v>
      </c>
      <c r="L230" t="s">
        <v>11145</v>
      </c>
      <c r="M230" t="s">
        <v>11145</v>
      </c>
      <c r="N230" t="s">
        <v>11145</v>
      </c>
      <c r="O230" t="s">
        <v>11145</v>
      </c>
      <c r="P230" t="s">
        <v>11764</v>
      </c>
    </row>
    <row r="231" spans="1:16" x14ac:dyDescent="0.2">
      <c r="A231" t="str">
        <f t="shared" si="3"/>
        <v>metab_compid_55</v>
      </c>
      <c r="B231" t="s">
        <v>11765</v>
      </c>
      <c r="C231">
        <v>3496</v>
      </c>
      <c r="D231" t="s">
        <v>3708</v>
      </c>
      <c r="E231" t="s">
        <v>3533</v>
      </c>
      <c r="F231" t="s">
        <v>3705</v>
      </c>
      <c r="G231">
        <v>55</v>
      </c>
      <c r="H231" t="s">
        <v>11320</v>
      </c>
      <c r="I231">
        <v>244</v>
      </c>
      <c r="J231">
        <v>1905</v>
      </c>
      <c r="K231">
        <v>90.054959999999994</v>
      </c>
      <c r="L231" t="s">
        <v>11766</v>
      </c>
      <c r="M231">
        <v>239</v>
      </c>
      <c r="N231" t="s">
        <v>3712</v>
      </c>
      <c r="O231" t="s">
        <v>11767</v>
      </c>
      <c r="P231" t="s">
        <v>11765</v>
      </c>
    </row>
    <row r="232" spans="1:16" x14ac:dyDescent="0.2">
      <c r="A232" t="str">
        <f t="shared" si="3"/>
        <v>metab_compid_54923</v>
      </c>
      <c r="B232" t="s">
        <v>11768</v>
      </c>
      <c r="C232">
        <v>53</v>
      </c>
      <c r="D232" t="s">
        <v>7864</v>
      </c>
      <c r="E232" t="s">
        <v>3436</v>
      </c>
      <c r="F232" t="s">
        <v>4215</v>
      </c>
      <c r="G232">
        <v>54923</v>
      </c>
      <c r="H232" t="s">
        <v>11327</v>
      </c>
      <c r="I232">
        <v>100003271</v>
      </c>
      <c r="J232">
        <v>530</v>
      </c>
      <c r="K232">
        <v>320.06232</v>
      </c>
      <c r="L232" t="s">
        <v>7865</v>
      </c>
      <c r="M232">
        <v>72715786</v>
      </c>
      <c r="N232" t="s">
        <v>7867</v>
      </c>
      <c r="O232" t="s">
        <v>11145</v>
      </c>
      <c r="P232" t="s">
        <v>11768</v>
      </c>
    </row>
    <row r="233" spans="1:16" x14ac:dyDescent="0.2">
      <c r="A233" t="str">
        <f t="shared" si="3"/>
        <v>metab_compid_57591</v>
      </c>
      <c r="B233" t="s">
        <v>11769</v>
      </c>
      <c r="C233">
        <v>3668</v>
      </c>
      <c r="D233" t="s">
        <v>7120</v>
      </c>
      <c r="E233" t="s">
        <v>3448</v>
      </c>
      <c r="F233" t="s">
        <v>4124</v>
      </c>
      <c r="G233">
        <v>57591</v>
      </c>
      <c r="H233" t="s">
        <v>11322</v>
      </c>
      <c r="I233">
        <v>100001977</v>
      </c>
      <c r="J233">
        <v>2560</v>
      </c>
      <c r="K233">
        <v>552.43257000000006</v>
      </c>
      <c r="L233" t="s">
        <v>7121</v>
      </c>
      <c r="M233">
        <v>6384256</v>
      </c>
      <c r="N233" t="s">
        <v>11145</v>
      </c>
      <c r="O233" t="s">
        <v>11770</v>
      </c>
      <c r="P233" t="s">
        <v>11769</v>
      </c>
    </row>
    <row r="234" spans="1:16" x14ac:dyDescent="0.2">
      <c r="A234" t="str">
        <f t="shared" si="3"/>
        <v>metab_compid_12129</v>
      </c>
      <c r="B234" t="s">
        <v>11771</v>
      </c>
      <c r="C234">
        <v>276</v>
      </c>
      <c r="D234" t="s">
        <v>4970</v>
      </c>
      <c r="E234" t="s">
        <v>3436</v>
      </c>
      <c r="F234" t="s">
        <v>3498</v>
      </c>
      <c r="G234">
        <v>12129</v>
      </c>
      <c r="H234" t="s">
        <v>11327</v>
      </c>
      <c r="I234">
        <v>1442</v>
      </c>
      <c r="J234">
        <v>1027</v>
      </c>
      <c r="K234">
        <v>117.05571999999999</v>
      </c>
      <c r="L234" t="s">
        <v>4971</v>
      </c>
      <c r="M234">
        <v>69362</v>
      </c>
      <c r="N234" t="s">
        <v>11145</v>
      </c>
      <c r="O234" t="s">
        <v>11772</v>
      </c>
      <c r="P234" t="s">
        <v>11771</v>
      </c>
    </row>
    <row r="235" spans="1:16" x14ac:dyDescent="0.2">
      <c r="A235" t="str">
        <f t="shared" si="3"/>
        <v>metab_compid_3141</v>
      </c>
      <c r="B235" t="s">
        <v>11773</v>
      </c>
      <c r="C235">
        <v>6</v>
      </c>
      <c r="D235" t="s">
        <v>4279</v>
      </c>
      <c r="E235" t="s">
        <v>3436</v>
      </c>
      <c r="F235" t="s">
        <v>3882</v>
      </c>
      <c r="G235">
        <v>3141</v>
      </c>
      <c r="H235" t="s">
        <v>11320</v>
      </c>
      <c r="I235">
        <v>799</v>
      </c>
      <c r="J235">
        <v>1064</v>
      </c>
      <c r="K235">
        <v>118.08626</v>
      </c>
      <c r="L235" t="s">
        <v>4280</v>
      </c>
      <c r="M235">
        <v>247</v>
      </c>
      <c r="N235" t="s">
        <v>4283</v>
      </c>
      <c r="O235" t="s">
        <v>11774</v>
      </c>
      <c r="P235" t="s">
        <v>11773</v>
      </c>
    </row>
    <row r="236" spans="1:16" x14ac:dyDescent="0.2">
      <c r="A236" t="str">
        <f t="shared" si="3"/>
        <v>metab_compid_32586</v>
      </c>
      <c r="B236" t="s">
        <v>11775</v>
      </c>
      <c r="C236">
        <v>3643</v>
      </c>
      <c r="D236" t="s">
        <v>7101</v>
      </c>
      <c r="E236" t="s">
        <v>3448</v>
      </c>
      <c r="F236" t="s">
        <v>3714</v>
      </c>
      <c r="G236">
        <v>32586</v>
      </c>
      <c r="H236" t="s">
        <v>11327</v>
      </c>
      <c r="I236">
        <v>100001950</v>
      </c>
      <c r="J236">
        <v>4294</v>
      </c>
      <c r="K236">
        <v>583.25620000000004</v>
      </c>
      <c r="L236" t="s">
        <v>11776</v>
      </c>
      <c r="M236">
        <v>5315454</v>
      </c>
      <c r="N236" t="s">
        <v>11145</v>
      </c>
      <c r="O236" t="s">
        <v>11145</v>
      </c>
      <c r="P236" t="s">
        <v>11775</v>
      </c>
    </row>
    <row r="237" spans="1:16" x14ac:dyDescent="0.2">
      <c r="A237" t="str">
        <f t="shared" si="3"/>
        <v>metab_compid_47886</v>
      </c>
      <c r="B237" t="s">
        <v>11777</v>
      </c>
      <c r="C237">
        <v>3644</v>
      </c>
      <c r="D237" t="s">
        <v>7107</v>
      </c>
      <c r="E237" t="s">
        <v>3448</v>
      </c>
      <c r="F237" t="s">
        <v>3714</v>
      </c>
      <c r="G237">
        <v>47886</v>
      </c>
      <c r="H237" t="s">
        <v>11322</v>
      </c>
      <c r="I237">
        <v>100001951</v>
      </c>
      <c r="J237">
        <v>1265</v>
      </c>
      <c r="K237">
        <v>585.27076</v>
      </c>
      <c r="L237" t="s">
        <v>11145</v>
      </c>
      <c r="M237">
        <v>5799469</v>
      </c>
      <c r="N237" t="s">
        <v>11145</v>
      </c>
      <c r="O237" t="s">
        <v>11778</v>
      </c>
      <c r="P237" t="s">
        <v>11777</v>
      </c>
    </row>
    <row r="238" spans="1:16" x14ac:dyDescent="0.2">
      <c r="A238" t="str">
        <f t="shared" si="3"/>
        <v>metab_compid_43807</v>
      </c>
      <c r="B238" t="s">
        <v>11779</v>
      </c>
      <c r="C238">
        <v>3642</v>
      </c>
      <c r="D238" t="s">
        <v>4641</v>
      </c>
      <c r="E238" t="s">
        <v>3448</v>
      </c>
      <c r="F238" t="s">
        <v>3714</v>
      </c>
      <c r="G238">
        <v>43807</v>
      </c>
      <c r="H238" t="s">
        <v>11322</v>
      </c>
      <c r="I238">
        <v>1090</v>
      </c>
      <c r="J238">
        <v>1840</v>
      </c>
      <c r="K238">
        <v>585.27076</v>
      </c>
      <c r="L238" t="s">
        <v>4643</v>
      </c>
      <c r="M238">
        <v>5280352</v>
      </c>
      <c r="N238" t="s">
        <v>4646</v>
      </c>
      <c r="O238" t="s">
        <v>11780</v>
      </c>
      <c r="P238" t="s">
        <v>11779</v>
      </c>
    </row>
    <row r="239" spans="1:16" x14ac:dyDescent="0.2">
      <c r="A239" t="str">
        <f t="shared" si="3"/>
        <v>metab_compid_2137</v>
      </c>
      <c r="B239" t="s">
        <v>11781</v>
      </c>
      <c r="C239">
        <v>3645</v>
      </c>
      <c r="D239" t="s">
        <v>3717</v>
      </c>
      <c r="E239" t="s">
        <v>3448</v>
      </c>
      <c r="F239" t="s">
        <v>3714</v>
      </c>
      <c r="G239">
        <v>2137</v>
      </c>
      <c r="H239" t="s">
        <v>11327</v>
      </c>
      <c r="I239">
        <v>250</v>
      </c>
      <c r="J239">
        <v>4695.6000000000004</v>
      </c>
      <c r="K239">
        <v>581.24055999999996</v>
      </c>
      <c r="L239" t="s">
        <v>11782</v>
      </c>
      <c r="M239">
        <v>5353439</v>
      </c>
      <c r="N239" t="s">
        <v>3721</v>
      </c>
      <c r="O239" t="s">
        <v>11783</v>
      </c>
      <c r="P239" t="s">
        <v>11781</v>
      </c>
    </row>
    <row r="240" spans="1:16" x14ac:dyDescent="0.2">
      <c r="A240" t="str">
        <f t="shared" si="3"/>
        <v>metab_compid_32412</v>
      </c>
      <c r="B240" t="s">
        <v>11784</v>
      </c>
      <c r="C240">
        <v>1402</v>
      </c>
      <c r="D240" t="s">
        <v>5757</v>
      </c>
      <c r="E240" t="s">
        <v>3459</v>
      </c>
      <c r="F240" t="s">
        <v>5754</v>
      </c>
      <c r="G240">
        <v>32412</v>
      </c>
      <c r="H240" t="s">
        <v>11320</v>
      </c>
      <c r="I240">
        <v>100001054</v>
      </c>
      <c r="J240">
        <v>2860</v>
      </c>
      <c r="K240">
        <v>232.15433999999999</v>
      </c>
      <c r="L240" t="s">
        <v>5758</v>
      </c>
      <c r="M240">
        <v>439829</v>
      </c>
      <c r="N240" t="s">
        <v>5761</v>
      </c>
      <c r="O240" t="s">
        <v>11785</v>
      </c>
      <c r="P240" t="s">
        <v>11784</v>
      </c>
    </row>
    <row r="241" spans="1:16" x14ac:dyDescent="0.2">
      <c r="A241" t="str">
        <f t="shared" si="3"/>
        <v>metab_compid_31850</v>
      </c>
      <c r="B241" t="s">
        <v>11786</v>
      </c>
      <c r="C241">
        <v>1403</v>
      </c>
      <c r="D241" t="s">
        <v>5890</v>
      </c>
      <c r="E241" t="s">
        <v>3459</v>
      </c>
      <c r="F241" t="s">
        <v>5754</v>
      </c>
      <c r="G241">
        <v>31850</v>
      </c>
      <c r="H241" t="s">
        <v>11327</v>
      </c>
      <c r="I241">
        <v>100001151</v>
      </c>
      <c r="J241">
        <v>1470</v>
      </c>
      <c r="K241">
        <v>144.06661</v>
      </c>
      <c r="L241" t="s">
        <v>5892</v>
      </c>
      <c r="M241">
        <v>88412</v>
      </c>
      <c r="N241" t="s">
        <v>11145</v>
      </c>
      <c r="O241" t="s">
        <v>11787</v>
      </c>
      <c r="P241" t="s">
        <v>11786</v>
      </c>
    </row>
    <row r="242" spans="1:16" x14ac:dyDescent="0.2">
      <c r="A242" t="str">
        <f t="shared" si="3"/>
        <v>metab_compid_48782</v>
      </c>
      <c r="B242" t="s">
        <v>11788</v>
      </c>
      <c r="C242">
        <v>214</v>
      </c>
      <c r="D242" t="s">
        <v>8672</v>
      </c>
      <c r="E242" t="s">
        <v>3436</v>
      </c>
      <c r="F242" t="s">
        <v>3470</v>
      </c>
      <c r="G242">
        <v>48782</v>
      </c>
      <c r="H242" t="s">
        <v>11327</v>
      </c>
      <c r="I242">
        <v>100006379</v>
      </c>
      <c r="J242">
        <v>1777</v>
      </c>
      <c r="K242">
        <v>365.13542000000001</v>
      </c>
      <c r="L242" t="s">
        <v>8673</v>
      </c>
      <c r="M242">
        <v>10981970</v>
      </c>
      <c r="N242" t="s">
        <v>11145</v>
      </c>
      <c r="O242" t="s">
        <v>11145</v>
      </c>
      <c r="P242" t="s">
        <v>11788</v>
      </c>
    </row>
    <row r="243" spans="1:16" x14ac:dyDescent="0.2">
      <c r="A243" t="str">
        <f t="shared" si="3"/>
        <v>metab_compid_33997</v>
      </c>
      <c r="B243" t="s">
        <v>11789</v>
      </c>
      <c r="C243">
        <v>2587</v>
      </c>
      <c r="D243" t="s">
        <v>11790</v>
      </c>
      <c r="E243" t="s">
        <v>3459</v>
      </c>
      <c r="F243" t="s">
        <v>3749</v>
      </c>
      <c r="G243">
        <v>33997</v>
      </c>
      <c r="H243" t="s">
        <v>11322</v>
      </c>
      <c r="I243">
        <v>100001269</v>
      </c>
      <c r="J243">
        <v>2873</v>
      </c>
      <c r="K243">
        <v>383.36723999999998</v>
      </c>
      <c r="L243" t="s">
        <v>11791</v>
      </c>
      <c r="M243">
        <v>173183</v>
      </c>
      <c r="N243" t="s">
        <v>11792</v>
      </c>
      <c r="O243" t="s">
        <v>11793</v>
      </c>
      <c r="P243" t="s">
        <v>11789</v>
      </c>
    </row>
    <row r="244" spans="1:16" x14ac:dyDescent="0.2">
      <c r="A244" t="str">
        <f t="shared" si="3"/>
        <v>metab_compid_1642</v>
      </c>
      <c r="B244" t="s">
        <v>11794</v>
      </c>
      <c r="C244">
        <v>1169</v>
      </c>
      <c r="D244" t="s">
        <v>4408</v>
      </c>
      <c r="E244" t="s">
        <v>3459</v>
      </c>
      <c r="F244" t="s">
        <v>3569</v>
      </c>
      <c r="G244">
        <v>1642</v>
      </c>
      <c r="H244" t="s">
        <v>11327</v>
      </c>
      <c r="I244">
        <v>888</v>
      </c>
      <c r="J244">
        <v>5090.7</v>
      </c>
      <c r="K244">
        <v>171.13905</v>
      </c>
      <c r="L244" t="s">
        <v>4409</v>
      </c>
      <c r="M244">
        <v>2969</v>
      </c>
      <c r="N244" t="s">
        <v>4412</v>
      </c>
      <c r="O244" t="s">
        <v>11795</v>
      </c>
      <c r="P244" t="s">
        <v>11794</v>
      </c>
    </row>
    <row r="245" spans="1:16" x14ac:dyDescent="0.2">
      <c r="A245" t="str">
        <f t="shared" si="3"/>
        <v>metab_compid_32489</v>
      </c>
      <c r="B245" t="s">
        <v>11796</v>
      </c>
      <c r="C245">
        <v>1165</v>
      </c>
      <c r="D245" t="s">
        <v>4489</v>
      </c>
      <c r="E245" t="s">
        <v>3459</v>
      </c>
      <c r="F245" t="s">
        <v>3569</v>
      </c>
      <c r="G245">
        <v>32489</v>
      </c>
      <c r="H245" t="s">
        <v>11327</v>
      </c>
      <c r="I245">
        <v>926</v>
      </c>
      <c r="J245">
        <v>2713.7</v>
      </c>
      <c r="K245">
        <v>115.07644999999999</v>
      </c>
      <c r="L245" t="s">
        <v>4490</v>
      </c>
      <c r="M245">
        <v>8892</v>
      </c>
      <c r="N245" t="s">
        <v>4493</v>
      </c>
      <c r="O245" t="s">
        <v>11797</v>
      </c>
      <c r="P245" t="s">
        <v>11796</v>
      </c>
    </row>
    <row r="246" spans="1:16" x14ac:dyDescent="0.2">
      <c r="A246" t="str">
        <f t="shared" si="3"/>
        <v>metab_compid_32492</v>
      </c>
      <c r="B246" t="s">
        <v>11798</v>
      </c>
      <c r="C246">
        <v>1167</v>
      </c>
      <c r="D246" t="s">
        <v>4497</v>
      </c>
      <c r="E246" t="s">
        <v>3459</v>
      </c>
      <c r="F246" t="s">
        <v>3569</v>
      </c>
      <c r="G246">
        <v>32492</v>
      </c>
      <c r="H246" t="s">
        <v>11327</v>
      </c>
      <c r="I246">
        <v>932</v>
      </c>
      <c r="J246">
        <v>4362</v>
      </c>
      <c r="K246">
        <v>143.10775000000001</v>
      </c>
      <c r="L246" t="s">
        <v>4498</v>
      </c>
      <c r="M246">
        <v>379</v>
      </c>
      <c r="N246" t="s">
        <v>4501</v>
      </c>
      <c r="O246" t="s">
        <v>11799</v>
      </c>
      <c r="P246" t="s">
        <v>11798</v>
      </c>
    </row>
    <row r="247" spans="1:16" x14ac:dyDescent="0.2">
      <c r="A247" t="str">
        <f t="shared" si="3"/>
        <v>metab_compid_15500</v>
      </c>
      <c r="B247" t="s">
        <v>11800</v>
      </c>
      <c r="C247">
        <v>1496</v>
      </c>
      <c r="D247" t="s">
        <v>5137</v>
      </c>
      <c r="E247" t="s">
        <v>3459</v>
      </c>
      <c r="F247" t="s">
        <v>5134</v>
      </c>
      <c r="G247">
        <v>15500</v>
      </c>
      <c r="H247" t="s">
        <v>11320</v>
      </c>
      <c r="I247">
        <v>100000007</v>
      </c>
      <c r="J247">
        <v>1978</v>
      </c>
      <c r="K247">
        <v>162.11247</v>
      </c>
      <c r="L247" t="s">
        <v>5138</v>
      </c>
      <c r="M247">
        <v>10917</v>
      </c>
      <c r="N247" t="s">
        <v>11801</v>
      </c>
      <c r="O247" t="s">
        <v>11802</v>
      </c>
      <c r="P247" t="s">
        <v>11800</v>
      </c>
    </row>
    <row r="248" spans="1:16" x14ac:dyDescent="0.2">
      <c r="A248" t="str">
        <f t="shared" si="3"/>
        <v>metab_compid_57635</v>
      </c>
      <c r="B248" t="s">
        <v>11803</v>
      </c>
      <c r="C248">
        <v>3664</v>
      </c>
      <c r="D248" t="s">
        <v>9535</v>
      </c>
      <c r="E248" t="s">
        <v>3448</v>
      </c>
      <c r="F248" t="s">
        <v>4124</v>
      </c>
      <c r="G248">
        <v>57635</v>
      </c>
      <c r="H248" t="s">
        <v>11322</v>
      </c>
      <c r="I248">
        <v>100015966</v>
      </c>
      <c r="J248">
        <v>1720</v>
      </c>
      <c r="K248">
        <v>568.42759000000001</v>
      </c>
      <c r="L248" t="s">
        <v>11145</v>
      </c>
      <c r="M248" t="s">
        <v>11145</v>
      </c>
      <c r="N248" t="s">
        <v>11145</v>
      </c>
      <c r="O248" t="s">
        <v>11145</v>
      </c>
      <c r="P248" t="s">
        <v>11803</v>
      </c>
    </row>
    <row r="249" spans="1:16" x14ac:dyDescent="0.2">
      <c r="A249" t="str">
        <f t="shared" si="3"/>
        <v>metab_compid_57636</v>
      </c>
      <c r="B249" t="s">
        <v>11804</v>
      </c>
      <c r="C249">
        <v>3665</v>
      </c>
      <c r="D249" t="s">
        <v>9536</v>
      </c>
      <c r="E249" t="s">
        <v>3448</v>
      </c>
      <c r="F249" t="s">
        <v>4124</v>
      </c>
      <c r="G249">
        <v>57636</v>
      </c>
      <c r="H249" t="s">
        <v>11322</v>
      </c>
      <c r="I249">
        <v>100015967</v>
      </c>
      <c r="J249">
        <v>1904</v>
      </c>
      <c r="K249">
        <v>568.42792999999995</v>
      </c>
      <c r="L249" t="s">
        <v>11145</v>
      </c>
      <c r="M249" t="s">
        <v>11145</v>
      </c>
      <c r="N249" t="s">
        <v>11145</v>
      </c>
      <c r="O249" t="s">
        <v>11145</v>
      </c>
      <c r="P249" t="s">
        <v>11804</v>
      </c>
    </row>
    <row r="250" spans="1:16" x14ac:dyDescent="0.2">
      <c r="A250" t="str">
        <f t="shared" si="3"/>
        <v>metab_compid_57432</v>
      </c>
      <c r="B250" t="s">
        <v>11805</v>
      </c>
      <c r="C250">
        <v>2449</v>
      </c>
      <c r="D250" t="s">
        <v>9354</v>
      </c>
      <c r="E250" t="s">
        <v>3459</v>
      </c>
      <c r="F250" t="s">
        <v>4998</v>
      </c>
      <c r="G250">
        <v>57432</v>
      </c>
      <c r="H250" t="s">
        <v>11322</v>
      </c>
      <c r="I250">
        <v>100015735</v>
      </c>
      <c r="J250">
        <v>2477</v>
      </c>
      <c r="K250">
        <v>510.48808000000002</v>
      </c>
      <c r="L250" t="s">
        <v>11145</v>
      </c>
      <c r="M250" t="s">
        <v>11145</v>
      </c>
      <c r="N250" t="s">
        <v>11145</v>
      </c>
      <c r="O250" t="s">
        <v>11145</v>
      </c>
      <c r="P250" t="s">
        <v>11805</v>
      </c>
    </row>
    <row r="251" spans="1:16" x14ac:dyDescent="0.2">
      <c r="A251" t="str">
        <f t="shared" si="3"/>
        <v>metab_compid_57434</v>
      </c>
      <c r="B251" t="s">
        <v>11806</v>
      </c>
      <c r="C251">
        <v>2450</v>
      </c>
      <c r="D251" t="s">
        <v>11807</v>
      </c>
      <c r="E251" t="s">
        <v>3459</v>
      </c>
      <c r="F251" t="s">
        <v>4998</v>
      </c>
      <c r="G251">
        <v>57434</v>
      </c>
      <c r="H251" t="s">
        <v>11322</v>
      </c>
      <c r="I251">
        <v>100015737</v>
      </c>
      <c r="J251">
        <v>3055</v>
      </c>
      <c r="K251">
        <v>552.53504999999996</v>
      </c>
      <c r="L251" t="s">
        <v>11145</v>
      </c>
      <c r="M251" t="s">
        <v>11145</v>
      </c>
      <c r="N251" t="s">
        <v>11145</v>
      </c>
      <c r="O251" t="s">
        <v>11145</v>
      </c>
      <c r="P251" t="s">
        <v>11806</v>
      </c>
    </row>
    <row r="252" spans="1:16" x14ac:dyDescent="0.2">
      <c r="A252" t="str">
        <f t="shared" si="3"/>
        <v>metab_compid_57443</v>
      </c>
      <c r="B252" t="s">
        <v>11808</v>
      </c>
      <c r="C252">
        <v>2454</v>
      </c>
      <c r="D252" t="s">
        <v>11809</v>
      </c>
      <c r="E252" t="s">
        <v>3459</v>
      </c>
      <c r="F252" t="s">
        <v>4998</v>
      </c>
      <c r="G252">
        <v>57443</v>
      </c>
      <c r="H252" t="s">
        <v>11322</v>
      </c>
      <c r="I252">
        <v>100015744</v>
      </c>
      <c r="J252">
        <v>3858</v>
      </c>
      <c r="K252">
        <v>646.61329999999998</v>
      </c>
      <c r="L252" t="s">
        <v>11145</v>
      </c>
      <c r="M252" t="s">
        <v>11145</v>
      </c>
      <c r="N252" t="s">
        <v>11145</v>
      </c>
      <c r="O252" t="s">
        <v>11145</v>
      </c>
      <c r="P252" t="s">
        <v>11808</v>
      </c>
    </row>
    <row r="253" spans="1:16" x14ac:dyDescent="0.2">
      <c r="A253" t="str">
        <f t="shared" si="3"/>
        <v>metab_compid_57516</v>
      </c>
      <c r="B253" t="s">
        <v>11810</v>
      </c>
      <c r="C253">
        <v>1488</v>
      </c>
      <c r="D253" t="s">
        <v>9481</v>
      </c>
      <c r="E253" t="s">
        <v>3459</v>
      </c>
      <c r="F253" t="s">
        <v>11596</v>
      </c>
      <c r="G253">
        <v>57516</v>
      </c>
      <c r="H253" t="s">
        <v>11322</v>
      </c>
      <c r="I253">
        <v>100015835</v>
      </c>
      <c r="J253">
        <v>1649</v>
      </c>
      <c r="K253">
        <v>540.49864000000002</v>
      </c>
      <c r="L253" t="s">
        <v>11145</v>
      </c>
      <c r="M253" t="s">
        <v>11145</v>
      </c>
      <c r="N253" t="s">
        <v>11145</v>
      </c>
      <c r="O253" t="s">
        <v>11811</v>
      </c>
      <c r="P253" t="s">
        <v>11810</v>
      </c>
    </row>
    <row r="254" spans="1:16" x14ac:dyDescent="0.2">
      <c r="A254" t="str">
        <f t="shared" si="3"/>
        <v>metab_compid_22842</v>
      </c>
      <c r="B254" t="s">
        <v>11812</v>
      </c>
      <c r="C254">
        <v>2753</v>
      </c>
      <c r="D254" t="s">
        <v>3519</v>
      </c>
      <c r="E254" t="s">
        <v>3459</v>
      </c>
      <c r="F254" t="s">
        <v>3516</v>
      </c>
      <c r="G254">
        <v>22842</v>
      </c>
      <c r="H254" t="s">
        <v>11327</v>
      </c>
      <c r="I254">
        <v>136</v>
      </c>
      <c r="J254">
        <v>5165</v>
      </c>
      <c r="K254">
        <v>407.28028999999998</v>
      </c>
      <c r="L254" t="s">
        <v>3520</v>
      </c>
      <c r="M254">
        <v>221493</v>
      </c>
      <c r="N254" t="s">
        <v>3522</v>
      </c>
      <c r="O254" t="s">
        <v>11813</v>
      </c>
      <c r="P254" t="s">
        <v>11812</v>
      </c>
    </row>
    <row r="255" spans="1:16" x14ac:dyDescent="0.2">
      <c r="A255" t="str">
        <f t="shared" si="3"/>
        <v>metab_compid_63</v>
      </c>
      <c r="B255" t="s">
        <v>11814</v>
      </c>
      <c r="C255">
        <v>2560</v>
      </c>
      <c r="D255" t="s">
        <v>3752</v>
      </c>
      <c r="E255" t="s">
        <v>3459</v>
      </c>
      <c r="F255" t="s">
        <v>3749</v>
      </c>
      <c r="G255">
        <v>63</v>
      </c>
      <c r="H255" t="s">
        <v>11322</v>
      </c>
      <c r="I255">
        <v>266</v>
      </c>
      <c r="J255">
        <v>2707</v>
      </c>
      <c r="K255">
        <v>369.35158999999999</v>
      </c>
      <c r="L255" t="s">
        <v>3753</v>
      </c>
      <c r="M255">
        <v>11025495</v>
      </c>
      <c r="N255" t="s">
        <v>3756</v>
      </c>
      <c r="O255" t="s">
        <v>11815</v>
      </c>
      <c r="P255" t="s">
        <v>11814</v>
      </c>
    </row>
    <row r="256" spans="1:16" x14ac:dyDescent="0.2">
      <c r="A256" t="str">
        <f t="shared" si="3"/>
        <v>metab_compid_15506</v>
      </c>
      <c r="B256" t="s">
        <v>11816</v>
      </c>
      <c r="C256">
        <v>1735</v>
      </c>
      <c r="D256" t="s">
        <v>4898</v>
      </c>
      <c r="E256" t="s">
        <v>3459</v>
      </c>
      <c r="F256" t="s">
        <v>3758</v>
      </c>
      <c r="G256">
        <v>15506</v>
      </c>
      <c r="H256" t="s">
        <v>11320</v>
      </c>
      <c r="I256">
        <v>1256</v>
      </c>
      <c r="J256">
        <v>1961</v>
      </c>
      <c r="K256">
        <v>104.10699</v>
      </c>
      <c r="L256" t="s">
        <v>4899</v>
      </c>
      <c r="M256">
        <v>305</v>
      </c>
      <c r="N256" t="s">
        <v>4902</v>
      </c>
      <c r="O256" t="s">
        <v>11817</v>
      </c>
      <c r="P256" t="s">
        <v>11816</v>
      </c>
    </row>
    <row r="257" spans="1:16" x14ac:dyDescent="0.2">
      <c r="A257" t="str">
        <f t="shared" si="3"/>
        <v>metab_compid_34396</v>
      </c>
      <c r="B257" t="s">
        <v>11818</v>
      </c>
      <c r="C257">
        <v>1736</v>
      </c>
      <c r="D257" t="s">
        <v>3761</v>
      </c>
      <c r="E257" t="s">
        <v>3459</v>
      </c>
      <c r="F257" t="s">
        <v>3758</v>
      </c>
      <c r="G257">
        <v>34396</v>
      </c>
      <c r="H257" t="s">
        <v>11320</v>
      </c>
      <c r="I257">
        <v>267</v>
      </c>
      <c r="J257">
        <v>700</v>
      </c>
      <c r="K257">
        <v>184.07332</v>
      </c>
      <c r="L257" t="s">
        <v>3763</v>
      </c>
      <c r="M257">
        <v>1014</v>
      </c>
      <c r="N257" t="s">
        <v>3766</v>
      </c>
      <c r="O257" t="s">
        <v>11819</v>
      </c>
      <c r="P257" t="s">
        <v>11818</v>
      </c>
    </row>
    <row r="258" spans="1:16" x14ac:dyDescent="0.2">
      <c r="A258" t="str">
        <f t="shared" si="3"/>
        <v>metab_compid_38178</v>
      </c>
      <c r="B258" t="s">
        <v>11820</v>
      </c>
      <c r="C258">
        <v>1449</v>
      </c>
      <c r="D258" t="s">
        <v>7394</v>
      </c>
      <c r="E258" t="s">
        <v>3459</v>
      </c>
      <c r="F258" t="s">
        <v>11596</v>
      </c>
      <c r="G258">
        <v>38178</v>
      </c>
      <c r="H258" t="s">
        <v>11322</v>
      </c>
      <c r="I258">
        <v>100002259</v>
      </c>
      <c r="J258">
        <v>1057</v>
      </c>
      <c r="K258">
        <v>314.23259000000002</v>
      </c>
      <c r="L258" t="s">
        <v>7395</v>
      </c>
      <c r="M258" t="s">
        <v>11145</v>
      </c>
      <c r="N258" t="s">
        <v>11145</v>
      </c>
      <c r="O258" t="s">
        <v>11145</v>
      </c>
      <c r="P258" t="s">
        <v>11820</v>
      </c>
    </row>
    <row r="259" spans="1:16" x14ac:dyDescent="0.2">
      <c r="A259" t="str">
        <f t="shared" ref="A259:A322" si="4">_xlfn.CONCAT("metab_compid_", $G259)</f>
        <v>metab_compid_1564</v>
      </c>
      <c r="B259" t="s">
        <v>11821</v>
      </c>
      <c r="C259">
        <v>1122</v>
      </c>
      <c r="D259" t="s">
        <v>337</v>
      </c>
      <c r="E259" t="s">
        <v>3479</v>
      </c>
      <c r="F259" t="s">
        <v>3480</v>
      </c>
      <c r="G259">
        <v>1564</v>
      </c>
      <c r="H259" t="s">
        <v>11327</v>
      </c>
      <c r="I259">
        <v>1124</v>
      </c>
      <c r="J259">
        <v>582</v>
      </c>
      <c r="K259">
        <v>191.01973000000001</v>
      </c>
      <c r="L259" t="s">
        <v>4729</v>
      </c>
      <c r="M259">
        <v>311</v>
      </c>
      <c r="N259" t="s">
        <v>4732</v>
      </c>
      <c r="O259" t="s">
        <v>11822</v>
      </c>
      <c r="P259" t="s">
        <v>11821</v>
      </c>
    </row>
    <row r="260" spans="1:16" x14ac:dyDescent="0.2">
      <c r="A260" t="str">
        <f t="shared" si="4"/>
        <v>metab_compid_2132</v>
      </c>
      <c r="B260" t="s">
        <v>11823</v>
      </c>
      <c r="C260">
        <v>373</v>
      </c>
      <c r="D260" t="s">
        <v>3971</v>
      </c>
      <c r="E260" t="s">
        <v>3436</v>
      </c>
      <c r="F260" t="s">
        <v>3661</v>
      </c>
      <c r="G260">
        <v>2132</v>
      </c>
      <c r="H260" t="s">
        <v>11320</v>
      </c>
      <c r="I260">
        <v>391</v>
      </c>
      <c r="J260">
        <v>1520</v>
      </c>
      <c r="K260">
        <v>176.10297</v>
      </c>
      <c r="L260" t="s">
        <v>3972</v>
      </c>
      <c r="M260">
        <v>9750</v>
      </c>
      <c r="N260" t="s">
        <v>3975</v>
      </c>
      <c r="O260" t="s">
        <v>11824</v>
      </c>
      <c r="P260" t="s">
        <v>11823</v>
      </c>
    </row>
    <row r="261" spans="1:16" x14ac:dyDescent="0.2">
      <c r="A261" t="str">
        <f t="shared" si="4"/>
        <v>metab_compid_1712</v>
      </c>
      <c r="B261" t="s">
        <v>11825</v>
      </c>
      <c r="C261">
        <v>2663</v>
      </c>
      <c r="D261" t="s">
        <v>3916</v>
      </c>
      <c r="E261" t="s">
        <v>3459</v>
      </c>
      <c r="F261" t="s">
        <v>3768</v>
      </c>
      <c r="G261">
        <v>1712</v>
      </c>
      <c r="H261" t="s">
        <v>11327</v>
      </c>
      <c r="I261">
        <v>356</v>
      </c>
      <c r="J261">
        <v>4710</v>
      </c>
      <c r="K261">
        <v>361.20204000000001</v>
      </c>
      <c r="L261" t="s">
        <v>3917</v>
      </c>
      <c r="M261">
        <v>5754</v>
      </c>
      <c r="N261" t="s">
        <v>3919</v>
      </c>
      <c r="O261" t="s">
        <v>11826</v>
      </c>
      <c r="P261" t="s">
        <v>11825</v>
      </c>
    </row>
    <row r="262" spans="1:16" x14ac:dyDescent="0.2">
      <c r="A262" t="str">
        <f t="shared" si="4"/>
        <v>metab_compid_1769</v>
      </c>
      <c r="B262" t="s">
        <v>11827</v>
      </c>
      <c r="C262">
        <v>2665</v>
      </c>
      <c r="D262" t="s">
        <v>3779</v>
      </c>
      <c r="E262" t="s">
        <v>3459</v>
      </c>
      <c r="F262" t="s">
        <v>3768</v>
      </c>
      <c r="G262">
        <v>1769</v>
      </c>
      <c r="H262" t="s">
        <v>11327</v>
      </c>
      <c r="I262">
        <v>273</v>
      </c>
      <c r="J262">
        <v>4575</v>
      </c>
      <c r="K262">
        <v>359.18639000000002</v>
      </c>
      <c r="L262" t="s">
        <v>3780</v>
      </c>
      <c r="M262">
        <v>222786</v>
      </c>
      <c r="N262" t="s">
        <v>3783</v>
      </c>
      <c r="O262" t="s">
        <v>11828</v>
      </c>
      <c r="P262" t="s">
        <v>11827</v>
      </c>
    </row>
    <row r="263" spans="1:16" x14ac:dyDescent="0.2">
      <c r="A263" t="str">
        <f t="shared" si="4"/>
        <v>metab_compid_27718</v>
      </c>
      <c r="B263" t="s">
        <v>11829</v>
      </c>
      <c r="C263">
        <v>401</v>
      </c>
      <c r="D263" t="s">
        <v>4832</v>
      </c>
      <c r="E263" t="s">
        <v>3436</v>
      </c>
      <c r="F263" t="s">
        <v>3785</v>
      </c>
      <c r="G263">
        <v>27718</v>
      </c>
      <c r="H263" t="s">
        <v>11327</v>
      </c>
      <c r="I263">
        <v>1221</v>
      </c>
      <c r="J263">
        <v>763</v>
      </c>
      <c r="K263">
        <v>130.06219999999999</v>
      </c>
      <c r="L263" t="s">
        <v>4833</v>
      </c>
      <c r="M263">
        <v>586</v>
      </c>
      <c r="N263" t="s">
        <v>4836</v>
      </c>
      <c r="O263" t="s">
        <v>11830</v>
      </c>
      <c r="P263" t="s">
        <v>11829</v>
      </c>
    </row>
    <row r="264" spans="1:16" x14ac:dyDescent="0.2">
      <c r="A264" t="str">
        <f t="shared" si="4"/>
        <v>metab_compid_513</v>
      </c>
      <c r="B264" t="s">
        <v>11831</v>
      </c>
      <c r="C264">
        <v>402</v>
      </c>
      <c r="D264" t="s">
        <v>417</v>
      </c>
      <c r="E264" t="s">
        <v>3436</v>
      </c>
      <c r="F264" t="s">
        <v>3785</v>
      </c>
      <c r="G264">
        <v>513</v>
      </c>
      <c r="H264" t="s">
        <v>11320</v>
      </c>
      <c r="I264">
        <v>275</v>
      </c>
      <c r="J264">
        <v>2055</v>
      </c>
      <c r="K264">
        <v>114.06619000000001</v>
      </c>
      <c r="L264" t="s">
        <v>3788</v>
      </c>
      <c r="M264">
        <v>588</v>
      </c>
      <c r="N264" t="s">
        <v>3791</v>
      </c>
      <c r="O264" t="s">
        <v>11832</v>
      </c>
      <c r="P264" t="s">
        <v>11831</v>
      </c>
    </row>
    <row r="265" spans="1:16" x14ac:dyDescent="0.2">
      <c r="A265" t="str">
        <f t="shared" si="4"/>
        <v>metab_compid_18368</v>
      </c>
      <c r="B265" t="s">
        <v>11833</v>
      </c>
      <c r="C265">
        <v>440</v>
      </c>
      <c r="D265" t="s">
        <v>4840</v>
      </c>
      <c r="E265" t="s">
        <v>3436</v>
      </c>
      <c r="F265" t="s">
        <v>3793</v>
      </c>
      <c r="G265">
        <v>18368</v>
      </c>
      <c r="H265" t="s">
        <v>11327</v>
      </c>
      <c r="I265">
        <v>1224</v>
      </c>
      <c r="J265">
        <v>925</v>
      </c>
      <c r="K265">
        <v>353.05950000000001</v>
      </c>
      <c r="L265" t="s">
        <v>4841</v>
      </c>
      <c r="M265">
        <v>333293</v>
      </c>
      <c r="N265" t="s">
        <v>11145</v>
      </c>
      <c r="O265" t="s">
        <v>11145</v>
      </c>
      <c r="P265" t="s">
        <v>11833</v>
      </c>
    </row>
    <row r="266" spans="1:16" x14ac:dyDescent="0.2">
      <c r="A266" t="str">
        <f t="shared" si="4"/>
        <v>metab_compid_15705</v>
      </c>
      <c r="B266" t="s">
        <v>11834</v>
      </c>
      <c r="C266">
        <v>343</v>
      </c>
      <c r="D266" t="s">
        <v>3830</v>
      </c>
      <c r="E266" t="s">
        <v>3436</v>
      </c>
      <c r="F266" t="s">
        <v>3603</v>
      </c>
      <c r="G266">
        <v>15705</v>
      </c>
      <c r="H266" t="s">
        <v>11320</v>
      </c>
      <c r="I266">
        <v>310</v>
      </c>
      <c r="J266">
        <v>2270</v>
      </c>
      <c r="K266">
        <v>223.07471000000001</v>
      </c>
      <c r="L266" t="s">
        <v>3831</v>
      </c>
      <c r="M266">
        <v>439258</v>
      </c>
      <c r="N266" t="s">
        <v>3834</v>
      </c>
      <c r="O266" t="s">
        <v>11835</v>
      </c>
      <c r="P266" t="s">
        <v>11834</v>
      </c>
    </row>
    <row r="267" spans="1:16" x14ac:dyDescent="0.2">
      <c r="A267" t="str">
        <f t="shared" si="4"/>
        <v>metab_compid_1868</v>
      </c>
      <c r="B267" t="s">
        <v>11836</v>
      </c>
      <c r="C267">
        <v>345</v>
      </c>
      <c r="D267" t="s">
        <v>4287</v>
      </c>
      <c r="E267" t="s">
        <v>3436</v>
      </c>
      <c r="F267" t="s">
        <v>3603</v>
      </c>
      <c r="G267">
        <v>1868</v>
      </c>
      <c r="H267" t="s">
        <v>11320</v>
      </c>
      <c r="I267">
        <v>800</v>
      </c>
      <c r="J267">
        <v>1488</v>
      </c>
      <c r="K267">
        <v>122.02703</v>
      </c>
      <c r="L267" t="s">
        <v>11837</v>
      </c>
      <c r="M267">
        <v>5862</v>
      </c>
      <c r="N267" t="s">
        <v>4291</v>
      </c>
      <c r="O267" t="s">
        <v>11838</v>
      </c>
      <c r="P267" t="s">
        <v>11836</v>
      </c>
    </row>
    <row r="268" spans="1:16" x14ac:dyDescent="0.2">
      <c r="A268" t="str">
        <f t="shared" si="4"/>
        <v>metab_compid_22176</v>
      </c>
      <c r="B268" t="s">
        <v>11839</v>
      </c>
      <c r="C268">
        <v>350</v>
      </c>
      <c r="D268" t="s">
        <v>5579</v>
      </c>
      <c r="E268" t="s">
        <v>3436</v>
      </c>
      <c r="F268" t="s">
        <v>3603</v>
      </c>
      <c r="G268">
        <v>22176</v>
      </c>
      <c r="H268" t="s">
        <v>11545</v>
      </c>
      <c r="I268">
        <v>100000808</v>
      </c>
      <c r="J268">
        <v>2273</v>
      </c>
      <c r="K268">
        <v>199.96928</v>
      </c>
      <c r="L268" t="s">
        <v>5580</v>
      </c>
      <c r="M268">
        <v>115015</v>
      </c>
      <c r="N268" t="s">
        <v>5583</v>
      </c>
      <c r="O268" t="s">
        <v>11840</v>
      </c>
      <c r="P268" t="s">
        <v>11839</v>
      </c>
    </row>
    <row r="269" spans="1:16" x14ac:dyDescent="0.2">
      <c r="A269" t="str">
        <f t="shared" si="4"/>
        <v>metab_compid_35637</v>
      </c>
      <c r="B269" t="s">
        <v>11841</v>
      </c>
      <c r="C269">
        <v>438</v>
      </c>
      <c r="D269" t="s">
        <v>3796</v>
      </c>
      <c r="E269" t="s">
        <v>3436</v>
      </c>
      <c r="F269" t="s">
        <v>3793</v>
      </c>
      <c r="G269">
        <v>35637</v>
      </c>
      <c r="H269" t="s">
        <v>11320</v>
      </c>
      <c r="I269">
        <v>278</v>
      </c>
      <c r="J269">
        <v>2132</v>
      </c>
      <c r="K269">
        <v>179.04849999999999</v>
      </c>
      <c r="L269" t="s">
        <v>3797</v>
      </c>
      <c r="M269">
        <v>439498</v>
      </c>
      <c r="N269" t="s">
        <v>3800</v>
      </c>
      <c r="O269" t="s">
        <v>11842</v>
      </c>
      <c r="P269" t="s">
        <v>11841</v>
      </c>
    </row>
    <row r="270" spans="1:16" x14ac:dyDescent="0.2">
      <c r="A270" t="str">
        <f t="shared" si="4"/>
        <v>metab_compid_62103</v>
      </c>
      <c r="B270" t="s">
        <v>11843</v>
      </c>
      <c r="C270">
        <v>439</v>
      </c>
      <c r="D270" t="s">
        <v>7514</v>
      </c>
      <c r="E270" t="s">
        <v>3436</v>
      </c>
      <c r="F270" t="s">
        <v>3793</v>
      </c>
      <c r="G270">
        <v>62103</v>
      </c>
      <c r="H270" t="s">
        <v>11320</v>
      </c>
      <c r="I270">
        <v>100002466</v>
      </c>
      <c r="J270">
        <v>2547</v>
      </c>
      <c r="K270">
        <v>298.05259000000001</v>
      </c>
      <c r="L270" t="s">
        <v>7515</v>
      </c>
      <c r="M270" t="s">
        <v>11145</v>
      </c>
      <c r="N270" t="s">
        <v>11145</v>
      </c>
      <c r="O270" t="s">
        <v>11844</v>
      </c>
      <c r="P270" t="s">
        <v>11843</v>
      </c>
    </row>
    <row r="271" spans="1:16" x14ac:dyDescent="0.2">
      <c r="A271" t="str">
        <f t="shared" si="4"/>
        <v>metab_compid_56</v>
      </c>
      <c r="B271" t="s">
        <v>11845</v>
      </c>
      <c r="C271">
        <v>351</v>
      </c>
      <c r="D271" t="s">
        <v>3804</v>
      </c>
      <c r="E271" t="s">
        <v>3436</v>
      </c>
      <c r="F271" t="s">
        <v>3603</v>
      </c>
      <c r="G271">
        <v>56</v>
      </c>
      <c r="H271" t="s">
        <v>11320</v>
      </c>
      <c r="I271">
        <v>279</v>
      </c>
      <c r="J271">
        <v>2000</v>
      </c>
      <c r="K271">
        <v>241.03112999999999</v>
      </c>
      <c r="L271" t="s">
        <v>3805</v>
      </c>
      <c r="M271">
        <v>67678</v>
      </c>
      <c r="N271" t="s">
        <v>3808</v>
      </c>
      <c r="O271" t="s">
        <v>11846</v>
      </c>
      <c r="P271" t="s">
        <v>11845</v>
      </c>
    </row>
    <row r="272" spans="1:16" x14ac:dyDescent="0.2">
      <c r="A272" t="str">
        <f t="shared" si="4"/>
        <v>metab_compid_514</v>
      </c>
      <c r="B272" t="s">
        <v>11847</v>
      </c>
      <c r="C272">
        <v>3506</v>
      </c>
      <c r="D272" t="s">
        <v>4359</v>
      </c>
      <c r="E272" t="s">
        <v>3533</v>
      </c>
      <c r="F272" t="s">
        <v>4356</v>
      </c>
      <c r="G272">
        <v>514</v>
      </c>
      <c r="H272" t="s">
        <v>11327</v>
      </c>
      <c r="I272">
        <v>827</v>
      </c>
      <c r="J272">
        <v>1325</v>
      </c>
      <c r="K272">
        <v>242.07823999999999</v>
      </c>
      <c r="L272" t="s">
        <v>4360</v>
      </c>
      <c r="M272">
        <v>6175</v>
      </c>
      <c r="N272" t="s">
        <v>4363</v>
      </c>
      <c r="O272" t="s">
        <v>11848</v>
      </c>
      <c r="P272" t="s">
        <v>11847</v>
      </c>
    </row>
    <row r="273" spans="1:16" x14ac:dyDescent="0.2">
      <c r="A273" t="str">
        <f t="shared" si="4"/>
        <v>metab_compid_33941</v>
      </c>
      <c r="B273" t="s">
        <v>11849</v>
      </c>
      <c r="C273">
        <v>1446</v>
      </c>
      <c r="D273" t="s">
        <v>6022</v>
      </c>
      <c r="E273" t="s">
        <v>3459</v>
      </c>
      <c r="F273" t="s">
        <v>11596</v>
      </c>
      <c r="G273">
        <v>33941</v>
      </c>
      <c r="H273" t="s">
        <v>11322</v>
      </c>
      <c r="I273">
        <v>100001251</v>
      </c>
      <c r="J273">
        <v>1130</v>
      </c>
      <c r="K273">
        <v>316.24824000000001</v>
      </c>
      <c r="L273" t="s">
        <v>6023</v>
      </c>
      <c r="M273">
        <v>10245190</v>
      </c>
      <c r="N273" t="s">
        <v>11145</v>
      </c>
      <c r="O273" t="s">
        <v>11850</v>
      </c>
      <c r="P273" t="s">
        <v>11849</v>
      </c>
    </row>
    <row r="274" spans="1:16" x14ac:dyDescent="0.2">
      <c r="A274" t="str">
        <f t="shared" si="4"/>
        <v>metab_compid_32425</v>
      </c>
      <c r="B274" t="s">
        <v>11851</v>
      </c>
      <c r="C274">
        <v>2680</v>
      </c>
      <c r="D274" t="s">
        <v>11852</v>
      </c>
      <c r="E274" t="s">
        <v>3459</v>
      </c>
      <c r="F274" t="s">
        <v>5559</v>
      </c>
      <c r="G274">
        <v>32425</v>
      </c>
      <c r="H274" t="s">
        <v>11327</v>
      </c>
      <c r="I274">
        <v>100000792</v>
      </c>
      <c r="J274">
        <v>4745</v>
      </c>
      <c r="K274">
        <v>367.15845999999999</v>
      </c>
      <c r="L274" t="s">
        <v>5563</v>
      </c>
      <c r="M274">
        <v>12594</v>
      </c>
      <c r="N274" t="s">
        <v>5566</v>
      </c>
      <c r="O274" t="s">
        <v>11853</v>
      </c>
      <c r="P274" t="s">
        <v>11851</v>
      </c>
    </row>
    <row r="275" spans="1:16" x14ac:dyDescent="0.2">
      <c r="A275" t="str">
        <f t="shared" si="4"/>
        <v>metab_compid_36747</v>
      </c>
      <c r="B275" t="s">
        <v>11854</v>
      </c>
      <c r="C275">
        <v>1495</v>
      </c>
      <c r="D275" t="s">
        <v>6847</v>
      </c>
      <c r="E275" t="s">
        <v>3459</v>
      </c>
      <c r="F275" t="s">
        <v>5134</v>
      </c>
      <c r="G275">
        <v>36747</v>
      </c>
      <c r="H275" t="s">
        <v>11320</v>
      </c>
      <c r="I275">
        <v>100001662</v>
      </c>
      <c r="J275">
        <v>2052</v>
      </c>
      <c r="K275">
        <v>146.11756</v>
      </c>
      <c r="L275" t="s">
        <v>6848</v>
      </c>
      <c r="M275">
        <v>134</v>
      </c>
      <c r="N275" t="s">
        <v>6851</v>
      </c>
      <c r="O275" t="s">
        <v>11855</v>
      </c>
      <c r="P275" t="s">
        <v>11854</v>
      </c>
    </row>
    <row r="276" spans="1:16" x14ac:dyDescent="0.2">
      <c r="A276" t="str">
        <f t="shared" si="4"/>
        <v>metab_compid_1114</v>
      </c>
      <c r="B276" t="s">
        <v>11856</v>
      </c>
      <c r="C276">
        <v>2773</v>
      </c>
      <c r="D276" t="s">
        <v>3822</v>
      </c>
      <c r="E276" t="s">
        <v>3459</v>
      </c>
      <c r="F276" t="s">
        <v>3819</v>
      </c>
      <c r="G276">
        <v>1114</v>
      </c>
      <c r="H276" t="s">
        <v>11327</v>
      </c>
      <c r="I276">
        <v>302</v>
      </c>
      <c r="J276">
        <v>5294</v>
      </c>
      <c r="K276">
        <v>391.28537999999998</v>
      </c>
      <c r="L276" t="s">
        <v>3823</v>
      </c>
      <c r="M276">
        <v>222528</v>
      </c>
      <c r="N276" t="s">
        <v>3826</v>
      </c>
      <c r="O276" t="s">
        <v>11857</v>
      </c>
      <c r="P276" t="s">
        <v>11856</v>
      </c>
    </row>
    <row r="277" spans="1:16" x14ac:dyDescent="0.2">
      <c r="A277" t="str">
        <f t="shared" si="4"/>
        <v>metab_compid_55001</v>
      </c>
      <c r="B277" t="s">
        <v>11858</v>
      </c>
      <c r="C277">
        <v>2328</v>
      </c>
      <c r="D277" t="s">
        <v>11859</v>
      </c>
      <c r="E277" t="s">
        <v>3459</v>
      </c>
      <c r="F277" t="s">
        <v>7792</v>
      </c>
      <c r="G277">
        <v>55001</v>
      </c>
      <c r="H277" t="s">
        <v>11322</v>
      </c>
      <c r="I277">
        <v>100010959</v>
      </c>
      <c r="J277">
        <v>2716</v>
      </c>
      <c r="K277">
        <v>556.49356</v>
      </c>
      <c r="L277" t="s">
        <v>11145</v>
      </c>
      <c r="M277" t="s">
        <v>11145</v>
      </c>
      <c r="N277" t="s">
        <v>11145</v>
      </c>
      <c r="O277" t="s">
        <v>11145</v>
      </c>
      <c r="P277" t="s">
        <v>11858</v>
      </c>
    </row>
    <row r="278" spans="1:16" x14ac:dyDescent="0.2">
      <c r="A278" t="str">
        <f t="shared" si="4"/>
        <v>metab_compid_54953</v>
      </c>
      <c r="B278" t="s">
        <v>11860</v>
      </c>
      <c r="C278">
        <v>2329</v>
      </c>
      <c r="D278" t="s">
        <v>11861</v>
      </c>
      <c r="E278" t="s">
        <v>3459</v>
      </c>
      <c r="F278" t="s">
        <v>7792</v>
      </c>
      <c r="G278">
        <v>54953</v>
      </c>
      <c r="H278" t="s">
        <v>11322</v>
      </c>
      <c r="I278">
        <v>100010934</v>
      </c>
      <c r="J278">
        <v>3057</v>
      </c>
      <c r="K278">
        <v>584.52485999999999</v>
      </c>
      <c r="L278" t="s">
        <v>11145</v>
      </c>
      <c r="M278" t="s">
        <v>11145</v>
      </c>
      <c r="N278" t="s">
        <v>11145</v>
      </c>
      <c r="O278" t="s">
        <v>11145</v>
      </c>
      <c r="P278" t="s">
        <v>11860</v>
      </c>
    </row>
    <row r="279" spans="1:16" x14ac:dyDescent="0.2">
      <c r="A279" t="str">
        <f t="shared" si="4"/>
        <v>metab_compid_54954</v>
      </c>
      <c r="B279" t="s">
        <v>11862</v>
      </c>
      <c r="C279">
        <v>2330</v>
      </c>
      <c r="D279" t="s">
        <v>11863</v>
      </c>
      <c r="E279" t="s">
        <v>3459</v>
      </c>
      <c r="F279" t="s">
        <v>7792</v>
      </c>
      <c r="G279">
        <v>54954</v>
      </c>
      <c r="H279" t="s">
        <v>11322</v>
      </c>
      <c r="I279">
        <v>100010935</v>
      </c>
      <c r="J279">
        <v>3183</v>
      </c>
      <c r="K279">
        <v>584.52485999999999</v>
      </c>
      <c r="L279" t="s">
        <v>11145</v>
      </c>
      <c r="M279" t="s">
        <v>11145</v>
      </c>
      <c r="N279" t="s">
        <v>11145</v>
      </c>
      <c r="O279" t="s">
        <v>11145</v>
      </c>
      <c r="P279" t="s">
        <v>11862</v>
      </c>
    </row>
    <row r="280" spans="1:16" x14ac:dyDescent="0.2">
      <c r="A280" t="str">
        <f t="shared" si="4"/>
        <v>metab_compid_54966</v>
      </c>
      <c r="B280" t="s">
        <v>11864</v>
      </c>
      <c r="C280">
        <v>2331</v>
      </c>
      <c r="D280" t="s">
        <v>11865</v>
      </c>
      <c r="E280" t="s">
        <v>3459</v>
      </c>
      <c r="F280" t="s">
        <v>7792</v>
      </c>
      <c r="G280">
        <v>54966</v>
      </c>
      <c r="H280" t="s">
        <v>11322</v>
      </c>
      <c r="I280">
        <v>100010940</v>
      </c>
      <c r="J280">
        <v>2733</v>
      </c>
      <c r="K280">
        <v>608.52485999999999</v>
      </c>
      <c r="L280" t="s">
        <v>11145</v>
      </c>
      <c r="M280" t="s">
        <v>11145</v>
      </c>
      <c r="N280" t="s">
        <v>11145</v>
      </c>
      <c r="O280" t="s">
        <v>11145</v>
      </c>
      <c r="P280" t="s">
        <v>11864</v>
      </c>
    </row>
    <row r="281" spans="1:16" x14ac:dyDescent="0.2">
      <c r="A281" t="str">
        <f t="shared" si="4"/>
        <v>metab_compid_17805</v>
      </c>
      <c r="B281" t="s">
        <v>11866</v>
      </c>
      <c r="C281">
        <v>1236</v>
      </c>
      <c r="D281" t="s">
        <v>4855</v>
      </c>
      <c r="E281" t="s">
        <v>3459</v>
      </c>
      <c r="F281" t="s">
        <v>11702</v>
      </c>
      <c r="G281">
        <v>17805</v>
      </c>
      <c r="H281" t="s">
        <v>11327</v>
      </c>
      <c r="I281">
        <v>1231</v>
      </c>
      <c r="J281">
        <v>5730</v>
      </c>
      <c r="K281">
        <v>307.26425</v>
      </c>
      <c r="L281" t="s">
        <v>4857</v>
      </c>
      <c r="M281">
        <v>6439848</v>
      </c>
      <c r="N281" t="s">
        <v>4860</v>
      </c>
      <c r="O281" t="s">
        <v>11867</v>
      </c>
      <c r="P281" t="s">
        <v>11866</v>
      </c>
    </row>
    <row r="282" spans="1:16" x14ac:dyDescent="0.2">
      <c r="A282" t="str">
        <f t="shared" si="4"/>
        <v>metab_compid_35718</v>
      </c>
      <c r="B282" t="s">
        <v>11868</v>
      </c>
      <c r="C282">
        <v>1231</v>
      </c>
      <c r="D282" t="s">
        <v>6892</v>
      </c>
      <c r="E282" t="s">
        <v>3459</v>
      </c>
      <c r="F282" t="s">
        <v>11702</v>
      </c>
      <c r="G282">
        <v>35718</v>
      </c>
      <c r="H282" t="s">
        <v>11327</v>
      </c>
      <c r="I282">
        <v>100001739</v>
      </c>
      <c r="J282">
        <v>5596</v>
      </c>
      <c r="K282">
        <v>305.24860000000001</v>
      </c>
      <c r="L282" t="s">
        <v>6894</v>
      </c>
      <c r="M282">
        <v>5280581</v>
      </c>
      <c r="N282" t="s">
        <v>6897</v>
      </c>
      <c r="O282" t="s">
        <v>11869</v>
      </c>
      <c r="P282" t="s">
        <v>11868</v>
      </c>
    </row>
    <row r="283" spans="1:16" x14ac:dyDescent="0.2">
      <c r="A283" t="str">
        <f t="shared" si="4"/>
        <v>metab_compid_53262</v>
      </c>
      <c r="B283" t="s">
        <v>11870</v>
      </c>
      <c r="C283">
        <v>1507</v>
      </c>
      <c r="D283" t="s">
        <v>9198</v>
      </c>
      <c r="E283" t="s">
        <v>3459</v>
      </c>
      <c r="F283" t="s">
        <v>9134</v>
      </c>
      <c r="G283">
        <v>53262</v>
      </c>
      <c r="H283" t="s">
        <v>11322</v>
      </c>
      <c r="I283">
        <v>100009335</v>
      </c>
      <c r="J283">
        <v>1424</v>
      </c>
      <c r="K283">
        <v>392.35230999999999</v>
      </c>
      <c r="L283" t="s">
        <v>11145</v>
      </c>
      <c r="M283" t="s">
        <v>11145</v>
      </c>
      <c r="N283" t="s">
        <v>11145</v>
      </c>
      <c r="O283" t="s">
        <v>11145</v>
      </c>
      <c r="P283" t="s">
        <v>11870</v>
      </c>
    </row>
    <row r="284" spans="1:16" x14ac:dyDescent="0.2">
      <c r="A284" t="str">
        <f t="shared" si="4"/>
        <v>metab_compid_57521</v>
      </c>
      <c r="B284" t="s">
        <v>11871</v>
      </c>
      <c r="C284">
        <v>1476</v>
      </c>
      <c r="D284" t="s">
        <v>9498</v>
      </c>
      <c r="E284" t="s">
        <v>3459</v>
      </c>
      <c r="F284" t="s">
        <v>11596</v>
      </c>
      <c r="G284">
        <v>57521</v>
      </c>
      <c r="H284" t="s">
        <v>11322</v>
      </c>
      <c r="I284">
        <v>100015840</v>
      </c>
      <c r="J284">
        <v>1392</v>
      </c>
      <c r="K284">
        <v>450.35777000000002</v>
      </c>
      <c r="L284" t="s">
        <v>11145</v>
      </c>
      <c r="M284" t="s">
        <v>11145</v>
      </c>
      <c r="N284" t="s">
        <v>11145</v>
      </c>
      <c r="O284" t="s">
        <v>11145</v>
      </c>
      <c r="P284" t="s">
        <v>11871</v>
      </c>
    </row>
    <row r="285" spans="1:16" x14ac:dyDescent="0.2">
      <c r="A285" t="str">
        <f t="shared" si="4"/>
        <v>metab_compid_57520</v>
      </c>
      <c r="B285" t="s">
        <v>11872</v>
      </c>
      <c r="C285">
        <v>1477</v>
      </c>
      <c r="D285" t="s">
        <v>9495</v>
      </c>
      <c r="E285" t="s">
        <v>3459</v>
      </c>
      <c r="F285" t="s">
        <v>11596</v>
      </c>
      <c r="G285">
        <v>57520</v>
      </c>
      <c r="H285" t="s">
        <v>11322</v>
      </c>
      <c r="I285">
        <v>100015839</v>
      </c>
      <c r="J285">
        <v>1436</v>
      </c>
      <c r="K285">
        <v>452.37342999999998</v>
      </c>
      <c r="L285" t="s">
        <v>11145</v>
      </c>
      <c r="M285" t="s">
        <v>11145</v>
      </c>
      <c r="N285" t="s">
        <v>11145</v>
      </c>
      <c r="O285" t="s">
        <v>11145</v>
      </c>
      <c r="P285" t="s">
        <v>11872</v>
      </c>
    </row>
    <row r="286" spans="1:16" x14ac:dyDescent="0.2">
      <c r="A286" t="str">
        <f t="shared" si="4"/>
        <v>metab_compid_601</v>
      </c>
      <c r="B286" t="s">
        <v>11873</v>
      </c>
      <c r="C286">
        <v>3463</v>
      </c>
      <c r="D286" t="s">
        <v>4473</v>
      </c>
      <c r="E286" t="s">
        <v>3533</v>
      </c>
      <c r="F286" t="s">
        <v>4050</v>
      </c>
      <c r="G286">
        <v>601</v>
      </c>
      <c r="H286" t="s">
        <v>11545</v>
      </c>
      <c r="I286">
        <v>923</v>
      </c>
      <c r="J286">
        <v>1910</v>
      </c>
      <c r="K286">
        <v>157.02547999999999</v>
      </c>
      <c r="L286" t="s">
        <v>4474</v>
      </c>
      <c r="M286">
        <v>648</v>
      </c>
      <c r="N286" t="s">
        <v>4477</v>
      </c>
      <c r="O286" t="s">
        <v>4476</v>
      </c>
      <c r="P286" t="s">
        <v>11873</v>
      </c>
    </row>
    <row r="287" spans="1:16" x14ac:dyDescent="0.2">
      <c r="A287" t="str">
        <f t="shared" si="4"/>
        <v>metab_compid_36808</v>
      </c>
      <c r="B287" t="s">
        <v>11874</v>
      </c>
      <c r="C287">
        <v>379</v>
      </c>
      <c r="D287" t="s">
        <v>7023</v>
      </c>
      <c r="E287" t="s">
        <v>3436</v>
      </c>
      <c r="F287" t="s">
        <v>3661</v>
      </c>
      <c r="G287">
        <v>36808</v>
      </c>
      <c r="H287" t="s">
        <v>11320</v>
      </c>
      <c r="I287">
        <v>100001810</v>
      </c>
      <c r="J287">
        <v>2850</v>
      </c>
      <c r="K287">
        <v>203.15026</v>
      </c>
      <c r="L287" t="s">
        <v>7025</v>
      </c>
      <c r="M287">
        <v>123831</v>
      </c>
      <c r="N287" t="s">
        <v>4308</v>
      </c>
      <c r="O287" t="s">
        <v>11875</v>
      </c>
      <c r="P287" t="s">
        <v>11874</v>
      </c>
    </row>
    <row r="288" spans="1:16" x14ac:dyDescent="0.2">
      <c r="A288" t="str">
        <f t="shared" si="4"/>
        <v>metab_compid_5086</v>
      </c>
      <c r="B288" t="s">
        <v>11876</v>
      </c>
      <c r="C288">
        <v>5</v>
      </c>
      <c r="D288" t="s">
        <v>4304</v>
      </c>
      <c r="E288" t="s">
        <v>3436</v>
      </c>
      <c r="F288" t="s">
        <v>3882</v>
      </c>
      <c r="G288">
        <v>5086</v>
      </c>
      <c r="H288" t="s">
        <v>11320</v>
      </c>
      <c r="I288">
        <v>806</v>
      </c>
      <c r="J288">
        <v>1104</v>
      </c>
      <c r="K288">
        <v>104.07061</v>
      </c>
      <c r="L288" t="s">
        <v>4305</v>
      </c>
      <c r="M288">
        <v>673</v>
      </c>
      <c r="N288" t="s">
        <v>11877</v>
      </c>
      <c r="O288" t="s">
        <v>11878</v>
      </c>
      <c r="P288" t="s">
        <v>11876</v>
      </c>
    </row>
    <row r="289" spans="1:16" x14ac:dyDescent="0.2">
      <c r="A289" t="str">
        <f t="shared" si="4"/>
        <v>metab_compid_32415</v>
      </c>
      <c r="B289" t="s">
        <v>11879</v>
      </c>
      <c r="C289">
        <v>1235</v>
      </c>
      <c r="D289" t="s">
        <v>5936</v>
      </c>
      <c r="E289" t="s">
        <v>3459</v>
      </c>
      <c r="F289" t="s">
        <v>11702</v>
      </c>
      <c r="G289">
        <v>32415</v>
      </c>
      <c r="H289" t="s">
        <v>11327</v>
      </c>
      <c r="I289">
        <v>100001182</v>
      </c>
      <c r="J289">
        <v>6034</v>
      </c>
      <c r="K289">
        <v>335.29554999999999</v>
      </c>
      <c r="L289" t="s">
        <v>5937</v>
      </c>
      <c r="M289">
        <v>5282807</v>
      </c>
      <c r="N289" t="s">
        <v>5940</v>
      </c>
      <c r="O289" t="s">
        <v>11880</v>
      </c>
      <c r="P289" t="s">
        <v>11879</v>
      </c>
    </row>
    <row r="290" spans="1:16" x14ac:dyDescent="0.2">
      <c r="A290" t="str">
        <f t="shared" si="4"/>
        <v>metab_compid_39837</v>
      </c>
      <c r="B290" t="s">
        <v>11881</v>
      </c>
      <c r="C290">
        <v>1341</v>
      </c>
      <c r="D290" t="s">
        <v>7771</v>
      </c>
      <c r="E290" t="s">
        <v>3459</v>
      </c>
      <c r="F290" t="s">
        <v>3873</v>
      </c>
      <c r="G290">
        <v>39837</v>
      </c>
      <c r="H290" t="s">
        <v>11327</v>
      </c>
      <c r="I290">
        <v>100002952</v>
      </c>
      <c r="J290">
        <v>5291.8</v>
      </c>
      <c r="K290">
        <v>369.30103000000003</v>
      </c>
      <c r="L290" t="s">
        <v>7772</v>
      </c>
      <c r="M290">
        <v>244872</v>
      </c>
      <c r="N290" t="s">
        <v>11882</v>
      </c>
      <c r="O290" t="s">
        <v>11145</v>
      </c>
      <c r="P290" t="s">
        <v>11881</v>
      </c>
    </row>
    <row r="291" spans="1:16" x14ac:dyDescent="0.2">
      <c r="A291" t="str">
        <f t="shared" si="4"/>
        <v>metab_compid_44675</v>
      </c>
      <c r="B291" t="s">
        <v>11883</v>
      </c>
      <c r="C291">
        <v>1222</v>
      </c>
      <c r="D291" t="s">
        <v>5459</v>
      </c>
      <c r="E291" t="s">
        <v>3459</v>
      </c>
      <c r="F291" t="s">
        <v>11702</v>
      </c>
      <c r="G291">
        <v>44675</v>
      </c>
      <c r="H291" t="s">
        <v>11327</v>
      </c>
      <c r="I291">
        <v>100000665</v>
      </c>
      <c r="J291">
        <v>5525</v>
      </c>
      <c r="K291">
        <v>327.23295000000002</v>
      </c>
      <c r="L291" t="s">
        <v>5460</v>
      </c>
      <c r="M291">
        <v>445580</v>
      </c>
      <c r="N291" t="s">
        <v>5463</v>
      </c>
      <c r="O291" t="s">
        <v>11884</v>
      </c>
      <c r="P291" t="s">
        <v>11883</v>
      </c>
    </row>
    <row r="292" spans="1:16" x14ac:dyDescent="0.2">
      <c r="A292" t="str">
        <f t="shared" si="4"/>
        <v>metab_compid_53263</v>
      </c>
      <c r="B292" t="s">
        <v>11885</v>
      </c>
      <c r="C292">
        <v>1511</v>
      </c>
      <c r="D292" t="s">
        <v>9190</v>
      </c>
      <c r="E292" t="s">
        <v>3459</v>
      </c>
      <c r="F292" t="s">
        <v>9134</v>
      </c>
      <c r="G292">
        <v>53263</v>
      </c>
      <c r="H292" t="s">
        <v>11322</v>
      </c>
      <c r="I292">
        <v>100009333</v>
      </c>
      <c r="J292">
        <v>1378</v>
      </c>
      <c r="K292">
        <v>414.33665999999999</v>
      </c>
      <c r="L292" t="s">
        <v>11145</v>
      </c>
      <c r="M292" t="s">
        <v>11145</v>
      </c>
      <c r="N292" t="s">
        <v>11145</v>
      </c>
      <c r="O292" t="s">
        <v>11145</v>
      </c>
      <c r="P292" t="s">
        <v>11885</v>
      </c>
    </row>
    <row r="293" spans="1:16" x14ac:dyDescent="0.2">
      <c r="A293" t="str">
        <f t="shared" si="4"/>
        <v>metab_compid_32504</v>
      </c>
      <c r="B293" t="s">
        <v>11886</v>
      </c>
      <c r="C293">
        <v>1221</v>
      </c>
      <c r="D293" t="s">
        <v>5928</v>
      </c>
      <c r="E293" t="s">
        <v>3459</v>
      </c>
      <c r="F293" t="s">
        <v>11702</v>
      </c>
      <c r="G293">
        <v>32504</v>
      </c>
      <c r="H293" t="s">
        <v>11327</v>
      </c>
      <c r="I293">
        <v>100001181</v>
      </c>
      <c r="J293">
        <v>5571</v>
      </c>
      <c r="K293">
        <v>329.24860000000001</v>
      </c>
      <c r="L293" t="s">
        <v>5930</v>
      </c>
      <c r="M293">
        <v>6441454</v>
      </c>
      <c r="N293" t="s">
        <v>5932</v>
      </c>
      <c r="O293" t="s">
        <v>11887</v>
      </c>
      <c r="P293" t="s">
        <v>11886</v>
      </c>
    </row>
    <row r="294" spans="1:16" x14ac:dyDescent="0.2">
      <c r="A294" t="str">
        <f t="shared" si="4"/>
        <v>metab_compid_57529</v>
      </c>
      <c r="B294" t="s">
        <v>11888</v>
      </c>
      <c r="C294">
        <v>1482</v>
      </c>
      <c r="D294" t="s">
        <v>9508</v>
      </c>
      <c r="E294" t="s">
        <v>3459</v>
      </c>
      <c r="F294" t="s">
        <v>11596</v>
      </c>
      <c r="G294">
        <v>57529</v>
      </c>
      <c r="H294" t="s">
        <v>11322</v>
      </c>
      <c r="I294">
        <v>100015851</v>
      </c>
      <c r="J294">
        <v>1387</v>
      </c>
      <c r="K294">
        <v>474.35777000000002</v>
      </c>
      <c r="L294" t="s">
        <v>11145</v>
      </c>
      <c r="M294" t="s">
        <v>11145</v>
      </c>
      <c r="N294" t="s">
        <v>11145</v>
      </c>
      <c r="O294" t="s">
        <v>11145</v>
      </c>
      <c r="P294" t="s">
        <v>11888</v>
      </c>
    </row>
    <row r="295" spans="1:16" x14ac:dyDescent="0.2">
      <c r="A295" t="str">
        <f t="shared" si="4"/>
        <v>metab_compid_62276</v>
      </c>
      <c r="B295" t="s">
        <v>11889</v>
      </c>
      <c r="C295">
        <v>1330</v>
      </c>
      <c r="D295" t="s">
        <v>9769</v>
      </c>
      <c r="E295" t="s">
        <v>3459</v>
      </c>
      <c r="F295" t="s">
        <v>3873</v>
      </c>
      <c r="G295">
        <v>62276</v>
      </c>
      <c r="H295" t="s">
        <v>11327</v>
      </c>
      <c r="I295">
        <v>100020478</v>
      </c>
      <c r="J295">
        <v>5146</v>
      </c>
      <c r="K295">
        <v>195.13905</v>
      </c>
      <c r="L295" t="s">
        <v>11145</v>
      </c>
      <c r="M295" t="s">
        <v>11145</v>
      </c>
      <c r="N295" t="s">
        <v>11145</v>
      </c>
      <c r="O295" t="s">
        <v>11145</v>
      </c>
      <c r="P295" t="s">
        <v>11889</v>
      </c>
    </row>
    <row r="296" spans="1:16" x14ac:dyDescent="0.2">
      <c r="A296" t="str">
        <f t="shared" si="4"/>
        <v>metab_compid_32388</v>
      </c>
      <c r="B296" t="s">
        <v>11890</v>
      </c>
      <c r="C296">
        <v>1332</v>
      </c>
      <c r="D296" t="s">
        <v>5822</v>
      </c>
      <c r="E296" t="s">
        <v>3459</v>
      </c>
      <c r="F296" t="s">
        <v>3873</v>
      </c>
      <c r="G296">
        <v>32388</v>
      </c>
      <c r="H296" t="s">
        <v>11327</v>
      </c>
      <c r="I296">
        <v>100001102</v>
      </c>
      <c r="J296">
        <v>2990</v>
      </c>
      <c r="K296">
        <v>229.14453</v>
      </c>
      <c r="L296" t="s">
        <v>5824</v>
      </c>
      <c r="M296">
        <v>12736</v>
      </c>
      <c r="N296" t="s">
        <v>5827</v>
      </c>
      <c r="O296" t="s">
        <v>11891</v>
      </c>
      <c r="P296" t="s">
        <v>11890</v>
      </c>
    </row>
    <row r="297" spans="1:16" x14ac:dyDescent="0.2">
      <c r="A297" t="str">
        <f t="shared" si="4"/>
        <v>metab_compid_48407</v>
      </c>
      <c r="B297" t="s">
        <v>11892</v>
      </c>
      <c r="C297">
        <v>184</v>
      </c>
      <c r="D297" t="s">
        <v>8629</v>
      </c>
      <c r="E297" t="s">
        <v>3436</v>
      </c>
      <c r="F297" t="s">
        <v>3687</v>
      </c>
      <c r="G297">
        <v>48407</v>
      </c>
      <c r="H297" t="s">
        <v>11327</v>
      </c>
      <c r="I297">
        <v>100006361</v>
      </c>
      <c r="J297">
        <v>1556.2</v>
      </c>
      <c r="K297">
        <v>232.02844999999999</v>
      </c>
      <c r="L297" t="s">
        <v>11145</v>
      </c>
      <c r="M297">
        <v>122136</v>
      </c>
      <c r="N297" t="s">
        <v>8632</v>
      </c>
      <c r="O297" t="s">
        <v>11893</v>
      </c>
      <c r="P297" t="s">
        <v>11892</v>
      </c>
    </row>
    <row r="298" spans="1:16" x14ac:dyDescent="0.2">
      <c r="A298" t="str">
        <f t="shared" si="4"/>
        <v>metab_compid_39831</v>
      </c>
      <c r="B298" t="s">
        <v>11894</v>
      </c>
      <c r="C298">
        <v>1340</v>
      </c>
      <c r="D298" t="s">
        <v>11895</v>
      </c>
      <c r="E298" t="s">
        <v>3459</v>
      </c>
      <c r="F298" t="s">
        <v>3873</v>
      </c>
      <c r="G298">
        <v>39831</v>
      </c>
      <c r="H298" t="s">
        <v>11327</v>
      </c>
      <c r="I298">
        <v>100002951</v>
      </c>
      <c r="J298">
        <v>5200.8999999999996</v>
      </c>
      <c r="K298">
        <v>341.26972999999998</v>
      </c>
      <c r="L298" t="s">
        <v>7766</v>
      </c>
      <c r="M298">
        <v>75502</v>
      </c>
      <c r="N298" t="s">
        <v>11145</v>
      </c>
      <c r="O298" t="s">
        <v>11145</v>
      </c>
      <c r="P298" t="s">
        <v>11894</v>
      </c>
    </row>
    <row r="299" spans="1:16" x14ac:dyDescent="0.2">
      <c r="A299" t="str">
        <f t="shared" si="4"/>
        <v>metab_compid_18467</v>
      </c>
      <c r="B299" t="s">
        <v>11896</v>
      </c>
      <c r="C299">
        <v>1220</v>
      </c>
      <c r="D299" t="s">
        <v>5114</v>
      </c>
      <c r="E299" t="s">
        <v>3459</v>
      </c>
      <c r="F299" t="s">
        <v>11702</v>
      </c>
      <c r="G299">
        <v>18467</v>
      </c>
      <c r="H299" t="s">
        <v>11327</v>
      </c>
      <c r="I299">
        <v>2050</v>
      </c>
      <c r="J299">
        <v>5450</v>
      </c>
      <c r="K299">
        <v>301.21730000000002</v>
      </c>
      <c r="L299" t="s">
        <v>11897</v>
      </c>
      <c r="M299">
        <v>446284</v>
      </c>
      <c r="N299" t="s">
        <v>5118</v>
      </c>
      <c r="O299" t="s">
        <v>11898</v>
      </c>
      <c r="P299" t="s">
        <v>11896</v>
      </c>
    </row>
    <row r="300" spans="1:16" x14ac:dyDescent="0.2">
      <c r="A300" t="str">
        <f t="shared" si="4"/>
        <v>metab_compid_33587</v>
      </c>
      <c r="B300" t="s">
        <v>11899</v>
      </c>
      <c r="C300">
        <v>1202</v>
      </c>
      <c r="D300" t="s">
        <v>6269</v>
      </c>
      <c r="E300" t="s">
        <v>3459</v>
      </c>
      <c r="F300" t="s">
        <v>11502</v>
      </c>
      <c r="G300">
        <v>33587</v>
      </c>
      <c r="H300" t="s">
        <v>11327</v>
      </c>
      <c r="I300">
        <v>100001335</v>
      </c>
      <c r="J300">
        <v>5950</v>
      </c>
      <c r="K300">
        <v>309.2799</v>
      </c>
      <c r="L300" t="s">
        <v>11145</v>
      </c>
      <c r="M300">
        <v>5282768</v>
      </c>
      <c r="N300" t="s">
        <v>6273</v>
      </c>
      <c r="O300" t="s">
        <v>11900</v>
      </c>
      <c r="P300" t="s">
        <v>11899</v>
      </c>
    </row>
    <row r="301" spans="1:16" x14ac:dyDescent="0.2">
      <c r="A301" t="str">
        <f t="shared" si="4"/>
        <v>metab_compid_57519</v>
      </c>
      <c r="B301" t="s">
        <v>11901</v>
      </c>
      <c r="C301">
        <v>1478</v>
      </c>
      <c r="D301" t="s">
        <v>11902</v>
      </c>
      <c r="E301" t="s">
        <v>3459</v>
      </c>
      <c r="F301" t="s">
        <v>11596</v>
      </c>
      <c r="G301">
        <v>57519</v>
      </c>
      <c r="H301" t="s">
        <v>11322</v>
      </c>
      <c r="I301">
        <v>100015838</v>
      </c>
      <c r="J301">
        <v>1484</v>
      </c>
      <c r="K301">
        <v>454.38909000000001</v>
      </c>
      <c r="L301" t="s">
        <v>11145</v>
      </c>
      <c r="M301" t="s">
        <v>11145</v>
      </c>
      <c r="N301" t="s">
        <v>11145</v>
      </c>
      <c r="O301" t="s">
        <v>11145</v>
      </c>
      <c r="P301" t="s">
        <v>11901</v>
      </c>
    </row>
    <row r="302" spans="1:16" x14ac:dyDescent="0.2">
      <c r="A302" t="str">
        <f t="shared" si="4"/>
        <v>metab_compid_33973</v>
      </c>
      <c r="B302" t="s">
        <v>11903</v>
      </c>
      <c r="C302">
        <v>2684</v>
      </c>
      <c r="D302" t="s">
        <v>6142</v>
      </c>
      <c r="E302" t="s">
        <v>3459</v>
      </c>
      <c r="F302" t="s">
        <v>5559</v>
      </c>
      <c r="G302">
        <v>33973</v>
      </c>
      <c r="H302" t="s">
        <v>11327</v>
      </c>
      <c r="I302">
        <v>100001287</v>
      </c>
      <c r="J302">
        <v>4855</v>
      </c>
      <c r="K302">
        <v>369.17410999999998</v>
      </c>
      <c r="L302" t="s">
        <v>6143</v>
      </c>
      <c r="M302">
        <v>9929317</v>
      </c>
      <c r="N302" t="s">
        <v>11145</v>
      </c>
      <c r="O302" t="s">
        <v>11145</v>
      </c>
      <c r="P302" t="s">
        <v>11903</v>
      </c>
    </row>
    <row r="303" spans="1:16" x14ac:dyDescent="0.2">
      <c r="A303" t="str">
        <f t="shared" si="4"/>
        <v>metab_compid_1552</v>
      </c>
      <c r="B303" t="s">
        <v>11904</v>
      </c>
      <c r="C303">
        <v>1207</v>
      </c>
      <c r="D303" t="s">
        <v>4633</v>
      </c>
      <c r="E303" t="s">
        <v>3459</v>
      </c>
      <c r="F303" t="s">
        <v>11502</v>
      </c>
      <c r="G303">
        <v>1552</v>
      </c>
      <c r="H303" t="s">
        <v>11327</v>
      </c>
      <c r="I303">
        <v>1087</v>
      </c>
      <c r="J303">
        <v>6355.6</v>
      </c>
      <c r="K303">
        <v>337.31119999999999</v>
      </c>
      <c r="L303" t="s">
        <v>4634</v>
      </c>
      <c r="M303">
        <v>5281116</v>
      </c>
      <c r="N303" t="s">
        <v>4637</v>
      </c>
      <c r="O303" t="s">
        <v>11905</v>
      </c>
      <c r="P303" t="s">
        <v>11904</v>
      </c>
    </row>
    <row r="304" spans="1:16" x14ac:dyDescent="0.2">
      <c r="A304" t="str">
        <f t="shared" si="4"/>
        <v>metab_compid_42420</v>
      </c>
      <c r="B304" t="s">
        <v>11906</v>
      </c>
      <c r="C304">
        <v>1115</v>
      </c>
      <c r="D304" t="s">
        <v>6231</v>
      </c>
      <c r="E304" t="s">
        <v>3977</v>
      </c>
      <c r="F304" t="s">
        <v>4806</v>
      </c>
      <c r="G304">
        <v>42420</v>
      </c>
      <c r="H304" t="s">
        <v>11545</v>
      </c>
      <c r="I304">
        <v>100001320</v>
      </c>
      <c r="J304">
        <v>2186</v>
      </c>
      <c r="K304">
        <v>135.02988999999999</v>
      </c>
      <c r="L304" t="s">
        <v>6232</v>
      </c>
      <c r="M304">
        <v>2781043</v>
      </c>
      <c r="N304" t="s">
        <v>11145</v>
      </c>
      <c r="O304" t="s">
        <v>11907</v>
      </c>
      <c r="P304" t="s">
        <v>11906</v>
      </c>
    </row>
    <row r="305" spans="1:16" x14ac:dyDescent="0.2">
      <c r="A305" t="str">
        <f t="shared" si="4"/>
        <v>metab_compid_15765</v>
      </c>
      <c r="B305" t="s">
        <v>11908</v>
      </c>
      <c r="C305">
        <v>307</v>
      </c>
      <c r="D305" t="s">
        <v>5129</v>
      </c>
      <c r="E305" t="s">
        <v>3436</v>
      </c>
      <c r="F305" t="s">
        <v>3498</v>
      </c>
      <c r="G305">
        <v>15765</v>
      </c>
      <c r="H305" t="s">
        <v>11545</v>
      </c>
      <c r="I305">
        <v>2054</v>
      </c>
      <c r="J305">
        <v>2785</v>
      </c>
      <c r="K305">
        <v>131.03497999999999</v>
      </c>
      <c r="L305" t="s">
        <v>5130</v>
      </c>
      <c r="M305">
        <v>11756</v>
      </c>
      <c r="N305" t="s">
        <v>11145</v>
      </c>
      <c r="O305" t="s">
        <v>11909</v>
      </c>
      <c r="P305" t="s">
        <v>11908</v>
      </c>
    </row>
    <row r="306" spans="1:16" x14ac:dyDescent="0.2">
      <c r="A306" t="str">
        <f t="shared" si="4"/>
        <v>metab_compid_47112</v>
      </c>
      <c r="B306" t="s">
        <v>11910</v>
      </c>
      <c r="C306">
        <v>2695</v>
      </c>
      <c r="D306" t="s">
        <v>8322</v>
      </c>
      <c r="E306" t="s">
        <v>3459</v>
      </c>
      <c r="F306" t="s">
        <v>5559</v>
      </c>
      <c r="G306">
        <v>47112</v>
      </c>
      <c r="H306" t="s">
        <v>11327</v>
      </c>
      <c r="I306">
        <v>100005403</v>
      </c>
      <c r="J306">
        <v>4915</v>
      </c>
      <c r="K306">
        <v>465.24939000000001</v>
      </c>
      <c r="L306">
        <v>621890</v>
      </c>
      <c r="M306">
        <v>270605</v>
      </c>
      <c r="N306" t="s">
        <v>11145</v>
      </c>
      <c r="O306" t="s">
        <v>11911</v>
      </c>
      <c r="P306" t="s">
        <v>11910</v>
      </c>
    </row>
    <row r="307" spans="1:16" x14ac:dyDescent="0.2">
      <c r="A307" t="str">
        <f t="shared" si="4"/>
        <v>metab_compid_62148</v>
      </c>
      <c r="B307" t="s">
        <v>11912</v>
      </c>
      <c r="C307">
        <v>891</v>
      </c>
      <c r="D307" t="s">
        <v>11913</v>
      </c>
      <c r="E307" t="s">
        <v>3853</v>
      </c>
      <c r="F307" t="s">
        <v>6236</v>
      </c>
      <c r="G307">
        <v>62148</v>
      </c>
      <c r="H307" t="s">
        <v>11327</v>
      </c>
      <c r="I307">
        <v>100020274</v>
      </c>
      <c r="J307">
        <v>2850</v>
      </c>
      <c r="K307">
        <v>601.77795000000003</v>
      </c>
      <c r="L307" t="s">
        <v>11145</v>
      </c>
      <c r="M307" t="s">
        <v>11145</v>
      </c>
      <c r="N307" t="s">
        <v>11145</v>
      </c>
      <c r="O307" t="s">
        <v>11145</v>
      </c>
      <c r="P307" t="s">
        <v>11912</v>
      </c>
    </row>
    <row r="308" spans="1:16" x14ac:dyDescent="0.2">
      <c r="A308" t="str">
        <f t="shared" si="4"/>
        <v>metab_compid_62149</v>
      </c>
      <c r="B308" t="s">
        <v>11914</v>
      </c>
      <c r="C308">
        <v>892</v>
      </c>
      <c r="D308" t="s">
        <v>11915</v>
      </c>
      <c r="E308" t="s">
        <v>3853</v>
      </c>
      <c r="F308" t="s">
        <v>6236</v>
      </c>
      <c r="G308">
        <v>62149</v>
      </c>
      <c r="H308" t="s">
        <v>11327</v>
      </c>
      <c r="I308">
        <v>100020275</v>
      </c>
      <c r="J308">
        <v>3258</v>
      </c>
      <c r="K308">
        <v>508.74529999999999</v>
      </c>
      <c r="L308" t="s">
        <v>11145</v>
      </c>
      <c r="M308" t="s">
        <v>11145</v>
      </c>
      <c r="N308" t="s">
        <v>11145</v>
      </c>
      <c r="O308" t="s">
        <v>11145</v>
      </c>
      <c r="P308" t="s">
        <v>11914</v>
      </c>
    </row>
    <row r="309" spans="1:16" x14ac:dyDescent="0.2">
      <c r="A309" t="str">
        <f t="shared" si="4"/>
        <v>metab_compid_31548</v>
      </c>
      <c r="B309" t="s">
        <v>11916</v>
      </c>
      <c r="C309">
        <v>879</v>
      </c>
      <c r="D309" t="s">
        <v>11917</v>
      </c>
      <c r="E309" t="s">
        <v>3853</v>
      </c>
      <c r="F309" t="s">
        <v>6236</v>
      </c>
      <c r="G309">
        <v>31548</v>
      </c>
      <c r="H309" t="s">
        <v>11327</v>
      </c>
      <c r="I309">
        <v>100001323</v>
      </c>
      <c r="J309">
        <v>2535</v>
      </c>
      <c r="K309">
        <v>731.31677000000002</v>
      </c>
      <c r="L309" t="s">
        <v>11145</v>
      </c>
      <c r="M309" t="s">
        <v>11145</v>
      </c>
      <c r="N309" t="s">
        <v>11145</v>
      </c>
      <c r="O309" t="s">
        <v>11145</v>
      </c>
      <c r="P309" t="s">
        <v>11916</v>
      </c>
    </row>
    <row r="310" spans="1:16" x14ac:dyDescent="0.2">
      <c r="A310" t="str">
        <f t="shared" si="4"/>
        <v>metab_compid_48195</v>
      </c>
      <c r="B310" t="s">
        <v>11918</v>
      </c>
      <c r="C310">
        <v>1039</v>
      </c>
      <c r="D310" t="s">
        <v>4384</v>
      </c>
      <c r="E310" t="s">
        <v>3977</v>
      </c>
      <c r="F310" t="s">
        <v>4293</v>
      </c>
      <c r="G310">
        <v>48195</v>
      </c>
      <c r="H310" t="s">
        <v>11545</v>
      </c>
      <c r="I310">
        <v>878</v>
      </c>
      <c r="J310">
        <v>2065</v>
      </c>
      <c r="K310">
        <v>225.06159</v>
      </c>
      <c r="L310" t="s">
        <v>4385</v>
      </c>
      <c r="M310">
        <v>5984</v>
      </c>
      <c r="N310" t="s">
        <v>4388</v>
      </c>
      <c r="O310" t="s">
        <v>11919</v>
      </c>
      <c r="P310" t="s">
        <v>11918</v>
      </c>
    </row>
    <row r="311" spans="1:16" x14ac:dyDescent="0.2">
      <c r="A311" t="str">
        <f t="shared" si="4"/>
        <v>metab_compid_1643</v>
      </c>
      <c r="B311" t="s">
        <v>11920</v>
      </c>
      <c r="C311">
        <v>1132</v>
      </c>
      <c r="D311" t="s">
        <v>3847</v>
      </c>
      <c r="E311" t="s">
        <v>3479</v>
      </c>
      <c r="F311" t="s">
        <v>3480</v>
      </c>
      <c r="G311">
        <v>1643</v>
      </c>
      <c r="H311" t="s">
        <v>11545</v>
      </c>
      <c r="I311">
        <v>330</v>
      </c>
      <c r="J311">
        <v>3084</v>
      </c>
      <c r="K311">
        <v>115.00368</v>
      </c>
      <c r="L311" t="s">
        <v>3848</v>
      </c>
      <c r="M311">
        <v>444972</v>
      </c>
      <c r="N311" t="s">
        <v>3851</v>
      </c>
      <c r="O311" t="s">
        <v>11921</v>
      </c>
      <c r="P311" t="s">
        <v>11920</v>
      </c>
    </row>
    <row r="312" spans="1:16" x14ac:dyDescent="0.2">
      <c r="A312" t="str">
        <f t="shared" si="4"/>
        <v>metab_compid_44876</v>
      </c>
      <c r="B312" t="s">
        <v>11922</v>
      </c>
      <c r="C312">
        <v>3605</v>
      </c>
      <c r="D312" t="s">
        <v>7242</v>
      </c>
      <c r="E312" t="s">
        <v>3448</v>
      </c>
      <c r="F312" t="s">
        <v>4679</v>
      </c>
      <c r="G312">
        <v>44876</v>
      </c>
      <c r="H312" t="s">
        <v>11327</v>
      </c>
      <c r="I312">
        <v>100002094</v>
      </c>
      <c r="J312">
        <v>3843</v>
      </c>
      <c r="K312">
        <v>263.12887999999998</v>
      </c>
      <c r="L312" t="s">
        <v>7243</v>
      </c>
      <c r="M312">
        <v>133098</v>
      </c>
      <c r="N312" t="s">
        <v>11145</v>
      </c>
      <c r="O312" t="s">
        <v>11923</v>
      </c>
      <c r="P312" t="s">
        <v>11922</v>
      </c>
    </row>
    <row r="313" spans="1:16" x14ac:dyDescent="0.2">
      <c r="A313" t="str">
        <f t="shared" si="4"/>
        <v>metab_compid_55015</v>
      </c>
      <c r="B313" t="s">
        <v>11924</v>
      </c>
      <c r="C313">
        <v>461</v>
      </c>
      <c r="D313" t="s">
        <v>9266</v>
      </c>
      <c r="E313" t="s">
        <v>3853</v>
      </c>
      <c r="F313" t="s">
        <v>3854</v>
      </c>
      <c r="G313">
        <v>55015</v>
      </c>
      <c r="H313" t="s">
        <v>11320</v>
      </c>
      <c r="I313">
        <v>100010901</v>
      </c>
      <c r="J313">
        <v>2784</v>
      </c>
      <c r="K313">
        <v>276.15539999999999</v>
      </c>
      <c r="L313" t="s">
        <v>11145</v>
      </c>
      <c r="M313">
        <v>65254</v>
      </c>
      <c r="N313" t="s">
        <v>11145</v>
      </c>
      <c r="O313" t="s">
        <v>11145</v>
      </c>
      <c r="P313" t="s">
        <v>11924</v>
      </c>
    </row>
    <row r="314" spans="1:16" x14ac:dyDescent="0.2">
      <c r="A314" t="str">
        <f t="shared" si="4"/>
        <v>metab_compid_33934</v>
      </c>
      <c r="B314" t="s">
        <v>11925</v>
      </c>
      <c r="C314">
        <v>462</v>
      </c>
      <c r="D314" t="s">
        <v>11926</v>
      </c>
      <c r="E314" t="s">
        <v>3853</v>
      </c>
      <c r="F314" t="s">
        <v>3854</v>
      </c>
      <c r="G314">
        <v>33934</v>
      </c>
      <c r="H314" t="s">
        <v>11320</v>
      </c>
      <c r="I314">
        <v>100001262</v>
      </c>
      <c r="J314">
        <v>2717</v>
      </c>
      <c r="K314">
        <v>276.15539999999999</v>
      </c>
      <c r="L314" t="s">
        <v>11927</v>
      </c>
      <c r="M314">
        <v>7015685</v>
      </c>
      <c r="N314" t="s">
        <v>11145</v>
      </c>
      <c r="O314" t="s">
        <v>11928</v>
      </c>
      <c r="P314" t="s">
        <v>11925</v>
      </c>
    </row>
    <row r="315" spans="1:16" x14ac:dyDescent="0.2">
      <c r="A315" t="str">
        <f t="shared" si="4"/>
        <v>metab_compid_37063</v>
      </c>
      <c r="B315" t="s">
        <v>11929</v>
      </c>
      <c r="C315">
        <v>453</v>
      </c>
      <c r="D315" t="s">
        <v>7032</v>
      </c>
      <c r="E315" t="s">
        <v>3853</v>
      </c>
      <c r="F315" t="s">
        <v>3854</v>
      </c>
      <c r="G315">
        <v>37063</v>
      </c>
      <c r="H315" t="s">
        <v>11320</v>
      </c>
      <c r="I315">
        <v>100001843</v>
      </c>
      <c r="J315">
        <v>1986</v>
      </c>
      <c r="K315">
        <v>219.09755000000001</v>
      </c>
      <c r="L315" t="s">
        <v>7033</v>
      </c>
      <c r="M315">
        <v>440103</v>
      </c>
      <c r="N315" t="s">
        <v>11145</v>
      </c>
      <c r="O315" t="s">
        <v>11930</v>
      </c>
      <c r="P315" t="s">
        <v>11929</v>
      </c>
    </row>
    <row r="316" spans="1:16" x14ac:dyDescent="0.2">
      <c r="A316" t="str">
        <f t="shared" si="4"/>
        <v>metab_compid_2730</v>
      </c>
      <c r="B316" t="s">
        <v>11931</v>
      </c>
      <c r="C316">
        <v>456</v>
      </c>
      <c r="D316" t="s">
        <v>4784</v>
      </c>
      <c r="E316" t="s">
        <v>3853</v>
      </c>
      <c r="F316" t="s">
        <v>3854</v>
      </c>
      <c r="G316">
        <v>2730</v>
      </c>
      <c r="H316" t="s">
        <v>11320</v>
      </c>
      <c r="I316">
        <v>1140</v>
      </c>
      <c r="J316">
        <v>1430</v>
      </c>
      <c r="K316">
        <v>276.11901999999998</v>
      </c>
      <c r="L316" t="s">
        <v>4785</v>
      </c>
      <c r="M316">
        <v>150914</v>
      </c>
      <c r="N316" t="s">
        <v>4788</v>
      </c>
      <c r="O316" t="s">
        <v>11932</v>
      </c>
      <c r="P316" t="s">
        <v>11931</v>
      </c>
    </row>
    <row r="317" spans="1:16" x14ac:dyDescent="0.2">
      <c r="A317" t="str">
        <f t="shared" si="4"/>
        <v>metab_compid_33949</v>
      </c>
      <c r="B317" t="s">
        <v>11933</v>
      </c>
      <c r="C317">
        <v>457</v>
      </c>
      <c r="D317" t="s">
        <v>6166</v>
      </c>
      <c r="E317" t="s">
        <v>3853</v>
      </c>
      <c r="F317" t="s">
        <v>3854</v>
      </c>
      <c r="G317">
        <v>33949</v>
      </c>
      <c r="H317" t="s">
        <v>11320</v>
      </c>
      <c r="I317">
        <v>100001294</v>
      </c>
      <c r="J317">
        <v>1535</v>
      </c>
      <c r="K317">
        <v>205.08189999999999</v>
      </c>
      <c r="L317" t="s">
        <v>6167</v>
      </c>
      <c r="M317">
        <v>165527</v>
      </c>
      <c r="N317" t="s">
        <v>11145</v>
      </c>
      <c r="O317" t="s">
        <v>11934</v>
      </c>
      <c r="P317" t="s">
        <v>11933</v>
      </c>
    </row>
    <row r="318" spans="1:16" x14ac:dyDescent="0.2">
      <c r="A318" t="str">
        <f t="shared" si="4"/>
        <v>metab_compid_18245</v>
      </c>
      <c r="B318" t="s">
        <v>11935</v>
      </c>
      <c r="C318">
        <v>458</v>
      </c>
      <c r="D318" t="s">
        <v>4864</v>
      </c>
      <c r="E318" t="s">
        <v>3853</v>
      </c>
      <c r="F318" t="s">
        <v>3854</v>
      </c>
      <c r="G318">
        <v>18245</v>
      </c>
      <c r="H318" t="s">
        <v>11320</v>
      </c>
      <c r="I318">
        <v>1235</v>
      </c>
      <c r="J318">
        <v>2740</v>
      </c>
      <c r="K318">
        <v>285.11935</v>
      </c>
      <c r="L318" t="s">
        <v>4865</v>
      </c>
      <c r="M318">
        <v>7017195</v>
      </c>
      <c r="N318" t="s">
        <v>11145</v>
      </c>
      <c r="O318" t="s">
        <v>11145</v>
      </c>
      <c r="P318" t="s">
        <v>11935</v>
      </c>
    </row>
    <row r="319" spans="1:16" x14ac:dyDescent="0.2">
      <c r="A319" t="str">
        <f t="shared" si="4"/>
        <v>metab_compid_34456</v>
      </c>
      <c r="B319" t="s">
        <v>11936</v>
      </c>
      <c r="C319">
        <v>459</v>
      </c>
      <c r="D319" t="s">
        <v>6531</v>
      </c>
      <c r="E319" t="s">
        <v>3853</v>
      </c>
      <c r="F319" t="s">
        <v>3854</v>
      </c>
      <c r="G319">
        <v>34456</v>
      </c>
      <c r="H319" t="s">
        <v>11320</v>
      </c>
      <c r="I319">
        <v>100001485</v>
      </c>
      <c r="J319">
        <v>2940</v>
      </c>
      <c r="K319">
        <v>261.14449999999999</v>
      </c>
      <c r="L319" t="s">
        <v>11145</v>
      </c>
      <c r="M319">
        <v>14253342</v>
      </c>
      <c r="N319" t="s">
        <v>11145</v>
      </c>
      <c r="O319" t="s">
        <v>11937</v>
      </c>
      <c r="P319" t="s">
        <v>11936</v>
      </c>
    </row>
    <row r="320" spans="1:16" x14ac:dyDescent="0.2">
      <c r="A320" t="str">
        <f t="shared" si="4"/>
        <v>metab_compid_18369</v>
      </c>
      <c r="B320" t="s">
        <v>11938</v>
      </c>
      <c r="C320">
        <v>460</v>
      </c>
      <c r="D320" t="s">
        <v>4921</v>
      </c>
      <c r="E320" t="s">
        <v>3853</v>
      </c>
      <c r="F320" t="s">
        <v>3854</v>
      </c>
      <c r="G320">
        <v>18369</v>
      </c>
      <c r="H320" t="s">
        <v>11327</v>
      </c>
      <c r="I320">
        <v>1268</v>
      </c>
      <c r="J320">
        <v>1685</v>
      </c>
      <c r="K320">
        <v>259.12993999999998</v>
      </c>
      <c r="L320" t="s">
        <v>4922</v>
      </c>
      <c r="M320">
        <v>151023</v>
      </c>
      <c r="N320" t="s">
        <v>11145</v>
      </c>
      <c r="O320" t="s">
        <v>11939</v>
      </c>
      <c r="P320" t="s">
        <v>11938</v>
      </c>
    </row>
    <row r="321" spans="1:16" x14ac:dyDescent="0.2">
      <c r="A321" t="str">
        <f t="shared" si="4"/>
        <v>metab_compid_44872</v>
      </c>
      <c r="B321" t="s">
        <v>11940</v>
      </c>
      <c r="C321">
        <v>463</v>
      </c>
      <c r="D321" t="s">
        <v>6201</v>
      </c>
      <c r="E321" t="s">
        <v>3853</v>
      </c>
      <c r="F321" t="s">
        <v>3854</v>
      </c>
      <c r="G321">
        <v>44872</v>
      </c>
      <c r="H321" t="s">
        <v>11327</v>
      </c>
      <c r="I321">
        <v>100001313</v>
      </c>
      <c r="J321">
        <v>1268</v>
      </c>
      <c r="K321">
        <v>277.08636000000001</v>
      </c>
      <c r="L321" t="s">
        <v>6202</v>
      </c>
      <c r="M321">
        <v>7009567</v>
      </c>
      <c r="N321" t="s">
        <v>11145</v>
      </c>
      <c r="O321" t="s">
        <v>11941</v>
      </c>
      <c r="P321" t="s">
        <v>11940</v>
      </c>
    </row>
    <row r="322" spans="1:16" x14ac:dyDescent="0.2">
      <c r="A322" t="str">
        <f t="shared" si="4"/>
        <v>metab_compid_33422</v>
      </c>
      <c r="B322" t="s">
        <v>11942</v>
      </c>
      <c r="C322">
        <v>464</v>
      </c>
      <c r="D322" t="s">
        <v>5391</v>
      </c>
      <c r="E322" t="s">
        <v>3853</v>
      </c>
      <c r="F322" t="s">
        <v>3854</v>
      </c>
      <c r="G322">
        <v>33422</v>
      </c>
      <c r="H322" t="s">
        <v>11327</v>
      </c>
      <c r="I322">
        <v>100000491</v>
      </c>
      <c r="J322">
        <v>1825</v>
      </c>
      <c r="K322">
        <v>293.11428999999998</v>
      </c>
      <c r="L322" t="s">
        <v>5392</v>
      </c>
      <c r="M322">
        <v>111299</v>
      </c>
      <c r="N322" t="s">
        <v>11145</v>
      </c>
      <c r="O322" t="s">
        <v>11943</v>
      </c>
      <c r="P322" t="s">
        <v>11942</v>
      </c>
    </row>
    <row r="323" spans="1:16" x14ac:dyDescent="0.2">
      <c r="A323" t="str">
        <f t="shared" ref="A323:A386" si="5">_xlfn.CONCAT("metab_compid_", $G323)</f>
        <v>metab_compid_33364</v>
      </c>
      <c r="B323" t="s">
        <v>11944</v>
      </c>
      <c r="C323">
        <v>465</v>
      </c>
      <c r="D323" t="s">
        <v>6208</v>
      </c>
      <c r="E323" t="s">
        <v>3853</v>
      </c>
      <c r="F323" t="s">
        <v>3854</v>
      </c>
      <c r="G323">
        <v>33364</v>
      </c>
      <c r="H323" t="s">
        <v>11320</v>
      </c>
      <c r="I323">
        <v>100001314</v>
      </c>
      <c r="J323">
        <v>1750</v>
      </c>
      <c r="K323">
        <v>249.10812000000001</v>
      </c>
      <c r="L323" t="s">
        <v>6209</v>
      </c>
      <c r="M323">
        <v>76078708</v>
      </c>
      <c r="N323" t="s">
        <v>11145</v>
      </c>
      <c r="O323" t="s">
        <v>11945</v>
      </c>
      <c r="P323" t="s">
        <v>11944</v>
      </c>
    </row>
    <row r="324" spans="1:16" x14ac:dyDescent="0.2">
      <c r="A324" t="str">
        <f t="shared" si="5"/>
        <v>metab_compid_2734</v>
      </c>
      <c r="B324" t="s">
        <v>11946</v>
      </c>
      <c r="C324">
        <v>467</v>
      </c>
      <c r="D324" t="s">
        <v>4667</v>
      </c>
      <c r="E324" t="s">
        <v>3853</v>
      </c>
      <c r="F324" t="s">
        <v>3854</v>
      </c>
      <c r="G324">
        <v>2734</v>
      </c>
      <c r="H324" t="s">
        <v>11327</v>
      </c>
      <c r="I324">
        <v>1102</v>
      </c>
      <c r="J324">
        <v>1240</v>
      </c>
      <c r="K324">
        <v>309.10921000000002</v>
      </c>
      <c r="L324" t="s">
        <v>4668</v>
      </c>
      <c r="M324">
        <v>94340</v>
      </c>
      <c r="N324" t="s">
        <v>11145</v>
      </c>
      <c r="O324" t="s">
        <v>11947</v>
      </c>
      <c r="P324" t="s">
        <v>11946</v>
      </c>
    </row>
    <row r="325" spans="1:16" x14ac:dyDescent="0.2">
      <c r="A325" t="str">
        <f t="shared" si="5"/>
        <v>metab_compid_43829</v>
      </c>
      <c r="B325" t="s">
        <v>11948</v>
      </c>
      <c r="C325">
        <v>468</v>
      </c>
      <c r="D325" t="s">
        <v>5876</v>
      </c>
      <c r="E325" t="s">
        <v>3853</v>
      </c>
      <c r="F325" t="s">
        <v>3854</v>
      </c>
      <c r="G325">
        <v>43829</v>
      </c>
      <c r="H325" t="s">
        <v>11327</v>
      </c>
      <c r="I325">
        <v>100001126</v>
      </c>
      <c r="J325">
        <v>1072</v>
      </c>
      <c r="K325">
        <v>245.11429000000001</v>
      </c>
      <c r="L325" t="s">
        <v>5877</v>
      </c>
      <c r="M325">
        <v>7015683</v>
      </c>
      <c r="N325" t="s">
        <v>11145</v>
      </c>
      <c r="O325" t="s">
        <v>11949</v>
      </c>
      <c r="P325" t="s">
        <v>11948</v>
      </c>
    </row>
    <row r="326" spans="1:16" x14ac:dyDescent="0.2">
      <c r="A326" t="str">
        <f t="shared" si="5"/>
        <v>metab_compid_52473</v>
      </c>
      <c r="B326" t="s">
        <v>11950</v>
      </c>
      <c r="C326">
        <v>3619</v>
      </c>
      <c r="D326" t="s">
        <v>8967</v>
      </c>
      <c r="E326" t="s">
        <v>3448</v>
      </c>
      <c r="F326" t="s">
        <v>4679</v>
      </c>
      <c r="G326">
        <v>52473</v>
      </c>
      <c r="H326" t="s">
        <v>11322</v>
      </c>
      <c r="I326">
        <v>100008998</v>
      </c>
      <c r="J326">
        <v>2384</v>
      </c>
      <c r="K326">
        <v>416.36426999999998</v>
      </c>
      <c r="L326" t="s">
        <v>11145</v>
      </c>
      <c r="M326" t="s">
        <v>11145</v>
      </c>
      <c r="N326" t="s">
        <v>11145</v>
      </c>
      <c r="O326" t="s">
        <v>11145</v>
      </c>
      <c r="P326" t="s">
        <v>11950</v>
      </c>
    </row>
    <row r="327" spans="1:16" x14ac:dyDescent="0.2">
      <c r="A327" t="str">
        <f t="shared" si="5"/>
        <v>metab_compid_18280</v>
      </c>
      <c r="B327" t="s">
        <v>11951</v>
      </c>
      <c r="C327">
        <v>178</v>
      </c>
      <c r="D327" t="s">
        <v>5352</v>
      </c>
      <c r="E327" t="s">
        <v>3436</v>
      </c>
      <c r="F327" t="s">
        <v>3687</v>
      </c>
      <c r="G327">
        <v>18280</v>
      </c>
      <c r="H327" t="s">
        <v>11327</v>
      </c>
      <c r="I327">
        <v>100000447</v>
      </c>
      <c r="J327">
        <v>1459.8</v>
      </c>
      <c r="K327">
        <v>153.01933</v>
      </c>
      <c r="L327" t="s">
        <v>5353</v>
      </c>
      <c r="M327">
        <v>3469</v>
      </c>
      <c r="N327" t="s">
        <v>5356</v>
      </c>
      <c r="O327" t="s">
        <v>11952</v>
      </c>
      <c r="P327" t="s">
        <v>11951</v>
      </c>
    </row>
    <row r="328" spans="1:16" x14ac:dyDescent="0.2">
      <c r="A328" t="str">
        <f t="shared" si="5"/>
        <v>metab_compid_20488</v>
      </c>
      <c r="B328" t="s">
        <v>11953</v>
      </c>
      <c r="C328">
        <v>929</v>
      </c>
      <c r="D328" t="s">
        <v>563</v>
      </c>
      <c r="E328" t="s">
        <v>3977</v>
      </c>
      <c r="F328" t="s">
        <v>4084</v>
      </c>
      <c r="G328">
        <v>20488</v>
      </c>
      <c r="H328" t="s">
        <v>11545</v>
      </c>
      <c r="I328">
        <v>572</v>
      </c>
      <c r="J328">
        <v>2342</v>
      </c>
      <c r="K328">
        <v>179.05610999999999</v>
      </c>
      <c r="L328" t="s">
        <v>4256</v>
      </c>
      <c r="M328">
        <v>79025</v>
      </c>
      <c r="N328" t="s">
        <v>4259</v>
      </c>
      <c r="O328" t="s">
        <v>11954</v>
      </c>
      <c r="P328" t="s">
        <v>11953</v>
      </c>
    </row>
    <row r="329" spans="1:16" x14ac:dyDescent="0.2">
      <c r="A329" t="str">
        <f t="shared" si="5"/>
        <v>metab_compid_15443</v>
      </c>
      <c r="B329" t="s">
        <v>11955</v>
      </c>
      <c r="C329">
        <v>1092</v>
      </c>
      <c r="D329" t="s">
        <v>5249</v>
      </c>
      <c r="E329" t="s">
        <v>3977</v>
      </c>
      <c r="F329" t="s">
        <v>4806</v>
      </c>
      <c r="G329">
        <v>15443</v>
      </c>
      <c r="H329" t="s">
        <v>11327</v>
      </c>
      <c r="I329">
        <v>100000257</v>
      </c>
      <c r="J329">
        <v>639</v>
      </c>
      <c r="K329">
        <v>193.03537</v>
      </c>
      <c r="L329" t="s">
        <v>5250</v>
      </c>
      <c r="M329">
        <v>444791</v>
      </c>
      <c r="N329" t="s">
        <v>11956</v>
      </c>
      <c r="O329" t="s">
        <v>11957</v>
      </c>
      <c r="P329" t="s">
        <v>11955</v>
      </c>
    </row>
    <row r="330" spans="1:16" x14ac:dyDescent="0.2">
      <c r="A330" t="str">
        <f t="shared" si="5"/>
        <v>metab_compid_61887</v>
      </c>
      <c r="B330" t="s">
        <v>11958</v>
      </c>
      <c r="C330">
        <v>4916</v>
      </c>
      <c r="D330" t="s">
        <v>9636</v>
      </c>
      <c r="E330" t="s">
        <v>6580</v>
      </c>
      <c r="F330" t="s">
        <v>6580</v>
      </c>
      <c r="G330">
        <v>61887</v>
      </c>
      <c r="H330" t="s">
        <v>11327</v>
      </c>
      <c r="I330">
        <v>100020014</v>
      </c>
      <c r="J330">
        <v>3790</v>
      </c>
      <c r="K330">
        <v>345.15550000000002</v>
      </c>
      <c r="L330" t="s">
        <v>11145</v>
      </c>
      <c r="M330" t="s">
        <v>11145</v>
      </c>
      <c r="N330" t="s">
        <v>11145</v>
      </c>
      <c r="O330" t="s">
        <v>11145</v>
      </c>
      <c r="P330" t="s">
        <v>11958</v>
      </c>
    </row>
    <row r="331" spans="1:16" x14ac:dyDescent="0.2">
      <c r="A331" t="str">
        <f t="shared" si="5"/>
        <v>metab_compid_57</v>
      </c>
      <c r="B331" t="s">
        <v>11959</v>
      </c>
      <c r="C331">
        <v>41</v>
      </c>
      <c r="D331" t="s">
        <v>4218</v>
      </c>
      <c r="E331" t="s">
        <v>3436</v>
      </c>
      <c r="F331" t="s">
        <v>4215</v>
      </c>
      <c r="G331">
        <v>57</v>
      </c>
      <c r="H331" t="s">
        <v>11320</v>
      </c>
      <c r="I331">
        <v>561</v>
      </c>
      <c r="J331">
        <v>1500</v>
      </c>
      <c r="K331">
        <v>148.06044</v>
      </c>
      <c r="L331" t="s">
        <v>4219</v>
      </c>
      <c r="M331">
        <v>611</v>
      </c>
      <c r="N331" t="s">
        <v>11960</v>
      </c>
      <c r="O331" t="s">
        <v>11961</v>
      </c>
      <c r="P331" t="s">
        <v>11959</v>
      </c>
    </row>
    <row r="332" spans="1:16" x14ac:dyDescent="0.2">
      <c r="A332" t="str">
        <f t="shared" si="5"/>
        <v>metab_compid_33487</v>
      </c>
      <c r="B332" t="s">
        <v>11962</v>
      </c>
      <c r="C332">
        <v>50</v>
      </c>
      <c r="D332" t="s">
        <v>11963</v>
      </c>
      <c r="E332" t="s">
        <v>3436</v>
      </c>
      <c r="F332" t="s">
        <v>4215</v>
      </c>
      <c r="G332">
        <v>33487</v>
      </c>
      <c r="H332" t="s">
        <v>11320</v>
      </c>
      <c r="I332">
        <v>100001103</v>
      </c>
      <c r="J332">
        <v>2170</v>
      </c>
      <c r="K332">
        <v>162.07608999999999</v>
      </c>
      <c r="L332" t="s">
        <v>11964</v>
      </c>
      <c r="M332">
        <v>68662</v>
      </c>
      <c r="N332" t="s">
        <v>11145</v>
      </c>
      <c r="O332" t="s">
        <v>11965</v>
      </c>
      <c r="P332" t="s">
        <v>11962</v>
      </c>
    </row>
    <row r="333" spans="1:16" x14ac:dyDescent="0.2">
      <c r="A333" t="str">
        <f t="shared" si="5"/>
        <v>metab_compid_53</v>
      </c>
      <c r="B333" t="s">
        <v>11966</v>
      </c>
      <c r="C333">
        <v>42</v>
      </c>
      <c r="D333" t="s">
        <v>567</v>
      </c>
      <c r="E333" t="s">
        <v>3436</v>
      </c>
      <c r="F333" t="s">
        <v>4215</v>
      </c>
      <c r="G333">
        <v>53</v>
      </c>
      <c r="H333" t="s">
        <v>11320</v>
      </c>
      <c r="I333">
        <v>563</v>
      </c>
      <c r="J333">
        <v>1291</v>
      </c>
      <c r="K333">
        <v>147.07642000000001</v>
      </c>
      <c r="L333" t="s">
        <v>4226</v>
      </c>
      <c r="M333">
        <v>5961</v>
      </c>
      <c r="N333" t="s">
        <v>4229</v>
      </c>
      <c r="O333" t="s">
        <v>11967</v>
      </c>
      <c r="P333" t="s">
        <v>11966</v>
      </c>
    </row>
    <row r="334" spans="1:16" x14ac:dyDescent="0.2">
      <c r="A334" t="str">
        <f t="shared" si="5"/>
        <v>metab_compid_396</v>
      </c>
      <c r="B334" t="s">
        <v>11968</v>
      </c>
      <c r="C334">
        <v>1307</v>
      </c>
      <c r="D334" t="s">
        <v>3876</v>
      </c>
      <c r="E334" t="s">
        <v>3459</v>
      </c>
      <c r="F334" t="s">
        <v>3873</v>
      </c>
      <c r="G334">
        <v>396</v>
      </c>
      <c r="H334" t="s">
        <v>11545</v>
      </c>
      <c r="I334">
        <v>339</v>
      </c>
      <c r="J334">
        <v>2900</v>
      </c>
      <c r="K334">
        <v>131.03497999999999</v>
      </c>
      <c r="L334" t="s">
        <v>3877</v>
      </c>
      <c r="M334">
        <v>743</v>
      </c>
      <c r="N334" t="s">
        <v>3880</v>
      </c>
      <c r="O334" t="s">
        <v>11969</v>
      </c>
      <c r="P334" t="s">
        <v>11968</v>
      </c>
    </row>
    <row r="335" spans="1:16" x14ac:dyDescent="0.2">
      <c r="A335" t="str">
        <f t="shared" si="5"/>
        <v>metab_compid_44664</v>
      </c>
      <c r="B335" t="s">
        <v>11970</v>
      </c>
      <c r="C335">
        <v>106</v>
      </c>
      <c r="D335" t="s">
        <v>6684</v>
      </c>
      <c r="E335" t="s">
        <v>3436</v>
      </c>
      <c r="F335" t="s">
        <v>3586</v>
      </c>
      <c r="G335">
        <v>44664</v>
      </c>
      <c r="H335" t="s">
        <v>11320</v>
      </c>
      <c r="I335">
        <v>100001593</v>
      </c>
      <c r="J335">
        <v>2393</v>
      </c>
      <c r="K335">
        <v>276.14416999999997</v>
      </c>
      <c r="L335" t="s">
        <v>6685</v>
      </c>
      <c r="M335">
        <v>71464488</v>
      </c>
      <c r="N335" t="s">
        <v>11145</v>
      </c>
      <c r="O335" t="s">
        <v>11971</v>
      </c>
      <c r="P335" t="s">
        <v>11970</v>
      </c>
    </row>
    <row r="336" spans="1:16" x14ac:dyDescent="0.2">
      <c r="A336" t="str">
        <f t="shared" si="5"/>
        <v>metab_compid_1572</v>
      </c>
      <c r="B336" t="s">
        <v>11972</v>
      </c>
      <c r="C336">
        <v>949</v>
      </c>
      <c r="D336" t="s">
        <v>4594</v>
      </c>
      <c r="E336" t="s">
        <v>3977</v>
      </c>
      <c r="F336" t="s">
        <v>4084</v>
      </c>
      <c r="G336">
        <v>1572</v>
      </c>
      <c r="H336" t="s">
        <v>11545</v>
      </c>
      <c r="I336">
        <v>1052</v>
      </c>
      <c r="J336">
        <v>2070.4</v>
      </c>
      <c r="K336">
        <v>105.01933</v>
      </c>
      <c r="L336" t="s">
        <v>4595</v>
      </c>
      <c r="M336">
        <v>752</v>
      </c>
      <c r="N336" t="s">
        <v>4598</v>
      </c>
      <c r="O336" t="s">
        <v>11973</v>
      </c>
      <c r="P336" t="s">
        <v>11972</v>
      </c>
    </row>
    <row r="337" spans="1:16" x14ac:dyDescent="0.2">
      <c r="A337" t="str">
        <f t="shared" si="5"/>
        <v>metab_compid_15122</v>
      </c>
      <c r="B337" t="s">
        <v>11974</v>
      </c>
      <c r="C337">
        <v>2287</v>
      </c>
      <c r="D337" t="s">
        <v>4890</v>
      </c>
      <c r="E337" t="s">
        <v>3459</v>
      </c>
      <c r="F337" t="s">
        <v>4887</v>
      </c>
      <c r="G337">
        <v>15122</v>
      </c>
      <c r="H337" t="s">
        <v>11327</v>
      </c>
      <c r="I337">
        <v>1254</v>
      </c>
      <c r="J337">
        <v>758</v>
      </c>
      <c r="K337">
        <v>91.04007</v>
      </c>
      <c r="L337" t="s">
        <v>4891</v>
      </c>
      <c r="M337">
        <v>753</v>
      </c>
      <c r="N337" t="s">
        <v>4894</v>
      </c>
      <c r="O337" t="s">
        <v>11975</v>
      </c>
      <c r="P337" t="s">
        <v>11974</v>
      </c>
    </row>
    <row r="338" spans="1:16" x14ac:dyDescent="0.2">
      <c r="A338" t="str">
        <f t="shared" si="5"/>
        <v>metab_compid_43847</v>
      </c>
      <c r="B338" t="s">
        <v>11976</v>
      </c>
      <c r="C338">
        <v>2288</v>
      </c>
      <c r="D338" t="s">
        <v>5257</v>
      </c>
      <c r="E338" t="s">
        <v>3459</v>
      </c>
      <c r="F338" t="s">
        <v>4887</v>
      </c>
      <c r="G338">
        <v>43847</v>
      </c>
      <c r="H338" t="s">
        <v>11320</v>
      </c>
      <c r="I338">
        <v>100000258</v>
      </c>
      <c r="J338">
        <v>580</v>
      </c>
      <c r="K338">
        <v>173.02095</v>
      </c>
      <c r="L338" t="s">
        <v>5258</v>
      </c>
      <c r="M338">
        <v>754</v>
      </c>
      <c r="N338" t="s">
        <v>11977</v>
      </c>
      <c r="O338" t="s">
        <v>11978</v>
      </c>
      <c r="P338" t="s">
        <v>11976</v>
      </c>
    </row>
    <row r="339" spans="1:16" x14ac:dyDescent="0.2">
      <c r="A339" t="str">
        <f t="shared" si="5"/>
        <v>metab_compid_37455</v>
      </c>
      <c r="B339" t="s">
        <v>11979</v>
      </c>
      <c r="C339">
        <v>1743</v>
      </c>
      <c r="D339" t="s">
        <v>6792</v>
      </c>
      <c r="E339" t="s">
        <v>3459</v>
      </c>
      <c r="F339" t="s">
        <v>3758</v>
      </c>
      <c r="G339">
        <v>37455</v>
      </c>
      <c r="H339" t="s">
        <v>11320</v>
      </c>
      <c r="I339">
        <v>100001620</v>
      </c>
      <c r="J339">
        <v>659</v>
      </c>
      <c r="K339">
        <v>216.06315000000001</v>
      </c>
      <c r="L339" t="s">
        <v>6793</v>
      </c>
      <c r="M339">
        <v>123874</v>
      </c>
      <c r="N339" t="s">
        <v>6796</v>
      </c>
      <c r="O339" t="s">
        <v>11980</v>
      </c>
      <c r="P339" t="s">
        <v>11979</v>
      </c>
    </row>
    <row r="340" spans="1:16" x14ac:dyDescent="0.2">
      <c r="A340" t="str">
        <f t="shared" si="5"/>
        <v>metab_compid_15990</v>
      </c>
      <c r="B340" t="s">
        <v>11981</v>
      </c>
      <c r="C340">
        <v>1739</v>
      </c>
      <c r="D340" t="s">
        <v>5281</v>
      </c>
      <c r="E340" t="s">
        <v>3459</v>
      </c>
      <c r="F340" t="s">
        <v>3758</v>
      </c>
      <c r="G340">
        <v>15990</v>
      </c>
      <c r="H340" t="s">
        <v>11320</v>
      </c>
      <c r="I340">
        <v>100000269</v>
      </c>
      <c r="J340">
        <v>672</v>
      </c>
      <c r="K340">
        <v>258.11009999999999</v>
      </c>
      <c r="L340" t="s">
        <v>5282</v>
      </c>
      <c r="M340">
        <v>71920</v>
      </c>
      <c r="N340" t="s">
        <v>5285</v>
      </c>
      <c r="O340" t="s">
        <v>11982</v>
      </c>
      <c r="P340" t="s">
        <v>11981</v>
      </c>
    </row>
    <row r="341" spans="1:16" x14ac:dyDescent="0.2">
      <c r="A341" t="str">
        <f t="shared" si="5"/>
        <v>metab_compid_58</v>
      </c>
      <c r="B341" t="s">
        <v>11983</v>
      </c>
      <c r="C341">
        <v>1</v>
      </c>
      <c r="D341" t="s">
        <v>571</v>
      </c>
      <c r="E341" t="s">
        <v>3436</v>
      </c>
      <c r="F341" t="s">
        <v>3882</v>
      </c>
      <c r="G341">
        <v>58</v>
      </c>
      <c r="H341" t="s">
        <v>11320</v>
      </c>
      <c r="I341">
        <v>340</v>
      </c>
      <c r="J341">
        <v>1375</v>
      </c>
      <c r="K341">
        <v>76.03931</v>
      </c>
      <c r="L341" t="s">
        <v>3885</v>
      </c>
      <c r="M341">
        <v>750</v>
      </c>
      <c r="N341" t="s">
        <v>3888</v>
      </c>
      <c r="O341" t="s">
        <v>11984</v>
      </c>
      <c r="P341" t="s">
        <v>11983</v>
      </c>
    </row>
    <row r="342" spans="1:16" x14ac:dyDescent="0.2">
      <c r="A342" t="str">
        <f t="shared" si="5"/>
        <v>metab_compid_62146</v>
      </c>
      <c r="B342" t="s">
        <v>11985</v>
      </c>
      <c r="C342">
        <v>4946</v>
      </c>
      <c r="D342" t="s">
        <v>9689</v>
      </c>
      <c r="E342" t="s">
        <v>6580</v>
      </c>
      <c r="F342" t="s">
        <v>6580</v>
      </c>
      <c r="G342">
        <v>62146</v>
      </c>
      <c r="H342" t="s">
        <v>11327</v>
      </c>
      <c r="I342">
        <v>100020254</v>
      </c>
      <c r="J342">
        <v>4335</v>
      </c>
      <c r="K342">
        <v>222.11356000000001</v>
      </c>
      <c r="L342" t="s">
        <v>11145</v>
      </c>
      <c r="M342" t="s">
        <v>11145</v>
      </c>
      <c r="N342" t="s">
        <v>11145</v>
      </c>
      <c r="O342" t="s">
        <v>11145</v>
      </c>
      <c r="P342" t="s">
        <v>11985</v>
      </c>
    </row>
    <row r="343" spans="1:16" x14ac:dyDescent="0.2">
      <c r="A343" t="str">
        <f t="shared" si="5"/>
        <v>metab_compid_32346</v>
      </c>
      <c r="B343" t="s">
        <v>11986</v>
      </c>
      <c r="C343">
        <v>2757</v>
      </c>
      <c r="D343" t="s">
        <v>5054</v>
      </c>
      <c r="E343" t="s">
        <v>3459</v>
      </c>
      <c r="F343" t="s">
        <v>3516</v>
      </c>
      <c r="G343">
        <v>32346</v>
      </c>
      <c r="H343" t="s">
        <v>11327</v>
      </c>
      <c r="I343">
        <v>1628</v>
      </c>
      <c r="J343">
        <v>5236.1000000000004</v>
      </c>
      <c r="K343">
        <v>448.30684000000002</v>
      </c>
      <c r="L343" t="s">
        <v>5055</v>
      </c>
      <c r="M343">
        <v>12544</v>
      </c>
      <c r="N343" t="s">
        <v>5057</v>
      </c>
      <c r="O343" t="s">
        <v>11987</v>
      </c>
      <c r="P343" t="s">
        <v>11986</v>
      </c>
    </row>
    <row r="344" spans="1:16" x14ac:dyDescent="0.2">
      <c r="A344" t="str">
        <f t="shared" si="5"/>
        <v>metab_compid_52983</v>
      </c>
      <c r="B344" t="s">
        <v>11988</v>
      </c>
      <c r="C344">
        <v>2768</v>
      </c>
      <c r="D344" t="s">
        <v>9162</v>
      </c>
      <c r="E344" t="s">
        <v>3459</v>
      </c>
      <c r="F344" t="s">
        <v>3516</v>
      </c>
      <c r="G344">
        <v>52983</v>
      </c>
      <c r="H344" t="s">
        <v>11327</v>
      </c>
      <c r="I344">
        <v>100009264</v>
      </c>
      <c r="J344">
        <v>4806</v>
      </c>
      <c r="K344">
        <v>311.66583000000003</v>
      </c>
      <c r="L344" t="s">
        <v>11145</v>
      </c>
      <c r="M344" t="s">
        <v>11145</v>
      </c>
      <c r="N344" t="s">
        <v>11145</v>
      </c>
      <c r="O344" t="s">
        <v>11145</v>
      </c>
      <c r="P344" t="s">
        <v>11988</v>
      </c>
    </row>
    <row r="345" spans="1:16" x14ac:dyDescent="0.2">
      <c r="A345" t="str">
        <f t="shared" si="5"/>
        <v>metab_compid_52974</v>
      </c>
      <c r="B345" t="s">
        <v>11989</v>
      </c>
      <c r="C345">
        <v>2770</v>
      </c>
      <c r="D345" t="s">
        <v>11990</v>
      </c>
      <c r="E345" t="s">
        <v>3459</v>
      </c>
      <c r="F345" t="s">
        <v>3516</v>
      </c>
      <c r="G345">
        <v>52974</v>
      </c>
      <c r="H345" t="s">
        <v>11327</v>
      </c>
      <c r="I345">
        <v>100006641</v>
      </c>
      <c r="J345">
        <v>4820</v>
      </c>
      <c r="K345">
        <v>263.62819000000002</v>
      </c>
      <c r="L345" t="s">
        <v>11145</v>
      </c>
      <c r="M345" t="s">
        <v>11145</v>
      </c>
      <c r="N345" t="s">
        <v>11145</v>
      </c>
      <c r="O345" t="s">
        <v>11145</v>
      </c>
      <c r="P345" t="s">
        <v>11989</v>
      </c>
    </row>
    <row r="346" spans="1:16" x14ac:dyDescent="0.2">
      <c r="A346" t="str">
        <f t="shared" si="5"/>
        <v>metab_compid_18476</v>
      </c>
      <c r="B346" t="s">
        <v>11991</v>
      </c>
      <c r="C346">
        <v>2754</v>
      </c>
      <c r="D346" t="s">
        <v>3892</v>
      </c>
      <c r="E346" t="s">
        <v>3459</v>
      </c>
      <c r="F346" t="s">
        <v>3516</v>
      </c>
      <c r="G346">
        <v>18476</v>
      </c>
      <c r="H346" t="s">
        <v>11327</v>
      </c>
      <c r="I346">
        <v>342</v>
      </c>
      <c r="J346">
        <v>5163</v>
      </c>
      <c r="K346">
        <v>464.30176</v>
      </c>
      <c r="L346" t="s">
        <v>11992</v>
      </c>
      <c r="M346">
        <v>10140</v>
      </c>
      <c r="N346" t="s">
        <v>3896</v>
      </c>
      <c r="O346" t="s">
        <v>11993</v>
      </c>
      <c r="P346" t="s">
        <v>11991</v>
      </c>
    </row>
    <row r="347" spans="1:16" x14ac:dyDescent="0.2">
      <c r="A347" t="str">
        <f t="shared" si="5"/>
        <v>metab_compid_32599</v>
      </c>
      <c r="B347" t="s">
        <v>11994</v>
      </c>
      <c r="C347">
        <v>2808</v>
      </c>
      <c r="D347" t="s">
        <v>7141</v>
      </c>
      <c r="E347" t="s">
        <v>3459</v>
      </c>
      <c r="F347" t="s">
        <v>3819</v>
      </c>
      <c r="G347">
        <v>32599</v>
      </c>
      <c r="H347" t="s">
        <v>11327</v>
      </c>
      <c r="I347">
        <v>100001989</v>
      </c>
      <c r="J347">
        <v>4750</v>
      </c>
      <c r="K347">
        <v>254.62290999999999</v>
      </c>
      <c r="L347" t="s">
        <v>11145</v>
      </c>
      <c r="M347" t="s">
        <v>11145</v>
      </c>
      <c r="N347" t="s">
        <v>11145</v>
      </c>
      <c r="O347" t="s">
        <v>11145</v>
      </c>
      <c r="P347" t="s">
        <v>11994</v>
      </c>
    </row>
    <row r="348" spans="1:16" x14ac:dyDescent="0.2">
      <c r="A348" t="str">
        <f t="shared" si="5"/>
        <v>metab_compid_18477</v>
      </c>
      <c r="B348" t="s">
        <v>11995</v>
      </c>
      <c r="C348">
        <v>2775</v>
      </c>
      <c r="D348" t="s">
        <v>5321</v>
      </c>
      <c r="E348" t="s">
        <v>3459</v>
      </c>
      <c r="F348" t="s">
        <v>3819</v>
      </c>
      <c r="G348">
        <v>18477</v>
      </c>
      <c r="H348" t="s">
        <v>11327</v>
      </c>
      <c r="I348">
        <v>100000436</v>
      </c>
      <c r="J348">
        <v>5281</v>
      </c>
      <c r="K348">
        <v>448.30684000000002</v>
      </c>
      <c r="L348" t="s">
        <v>5322</v>
      </c>
      <c r="M348">
        <v>3035026</v>
      </c>
      <c r="N348" t="s">
        <v>5324</v>
      </c>
      <c r="O348" t="s">
        <v>5323</v>
      </c>
      <c r="P348" t="s">
        <v>11995</v>
      </c>
    </row>
    <row r="349" spans="1:16" x14ac:dyDescent="0.2">
      <c r="A349" t="str">
        <f t="shared" si="5"/>
        <v>metab_compid_52975</v>
      </c>
      <c r="B349" t="s">
        <v>11996</v>
      </c>
      <c r="C349">
        <v>2813</v>
      </c>
      <c r="D349" t="s">
        <v>11997</v>
      </c>
      <c r="E349" t="s">
        <v>3459</v>
      </c>
      <c r="F349" t="s">
        <v>3819</v>
      </c>
      <c r="G349">
        <v>52975</v>
      </c>
      <c r="H349" t="s">
        <v>11327</v>
      </c>
      <c r="I349">
        <v>100006642</v>
      </c>
      <c r="J349">
        <v>4875</v>
      </c>
      <c r="K349">
        <v>263.62819000000002</v>
      </c>
      <c r="L349" t="s">
        <v>11145</v>
      </c>
      <c r="M349" t="s">
        <v>11145</v>
      </c>
      <c r="N349" t="s">
        <v>11145</v>
      </c>
      <c r="O349" t="s">
        <v>11145</v>
      </c>
      <c r="P349" t="s">
        <v>11996</v>
      </c>
    </row>
    <row r="350" spans="1:16" x14ac:dyDescent="0.2">
      <c r="A350" t="str">
        <f t="shared" si="5"/>
        <v>metab_compid_31912</v>
      </c>
      <c r="B350" t="s">
        <v>11998</v>
      </c>
      <c r="C350">
        <v>2782</v>
      </c>
      <c r="D350" t="s">
        <v>5778</v>
      </c>
      <c r="E350" t="s">
        <v>3459</v>
      </c>
      <c r="F350" t="s">
        <v>3819</v>
      </c>
      <c r="G350">
        <v>31912</v>
      </c>
      <c r="H350" t="s">
        <v>11327</v>
      </c>
      <c r="I350">
        <v>100001064</v>
      </c>
      <c r="J350">
        <v>5357.1</v>
      </c>
      <c r="K350">
        <v>432.31193000000002</v>
      </c>
      <c r="L350" t="s">
        <v>5779</v>
      </c>
      <c r="M350">
        <v>115245</v>
      </c>
      <c r="N350" t="s">
        <v>5782</v>
      </c>
      <c r="O350" t="s">
        <v>11999</v>
      </c>
      <c r="P350" t="s">
        <v>11998</v>
      </c>
    </row>
    <row r="351" spans="1:16" x14ac:dyDescent="0.2">
      <c r="A351" t="str">
        <f t="shared" si="5"/>
        <v>metab_compid_32620</v>
      </c>
      <c r="B351" t="s">
        <v>12000</v>
      </c>
      <c r="C351">
        <v>2783</v>
      </c>
      <c r="D351" t="s">
        <v>6831</v>
      </c>
      <c r="E351" t="s">
        <v>3459</v>
      </c>
      <c r="F351" t="s">
        <v>3819</v>
      </c>
      <c r="G351">
        <v>32620</v>
      </c>
      <c r="H351" t="s">
        <v>11327</v>
      </c>
      <c r="I351">
        <v>100001657</v>
      </c>
      <c r="J351">
        <v>5011</v>
      </c>
      <c r="K351">
        <v>255.63073</v>
      </c>
      <c r="L351" t="s">
        <v>6832</v>
      </c>
      <c r="M351">
        <v>72222</v>
      </c>
      <c r="N351" t="s">
        <v>6835</v>
      </c>
      <c r="O351" t="s">
        <v>12001</v>
      </c>
      <c r="P351" t="s">
        <v>12000</v>
      </c>
    </row>
    <row r="352" spans="1:16" x14ac:dyDescent="0.2">
      <c r="A352" t="str">
        <f t="shared" si="5"/>
        <v>metab_compid_57595</v>
      </c>
      <c r="B352" t="s">
        <v>12002</v>
      </c>
      <c r="C352">
        <v>2479</v>
      </c>
      <c r="D352" t="s">
        <v>9520</v>
      </c>
      <c r="E352" t="s">
        <v>3459</v>
      </c>
      <c r="F352" t="s">
        <v>7081</v>
      </c>
      <c r="G352">
        <v>57595</v>
      </c>
      <c r="H352" t="s">
        <v>11322</v>
      </c>
      <c r="I352">
        <v>100015882</v>
      </c>
      <c r="J352">
        <v>3414</v>
      </c>
      <c r="K352">
        <v>756.63480000000004</v>
      </c>
      <c r="L352" t="s">
        <v>11145</v>
      </c>
      <c r="M352" t="s">
        <v>11145</v>
      </c>
      <c r="N352" t="s">
        <v>11145</v>
      </c>
      <c r="O352" t="s">
        <v>11145</v>
      </c>
      <c r="P352" t="s">
        <v>12002</v>
      </c>
    </row>
    <row r="353" spans="1:16" x14ac:dyDescent="0.2">
      <c r="A353" t="str">
        <f t="shared" si="5"/>
        <v>metab_compid_57448</v>
      </c>
      <c r="B353" t="s">
        <v>12003</v>
      </c>
      <c r="C353">
        <v>2482</v>
      </c>
      <c r="D353" t="s">
        <v>9361</v>
      </c>
      <c r="E353" t="s">
        <v>3459</v>
      </c>
      <c r="F353" t="s">
        <v>7081</v>
      </c>
      <c r="G353">
        <v>57448</v>
      </c>
      <c r="H353" t="s">
        <v>11322</v>
      </c>
      <c r="I353">
        <v>100015751</v>
      </c>
      <c r="J353">
        <v>3667</v>
      </c>
      <c r="K353">
        <v>796.66609000000005</v>
      </c>
      <c r="L353" t="s">
        <v>11145</v>
      </c>
      <c r="M353" t="s">
        <v>11145</v>
      </c>
      <c r="N353" t="s">
        <v>11145</v>
      </c>
      <c r="O353" t="s">
        <v>11145</v>
      </c>
      <c r="P353" t="s">
        <v>12003</v>
      </c>
    </row>
    <row r="354" spans="1:16" x14ac:dyDescent="0.2">
      <c r="A354" t="str">
        <f t="shared" si="5"/>
        <v>metab_compid_57453</v>
      </c>
      <c r="B354" t="s">
        <v>12004</v>
      </c>
      <c r="C354">
        <v>2483</v>
      </c>
      <c r="D354" t="s">
        <v>9358</v>
      </c>
      <c r="E354" t="s">
        <v>3459</v>
      </c>
      <c r="F354" t="s">
        <v>7081</v>
      </c>
      <c r="G354">
        <v>57453</v>
      </c>
      <c r="H354" t="s">
        <v>11322</v>
      </c>
      <c r="I354">
        <v>100015745</v>
      </c>
      <c r="J354">
        <v>3380</v>
      </c>
      <c r="K354">
        <v>808.66609000000005</v>
      </c>
      <c r="L354" t="s">
        <v>11145</v>
      </c>
      <c r="M354" t="s">
        <v>11145</v>
      </c>
      <c r="N354" t="s">
        <v>11145</v>
      </c>
      <c r="O354" t="s">
        <v>11145</v>
      </c>
      <c r="P354" t="s">
        <v>12004</v>
      </c>
    </row>
    <row r="355" spans="1:16" x14ac:dyDescent="0.2">
      <c r="A355" t="str">
        <f t="shared" si="5"/>
        <v>metab_compid_57444</v>
      </c>
      <c r="B355" t="s">
        <v>12005</v>
      </c>
      <c r="C355">
        <v>2465</v>
      </c>
      <c r="D355" t="s">
        <v>9364</v>
      </c>
      <c r="E355" t="s">
        <v>3459</v>
      </c>
      <c r="F355" t="s">
        <v>7081</v>
      </c>
      <c r="G355">
        <v>57444</v>
      </c>
      <c r="H355" t="s">
        <v>11322</v>
      </c>
      <c r="I355">
        <v>100015752</v>
      </c>
      <c r="J355">
        <v>3839</v>
      </c>
      <c r="K355">
        <v>826.67665</v>
      </c>
      <c r="L355" t="s">
        <v>11145</v>
      </c>
      <c r="M355" t="s">
        <v>11145</v>
      </c>
      <c r="N355" t="s">
        <v>11145</v>
      </c>
      <c r="O355" t="s">
        <v>11145</v>
      </c>
      <c r="P355" t="s">
        <v>12005</v>
      </c>
    </row>
    <row r="356" spans="1:16" x14ac:dyDescent="0.2">
      <c r="A356" t="str">
        <f t="shared" si="5"/>
        <v>metab_compid_57421</v>
      </c>
      <c r="B356" t="s">
        <v>12006</v>
      </c>
      <c r="C356">
        <v>2469</v>
      </c>
      <c r="D356" t="s">
        <v>9307</v>
      </c>
      <c r="E356" t="s">
        <v>3459</v>
      </c>
      <c r="F356" t="s">
        <v>7081</v>
      </c>
      <c r="G356">
        <v>57421</v>
      </c>
      <c r="H356" t="s">
        <v>11322</v>
      </c>
      <c r="I356">
        <v>100015625</v>
      </c>
      <c r="J356">
        <v>3420</v>
      </c>
      <c r="K356">
        <v>782.65044999999998</v>
      </c>
      <c r="L356" t="s">
        <v>11145</v>
      </c>
      <c r="M356" t="s">
        <v>11145</v>
      </c>
      <c r="N356" t="s">
        <v>11145</v>
      </c>
      <c r="O356" t="s">
        <v>11145</v>
      </c>
      <c r="P356" t="s">
        <v>12006</v>
      </c>
    </row>
    <row r="357" spans="1:16" x14ac:dyDescent="0.2">
      <c r="A357" t="str">
        <f t="shared" si="5"/>
        <v>metab_compid_53013</v>
      </c>
      <c r="B357" t="s">
        <v>12007</v>
      </c>
      <c r="C357">
        <v>2458</v>
      </c>
      <c r="D357" t="s">
        <v>9170</v>
      </c>
      <c r="E357" t="s">
        <v>3459</v>
      </c>
      <c r="F357" t="s">
        <v>7081</v>
      </c>
      <c r="G357">
        <v>53013</v>
      </c>
      <c r="H357" t="s">
        <v>11322</v>
      </c>
      <c r="I357">
        <v>100009272</v>
      </c>
      <c r="J357">
        <v>2623</v>
      </c>
      <c r="K357">
        <v>700.57219999999995</v>
      </c>
      <c r="L357" t="s">
        <v>11145</v>
      </c>
      <c r="M357" t="s">
        <v>11145</v>
      </c>
      <c r="N357" t="s">
        <v>11145</v>
      </c>
      <c r="O357" t="s">
        <v>11145</v>
      </c>
      <c r="P357" t="s">
        <v>12007</v>
      </c>
    </row>
    <row r="358" spans="1:16" x14ac:dyDescent="0.2">
      <c r="A358" t="str">
        <f t="shared" si="5"/>
        <v>metab_compid_52234</v>
      </c>
      <c r="B358" t="s">
        <v>12008</v>
      </c>
      <c r="C358">
        <v>2459</v>
      </c>
      <c r="D358" t="s">
        <v>7084</v>
      </c>
      <c r="E358" t="s">
        <v>3459</v>
      </c>
      <c r="F358" t="s">
        <v>7081</v>
      </c>
      <c r="G358">
        <v>52234</v>
      </c>
      <c r="H358" t="s">
        <v>11322</v>
      </c>
      <c r="I358">
        <v>100001882</v>
      </c>
      <c r="J358">
        <v>3053</v>
      </c>
      <c r="K358">
        <v>728.60350000000005</v>
      </c>
      <c r="L358" t="s">
        <v>11145</v>
      </c>
      <c r="M358" t="s">
        <v>11145</v>
      </c>
      <c r="N358" t="s">
        <v>11145</v>
      </c>
      <c r="O358" t="s">
        <v>11145</v>
      </c>
      <c r="P358" t="s">
        <v>12008</v>
      </c>
    </row>
    <row r="359" spans="1:16" x14ac:dyDescent="0.2">
      <c r="A359" t="str">
        <f t="shared" si="5"/>
        <v>metab_compid_57445</v>
      </c>
      <c r="B359" t="s">
        <v>12009</v>
      </c>
      <c r="C359">
        <v>2470</v>
      </c>
      <c r="D359" t="s">
        <v>12010</v>
      </c>
      <c r="E359" t="s">
        <v>3459</v>
      </c>
      <c r="F359" t="s">
        <v>7081</v>
      </c>
      <c r="G359">
        <v>57445</v>
      </c>
      <c r="H359" t="s">
        <v>11322</v>
      </c>
      <c r="I359">
        <v>100015748</v>
      </c>
      <c r="J359">
        <v>3724</v>
      </c>
      <c r="K359">
        <v>796.66610000000003</v>
      </c>
      <c r="L359" t="s">
        <v>11145</v>
      </c>
      <c r="M359" t="s">
        <v>11145</v>
      </c>
      <c r="N359" t="s">
        <v>11145</v>
      </c>
      <c r="O359" t="s">
        <v>11145</v>
      </c>
      <c r="P359" t="s">
        <v>12009</v>
      </c>
    </row>
    <row r="360" spans="1:16" x14ac:dyDescent="0.2">
      <c r="A360" t="str">
        <f t="shared" si="5"/>
        <v>metab_compid_39379</v>
      </c>
      <c r="B360" t="s">
        <v>12011</v>
      </c>
      <c r="C360">
        <v>2790</v>
      </c>
      <c r="D360" t="s">
        <v>7738</v>
      </c>
      <c r="E360" t="s">
        <v>3459</v>
      </c>
      <c r="F360" t="s">
        <v>3819</v>
      </c>
      <c r="G360">
        <v>39379</v>
      </c>
      <c r="H360" t="s">
        <v>11327</v>
      </c>
      <c r="I360">
        <v>100002911</v>
      </c>
      <c r="J360">
        <v>5033</v>
      </c>
      <c r="K360">
        <v>448.30684000000002</v>
      </c>
      <c r="L360" t="s">
        <v>7739</v>
      </c>
      <c r="M360">
        <v>12310288</v>
      </c>
      <c r="N360" t="s">
        <v>11145</v>
      </c>
      <c r="O360" t="s">
        <v>12012</v>
      </c>
      <c r="P360" t="s">
        <v>12011</v>
      </c>
    </row>
    <row r="361" spans="1:16" x14ac:dyDescent="0.2">
      <c r="A361" t="str">
        <f t="shared" si="5"/>
        <v>metab_compid_18357</v>
      </c>
      <c r="B361" t="s">
        <v>12013</v>
      </c>
      <c r="C361">
        <v>624</v>
      </c>
      <c r="D361" t="s">
        <v>5384</v>
      </c>
      <c r="E361" t="s">
        <v>3853</v>
      </c>
      <c r="F361" t="s">
        <v>5381</v>
      </c>
      <c r="G361">
        <v>18357</v>
      </c>
      <c r="H361" t="s">
        <v>11320</v>
      </c>
      <c r="I361">
        <v>100000487</v>
      </c>
      <c r="J361">
        <v>2734</v>
      </c>
      <c r="K361">
        <v>175.10772</v>
      </c>
      <c r="L361" t="s">
        <v>5385</v>
      </c>
      <c r="M361">
        <v>97417</v>
      </c>
      <c r="N361" t="s">
        <v>11145</v>
      </c>
      <c r="O361" t="s">
        <v>12014</v>
      </c>
      <c r="P361" t="s">
        <v>12013</v>
      </c>
    </row>
    <row r="362" spans="1:16" x14ac:dyDescent="0.2">
      <c r="A362" t="str">
        <f t="shared" si="5"/>
        <v>metab_compid_43802</v>
      </c>
      <c r="B362" t="s">
        <v>12015</v>
      </c>
      <c r="C362">
        <v>400</v>
      </c>
      <c r="D362" t="s">
        <v>3900</v>
      </c>
      <c r="E362" t="s">
        <v>3436</v>
      </c>
      <c r="F362" t="s">
        <v>3785</v>
      </c>
      <c r="G362">
        <v>43802</v>
      </c>
      <c r="H362" t="s">
        <v>11545</v>
      </c>
      <c r="I362">
        <v>344</v>
      </c>
      <c r="J362">
        <v>2884</v>
      </c>
      <c r="K362">
        <v>116.04655</v>
      </c>
      <c r="L362" t="s">
        <v>3901</v>
      </c>
      <c r="M362">
        <v>763</v>
      </c>
      <c r="N362" t="s">
        <v>3904</v>
      </c>
      <c r="O362" t="s">
        <v>12016</v>
      </c>
      <c r="P362" t="s">
        <v>12015</v>
      </c>
    </row>
    <row r="363" spans="1:16" x14ac:dyDescent="0.2">
      <c r="A363" t="str">
        <f t="shared" si="5"/>
        <v>metab_compid_32446</v>
      </c>
      <c r="B363" t="s">
        <v>12017</v>
      </c>
      <c r="C363">
        <v>430</v>
      </c>
      <c r="D363" t="s">
        <v>5984</v>
      </c>
      <c r="E363" t="s">
        <v>3436</v>
      </c>
      <c r="F363" t="s">
        <v>5230</v>
      </c>
      <c r="G363">
        <v>32446</v>
      </c>
      <c r="H363" t="s">
        <v>11320</v>
      </c>
      <c r="I363">
        <v>100001212</v>
      </c>
      <c r="J363">
        <v>1892</v>
      </c>
      <c r="K363">
        <v>176.06658999999999</v>
      </c>
      <c r="L363" t="s">
        <v>5985</v>
      </c>
      <c r="M363">
        <v>97856</v>
      </c>
      <c r="N363" t="s">
        <v>5988</v>
      </c>
      <c r="O363" t="s">
        <v>12018</v>
      </c>
      <c r="P363" t="s">
        <v>12017</v>
      </c>
    </row>
    <row r="364" spans="1:16" x14ac:dyDescent="0.2">
      <c r="A364" t="str">
        <f t="shared" si="5"/>
        <v>metab_compid_1573</v>
      </c>
      <c r="B364" t="s">
        <v>12019</v>
      </c>
      <c r="C364">
        <v>3442</v>
      </c>
      <c r="D364" t="s">
        <v>4659</v>
      </c>
      <c r="E364" t="s">
        <v>3533</v>
      </c>
      <c r="F364" t="s">
        <v>4656</v>
      </c>
      <c r="G364">
        <v>1573</v>
      </c>
      <c r="H364" t="s">
        <v>11327</v>
      </c>
      <c r="I364">
        <v>1099</v>
      </c>
      <c r="J364">
        <v>1662</v>
      </c>
      <c r="K364">
        <v>282.08438999999998</v>
      </c>
      <c r="L364" t="s">
        <v>4660</v>
      </c>
      <c r="M364">
        <v>6802</v>
      </c>
      <c r="N364" t="s">
        <v>4663</v>
      </c>
      <c r="O364" t="s">
        <v>12020</v>
      </c>
      <c r="P364" t="s">
        <v>12019</v>
      </c>
    </row>
    <row r="365" spans="1:16" x14ac:dyDescent="0.2">
      <c r="A365" t="str">
        <f t="shared" si="5"/>
        <v>metab_compid_46957</v>
      </c>
      <c r="B365" t="s">
        <v>12021</v>
      </c>
      <c r="C365">
        <v>3595</v>
      </c>
      <c r="D365" t="s">
        <v>6668</v>
      </c>
      <c r="E365" t="s">
        <v>3448</v>
      </c>
      <c r="F365" t="s">
        <v>5600</v>
      </c>
      <c r="G365">
        <v>46957</v>
      </c>
      <c r="H365" t="s">
        <v>11545</v>
      </c>
      <c r="I365">
        <v>100001586</v>
      </c>
      <c r="J365">
        <v>2750</v>
      </c>
      <c r="K365">
        <v>195.05101999999999</v>
      </c>
      <c r="L365" t="s">
        <v>6669</v>
      </c>
      <c r="M365">
        <v>9794176</v>
      </c>
      <c r="N365" t="s">
        <v>3871</v>
      </c>
      <c r="O365" t="s">
        <v>12022</v>
      </c>
      <c r="P365" t="s">
        <v>12021</v>
      </c>
    </row>
    <row r="366" spans="1:16" x14ac:dyDescent="0.2">
      <c r="A366" t="str">
        <f t="shared" si="5"/>
        <v>metab_compid_61866</v>
      </c>
      <c r="B366" t="s">
        <v>12023</v>
      </c>
      <c r="C366">
        <v>1321</v>
      </c>
      <c r="D366" t="s">
        <v>9622</v>
      </c>
      <c r="E366" t="s">
        <v>3459</v>
      </c>
      <c r="F366" t="s">
        <v>3873</v>
      </c>
      <c r="G366">
        <v>61866</v>
      </c>
      <c r="H366" t="s">
        <v>11545</v>
      </c>
      <c r="I366">
        <v>100019981</v>
      </c>
      <c r="J366">
        <v>2816</v>
      </c>
      <c r="K366">
        <v>157.05063000000001</v>
      </c>
      <c r="L366" t="s">
        <v>11145</v>
      </c>
      <c r="M366" t="s">
        <v>11145</v>
      </c>
      <c r="N366" t="s">
        <v>11145</v>
      </c>
      <c r="O366" t="s">
        <v>11145</v>
      </c>
      <c r="P366" t="s">
        <v>12023</v>
      </c>
    </row>
    <row r="367" spans="1:16" x14ac:dyDescent="0.2">
      <c r="A367" t="str">
        <f t="shared" si="5"/>
        <v>metab_compid_57652</v>
      </c>
      <c r="B367" t="s">
        <v>12024</v>
      </c>
      <c r="C367">
        <v>1215</v>
      </c>
      <c r="D367" t="s">
        <v>9230</v>
      </c>
      <c r="E367" t="s">
        <v>3459</v>
      </c>
      <c r="F367" t="s">
        <v>11702</v>
      </c>
      <c r="G367">
        <v>57652</v>
      </c>
      <c r="H367" t="s">
        <v>11327</v>
      </c>
      <c r="I367">
        <v>100009394</v>
      </c>
      <c r="J367">
        <v>5398</v>
      </c>
      <c r="K367">
        <v>251.20165</v>
      </c>
      <c r="L367" t="s">
        <v>9231</v>
      </c>
      <c r="M367" t="s">
        <v>11145</v>
      </c>
      <c r="N367" t="s">
        <v>11145</v>
      </c>
      <c r="O367" t="s">
        <v>12025</v>
      </c>
      <c r="P367" t="s">
        <v>12024</v>
      </c>
    </row>
    <row r="368" spans="1:16" x14ac:dyDescent="0.2">
      <c r="A368" t="str">
        <f t="shared" si="5"/>
        <v>metab_compid_35678</v>
      </c>
      <c r="B368" t="s">
        <v>12026</v>
      </c>
      <c r="C368">
        <v>1334</v>
      </c>
      <c r="D368" t="s">
        <v>6760</v>
      </c>
      <c r="E368" t="s">
        <v>3459</v>
      </c>
      <c r="F368" t="s">
        <v>3873</v>
      </c>
      <c r="G368">
        <v>35678</v>
      </c>
      <c r="H368" t="s">
        <v>11327</v>
      </c>
      <c r="I368">
        <v>100001614</v>
      </c>
      <c r="J368">
        <v>4615</v>
      </c>
      <c r="K368">
        <v>285.20713000000001</v>
      </c>
      <c r="L368" t="s">
        <v>6762</v>
      </c>
      <c r="M368">
        <v>10459</v>
      </c>
      <c r="N368" t="s">
        <v>6765</v>
      </c>
      <c r="O368" t="s">
        <v>12027</v>
      </c>
      <c r="P368" t="s">
        <v>12026</v>
      </c>
    </row>
    <row r="369" spans="1:16" x14ac:dyDescent="0.2">
      <c r="A369" t="str">
        <f t="shared" si="5"/>
        <v>metab_compid_61862</v>
      </c>
      <c r="B369" t="s">
        <v>12028</v>
      </c>
      <c r="C369">
        <v>1336</v>
      </c>
      <c r="D369" t="s">
        <v>9615</v>
      </c>
      <c r="E369" t="s">
        <v>3459</v>
      </c>
      <c r="F369" t="s">
        <v>3873</v>
      </c>
      <c r="G369">
        <v>61862</v>
      </c>
      <c r="H369" t="s">
        <v>11327</v>
      </c>
      <c r="I369">
        <v>100019975</v>
      </c>
      <c r="J369">
        <v>4380</v>
      </c>
      <c r="K369">
        <v>283.19148000000001</v>
      </c>
      <c r="L369" t="s">
        <v>11145</v>
      </c>
      <c r="M369" t="s">
        <v>11145</v>
      </c>
      <c r="N369" t="s">
        <v>11145</v>
      </c>
      <c r="O369" t="s">
        <v>11145</v>
      </c>
      <c r="P369" t="s">
        <v>12028</v>
      </c>
    </row>
    <row r="370" spans="1:16" x14ac:dyDescent="0.2">
      <c r="A370" t="str">
        <f t="shared" si="5"/>
        <v>metab_compid_32328</v>
      </c>
      <c r="B370" t="s">
        <v>12029</v>
      </c>
      <c r="C370">
        <v>1441</v>
      </c>
      <c r="D370" t="s">
        <v>5538</v>
      </c>
      <c r="E370" t="s">
        <v>3459</v>
      </c>
      <c r="F370" t="s">
        <v>11596</v>
      </c>
      <c r="G370">
        <v>32328</v>
      </c>
      <c r="H370" t="s">
        <v>11320</v>
      </c>
      <c r="I370">
        <v>100000781</v>
      </c>
      <c r="J370">
        <v>3358</v>
      </c>
      <c r="K370">
        <v>260.18563999999998</v>
      </c>
      <c r="L370" t="s">
        <v>5539</v>
      </c>
      <c r="M370">
        <v>6426853</v>
      </c>
      <c r="N370" t="s">
        <v>11145</v>
      </c>
      <c r="O370" t="s">
        <v>12030</v>
      </c>
      <c r="P370" t="s">
        <v>12029</v>
      </c>
    </row>
    <row r="371" spans="1:16" x14ac:dyDescent="0.2">
      <c r="A371" t="str">
        <f t="shared" si="5"/>
        <v>metab_compid_54907</v>
      </c>
      <c r="B371" t="s">
        <v>12031</v>
      </c>
      <c r="C371">
        <v>1409</v>
      </c>
      <c r="D371" t="s">
        <v>6881</v>
      </c>
      <c r="E371" t="s">
        <v>3459</v>
      </c>
      <c r="F371" t="s">
        <v>6878</v>
      </c>
      <c r="G371">
        <v>54907</v>
      </c>
      <c r="H371" t="s">
        <v>11327</v>
      </c>
      <c r="I371">
        <v>100001733</v>
      </c>
      <c r="J371">
        <v>2780</v>
      </c>
      <c r="K371">
        <v>243.13503</v>
      </c>
      <c r="L371" t="s">
        <v>11145</v>
      </c>
      <c r="M371" t="s">
        <v>11145</v>
      </c>
      <c r="N371" t="s">
        <v>11145</v>
      </c>
      <c r="O371" t="s">
        <v>11145</v>
      </c>
      <c r="P371" t="s">
        <v>12031</v>
      </c>
    </row>
    <row r="372" spans="1:16" x14ac:dyDescent="0.2">
      <c r="A372" t="str">
        <f t="shared" si="5"/>
        <v>metab_compid_59</v>
      </c>
      <c r="B372" t="s">
        <v>12032</v>
      </c>
      <c r="C372">
        <v>65</v>
      </c>
      <c r="D372" t="s">
        <v>585</v>
      </c>
      <c r="E372" t="s">
        <v>3436</v>
      </c>
      <c r="F372" t="s">
        <v>3906</v>
      </c>
      <c r="G372">
        <v>59</v>
      </c>
      <c r="H372" t="s">
        <v>11327</v>
      </c>
      <c r="I372">
        <v>355</v>
      </c>
      <c r="J372">
        <v>755.9</v>
      </c>
      <c r="K372">
        <v>154.06219999999999</v>
      </c>
      <c r="L372" t="s">
        <v>3909</v>
      </c>
      <c r="M372">
        <v>6274</v>
      </c>
      <c r="N372" t="s">
        <v>3912</v>
      </c>
      <c r="O372" t="s">
        <v>12033</v>
      </c>
      <c r="P372" t="s">
        <v>12032</v>
      </c>
    </row>
    <row r="373" spans="1:16" x14ac:dyDescent="0.2">
      <c r="A373" t="str">
        <f t="shared" si="5"/>
        <v>metab_compid_22137</v>
      </c>
      <c r="B373" t="s">
        <v>12034</v>
      </c>
      <c r="C373">
        <v>374</v>
      </c>
      <c r="D373" t="s">
        <v>5665</v>
      </c>
      <c r="E373" t="s">
        <v>3436</v>
      </c>
      <c r="F373" t="s">
        <v>3661</v>
      </c>
      <c r="G373">
        <v>22137</v>
      </c>
      <c r="H373" t="s">
        <v>11320</v>
      </c>
      <c r="I373">
        <v>100000961</v>
      </c>
      <c r="J373">
        <v>2882</v>
      </c>
      <c r="K373">
        <v>189.13461000000001</v>
      </c>
      <c r="L373" t="s">
        <v>5666</v>
      </c>
      <c r="M373">
        <v>9085</v>
      </c>
      <c r="N373" t="s">
        <v>5669</v>
      </c>
      <c r="O373" t="s">
        <v>12035</v>
      </c>
      <c r="P373" t="s">
        <v>12034</v>
      </c>
    </row>
    <row r="374" spans="1:16" x14ac:dyDescent="0.2">
      <c r="A374" t="str">
        <f t="shared" si="5"/>
        <v>metab_compid_22138</v>
      </c>
      <c r="B374" t="s">
        <v>12036</v>
      </c>
      <c r="C374">
        <v>375</v>
      </c>
      <c r="D374" t="s">
        <v>5673</v>
      </c>
      <c r="E374" t="s">
        <v>3436</v>
      </c>
      <c r="F374" t="s">
        <v>3661</v>
      </c>
      <c r="G374">
        <v>22138</v>
      </c>
      <c r="H374" t="s">
        <v>11320</v>
      </c>
      <c r="I374">
        <v>100000963</v>
      </c>
      <c r="J374">
        <v>1908</v>
      </c>
      <c r="K374">
        <v>190.11861999999999</v>
      </c>
      <c r="L374" t="s">
        <v>5674</v>
      </c>
      <c r="M374">
        <v>65072</v>
      </c>
      <c r="N374" t="s">
        <v>5677</v>
      </c>
      <c r="O374" t="s">
        <v>12037</v>
      </c>
      <c r="P374" t="s">
        <v>12036</v>
      </c>
    </row>
    <row r="375" spans="1:16" x14ac:dyDescent="0.2">
      <c r="A375" t="str">
        <f t="shared" si="5"/>
        <v>metab_compid_40473</v>
      </c>
      <c r="B375" t="s">
        <v>12038</v>
      </c>
      <c r="C375">
        <v>71</v>
      </c>
      <c r="D375" t="s">
        <v>12039</v>
      </c>
      <c r="E375" t="s">
        <v>3436</v>
      </c>
      <c r="F375" t="s">
        <v>3906</v>
      </c>
      <c r="G375">
        <v>40473</v>
      </c>
      <c r="H375" t="s">
        <v>11545</v>
      </c>
      <c r="I375">
        <v>100002514</v>
      </c>
      <c r="J375">
        <v>2080</v>
      </c>
      <c r="K375">
        <v>171.04113000000001</v>
      </c>
      <c r="L375" t="s">
        <v>7546</v>
      </c>
      <c r="M375">
        <v>782</v>
      </c>
      <c r="N375" t="s">
        <v>7549</v>
      </c>
      <c r="O375" t="s">
        <v>12040</v>
      </c>
      <c r="P375" t="s">
        <v>12038</v>
      </c>
    </row>
    <row r="376" spans="1:16" x14ac:dyDescent="0.2">
      <c r="A376" t="str">
        <f t="shared" si="5"/>
        <v>metab_compid_62277</v>
      </c>
      <c r="B376" t="s">
        <v>12041</v>
      </c>
      <c r="C376">
        <v>1343</v>
      </c>
      <c r="D376" t="s">
        <v>9576</v>
      </c>
      <c r="E376" t="s">
        <v>3459</v>
      </c>
      <c r="F376" t="s">
        <v>3873</v>
      </c>
      <c r="G376">
        <v>62277</v>
      </c>
      <c r="H376" t="s">
        <v>11327</v>
      </c>
      <c r="I376">
        <v>100019794</v>
      </c>
      <c r="J376">
        <v>1516</v>
      </c>
      <c r="K376">
        <v>255.08741000000001</v>
      </c>
      <c r="L376" t="s">
        <v>11145</v>
      </c>
      <c r="M376" t="s">
        <v>11145</v>
      </c>
      <c r="N376" t="s">
        <v>11145</v>
      </c>
      <c r="O376" t="s">
        <v>11145</v>
      </c>
      <c r="P376" t="s">
        <v>12041</v>
      </c>
    </row>
    <row r="377" spans="1:16" x14ac:dyDescent="0.2">
      <c r="A377" t="str">
        <f t="shared" si="5"/>
        <v>metab_compid_62060</v>
      </c>
      <c r="B377" t="s">
        <v>12042</v>
      </c>
      <c r="C377">
        <v>40</v>
      </c>
      <c r="D377" t="s">
        <v>9652</v>
      </c>
      <c r="E377" t="s">
        <v>3436</v>
      </c>
      <c r="F377" t="s">
        <v>3670</v>
      </c>
      <c r="G377">
        <v>62060</v>
      </c>
      <c r="H377" t="s">
        <v>11320</v>
      </c>
      <c r="I377">
        <v>100020205</v>
      </c>
      <c r="J377">
        <v>1149</v>
      </c>
      <c r="K377">
        <v>149.05568</v>
      </c>
      <c r="L377" t="s">
        <v>11145</v>
      </c>
      <c r="M377">
        <v>97663</v>
      </c>
      <c r="N377" t="s">
        <v>12043</v>
      </c>
      <c r="O377" t="s">
        <v>9654</v>
      </c>
      <c r="P377" t="s">
        <v>12042</v>
      </c>
    </row>
    <row r="378" spans="1:16" x14ac:dyDescent="0.2">
      <c r="A378" t="str">
        <f t="shared" si="5"/>
        <v>metab_compid_590</v>
      </c>
      <c r="B378" t="s">
        <v>12044</v>
      </c>
      <c r="C378">
        <v>357</v>
      </c>
      <c r="D378" t="s">
        <v>3923</v>
      </c>
      <c r="E378" t="s">
        <v>3436</v>
      </c>
      <c r="F378" t="s">
        <v>3603</v>
      </c>
      <c r="G378">
        <v>590</v>
      </c>
      <c r="H378" t="s">
        <v>11320</v>
      </c>
      <c r="I378">
        <v>358</v>
      </c>
      <c r="J378">
        <v>724</v>
      </c>
      <c r="K378">
        <v>110.02703</v>
      </c>
      <c r="L378" t="s">
        <v>3924</v>
      </c>
      <c r="M378">
        <v>107812</v>
      </c>
      <c r="N378" t="s">
        <v>3927</v>
      </c>
      <c r="O378" t="s">
        <v>12045</v>
      </c>
      <c r="P378" t="s">
        <v>12044</v>
      </c>
    </row>
    <row r="379" spans="1:16" x14ac:dyDescent="0.2">
      <c r="A379" t="str">
        <f t="shared" si="5"/>
        <v>metab_compid_3127</v>
      </c>
      <c r="B379" t="s">
        <v>12046</v>
      </c>
      <c r="C379">
        <v>3385</v>
      </c>
      <c r="D379" t="s">
        <v>3546</v>
      </c>
      <c r="E379" t="s">
        <v>3533</v>
      </c>
      <c r="F379" t="s">
        <v>3543</v>
      </c>
      <c r="G379">
        <v>3127</v>
      </c>
      <c r="H379" t="s">
        <v>11327</v>
      </c>
      <c r="I379">
        <v>171</v>
      </c>
      <c r="J379">
        <v>1291.2</v>
      </c>
      <c r="K379">
        <v>135.03122999999999</v>
      </c>
      <c r="L379" t="s">
        <v>3547</v>
      </c>
      <c r="M379">
        <v>790</v>
      </c>
      <c r="N379" t="s">
        <v>3550</v>
      </c>
      <c r="O379" t="s">
        <v>12047</v>
      </c>
      <c r="P379" t="s">
        <v>12046</v>
      </c>
    </row>
    <row r="380" spans="1:16" x14ac:dyDescent="0.2">
      <c r="A380" t="str">
        <f t="shared" si="5"/>
        <v>metab_compid_15716</v>
      </c>
      <c r="B380" t="s">
        <v>12048</v>
      </c>
      <c r="C380">
        <v>76</v>
      </c>
      <c r="D380" t="s">
        <v>5265</v>
      </c>
      <c r="E380" t="s">
        <v>3436</v>
      </c>
      <c r="F380" t="s">
        <v>3906</v>
      </c>
      <c r="G380">
        <v>15716</v>
      </c>
      <c r="H380" t="s">
        <v>11320</v>
      </c>
      <c r="I380">
        <v>100000263</v>
      </c>
      <c r="J380">
        <v>2040</v>
      </c>
      <c r="K380">
        <v>157.06076999999999</v>
      </c>
      <c r="L380" t="s">
        <v>5266</v>
      </c>
      <c r="M380">
        <v>440129</v>
      </c>
      <c r="N380" t="s">
        <v>5269</v>
      </c>
      <c r="O380" t="s">
        <v>12049</v>
      </c>
      <c r="P380" t="s">
        <v>12048</v>
      </c>
    </row>
    <row r="381" spans="1:16" x14ac:dyDescent="0.2">
      <c r="A381" t="str">
        <f t="shared" si="5"/>
        <v>metab_compid_38116</v>
      </c>
      <c r="B381" t="s">
        <v>12050</v>
      </c>
      <c r="C381">
        <v>246</v>
      </c>
      <c r="D381" t="s">
        <v>7342</v>
      </c>
      <c r="E381" t="s">
        <v>3436</v>
      </c>
      <c r="F381" t="s">
        <v>3470</v>
      </c>
      <c r="G381">
        <v>38116</v>
      </c>
      <c r="H381" t="s">
        <v>11327</v>
      </c>
      <c r="I381">
        <v>100002185</v>
      </c>
      <c r="J381">
        <v>1710</v>
      </c>
      <c r="K381">
        <v>160.04040000000001</v>
      </c>
      <c r="L381" t="s">
        <v>7343</v>
      </c>
      <c r="M381">
        <v>69867</v>
      </c>
      <c r="N381" t="s">
        <v>7345</v>
      </c>
      <c r="O381" t="s">
        <v>12051</v>
      </c>
      <c r="P381" t="s">
        <v>12050</v>
      </c>
    </row>
    <row r="382" spans="1:16" x14ac:dyDescent="0.2">
      <c r="A382" t="str">
        <f t="shared" si="5"/>
        <v>metab_compid_27513</v>
      </c>
      <c r="B382" t="s">
        <v>12052</v>
      </c>
      <c r="C382">
        <v>239</v>
      </c>
      <c r="D382" t="s">
        <v>5734</v>
      </c>
      <c r="E382" t="s">
        <v>3436</v>
      </c>
      <c r="F382" t="s">
        <v>3470</v>
      </c>
      <c r="G382">
        <v>27513</v>
      </c>
      <c r="H382" t="s">
        <v>11327</v>
      </c>
      <c r="I382">
        <v>100001034</v>
      </c>
      <c r="J382">
        <v>2200</v>
      </c>
      <c r="K382">
        <v>174.05605</v>
      </c>
      <c r="L382" t="s">
        <v>12053</v>
      </c>
      <c r="M382">
        <v>802</v>
      </c>
      <c r="N382" t="s">
        <v>5738</v>
      </c>
      <c r="O382" t="s">
        <v>12054</v>
      </c>
      <c r="P382" t="s">
        <v>12052</v>
      </c>
    </row>
    <row r="383" spans="1:16" x14ac:dyDescent="0.2">
      <c r="A383" t="str">
        <f t="shared" si="5"/>
        <v>metab_compid_42087</v>
      </c>
      <c r="B383" t="s">
        <v>12055</v>
      </c>
      <c r="C383">
        <v>243</v>
      </c>
      <c r="D383" t="s">
        <v>6875</v>
      </c>
      <c r="E383" t="s">
        <v>3436</v>
      </c>
      <c r="F383" t="s">
        <v>3470</v>
      </c>
      <c r="G383">
        <v>42087</v>
      </c>
      <c r="H383" t="s">
        <v>11327</v>
      </c>
      <c r="I383">
        <v>100001731</v>
      </c>
      <c r="J383">
        <v>2535</v>
      </c>
      <c r="K383">
        <v>302.11462999999998</v>
      </c>
      <c r="L383" t="s">
        <v>11145</v>
      </c>
      <c r="M383">
        <v>25200879</v>
      </c>
      <c r="N383" t="s">
        <v>11145</v>
      </c>
      <c r="O383" t="s">
        <v>12056</v>
      </c>
      <c r="P383" t="s">
        <v>12055</v>
      </c>
    </row>
    <row r="384" spans="1:16" x14ac:dyDescent="0.2">
      <c r="A384" t="str">
        <f t="shared" si="5"/>
        <v>metab_compid_18349</v>
      </c>
      <c r="B384" t="s">
        <v>12057</v>
      </c>
      <c r="C384">
        <v>238</v>
      </c>
      <c r="D384" t="s">
        <v>5368</v>
      </c>
      <c r="E384" t="s">
        <v>3436</v>
      </c>
      <c r="F384" t="s">
        <v>3470</v>
      </c>
      <c r="G384">
        <v>18349</v>
      </c>
      <c r="H384" t="s">
        <v>11327</v>
      </c>
      <c r="I384">
        <v>100000463</v>
      </c>
      <c r="J384">
        <v>2286</v>
      </c>
      <c r="K384">
        <v>204.06661</v>
      </c>
      <c r="L384" t="s">
        <v>5369</v>
      </c>
      <c r="M384">
        <v>92904</v>
      </c>
      <c r="N384" t="s">
        <v>5372</v>
      </c>
      <c r="O384" t="s">
        <v>12058</v>
      </c>
      <c r="P384" t="s">
        <v>12057</v>
      </c>
    </row>
    <row r="385" spans="1:16" x14ac:dyDescent="0.2">
      <c r="A385" t="str">
        <f t="shared" si="5"/>
        <v>metab_compid_32405</v>
      </c>
      <c r="B385" t="s">
        <v>12059</v>
      </c>
      <c r="C385">
        <v>241</v>
      </c>
      <c r="D385" t="s">
        <v>5800</v>
      </c>
      <c r="E385" t="s">
        <v>3436</v>
      </c>
      <c r="F385" t="s">
        <v>3470</v>
      </c>
      <c r="G385">
        <v>32405</v>
      </c>
      <c r="H385" t="s">
        <v>11327</v>
      </c>
      <c r="I385">
        <v>100001083</v>
      </c>
      <c r="J385">
        <v>2795</v>
      </c>
      <c r="K385">
        <v>188.07169999999999</v>
      </c>
      <c r="L385" t="s">
        <v>5801</v>
      </c>
      <c r="M385">
        <v>3744</v>
      </c>
      <c r="N385" t="s">
        <v>11145</v>
      </c>
      <c r="O385" t="s">
        <v>12060</v>
      </c>
      <c r="P385" t="s">
        <v>12059</v>
      </c>
    </row>
    <row r="386" spans="1:16" x14ac:dyDescent="0.2">
      <c r="A386" t="str">
        <f t="shared" si="5"/>
        <v>metab_compid_1123</v>
      </c>
      <c r="B386" t="s">
        <v>12061</v>
      </c>
      <c r="C386">
        <v>3384</v>
      </c>
      <c r="D386" t="s">
        <v>3931</v>
      </c>
      <c r="E386" t="s">
        <v>3533</v>
      </c>
      <c r="F386" t="s">
        <v>3543</v>
      </c>
      <c r="G386">
        <v>1123</v>
      </c>
      <c r="H386" t="s">
        <v>11327</v>
      </c>
      <c r="I386">
        <v>361</v>
      </c>
      <c r="J386">
        <v>1602.1</v>
      </c>
      <c r="K386">
        <v>267.07348999999999</v>
      </c>
      <c r="L386" t="s">
        <v>3932</v>
      </c>
      <c r="M386">
        <v>6021</v>
      </c>
      <c r="N386" t="s">
        <v>3935</v>
      </c>
      <c r="O386" t="s">
        <v>12062</v>
      </c>
      <c r="P386" t="s">
        <v>12061</v>
      </c>
    </row>
    <row r="387" spans="1:16" x14ac:dyDescent="0.2">
      <c r="A387" t="str">
        <f t="shared" ref="A387:A450" si="6">_xlfn.CONCAT("metab_compid_", $G387)</f>
        <v>metab_compid_33441</v>
      </c>
      <c r="B387" t="s">
        <v>12063</v>
      </c>
      <c r="C387">
        <v>321</v>
      </c>
      <c r="D387" t="s">
        <v>5765</v>
      </c>
      <c r="E387" t="s">
        <v>3436</v>
      </c>
      <c r="F387" t="s">
        <v>3498</v>
      </c>
      <c r="G387">
        <v>33441</v>
      </c>
      <c r="H387" t="s">
        <v>11320</v>
      </c>
      <c r="I387">
        <v>100001055</v>
      </c>
      <c r="J387">
        <v>2810</v>
      </c>
      <c r="K387">
        <v>232.15433999999999</v>
      </c>
      <c r="L387" t="s">
        <v>5766</v>
      </c>
      <c r="M387">
        <v>168379</v>
      </c>
      <c r="N387" t="s">
        <v>11145</v>
      </c>
      <c r="O387" t="s">
        <v>12064</v>
      </c>
      <c r="P387" t="s">
        <v>12063</v>
      </c>
    </row>
    <row r="388" spans="1:16" x14ac:dyDescent="0.2">
      <c r="A388" t="str">
        <f t="shared" si="6"/>
        <v>metab_compid_35437</v>
      </c>
      <c r="B388" t="s">
        <v>12065</v>
      </c>
      <c r="C388">
        <v>322</v>
      </c>
      <c r="D388" t="s">
        <v>6676</v>
      </c>
      <c r="E388" t="s">
        <v>3436</v>
      </c>
      <c r="F388" t="s">
        <v>3498</v>
      </c>
      <c r="G388">
        <v>35437</v>
      </c>
      <c r="H388" t="s">
        <v>11327</v>
      </c>
      <c r="I388">
        <v>100001590</v>
      </c>
      <c r="J388">
        <v>1420</v>
      </c>
      <c r="K388">
        <v>144.06661</v>
      </c>
      <c r="L388" t="s">
        <v>6678</v>
      </c>
      <c r="M388">
        <v>10855600</v>
      </c>
      <c r="N388" t="s">
        <v>11145</v>
      </c>
      <c r="O388" t="s">
        <v>12066</v>
      </c>
      <c r="P388" t="s">
        <v>12065</v>
      </c>
    </row>
    <row r="389" spans="1:16" x14ac:dyDescent="0.2">
      <c r="A389" t="str">
        <f t="shared" si="6"/>
        <v>metab_compid_1125</v>
      </c>
      <c r="B389" t="s">
        <v>12067</v>
      </c>
      <c r="C389">
        <v>292</v>
      </c>
      <c r="D389" t="s">
        <v>589</v>
      </c>
      <c r="E389" t="s">
        <v>3436</v>
      </c>
      <c r="F389" t="s">
        <v>3498</v>
      </c>
      <c r="G389">
        <v>1125</v>
      </c>
      <c r="H389" t="s">
        <v>11320</v>
      </c>
      <c r="I389">
        <v>376</v>
      </c>
      <c r="J389">
        <v>2800</v>
      </c>
      <c r="K389">
        <v>132.10191</v>
      </c>
      <c r="L389" t="s">
        <v>3948</v>
      </c>
      <c r="M389">
        <v>6306</v>
      </c>
      <c r="N389" t="s">
        <v>12068</v>
      </c>
      <c r="O389" t="s">
        <v>12069</v>
      </c>
      <c r="P389" t="s">
        <v>12067</v>
      </c>
    </row>
    <row r="390" spans="1:16" x14ac:dyDescent="0.2">
      <c r="A390" t="str">
        <f t="shared" si="6"/>
        <v>metab_compid_40008</v>
      </c>
      <c r="B390" t="s">
        <v>12070</v>
      </c>
      <c r="C390">
        <v>648</v>
      </c>
      <c r="D390" t="s">
        <v>7831</v>
      </c>
      <c r="E390" t="s">
        <v>3853</v>
      </c>
      <c r="F390" t="s">
        <v>5381</v>
      </c>
      <c r="G390">
        <v>40008</v>
      </c>
      <c r="H390" t="s">
        <v>11327</v>
      </c>
      <c r="I390">
        <v>100003169</v>
      </c>
      <c r="J390">
        <v>1992</v>
      </c>
      <c r="K390">
        <v>187.10881000000001</v>
      </c>
      <c r="L390" t="s">
        <v>7832</v>
      </c>
      <c r="M390">
        <v>342532</v>
      </c>
      <c r="N390" t="s">
        <v>11145</v>
      </c>
      <c r="O390" t="s">
        <v>12071</v>
      </c>
      <c r="P390" t="s">
        <v>12070</v>
      </c>
    </row>
    <row r="391" spans="1:16" x14ac:dyDescent="0.2">
      <c r="A391" t="str">
        <f t="shared" si="6"/>
        <v>metab_compid_57577</v>
      </c>
      <c r="B391" t="s">
        <v>12072</v>
      </c>
      <c r="C391">
        <v>2789</v>
      </c>
      <c r="D391" t="s">
        <v>7521</v>
      </c>
      <c r="E391" t="s">
        <v>3459</v>
      </c>
      <c r="F391" t="s">
        <v>3819</v>
      </c>
      <c r="G391">
        <v>57577</v>
      </c>
      <c r="H391" t="s">
        <v>11327</v>
      </c>
      <c r="I391">
        <v>100002488</v>
      </c>
      <c r="J391">
        <v>4809</v>
      </c>
      <c r="K391">
        <v>391.28537999999998</v>
      </c>
      <c r="L391" t="s">
        <v>7522</v>
      </c>
      <c r="M391">
        <v>127601</v>
      </c>
      <c r="N391" t="s">
        <v>7525</v>
      </c>
      <c r="O391" t="s">
        <v>12073</v>
      </c>
      <c r="P391" t="s">
        <v>12072</v>
      </c>
    </row>
    <row r="392" spans="1:16" x14ac:dyDescent="0.2">
      <c r="A392" t="str">
        <f t="shared" si="6"/>
        <v>metab_compid_44656</v>
      </c>
      <c r="B392" t="s">
        <v>12074</v>
      </c>
      <c r="C392">
        <v>267</v>
      </c>
      <c r="D392" t="s">
        <v>5490</v>
      </c>
      <c r="E392" t="s">
        <v>3436</v>
      </c>
      <c r="F392" t="s">
        <v>3498</v>
      </c>
      <c r="G392">
        <v>44656</v>
      </c>
      <c r="H392" t="s">
        <v>11327</v>
      </c>
      <c r="I392">
        <v>100000708</v>
      </c>
      <c r="J392">
        <v>1564</v>
      </c>
      <c r="K392">
        <v>101.0608</v>
      </c>
      <c r="L392" t="s">
        <v>5492</v>
      </c>
      <c r="M392">
        <v>10430</v>
      </c>
      <c r="N392" t="s">
        <v>5495</v>
      </c>
      <c r="O392" t="s">
        <v>12075</v>
      </c>
      <c r="P392" t="s">
        <v>12074</v>
      </c>
    </row>
    <row r="393" spans="1:16" x14ac:dyDescent="0.2">
      <c r="A393" t="str">
        <f t="shared" si="6"/>
        <v>metab_compid_34407</v>
      </c>
      <c r="B393" t="s">
        <v>12076</v>
      </c>
      <c r="C393">
        <v>269</v>
      </c>
      <c r="D393" t="s">
        <v>6310</v>
      </c>
      <c r="E393" t="s">
        <v>3436</v>
      </c>
      <c r="F393" t="s">
        <v>3498</v>
      </c>
      <c r="G393">
        <v>34407</v>
      </c>
      <c r="H393" t="s">
        <v>11320</v>
      </c>
      <c r="I393">
        <v>100001393</v>
      </c>
      <c r="J393">
        <v>3085</v>
      </c>
      <c r="K393">
        <v>246.16999000000001</v>
      </c>
      <c r="L393" t="s">
        <v>6311</v>
      </c>
      <c r="M393">
        <v>6426851</v>
      </c>
      <c r="N393" t="s">
        <v>11145</v>
      </c>
      <c r="O393" t="s">
        <v>12077</v>
      </c>
      <c r="P393" t="s">
        <v>12076</v>
      </c>
    </row>
    <row r="394" spans="1:16" x14ac:dyDescent="0.2">
      <c r="A394" t="str">
        <f t="shared" si="6"/>
        <v>metab_compid_1417</v>
      </c>
      <c r="B394" t="s">
        <v>12078</v>
      </c>
      <c r="C394">
        <v>222</v>
      </c>
      <c r="D394" t="s">
        <v>3492</v>
      </c>
      <c r="E394" t="s">
        <v>3436</v>
      </c>
      <c r="F394" t="s">
        <v>3470</v>
      </c>
      <c r="G394">
        <v>1417</v>
      </c>
      <c r="H394" t="s">
        <v>11327</v>
      </c>
      <c r="I394">
        <v>98</v>
      </c>
      <c r="J394">
        <v>2224</v>
      </c>
      <c r="K394">
        <v>188.03531000000001</v>
      </c>
      <c r="L394" t="s">
        <v>3493</v>
      </c>
      <c r="M394">
        <v>3845</v>
      </c>
      <c r="N394" t="s">
        <v>3496</v>
      </c>
      <c r="O394" t="s">
        <v>12079</v>
      </c>
      <c r="P394" t="s">
        <v>12078</v>
      </c>
    </row>
    <row r="395" spans="1:16" x14ac:dyDescent="0.2">
      <c r="A395" t="str">
        <f t="shared" si="6"/>
        <v>metab_compid_15140</v>
      </c>
      <c r="B395" t="s">
        <v>12080</v>
      </c>
      <c r="C395">
        <v>218</v>
      </c>
      <c r="D395" t="s">
        <v>5273</v>
      </c>
      <c r="E395" t="s">
        <v>3436</v>
      </c>
      <c r="F395" t="s">
        <v>3470</v>
      </c>
      <c r="G395">
        <v>15140</v>
      </c>
      <c r="H395" t="s">
        <v>11320</v>
      </c>
      <c r="I395">
        <v>100000265</v>
      </c>
      <c r="J395">
        <v>2739</v>
      </c>
      <c r="K395">
        <v>209.09207000000001</v>
      </c>
      <c r="L395" t="s">
        <v>5274</v>
      </c>
      <c r="M395">
        <v>161166</v>
      </c>
      <c r="N395" t="s">
        <v>5277</v>
      </c>
      <c r="O395" t="s">
        <v>12081</v>
      </c>
      <c r="P395" t="s">
        <v>12080</v>
      </c>
    </row>
    <row r="396" spans="1:16" x14ac:dyDescent="0.2">
      <c r="A396" t="str">
        <f t="shared" si="6"/>
        <v>metab_compid_527</v>
      </c>
      <c r="B396" t="s">
        <v>12082</v>
      </c>
      <c r="C396">
        <v>946</v>
      </c>
      <c r="D396" t="s">
        <v>594</v>
      </c>
      <c r="E396" t="s">
        <v>3977</v>
      </c>
      <c r="F396" t="s">
        <v>4084</v>
      </c>
      <c r="G396">
        <v>527</v>
      </c>
      <c r="H396" t="s">
        <v>11545</v>
      </c>
      <c r="I396">
        <v>482</v>
      </c>
      <c r="J396">
        <v>1468.8</v>
      </c>
      <c r="K396">
        <v>89.024420000000006</v>
      </c>
      <c r="L396" t="s">
        <v>4119</v>
      </c>
      <c r="M396">
        <v>612</v>
      </c>
      <c r="N396" t="s">
        <v>4122</v>
      </c>
      <c r="O396" t="s">
        <v>12083</v>
      </c>
      <c r="P396" t="s">
        <v>12082</v>
      </c>
    </row>
    <row r="397" spans="1:16" x14ac:dyDescent="0.2">
      <c r="A397" t="str">
        <f t="shared" si="6"/>
        <v>metab_compid_57422</v>
      </c>
      <c r="B397" t="s">
        <v>12084</v>
      </c>
      <c r="C397">
        <v>2488</v>
      </c>
      <c r="D397" t="s">
        <v>9298</v>
      </c>
      <c r="E397" t="s">
        <v>3459</v>
      </c>
      <c r="F397" t="s">
        <v>9027</v>
      </c>
      <c r="G397">
        <v>57422</v>
      </c>
      <c r="H397" t="s">
        <v>11322</v>
      </c>
      <c r="I397">
        <v>100015623</v>
      </c>
      <c r="J397">
        <v>3842</v>
      </c>
      <c r="K397">
        <v>946.71892000000003</v>
      </c>
      <c r="L397" t="s">
        <v>11145</v>
      </c>
      <c r="M397" t="s">
        <v>11145</v>
      </c>
      <c r="N397" t="s">
        <v>11145</v>
      </c>
      <c r="O397" t="s">
        <v>11145</v>
      </c>
      <c r="P397" t="s">
        <v>12084</v>
      </c>
    </row>
    <row r="398" spans="1:16" x14ac:dyDescent="0.2">
      <c r="A398" t="str">
        <f t="shared" si="6"/>
        <v>metab_compid_57370</v>
      </c>
      <c r="B398" t="s">
        <v>12085</v>
      </c>
      <c r="C398">
        <v>2489</v>
      </c>
      <c r="D398" t="s">
        <v>9293</v>
      </c>
      <c r="E398" t="s">
        <v>3459</v>
      </c>
      <c r="F398" t="s">
        <v>9027</v>
      </c>
      <c r="G398">
        <v>57370</v>
      </c>
      <c r="H398" t="s">
        <v>11322</v>
      </c>
      <c r="I398">
        <v>100015620</v>
      </c>
      <c r="J398">
        <v>3778</v>
      </c>
      <c r="K398">
        <v>972.73456999999996</v>
      </c>
      <c r="L398" t="s">
        <v>11145</v>
      </c>
      <c r="M398" t="s">
        <v>11145</v>
      </c>
      <c r="N398" t="s">
        <v>11145</v>
      </c>
      <c r="O398" t="s">
        <v>11145</v>
      </c>
      <c r="P398" t="s">
        <v>12085</v>
      </c>
    </row>
    <row r="399" spans="1:16" x14ac:dyDescent="0.2">
      <c r="A399" t="str">
        <f t="shared" si="6"/>
        <v>metab_compid_53010</v>
      </c>
      <c r="B399" t="s">
        <v>12086</v>
      </c>
      <c r="C399">
        <v>2485</v>
      </c>
      <c r="D399" t="s">
        <v>9030</v>
      </c>
      <c r="E399" t="s">
        <v>3459</v>
      </c>
      <c r="F399" t="s">
        <v>9027</v>
      </c>
      <c r="G399">
        <v>53010</v>
      </c>
      <c r="H399" t="s">
        <v>11322</v>
      </c>
      <c r="I399">
        <v>100009030</v>
      </c>
      <c r="J399">
        <v>2527</v>
      </c>
      <c r="K399">
        <v>862.62501999999995</v>
      </c>
      <c r="L399" t="s">
        <v>9031</v>
      </c>
      <c r="M399" t="s">
        <v>11145</v>
      </c>
      <c r="N399" t="s">
        <v>11145</v>
      </c>
      <c r="O399" t="s">
        <v>11145</v>
      </c>
      <c r="P399" t="s">
        <v>12086</v>
      </c>
    </row>
    <row r="400" spans="1:16" x14ac:dyDescent="0.2">
      <c r="A400" t="str">
        <f t="shared" si="6"/>
        <v>metab_compid_42002</v>
      </c>
      <c r="B400" t="s">
        <v>12087</v>
      </c>
      <c r="C400">
        <v>354</v>
      </c>
      <c r="D400" t="s">
        <v>7988</v>
      </c>
      <c r="E400" t="s">
        <v>3436</v>
      </c>
      <c r="F400" t="s">
        <v>3603</v>
      </c>
      <c r="G400">
        <v>42002</v>
      </c>
      <c r="H400" t="s">
        <v>11320</v>
      </c>
      <c r="I400">
        <v>100003892</v>
      </c>
      <c r="J400">
        <v>1730</v>
      </c>
      <c r="K400">
        <v>209.05905999999999</v>
      </c>
      <c r="L400">
        <v>468821</v>
      </c>
      <c r="M400">
        <v>98504</v>
      </c>
      <c r="N400" t="s">
        <v>11145</v>
      </c>
      <c r="O400" t="s">
        <v>11145</v>
      </c>
      <c r="P400" t="s">
        <v>12087</v>
      </c>
    </row>
    <row r="401" spans="1:16" x14ac:dyDescent="0.2">
      <c r="A401" t="str">
        <f t="shared" si="6"/>
        <v>metab_compid_1645</v>
      </c>
      <c r="B401" t="s">
        <v>12088</v>
      </c>
      <c r="C401">
        <v>1172</v>
      </c>
      <c r="D401" t="s">
        <v>3572</v>
      </c>
      <c r="E401" t="s">
        <v>3459</v>
      </c>
      <c r="F401" t="s">
        <v>3569</v>
      </c>
      <c r="G401">
        <v>1645</v>
      </c>
      <c r="H401" t="s">
        <v>11327</v>
      </c>
      <c r="I401">
        <v>181</v>
      </c>
      <c r="J401">
        <v>5300</v>
      </c>
      <c r="K401">
        <v>199.17035000000001</v>
      </c>
      <c r="L401" t="s">
        <v>3573</v>
      </c>
      <c r="M401">
        <v>3893</v>
      </c>
      <c r="N401" t="s">
        <v>3576</v>
      </c>
      <c r="O401" t="s">
        <v>12089</v>
      </c>
      <c r="P401" t="s">
        <v>12088</v>
      </c>
    </row>
    <row r="402" spans="1:16" x14ac:dyDescent="0.2">
      <c r="A402" t="str">
        <f t="shared" si="6"/>
        <v>metab_compid_34534</v>
      </c>
      <c r="B402" t="s">
        <v>12090</v>
      </c>
      <c r="C402">
        <v>1450</v>
      </c>
      <c r="D402" t="s">
        <v>6303</v>
      </c>
      <c r="E402" t="s">
        <v>3459</v>
      </c>
      <c r="F402" t="s">
        <v>11596</v>
      </c>
      <c r="G402">
        <v>34534</v>
      </c>
      <c r="H402" t="s">
        <v>11322</v>
      </c>
      <c r="I402">
        <v>100001392</v>
      </c>
      <c r="J402">
        <v>1235</v>
      </c>
      <c r="K402">
        <v>344.27954</v>
      </c>
      <c r="L402" t="s">
        <v>6304</v>
      </c>
      <c r="M402">
        <v>10427569</v>
      </c>
      <c r="N402" t="s">
        <v>11145</v>
      </c>
      <c r="O402" t="s">
        <v>12091</v>
      </c>
      <c r="P402" t="s">
        <v>12090</v>
      </c>
    </row>
    <row r="403" spans="1:16" x14ac:dyDescent="0.2">
      <c r="A403" t="str">
        <f t="shared" si="6"/>
        <v>metab_compid_60</v>
      </c>
      <c r="B403" t="s">
        <v>12092</v>
      </c>
      <c r="C403">
        <v>257</v>
      </c>
      <c r="D403" t="s">
        <v>602</v>
      </c>
      <c r="E403" t="s">
        <v>3436</v>
      </c>
      <c r="F403" t="s">
        <v>3498</v>
      </c>
      <c r="G403">
        <v>60</v>
      </c>
      <c r="H403" t="s">
        <v>11320</v>
      </c>
      <c r="I403">
        <v>397</v>
      </c>
      <c r="J403">
        <v>2864</v>
      </c>
      <c r="K403">
        <v>132.10191</v>
      </c>
      <c r="L403" t="s">
        <v>3989</v>
      </c>
      <c r="M403">
        <v>5246661</v>
      </c>
      <c r="N403" t="s">
        <v>11145</v>
      </c>
      <c r="O403" t="s">
        <v>11145</v>
      </c>
      <c r="P403" t="s">
        <v>12092</v>
      </c>
    </row>
    <row r="404" spans="1:16" x14ac:dyDescent="0.2">
      <c r="A404" t="str">
        <f t="shared" si="6"/>
        <v>metab_compid_40045</v>
      </c>
      <c r="B404" t="s">
        <v>12093</v>
      </c>
      <c r="C404">
        <v>666</v>
      </c>
      <c r="D404" t="s">
        <v>12094</v>
      </c>
      <c r="E404" t="s">
        <v>3853</v>
      </c>
      <c r="F404" t="s">
        <v>5381</v>
      </c>
      <c r="G404">
        <v>40045</v>
      </c>
      <c r="H404" t="s">
        <v>11327</v>
      </c>
      <c r="I404">
        <v>100003185</v>
      </c>
      <c r="J404">
        <v>2050</v>
      </c>
      <c r="K404">
        <v>187.10881000000001</v>
      </c>
      <c r="L404" t="s">
        <v>12095</v>
      </c>
      <c r="M404">
        <v>79070</v>
      </c>
      <c r="N404" t="s">
        <v>11145</v>
      </c>
      <c r="O404" t="s">
        <v>12096</v>
      </c>
      <c r="P404" t="s">
        <v>12093</v>
      </c>
    </row>
    <row r="405" spans="1:16" x14ac:dyDescent="0.2">
      <c r="A405" t="str">
        <f t="shared" si="6"/>
        <v>metab_compid_57330</v>
      </c>
      <c r="B405" t="s">
        <v>12097</v>
      </c>
      <c r="C405">
        <v>2505</v>
      </c>
      <c r="D405" t="s">
        <v>8610</v>
      </c>
      <c r="E405" t="s">
        <v>3459</v>
      </c>
      <c r="F405" t="s">
        <v>814</v>
      </c>
      <c r="G405">
        <v>57330</v>
      </c>
      <c r="H405" t="s">
        <v>11322</v>
      </c>
      <c r="I405">
        <v>100006298</v>
      </c>
      <c r="J405">
        <v>3437</v>
      </c>
      <c r="K405">
        <v>815.70006000000001</v>
      </c>
      <c r="L405" t="s">
        <v>8611</v>
      </c>
      <c r="M405" t="s">
        <v>11145</v>
      </c>
      <c r="N405" t="s">
        <v>11145</v>
      </c>
      <c r="O405" t="s">
        <v>11145</v>
      </c>
      <c r="P405" t="s">
        <v>12097</v>
      </c>
    </row>
    <row r="406" spans="1:16" x14ac:dyDescent="0.2">
      <c r="A406" t="str">
        <f t="shared" si="6"/>
        <v>metab_compid_57515</v>
      </c>
      <c r="B406" t="s">
        <v>12098</v>
      </c>
      <c r="C406">
        <v>1485</v>
      </c>
      <c r="D406" t="s">
        <v>9477</v>
      </c>
      <c r="E406" t="s">
        <v>3459</v>
      </c>
      <c r="F406" t="s">
        <v>11596</v>
      </c>
      <c r="G406">
        <v>57515</v>
      </c>
      <c r="H406" t="s">
        <v>11322</v>
      </c>
      <c r="I406">
        <v>100015834</v>
      </c>
      <c r="J406">
        <v>1603</v>
      </c>
      <c r="K406">
        <v>512.46732999999995</v>
      </c>
      <c r="L406" t="s">
        <v>11145</v>
      </c>
      <c r="M406" t="s">
        <v>11145</v>
      </c>
      <c r="N406" t="s">
        <v>11145</v>
      </c>
      <c r="O406" t="s">
        <v>11145</v>
      </c>
      <c r="P406" t="s">
        <v>12098</v>
      </c>
    </row>
    <row r="407" spans="1:16" x14ac:dyDescent="0.2">
      <c r="A407" t="str">
        <f t="shared" si="6"/>
        <v>metab_compid_1105</v>
      </c>
      <c r="B407" t="s">
        <v>12099</v>
      </c>
      <c r="C407">
        <v>1227</v>
      </c>
      <c r="D407" t="s">
        <v>3563</v>
      </c>
      <c r="E407" t="s">
        <v>3459</v>
      </c>
      <c r="F407" t="s">
        <v>11702</v>
      </c>
      <c r="G407">
        <v>1105</v>
      </c>
      <c r="H407" t="s">
        <v>11327</v>
      </c>
      <c r="I407">
        <v>180</v>
      </c>
      <c r="J407">
        <v>5535</v>
      </c>
      <c r="K407">
        <v>279.23295000000002</v>
      </c>
      <c r="L407" t="s">
        <v>3564</v>
      </c>
      <c r="M407">
        <v>5280450</v>
      </c>
      <c r="N407" t="s">
        <v>3567</v>
      </c>
      <c r="O407" t="s">
        <v>12100</v>
      </c>
      <c r="P407" t="s">
        <v>12099</v>
      </c>
    </row>
    <row r="408" spans="1:16" x14ac:dyDescent="0.2">
      <c r="A408" t="str">
        <f t="shared" si="6"/>
        <v>metab_compid_34035</v>
      </c>
      <c r="B408" t="s">
        <v>12101</v>
      </c>
      <c r="C408">
        <v>1229</v>
      </c>
      <c r="D408" t="s">
        <v>6277</v>
      </c>
      <c r="E408" t="s">
        <v>3459</v>
      </c>
      <c r="F408" t="s">
        <v>11702</v>
      </c>
      <c r="G408">
        <v>34035</v>
      </c>
      <c r="H408" t="s">
        <v>11327</v>
      </c>
      <c r="I408">
        <v>100001337</v>
      </c>
      <c r="J408">
        <v>5450</v>
      </c>
      <c r="K408">
        <v>277.21730000000002</v>
      </c>
      <c r="L408" t="s">
        <v>11145</v>
      </c>
      <c r="M408">
        <v>5280934</v>
      </c>
      <c r="N408" t="s">
        <v>12102</v>
      </c>
      <c r="O408" t="s">
        <v>12103</v>
      </c>
      <c r="P408" t="s">
        <v>12101</v>
      </c>
    </row>
    <row r="409" spans="1:16" x14ac:dyDescent="0.2">
      <c r="A409" t="str">
        <f t="shared" si="6"/>
        <v>metab_compid_57511</v>
      </c>
      <c r="B409" t="s">
        <v>12104</v>
      </c>
      <c r="C409">
        <v>1457</v>
      </c>
      <c r="D409" t="s">
        <v>9462</v>
      </c>
      <c r="E409" t="s">
        <v>3459</v>
      </c>
      <c r="F409" t="s">
        <v>11596</v>
      </c>
      <c r="G409">
        <v>57511</v>
      </c>
      <c r="H409" t="s">
        <v>11322</v>
      </c>
      <c r="I409">
        <v>100015831</v>
      </c>
      <c r="J409">
        <v>1310</v>
      </c>
      <c r="K409">
        <v>422.32648999999998</v>
      </c>
      <c r="L409" t="s">
        <v>11145</v>
      </c>
      <c r="M409" t="s">
        <v>11145</v>
      </c>
      <c r="N409" t="s">
        <v>11145</v>
      </c>
      <c r="O409" t="s">
        <v>11145</v>
      </c>
      <c r="P409" t="s">
        <v>12104</v>
      </c>
    </row>
    <row r="410" spans="1:16" x14ac:dyDescent="0.2">
      <c r="A410" t="str">
        <f t="shared" si="6"/>
        <v>metab_compid_52608</v>
      </c>
      <c r="B410" t="s">
        <v>12105</v>
      </c>
      <c r="C410">
        <v>1690</v>
      </c>
      <c r="D410" t="s">
        <v>8756</v>
      </c>
      <c r="E410" t="s">
        <v>3459</v>
      </c>
      <c r="F410" t="s">
        <v>4774</v>
      </c>
      <c r="G410">
        <v>52608</v>
      </c>
      <c r="H410" t="s">
        <v>11327</v>
      </c>
      <c r="I410">
        <v>100006726</v>
      </c>
      <c r="J410">
        <v>6150</v>
      </c>
      <c r="K410">
        <v>322.27515</v>
      </c>
      <c r="L410" t="s">
        <v>8757</v>
      </c>
      <c r="M410">
        <v>5283446</v>
      </c>
      <c r="N410" t="s">
        <v>11145</v>
      </c>
      <c r="O410" t="s">
        <v>12106</v>
      </c>
      <c r="P410" t="s">
        <v>12105</v>
      </c>
    </row>
    <row r="411" spans="1:16" x14ac:dyDescent="0.2">
      <c r="A411" t="str">
        <f t="shared" si="6"/>
        <v>metab_compid_54955</v>
      </c>
      <c r="B411" t="s">
        <v>12107</v>
      </c>
      <c r="C411">
        <v>2382</v>
      </c>
      <c r="D411" t="s">
        <v>12108</v>
      </c>
      <c r="E411" t="s">
        <v>3459</v>
      </c>
      <c r="F411" t="s">
        <v>7792</v>
      </c>
      <c r="G411">
        <v>54955</v>
      </c>
      <c r="H411" t="s">
        <v>11322</v>
      </c>
      <c r="I411">
        <v>100010922</v>
      </c>
      <c r="J411">
        <v>2590</v>
      </c>
      <c r="K411">
        <v>658.54051000000004</v>
      </c>
      <c r="L411" t="s">
        <v>11145</v>
      </c>
      <c r="M411" t="s">
        <v>11145</v>
      </c>
      <c r="N411" t="s">
        <v>11145</v>
      </c>
      <c r="O411" t="s">
        <v>12109</v>
      </c>
      <c r="P411" t="s">
        <v>12107</v>
      </c>
    </row>
    <row r="412" spans="1:16" x14ac:dyDescent="0.2">
      <c r="A412" t="str">
        <f t="shared" si="6"/>
        <v>metab_compid_54956</v>
      </c>
      <c r="B412" t="s">
        <v>12110</v>
      </c>
      <c r="C412">
        <v>2383</v>
      </c>
      <c r="D412" t="s">
        <v>12111</v>
      </c>
      <c r="E412" t="s">
        <v>3459</v>
      </c>
      <c r="F412" t="s">
        <v>7792</v>
      </c>
      <c r="G412">
        <v>54956</v>
      </c>
      <c r="H412" t="s">
        <v>11322</v>
      </c>
      <c r="I412">
        <v>100010923</v>
      </c>
      <c r="J412">
        <v>2650</v>
      </c>
      <c r="K412">
        <v>658.54051000000004</v>
      </c>
      <c r="L412" t="s">
        <v>11145</v>
      </c>
      <c r="M412" t="s">
        <v>11145</v>
      </c>
      <c r="N412" t="s">
        <v>11145</v>
      </c>
      <c r="O412" t="s">
        <v>12109</v>
      </c>
      <c r="P412" t="s">
        <v>12110</v>
      </c>
    </row>
    <row r="413" spans="1:16" x14ac:dyDescent="0.2">
      <c r="A413" t="str">
        <f t="shared" si="6"/>
        <v>metab_compid_54950</v>
      </c>
      <c r="B413" t="s">
        <v>12112</v>
      </c>
      <c r="C413">
        <v>2387</v>
      </c>
      <c r="D413" t="s">
        <v>12113</v>
      </c>
      <c r="E413" t="s">
        <v>3459</v>
      </c>
      <c r="F413" t="s">
        <v>7792</v>
      </c>
      <c r="G413">
        <v>54950</v>
      </c>
      <c r="H413" t="s">
        <v>11322</v>
      </c>
      <c r="I413">
        <v>100010929</v>
      </c>
      <c r="J413">
        <v>2500</v>
      </c>
      <c r="K413">
        <v>682.54051000000004</v>
      </c>
      <c r="L413" t="s">
        <v>11145</v>
      </c>
      <c r="M413" t="s">
        <v>11145</v>
      </c>
      <c r="N413" t="s">
        <v>11145</v>
      </c>
      <c r="O413" t="s">
        <v>12114</v>
      </c>
      <c r="P413" t="s">
        <v>12112</v>
      </c>
    </row>
    <row r="414" spans="1:16" x14ac:dyDescent="0.2">
      <c r="A414" t="str">
        <f t="shared" si="6"/>
        <v>metab_compid_54964</v>
      </c>
      <c r="B414" t="s">
        <v>12115</v>
      </c>
      <c r="C414">
        <v>2375</v>
      </c>
      <c r="D414" t="s">
        <v>12116</v>
      </c>
      <c r="E414" t="s">
        <v>3459</v>
      </c>
      <c r="F414" t="s">
        <v>7792</v>
      </c>
      <c r="G414">
        <v>54964</v>
      </c>
      <c r="H414" t="s">
        <v>11322</v>
      </c>
      <c r="I414">
        <v>100010927</v>
      </c>
      <c r="J414">
        <v>2478</v>
      </c>
      <c r="K414">
        <v>632.52485999999999</v>
      </c>
      <c r="L414" t="s">
        <v>11145</v>
      </c>
      <c r="M414" t="s">
        <v>11145</v>
      </c>
      <c r="N414" t="s">
        <v>11145</v>
      </c>
      <c r="O414" t="s">
        <v>12117</v>
      </c>
      <c r="P414" t="s">
        <v>12115</v>
      </c>
    </row>
    <row r="415" spans="1:16" x14ac:dyDescent="0.2">
      <c r="A415" t="str">
        <f t="shared" si="6"/>
        <v>metab_compid_54968</v>
      </c>
      <c r="B415" t="s">
        <v>12118</v>
      </c>
      <c r="C415">
        <v>2372</v>
      </c>
      <c r="D415" t="s">
        <v>12119</v>
      </c>
      <c r="E415" t="s">
        <v>3459</v>
      </c>
      <c r="F415" t="s">
        <v>7792</v>
      </c>
      <c r="G415">
        <v>54968</v>
      </c>
      <c r="H415" t="s">
        <v>11322</v>
      </c>
      <c r="I415">
        <v>100010941</v>
      </c>
      <c r="J415">
        <v>2720</v>
      </c>
      <c r="K415">
        <v>634.54051000000004</v>
      </c>
      <c r="L415" t="s">
        <v>11145</v>
      </c>
      <c r="M415" t="s">
        <v>11145</v>
      </c>
      <c r="N415" t="s">
        <v>11145</v>
      </c>
      <c r="O415" t="s">
        <v>12120</v>
      </c>
      <c r="P415" t="s">
        <v>12118</v>
      </c>
    </row>
    <row r="416" spans="1:16" x14ac:dyDescent="0.2">
      <c r="A416" t="str">
        <f t="shared" si="6"/>
        <v>metab_compid_46223</v>
      </c>
      <c r="B416" t="s">
        <v>12121</v>
      </c>
      <c r="C416">
        <v>1456</v>
      </c>
      <c r="D416" t="s">
        <v>7824</v>
      </c>
      <c r="E416" t="s">
        <v>3459</v>
      </c>
      <c r="F416" t="s">
        <v>11596</v>
      </c>
      <c r="G416">
        <v>46223</v>
      </c>
      <c r="H416" t="s">
        <v>11322</v>
      </c>
      <c r="I416">
        <v>100003151</v>
      </c>
      <c r="J416">
        <v>1430</v>
      </c>
      <c r="K416">
        <v>424.34213999999997</v>
      </c>
      <c r="L416" t="s">
        <v>7825</v>
      </c>
      <c r="M416">
        <v>6450015</v>
      </c>
      <c r="N416" t="s">
        <v>11145</v>
      </c>
      <c r="O416" t="s">
        <v>12122</v>
      </c>
      <c r="P416" t="s">
        <v>12121</v>
      </c>
    </row>
    <row r="417" spans="1:16" x14ac:dyDescent="0.2">
      <c r="A417" t="str">
        <f t="shared" si="6"/>
        <v>metab_compid_57463</v>
      </c>
      <c r="B417" t="s">
        <v>12123</v>
      </c>
      <c r="C417">
        <v>1508</v>
      </c>
      <c r="D417" t="s">
        <v>9376</v>
      </c>
      <c r="E417" t="s">
        <v>3459</v>
      </c>
      <c r="F417" t="s">
        <v>9134</v>
      </c>
      <c r="G417">
        <v>57463</v>
      </c>
      <c r="H417" t="s">
        <v>11322</v>
      </c>
      <c r="I417">
        <v>100015760</v>
      </c>
      <c r="J417">
        <v>1388</v>
      </c>
      <c r="K417">
        <v>366.33665999999999</v>
      </c>
      <c r="L417" t="s">
        <v>11145</v>
      </c>
      <c r="M417" t="s">
        <v>11145</v>
      </c>
      <c r="N417" t="s">
        <v>11145</v>
      </c>
      <c r="O417" t="s">
        <v>11145</v>
      </c>
      <c r="P417" t="s">
        <v>12123</v>
      </c>
    </row>
    <row r="418" spans="1:16" x14ac:dyDescent="0.2">
      <c r="A418" t="str">
        <f t="shared" si="6"/>
        <v>metab_compid_62526</v>
      </c>
      <c r="B418" t="s">
        <v>12124</v>
      </c>
      <c r="C418">
        <v>2780</v>
      </c>
      <c r="D418" t="s">
        <v>9897</v>
      </c>
      <c r="E418" t="s">
        <v>3459</v>
      </c>
      <c r="F418" t="s">
        <v>3819</v>
      </c>
      <c r="G418">
        <v>62526</v>
      </c>
      <c r="H418" t="s">
        <v>11327</v>
      </c>
      <c r="I418">
        <v>100020823</v>
      </c>
      <c r="J418">
        <v>4811</v>
      </c>
      <c r="K418">
        <v>227.12</v>
      </c>
      <c r="L418" t="s">
        <v>11145</v>
      </c>
      <c r="M418" t="s">
        <v>11145</v>
      </c>
      <c r="N418" t="s">
        <v>11145</v>
      </c>
      <c r="O418" t="s">
        <v>11145</v>
      </c>
      <c r="P418" t="s">
        <v>12124</v>
      </c>
    </row>
    <row r="419" spans="1:16" x14ac:dyDescent="0.2">
      <c r="A419" t="str">
        <f t="shared" si="6"/>
        <v>metab_compid_1301</v>
      </c>
      <c r="B419" t="s">
        <v>12125</v>
      </c>
      <c r="C419">
        <v>91</v>
      </c>
      <c r="D419" t="s">
        <v>3995</v>
      </c>
      <c r="E419" t="s">
        <v>3436</v>
      </c>
      <c r="F419" t="s">
        <v>3586</v>
      </c>
      <c r="G419">
        <v>1301</v>
      </c>
      <c r="H419" t="s">
        <v>11320</v>
      </c>
      <c r="I419">
        <v>407</v>
      </c>
      <c r="J419">
        <v>2850</v>
      </c>
      <c r="K419">
        <v>147.11281</v>
      </c>
      <c r="L419" t="s">
        <v>3996</v>
      </c>
      <c r="M419">
        <v>5962</v>
      </c>
      <c r="N419" t="s">
        <v>12126</v>
      </c>
      <c r="O419" t="s">
        <v>12127</v>
      </c>
      <c r="P419" t="s">
        <v>12125</v>
      </c>
    </row>
    <row r="420" spans="1:16" x14ac:dyDescent="0.2">
      <c r="A420" t="str">
        <f t="shared" si="6"/>
        <v>metab_compid_1303</v>
      </c>
      <c r="B420" t="s">
        <v>12128</v>
      </c>
      <c r="C420">
        <v>1133</v>
      </c>
      <c r="D420" t="s">
        <v>4003</v>
      </c>
      <c r="E420" t="s">
        <v>3479</v>
      </c>
      <c r="F420" t="s">
        <v>3480</v>
      </c>
      <c r="G420">
        <v>1303</v>
      </c>
      <c r="H420" t="s">
        <v>11327</v>
      </c>
      <c r="I420">
        <v>409</v>
      </c>
      <c r="J420">
        <v>615.6</v>
      </c>
      <c r="K420">
        <v>133.01425</v>
      </c>
      <c r="L420" t="s">
        <v>4004</v>
      </c>
      <c r="M420">
        <v>525</v>
      </c>
      <c r="N420" t="s">
        <v>12129</v>
      </c>
      <c r="O420" t="s">
        <v>12130</v>
      </c>
      <c r="P420" t="s">
        <v>12128</v>
      </c>
    </row>
    <row r="421" spans="1:16" x14ac:dyDescent="0.2">
      <c r="A421" t="str">
        <f t="shared" si="6"/>
        <v>metab_compid_20676</v>
      </c>
      <c r="B421" t="s">
        <v>12131</v>
      </c>
      <c r="C421">
        <v>1319</v>
      </c>
      <c r="D421" t="s">
        <v>5482</v>
      </c>
      <c r="E421" t="s">
        <v>3459</v>
      </c>
      <c r="F421" t="s">
        <v>3873</v>
      </c>
      <c r="G421">
        <v>20676</v>
      </c>
      <c r="H421" t="s">
        <v>11545</v>
      </c>
      <c r="I421">
        <v>100000707</v>
      </c>
      <c r="J421">
        <v>2640</v>
      </c>
      <c r="K421">
        <v>115.00368</v>
      </c>
      <c r="L421" t="s">
        <v>5483</v>
      </c>
      <c r="M421">
        <v>444266</v>
      </c>
      <c r="N421" t="s">
        <v>5486</v>
      </c>
      <c r="O421" t="s">
        <v>12132</v>
      </c>
      <c r="P421" t="s">
        <v>12131</v>
      </c>
    </row>
    <row r="422" spans="1:16" x14ac:dyDescent="0.2">
      <c r="A422" t="str">
        <f t="shared" si="6"/>
        <v>metab_compid_15872</v>
      </c>
      <c r="B422" t="s">
        <v>12133</v>
      </c>
      <c r="C422">
        <v>1150</v>
      </c>
      <c r="D422" t="s">
        <v>4327</v>
      </c>
      <c r="E422" t="s">
        <v>3459</v>
      </c>
      <c r="F422" t="s">
        <v>4324</v>
      </c>
      <c r="G422">
        <v>15872</v>
      </c>
      <c r="H422" t="s">
        <v>11545</v>
      </c>
      <c r="I422">
        <v>818</v>
      </c>
      <c r="J422">
        <v>3447</v>
      </c>
      <c r="K422">
        <v>103.00368</v>
      </c>
      <c r="L422" t="s">
        <v>12134</v>
      </c>
      <c r="M422">
        <v>867</v>
      </c>
      <c r="N422" t="s">
        <v>4331</v>
      </c>
      <c r="O422" t="s">
        <v>12135</v>
      </c>
      <c r="P422" t="s">
        <v>12133</v>
      </c>
    </row>
    <row r="423" spans="1:16" x14ac:dyDescent="0.2">
      <c r="A423" t="str">
        <f t="shared" si="6"/>
        <v>metab_compid_44688</v>
      </c>
      <c r="B423" t="s">
        <v>12136</v>
      </c>
      <c r="C423">
        <v>996</v>
      </c>
      <c r="D423" t="s">
        <v>12137</v>
      </c>
      <c r="E423" t="s">
        <v>3977</v>
      </c>
      <c r="F423" t="s">
        <v>4437</v>
      </c>
      <c r="G423">
        <v>44688</v>
      </c>
      <c r="H423" t="s">
        <v>11327</v>
      </c>
      <c r="I423">
        <v>100000276</v>
      </c>
      <c r="J423">
        <v>812</v>
      </c>
      <c r="K423">
        <v>503.16174999999998</v>
      </c>
      <c r="L423" t="s">
        <v>12138</v>
      </c>
      <c r="M423">
        <v>439586</v>
      </c>
      <c r="N423" t="s">
        <v>12139</v>
      </c>
      <c r="O423" t="s">
        <v>12140</v>
      </c>
      <c r="P423" t="s">
        <v>12136</v>
      </c>
    </row>
    <row r="424" spans="1:16" x14ac:dyDescent="0.2">
      <c r="A424" t="str">
        <f t="shared" si="6"/>
        <v>metab_compid_46142</v>
      </c>
      <c r="B424" t="s">
        <v>12141</v>
      </c>
      <c r="C424">
        <v>1044</v>
      </c>
      <c r="D424" t="s">
        <v>6901</v>
      </c>
      <c r="E424" t="s">
        <v>3977</v>
      </c>
      <c r="F424" t="s">
        <v>4293</v>
      </c>
      <c r="G424">
        <v>46142</v>
      </c>
      <c r="H424" t="s">
        <v>11545</v>
      </c>
      <c r="I424">
        <v>100001740</v>
      </c>
      <c r="J424">
        <v>2320</v>
      </c>
      <c r="K424">
        <v>181.07176000000001</v>
      </c>
      <c r="L424" t="s">
        <v>11145</v>
      </c>
      <c r="M424">
        <v>5780</v>
      </c>
      <c r="N424" t="s">
        <v>12142</v>
      </c>
      <c r="O424" t="s">
        <v>12143</v>
      </c>
      <c r="P424" t="s">
        <v>12141</v>
      </c>
    </row>
    <row r="425" spans="1:16" x14ac:dyDescent="0.2">
      <c r="A425" t="str">
        <f t="shared" si="6"/>
        <v>metab_compid_48153</v>
      </c>
      <c r="B425" t="s">
        <v>12144</v>
      </c>
      <c r="C425">
        <v>1045</v>
      </c>
      <c r="D425" t="s">
        <v>4296</v>
      </c>
      <c r="E425" t="s">
        <v>3977</v>
      </c>
      <c r="F425" t="s">
        <v>4293</v>
      </c>
      <c r="G425">
        <v>48153</v>
      </c>
      <c r="H425" t="s">
        <v>11545</v>
      </c>
      <c r="I425">
        <v>803</v>
      </c>
      <c r="J425">
        <v>2200</v>
      </c>
      <c r="K425">
        <v>225.06159</v>
      </c>
      <c r="L425" t="s">
        <v>4297</v>
      </c>
      <c r="M425">
        <v>18950</v>
      </c>
      <c r="N425" t="s">
        <v>12145</v>
      </c>
      <c r="O425" t="s">
        <v>12146</v>
      </c>
      <c r="P425" t="s">
        <v>12144</v>
      </c>
    </row>
    <row r="426" spans="1:16" x14ac:dyDescent="0.2">
      <c r="A426" t="str">
        <f t="shared" si="6"/>
        <v>metab_compid_1121</v>
      </c>
      <c r="B426" t="s">
        <v>12147</v>
      </c>
      <c r="C426">
        <v>1183</v>
      </c>
      <c r="D426" t="s">
        <v>4416</v>
      </c>
      <c r="E426" t="s">
        <v>3459</v>
      </c>
      <c r="F426" t="s">
        <v>11502</v>
      </c>
      <c r="G426">
        <v>1121</v>
      </c>
      <c r="H426" t="s">
        <v>11327</v>
      </c>
      <c r="I426">
        <v>891</v>
      </c>
      <c r="J426">
        <v>5731</v>
      </c>
      <c r="K426">
        <v>269.24860000000001</v>
      </c>
      <c r="L426" t="s">
        <v>4417</v>
      </c>
      <c r="M426">
        <v>10465</v>
      </c>
      <c r="N426" t="s">
        <v>11145</v>
      </c>
      <c r="O426" t="s">
        <v>12148</v>
      </c>
      <c r="P426" t="s">
        <v>12147</v>
      </c>
    </row>
    <row r="427" spans="1:16" x14ac:dyDescent="0.2">
      <c r="A427" t="str">
        <f t="shared" si="6"/>
        <v>metab_compid_57512</v>
      </c>
      <c r="B427" t="s">
        <v>12149</v>
      </c>
      <c r="C427">
        <v>1486</v>
      </c>
      <c r="D427" t="s">
        <v>8029</v>
      </c>
      <c r="E427" t="s">
        <v>3459</v>
      </c>
      <c r="F427" t="s">
        <v>11596</v>
      </c>
      <c r="G427">
        <v>57512</v>
      </c>
      <c r="H427" t="s">
        <v>11322</v>
      </c>
      <c r="I427">
        <v>100004054</v>
      </c>
      <c r="J427">
        <v>1424</v>
      </c>
      <c r="K427">
        <v>414.35779000000002</v>
      </c>
      <c r="L427" t="s">
        <v>8030</v>
      </c>
      <c r="M427" t="s">
        <v>11145</v>
      </c>
      <c r="N427" t="s">
        <v>11145</v>
      </c>
      <c r="O427" t="s">
        <v>12150</v>
      </c>
      <c r="P427" t="s">
        <v>12149</v>
      </c>
    </row>
    <row r="428" spans="1:16" x14ac:dyDescent="0.2">
      <c r="A428" t="str">
        <f t="shared" si="6"/>
        <v>metab_compid_1302</v>
      </c>
      <c r="B428" t="s">
        <v>12151</v>
      </c>
      <c r="C428">
        <v>327</v>
      </c>
      <c r="D428" t="s">
        <v>4011</v>
      </c>
      <c r="E428" t="s">
        <v>3436</v>
      </c>
      <c r="F428" t="s">
        <v>3603</v>
      </c>
      <c r="G428">
        <v>1302</v>
      </c>
      <c r="H428" t="s">
        <v>11320</v>
      </c>
      <c r="I428">
        <v>415</v>
      </c>
      <c r="J428">
        <v>2526</v>
      </c>
      <c r="K428">
        <v>150.05833000000001</v>
      </c>
      <c r="L428" t="s">
        <v>4012</v>
      </c>
      <c r="M428">
        <v>6137</v>
      </c>
      <c r="N428" t="s">
        <v>4015</v>
      </c>
      <c r="O428" t="s">
        <v>12152</v>
      </c>
      <c r="P428" t="s">
        <v>12151</v>
      </c>
    </row>
    <row r="429" spans="1:16" x14ac:dyDescent="0.2">
      <c r="A429" t="str">
        <f t="shared" si="6"/>
        <v>metab_compid_44878</v>
      </c>
      <c r="B429" t="s">
        <v>12153</v>
      </c>
      <c r="C429">
        <v>331</v>
      </c>
      <c r="D429" t="s">
        <v>8274</v>
      </c>
      <c r="E429" t="s">
        <v>3436</v>
      </c>
      <c r="F429" t="s">
        <v>3603</v>
      </c>
      <c r="G429">
        <v>44878</v>
      </c>
      <c r="H429" t="s">
        <v>11545</v>
      </c>
      <c r="I429">
        <v>100004635</v>
      </c>
      <c r="J429">
        <v>1880</v>
      </c>
      <c r="K429">
        <v>180.03360000000001</v>
      </c>
      <c r="L429" t="s">
        <v>8275</v>
      </c>
      <c r="M429">
        <v>69961</v>
      </c>
      <c r="N429" t="s">
        <v>11145</v>
      </c>
      <c r="O429" t="s">
        <v>11145</v>
      </c>
      <c r="P429" t="s">
        <v>12153</v>
      </c>
    </row>
    <row r="430" spans="1:16" x14ac:dyDescent="0.2">
      <c r="A430" t="str">
        <f t="shared" si="6"/>
        <v>metab_compid_18374</v>
      </c>
      <c r="B430" t="s">
        <v>12154</v>
      </c>
      <c r="C430">
        <v>332</v>
      </c>
      <c r="D430" t="s">
        <v>5201</v>
      </c>
      <c r="E430" t="s">
        <v>3436</v>
      </c>
      <c r="F430" t="s">
        <v>3603</v>
      </c>
      <c r="G430">
        <v>18374</v>
      </c>
      <c r="H430" t="s">
        <v>11320</v>
      </c>
      <c r="I430">
        <v>100000039</v>
      </c>
      <c r="J430">
        <v>1272</v>
      </c>
      <c r="K430">
        <v>166.05324999999999</v>
      </c>
      <c r="L430" t="s">
        <v>5202</v>
      </c>
      <c r="M430">
        <v>158980</v>
      </c>
      <c r="N430" t="s">
        <v>5205</v>
      </c>
      <c r="O430" t="s">
        <v>12155</v>
      </c>
      <c r="P430" t="s">
        <v>12154</v>
      </c>
    </row>
    <row r="431" spans="1:16" x14ac:dyDescent="0.2">
      <c r="A431" t="str">
        <f t="shared" si="6"/>
        <v>metab_compid_1496</v>
      </c>
      <c r="B431" t="s">
        <v>12156</v>
      </c>
      <c r="C431">
        <v>1408</v>
      </c>
      <c r="D431" t="s">
        <v>12157</v>
      </c>
      <c r="E431" t="s">
        <v>3459</v>
      </c>
      <c r="F431" t="s">
        <v>5754</v>
      </c>
      <c r="G431">
        <v>1496</v>
      </c>
      <c r="H431" t="s">
        <v>11545</v>
      </c>
      <c r="I431">
        <v>418</v>
      </c>
      <c r="J431">
        <v>3078.4</v>
      </c>
      <c r="K431">
        <v>117.01933</v>
      </c>
      <c r="L431" t="s">
        <v>12158</v>
      </c>
      <c r="M431">
        <v>487</v>
      </c>
      <c r="N431" t="s">
        <v>12159</v>
      </c>
      <c r="O431" t="s">
        <v>12160</v>
      </c>
      <c r="P431" t="s">
        <v>12156</v>
      </c>
    </row>
    <row r="432" spans="1:16" x14ac:dyDescent="0.2">
      <c r="A432" t="str">
        <f t="shared" si="6"/>
        <v>metab_compid_15745</v>
      </c>
      <c r="B432" t="s">
        <v>12161</v>
      </c>
      <c r="C432">
        <v>308</v>
      </c>
      <c r="D432" t="s">
        <v>5122</v>
      </c>
      <c r="E432" t="s">
        <v>3436</v>
      </c>
      <c r="F432" t="s">
        <v>3498</v>
      </c>
      <c r="G432">
        <v>15745</v>
      </c>
      <c r="H432" t="s">
        <v>11545</v>
      </c>
      <c r="I432">
        <v>2051</v>
      </c>
      <c r="J432">
        <v>2800</v>
      </c>
      <c r="K432">
        <v>131.03497999999999</v>
      </c>
      <c r="L432" t="s">
        <v>5123</v>
      </c>
      <c r="M432">
        <v>10349</v>
      </c>
      <c r="N432" t="s">
        <v>11145</v>
      </c>
      <c r="O432" t="s">
        <v>12162</v>
      </c>
      <c r="P432" t="s">
        <v>12161</v>
      </c>
    </row>
    <row r="433" spans="1:16" x14ac:dyDescent="0.2">
      <c r="A433" t="str">
        <f t="shared" si="6"/>
        <v>metab_compid_1124</v>
      </c>
      <c r="B433" t="s">
        <v>12163</v>
      </c>
      <c r="C433">
        <v>1706</v>
      </c>
      <c r="D433" t="s">
        <v>3940</v>
      </c>
      <c r="E433" t="s">
        <v>3459</v>
      </c>
      <c r="F433" t="s">
        <v>3937</v>
      </c>
      <c r="G433">
        <v>1124</v>
      </c>
      <c r="H433" t="s">
        <v>11545</v>
      </c>
      <c r="I433">
        <v>363</v>
      </c>
      <c r="J433">
        <v>3506.3</v>
      </c>
      <c r="K433">
        <v>225.06159</v>
      </c>
      <c r="L433" t="s">
        <v>3941</v>
      </c>
      <c r="M433">
        <v>892</v>
      </c>
      <c r="N433" t="s">
        <v>3944</v>
      </c>
      <c r="O433" t="s">
        <v>12164</v>
      </c>
      <c r="P433" t="s">
        <v>12163</v>
      </c>
    </row>
    <row r="434" spans="1:16" x14ac:dyDescent="0.2">
      <c r="A434" t="str">
        <f t="shared" si="6"/>
        <v>metab_compid_1365</v>
      </c>
      <c r="B434" t="s">
        <v>12165</v>
      </c>
      <c r="C434">
        <v>1175</v>
      </c>
      <c r="D434" t="s">
        <v>4177</v>
      </c>
      <c r="E434" t="s">
        <v>3459</v>
      </c>
      <c r="F434" t="s">
        <v>11502</v>
      </c>
      <c r="G434">
        <v>1365</v>
      </c>
      <c r="H434" t="s">
        <v>11327</v>
      </c>
      <c r="I434">
        <v>519</v>
      </c>
      <c r="J434">
        <v>5440</v>
      </c>
      <c r="K434">
        <v>227.20165</v>
      </c>
      <c r="L434" t="s">
        <v>4178</v>
      </c>
      <c r="M434">
        <v>11005</v>
      </c>
      <c r="N434" t="s">
        <v>4181</v>
      </c>
      <c r="O434" t="s">
        <v>12166</v>
      </c>
      <c r="P434" t="s">
        <v>12165</v>
      </c>
    </row>
    <row r="435" spans="1:16" x14ac:dyDescent="0.2">
      <c r="A435" t="str">
        <f t="shared" si="6"/>
        <v>metab_compid_32418</v>
      </c>
      <c r="B435" t="s">
        <v>12167</v>
      </c>
      <c r="C435">
        <v>1176</v>
      </c>
      <c r="D435" t="s">
        <v>5960</v>
      </c>
      <c r="E435" t="s">
        <v>3459</v>
      </c>
      <c r="F435" t="s">
        <v>11502</v>
      </c>
      <c r="G435">
        <v>32418</v>
      </c>
      <c r="H435" t="s">
        <v>11327</v>
      </c>
      <c r="I435">
        <v>100001198</v>
      </c>
      <c r="J435">
        <v>5346.9</v>
      </c>
      <c r="K435">
        <v>225.18600000000001</v>
      </c>
      <c r="L435" t="s">
        <v>5961</v>
      </c>
      <c r="M435">
        <v>5281119</v>
      </c>
      <c r="N435" t="s">
        <v>5964</v>
      </c>
      <c r="O435" t="s">
        <v>12168</v>
      </c>
      <c r="P435" t="s">
        <v>12167</v>
      </c>
    </row>
    <row r="436" spans="1:16" x14ac:dyDescent="0.2">
      <c r="A436" t="str">
        <f t="shared" si="6"/>
        <v>metab_compid_48182</v>
      </c>
      <c r="B436" t="s">
        <v>12169</v>
      </c>
      <c r="C436">
        <v>1461</v>
      </c>
      <c r="D436" t="s">
        <v>8412</v>
      </c>
      <c r="E436" t="s">
        <v>3459</v>
      </c>
      <c r="F436" t="s">
        <v>11596</v>
      </c>
      <c r="G436">
        <v>48182</v>
      </c>
      <c r="H436" t="s">
        <v>11322</v>
      </c>
      <c r="I436">
        <v>100006051</v>
      </c>
      <c r="J436">
        <v>1316</v>
      </c>
      <c r="K436">
        <v>370.29471000000001</v>
      </c>
      <c r="L436" t="s">
        <v>8413</v>
      </c>
      <c r="M436">
        <v>90659872</v>
      </c>
      <c r="N436" t="s">
        <v>11145</v>
      </c>
      <c r="O436" t="s">
        <v>11145</v>
      </c>
      <c r="P436" t="s">
        <v>12169</v>
      </c>
    </row>
    <row r="437" spans="1:16" x14ac:dyDescent="0.2">
      <c r="A437" t="str">
        <f t="shared" si="6"/>
        <v>metab_compid_57365</v>
      </c>
      <c r="B437" t="s">
        <v>12170</v>
      </c>
      <c r="C437">
        <v>2496</v>
      </c>
      <c r="D437" t="s">
        <v>9045</v>
      </c>
      <c r="E437" t="s">
        <v>3459</v>
      </c>
      <c r="F437" t="s">
        <v>8860</v>
      </c>
      <c r="G437">
        <v>57365</v>
      </c>
      <c r="H437" t="s">
        <v>11322</v>
      </c>
      <c r="I437">
        <v>100009038</v>
      </c>
      <c r="J437">
        <v>2060</v>
      </c>
      <c r="K437">
        <v>677.55920000000003</v>
      </c>
      <c r="L437" t="s">
        <v>11145</v>
      </c>
      <c r="M437" t="s">
        <v>11145</v>
      </c>
      <c r="N437" t="s">
        <v>11145</v>
      </c>
      <c r="O437" t="s">
        <v>12171</v>
      </c>
      <c r="P437" t="s">
        <v>12170</v>
      </c>
    </row>
    <row r="438" spans="1:16" x14ac:dyDescent="0.2">
      <c r="A438" t="str">
        <f t="shared" si="6"/>
        <v>metab_compid_57407</v>
      </c>
      <c r="B438" t="s">
        <v>12172</v>
      </c>
      <c r="C438">
        <v>2340</v>
      </c>
      <c r="D438" t="s">
        <v>12173</v>
      </c>
      <c r="E438" t="s">
        <v>3459</v>
      </c>
      <c r="F438" t="s">
        <v>7792</v>
      </c>
      <c r="G438">
        <v>57407</v>
      </c>
      <c r="H438" t="s">
        <v>11322</v>
      </c>
      <c r="I438">
        <v>100015683</v>
      </c>
      <c r="J438">
        <v>2679</v>
      </c>
      <c r="K438">
        <v>582.50921000000005</v>
      </c>
      <c r="L438" t="s">
        <v>11145</v>
      </c>
      <c r="M438" t="s">
        <v>11145</v>
      </c>
      <c r="N438" t="s">
        <v>11145</v>
      </c>
      <c r="O438" t="s">
        <v>11145</v>
      </c>
      <c r="P438" t="s">
        <v>12172</v>
      </c>
    </row>
    <row r="439" spans="1:16" x14ac:dyDescent="0.2">
      <c r="A439" t="str">
        <f t="shared" si="6"/>
        <v>metab_compid_57408</v>
      </c>
      <c r="B439" t="s">
        <v>12174</v>
      </c>
      <c r="C439">
        <v>2341</v>
      </c>
      <c r="D439" t="s">
        <v>12175</v>
      </c>
      <c r="E439" t="s">
        <v>3459</v>
      </c>
      <c r="F439" t="s">
        <v>7792</v>
      </c>
      <c r="G439">
        <v>57408</v>
      </c>
      <c r="H439" t="s">
        <v>11322</v>
      </c>
      <c r="I439">
        <v>100015684</v>
      </c>
      <c r="J439">
        <v>2720</v>
      </c>
      <c r="K439">
        <v>582.50921000000005</v>
      </c>
      <c r="L439" t="s">
        <v>11145</v>
      </c>
      <c r="M439" t="s">
        <v>11145</v>
      </c>
      <c r="N439" t="s">
        <v>11145</v>
      </c>
      <c r="O439" t="s">
        <v>11145</v>
      </c>
      <c r="P439" t="s">
        <v>12174</v>
      </c>
    </row>
    <row r="440" spans="1:16" x14ac:dyDescent="0.2">
      <c r="A440" t="str">
        <f t="shared" si="6"/>
        <v>metab_compid_33952</v>
      </c>
      <c r="B440" t="s">
        <v>12176</v>
      </c>
      <c r="C440">
        <v>1451</v>
      </c>
      <c r="D440" t="s">
        <v>6084</v>
      </c>
      <c r="E440" t="s">
        <v>3459</v>
      </c>
      <c r="F440" t="s">
        <v>11596</v>
      </c>
      <c r="G440">
        <v>33952</v>
      </c>
      <c r="H440" t="s">
        <v>11322</v>
      </c>
      <c r="I440">
        <v>100001270</v>
      </c>
      <c r="J440">
        <v>1350</v>
      </c>
      <c r="K440">
        <v>372.31083999999998</v>
      </c>
      <c r="L440" t="s">
        <v>6085</v>
      </c>
      <c r="M440">
        <v>6426854</v>
      </c>
      <c r="N440" t="s">
        <v>11145</v>
      </c>
      <c r="O440" t="s">
        <v>12177</v>
      </c>
      <c r="P440" t="s">
        <v>12176</v>
      </c>
    </row>
    <row r="441" spans="1:16" x14ac:dyDescent="0.2">
      <c r="A441" t="str">
        <f t="shared" si="6"/>
        <v>metab_compid_57687</v>
      </c>
      <c r="B441" t="s">
        <v>12178</v>
      </c>
      <c r="C441">
        <v>115</v>
      </c>
      <c r="D441" t="s">
        <v>9523</v>
      </c>
      <c r="E441" t="s">
        <v>3436</v>
      </c>
      <c r="F441" t="s">
        <v>3586</v>
      </c>
      <c r="G441">
        <v>57687</v>
      </c>
      <c r="H441" t="s">
        <v>11320</v>
      </c>
      <c r="I441">
        <v>100015962</v>
      </c>
      <c r="J441">
        <v>2186</v>
      </c>
      <c r="K441">
        <v>160.13320999999999</v>
      </c>
      <c r="L441" t="s">
        <v>11145</v>
      </c>
      <c r="M441" t="s">
        <v>11145</v>
      </c>
      <c r="N441" t="s">
        <v>11145</v>
      </c>
      <c r="O441" t="s">
        <v>11145</v>
      </c>
      <c r="P441" t="s">
        <v>12178</v>
      </c>
    </row>
    <row r="442" spans="1:16" x14ac:dyDescent="0.2">
      <c r="A442" t="str">
        <f t="shared" si="6"/>
        <v>metab_compid_62059</v>
      </c>
      <c r="B442" t="s">
        <v>12179</v>
      </c>
      <c r="C442">
        <v>1392</v>
      </c>
      <c r="D442" t="s">
        <v>9646</v>
      </c>
      <c r="E442" t="s">
        <v>3459</v>
      </c>
      <c r="F442" t="s">
        <v>8139</v>
      </c>
      <c r="G442">
        <v>62059</v>
      </c>
      <c r="H442" t="s">
        <v>11327</v>
      </c>
      <c r="I442">
        <v>100020204</v>
      </c>
      <c r="J442">
        <v>3943</v>
      </c>
      <c r="K442">
        <v>200.12921</v>
      </c>
      <c r="L442" t="s">
        <v>11145</v>
      </c>
      <c r="M442">
        <v>95555</v>
      </c>
      <c r="N442" t="s">
        <v>11145</v>
      </c>
      <c r="O442" t="s">
        <v>12180</v>
      </c>
      <c r="P442" t="s">
        <v>12179</v>
      </c>
    </row>
    <row r="443" spans="1:16" x14ac:dyDescent="0.2">
      <c r="A443" t="str">
        <f t="shared" si="6"/>
        <v>metab_compid_37432</v>
      </c>
      <c r="B443" t="s">
        <v>12181</v>
      </c>
      <c r="C443">
        <v>3497</v>
      </c>
      <c r="D443" t="s">
        <v>7249</v>
      </c>
      <c r="E443" t="s">
        <v>3533</v>
      </c>
      <c r="F443" t="s">
        <v>3705</v>
      </c>
      <c r="G443">
        <v>37432</v>
      </c>
      <c r="H443" t="s">
        <v>11327</v>
      </c>
      <c r="I443">
        <v>100002102</v>
      </c>
      <c r="J443">
        <v>773</v>
      </c>
      <c r="K443">
        <v>130.05096</v>
      </c>
      <c r="L443" t="s">
        <v>7250</v>
      </c>
      <c r="M443">
        <v>76406</v>
      </c>
      <c r="N443" t="s">
        <v>7253</v>
      </c>
      <c r="O443" t="s">
        <v>11145</v>
      </c>
      <c r="P443" t="s">
        <v>12181</v>
      </c>
    </row>
    <row r="444" spans="1:16" x14ac:dyDescent="0.2">
      <c r="A444" t="str">
        <f t="shared" si="6"/>
        <v>metab_compid_62309</v>
      </c>
      <c r="B444" t="s">
        <v>12182</v>
      </c>
      <c r="C444">
        <v>410</v>
      </c>
      <c r="D444" t="s">
        <v>12183</v>
      </c>
      <c r="E444" t="s">
        <v>3436</v>
      </c>
      <c r="F444" t="s">
        <v>3437</v>
      </c>
      <c r="G444">
        <v>62309</v>
      </c>
      <c r="H444" t="s">
        <v>11320</v>
      </c>
      <c r="I444">
        <v>100020487</v>
      </c>
      <c r="J444">
        <v>2305</v>
      </c>
      <c r="K444">
        <v>203.13901999999999</v>
      </c>
      <c r="L444" t="s">
        <v>11145</v>
      </c>
      <c r="M444" t="s">
        <v>11145</v>
      </c>
      <c r="N444" t="s">
        <v>11145</v>
      </c>
      <c r="O444" t="s">
        <v>11145</v>
      </c>
      <c r="P444" t="s">
        <v>12182</v>
      </c>
    </row>
    <row r="445" spans="1:16" x14ac:dyDescent="0.2">
      <c r="A445" t="str">
        <f t="shared" si="6"/>
        <v>metab_compid_1585</v>
      </c>
      <c r="B445" t="s">
        <v>12184</v>
      </c>
      <c r="C445">
        <v>30</v>
      </c>
      <c r="D445" t="s">
        <v>4690</v>
      </c>
      <c r="E445" t="s">
        <v>3436</v>
      </c>
      <c r="F445" t="s">
        <v>3670</v>
      </c>
      <c r="G445">
        <v>1585</v>
      </c>
      <c r="H445" t="s">
        <v>11327</v>
      </c>
      <c r="I445">
        <v>1110</v>
      </c>
      <c r="J445">
        <v>861.2</v>
      </c>
      <c r="K445">
        <v>130.05096</v>
      </c>
      <c r="L445" t="s">
        <v>4691</v>
      </c>
      <c r="M445">
        <v>88064</v>
      </c>
      <c r="N445" t="s">
        <v>4694</v>
      </c>
      <c r="O445" t="s">
        <v>12185</v>
      </c>
      <c r="P445" t="s">
        <v>12184</v>
      </c>
    </row>
    <row r="446" spans="1:16" x14ac:dyDescent="0.2">
      <c r="A446" t="str">
        <f t="shared" si="6"/>
        <v>metab_compid_33942</v>
      </c>
      <c r="B446" t="s">
        <v>12186</v>
      </c>
      <c r="C446">
        <v>39</v>
      </c>
      <c r="D446" t="s">
        <v>6053</v>
      </c>
      <c r="E446" t="s">
        <v>3436</v>
      </c>
      <c r="F446" t="s">
        <v>3670</v>
      </c>
      <c r="G446">
        <v>33942</v>
      </c>
      <c r="H446" t="s">
        <v>11320</v>
      </c>
      <c r="I446">
        <v>100001257</v>
      </c>
      <c r="J446">
        <v>785</v>
      </c>
      <c r="K446">
        <v>175.07133999999999</v>
      </c>
      <c r="L446" t="s">
        <v>6054</v>
      </c>
      <c r="M446">
        <v>99715</v>
      </c>
      <c r="N446" t="s">
        <v>11145</v>
      </c>
      <c r="O446" t="s">
        <v>12187</v>
      </c>
      <c r="P446" t="s">
        <v>12186</v>
      </c>
    </row>
    <row r="447" spans="1:16" x14ac:dyDescent="0.2">
      <c r="A447" t="str">
        <f t="shared" si="6"/>
        <v>metab_compid_22185</v>
      </c>
      <c r="B447" t="s">
        <v>12188</v>
      </c>
      <c r="C447">
        <v>35</v>
      </c>
      <c r="D447" t="s">
        <v>5553</v>
      </c>
      <c r="E447" t="s">
        <v>3436</v>
      </c>
      <c r="F447" t="s">
        <v>3670</v>
      </c>
      <c r="G447">
        <v>22185</v>
      </c>
      <c r="H447" t="s">
        <v>11545</v>
      </c>
      <c r="I447">
        <v>100000787</v>
      </c>
      <c r="J447">
        <v>3143</v>
      </c>
      <c r="K447">
        <v>174.04078999999999</v>
      </c>
      <c r="L447" t="s">
        <v>12189</v>
      </c>
      <c r="M447">
        <v>65065</v>
      </c>
      <c r="N447" t="s">
        <v>5557</v>
      </c>
      <c r="O447" t="s">
        <v>12190</v>
      </c>
      <c r="P447" t="s">
        <v>12188</v>
      </c>
    </row>
    <row r="448" spans="1:16" x14ac:dyDescent="0.2">
      <c r="A448" t="str">
        <f t="shared" si="6"/>
        <v>metab_compid_43488</v>
      </c>
      <c r="B448" t="s">
        <v>12191</v>
      </c>
      <c r="C448">
        <v>79</v>
      </c>
      <c r="D448" t="s">
        <v>8022</v>
      </c>
      <c r="E448" t="s">
        <v>3436</v>
      </c>
      <c r="F448" t="s">
        <v>3906</v>
      </c>
      <c r="G448">
        <v>43488</v>
      </c>
      <c r="H448" t="s">
        <v>11327</v>
      </c>
      <c r="I448">
        <v>100004046</v>
      </c>
      <c r="J448">
        <v>1235</v>
      </c>
      <c r="K448">
        <v>267.10987999999998</v>
      </c>
      <c r="L448" t="s">
        <v>8023</v>
      </c>
      <c r="M448">
        <v>9903482</v>
      </c>
      <c r="N448" t="s">
        <v>11145</v>
      </c>
      <c r="O448" t="s">
        <v>12192</v>
      </c>
      <c r="P448" t="s">
        <v>12191</v>
      </c>
    </row>
    <row r="449" spans="1:16" x14ac:dyDescent="0.2">
      <c r="A449" t="str">
        <f t="shared" si="6"/>
        <v>metab_compid_48434</v>
      </c>
      <c r="B449" t="s">
        <v>12193</v>
      </c>
      <c r="C449">
        <v>381</v>
      </c>
      <c r="D449" t="s">
        <v>6647</v>
      </c>
      <c r="E449" t="s">
        <v>3436</v>
      </c>
      <c r="F449" t="s">
        <v>3661</v>
      </c>
      <c r="G449">
        <v>48434</v>
      </c>
      <c r="H449" t="s">
        <v>11327</v>
      </c>
      <c r="I449">
        <v>100001577</v>
      </c>
      <c r="J449">
        <v>940</v>
      </c>
      <c r="K449">
        <v>216.09898000000001</v>
      </c>
      <c r="L449" t="s">
        <v>6648</v>
      </c>
      <c r="M449">
        <v>656979</v>
      </c>
      <c r="N449" t="s">
        <v>12194</v>
      </c>
      <c r="O449" t="s">
        <v>12195</v>
      </c>
      <c r="P449" t="s">
        <v>12193</v>
      </c>
    </row>
    <row r="450" spans="1:16" x14ac:dyDescent="0.2">
      <c r="A450" t="str">
        <f t="shared" si="6"/>
        <v>metab_compid_46539</v>
      </c>
      <c r="B450" t="s">
        <v>12196</v>
      </c>
      <c r="C450">
        <v>1117</v>
      </c>
      <c r="D450" t="s">
        <v>8707</v>
      </c>
      <c r="E450" t="s">
        <v>3977</v>
      </c>
      <c r="F450" t="s">
        <v>4806</v>
      </c>
      <c r="G450">
        <v>46539</v>
      </c>
      <c r="H450" t="s">
        <v>11320</v>
      </c>
      <c r="I450">
        <v>100006435</v>
      </c>
      <c r="J450">
        <v>715</v>
      </c>
      <c r="K450">
        <v>222.09719999999999</v>
      </c>
      <c r="L450" t="s">
        <v>11145</v>
      </c>
      <c r="M450">
        <v>24139</v>
      </c>
      <c r="N450" t="s">
        <v>11145</v>
      </c>
      <c r="O450" t="s">
        <v>12197</v>
      </c>
      <c r="P450" t="s">
        <v>12196</v>
      </c>
    </row>
    <row r="451" spans="1:16" x14ac:dyDescent="0.2">
      <c r="A451" t="str">
        <f t="shared" ref="A451:A514" si="7">_xlfn.CONCAT("metab_compid_", $G451)</f>
        <v>metab_compid_15720</v>
      </c>
      <c r="B451" t="s">
        <v>12198</v>
      </c>
      <c r="C451">
        <v>44</v>
      </c>
      <c r="D451" t="s">
        <v>5289</v>
      </c>
      <c r="E451" t="s">
        <v>3436</v>
      </c>
      <c r="F451" t="s">
        <v>4215</v>
      </c>
      <c r="G451">
        <v>15720</v>
      </c>
      <c r="H451" t="s">
        <v>11545</v>
      </c>
      <c r="I451">
        <v>100000282</v>
      </c>
      <c r="J451">
        <v>3106</v>
      </c>
      <c r="K451">
        <v>188.05644000000001</v>
      </c>
      <c r="L451">
        <v>1430871</v>
      </c>
      <c r="M451">
        <v>70914</v>
      </c>
      <c r="N451" t="s">
        <v>5293</v>
      </c>
      <c r="O451" t="s">
        <v>12199</v>
      </c>
      <c r="P451" t="s">
        <v>12198</v>
      </c>
    </row>
    <row r="452" spans="1:16" x14ac:dyDescent="0.2">
      <c r="A452" t="str">
        <f t="shared" si="7"/>
        <v>metab_compid_33943</v>
      </c>
      <c r="B452" t="s">
        <v>12200</v>
      </c>
      <c r="C452">
        <v>45</v>
      </c>
      <c r="D452" t="s">
        <v>6029</v>
      </c>
      <c r="E452" t="s">
        <v>3436</v>
      </c>
      <c r="F452" t="s">
        <v>4215</v>
      </c>
      <c r="G452">
        <v>33943</v>
      </c>
      <c r="H452" t="s">
        <v>11545</v>
      </c>
      <c r="I452">
        <v>100001253</v>
      </c>
      <c r="J452">
        <v>2140</v>
      </c>
      <c r="K452">
        <v>187.07243</v>
      </c>
      <c r="L452" t="s">
        <v>6030</v>
      </c>
      <c r="M452">
        <v>182230</v>
      </c>
      <c r="N452" t="s">
        <v>6033</v>
      </c>
      <c r="O452" t="s">
        <v>12201</v>
      </c>
      <c r="P452" t="s">
        <v>12200</v>
      </c>
    </row>
    <row r="453" spans="1:16" x14ac:dyDescent="0.2">
      <c r="A453" t="str">
        <f t="shared" si="7"/>
        <v>metab_compid_27710</v>
      </c>
      <c r="B453" t="s">
        <v>12202</v>
      </c>
      <c r="C453">
        <v>2</v>
      </c>
      <c r="D453" t="s">
        <v>5703</v>
      </c>
      <c r="E453" t="s">
        <v>3436</v>
      </c>
      <c r="F453" t="s">
        <v>3882</v>
      </c>
      <c r="G453">
        <v>27710</v>
      </c>
      <c r="H453" t="s">
        <v>11320</v>
      </c>
      <c r="I453">
        <v>100001006</v>
      </c>
      <c r="J453">
        <v>826</v>
      </c>
      <c r="K453">
        <v>118.04987</v>
      </c>
      <c r="L453" t="s">
        <v>5704</v>
      </c>
      <c r="M453">
        <v>10972</v>
      </c>
      <c r="N453" t="s">
        <v>11145</v>
      </c>
      <c r="O453" t="s">
        <v>12203</v>
      </c>
      <c r="P453" t="s">
        <v>12202</v>
      </c>
    </row>
    <row r="454" spans="1:16" x14ac:dyDescent="0.2">
      <c r="A454" t="str">
        <f t="shared" si="7"/>
        <v>metab_compid_33946</v>
      </c>
      <c r="B454" t="s">
        <v>12204</v>
      </c>
      <c r="C454">
        <v>68</v>
      </c>
      <c r="D454" t="s">
        <v>6158</v>
      </c>
      <c r="E454" t="s">
        <v>3436</v>
      </c>
      <c r="F454" t="s">
        <v>3906</v>
      </c>
      <c r="G454">
        <v>33946</v>
      </c>
      <c r="H454" t="s">
        <v>11545</v>
      </c>
      <c r="I454">
        <v>100001293</v>
      </c>
      <c r="J454">
        <v>2088</v>
      </c>
      <c r="K454">
        <v>196.07275999999999</v>
      </c>
      <c r="L454" t="s">
        <v>6159</v>
      </c>
      <c r="M454">
        <v>75619</v>
      </c>
      <c r="N454" t="s">
        <v>6162</v>
      </c>
      <c r="O454" t="s">
        <v>12205</v>
      </c>
      <c r="P454" t="s">
        <v>12204</v>
      </c>
    </row>
    <row r="455" spans="1:16" x14ac:dyDescent="0.2">
      <c r="A455" t="str">
        <f t="shared" si="7"/>
        <v>metab_compid_33967</v>
      </c>
      <c r="B455" t="s">
        <v>12206</v>
      </c>
      <c r="C455">
        <v>294</v>
      </c>
      <c r="D455" t="s">
        <v>6113</v>
      </c>
      <c r="E455" t="s">
        <v>3436</v>
      </c>
      <c r="F455" t="s">
        <v>3498</v>
      </c>
      <c r="G455">
        <v>33967</v>
      </c>
      <c r="H455" t="s">
        <v>11327</v>
      </c>
      <c r="I455">
        <v>100001276</v>
      </c>
      <c r="J455">
        <v>2325</v>
      </c>
      <c r="K455">
        <v>172.09791000000001</v>
      </c>
      <c r="L455" t="s">
        <v>6114</v>
      </c>
      <c r="M455">
        <v>2802421</v>
      </c>
      <c r="N455" t="s">
        <v>11145</v>
      </c>
      <c r="O455" t="s">
        <v>12207</v>
      </c>
      <c r="P455" t="s">
        <v>12206</v>
      </c>
    </row>
    <row r="456" spans="1:16" x14ac:dyDescent="0.2">
      <c r="A456" t="str">
        <f t="shared" si="7"/>
        <v>metab_compid_1587</v>
      </c>
      <c r="B456" t="s">
        <v>12208</v>
      </c>
      <c r="C456">
        <v>258</v>
      </c>
      <c r="D456" t="s">
        <v>4610</v>
      </c>
      <c r="E456" t="s">
        <v>3436</v>
      </c>
      <c r="F456" t="s">
        <v>3498</v>
      </c>
      <c r="G456">
        <v>1587</v>
      </c>
      <c r="H456" t="s">
        <v>11327</v>
      </c>
      <c r="I456">
        <v>1082</v>
      </c>
      <c r="J456">
        <v>2400</v>
      </c>
      <c r="K456">
        <v>172.09791000000001</v>
      </c>
      <c r="L456" t="s">
        <v>4611</v>
      </c>
      <c r="M456">
        <v>70912</v>
      </c>
      <c r="N456" t="s">
        <v>4614</v>
      </c>
      <c r="O456" t="s">
        <v>12209</v>
      </c>
      <c r="P456" t="s">
        <v>12208</v>
      </c>
    </row>
    <row r="457" spans="1:16" x14ac:dyDescent="0.2">
      <c r="A457" t="str">
        <f t="shared" si="7"/>
        <v>metab_compid_1589</v>
      </c>
      <c r="B457" t="s">
        <v>12210</v>
      </c>
      <c r="C457">
        <v>328</v>
      </c>
      <c r="D457" t="s">
        <v>4618</v>
      </c>
      <c r="E457" t="s">
        <v>3436</v>
      </c>
      <c r="F457" t="s">
        <v>3603</v>
      </c>
      <c r="G457">
        <v>1589</v>
      </c>
      <c r="H457" t="s">
        <v>11327</v>
      </c>
      <c r="I457">
        <v>1083</v>
      </c>
      <c r="J457">
        <v>1787</v>
      </c>
      <c r="K457">
        <v>190.05434</v>
      </c>
      <c r="L457" t="s">
        <v>4619</v>
      </c>
      <c r="M457">
        <v>448580</v>
      </c>
      <c r="N457" t="s">
        <v>4622</v>
      </c>
      <c r="O457" t="s">
        <v>12211</v>
      </c>
      <c r="P457" t="s">
        <v>12210</v>
      </c>
    </row>
    <row r="458" spans="1:16" x14ac:dyDescent="0.2">
      <c r="A458" t="str">
        <f t="shared" si="7"/>
        <v>metab_compid_33950</v>
      </c>
      <c r="B458" t="s">
        <v>12212</v>
      </c>
      <c r="C458">
        <v>117</v>
      </c>
      <c r="D458" t="s">
        <v>6045</v>
      </c>
      <c r="E458" t="s">
        <v>3436</v>
      </c>
      <c r="F458" t="s">
        <v>3524</v>
      </c>
      <c r="G458">
        <v>33950</v>
      </c>
      <c r="H458" t="s">
        <v>11327</v>
      </c>
      <c r="I458">
        <v>100001256</v>
      </c>
      <c r="J458">
        <v>2597</v>
      </c>
      <c r="K458">
        <v>206.08225999999999</v>
      </c>
      <c r="L458" t="s">
        <v>6046</v>
      </c>
      <c r="M458">
        <v>74839</v>
      </c>
      <c r="N458" t="s">
        <v>6049</v>
      </c>
      <c r="O458" t="s">
        <v>12213</v>
      </c>
      <c r="P458" t="s">
        <v>12212</v>
      </c>
    </row>
    <row r="459" spans="1:16" x14ac:dyDescent="0.2">
      <c r="A459" t="str">
        <f t="shared" si="7"/>
        <v>metab_compid_37496</v>
      </c>
      <c r="B459" t="s">
        <v>12214</v>
      </c>
      <c r="C459">
        <v>420</v>
      </c>
      <c r="D459" t="s">
        <v>3597</v>
      </c>
      <c r="E459" t="s">
        <v>3436</v>
      </c>
      <c r="F459" t="s">
        <v>3437</v>
      </c>
      <c r="G459">
        <v>37496</v>
      </c>
      <c r="H459" t="s">
        <v>11320</v>
      </c>
      <c r="I459">
        <v>192</v>
      </c>
      <c r="J459">
        <v>2230</v>
      </c>
      <c r="K459">
        <v>131.11788999999999</v>
      </c>
      <c r="L459" t="s">
        <v>3598</v>
      </c>
      <c r="M459">
        <v>122356</v>
      </c>
      <c r="N459" t="s">
        <v>3601</v>
      </c>
      <c r="O459" t="s">
        <v>12215</v>
      </c>
      <c r="P459" t="s">
        <v>12214</v>
      </c>
    </row>
    <row r="460" spans="1:16" x14ac:dyDescent="0.2">
      <c r="A460" t="str">
        <f t="shared" si="7"/>
        <v>metab_compid_37076</v>
      </c>
      <c r="B460" t="s">
        <v>12216</v>
      </c>
      <c r="C460">
        <v>10</v>
      </c>
      <c r="D460" t="s">
        <v>7040</v>
      </c>
      <c r="E460" t="s">
        <v>3436</v>
      </c>
      <c r="F460" t="s">
        <v>3882</v>
      </c>
      <c r="G460">
        <v>37076</v>
      </c>
      <c r="H460" t="s">
        <v>11545</v>
      </c>
      <c r="I460">
        <v>100001851</v>
      </c>
      <c r="J460">
        <v>2000</v>
      </c>
      <c r="K460">
        <v>146.04588000000001</v>
      </c>
      <c r="L460" t="s">
        <v>7041</v>
      </c>
      <c r="M460">
        <v>65249</v>
      </c>
      <c r="N460" t="s">
        <v>11145</v>
      </c>
      <c r="O460" t="s">
        <v>12217</v>
      </c>
      <c r="P460" t="s">
        <v>12216</v>
      </c>
    </row>
    <row r="461" spans="1:16" x14ac:dyDescent="0.2">
      <c r="A461" t="str">
        <f t="shared" si="7"/>
        <v>metab_compid_48187</v>
      </c>
      <c r="B461" t="s">
        <v>12218</v>
      </c>
      <c r="C461">
        <v>359</v>
      </c>
      <c r="D461" t="s">
        <v>8331</v>
      </c>
      <c r="E461" t="s">
        <v>3436</v>
      </c>
      <c r="F461" t="s">
        <v>3603</v>
      </c>
      <c r="G461">
        <v>48187</v>
      </c>
      <c r="H461" t="s">
        <v>11327</v>
      </c>
      <c r="I461">
        <v>100005466</v>
      </c>
      <c r="J461">
        <v>800</v>
      </c>
      <c r="K461">
        <v>166.01795000000001</v>
      </c>
      <c r="L461" t="s">
        <v>11145</v>
      </c>
      <c r="M461">
        <v>159864</v>
      </c>
      <c r="N461" t="s">
        <v>11145</v>
      </c>
      <c r="O461" t="s">
        <v>11145</v>
      </c>
      <c r="P461" t="s">
        <v>12218</v>
      </c>
    </row>
    <row r="462" spans="1:16" x14ac:dyDescent="0.2">
      <c r="A462" t="str">
        <f t="shared" si="7"/>
        <v>metab_compid_33939</v>
      </c>
      <c r="B462" t="s">
        <v>12219</v>
      </c>
      <c r="C462">
        <v>17</v>
      </c>
      <c r="D462" t="s">
        <v>6106</v>
      </c>
      <c r="E462" t="s">
        <v>3436</v>
      </c>
      <c r="F462" t="s">
        <v>3882</v>
      </c>
      <c r="G462">
        <v>33939</v>
      </c>
      <c r="H462" t="s">
        <v>11327</v>
      </c>
      <c r="I462">
        <v>100001274</v>
      </c>
      <c r="J462">
        <v>821.6</v>
      </c>
      <c r="K462">
        <v>160.06153</v>
      </c>
      <c r="L462" t="s">
        <v>6107</v>
      </c>
      <c r="M462">
        <v>152204</v>
      </c>
      <c r="N462" t="s">
        <v>11145</v>
      </c>
      <c r="O462" t="s">
        <v>11145</v>
      </c>
      <c r="P462" t="s">
        <v>12219</v>
      </c>
    </row>
    <row r="463" spans="1:16" x14ac:dyDescent="0.2">
      <c r="A463" t="str">
        <f t="shared" si="7"/>
        <v>metab_compid_33959</v>
      </c>
      <c r="B463" t="s">
        <v>12220</v>
      </c>
      <c r="C463">
        <v>208</v>
      </c>
      <c r="D463" t="s">
        <v>6037</v>
      </c>
      <c r="E463" t="s">
        <v>3436</v>
      </c>
      <c r="F463" t="s">
        <v>3470</v>
      </c>
      <c r="G463">
        <v>33959</v>
      </c>
      <c r="H463" t="s">
        <v>11327</v>
      </c>
      <c r="I463">
        <v>100001254</v>
      </c>
      <c r="J463">
        <v>2630</v>
      </c>
      <c r="K463">
        <v>245.09316000000001</v>
      </c>
      <c r="L463" t="s">
        <v>6038</v>
      </c>
      <c r="M463">
        <v>700653</v>
      </c>
      <c r="N463" t="s">
        <v>6041</v>
      </c>
      <c r="O463" t="s">
        <v>12221</v>
      </c>
      <c r="P463" t="s">
        <v>12220</v>
      </c>
    </row>
    <row r="464" spans="1:16" x14ac:dyDescent="0.2">
      <c r="A464" t="str">
        <f t="shared" si="7"/>
        <v>metab_compid_32390</v>
      </c>
      <c r="B464" t="s">
        <v>12222</v>
      </c>
      <c r="C464">
        <v>133</v>
      </c>
      <c r="D464" t="s">
        <v>5831</v>
      </c>
      <c r="E464" t="s">
        <v>3436</v>
      </c>
      <c r="F464" t="s">
        <v>3687</v>
      </c>
      <c r="G464">
        <v>32390</v>
      </c>
      <c r="H464" t="s">
        <v>11327</v>
      </c>
      <c r="I464">
        <v>100001104</v>
      </c>
      <c r="J464">
        <v>1680</v>
      </c>
      <c r="K464">
        <v>222.07718</v>
      </c>
      <c r="L464" t="s">
        <v>5832</v>
      </c>
      <c r="M464">
        <v>68310</v>
      </c>
      <c r="N464" t="s">
        <v>11145</v>
      </c>
      <c r="O464" t="s">
        <v>12223</v>
      </c>
      <c r="P464" t="s">
        <v>12222</v>
      </c>
    </row>
    <row r="465" spans="1:16" x14ac:dyDescent="0.2">
      <c r="A465" t="str">
        <f t="shared" si="7"/>
        <v>metab_compid_1591</v>
      </c>
      <c r="B465" t="s">
        <v>12224</v>
      </c>
      <c r="C465">
        <v>315</v>
      </c>
      <c r="D465" t="s">
        <v>4626</v>
      </c>
      <c r="E465" t="s">
        <v>3436</v>
      </c>
      <c r="F465" t="s">
        <v>3498</v>
      </c>
      <c r="G465">
        <v>1591</v>
      </c>
      <c r="H465" t="s">
        <v>11327</v>
      </c>
      <c r="I465">
        <v>1084</v>
      </c>
      <c r="J465">
        <v>1704</v>
      </c>
      <c r="K465">
        <v>158.08225999999999</v>
      </c>
      <c r="L465" t="s">
        <v>4627</v>
      </c>
      <c r="M465">
        <v>66789</v>
      </c>
      <c r="N465" t="s">
        <v>11145</v>
      </c>
      <c r="O465" t="s">
        <v>12225</v>
      </c>
      <c r="P465" t="s">
        <v>12224</v>
      </c>
    </row>
    <row r="466" spans="1:16" x14ac:dyDescent="0.2">
      <c r="A466" t="str">
        <f t="shared" si="7"/>
        <v>metab_compid_43249</v>
      </c>
      <c r="B466" t="s">
        <v>12226</v>
      </c>
      <c r="C466">
        <v>383</v>
      </c>
      <c r="D466" t="s">
        <v>8231</v>
      </c>
      <c r="E466" t="s">
        <v>3436</v>
      </c>
      <c r="F466" t="s">
        <v>3661</v>
      </c>
      <c r="G466">
        <v>43249</v>
      </c>
      <c r="H466" t="s">
        <v>11327</v>
      </c>
      <c r="I466">
        <v>100004523</v>
      </c>
      <c r="J466">
        <v>858</v>
      </c>
      <c r="K466">
        <v>173.09316000000001</v>
      </c>
      <c r="L466" t="s">
        <v>11145</v>
      </c>
      <c r="M466">
        <v>9920500</v>
      </c>
      <c r="N466" t="s">
        <v>11145</v>
      </c>
      <c r="O466" t="s">
        <v>11145</v>
      </c>
      <c r="P466" t="s">
        <v>12226</v>
      </c>
    </row>
    <row r="467" spans="1:16" x14ac:dyDescent="0.2">
      <c r="A467" t="str">
        <f t="shared" si="7"/>
        <v>metab_compid_43549</v>
      </c>
      <c r="B467" t="s">
        <v>12227</v>
      </c>
      <c r="C467">
        <v>224</v>
      </c>
      <c r="D467" t="s">
        <v>8252</v>
      </c>
      <c r="E467" t="s">
        <v>3436</v>
      </c>
      <c r="F467" t="s">
        <v>3470</v>
      </c>
      <c r="G467">
        <v>43549</v>
      </c>
      <c r="H467" t="s">
        <v>11327</v>
      </c>
      <c r="I467">
        <v>100004561</v>
      </c>
      <c r="J467">
        <v>2150</v>
      </c>
      <c r="K467">
        <v>164.03531000000001</v>
      </c>
      <c r="L467" t="s">
        <v>8253</v>
      </c>
      <c r="M467">
        <v>101399</v>
      </c>
      <c r="N467" t="s">
        <v>8256</v>
      </c>
      <c r="O467" t="s">
        <v>12228</v>
      </c>
      <c r="P467" t="s">
        <v>12227</v>
      </c>
    </row>
    <row r="468" spans="1:16" x14ac:dyDescent="0.2">
      <c r="A468" t="str">
        <f t="shared" si="7"/>
        <v>metab_compid_2829</v>
      </c>
      <c r="B468" t="s">
        <v>12229</v>
      </c>
      <c r="C468">
        <v>329</v>
      </c>
      <c r="D468" t="s">
        <v>3606</v>
      </c>
      <c r="E468" t="s">
        <v>3436</v>
      </c>
      <c r="F468" t="s">
        <v>3603</v>
      </c>
      <c r="G468">
        <v>2829</v>
      </c>
      <c r="H468" t="s">
        <v>11327</v>
      </c>
      <c r="I468">
        <v>194</v>
      </c>
      <c r="J468">
        <v>1543.8</v>
      </c>
      <c r="K468">
        <v>176.03869</v>
      </c>
      <c r="L468" t="s">
        <v>3607</v>
      </c>
      <c r="M468">
        <v>439750</v>
      </c>
      <c r="N468" t="s">
        <v>3610</v>
      </c>
      <c r="O468" t="s">
        <v>12230</v>
      </c>
      <c r="P468" t="s">
        <v>12229</v>
      </c>
    </row>
    <row r="469" spans="1:16" x14ac:dyDescent="0.2">
      <c r="A469" t="str">
        <f t="shared" si="7"/>
        <v>metab_compid_37431</v>
      </c>
      <c r="B469" t="s">
        <v>12231</v>
      </c>
      <c r="C469">
        <v>393</v>
      </c>
      <c r="D469" t="s">
        <v>7113</v>
      </c>
      <c r="E469" t="s">
        <v>3436</v>
      </c>
      <c r="F469" t="s">
        <v>3661</v>
      </c>
      <c r="G469">
        <v>37431</v>
      </c>
      <c r="H469" t="s">
        <v>11320</v>
      </c>
      <c r="I469">
        <v>100001956</v>
      </c>
      <c r="J469">
        <v>1335</v>
      </c>
      <c r="K469">
        <v>130.08626000000001</v>
      </c>
      <c r="L469" t="s">
        <v>7114</v>
      </c>
      <c r="M469">
        <v>557</v>
      </c>
      <c r="N469" t="s">
        <v>11145</v>
      </c>
      <c r="O469" t="s">
        <v>11145</v>
      </c>
      <c r="P469" t="s">
        <v>12231</v>
      </c>
    </row>
    <row r="470" spans="1:16" x14ac:dyDescent="0.2">
      <c r="A470" t="str">
        <f t="shared" si="7"/>
        <v>metab_compid_57435</v>
      </c>
      <c r="B470" t="s">
        <v>12232</v>
      </c>
      <c r="C470">
        <v>2444</v>
      </c>
      <c r="D470" t="s">
        <v>12233</v>
      </c>
      <c r="E470" t="s">
        <v>3459</v>
      </c>
      <c r="F470" t="s">
        <v>4998</v>
      </c>
      <c r="G470">
        <v>57435</v>
      </c>
      <c r="H470" t="s">
        <v>11322</v>
      </c>
      <c r="I470">
        <v>100015725</v>
      </c>
      <c r="J470">
        <v>3850</v>
      </c>
      <c r="K470">
        <v>620.59762999999998</v>
      </c>
      <c r="L470" t="s">
        <v>11145</v>
      </c>
      <c r="M470" t="s">
        <v>11145</v>
      </c>
      <c r="N470" t="s">
        <v>11145</v>
      </c>
      <c r="O470" t="s">
        <v>11145</v>
      </c>
      <c r="P470" t="s">
        <v>12232</v>
      </c>
    </row>
    <row r="471" spans="1:16" x14ac:dyDescent="0.2">
      <c r="A471" t="str">
        <f t="shared" si="7"/>
        <v>metab_compid_57664</v>
      </c>
      <c r="B471" t="s">
        <v>12234</v>
      </c>
      <c r="C471">
        <v>1701</v>
      </c>
      <c r="D471" t="s">
        <v>9332</v>
      </c>
      <c r="E471" t="s">
        <v>3459</v>
      </c>
      <c r="F471" t="s">
        <v>4774</v>
      </c>
      <c r="G471">
        <v>57664</v>
      </c>
      <c r="H471" t="s">
        <v>11327</v>
      </c>
      <c r="I471">
        <v>100015641</v>
      </c>
      <c r="J471">
        <v>5600</v>
      </c>
      <c r="K471">
        <v>368.28062999999997</v>
      </c>
      <c r="L471" t="s">
        <v>11145</v>
      </c>
      <c r="M471" t="s">
        <v>11145</v>
      </c>
      <c r="N471" t="s">
        <v>11145</v>
      </c>
      <c r="O471" t="s">
        <v>11145</v>
      </c>
      <c r="P471" t="s">
        <v>12234</v>
      </c>
    </row>
    <row r="472" spans="1:16" x14ac:dyDescent="0.2">
      <c r="A472" t="str">
        <f t="shared" si="7"/>
        <v>metab_compid_39732</v>
      </c>
      <c r="B472" t="s">
        <v>12235</v>
      </c>
      <c r="C472">
        <v>1684</v>
      </c>
      <c r="D472" t="s">
        <v>7817</v>
      </c>
      <c r="E472" t="s">
        <v>3459</v>
      </c>
      <c r="F472" t="s">
        <v>4774</v>
      </c>
      <c r="G472">
        <v>39732</v>
      </c>
      <c r="H472" t="s">
        <v>11327</v>
      </c>
      <c r="I472">
        <v>100003119</v>
      </c>
      <c r="J472">
        <v>5610</v>
      </c>
      <c r="K472">
        <v>388.2527</v>
      </c>
      <c r="L472" t="s">
        <v>7818</v>
      </c>
      <c r="M472">
        <v>6437033</v>
      </c>
      <c r="N472" t="s">
        <v>11145</v>
      </c>
      <c r="O472" t="s">
        <v>11145</v>
      </c>
      <c r="P472" t="s">
        <v>12235</v>
      </c>
    </row>
    <row r="473" spans="1:16" x14ac:dyDescent="0.2">
      <c r="A473" t="str">
        <f t="shared" si="7"/>
        <v>metab_compid_57430</v>
      </c>
      <c r="B473" t="s">
        <v>12236</v>
      </c>
      <c r="C473">
        <v>2445</v>
      </c>
      <c r="D473" t="s">
        <v>12237</v>
      </c>
      <c r="E473" t="s">
        <v>3459</v>
      </c>
      <c r="F473" t="s">
        <v>4998</v>
      </c>
      <c r="G473">
        <v>57430</v>
      </c>
      <c r="H473" t="s">
        <v>11322</v>
      </c>
      <c r="I473">
        <v>100015731</v>
      </c>
      <c r="J473">
        <v>2645</v>
      </c>
      <c r="K473">
        <v>524.50373999999999</v>
      </c>
      <c r="L473" t="s">
        <v>11145</v>
      </c>
      <c r="M473" t="s">
        <v>11145</v>
      </c>
      <c r="N473" t="s">
        <v>11145</v>
      </c>
      <c r="O473" t="s">
        <v>11145</v>
      </c>
      <c r="P473" t="s">
        <v>12236</v>
      </c>
    </row>
    <row r="474" spans="1:16" x14ac:dyDescent="0.2">
      <c r="A474" t="str">
        <f t="shared" si="7"/>
        <v>metab_compid_57416</v>
      </c>
      <c r="B474" t="s">
        <v>12238</v>
      </c>
      <c r="C474">
        <v>2433</v>
      </c>
      <c r="D474" t="s">
        <v>9289</v>
      </c>
      <c r="E474" t="s">
        <v>3459</v>
      </c>
      <c r="F474" t="s">
        <v>4998</v>
      </c>
      <c r="G474">
        <v>57416</v>
      </c>
      <c r="H474" t="s">
        <v>11322</v>
      </c>
      <c r="I474">
        <v>100015609</v>
      </c>
      <c r="J474">
        <v>2490</v>
      </c>
      <c r="K474">
        <v>536.50372000000004</v>
      </c>
      <c r="L474" t="s">
        <v>11145</v>
      </c>
      <c r="M474" t="s">
        <v>11145</v>
      </c>
      <c r="N474" t="s">
        <v>11145</v>
      </c>
      <c r="O474" t="s">
        <v>11145</v>
      </c>
      <c r="P474" t="s">
        <v>12238</v>
      </c>
    </row>
    <row r="475" spans="1:16" x14ac:dyDescent="0.2">
      <c r="A475" t="str">
        <f t="shared" si="7"/>
        <v>metab_compid_52604</v>
      </c>
      <c r="B475" t="s">
        <v>12239</v>
      </c>
      <c r="C475">
        <v>2416</v>
      </c>
      <c r="D475" t="s">
        <v>9022</v>
      </c>
      <c r="E475" t="s">
        <v>3459</v>
      </c>
      <c r="F475" t="s">
        <v>4463</v>
      </c>
      <c r="G475">
        <v>52604</v>
      </c>
      <c r="H475" t="s">
        <v>11322</v>
      </c>
      <c r="I475">
        <v>100009028</v>
      </c>
      <c r="J475">
        <v>3090</v>
      </c>
      <c r="K475">
        <v>540.53503000000001</v>
      </c>
      <c r="L475" t="s">
        <v>9023</v>
      </c>
      <c r="M475">
        <v>5283572</v>
      </c>
      <c r="N475" t="s">
        <v>11145</v>
      </c>
      <c r="O475" t="s">
        <v>9025</v>
      </c>
      <c r="P475" t="s">
        <v>12239</v>
      </c>
    </row>
    <row r="476" spans="1:16" x14ac:dyDescent="0.2">
      <c r="A476" t="str">
        <f t="shared" si="7"/>
        <v>metab_compid_44877</v>
      </c>
      <c r="B476" t="s">
        <v>12240</v>
      </c>
      <c r="C476">
        <v>2424</v>
      </c>
      <c r="D476" t="s">
        <v>5001</v>
      </c>
      <c r="E476" t="s">
        <v>3459</v>
      </c>
      <c r="F476" t="s">
        <v>4998</v>
      </c>
      <c r="G476">
        <v>44877</v>
      </c>
      <c r="H476" t="s">
        <v>11322</v>
      </c>
      <c r="I476">
        <v>1518</v>
      </c>
      <c r="J476">
        <v>2893</v>
      </c>
      <c r="K476">
        <v>538.51936999999998</v>
      </c>
      <c r="L476" t="s">
        <v>5002</v>
      </c>
      <c r="M476">
        <v>5283564</v>
      </c>
      <c r="N476" t="s">
        <v>11145</v>
      </c>
      <c r="O476" t="s">
        <v>12241</v>
      </c>
      <c r="P476" t="s">
        <v>12240</v>
      </c>
    </row>
    <row r="477" spans="1:16" x14ac:dyDescent="0.2">
      <c r="A477" t="str">
        <f t="shared" si="7"/>
        <v>metab_compid_42092</v>
      </c>
      <c r="B477" t="s">
        <v>12242</v>
      </c>
      <c r="C477">
        <v>1426</v>
      </c>
      <c r="D477" t="s">
        <v>7968</v>
      </c>
      <c r="E477" t="s">
        <v>3459</v>
      </c>
      <c r="F477" t="s">
        <v>11593</v>
      </c>
      <c r="G477">
        <v>42092</v>
      </c>
      <c r="H477" t="s">
        <v>11327</v>
      </c>
      <c r="I477">
        <v>100003686</v>
      </c>
      <c r="J477">
        <v>5580</v>
      </c>
      <c r="K477">
        <v>312.25441000000001</v>
      </c>
      <c r="L477" t="s">
        <v>7969</v>
      </c>
      <c r="M477">
        <v>151008</v>
      </c>
      <c r="N477" t="s">
        <v>11145</v>
      </c>
      <c r="O477" t="s">
        <v>12243</v>
      </c>
      <c r="P477" t="s">
        <v>12242</v>
      </c>
    </row>
    <row r="478" spans="1:16" x14ac:dyDescent="0.2">
      <c r="A478" t="str">
        <f t="shared" si="7"/>
        <v>metab_compid_57417</v>
      </c>
      <c r="B478" t="s">
        <v>12244</v>
      </c>
      <c r="C478">
        <v>2434</v>
      </c>
      <c r="D478" t="s">
        <v>9310</v>
      </c>
      <c r="E478" t="s">
        <v>3459</v>
      </c>
      <c r="F478" t="s">
        <v>4998</v>
      </c>
      <c r="G478">
        <v>57417</v>
      </c>
      <c r="H478" t="s">
        <v>11322</v>
      </c>
      <c r="I478">
        <v>100015632</v>
      </c>
      <c r="J478">
        <v>2846</v>
      </c>
      <c r="K478">
        <v>564.53503000000001</v>
      </c>
      <c r="L478" t="s">
        <v>11145</v>
      </c>
      <c r="M478" t="s">
        <v>11145</v>
      </c>
      <c r="N478" t="s">
        <v>11145</v>
      </c>
      <c r="O478" t="s">
        <v>11145</v>
      </c>
      <c r="P478" t="s">
        <v>12244</v>
      </c>
    </row>
    <row r="479" spans="1:16" x14ac:dyDescent="0.2">
      <c r="A479" t="str">
        <f t="shared" si="7"/>
        <v>metab_compid_54979</v>
      </c>
      <c r="B479" t="s">
        <v>12245</v>
      </c>
      <c r="C479">
        <v>2427</v>
      </c>
      <c r="D479" t="s">
        <v>5047</v>
      </c>
      <c r="E479" t="s">
        <v>3459</v>
      </c>
      <c r="F479" t="s">
        <v>4998</v>
      </c>
      <c r="G479">
        <v>54979</v>
      </c>
      <c r="H479" t="s">
        <v>11322</v>
      </c>
      <c r="I479">
        <v>1547</v>
      </c>
      <c r="J479">
        <v>3392</v>
      </c>
      <c r="K479">
        <v>566.55066999999997</v>
      </c>
      <c r="L479" t="s">
        <v>5048</v>
      </c>
      <c r="M479">
        <v>5283565</v>
      </c>
      <c r="N479" t="s">
        <v>11145</v>
      </c>
      <c r="O479" t="s">
        <v>12246</v>
      </c>
      <c r="P479" t="s">
        <v>12245</v>
      </c>
    </row>
    <row r="480" spans="1:16" x14ac:dyDescent="0.2">
      <c r="A480" t="str">
        <f t="shared" si="7"/>
        <v>metab_compid_61822</v>
      </c>
      <c r="B480" t="s">
        <v>12247</v>
      </c>
      <c r="C480">
        <v>1702</v>
      </c>
      <c r="D480" t="s">
        <v>9593</v>
      </c>
      <c r="E480" t="s">
        <v>3459</v>
      </c>
      <c r="F480" t="s">
        <v>4774</v>
      </c>
      <c r="G480">
        <v>61822</v>
      </c>
      <c r="H480" t="s">
        <v>11327</v>
      </c>
      <c r="I480">
        <v>100019957</v>
      </c>
      <c r="J480">
        <v>5777</v>
      </c>
      <c r="K480">
        <v>370.29628000000002</v>
      </c>
      <c r="L480" t="s">
        <v>11145</v>
      </c>
      <c r="M480" t="s">
        <v>11145</v>
      </c>
      <c r="N480" t="s">
        <v>11145</v>
      </c>
      <c r="O480" t="s">
        <v>11145</v>
      </c>
      <c r="P480" t="s">
        <v>12247</v>
      </c>
    </row>
    <row r="481" spans="1:16" x14ac:dyDescent="0.2">
      <c r="A481" t="str">
        <f t="shared" si="7"/>
        <v>metab_compid_39730</v>
      </c>
      <c r="B481" t="s">
        <v>12248</v>
      </c>
      <c r="C481">
        <v>1685</v>
      </c>
      <c r="D481" t="s">
        <v>7851</v>
      </c>
      <c r="E481" t="s">
        <v>3459</v>
      </c>
      <c r="F481" t="s">
        <v>4774</v>
      </c>
      <c r="G481">
        <v>39730</v>
      </c>
      <c r="H481" t="s">
        <v>11327</v>
      </c>
      <c r="I481">
        <v>100003240</v>
      </c>
      <c r="J481">
        <v>5782</v>
      </c>
      <c r="K481">
        <v>390.26835</v>
      </c>
      <c r="L481" t="s">
        <v>7852</v>
      </c>
      <c r="M481">
        <v>168274</v>
      </c>
      <c r="N481" t="s">
        <v>11145</v>
      </c>
      <c r="O481" t="s">
        <v>11145</v>
      </c>
      <c r="P481" t="s">
        <v>12248</v>
      </c>
    </row>
    <row r="482" spans="1:16" x14ac:dyDescent="0.2">
      <c r="A482" t="str">
        <f t="shared" si="7"/>
        <v>metab_compid_40469</v>
      </c>
      <c r="B482" t="s">
        <v>12249</v>
      </c>
      <c r="C482">
        <v>3570</v>
      </c>
      <c r="D482" t="s">
        <v>12250</v>
      </c>
      <c r="E482" t="s">
        <v>3448</v>
      </c>
      <c r="F482" t="s">
        <v>3449</v>
      </c>
      <c r="G482">
        <v>40469</v>
      </c>
      <c r="H482" t="s">
        <v>11327</v>
      </c>
      <c r="I482">
        <v>100001468</v>
      </c>
      <c r="J482">
        <v>1668</v>
      </c>
      <c r="K482">
        <v>151.0513</v>
      </c>
      <c r="L482" t="s">
        <v>6518</v>
      </c>
      <c r="M482">
        <v>69698</v>
      </c>
      <c r="N482" t="s">
        <v>6521</v>
      </c>
      <c r="O482" t="s">
        <v>12251</v>
      </c>
      <c r="P482" t="s">
        <v>12249</v>
      </c>
    </row>
    <row r="483" spans="1:16" x14ac:dyDescent="0.2">
      <c r="A483" t="str">
        <f t="shared" si="7"/>
        <v>metab_compid_15650</v>
      </c>
      <c r="B483" t="s">
        <v>12252</v>
      </c>
      <c r="C483">
        <v>3415</v>
      </c>
      <c r="D483" t="s">
        <v>4880</v>
      </c>
      <c r="E483" t="s">
        <v>3533</v>
      </c>
      <c r="F483" t="s">
        <v>3620</v>
      </c>
      <c r="G483">
        <v>15650</v>
      </c>
      <c r="H483" t="s">
        <v>11320</v>
      </c>
      <c r="I483">
        <v>1242</v>
      </c>
      <c r="J483">
        <v>2120</v>
      </c>
      <c r="K483">
        <v>282.11968999999999</v>
      </c>
      <c r="L483" t="s">
        <v>4882</v>
      </c>
      <c r="M483">
        <v>27476</v>
      </c>
      <c r="N483" t="s">
        <v>4885</v>
      </c>
      <c r="O483" t="s">
        <v>12253</v>
      </c>
      <c r="P483" t="s">
        <v>12252</v>
      </c>
    </row>
    <row r="484" spans="1:16" x14ac:dyDescent="0.2">
      <c r="A484" t="str">
        <f t="shared" si="7"/>
        <v>metab_compid_48351</v>
      </c>
      <c r="B484" t="s">
        <v>12254</v>
      </c>
      <c r="C484">
        <v>3391</v>
      </c>
      <c r="D484" t="s">
        <v>6389</v>
      </c>
      <c r="E484" t="s">
        <v>3533</v>
      </c>
      <c r="F484" t="s">
        <v>3543</v>
      </c>
      <c r="G484">
        <v>48351</v>
      </c>
      <c r="H484" t="s">
        <v>11320</v>
      </c>
      <c r="I484">
        <v>100001409</v>
      </c>
      <c r="J484">
        <v>1430</v>
      </c>
      <c r="K484">
        <v>283.1037</v>
      </c>
      <c r="L484" t="s">
        <v>6390</v>
      </c>
      <c r="M484">
        <v>65095</v>
      </c>
      <c r="N484" t="s">
        <v>11145</v>
      </c>
      <c r="O484" t="s">
        <v>12255</v>
      </c>
      <c r="P484" t="s">
        <v>12254</v>
      </c>
    </row>
    <row r="485" spans="1:16" x14ac:dyDescent="0.2">
      <c r="A485" t="str">
        <f t="shared" si="7"/>
        <v>metab_compid_35137</v>
      </c>
      <c r="B485" t="s">
        <v>12256</v>
      </c>
      <c r="C485">
        <v>3451</v>
      </c>
      <c r="D485" t="s">
        <v>6396</v>
      </c>
      <c r="E485" t="s">
        <v>3533</v>
      </c>
      <c r="F485" t="s">
        <v>4656</v>
      </c>
      <c r="G485">
        <v>35137</v>
      </c>
      <c r="H485" t="s">
        <v>11320</v>
      </c>
      <c r="I485">
        <v>100001412</v>
      </c>
      <c r="J485">
        <v>2210</v>
      </c>
      <c r="K485">
        <v>312.13024999999999</v>
      </c>
      <c r="L485" t="s">
        <v>6397</v>
      </c>
      <c r="M485">
        <v>92919</v>
      </c>
      <c r="N485" t="s">
        <v>11145</v>
      </c>
      <c r="O485" t="s">
        <v>12257</v>
      </c>
      <c r="P485" t="s">
        <v>12256</v>
      </c>
    </row>
    <row r="486" spans="1:16" x14ac:dyDescent="0.2">
      <c r="A486" t="str">
        <f t="shared" si="7"/>
        <v>metab_compid_43591</v>
      </c>
      <c r="B486" t="s">
        <v>12258</v>
      </c>
      <c r="C486">
        <v>385</v>
      </c>
      <c r="D486" t="s">
        <v>8260</v>
      </c>
      <c r="E486" t="s">
        <v>3436</v>
      </c>
      <c r="F486" t="s">
        <v>3661</v>
      </c>
      <c r="G486">
        <v>43591</v>
      </c>
      <c r="H486" t="s">
        <v>11327</v>
      </c>
      <c r="I486">
        <v>100004575</v>
      </c>
      <c r="J486">
        <v>1367</v>
      </c>
      <c r="K486">
        <v>215.10373000000001</v>
      </c>
      <c r="L486" t="s">
        <v>8261</v>
      </c>
      <c r="M486">
        <v>10398396</v>
      </c>
      <c r="N486" t="s">
        <v>11145</v>
      </c>
      <c r="O486" t="s">
        <v>11145</v>
      </c>
      <c r="P486" t="s">
        <v>12258</v>
      </c>
    </row>
    <row r="487" spans="1:16" x14ac:dyDescent="0.2">
      <c r="A487" t="str">
        <f t="shared" si="7"/>
        <v>metab_compid_35130</v>
      </c>
      <c r="B487" t="s">
        <v>12259</v>
      </c>
      <c r="C487">
        <v>3510</v>
      </c>
      <c r="D487" t="s">
        <v>6403</v>
      </c>
      <c r="E487" t="s">
        <v>3533</v>
      </c>
      <c r="F487" t="s">
        <v>4356</v>
      </c>
      <c r="G487">
        <v>35130</v>
      </c>
      <c r="H487" t="s">
        <v>11327</v>
      </c>
      <c r="I487">
        <v>100001413</v>
      </c>
      <c r="J487">
        <v>2040</v>
      </c>
      <c r="K487">
        <v>284.08881000000002</v>
      </c>
      <c r="L487" t="s">
        <v>6404</v>
      </c>
      <c r="M487">
        <v>107461</v>
      </c>
      <c r="N487" t="s">
        <v>11145</v>
      </c>
      <c r="O487" t="s">
        <v>12260</v>
      </c>
      <c r="P487" t="s">
        <v>12259</v>
      </c>
    </row>
    <row r="488" spans="1:16" x14ac:dyDescent="0.2">
      <c r="A488" t="str">
        <f t="shared" si="7"/>
        <v>metab_compid_1498</v>
      </c>
      <c r="B488" t="s">
        <v>12261</v>
      </c>
      <c r="C488">
        <v>98</v>
      </c>
      <c r="D488" t="s">
        <v>3589</v>
      </c>
      <c r="E488" t="s">
        <v>3436</v>
      </c>
      <c r="F488" t="s">
        <v>3586</v>
      </c>
      <c r="G488">
        <v>1498</v>
      </c>
      <c r="H488" t="s">
        <v>11320</v>
      </c>
      <c r="I488">
        <v>189</v>
      </c>
      <c r="J488">
        <v>2825</v>
      </c>
      <c r="K488">
        <v>189.15976000000001</v>
      </c>
      <c r="L488" t="s">
        <v>3590</v>
      </c>
      <c r="M488">
        <v>440120</v>
      </c>
      <c r="N488" t="s">
        <v>3593</v>
      </c>
      <c r="O488" t="s">
        <v>12262</v>
      </c>
      <c r="P488" t="s">
        <v>12261</v>
      </c>
    </row>
    <row r="489" spans="1:16" x14ac:dyDescent="0.2">
      <c r="A489" t="str">
        <f t="shared" si="7"/>
        <v>metab_compid_36752</v>
      </c>
      <c r="B489" t="s">
        <v>12263</v>
      </c>
      <c r="C489">
        <v>93</v>
      </c>
      <c r="D489" t="s">
        <v>6884</v>
      </c>
      <c r="E489" t="s">
        <v>3436</v>
      </c>
      <c r="F489" t="s">
        <v>3586</v>
      </c>
      <c r="G489">
        <v>36752</v>
      </c>
      <c r="H489" t="s">
        <v>11327</v>
      </c>
      <c r="I489">
        <v>100001734</v>
      </c>
      <c r="J489">
        <v>1059</v>
      </c>
      <c r="K489">
        <v>187.10881000000001</v>
      </c>
      <c r="L489" t="s">
        <v>6885</v>
      </c>
      <c r="M489">
        <v>92832</v>
      </c>
      <c r="N489" t="s">
        <v>6888</v>
      </c>
      <c r="O489" t="s">
        <v>12264</v>
      </c>
      <c r="P489" t="s">
        <v>12263</v>
      </c>
    </row>
    <row r="490" spans="1:16" x14ac:dyDescent="0.2">
      <c r="A490" t="str">
        <f t="shared" si="7"/>
        <v>metab_compid_35157</v>
      </c>
      <c r="B490" t="s">
        <v>12265</v>
      </c>
      <c r="C490">
        <v>3425</v>
      </c>
      <c r="D490" t="s">
        <v>6410</v>
      </c>
      <c r="E490" t="s">
        <v>3533</v>
      </c>
      <c r="F490" t="s">
        <v>3620</v>
      </c>
      <c r="G490">
        <v>35157</v>
      </c>
      <c r="H490" t="s">
        <v>11327</v>
      </c>
      <c r="I490">
        <v>100001415</v>
      </c>
      <c r="J490">
        <v>2164</v>
      </c>
      <c r="K490">
        <v>411.12698</v>
      </c>
      <c r="L490" t="s">
        <v>6411</v>
      </c>
      <c r="M490">
        <v>161466</v>
      </c>
      <c r="N490" t="s">
        <v>11145</v>
      </c>
      <c r="O490" t="s">
        <v>12266</v>
      </c>
      <c r="P490" t="s">
        <v>12265</v>
      </c>
    </row>
    <row r="491" spans="1:16" x14ac:dyDescent="0.2">
      <c r="A491" t="str">
        <f t="shared" si="7"/>
        <v>metab_compid_48130</v>
      </c>
      <c r="B491" t="s">
        <v>12267</v>
      </c>
      <c r="C491">
        <v>3434</v>
      </c>
      <c r="D491" t="s">
        <v>6855</v>
      </c>
      <c r="E491" t="s">
        <v>3533</v>
      </c>
      <c r="F491" t="s">
        <v>3620</v>
      </c>
      <c r="G491">
        <v>48130</v>
      </c>
      <c r="H491" t="s">
        <v>11327</v>
      </c>
      <c r="I491">
        <v>100001664</v>
      </c>
      <c r="J491">
        <v>940</v>
      </c>
      <c r="K491">
        <v>382.10043000000002</v>
      </c>
      <c r="L491" t="s">
        <v>6856</v>
      </c>
      <c r="M491">
        <v>165243</v>
      </c>
      <c r="N491" t="s">
        <v>11145</v>
      </c>
      <c r="O491" t="s">
        <v>12268</v>
      </c>
      <c r="P491" t="s">
        <v>12267</v>
      </c>
    </row>
    <row r="492" spans="1:16" x14ac:dyDescent="0.2">
      <c r="A492" t="str">
        <f t="shared" si="7"/>
        <v>metab_compid_52674</v>
      </c>
      <c r="B492" t="s">
        <v>12269</v>
      </c>
      <c r="C492">
        <v>1210</v>
      </c>
      <c r="D492" t="s">
        <v>12270</v>
      </c>
      <c r="E492" t="s">
        <v>3459</v>
      </c>
      <c r="F492" t="s">
        <v>11502</v>
      </c>
      <c r="G492">
        <v>52674</v>
      </c>
      <c r="H492" t="s">
        <v>11327</v>
      </c>
      <c r="I492">
        <v>100001231</v>
      </c>
      <c r="J492">
        <v>6804</v>
      </c>
      <c r="K492">
        <v>365.34249999999997</v>
      </c>
      <c r="L492" t="s">
        <v>12271</v>
      </c>
      <c r="M492">
        <v>5281120</v>
      </c>
      <c r="N492" t="s">
        <v>12272</v>
      </c>
      <c r="O492" t="s">
        <v>12273</v>
      </c>
      <c r="P492" t="s">
        <v>12269</v>
      </c>
    </row>
    <row r="493" spans="1:16" x14ac:dyDescent="0.2">
      <c r="A493" t="str">
        <f t="shared" si="7"/>
        <v>metab_compid_57531</v>
      </c>
      <c r="B493" t="s">
        <v>12274</v>
      </c>
      <c r="C493">
        <v>1487</v>
      </c>
      <c r="D493" t="s">
        <v>9504</v>
      </c>
      <c r="E493" t="s">
        <v>3459</v>
      </c>
      <c r="F493" t="s">
        <v>11596</v>
      </c>
      <c r="G493">
        <v>57531</v>
      </c>
      <c r="H493" t="s">
        <v>11322</v>
      </c>
      <c r="I493">
        <v>100015846</v>
      </c>
      <c r="J493">
        <v>1602</v>
      </c>
      <c r="K493">
        <v>510.45168000000001</v>
      </c>
      <c r="L493" t="s">
        <v>11145</v>
      </c>
      <c r="M493" t="s">
        <v>11145</v>
      </c>
      <c r="N493" t="s">
        <v>11145</v>
      </c>
      <c r="O493" t="s">
        <v>11145</v>
      </c>
      <c r="P493" t="s">
        <v>12274</v>
      </c>
    </row>
    <row r="494" spans="1:16" x14ac:dyDescent="0.2">
      <c r="A494" t="str">
        <f t="shared" si="7"/>
        <v>metab_compid_594</v>
      </c>
      <c r="B494" t="s">
        <v>12275</v>
      </c>
      <c r="C494">
        <v>3551</v>
      </c>
      <c r="D494" t="s">
        <v>4028</v>
      </c>
      <c r="E494" t="s">
        <v>3448</v>
      </c>
      <c r="F494" t="s">
        <v>3449</v>
      </c>
      <c r="G494">
        <v>594</v>
      </c>
      <c r="H494" t="s">
        <v>11320</v>
      </c>
      <c r="I494">
        <v>432</v>
      </c>
      <c r="J494">
        <v>1942</v>
      </c>
      <c r="K494">
        <v>123.05529</v>
      </c>
      <c r="L494" t="s">
        <v>4029</v>
      </c>
      <c r="M494">
        <v>936</v>
      </c>
      <c r="N494" t="s">
        <v>4032</v>
      </c>
      <c r="O494" t="s">
        <v>12276</v>
      </c>
      <c r="P494" t="s">
        <v>12275</v>
      </c>
    </row>
    <row r="495" spans="1:16" x14ac:dyDescent="0.2">
      <c r="A495" t="str">
        <f t="shared" si="7"/>
        <v>metab_compid_57810</v>
      </c>
      <c r="B495" t="s">
        <v>12277</v>
      </c>
      <c r="C495">
        <v>1226</v>
      </c>
      <c r="D495" t="s">
        <v>9410</v>
      </c>
      <c r="E495" t="s">
        <v>3459</v>
      </c>
      <c r="F495" t="s">
        <v>11702</v>
      </c>
      <c r="G495">
        <v>57810</v>
      </c>
      <c r="H495" t="s">
        <v>11327</v>
      </c>
      <c r="I495">
        <v>100015785</v>
      </c>
      <c r="J495">
        <v>5657</v>
      </c>
      <c r="K495">
        <v>355.26425</v>
      </c>
      <c r="L495" t="s">
        <v>9411</v>
      </c>
      <c r="M495">
        <v>11792612</v>
      </c>
      <c r="N495" t="s">
        <v>11145</v>
      </c>
      <c r="O495" t="s">
        <v>12278</v>
      </c>
      <c r="P495" t="s">
        <v>12277</v>
      </c>
    </row>
    <row r="496" spans="1:16" x14ac:dyDescent="0.2">
      <c r="A496" t="str">
        <f t="shared" si="7"/>
        <v>metab_compid_1356</v>
      </c>
      <c r="B496" t="s">
        <v>12279</v>
      </c>
      <c r="C496">
        <v>1195</v>
      </c>
      <c r="D496" t="s">
        <v>4423</v>
      </c>
      <c r="E496" t="s">
        <v>3459</v>
      </c>
      <c r="F496" t="s">
        <v>11502</v>
      </c>
      <c r="G496">
        <v>1356</v>
      </c>
      <c r="H496" t="s">
        <v>11327</v>
      </c>
      <c r="I496">
        <v>892</v>
      </c>
      <c r="J496">
        <v>6068</v>
      </c>
      <c r="K496">
        <v>297.2799</v>
      </c>
      <c r="L496" t="s">
        <v>4424</v>
      </c>
      <c r="M496">
        <v>12591</v>
      </c>
      <c r="N496" t="s">
        <v>4427</v>
      </c>
      <c r="O496" t="s">
        <v>12280</v>
      </c>
      <c r="P496" t="s">
        <v>12279</v>
      </c>
    </row>
    <row r="497" spans="1:16" x14ac:dyDescent="0.2">
      <c r="A497" t="str">
        <f t="shared" si="7"/>
        <v>metab_compid_61860</v>
      </c>
      <c r="B497" t="s">
        <v>12281</v>
      </c>
      <c r="C497">
        <v>1339</v>
      </c>
      <c r="D497" t="s">
        <v>9625</v>
      </c>
      <c r="E497" t="s">
        <v>3459</v>
      </c>
      <c r="F497" t="s">
        <v>3873</v>
      </c>
      <c r="G497">
        <v>61860</v>
      </c>
      <c r="H497" t="s">
        <v>11327</v>
      </c>
      <c r="I497">
        <v>100019982</v>
      </c>
      <c r="J497">
        <v>4676</v>
      </c>
      <c r="K497">
        <v>309.20713999999998</v>
      </c>
      <c r="L497" t="s">
        <v>11145</v>
      </c>
      <c r="M497" t="s">
        <v>11145</v>
      </c>
      <c r="N497" t="s">
        <v>11145</v>
      </c>
      <c r="O497" t="s">
        <v>11145</v>
      </c>
      <c r="P497" t="s">
        <v>12281</v>
      </c>
    </row>
    <row r="498" spans="1:16" x14ac:dyDescent="0.2">
      <c r="A498" t="str">
        <f t="shared" si="7"/>
        <v>metab_compid_36754</v>
      </c>
      <c r="B498" t="s">
        <v>12282</v>
      </c>
      <c r="C498">
        <v>1337</v>
      </c>
      <c r="D498" t="s">
        <v>6769</v>
      </c>
      <c r="E498" t="s">
        <v>3459</v>
      </c>
      <c r="F498" t="s">
        <v>3873</v>
      </c>
      <c r="G498">
        <v>36754</v>
      </c>
      <c r="H498" t="s">
        <v>11327</v>
      </c>
      <c r="I498">
        <v>100001615</v>
      </c>
      <c r="J498">
        <v>5043</v>
      </c>
      <c r="K498">
        <v>313.23842999999999</v>
      </c>
      <c r="L498" t="s">
        <v>6771</v>
      </c>
      <c r="M498">
        <v>70095</v>
      </c>
      <c r="N498" t="s">
        <v>11145</v>
      </c>
      <c r="O498" t="s">
        <v>12283</v>
      </c>
      <c r="P498" t="s">
        <v>12282</v>
      </c>
    </row>
    <row r="499" spans="1:16" x14ac:dyDescent="0.2">
      <c r="A499" t="str">
        <f t="shared" si="7"/>
        <v>metab_compid_61867</v>
      </c>
      <c r="B499" t="s">
        <v>12284</v>
      </c>
      <c r="C499">
        <v>1469</v>
      </c>
      <c r="D499" t="s">
        <v>8405</v>
      </c>
      <c r="E499" t="s">
        <v>3459</v>
      </c>
      <c r="F499" t="s">
        <v>11596</v>
      </c>
      <c r="G499">
        <v>61867</v>
      </c>
      <c r="H499" t="s">
        <v>11322</v>
      </c>
      <c r="I499">
        <v>100005998</v>
      </c>
      <c r="J499">
        <v>1227</v>
      </c>
      <c r="K499">
        <v>458.34762000000001</v>
      </c>
      <c r="L499" t="s">
        <v>8406</v>
      </c>
      <c r="M499" t="s">
        <v>11145</v>
      </c>
      <c r="N499" t="s">
        <v>11145</v>
      </c>
      <c r="O499" t="s">
        <v>11145</v>
      </c>
      <c r="P499" t="s">
        <v>12284</v>
      </c>
    </row>
    <row r="500" spans="1:16" x14ac:dyDescent="0.2">
      <c r="A500" t="str">
        <f t="shared" si="7"/>
        <v>metab_compid_61861</v>
      </c>
      <c r="B500" t="s">
        <v>12285</v>
      </c>
      <c r="C500">
        <v>1338</v>
      </c>
      <c r="D500" t="s">
        <v>12286</v>
      </c>
      <c r="E500" t="s">
        <v>3459</v>
      </c>
      <c r="F500" t="s">
        <v>3873</v>
      </c>
      <c r="G500">
        <v>61861</v>
      </c>
      <c r="H500" t="s">
        <v>11327</v>
      </c>
      <c r="I500">
        <v>100019978</v>
      </c>
      <c r="J500">
        <v>4875</v>
      </c>
      <c r="K500">
        <v>311.22278999999997</v>
      </c>
      <c r="L500" t="s">
        <v>11145</v>
      </c>
      <c r="M500" t="s">
        <v>11145</v>
      </c>
      <c r="N500" t="s">
        <v>11145</v>
      </c>
      <c r="O500" t="s">
        <v>11145</v>
      </c>
      <c r="P500" t="s">
        <v>12285</v>
      </c>
    </row>
    <row r="501" spans="1:16" x14ac:dyDescent="0.2">
      <c r="A501" t="str">
        <f t="shared" si="7"/>
        <v>metab_compid_61865</v>
      </c>
      <c r="B501" t="s">
        <v>12287</v>
      </c>
      <c r="C501">
        <v>1470</v>
      </c>
      <c r="D501" t="s">
        <v>8400</v>
      </c>
      <c r="E501" t="s">
        <v>3459</v>
      </c>
      <c r="F501" t="s">
        <v>11596</v>
      </c>
      <c r="G501">
        <v>61865</v>
      </c>
      <c r="H501" t="s">
        <v>11322</v>
      </c>
      <c r="I501">
        <v>100005996</v>
      </c>
      <c r="J501">
        <v>1180</v>
      </c>
      <c r="K501">
        <v>456.33197000000001</v>
      </c>
      <c r="L501" t="s">
        <v>8401</v>
      </c>
      <c r="M501" t="s">
        <v>11145</v>
      </c>
      <c r="N501" t="s">
        <v>11145</v>
      </c>
      <c r="O501" t="s">
        <v>11145</v>
      </c>
      <c r="P501" t="s">
        <v>12287</v>
      </c>
    </row>
    <row r="502" spans="1:16" x14ac:dyDescent="0.2">
      <c r="A502" t="str">
        <f t="shared" si="7"/>
        <v>metab_compid_33936</v>
      </c>
      <c r="B502" t="s">
        <v>12288</v>
      </c>
      <c r="C502">
        <v>1444</v>
      </c>
      <c r="D502" t="s">
        <v>6007</v>
      </c>
      <c r="E502" t="s">
        <v>3459</v>
      </c>
      <c r="F502" t="s">
        <v>11596</v>
      </c>
      <c r="G502">
        <v>33936</v>
      </c>
      <c r="H502" t="s">
        <v>11322</v>
      </c>
      <c r="I502">
        <v>100001247</v>
      </c>
      <c r="J502">
        <v>950</v>
      </c>
      <c r="K502">
        <v>288.21694000000002</v>
      </c>
      <c r="L502" t="s">
        <v>6008</v>
      </c>
      <c r="M502">
        <v>123701</v>
      </c>
      <c r="N502" t="s">
        <v>6011</v>
      </c>
      <c r="O502" t="s">
        <v>12289</v>
      </c>
      <c r="P502" t="s">
        <v>12288</v>
      </c>
    </row>
    <row r="503" spans="1:16" x14ac:dyDescent="0.2">
      <c r="A503" t="str">
        <f t="shared" si="7"/>
        <v>metab_compid_52285</v>
      </c>
      <c r="B503" t="s">
        <v>12290</v>
      </c>
      <c r="C503">
        <v>1188</v>
      </c>
      <c r="D503" t="s">
        <v>8839</v>
      </c>
      <c r="E503" t="s">
        <v>3459</v>
      </c>
      <c r="F503" t="s">
        <v>11502</v>
      </c>
      <c r="G503">
        <v>52285</v>
      </c>
      <c r="H503" t="s">
        <v>11327</v>
      </c>
      <c r="I503">
        <v>100008930</v>
      </c>
      <c r="J503">
        <v>5655</v>
      </c>
      <c r="K503">
        <v>281.24860000000001</v>
      </c>
      <c r="L503" t="s">
        <v>11145</v>
      </c>
      <c r="M503" t="s">
        <v>11145</v>
      </c>
      <c r="N503" t="s">
        <v>11145</v>
      </c>
      <c r="O503" t="s">
        <v>11145</v>
      </c>
      <c r="P503" t="s">
        <v>12290</v>
      </c>
    </row>
    <row r="504" spans="1:16" x14ac:dyDescent="0.2">
      <c r="A504" t="str">
        <f t="shared" si="7"/>
        <v>metab_compid_54960</v>
      </c>
      <c r="B504" t="s">
        <v>12291</v>
      </c>
      <c r="C504">
        <v>2380</v>
      </c>
      <c r="D504" t="s">
        <v>12292</v>
      </c>
      <c r="E504" t="s">
        <v>3459</v>
      </c>
      <c r="F504" t="s">
        <v>7792</v>
      </c>
      <c r="G504">
        <v>54960</v>
      </c>
      <c r="H504" t="s">
        <v>11322</v>
      </c>
      <c r="I504">
        <v>100010936</v>
      </c>
      <c r="J504">
        <v>2907</v>
      </c>
      <c r="K504">
        <v>660.55615999999998</v>
      </c>
      <c r="L504" t="s">
        <v>11145</v>
      </c>
      <c r="M504" t="s">
        <v>11145</v>
      </c>
      <c r="N504" t="s">
        <v>11145</v>
      </c>
      <c r="O504" t="s">
        <v>12293</v>
      </c>
      <c r="P504" t="s">
        <v>12291</v>
      </c>
    </row>
    <row r="505" spans="1:16" x14ac:dyDescent="0.2">
      <c r="A505" t="str">
        <f t="shared" si="7"/>
        <v>metab_compid_54961</v>
      </c>
      <c r="B505" t="s">
        <v>12294</v>
      </c>
      <c r="C505">
        <v>2381</v>
      </c>
      <c r="D505" t="s">
        <v>12295</v>
      </c>
      <c r="E505" t="s">
        <v>3459</v>
      </c>
      <c r="F505" t="s">
        <v>7792</v>
      </c>
      <c r="G505">
        <v>54961</v>
      </c>
      <c r="H505" t="s">
        <v>11322</v>
      </c>
      <c r="I505">
        <v>100010937</v>
      </c>
      <c r="J505">
        <v>2990</v>
      </c>
      <c r="K505">
        <v>660.55615999999998</v>
      </c>
      <c r="L505" t="s">
        <v>11145</v>
      </c>
      <c r="M505" t="s">
        <v>11145</v>
      </c>
      <c r="N505" t="s">
        <v>11145</v>
      </c>
      <c r="O505" t="s">
        <v>12293</v>
      </c>
      <c r="P505" t="s">
        <v>12294</v>
      </c>
    </row>
    <row r="506" spans="1:16" x14ac:dyDescent="0.2">
      <c r="A506" t="str">
        <f t="shared" si="7"/>
        <v>metab_compid_54970</v>
      </c>
      <c r="B506" t="s">
        <v>12296</v>
      </c>
      <c r="C506">
        <v>2370</v>
      </c>
      <c r="D506" t="s">
        <v>12297</v>
      </c>
      <c r="E506" t="s">
        <v>3459</v>
      </c>
      <c r="F506" t="s">
        <v>7792</v>
      </c>
      <c r="G506">
        <v>54970</v>
      </c>
      <c r="H506" t="s">
        <v>11322</v>
      </c>
      <c r="I506">
        <v>100010944</v>
      </c>
      <c r="J506">
        <v>2819</v>
      </c>
      <c r="K506">
        <v>634.54051000000004</v>
      </c>
      <c r="L506" t="s">
        <v>11145</v>
      </c>
      <c r="M506" t="s">
        <v>11145</v>
      </c>
      <c r="N506" t="s">
        <v>11145</v>
      </c>
      <c r="O506" t="s">
        <v>12298</v>
      </c>
      <c r="P506" t="s">
        <v>12296</v>
      </c>
    </row>
    <row r="507" spans="1:16" x14ac:dyDescent="0.2">
      <c r="A507" t="str">
        <f t="shared" si="7"/>
        <v>metab_compid_46798</v>
      </c>
      <c r="B507" t="s">
        <v>12299</v>
      </c>
      <c r="C507">
        <v>2367</v>
      </c>
      <c r="D507" t="s">
        <v>7795</v>
      </c>
      <c r="E507" t="s">
        <v>3459</v>
      </c>
      <c r="F507" t="s">
        <v>7792</v>
      </c>
      <c r="G507">
        <v>46798</v>
      </c>
      <c r="H507" t="s">
        <v>11322</v>
      </c>
      <c r="I507">
        <v>100002989</v>
      </c>
      <c r="J507">
        <v>3115</v>
      </c>
      <c r="K507">
        <v>636.55615999999998</v>
      </c>
      <c r="L507" t="s">
        <v>7796</v>
      </c>
      <c r="M507" t="s">
        <v>11145</v>
      </c>
      <c r="N507" t="s">
        <v>11145</v>
      </c>
      <c r="O507" t="s">
        <v>12300</v>
      </c>
      <c r="P507" t="s">
        <v>12299</v>
      </c>
    </row>
    <row r="508" spans="1:16" x14ac:dyDescent="0.2">
      <c r="A508" t="str">
        <f t="shared" si="7"/>
        <v>metab_compid_46799</v>
      </c>
      <c r="B508" t="s">
        <v>12301</v>
      </c>
      <c r="C508">
        <v>2368</v>
      </c>
      <c r="D508" t="s">
        <v>7802</v>
      </c>
      <c r="E508" t="s">
        <v>3459</v>
      </c>
      <c r="F508" t="s">
        <v>7792</v>
      </c>
      <c r="G508">
        <v>46799</v>
      </c>
      <c r="H508" t="s">
        <v>11322</v>
      </c>
      <c r="I508">
        <v>100002990</v>
      </c>
      <c r="J508">
        <v>3223</v>
      </c>
      <c r="K508">
        <v>636.55615999999998</v>
      </c>
      <c r="L508" t="s">
        <v>7803</v>
      </c>
      <c r="M508" t="s">
        <v>11145</v>
      </c>
      <c r="N508" t="s">
        <v>11145</v>
      </c>
      <c r="O508" t="s">
        <v>12300</v>
      </c>
      <c r="P508" t="s">
        <v>12301</v>
      </c>
    </row>
    <row r="509" spans="1:16" x14ac:dyDescent="0.2">
      <c r="A509" t="str">
        <f t="shared" si="7"/>
        <v>metab_compid_54945</v>
      </c>
      <c r="B509" t="s">
        <v>12302</v>
      </c>
      <c r="C509">
        <v>2364</v>
      </c>
      <c r="D509" t="s">
        <v>12303</v>
      </c>
      <c r="E509" t="s">
        <v>3459</v>
      </c>
      <c r="F509" t="s">
        <v>7792</v>
      </c>
      <c r="G509">
        <v>54945</v>
      </c>
      <c r="H509" t="s">
        <v>11322</v>
      </c>
      <c r="I509">
        <v>100010918</v>
      </c>
      <c r="J509">
        <v>3571</v>
      </c>
      <c r="K509">
        <v>638.57181000000003</v>
      </c>
      <c r="L509" t="s">
        <v>11145</v>
      </c>
      <c r="M509" t="s">
        <v>11145</v>
      </c>
      <c r="N509" t="s">
        <v>11145</v>
      </c>
      <c r="O509" t="s">
        <v>12304</v>
      </c>
      <c r="P509" t="s">
        <v>12302</v>
      </c>
    </row>
    <row r="510" spans="1:16" x14ac:dyDescent="0.2">
      <c r="A510" t="str">
        <f t="shared" si="7"/>
        <v>metab_compid_54946</v>
      </c>
      <c r="B510" t="s">
        <v>12305</v>
      </c>
      <c r="C510">
        <v>2365</v>
      </c>
      <c r="D510" t="s">
        <v>9271</v>
      </c>
      <c r="E510" t="s">
        <v>3459</v>
      </c>
      <c r="F510" t="s">
        <v>7792</v>
      </c>
      <c r="G510">
        <v>54946</v>
      </c>
      <c r="H510" t="s">
        <v>11322</v>
      </c>
      <c r="I510">
        <v>100010919</v>
      </c>
      <c r="J510">
        <v>3695</v>
      </c>
      <c r="K510">
        <v>638.57181000000003</v>
      </c>
      <c r="L510" t="s">
        <v>11145</v>
      </c>
      <c r="M510" t="s">
        <v>11145</v>
      </c>
      <c r="N510" t="s">
        <v>11145</v>
      </c>
      <c r="O510" t="s">
        <v>12304</v>
      </c>
      <c r="P510" t="s">
        <v>12305</v>
      </c>
    </row>
    <row r="511" spans="1:16" x14ac:dyDescent="0.2">
      <c r="A511" t="str">
        <f t="shared" si="7"/>
        <v>metab_compid_35160</v>
      </c>
      <c r="B511" t="s">
        <v>12306</v>
      </c>
      <c r="C511">
        <v>1459</v>
      </c>
      <c r="D511" t="s">
        <v>6538</v>
      </c>
      <c r="E511" t="s">
        <v>3459</v>
      </c>
      <c r="F511" t="s">
        <v>11596</v>
      </c>
      <c r="G511">
        <v>35160</v>
      </c>
      <c r="H511" t="s">
        <v>11322</v>
      </c>
      <c r="I511">
        <v>100001501</v>
      </c>
      <c r="J511">
        <v>1423</v>
      </c>
      <c r="K511">
        <v>426.35779000000002</v>
      </c>
      <c r="L511" t="s">
        <v>6539</v>
      </c>
      <c r="M511">
        <v>6441392</v>
      </c>
      <c r="N511" t="s">
        <v>11145</v>
      </c>
      <c r="O511" t="s">
        <v>12307</v>
      </c>
      <c r="P511" t="s">
        <v>12306</v>
      </c>
    </row>
    <row r="512" spans="1:16" x14ac:dyDescent="0.2">
      <c r="A512" t="str">
        <f t="shared" si="7"/>
        <v>metab_compid_53260</v>
      </c>
      <c r="B512" t="s">
        <v>12308</v>
      </c>
      <c r="C512">
        <v>1505</v>
      </c>
      <c r="D512" t="s">
        <v>9180</v>
      </c>
      <c r="E512" t="s">
        <v>3459</v>
      </c>
      <c r="F512" t="s">
        <v>9134</v>
      </c>
      <c r="G512">
        <v>53260</v>
      </c>
      <c r="H512" t="s">
        <v>11322</v>
      </c>
      <c r="I512">
        <v>100009331</v>
      </c>
      <c r="J512">
        <v>1449</v>
      </c>
      <c r="K512">
        <v>368.35230999999999</v>
      </c>
      <c r="L512" t="s">
        <v>11145</v>
      </c>
      <c r="M512" t="s">
        <v>11145</v>
      </c>
      <c r="N512" t="s">
        <v>11145</v>
      </c>
      <c r="O512" t="s">
        <v>11145</v>
      </c>
      <c r="P512" t="s">
        <v>12308</v>
      </c>
    </row>
    <row r="513" spans="1:16" x14ac:dyDescent="0.2">
      <c r="A513" t="str">
        <f t="shared" si="7"/>
        <v>metab_compid_1493</v>
      </c>
      <c r="B513" t="s">
        <v>12309</v>
      </c>
      <c r="C513">
        <v>369</v>
      </c>
      <c r="D513" t="s">
        <v>4044</v>
      </c>
      <c r="E513" t="s">
        <v>3436</v>
      </c>
      <c r="F513" t="s">
        <v>3661</v>
      </c>
      <c r="G513">
        <v>1493</v>
      </c>
      <c r="H513" t="s">
        <v>11320</v>
      </c>
      <c r="I513">
        <v>444</v>
      </c>
      <c r="J513">
        <v>2800</v>
      </c>
      <c r="K513">
        <v>133.09716</v>
      </c>
      <c r="L513" t="s">
        <v>4045</v>
      </c>
      <c r="M513">
        <v>6262</v>
      </c>
      <c r="N513" t="s">
        <v>4048</v>
      </c>
      <c r="O513" t="s">
        <v>12310</v>
      </c>
      <c r="P513" t="s">
        <v>12309</v>
      </c>
    </row>
    <row r="514" spans="1:16" x14ac:dyDescent="0.2">
      <c r="A514" t="str">
        <f t="shared" si="7"/>
        <v>metab_compid_1505</v>
      </c>
      <c r="B514" t="s">
        <v>12311</v>
      </c>
      <c r="C514">
        <v>3464</v>
      </c>
      <c r="D514" t="s">
        <v>4053</v>
      </c>
      <c r="E514" t="s">
        <v>3533</v>
      </c>
      <c r="F514" t="s">
        <v>4050</v>
      </c>
      <c r="G514">
        <v>1505</v>
      </c>
      <c r="H514" t="s">
        <v>11545</v>
      </c>
      <c r="I514">
        <v>445</v>
      </c>
      <c r="J514">
        <v>1638.1</v>
      </c>
      <c r="K514">
        <v>155.00982999999999</v>
      </c>
      <c r="L514" t="s">
        <v>4054</v>
      </c>
      <c r="M514">
        <v>967</v>
      </c>
      <c r="N514" t="s">
        <v>4057</v>
      </c>
      <c r="O514" t="s">
        <v>12312</v>
      </c>
      <c r="P514" t="s">
        <v>12311</v>
      </c>
    </row>
    <row r="515" spans="1:16" x14ac:dyDescent="0.2">
      <c r="A515" t="str">
        <f t="shared" ref="A515:A578" si="8">_xlfn.CONCAT("metab_compid_", $G515)</f>
        <v>metab_compid_35172</v>
      </c>
      <c r="B515" t="s">
        <v>12313</v>
      </c>
      <c r="C515">
        <v>3466</v>
      </c>
      <c r="D515" t="s">
        <v>6417</v>
      </c>
      <c r="E515" t="s">
        <v>3533</v>
      </c>
      <c r="F515" t="s">
        <v>4050</v>
      </c>
      <c r="G515">
        <v>35172</v>
      </c>
      <c r="H515" t="s">
        <v>11545</v>
      </c>
      <c r="I515">
        <v>100001416</v>
      </c>
      <c r="J515">
        <v>2250</v>
      </c>
      <c r="K515">
        <v>287.05209000000002</v>
      </c>
      <c r="L515" t="s">
        <v>6418</v>
      </c>
      <c r="M515">
        <v>92751</v>
      </c>
      <c r="N515" t="s">
        <v>11145</v>
      </c>
      <c r="O515" t="s">
        <v>12314</v>
      </c>
      <c r="P515" t="s">
        <v>12313</v>
      </c>
    </row>
    <row r="516" spans="1:16" x14ac:dyDescent="0.2">
      <c r="A516" t="str">
        <f t="shared" si="8"/>
        <v>metab_compid_20694</v>
      </c>
      <c r="B516" t="s">
        <v>12315</v>
      </c>
      <c r="C516">
        <v>3594</v>
      </c>
      <c r="D516" t="s">
        <v>5603</v>
      </c>
      <c r="E516" t="s">
        <v>3448</v>
      </c>
      <c r="F516" t="s">
        <v>5600</v>
      </c>
      <c r="G516">
        <v>20694</v>
      </c>
      <c r="H516" t="s">
        <v>11327</v>
      </c>
      <c r="I516">
        <v>100000841</v>
      </c>
      <c r="J516">
        <v>603</v>
      </c>
      <c r="K516">
        <v>88.988029999999995</v>
      </c>
      <c r="L516" t="s">
        <v>5604</v>
      </c>
      <c r="M516">
        <v>971</v>
      </c>
      <c r="N516" t="s">
        <v>5607</v>
      </c>
      <c r="O516" t="s">
        <v>12316</v>
      </c>
      <c r="P516" t="s">
        <v>12315</v>
      </c>
    </row>
    <row r="517" spans="1:16" x14ac:dyDescent="0.2">
      <c r="A517" t="str">
        <f t="shared" si="8"/>
        <v>metab_compid_48841</v>
      </c>
      <c r="B517" t="s">
        <v>12317</v>
      </c>
      <c r="C517">
        <v>185</v>
      </c>
      <c r="D517" t="s">
        <v>8516</v>
      </c>
      <c r="E517" t="s">
        <v>3436</v>
      </c>
      <c r="F517" t="s">
        <v>3687</v>
      </c>
      <c r="G517">
        <v>48841</v>
      </c>
      <c r="H517" t="s">
        <v>11327</v>
      </c>
      <c r="I517">
        <v>100006191</v>
      </c>
      <c r="J517">
        <v>2420</v>
      </c>
      <c r="K517">
        <v>283.08231999999998</v>
      </c>
      <c r="L517" t="s">
        <v>8517</v>
      </c>
      <c r="M517">
        <v>154035</v>
      </c>
      <c r="N517" t="s">
        <v>11145</v>
      </c>
      <c r="O517" t="s">
        <v>12318</v>
      </c>
      <c r="P517" t="s">
        <v>12317</v>
      </c>
    </row>
    <row r="518" spans="1:16" x14ac:dyDescent="0.2">
      <c r="A518" t="str">
        <f t="shared" si="8"/>
        <v>metab_compid_1336</v>
      </c>
      <c r="B518" t="s">
        <v>12319</v>
      </c>
      <c r="C518">
        <v>1180</v>
      </c>
      <c r="D518" t="s">
        <v>4020</v>
      </c>
      <c r="E518" t="s">
        <v>3459</v>
      </c>
      <c r="F518" t="s">
        <v>11502</v>
      </c>
      <c r="G518">
        <v>1336</v>
      </c>
      <c r="H518" t="s">
        <v>11327</v>
      </c>
      <c r="I518">
        <v>424</v>
      </c>
      <c r="J518">
        <v>5618</v>
      </c>
      <c r="K518">
        <v>255.23294999999999</v>
      </c>
      <c r="L518" t="s">
        <v>4021</v>
      </c>
      <c r="M518">
        <v>985</v>
      </c>
      <c r="N518" t="s">
        <v>4024</v>
      </c>
      <c r="O518" t="s">
        <v>12320</v>
      </c>
      <c r="P518" t="s">
        <v>12319</v>
      </c>
    </row>
    <row r="519" spans="1:16" x14ac:dyDescent="0.2">
      <c r="A519" t="str">
        <f t="shared" si="8"/>
        <v>metab_compid_33447</v>
      </c>
      <c r="B519" t="s">
        <v>12321</v>
      </c>
      <c r="C519">
        <v>1181</v>
      </c>
      <c r="D519" t="s">
        <v>4062</v>
      </c>
      <c r="E519" t="s">
        <v>3459</v>
      </c>
      <c r="F519" t="s">
        <v>11502</v>
      </c>
      <c r="G519">
        <v>33447</v>
      </c>
      <c r="H519" t="s">
        <v>11327</v>
      </c>
      <c r="I519">
        <v>452</v>
      </c>
      <c r="J519">
        <v>5475</v>
      </c>
      <c r="K519">
        <v>253.21729999999999</v>
      </c>
      <c r="L519" t="s">
        <v>4063</v>
      </c>
      <c r="M519">
        <v>445638</v>
      </c>
      <c r="N519" t="s">
        <v>4066</v>
      </c>
      <c r="O519" t="s">
        <v>12322</v>
      </c>
      <c r="P519" t="s">
        <v>12321</v>
      </c>
    </row>
    <row r="520" spans="1:16" x14ac:dyDescent="0.2">
      <c r="A520" t="str">
        <f t="shared" si="8"/>
        <v>metab_compid_57406</v>
      </c>
      <c r="B520" t="s">
        <v>12323</v>
      </c>
      <c r="C520">
        <v>2357</v>
      </c>
      <c r="D520" t="s">
        <v>12324</v>
      </c>
      <c r="E520" t="s">
        <v>3459</v>
      </c>
      <c r="F520" t="s">
        <v>7792</v>
      </c>
      <c r="G520">
        <v>57406</v>
      </c>
      <c r="H520" t="s">
        <v>11322</v>
      </c>
      <c r="I520">
        <v>100015681</v>
      </c>
      <c r="J520">
        <v>2528</v>
      </c>
      <c r="K520">
        <v>632.52485999999999</v>
      </c>
      <c r="L520" t="s">
        <v>11145</v>
      </c>
      <c r="M520" t="s">
        <v>11145</v>
      </c>
      <c r="N520" t="s">
        <v>11145</v>
      </c>
      <c r="O520" t="s">
        <v>11145</v>
      </c>
      <c r="P520" t="s">
        <v>12323</v>
      </c>
    </row>
    <row r="521" spans="1:16" x14ac:dyDescent="0.2">
      <c r="A521" t="str">
        <f t="shared" si="8"/>
        <v>metab_compid_54967</v>
      </c>
      <c r="B521" t="s">
        <v>12325</v>
      </c>
      <c r="C521">
        <v>2353</v>
      </c>
      <c r="D521" t="s">
        <v>12326</v>
      </c>
      <c r="E521" t="s">
        <v>3459</v>
      </c>
      <c r="F521" t="s">
        <v>7792</v>
      </c>
      <c r="G521">
        <v>54967</v>
      </c>
      <c r="H521" t="s">
        <v>11322</v>
      </c>
      <c r="I521">
        <v>100010930</v>
      </c>
      <c r="J521">
        <v>2664</v>
      </c>
      <c r="K521">
        <v>608.52485999999999</v>
      </c>
      <c r="L521" t="s">
        <v>11145</v>
      </c>
      <c r="M521" t="s">
        <v>11145</v>
      </c>
      <c r="N521" t="s">
        <v>11145</v>
      </c>
      <c r="O521" t="s">
        <v>12327</v>
      </c>
      <c r="P521" t="s">
        <v>12325</v>
      </c>
    </row>
    <row r="522" spans="1:16" x14ac:dyDescent="0.2">
      <c r="A522" t="str">
        <f t="shared" si="8"/>
        <v>metab_compid_52631</v>
      </c>
      <c r="B522" t="s">
        <v>12328</v>
      </c>
      <c r="C522">
        <v>2352</v>
      </c>
      <c r="D522" t="s">
        <v>12329</v>
      </c>
      <c r="E522" t="s">
        <v>3459</v>
      </c>
      <c r="F522" t="s">
        <v>7792</v>
      </c>
      <c r="G522">
        <v>52631</v>
      </c>
      <c r="H522" t="s">
        <v>11322</v>
      </c>
      <c r="I522">
        <v>100009054</v>
      </c>
      <c r="J522">
        <v>3154</v>
      </c>
      <c r="K522">
        <v>610.54051000000004</v>
      </c>
      <c r="L522" t="s">
        <v>11145</v>
      </c>
      <c r="M522" t="s">
        <v>11145</v>
      </c>
      <c r="N522" t="s">
        <v>11145</v>
      </c>
      <c r="O522" t="s">
        <v>11145</v>
      </c>
      <c r="P522" t="s">
        <v>12328</v>
      </c>
    </row>
    <row r="523" spans="1:16" x14ac:dyDescent="0.2">
      <c r="A523" t="str">
        <f t="shared" si="8"/>
        <v>metab_compid_53223</v>
      </c>
      <c r="B523" t="s">
        <v>12330</v>
      </c>
      <c r="C523">
        <v>1454</v>
      </c>
      <c r="D523" t="s">
        <v>9237</v>
      </c>
      <c r="E523" t="s">
        <v>3459</v>
      </c>
      <c r="F523" t="s">
        <v>11596</v>
      </c>
      <c r="G523">
        <v>53223</v>
      </c>
      <c r="H523" t="s">
        <v>11322</v>
      </c>
      <c r="I523">
        <v>100009406</v>
      </c>
      <c r="J523">
        <v>1357</v>
      </c>
      <c r="K523">
        <v>398.32648999999998</v>
      </c>
      <c r="L523" t="s">
        <v>11145</v>
      </c>
      <c r="M523">
        <v>71464547</v>
      </c>
      <c r="N523" t="s">
        <v>11145</v>
      </c>
      <c r="O523" t="s">
        <v>11145</v>
      </c>
      <c r="P523" t="s">
        <v>12330</v>
      </c>
    </row>
    <row r="524" spans="1:16" x14ac:dyDescent="0.2">
      <c r="A524" t="str">
        <f t="shared" si="8"/>
        <v>metab_compid_52434</v>
      </c>
      <c r="B524" t="s">
        <v>12331</v>
      </c>
      <c r="C524">
        <v>2497</v>
      </c>
      <c r="D524" t="s">
        <v>8863</v>
      </c>
      <c r="E524" t="s">
        <v>3459</v>
      </c>
      <c r="F524" t="s">
        <v>8860</v>
      </c>
      <c r="G524">
        <v>52434</v>
      </c>
      <c r="H524" t="s">
        <v>11322</v>
      </c>
      <c r="I524">
        <v>100008954</v>
      </c>
      <c r="J524">
        <v>2290</v>
      </c>
      <c r="K524">
        <v>705.59050000000002</v>
      </c>
      <c r="L524" t="s">
        <v>11145</v>
      </c>
      <c r="M524">
        <v>9939965</v>
      </c>
      <c r="N524" t="s">
        <v>11145</v>
      </c>
      <c r="O524" t="s">
        <v>11145</v>
      </c>
      <c r="P524" t="s">
        <v>12331</v>
      </c>
    </row>
    <row r="525" spans="1:16" x14ac:dyDescent="0.2">
      <c r="A525" t="str">
        <f t="shared" si="8"/>
        <v>metab_compid_37506</v>
      </c>
      <c r="B525" t="s">
        <v>12332</v>
      </c>
      <c r="C525">
        <v>2501</v>
      </c>
      <c r="D525" t="s">
        <v>7271</v>
      </c>
      <c r="E525" t="s">
        <v>3459</v>
      </c>
      <c r="F525" t="s">
        <v>814</v>
      </c>
      <c r="G525">
        <v>37506</v>
      </c>
      <c r="H525" t="s">
        <v>11322</v>
      </c>
      <c r="I525">
        <v>100002107</v>
      </c>
      <c r="J525">
        <v>2168</v>
      </c>
      <c r="K525">
        <v>703.57484999999997</v>
      </c>
      <c r="L525" t="s">
        <v>7272</v>
      </c>
      <c r="M525">
        <v>9939941</v>
      </c>
      <c r="N525" t="s">
        <v>11145</v>
      </c>
      <c r="O525" t="s">
        <v>11145</v>
      </c>
      <c r="P525" t="s">
        <v>12332</v>
      </c>
    </row>
    <row r="526" spans="1:16" x14ac:dyDescent="0.2">
      <c r="A526" t="str">
        <f t="shared" si="8"/>
        <v>metab_compid_54957</v>
      </c>
      <c r="B526" t="s">
        <v>12333</v>
      </c>
      <c r="C526">
        <v>2355</v>
      </c>
      <c r="D526" t="s">
        <v>12334</v>
      </c>
      <c r="E526" t="s">
        <v>3459</v>
      </c>
      <c r="F526" t="s">
        <v>7792</v>
      </c>
      <c r="G526">
        <v>54957</v>
      </c>
      <c r="H526" t="s">
        <v>11322</v>
      </c>
      <c r="I526">
        <v>100010924</v>
      </c>
      <c r="J526">
        <v>2916</v>
      </c>
      <c r="K526">
        <v>634.54051000000004</v>
      </c>
      <c r="L526" t="s">
        <v>11145</v>
      </c>
      <c r="M526" t="s">
        <v>11145</v>
      </c>
      <c r="N526" t="s">
        <v>11145</v>
      </c>
      <c r="O526" t="s">
        <v>12335</v>
      </c>
      <c r="P526" t="s">
        <v>12333</v>
      </c>
    </row>
    <row r="527" spans="1:16" x14ac:dyDescent="0.2">
      <c r="A527" t="str">
        <f t="shared" si="8"/>
        <v>metab_compid_54958</v>
      </c>
      <c r="B527" t="s">
        <v>12336</v>
      </c>
      <c r="C527">
        <v>2356</v>
      </c>
      <c r="D527" t="s">
        <v>12337</v>
      </c>
      <c r="E527" t="s">
        <v>3459</v>
      </c>
      <c r="F527" t="s">
        <v>7792</v>
      </c>
      <c r="G527">
        <v>54958</v>
      </c>
      <c r="H527" t="s">
        <v>11322</v>
      </c>
      <c r="I527">
        <v>100010925</v>
      </c>
      <c r="J527">
        <v>3015</v>
      </c>
      <c r="K527">
        <v>634.54051000000004</v>
      </c>
      <c r="L527" t="s">
        <v>11145</v>
      </c>
      <c r="M527" t="s">
        <v>11145</v>
      </c>
      <c r="N527" t="s">
        <v>11145</v>
      </c>
      <c r="O527" t="s">
        <v>12335</v>
      </c>
      <c r="P527" t="s">
        <v>12336</v>
      </c>
    </row>
    <row r="528" spans="1:16" x14ac:dyDescent="0.2">
      <c r="A528" t="str">
        <f t="shared" si="8"/>
        <v>metab_compid_57373</v>
      </c>
      <c r="B528" t="s">
        <v>12338</v>
      </c>
      <c r="C528">
        <v>2358</v>
      </c>
      <c r="D528" t="s">
        <v>12339</v>
      </c>
      <c r="E528" t="s">
        <v>3459</v>
      </c>
      <c r="F528" t="s">
        <v>7792</v>
      </c>
      <c r="G528">
        <v>57373</v>
      </c>
      <c r="H528" t="s">
        <v>11322</v>
      </c>
      <c r="I528">
        <v>100015618</v>
      </c>
      <c r="J528">
        <v>2749</v>
      </c>
      <c r="K528">
        <v>658.54051000000004</v>
      </c>
      <c r="L528" t="s">
        <v>11145</v>
      </c>
      <c r="M528" t="s">
        <v>11145</v>
      </c>
      <c r="N528" t="s">
        <v>11145</v>
      </c>
      <c r="O528" t="s">
        <v>12340</v>
      </c>
      <c r="P528" t="s">
        <v>12338</v>
      </c>
    </row>
    <row r="529" spans="1:16" x14ac:dyDescent="0.2">
      <c r="A529" t="str">
        <f t="shared" si="8"/>
        <v>metab_compid_54965</v>
      </c>
      <c r="B529" t="s">
        <v>12341</v>
      </c>
      <c r="C529">
        <v>2350</v>
      </c>
      <c r="D529" t="s">
        <v>12342</v>
      </c>
      <c r="E529" t="s">
        <v>3459</v>
      </c>
      <c r="F529" t="s">
        <v>7792</v>
      </c>
      <c r="G529">
        <v>54965</v>
      </c>
      <c r="H529" t="s">
        <v>11322</v>
      </c>
      <c r="I529">
        <v>100010939</v>
      </c>
      <c r="J529">
        <v>2834</v>
      </c>
      <c r="K529">
        <v>608.52485999999999</v>
      </c>
      <c r="L529" t="s">
        <v>11145</v>
      </c>
      <c r="M529" t="s">
        <v>11145</v>
      </c>
      <c r="N529" t="s">
        <v>11145</v>
      </c>
      <c r="O529" t="s">
        <v>12343</v>
      </c>
      <c r="P529" t="s">
        <v>12341</v>
      </c>
    </row>
    <row r="530" spans="1:16" x14ac:dyDescent="0.2">
      <c r="A530" t="str">
        <f t="shared" si="8"/>
        <v>metab_compid_52633</v>
      </c>
      <c r="B530" t="s">
        <v>12344</v>
      </c>
      <c r="C530">
        <v>2348</v>
      </c>
      <c r="D530" t="s">
        <v>12345</v>
      </c>
      <c r="E530" t="s">
        <v>3459</v>
      </c>
      <c r="F530" t="s">
        <v>7792</v>
      </c>
      <c r="G530">
        <v>52633</v>
      </c>
      <c r="H530" t="s">
        <v>11322</v>
      </c>
      <c r="I530">
        <v>100009052</v>
      </c>
      <c r="J530">
        <v>3080</v>
      </c>
      <c r="K530">
        <v>610.54051000000004</v>
      </c>
      <c r="L530" t="s">
        <v>11145</v>
      </c>
      <c r="M530">
        <v>9543695</v>
      </c>
      <c r="N530" t="s">
        <v>11145</v>
      </c>
      <c r="O530" t="s">
        <v>12346</v>
      </c>
      <c r="P530" t="s">
        <v>12344</v>
      </c>
    </row>
    <row r="531" spans="1:16" x14ac:dyDescent="0.2">
      <c r="A531" t="str">
        <f t="shared" si="8"/>
        <v>metab_compid_52634</v>
      </c>
      <c r="B531" t="s">
        <v>12347</v>
      </c>
      <c r="C531">
        <v>2349</v>
      </c>
      <c r="D531" t="s">
        <v>12348</v>
      </c>
      <c r="E531" t="s">
        <v>3459</v>
      </c>
      <c r="F531" t="s">
        <v>7792</v>
      </c>
      <c r="G531">
        <v>52634</v>
      </c>
      <c r="H531" t="s">
        <v>11322</v>
      </c>
      <c r="I531">
        <v>100009055</v>
      </c>
      <c r="J531">
        <v>3197</v>
      </c>
      <c r="K531">
        <v>610.54051000000004</v>
      </c>
      <c r="L531" t="s">
        <v>11145</v>
      </c>
      <c r="M531" t="s">
        <v>11145</v>
      </c>
      <c r="N531" t="s">
        <v>11145</v>
      </c>
      <c r="O531" t="s">
        <v>12346</v>
      </c>
      <c r="P531" t="s">
        <v>12347</v>
      </c>
    </row>
    <row r="532" spans="1:16" x14ac:dyDescent="0.2">
      <c r="A532" t="str">
        <f t="shared" si="8"/>
        <v>metab_compid_61709</v>
      </c>
      <c r="B532" t="s">
        <v>12349</v>
      </c>
      <c r="C532">
        <v>2338</v>
      </c>
      <c r="D532" t="s">
        <v>12350</v>
      </c>
      <c r="E532" t="s">
        <v>3459</v>
      </c>
      <c r="F532" t="s">
        <v>7792</v>
      </c>
      <c r="G532">
        <v>61709</v>
      </c>
      <c r="H532" t="s">
        <v>11322</v>
      </c>
      <c r="I532">
        <v>100015682</v>
      </c>
      <c r="J532">
        <v>3054</v>
      </c>
      <c r="K532">
        <v>558.50921000000005</v>
      </c>
      <c r="L532" t="s">
        <v>11145</v>
      </c>
      <c r="M532" t="s">
        <v>11145</v>
      </c>
      <c r="N532" t="s">
        <v>11145</v>
      </c>
      <c r="O532" t="s">
        <v>11145</v>
      </c>
      <c r="P532" t="s">
        <v>12349</v>
      </c>
    </row>
    <row r="533" spans="1:16" x14ac:dyDescent="0.2">
      <c r="A533" t="str">
        <f t="shared" si="8"/>
        <v>metab_compid_57364</v>
      </c>
      <c r="B533" t="s">
        <v>12351</v>
      </c>
      <c r="C533">
        <v>2339</v>
      </c>
      <c r="D533" t="s">
        <v>12352</v>
      </c>
      <c r="E533" t="s">
        <v>3459</v>
      </c>
      <c r="F533" t="s">
        <v>7792</v>
      </c>
      <c r="G533">
        <v>57364</v>
      </c>
      <c r="H533" t="s">
        <v>11322</v>
      </c>
      <c r="I533">
        <v>100015610</v>
      </c>
      <c r="J533">
        <v>3180</v>
      </c>
      <c r="K533">
        <v>558.50921000000005</v>
      </c>
      <c r="L533" t="s">
        <v>11145</v>
      </c>
      <c r="M533" t="s">
        <v>11145</v>
      </c>
      <c r="N533" t="s">
        <v>11145</v>
      </c>
      <c r="O533" t="s">
        <v>12353</v>
      </c>
      <c r="P533" t="s">
        <v>12351</v>
      </c>
    </row>
    <row r="534" spans="1:16" x14ac:dyDescent="0.2">
      <c r="A534" t="str">
        <f t="shared" si="8"/>
        <v>metab_compid_54943</v>
      </c>
      <c r="B534" t="s">
        <v>12354</v>
      </c>
      <c r="C534">
        <v>2346</v>
      </c>
      <c r="D534" t="s">
        <v>12355</v>
      </c>
      <c r="E534" t="s">
        <v>3459</v>
      </c>
      <c r="F534" t="s">
        <v>7792</v>
      </c>
      <c r="G534">
        <v>54943</v>
      </c>
      <c r="H534" t="s">
        <v>11322</v>
      </c>
      <c r="I534">
        <v>100010916</v>
      </c>
      <c r="J534">
        <v>3562</v>
      </c>
      <c r="K534">
        <v>612.55615999999998</v>
      </c>
      <c r="L534" t="s">
        <v>11145</v>
      </c>
      <c r="M534" t="s">
        <v>11145</v>
      </c>
      <c r="N534" t="s">
        <v>12356</v>
      </c>
      <c r="O534" t="s">
        <v>12357</v>
      </c>
      <c r="P534" t="s">
        <v>12354</v>
      </c>
    </row>
    <row r="535" spans="1:16" x14ac:dyDescent="0.2">
      <c r="A535" t="str">
        <f t="shared" si="8"/>
        <v>metab_compid_54942</v>
      </c>
      <c r="B535" t="s">
        <v>12358</v>
      </c>
      <c r="C535">
        <v>2347</v>
      </c>
      <c r="D535" t="s">
        <v>12359</v>
      </c>
      <c r="E535" t="s">
        <v>3459</v>
      </c>
      <c r="F535" t="s">
        <v>7792</v>
      </c>
      <c r="G535">
        <v>54942</v>
      </c>
      <c r="H535" t="s">
        <v>11322</v>
      </c>
      <c r="I535">
        <v>100010917</v>
      </c>
      <c r="J535">
        <v>3695</v>
      </c>
      <c r="K535">
        <v>612.55615999999998</v>
      </c>
      <c r="L535" t="s">
        <v>11145</v>
      </c>
      <c r="M535" t="s">
        <v>11145</v>
      </c>
      <c r="N535" t="s">
        <v>12356</v>
      </c>
      <c r="O535" t="s">
        <v>12357</v>
      </c>
      <c r="P535" t="s">
        <v>12358</v>
      </c>
    </row>
    <row r="536" spans="1:16" x14ac:dyDescent="0.2">
      <c r="A536" t="str">
        <f t="shared" si="8"/>
        <v>metab_compid_54991</v>
      </c>
      <c r="B536" t="s">
        <v>12360</v>
      </c>
      <c r="C536">
        <v>2342</v>
      </c>
      <c r="D536" t="s">
        <v>12361</v>
      </c>
      <c r="E536" t="s">
        <v>3459</v>
      </c>
      <c r="F536" t="s">
        <v>7792</v>
      </c>
      <c r="G536">
        <v>54991</v>
      </c>
      <c r="H536" t="s">
        <v>11322</v>
      </c>
      <c r="I536">
        <v>100010947</v>
      </c>
      <c r="J536">
        <v>3568</v>
      </c>
      <c r="K536">
        <v>586.54051000000004</v>
      </c>
      <c r="L536" t="s">
        <v>11145</v>
      </c>
      <c r="M536" t="s">
        <v>11145</v>
      </c>
      <c r="N536" t="s">
        <v>11145</v>
      </c>
      <c r="O536" t="s">
        <v>12362</v>
      </c>
      <c r="P536" t="s">
        <v>12360</v>
      </c>
    </row>
    <row r="537" spans="1:16" x14ac:dyDescent="0.2">
      <c r="A537" t="str">
        <f t="shared" si="8"/>
        <v>metab_compid_54990</v>
      </c>
      <c r="B537" t="s">
        <v>12363</v>
      </c>
      <c r="C537">
        <v>2343</v>
      </c>
      <c r="D537" t="s">
        <v>12364</v>
      </c>
      <c r="E537" t="s">
        <v>3459</v>
      </c>
      <c r="F537" t="s">
        <v>7792</v>
      </c>
      <c r="G537">
        <v>54990</v>
      </c>
      <c r="H537" t="s">
        <v>11322</v>
      </c>
      <c r="I537">
        <v>100010948</v>
      </c>
      <c r="J537">
        <v>3734</v>
      </c>
      <c r="K537">
        <v>586.54051000000004</v>
      </c>
      <c r="L537" t="s">
        <v>11145</v>
      </c>
      <c r="M537" t="s">
        <v>11145</v>
      </c>
      <c r="N537" t="s">
        <v>11145</v>
      </c>
      <c r="O537" t="s">
        <v>12362</v>
      </c>
      <c r="P537" t="s">
        <v>12363</v>
      </c>
    </row>
    <row r="538" spans="1:16" x14ac:dyDescent="0.2">
      <c r="A538" t="str">
        <f t="shared" si="8"/>
        <v>metab_compid_44681</v>
      </c>
      <c r="B538" t="s">
        <v>12365</v>
      </c>
      <c r="C538">
        <v>1453</v>
      </c>
      <c r="D538" t="s">
        <v>5529</v>
      </c>
      <c r="E538" t="s">
        <v>3459</v>
      </c>
      <c r="F538" t="s">
        <v>11596</v>
      </c>
      <c r="G538">
        <v>44681</v>
      </c>
      <c r="H538" t="s">
        <v>11322</v>
      </c>
      <c r="I538">
        <v>100000776</v>
      </c>
      <c r="J538">
        <v>1425</v>
      </c>
      <c r="K538">
        <v>400.34213999999997</v>
      </c>
      <c r="L538" t="s">
        <v>5530</v>
      </c>
      <c r="M538">
        <v>461</v>
      </c>
      <c r="N538" t="s">
        <v>5533</v>
      </c>
      <c r="O538" t="s">
        <v>12366</v>
      </c>
      <c r="P538" t="s">
        <v>12365</v>
      </c>
    </row>
    <row r="539" spans="1:16" x14ac:dyDescent="0.2">
      <c r="A539" t="str">
        <f t="shared" si="8"/>
        <v>metab_compid_52944</v>
      </c>
      <c r="B539" t="s">
        <v>12367</v>
      </c>
      <c r="C539">
        <v>1504</v>
      </c>
      <c r="D539" t="s">
        <v>9137</v>
      </c>
      <c r="E539" t="s">
        <v>3459</v>
      </c>
      <c r="F539" t="s">
        <v>9134</v>
      </c>
      <c r="G539">
        <v>52944</v>
      </c>
      <c r="H539" t="s">
        <v>11322</v>
      </c>
      <c r="I539">
        <v>100009233</v>
      </c>
      <c r="J539">
        <v>1482</v>
      </c>
      <c r="K539">
        <v>342.33665999999999</v>
      </c>
      <c r="L539" t="s">
        <v>11145</v>
      </c>
      <c r="M539">
        <v>151731</v>
      </c>
      <c r="N539" t="s">
        <v>11145</v>
      </c>
      <c r="O539" t="s">
        <v>11145</v>
      </c>
      <c r="P539" t="s">
        <v>12367</v>
      </c>
    </row>
    <row r="540" spans="1:16" x14ac:dyDescent="0.2">
      <c r="A540" t="str">
        <f t="shared" si="8"/>
        <v>metab_compid_1508</v>
      </c>
      <c r="B540" t="s">
        <v>12368</v>
      </c>
      <c r="C540">
        <v>3578</v>
      </c>
      <c r="D540" t="s">
        <v>4571</v>
      </c>
      <c r="E540" t="s">
        <v>3448</v>
      </c>
      <c r="F540" t="s">
        <v>4568</v>
      </c>
      <c r="G540">
        <v>1508</v>
      </c>
      <c r="H540" t="s">
        <v>11327</v>
      </c>
      <c r="I540">
        <v>1024</v>
      </c>
      <c r="J540">
        <v>1498.7</v>
      </c>
      <c r="K540">
        <v>218.10338999999999</v>
      </c>
      <c r="L540" t="s">
        <v>4573</v>
      </c>
      <c r="M540">
        <v>6613</v>
      </c>
      <c r="N540" t="s">
        <v>4576</v>
      </c>
      <c r="O540" t="s">
        <v>12369</v>
      </c>
      <c r="P540" t="s">
        <v>12368</v>
      </c>
    </row>
    <row r="541" spans="1:16" x14ac:dyDescent="0.2">
      <c r="A541" t="str">
        <f t="shared" si="8"/>
        <v>metab_compid_1361</v>
      </c>
      <c r="B541" t="s">
        <v>12370</v>
      </c>
      <c r="C541">
        <v>1179</v>
      </c>
      <c r="D541" t="s">
        <v>4513</v>
      </c>
      <c r="E541" t="s">
        <v>3459</v>
      </c>
      <c r="F541" t="s">
        <v>11502</v>
      </c>
      <c r="G541">
        <v>1361</v>
      </c>
      <c r="H541" t="s">
        <v>11327</v>
      </c>
      <c r="I541">
        <v>980</v>
      </c>
      <c r="J541">
        <v>5521</v>
      </c>
      <c r="K541">
        <v>241.21729999999999</v>
      </c>
      <c r="L541" t="s">
        <v>12371</v>
      </c>
      <c r="M541">
        <v>13849</v>
      </c>
      <c r="N541" t="s">
        <v>4517</v>
      </c>
      <c r="O541" t="s">
        <v>12372</v>
      </c>
      <c r="P541" t="s">
        <v>12370</v>
      </c>
    </row>
    <row r="542" spans="1:16" x14ac:dyDescent="0.2">
      <c r="A542" t="str">
        <f t="shared" si="8"/>
        <v>metab_compid_32553</v>
      </c>
      <c r="B542" t="s">
        <v>12373</v>
      </c>
      <c r="C542">
        <v>149</v>
      </c>
      <c r="D542" t="s">
        <v>6552</v>
      </c>
      <c r="E542" t="s">
        <v>3436</v>
      </c>
      <c r="F542" t="s">
        <v>3687</v>
      </c>
      <c r="G542">
        <v>32553</v>
      </c>
      <c r="H542" t="s">
        <v>11327</v>
      </c>
      <c r="I542">
        <v>100001510</v>
      </c>
      <c r="J542">
        <v>2156</v>
      </c>
      <c r="K542">
        <v>172.9914</v>
      </c>
      <c r="L542" t="s">
        <v>6553</v>
      </c>
      <c r="M542">
        <v>74426</v>
      </c>
      <c r="N542" t="s">
        <v>6556</v>
      </c>
      <c r="O542" t="s">
        <v>12374</v>
      </c>
      <c r="P542" t="s">
        <v>12373</v>
      </c>
    </row>
    <row r="543" spans="1:16" x14ac:dyDescent="0.2">
      <c r="A543" t="str">
        <f t="shared" si="8"/>
        <v>metab_compid_52925</v>
      </c>
      <c r="B543" t="s">
        <v>12375</v>
      </c>
      <c r="C543">
        <v>896</v>
      </c>
      <c r="D543" t="s">
        <v>9054</v>
      </c>
      <c r="E543" t="s">
        <v>3853</v>
      </c>
      <c r="F543" t="s">
        <v>6422</v>
      </c>
      <c r="G543">
        <v>52925</v>
      </c>
      <c r="H543" t="s">
        <v>11327</v>
      </c>
      <c r="I543">
        <v>100009045</v>
      </c>
      <c r="J543">
        <v>1630</v>
      </c>
      <c r="K543">
        <v>264.08774</v>
      </c>
      <c r="L543" t="s">
        <v>11145</v>
      </c>
      <c r="M543">
        <v>11579826</v>
      </c>
      <c r="N543" t="s">
        <v>11145</v>
      </c>
      <c r="O543" t="s">
        <v>12376</v>
      </c>
      <c r="P543" t="s">
        <v>12375</v>
      </c>
    </row>
    <row r="544" spans="1:16" x14ac:dyDescent="0.2">
      <c r="A544" t="str">
        <f t="shared" si="8"/>
        <v>metab_compid_35126</v>
      </c>
      <c r="B544" t="s">
        <v>12377</v>
      </c>
      <c r="C544">
        <v>897</v>
      </c>
      <c r="D544" t="s">
        <v>6425</v>
      </c>
      <c r="E544" t="s">
        <v>3853</v>
      </c>
      <c r="F544" t="s">
        <v>6422</v>
      </c>
      <c r="G544">
        <v>35126</v>
      </c>
      <c r="H544" t="s">
        <v>11327</v>
      </c>
      <c r="I544">
        <v>100001417</v>
      </c>
      <c r="J544">
        <v>2330</v>
      </c>
      <c r="K544">
        <v>263.10372999999998</v>
      </c>
      <c r="L544" t="s">
        <v>6426</v>
      </c>
      <c r="M544">
        <v>92258</v>
      </c>
      <c r="N544" t="s">
        <v>6429</v>
      </c>
      <c r="O544" t="s">
        <v>12378</v>
      </c>
      <c r="P544" t="s">
        <v>12377</v>
      </c>
    </row>
    <row r="545" spans="1:16" x14ac:dyDescent="0.2">
      <c r="A545" t="str">
        <f t="shared" si="8"/>
        <v>metab_compid_64</v>
      </c>
      <c r="B545" t="s">
        <v>12379</v>
      </c>
      <c r="C545">
        <v>116</v>
      </c>
      <c r="D545" t="s">
        <v>647</v>
      </c>
      <c r="E545" t="s">
        <v>3436</v>
      </c>
      <c r="F545" t="s">
        <v>3524</v>
      </c>
      <c r="G545">
        <v>64</v>
      </c>
      <c r="H545" t="s">
        <v>11320</v>
      </c>
      <c r="I545">
        <v>460</v>
      </c>
      <c r="J545">
        <v>2878</v>
      </c>
      <c r="K545">
        <v>166.08626000000001</v>
      </c>
      <c r="L545" t="s">
        <v>4070</v>
      </c>
      <c r="M545">
        <v>6140</v>
      </c>
      <c r="N545" t="s">
        <v>4073</v>
      </c>
      <c r="O545" t="s">
        <v>12380</v>
      </c>
      <c r="P545" t="s">
        <v>12379</v>
      </c>
    </row>
    <row r="546" spans="1:16" x14ac:dyDescent="0.2">
      <c r="A546" t="str">
        <f t="shared" si="8"/>
        <v>metab_compid_22130</v>
      </c>
      <c r="B546" t="s">
        <v>12381</v>
      </c>
      <c r="C546">
        <v>122</v>
      </c>
      <c r="D546" t="s">
        <v>5520</v>
      </c>
      <c r="E546" t="s">
        <v>3436</v>
      </c>
      <c r="F546" t="s">
        <v>3524</v>
      </c>
      <c r="G546">
        <v>22130</v>
      </c>
      <c r="H546" t="s">
        <v>11327</v>
      </c>
      <c r="I546">
        <v>100000774</v>
      </c>
      <c r="J546">
        <v>2208</v>
      </c>
      <c r="K546">
        <v>165.05571</v>
      </c>
      <c r="L546" t="s">
        <v>5521</v>
      </c>
      <c r="M546">
        <v>3848</v>
      </c>
      <c r="N546" t="s">
        <v>5524</v>
      </c>
      <c r="O546" t="s">
        <v>12382</v>
      </c>
      <c r="P546" t="s">
        <v>12381</v>
      </c>
    </row>
    <row r="547" spans="1:16" x14ac:dyDescent="0.2">
      <c r="A547" t="str">
        <f t="shared" si="8"/>
        <v>metab_compid_566</v>
      </c>
      <c r="B547" t="s">
        <v>12383</v>
      </c>
      <c r="C547">
        <v>121</v>
      </c>
      <c r="D547" t="s">
        <v>3699</v>
      </c>
      <c r="E547" t="s">
        <v>3436</v>
      </c>
      <c r="F547" t="s">
        <v>3524</v>
      </c>
      <c r="G547">
        <v>566</v>
      </c>
      <c r="H547" t="s">
        <v>11327</v>
      </c>
      <c r="I547">
        <v>241</v>
      </c>
      <c r="J547">
        <v>2515</v>
      </c>
      <c r="K547">
        <v>163.04006999999999</v>
      </c>
      <c r="L547" t="s">
        <v>3700</v>
      </c>
      <c r="M547">
        <v>997</v>
      </c>
      <c r="N547" t="s">
        <v>3703</v>
      </c>
      <c r="O547" t="s">
        <v>12384</v>
      </c>
      <c r="P547" t="s">
        <v>12383</v>
      </c>
    </row>
    <row r="548" spans="1:16" x14ac:dyDescent="0.2">
      <c r="A548" t="str">
        <f t="shared" si="8"/>
        <v>metab_compid_42109</v>
      </c>
      <c r="B548" t="s">
        <v>12385</v>
      </c>
      <c r="C548">
        <v>1147</v>
      </c>
      <c r="D548" t="s">
        <v>4078</v>
      </c>
      <c r="E548" t="s">
        <v>3479</v>
      </c>
      <c r="F548" t="s">
        <v>4075</v>
      </c>
      <c r="G548">
        <v>42109</v>
      </c>
      <c r="H548" t="s">
        <v>11327</v>
      </c>
      <c r="I548">
        <v>461</v>
      </c>
      <c r="J548">
        <v>608</v>
      </c>
      <c r="K548">
        <v>96.969620000000006</v>
      </c>
      <c r="L548" t="s">
        <v>4079</v>
      </c>
      <c r="M548">
        <v>1061</v>
      </c>
      <c r="N548" t="s">
        <v>4082</v>
      </c>
      <c r="O548" t="s">
        <v>12386</v>
      </c>
      <c r="P548" t="s">
        <v>12385</v>
      </c>
    </row>
    <row r="549" spans="1:16" x14ac:dyDescent="0.2">
      <c r="A549" t="str">
        <f t="shared" si="8"/>
        <v>metab_compid_1600</v>
      </c>
      <c r="B549" t="s">
        <v>12387</v>
      </c>
      <c r="C549">
        <v>1741</v>
      </c>
      <c r="D549" t="s">
        <v>4585</v>
      </c>
      <c r="E549" t="s">
        <v>3459</v>
      </c>
      <c r="F549" t="s">
        <v>3758</v>
      </c>
      <c r="G549">
        <v>1600</v>
      </c>
      <c r="H549" t="s">
        <v>11327</v>
      </c>
      <c r="I549">
        <v>1026</v>
      </c>
      <c r="J549">
        <v>638</v>
      </c>
      <c r="K549">
        <v>140.01182</v>
      </c>
      <c r="L549" t="s">
        <v>4587</v>
      </c>
      <c r="M549">
        <v>1015</v>
      </c>
      <c r="N549" t="s">
        <v>4590</v>
      </c>
      <c r="O549" t="s">
        <v>12388</v>
      </c>
      <c r="P549" t="s">
        <v>12387</v>
      </c>
    </row>
    <row r="550" spans="1:16" x14ac:dyDescent="0.2">
      <c r="A550" t="str">
        <f t="shared" si="8"/>
        <v>metab_compid_1444</v>
      </c>
      <c r="B550" t="s">
        <v>12389</v>
      </c>
      <c r="C550">
        <v>110</v>
      </c>
      <c r="D550" t="s">
        <v>4580</v>
      </c>
      <c r="E550" t="s">
        <v>3436</v>
      </c>
      <c r="F550" t="s">
        <v>3586</v>
      </c>
      <c r="G550">
        <v>1444</v>
      </c>
      <c r="H550" t="s">
        <v>11320</v>
      </c>
      <c r="I550">
        <v>1025</v>
      </c>
      <c r="J550">
        <v>2200</v>
      </c>
      <c r="K550">
        <v>130.08626000000001</v>
      </c>
      <c r="L550" t="s">
        <v>4581</v>
      </c>
      <c r="M550">
        <v>849</v>
      </c>
      <c r="N550" t="s">
        <v>12390</v>
      </c>
      <c r="O550" t="s">
        <v>12391</v>
      </c>
      <c r="P550" t="s">
        <v>12389</v>
      </c>
    </row>
    <row r="551" spans="1:16" x14ac:dyDescent="0.2">
      <c r="A551" t="str">
        <f t="shared" si="8"/>
        <v>metab_compid_40708</v>
      </c>
      <c r="B551" t="s">
        <v>12392</v>
      </c>
      <c r="C551">
        <v>2644</v>
      </c>
      <c r="D551" t="s">
        <v>7925</v>
      </c>
      <c r="E551" t="s">
        <v>3459</v>
      </c>
      <c r="F551" t="s">
        <v>7133</v>
      </c>
      <c r="G551">
        <v>40708</v>
      </c>
      <c r="H551" t="s">
        <v>11327</v>
      </c>
      <c r="I551">
        <v>100003470</v>
      </c>
      <c r="J551">
        <v>5145</v>
      </c>
      <c r="K551">
        <v>495.29633999999999</v>
      </c>
      <c r="L551" t="s">
        <v>7926</v>
      </c>
      <c r="M551">
        <v>123796</v>
      </c>
      <c r="N551" t="s">
        <v>11145</v>
      </c>
      <c r="O551" t="s">
        <v>12393</v>
      </c>
      <c r="P551" t="s">
        <v>12392</v>
      </c>
    </row>
    <row r="552" spans="1:16" x14ac:dyDescent="0.2">
      <c r="A552" t="str">
        <f t="shared" si="8"/>
        <v>metab_compid_32562</v>
      </c>
      <c r="B552" t="s">
        <v>12394</v>
      </c>
      <c r="C552">
        <v>2622</v>
      </c>
      <c r="D552" t="s">
        <v>7154</v>
      </c>
      <c r="E552" t="s">
        <v>3459</v>
      </c>
      <c r="F552" t="s">
        <v>7151</v>
      </c>
      <c r="G552">
        <v>32562</v>
      </c>
      <c r="H552" t="s">
        <v>11327</v>
      </c>
      <c r="I552">
        <v>100001993</v>
      </c>
      <c r="J552">
        <v>3868</v>
      </c>
      <c r="K552">
        <v>238.07747000000001</v>
      </c>
      <c r="L552" t="s">
        <v>11145</v>
      </c>
      <c r="M552" t="s">
        <v>11145</v>
      </c>
      <c r="N552" t="s">
        <v>11145</v>
      </c>
      <c r="O552" t="s">
        <v>11145</v>
      </c>
      <c r="P552" t="s">
        <v>12394</v>
      </c>
    </row>
    <row r="553" spans="1:16" x14ac:dyDescent="0.2">
      <c r="A553" t="str">
        <f t="shared" si="8"/>
        <v>metab_compid_32619</v>
      </c>
      <c r="B553" t="s">
        <v>12395</v>
      </c>
      <c r="C553">
        <v>2623</v>
      </c>
      <c r="D553" t="s">
        <v>7226</v>
      </c>
      <c r="E553" t="s">
        <v>3459</v>
      </c>
      <c r="F553" t="s">
        <v>7151</v>
      </c>
      <c r="G553">
        <v>32619</v>
      </c>
      <c r="H553" t="s">
        <v>11327</v>
      </c>
      <c r="I553">
        <v>100002067</v>
      </c>
      <c r="J553">
        <v>5000</v>
      </c>
      <c r="K553">
        <v>397.20540999999997</v>
      </c>
      <c r="L553" t="s">
        <v>7227</v>
      </c>
      <c r="M553" t="s">
        <v>11145</v>
      </c>
      <c r="N553" t="s">
        <v>11145</v>
      </c>
      <c r="O553" t="s">
        <v>11145</v>
      </c>
      <c r="P553" t="s">
        <v>12395</v>
      </c>
    </row>
    <row r="554" spans="1:16" x14ac:dyDescent="0.2">
      <c r="A554" t="str">
        <f t="shared" si="8"/>
        <v>metab_compid_38170</v>
      </c>
      <c r="B554" t="s">
        <v>12396</v>
      </c>
      <c r="C554">
        <v>2606</v>
      </c>
      <c r="D554" t="s">
        <v>7303</v>
      </c>
      <c r="E554" t="s">
        <v>3459</v>
      </c>
      <c r="F554" t="s">
        <v>7151</v>
      </c>
      <c r="G554">
        <v>38170</v>
      </c>
      <c r="H554" t="s">
        <v>11327</v>
      </c>
      <c r="I554">
        <v>100002129</v>
      </c>
      <c r="J554">
        <v>5100</v>
      </c>
      <c r="K554">
        <v>395.18975999999998</v>
      </c>
      <c r="L554" t="s">
        <v>7227</v>
      </c>
      <c r="M554">
        <v>105074</v>
      </c>
      <c r="N554" t="s">
        <v>11145</v>
      </c>
      <c r="O554" t="s">
        <v>12397</v>
      </c>
      <c r="P554" t="s">
        <v>12396</v>
      </c>
    </row>
    <row r="555" spans="1:16" x14ac:dyDescent="0.2">
      <c r="A555" t="str">
        <f t="shared" si="8"/>
        <v>metab_compid_38271</v>
      </c>
      <c r="B555" t="s">
        <v>12398</v>
      </c>
      <c r="C555">
        <v>1302</v>
      </c>
      <c r="D555" t="s">
        <v>4104</v>
      </c>
      <c r="E555" t="s">
        <v>3459</v>
      </c>
      <c r="F555" t="s">
        <v>4101</v>
      </c>
      <c r="G555">
        <v>38271</v>
      </c>
      <c r="H555" t="s">
        <v>11327</v>
      </c>
      <c r="I555">
        <v>477</v>
      </c>
      <c r="J555">
        <v>5773</v>
      </c>
      <c r="K555">
        <v>297.2799</v>
      </c>
      <c r="L555" t="s">
        <v>4105</v>
      </c>
      <c r="M555">
        <v>123929</v>
      </c>
      <c r="N555" t="s">
        <v>11145</v>
      </c>
      <c r="O555" t="s">
        <v>12399</v>
      </c>
      <c r="P555" t="s">
        <v>12398</v>
      </c>
    </row>
    <row r="556" spans="1:16" x14ac:dyDescent="0.2">
      <c r="A556" t="str">
        <f t="shared" si="8"/>
        <v>metab_compid_35127</v>
      </c>
      <c r="B556" t="s">
        <v>12400</v>
      </c>
      <c r="C556">
        <v>390</v>
      </c>
      <c r="D556" t="s">
        <v>5906</v>
      </c>
      <c r="E556" t="s">
        <v>3436</v>
      </c>
      <c r="F556" t="s">
        <v>3661</v>
      </c>
      <c r="G556">
        <v>35127</v>
      </c>
      <c r="H556" t="s">
        <v>11320</v>
      </c>
      <c r="I556">
        <v>100001167</v>
      </c>
      <c r="J556">
        <v>2128</v>
      </c>
      <c r="K556">
        <v>229.11829</v>
      </c>
      <c r="L556" t="s">
        <v>5908</v>
      </c>
      <c r="M556">
        <v>11673055</v>
      </c>
      <c r="N556" t="s">
        <v>11145</v>
      </c>
      <c r="O556" t="s">
        <v>12401</v>
      </c>
      <c r="P556" t="s">
        <v>12400</v>
      </c>
    </row>
    <row r="557" spans="1:16" x14ac:dyDescent="0.2">
      <c r="A557" t="str">
        <f t="shared" si="8"/>
        <v>metab_compid_1898</v>
      </c>
      <c r="B557" t="s">
        <v>12402</v>
      </c>
      <c r="C557">
        <v>376</v>
      </c>
      <c r="D557" t="s">
        <v>4111</v>
      </c>
      <c r="E557" t="s">
        <v>3436</v>
      </c>
      <c r="F557" t="s">
        <v>3661</v>
      </c>
      <c r="G557">
        <v>1898</v>
      </c>
      <c r="H557" t="s">
        <v>11320</v>
      </c>
      <c r="I557">
        <v>480</v>
      </c>
      <c r="J557">
        <v>1603</v>
      </c>
      <c r="K557">
        <v>116.07061</v>
      </c>
      <c r="L557" t="s">
        <v>4112</v>
      </c>
      <c r="M557">
        <v>145742</v>
      </c>
      <c r="N557" t="s">
        <v>12403</v>
      </c>
      <c r="O557" t="s">
        <v>12404</v>
      </c>
      <c r="P557" t="s">
        <v>12402</v>
      </c>
    </row>
    <row r="558" spans="1:16" x14ac:dyDescent="0.2">
      <c r="A558" t="str">
        <f t="shared" si="8"/>
        <v>metab_compid_32452</v>
      </c>
      <c r="B558" t="s">
        <v>12405</v>
      </c>
      <c r="C558">
        <v>1405</v>
      </c>
      <c r="D558" t="s">
        <v>5898</v>
      </c>
      <c r="E558" t="s">
        <v>3459</v>
      </c>
      <c r="F558" t="s">
        <v>5754</v>
      </c>
      <c r="G558">
        <v>32452</v>
      </c>
      <c r="H558" t="s">
        <v>11320</v>
      </c>
      <c r="I558">
        <v>100001162</v>
      </c>
      <c r="J558">
        <v>2590</v>
      </c>
      <c r="K558">
        <v>218.13869</v>
      </c>
      <c r="L558" t="s">
        <v>5899</v>
      </c>
      <c r="M558">
        <v>107738</v>
      </c>
      <c r="N558" t="s">
        <v>5902</v>
      </c>
      <c r="O558" t="s">
        <v>12406</v>
      </c>
      <c r="P558" t="s">
        <v>12405</v>
      </c>
    </row>
    <row r="559" spans="1:16" x14ac:dyDescent="0.2">
      <c r="A559" t="str">
        <f t="shared" si="8"/>
        <v>metab_compid_31932</v>
      </c>
      <c r="B559" t="s">
        <v>12407</v>
      </c>
      <c r="C559">
        <v>1406</v>
      </c>
      <c r="D559" t="s">
        <v>5882</v>
      </c>
      <c r="E559" t="s">
        <v>3459</v>
      </c>
      <c r="F559" t="s">
        <v>5754</v>
      </c>
      <c r="G559">
        <v>31932</v>
      </c>
      <c r="H559" t="s">
        <v>11327</v>
      </c>
      <c r="I559">
        <v>100001150</v>
      </c>
      <c r="J559">
        <v>960</v>
      </c>
      <c r="K559">
        <v>130.05096</v>
      </c>
      <c r="L559" t="s">
        <v>5884</v>
      </c>
      <c r="M559">
        <v>98681</v>
      </c>
      <c r="N559" t="s">
        <v>11145</v>
      </c>
      <c r="O559" t="s">
        <v>12408</v>
      </c>
      <c r="P559" t="s">
        <v>12407</v>
      </c>
    </row>
    <row r="560" spans="1:16" x14ac:dyDescent="0.2">
      <c r="A560" t="str">
        <f t="shared" si="8"/>
        <v>metab_compid_33442</v>
      </c>
      <c r="B560" t="s">
        <v>12409</v>
      </c>
      <c r="C560">
        <v>3478</v>
      </c>
      <c r="D560" t="s">
        <v>4335</v>
      </c>
      <c r="E560" t="s">
        <v>3533</v>
      </c>
      <c r="F560" t="s">
        <v>3705</v>
      </c>
      <c r="G560">
        <v>33442</v>
      </c>
      <c r="H560" t="s">
        <v>11327</v>
      </c>
      <c r="I560">
        <v>821</v>
      </c>
      <c r="J560">
        <v>1100</v>
      </c>
      <c r="K560">
        <v>243.06226000000001</v>
      </c>
      <c r="L560" t="s">
        <v>4336</v>
      </c>
      <c r="M560">
        <v>15047</v>
      </c>
      <c r="N560" t="s">
        <v>4339</v>
      </c>
      <c r="O560" t="s">
        <v>12410</v>
      </c>
      <c r="P560" t="s">
        <v>12409</v>
      </c>
    </row>
    <row r="561" spans="1:16" x14ac:dyDescent="0.2">
      <c r="A561" t="str">
        <f t="shared" si="8"/>
        <v>metab_compid_31555</v>
      </c>
      <c r="B561" t="s">
        <v>12411</v>
      </c>
      <c r="C561">
        <v>3682</v>
      </c>
      <c r="D561" t="s">
        <v>5861</v>
      </c>
      <c r="E561" t="s">
        <v>3448</v>
      </c>
      <c r="F561" t="s">
        <v>5858</v>
      </c>
      <c r="G561">
        <v>31555</v>
      </c>
      <c r="H561" t="s">
        <v>11327</v>
      </c>
      <c r="I561">
        <v>100001121</v>
      </c>
      <c r="J561">
        <v>2185</v>
      </c>
      <c r="K561">
        <v>182.04588000000001</v>
      </c>
      <c r="L561" t="s">
        <v>5862</v>
      </c>
      <c r="M561">
        <v>6723</v>
      </c>
      <c r="N561" t="s">
        <v>5865</v>
      </c>
      <c r="O561" t="s">
        <v>12412</v>
      </c>
      <c r="P561" t="s">
        <v>12411</v>
      </c>
    </row>
    <row r="562" spans="1:16" x14ac:dyDescent="0.2">
      <c r="A562" t="str">
        <f t="shared" si="8"/>
        <v>metab_compid_46225</v>
      </c>
      <c r="B562" t="s">
        <v>12413</v>
      </c>
      <c r="C562">
        <v>51</v>
      </c>
      <c r="D562" t="s">
        <v>12414</v>
      </c>
      <c r="E562" t="s">
        <v>3436</v>
      </c>
      <c r="F562" t="s">
        <v>4215</v>
      </c>
      <c r="G562">
        <v>46225</v>
      </c>
      <c r="H562" t="s">
        <v>11320</v>
      </c>
      <c r="I562">
        <v>100001540</v>
      </c>
      <c r="J562">
        <v>1900</v>
      </c>
      <c r="K562">
        <v>129.06585999999999</v>
      </c>
      <c r="L562" t="s">
        <v>6584</v>
      </c>
      <c r="M562">
        <v>134508</v>
      </c>
      <c r="N562" t="s">
        <v>11145</v>
      </c>
      <c r="O562" t="s">
        <v>11145</v>
      </c>
      <c r="P562" t="s">
        <v>12413</v>
      </c>
    </row>
    <row r="563" spans="1:16" x14ac:dyDescent="0.2">
      <c r="A563" t="str">
        <f t="shared" si="8"/>
        <v>metab_compid_48990</v>
      </c>
      <c r="B563" t="s">
        <v>12415</v>
      </c>
      <c r="C563">
        <v>945</v>
      </c>
      <c r="D563" t="s">
        <v>796</v>
      </c>
      <c r="E563" t="s">
        <v>3977</v>
      </c>
      <c r="F563" t="s">
        <v>4084</v>
      </c>
      <c r="G563">
        <v>48990</v>
      </c>
      <c r="H563" t="s">
        <v>11545</v>
      </c>
      <c r="I563">
        <v>823</v>
      </c>
      <c r="J563">
        <v>1083</v>
      </c>
      <c r="K563">
        <v>87.008769999999998</v>
      </c>
      <c r="L563" t="s">
        <v>4343</v>
      </c>
      <c r="M563">
        <v>1060</v>
      </c>
      <c r="N563" t="s">
        <v>4346</v>
      </c>
      <c r="O563" t="s">
        <v>12416</v>
      </c>
      <c r="P563" t="s">
        <v>12415</v>
      </c>
    </row>
    <row r="564" spans="1:16" x14ac:dyDescent="0.2">
      <c r="A564" t="str">
        <f t="shared" si="8"/>
        <v>metab_compid_1899</v>
      </c>
      <c r="B564" t="s">
        <v>12417</v>
      </c>
      <c r="C564">
        <v>3547</v>
      </c>
      <c r="D564" t="s">
        <v>3580</v>
      </c>
      <c r="E564" t="s">
        <v>3448</v>
      </c>
      <c r="F564" t="s">
        <v>3449</v>
      </c>
      <c r="G564">
        <v>1899</v>
      </c>
      <c r="H564" t="s">
        <v>11320</v>
      </c>
      <c r="I564">
        <v>182</v>
      </c>
      <c r="J564">
        <v>845</v>
      </c>
      <c r="K564">
        <v>168.02914000000001</v>
      </c>
      <c r="L564" t="s">
        <v>3581</v>
      </c>
      <c r="M564">
        <v>1066</v>
      </c>
      <c r="N564" t="s">
        <v>3584</v>
      </c>
      <c r="O564" t="s">
        <v>12418</v>
      </c>
      <c r="P564" t="s">
        <v>12417</v>
      </c>
    </row>
    <row r="565" spans="1:16" x14ac:dyDescent="0.2">
      <c r="A565" t="str">
        <f t="shared" si="8"/>
        <v>metab_compid_1806</v>
      </c>
      <c r="B565" t="s">
        <v>12419</v>
      </c>
      <c r="C565">
        <v>3662</v>
      </c>
      <c r="D565" t="s">
        <v>12420</v>
      </c>
      <c r="E565" t="s">
        <v>3448</v>
      </c>
      <c r="F565" t="s">
        <v>4124</v>
      </c>
      <c r="G565">
        <v>1806</v>
      </c>
      <c r="H565" t="s">
        <v>11322</v>
      </c>
      <c r="I565">
        <v>498</v>
      </c>
      <c r="J565">
        <v>1636</v>
      </c>
      <c r="K565">
        <v>269.22638999999998</v>
      </c>
      <c r="L565" t="s">
        <v>4128</v>
      </c>
      <c r="M565">
        <v>445354</v>
      </c>
      <c r="N565" t="s">
        <v>4131</v>
      </c>
      <c r="O565" t="s">
        <v>12421</v>
      </c>
      <c r="P565" t="s">
        <v>12419</v>
      </c>
    </row>
    <row r="566" spans="1:16" x14ac:dyDescent="0.2">
      <c r="A566" t="str">
        <f t="shared" si="8"/>
        <v>metab_compid_15772</v>
      </c>
      <c r="B566" t="s">
        <v>12422</v>
      </c>
      <c r="C566">
        <v>964</v>
      </c>
      <c r="D566" t="s">
        <v>5305</v>
      </c>
      <c r="E566" t="s">
        <v>3977</v>
      </c>
      <c r="F566" t="s">
        <v>4446</v>
      </c>
      <c r="G566">
        <v>15772</v>
      </c>
      <c r="H566" t="s">
        <v>11545</v>
      </c>
      <c r="I566">
        <v>100000406</v>
      </c>
      <c r="J566">
        <v>1789.6</v>
      </c>
      <c r="K566">
        <v>151.06119000000001</v>
      </c>
      <c r="L566" t="s">
        <v>5306</v>
      </c>
      <c r="M566">
        <v>6912</v>
      </c>
      <c r="N566" t="s">
        <v>12423</v>
      </c>
      <c r="O566" t="s">
        <v>12424</v>
      </c>
      <c r="P566" t="s">
        <v>12422</v>
      </c>
    </row>
    <row r="567" spans="1:16" x14ac:dyDescent="0.2">
      <c r="A567" t="str">
        <f t="shared" si="8"/>
        <v>metab_compid_1827</v>
      </c>
      <c r="B567" t="s">
        <v>12425</v>
      </c>
      <c r="C567">
        <v>3575</v>
      </c>
      <c r="D567" t="s">
        <v>12426</v>
      </c>
      <c r="E567" t="s">
        <v>3448</v>
      </c>
      <c r="F567" t="s">
        <v>4133</v>
      </c>
      <c r="G567">
        <v>1827</v>
      </c>
      <c r="H567" t="s">
        <v>11327</v>
      </c>
      <c r="I567">
        <v>500</v>
      </c>
      <c r="J567">
        <v>3160</v>
      </c>
      <c r="K567">
        <v>255.08873</v>
      </c>
      <c r="L567" t="s">
        <v>4137</v>
      </c>
      <c r="M567">
        <v>493570</v>
      </c>
      <c r="N567" t="s">
        <v>4140</v>
      </c>
      <c r="O567" t="s">
        <v>12427</v>
      </c>
      <c r="P567" t="s">
        <v>12425</v>
      </c>
    </row>
    <row r="568" spans="1:16" x14ac:dyDescent="0.2">
      <c r="A568" t="str">
        <f t="shared" si="8"/>
        <v>metab_compid_27731</v>
      </c>
      <c r="B568" t="s">
        <v>12428</v>
      </c>
      <c r="C568">
        <v>965</v>
      </c>
      <c r="D568" t="s">
        <v>5710</v>
      </c>
      <c r="E568" t="s">
        <v>3977</v>
      </c>
      <c r="F568" t="s">
        <v>4446</v>
      </c>
      <c r="G568">
        <v>27731</v>
      </c>
      <c r="H568" t="s">
        <v>11545</v>
      </c>
      <c r="I568">
        <v>100001007</v>
      </c>
      <c r="J568">
        <v>2425</v>
      </c>
      <c r="K568">
        <v>165.04046</v>
      </c>
      <c r="L568">
        <v>1255190</v>
      </c>
      <c r="M568">
        <v>5460677</v>
      </c>
      <c r="N568" t="s">
        <v>5714</v>
      </c>
      <c r="O568" t="s">
        <v>12429</v>
      </c>
      <c r="P568" t="s">
        <v>12428</v>
      </c>
    </row>
    <row r="569" spans="1:16" x14ac:dyDescent="0.2">
      <c r="A569" t="str">
        <f t="shared" si="8"/>
        <v>metab_compid_61858</v>
      </c>
      <c r="B569" t="s">
        <v>12430</v>
      </c>
      <c r="C569">
        <v>990</v>
      </c>
      <c r="D569" t="s">
        <v>12431</v>
      </c>
      <c r="E569" t="s">
        <v>3977</v>
      </c>
      <c r="F569" t="s">
        <v>4446</v>
      </c>
      <c r="G569">
        <v>61858</v>
      </c>
      <c r="H569" t="s">
        <v>11545</v>
      </c>
      <c r="I569">
        <v>100019968</v>
      </c>
      <c r="J569">
        <v>2350</v>
      </c>
      <c r="K569">
        <v>165.04046</v>
      </c>
      <c r="L569" t="s">
        <v>11145</v>
      </c>
      <c r="M569" t="s">
        <v>11145</v>
      </c>
      <c r="N569" t="s">
        <v>11145</v>
      </c>
      <c r="O569" t="s">
        <v>11145</v>
      </c>
      <c r="P569" t="s">
        <v>12430</v>
      </c>
    </row>
    <row r="570" spans="1:16" x14ac:dyDescent="0.2">
      <c r="A570" t="str">
        <f t="shared" si="8"/>
        <v>metab_compid_42370</v>
      </c>
      <c r="B570" t="s">
        <v>12432</v>
      </c>
      <c r="C570">
        <v>59</v>
      </c>
      <c r="D570" t="s">
        <v>12433</v>
      </c>
      <c r="E570" t="s">
        <v>3436</v>
      </c>
      <c r="F570" t="s">
        <v>4215</v>
      </c>
      <c r="G570">
        <v>42370</v>
      </c>
      <c r="H570" t="s">
        <v>11320</v>
      </c>
      <c r="I570">
        <v>35</v>
      </c>
      <c r="J570">
        <v>1528</v>
      </c>
      <c r="K570">
        <v>114.05495999999999</v>
      </c>
      <c r="L570" t="s">
        <v>12434</v>
      </c>
      <c r="M570">
        <v>1196</v>
      </c>
      <c r="N570" t="s">
        <v>12435</v>
      </c>
      <c r="O570" t="s">
        <v>12436</v>
      </c>
      <c r="P570" t="s">
        <v>12432</v>
      </c>
    </row>
    <row r="571" spans="1:16" x14ac:dyDescent="0.2">
      <c r="A571" t="str">
        <f t="shared" si="8"/>
        <v>metab_compid_42382</v>
      </c>
      <c r="B571" t="s">
        <v>12437</v>
      </c>
      <c r="C571">
        <v>339</v>
      </c>
      <c r="D571" t="s">
        <v>3614</v>
      </c>
      <c r="E571" t="s">
        <v>3436</v>
      </c>
      <c r="F571" t="s">
        <v>3603</v>
      </c>
      <c r="G571">
        <v>42382</v>
      </c>
      <c r="H571" t="s">
        <v>11327</v>
      </c>
      <c r="I571">
        <v>197</v>
      </c>
      <c r="J571">
        <v>1832.4</v>
      </c>
      <c r="K571">
        <v>383.11430999999999</v>
      </c>
      <c r="L571" t="s">
        <v>3615</v>
      </c>
      <c r="M571">
        <v>439155</v>
      </c>
      <c r="N571" t="s">
        <v>3618</v>
      </c>
      <c r="O571" t="s">
        <v>12438</v>
      </c>
      <c r="P571" t="s">
        <v>12437</v>
      </c>
    </row>
    <row r="572" spans="1:16" x14ac:dyDescent="0.2">
      <c r="A572" t="str">
        <f t="shared" si="8"/>
        <v>metab_compid_39592</v>
      </c>
      <c r="B572" t="s">
        <v>12439</v>
      </c>
      <c r="C572">
        <v>347</v>
      </c>
      <c r="D572" t="s">
        <v>7625</v>
      </c>
      <c r="E572" t="s">
        <v>3436</v>
      </c>
      <c r="F572" t="s">
        <v>3603</v>
      </c>
      <c r="G572">
        <v>39592</v>
      </c>
      <c r="H572" t="s">
        <v>11327</v>
      </c>
      <c r="I572">
        <v>100002749</v>
      </c>
      <c r="J572">
        <v>880</v>
      </c>
      <c r="K572">
        <v>134.02812</v>
      </c>
      <c r="L572" t="s">
        <v>7626</v>
      </c>
      <c r="M572">
        <v>24417</v>
      </c>
      <c r="N572" t="s">
        <v>11145</v>
      </c>
      <c r="O572" t="s">
        <v>12440</v>
      </c>
      <c r="P572" t="s">
        <v>12439</v>
      </c>
    </row>
    <row r="573" spans="1:16" x14ac:dyDescent="0.2">
      <c r="A573" t="str">
        <f t="shared" si="8"/>
        <v>metab_compid_43378</v>
      </c>
      <c r="B573" t="s">
        <v>12441</v>
      </c>
      <c r="C573">
        <v>348</v>
      </c>
      <c r="D573" t="s">
        <v>7752</v>
      </c>
      <c r="E573" t="s">
        <v>3436</v>
      </c>
      <c r="F573" t="s">
        <v>3603</v>
      </c>
      <c r="G573">
        <v>43378</v>
      </c>
      <c r="H573" t="s">
        <v>11320</v>
      </c>
      <c r="I573">
        <v>100002927</v>
      </c>
      <c r="J573">
        <v>900</v>
      </c>
      <c r="K573">
        <v>152.03758999999999</v>
      </c>
      <c r="L573" t="s">
        <v>7753</v>
      </c>
      <c r="M573">
        <v>82142</v>
      </c>
      <c r="N573" t="s">
        <v>11145</v>
      </c>
      <c r="O573" t="s">
        <v>12442</v>
      </c>
      <c r="P573" t="s">
        <v>12441</v>
      </c>
    </row>
    <row r="574" spans="1:16" x14ac:dyDescent="0.2">
      <c r="A574" t="str">
        <f t="shared" si="8"/>
        <v>metab_compid_1516</v>
      </c>
      <c r="B574" t="s">
        <v>12443</v>
      </c>
      <c r="C574">
        <v>4</v>
      </c>
      <c r="D574" t="s">
        <v>4562</v>
      </c>
      <c r="E574" t="s">
        <v>3436</v>
      </c>
      <c r="F574" t="s">
        <v>3882</v>
      </c>
      <c r="G574">
        <v>1516</v>
      </c>
      <c r="H574" t="s">
        <v>11320</v>
      </c>
      <c r="I574">
        <v>1023</v>
      </c>
      <c r="J574">
        <v>1280</v>
      </c>
      <c r="K574">
        <v>90.054959999999994</v>
      </c>
      <c r="L574" t="s">
        <v>4563</v>
      </c>
      <c r="M574">
        <v>1088</v>
      </c>
      <c r="N574" t="s">
        <v>4566</v>
      </c>
      <c r="O574" t="s">
        <v>12444</v>
      </c>
      <c r="P574" t="s">
        <v>12443</v>
      </c>
    </row>
    <row r="575" spans="1:16" x14ac:dyDescent="0.2">
      <c r="A575" t="str">
        <f t="shared" si="8"/>
        <v>metab_compid_32398</v>
      </c>
      <c r="B575" t="s">
        <v>12445</v>
      </c>
      <c r="C575">
        <v>1328</v>
      </c>
      <c r="D575" t="s">
        <v>5976</v>
      </c>
      <c r="E575" t="s">
        <v>3459</v>
      </c>
      <c r="F575" t="s">
        <v>3873</v>
      </c>
      <c r="G575">
        <v>32398</v>
      </c>
      <c r="H575" t="s">
        <v>11327</v>
      </c>
      <c r="I575">
        <v>100001211</v>
      </c>
      <c r="J575">
        <v>1788</v>
      </c>
      <c r="K575">
        <v>201.11322999999999</v>
      </c>
      <c r="L575" t="s">
        <v>5977</v>
      </c>
      <c r="M575">
        <v>5192</v>
      </c>
      <c r="N575" t="s">
        <v>5980</v>
      </c>
      <c r="O575" t="s">
        <v>12446</v>
      </c>
      <c r="P575" t="s">
        <v>12445</v>
      </c>
    </row>
    <row r="576" spans="1:16" x14ac:dyDescent="0.2">
      <c r="A576" t="str">
        <f t="shared" si="8"/>
        <v>metab_compid_1648</v>
      </c>
      <c r="B576" t="s">
        <v>12447</v>
      </c>
      <c r="C576">
        <v>9</v>
      </c>
      <c r="D576" t="s">
        <v>4153</v>
      </c>
      <c r="E576" t="s">
        <v>3436</v>
      </c>
      <c r="F576" t="s">
        <v>3882</v>
      </c>
      <c r="G576">
        <v>1648</v>
      </c>
      <c r="H576" t="s">
        <v>11320</v>
      </c>
      <c r="I576">
        <v>503</v>
      </c>
      <c r="J576">
        <v>1239</v>
      </c>
      <c r="K576">
        <v>106.04987</v>
      </c>
      <c r="L576" t="s">
        <v>4154</v>
      </c>
      <c r="M576">
        <v>5951</v>
      </c>
      <c r="N576" t="s">
        <v>4157</v>
      </c>
      <c r="O576" t="s">
        <v>12448</v>
      </c>
      <c r="P576" t="s">
        <v>12447</v>
      </c>
    </row>
    <row r="577" spans="1:16" x14ac:dyDescent="0.2">
      <c r="A577" t="str">
        <f t="shared" si="8"/>
        <v>metab_compid_2342</v>
      </c>
      <c r="B577" t="s">
        <v>12449</v>
      </c>
      <c r="C577">
        <v>231</v>
      </c>
      <c r="D577" t="s">
        <v>4161</v>
      </c>
      <c r="E577" t="s">
        <v>3436</v>
      </c>
      <c r="F577" t="s">
        <v>3470</v>
      </c>
      <c r="G577">
        <v>2342</v>
      </c>
      <c r="H577" t="s">
        <v>11320</v>
      </c>
      <c r="I577">
        <v>504</v>
      </c>
      <c r="J577">
        <v>2550</v>
      </c>
      <c r="K577">
        <v>177.10223999999999</v>
      </c>
      <c r="L577" t="s">
        <v>4162</v>
      </c>
      <c r="M577">
        <v>5202</v>
      </c>
      <c r="N577" t="s">
        <v>4165</v>
      </c>
      <c r="O577" t="s">
        <v>12450</v>
      </c>
      <c r="P577" t="s">
        <v>12449</v>
      </c>
    </row>
    <row r="578" spans="1:16" x14ac:dyDescent="0.2">
      <c r="A578" t="str">
        <f t="shared" si="8"/>
        <v>metab_compid_57426</v>
      </c>
      <c r="B578" t="s">
        <v>12451</v>
      </c>
      <c r="C578">
        <v>2412</v>
      </c>
      <c r="D578" t="s">
        <v>9337</v>
      </c>
      <c r="E578" t="s">
        <v>3459</v>
      </c>
      <c r="F578" t="s">
        <v>3836</v>
      </c>
      <c r="G578">
        <v>57426</v>
      </c>
      <c r="H578" t="s">
        <v>11322</v>
      </c>
      <c r="I578">
        <v>100015643</v>
      </c>
      <c r="J578">
        <v>1350</v>
      </c>
      <c r="K578">
        <v>298.27406000000002</v>
      </c>
      <c r="L578" t="s">
        <v>9338</v>
      </c>
      <c r="M578">
        <v>6449795</v>
      </c>
      <c r="N578" t="s">
        <v>11145</v>
      </c>
      <c r="O578" t="s">
        <v>11145</v>
      </c>
      <c r="P578" t="s">
        <v>12451</v>
      </c>
    </row>
    <row r="579" spans="1:16" x14ac:dyDescent="0.2">
      <c r="A579" t="str">
        <f t="shared" ref="A579:A642" si="9">_xlfn.CONCAT("metab_compid_", $G579)</f>
        <v>metab_compid_17769</v>
      </c>
      <c r="B579" t="s">
        <v>12452</v>
      </c>
      <c r="C579">
        <v>2410</v>
      </c>
      <c r="D579" t="s">
        <v>3839</v>
      </c>
      <c r="E579" t="s">
        <v>3459</v>
      </c>
      <c r="F579" t="s">
        <v>3836</v>
      </c>
      <c r="G579">
        <v>17769</v>
      </c>
      <c r="H579" t="s">
        <v>11322</v>
      </c>
      <c r="I579">
        <v>313</v>
      </c>
      <c r="J579">
        <v>1413</v>
      </c>
      <c r="K579">
        <v>302.30536000000001</v>
      </c>
      <c r="L579" t="s">
        <v>3840</v>
      </c>
      <c r="M579">
        <v>3126</v>
      </c>
      <c r="N579" t="s">
        <v>3843</v>
      </c>
      <c r="O579" t="s">
        <v>12453</v>
      </c>
      <c r="P579" t="s">
        <v>12452</v>
      </c>
    </row>
    <row r="580" spans="1:16" x14ac:dyDescent="0.2">
      <c r="A580" t="str">
        <f t="shared" si="9"/>
        <v>metab_compid_52605</v>
      </c>
      <c r="B580" t="s">
        <v>12454</v>
      </c>
      <c r="C580">
        <v>2411</v>
      </c>
      <c r="D580" t="s">
        <v>7076</v>
      </c>
      <c r="E580" t="s">
        <v>3459</v>
      </c>
      <c r="F580" t="s">
        <v>3836</v>
      </c>
      <c r="G580">
        <v>52605</v>
      </c>
      <c r="H580" t="s">
        <v>11322</v>
      </c>
      <c r="I580">
        <v>100001876</v>
      </c>
      <c r="J580">
        <v>1431</v>
      </c>
      <c r="K580">
        <v>382.27168999999998</v>
      </c>
      <c r="L580" t="s">
        <v>7077</v>
      </c>
      <c r="M580">
        <v>520</v>
      </c>
      <c r="N580" t="s">
        <v>11145</v>
      </c>
      <c r="O580" t="s">
        <v>12455</v>
      </c>
      <c r="P580" t="s">
        <v>12454</v>
      </c>
    </row>
    <row r="581" spans="1:16" x14ac:dyDescent="0.2">
      <c r="A581" t="str">
        <f t="shared" si="9"/>
        <v>metab_compid_62152</v>
      </c>
      <c r="B581" t="s">
        <v>12456</v>
      </c>
      <c r="C581">
        <v>2509</v>
      </c>
      <c r="D581" t="s">
        <v>9707</v>
      </c>
      <c r="E581" t="s">
        <v>3459</v>
      </c>
      <c r="F581" t="s">
        <v>814</v>
      </c>
      <c r="G581">
        <v>62152</v>
      </c>
      <c r="H581" t="s">
        <v>11322</v>
      </c>
      <c r="I581">
        <v>100020276</v>
      </c>
      <c r="J581">
        <v>1950</v>
      </c>
      <c r="K581">
        <v>661.52791000000002</v>
      </c>
      <c r="L581" t="s">
        <v>11145</v>
      </c>
      <c r="M581" t="s">
        <v>11145</v>
      </c>
      <c r="N581" t="s">
        <v>11145</v>
      </c>
      <c r="O581" t="s">
        <v>11145</v>
      </c>
      <c r="P581" t="s">
        <v>12456</v>
      </c>
    </row>
    <row r="582" spans="1:16" x14ac:dyDescent="0.2">
      <c r="A582" t="str">
        <f t="shared" si="9"/>
        <v>metab_compid_52433</v>
      </c>
      <c r="B582" t="s">
        <v>12457</v>
      </c>
      <c r="C582">
        <v>2512</v>
      </c>
      <c r="D582" t="s">
        <v>8616</v>
      </c>
      <c r="E582" t="s">
        <v>3459</v>
      </c>
      <c r="F582" t="s">
        <v>814</v>
      </c>
      <c r="G582">
        <v>52433</v>
      </c>
      <c r="H582" t="s">
        <v>11322</v>
      </c>
      <c r="I582">
        <v>100006314</v>
      </c>
      <c r="J582">
        <v>2082</v>
      </c>
      <c r="K582">
        <v>689.55920000000003</v>
      </c>
      <c r="L582" t="s">
        <v>8617</v>
      </c>
      <c r="M582" t="s">
        <v>11145</v>
      </c>
      <c r="N582" t="s">
        <v>11145</v>
      </c>
      <c r="O582" t="s">
        <v>11145</v>
      </c>
      <c r="P582" t="s">
        <v>12457</v>
      </c>
    </row>
    <row r="583" spans="1:16" x14ac:dyDescent="0.2">
      <c r="A583" t="str">
        <f t="shared" si="9"/>
        <v>metab_compid_57483</v>
      </c>
      <c r="B583" t="s">
        <v>12458</v>
      </c>
      <c r="C583">
        <v>2513</v>
      </c>
      <c r="D583" t="s">
        <v>9445</v>
      </c>
      <c r="E583" t="s">
        <v>3459</v>
      </c>
      <c r="F583" t="s">
        <v>814</v>
      </c>
      <c r="G583">
        <v>57483</v>
      </c>
      <c r="H583" t="s">
        <v>11322</v>
      </c>
      <c r="I583">
        <v>100015793</v>
      </c>
      <c r="J583">
        <v>1837</v>
      </c>
      <c r="K583">
        <v>687.54354999999998</v>
      </c>
      <c r="L583" t="s">
        <v>11145</v>
      </c>
      <c r="M583" t="s">
        <v>11145</v>
      </c>
      <c r="N583" t="s">
        <v>11145</v>
      </c>
      <c r="O583" t="s">
        <v>11145</v>
      </c>
      <c r="P583" t="s">
        <v>12458</v>
      </c>
    </row>
    <row r="584" spans="1:16" x14ac:dyDescent="0.2">
      <c r="A584" t="str">
        <f t="shared" si="9"/>
        <v>metab_compid_57473</v>
      </c>
      <c r="B584" t="s">
        <v>12459</v>
      </c>
      <c r="C584">
        <v>2499</v>
      </c>
      <c r="D584" t="s">
        <v>9016</v>
      </c>
      <c r="E584" t="s">
        <v>3459</v>
      </c>
      <c r="F584" t="s">
        <v>8860</v>
      </c>
      <c r="G584">
        <v>57473</v>
      </c>
      <c r="H584" t="s">
        <v>11322</v>
      </c>
      <c r="I584">
        <v>100009027</v>
      </c>
      <c r="J584">
        <v>2362</v>
      </c>
      <c r="K584">
        <v>733.62180000000001</v>
      </c>
      <c r="L584" t="s">
        <v>11145</v>
      </c>
      <c r="M584" t="s">
        <v>11145</v>
      </c>
      <c r="N584" t="s">
        <v>11145</v>
      </c>
      <c r="O584" t="s">
        <v>12460</v>
      </c>
      <c r="P584" t="s">
        <v>12459</v>
      </c>
    </row>
    <row r="585" spans="1:16" x14ac:dyDescent="0.2">
      <c r="A585" t="str">
        <f t="shared" si="9"/>
        <v>metab_compid_57476</v>
      </c>
      <c r="B585" t="s">
        <v>12461</v>
      </c>
      <c r="C585">
        <v>2500</v>
      </c>
      <c r="D585" t="s">
        <v>9417</v>
      </c>
      <c r="E585" t="s">
        <v>3459</v>
      </c>
      <c r="F585" t="s">
        <v>8860</v>
      </c>
      <c r="G585">
        <v>57476</v>
      </c>
      <c r="H585" t="s">
        <v>11322</v>
      </c>
      <c r="I585">
        <v>100015786</v>
      </c>
      <c r="J585">
        <v>2600</v>
      </c>
      <c r="K585">
        <v>761.65310999999997</v>
      </c>
      <c r="L585" t="s">
        <v>11145</v>
      </c>
      <c r="M585" t="s">
        <v>11145</v>
      </c>
      <c r="N585" t="s">
        <v>11145</v>
      </c>
      <c r="O585" t="s">
        <v>11145</v>
      </c>
      <c r="P585" t="s">
        <v>12461</v>
      </c>
    </row>
    <row r="586" spans="1:16" x14ac:dyDescent="0.2">
      <c r="A586" t="str">
        <f t="shared" si="9"/>
        <v>metab_compid_42463</v>
      </c>
      <c r="B586" t="s">
        <v>12462</v>
      </c>
      <c r="C586">
        <v>2510</v>
      </c>
      <c r="D586" t="s">
        <v>8193</v>
      </c>
      <c r="E586" t="s">
        <v>3459</v>
      </c>
      <c r="F586" t="s">
        <v>814</v>
      </c>
      <c r="G586">
        <v>42463</v>
      </c>
      <c r="H586" t="s">
        <v>11322</v>
      </c>
      <c r="I586">
        <v>100004328</v>
      </c>
      <c r="J586">
        <v>1998</v>
      </c>
      <c r="K586">
        <v>675.54354999999998</v>
      </c>
      <c r="L586" t="s">
        <v>11145</v>
      </c>
      <c r="M586">
        <v>11433862</v>
      </c>
      <c r="N586" t="s">
        <v>11145</v>
      </c>
      <c r="O586" t="s">
        <v>12463</v>
      </c>
      <c r="P586" t="s">
        <v>12462</v>
      </c>
    </row>
    <row r="587" spans="1:16" x14ac:dyDescent="0.2">
      <c r="A587" t="str">
        <f t="shared" si="9"/>
        <v>metab_compid_52615</v>
      </c>
      <c r="B587" t="s">
        <v>12464</v>
      </c>
      <c r="C587">
        <v>2515</v>
      </c>
      <c r="D587" t="s">
        <v>8813</v>
      </c>
      <c r="E587" t="s">
        <v>3459</v>
      </c>
      <c r="F587" t="s">
        <v>814</v>
      </c>
      <c r="G587">
        <v>52615</v>
      </c>
      <c r="H587" t="s">
        <v>11322</v>
      </c>
      <c r="I587">
        <v>100008920</v>
      </c>
      <c r="J587">
        <v>2312</v>
      </c>
      <c r="K587">
        <v>717.59050000000002</v>
      </c>
      <c r="L587" t="s">
        <v>8814</v>
      </c>
      <c r="M587" t="s">
        <v>11145</v>
      </c>
      <c r="N587" t="s">
        <v>11145</v>
      </c>
      <c r="O587" t="s">
        <v>11145</v>
      </c>
      <c r="P587" t="s">
        <v>12464</v>
      </c>
    </row>
    <row r="588" spans="1:16" x14ac:dyDescent="0.2">
      <c r="A588" t="str">
        <f t="shared" si="9"/>
        <v>metab_compid_37529</v>
      </c>
      <c r="B588" t="s">
        <v>12465</v>
      </c>
      <c r="C588">
        <v>2516</v>
      </c>
      <c r="D588" t="s">
        <v>7264</v>
      </c>
      <c r="E588" t="s">
        <v>3459</v>
      </c>
      <c r="F588" t="s">
        <v>814</v>
      </c>
      <c r="G588">
        <v>37529</v>
      </c>
      <c r="H588" t="s">
        <v>11322</v>
      </c>
      <c r="I588">
        <v>100002106</v>
      </c>
      <c r="J588">
        <v>2167</v>
      </c>
      <c r="K588">
        <v>729.59050000000002</v>
      </c>
      <c r="L588" t="s">
        <v>7265</v>
      </c>
      <c r="M588">
        <v>6443882</v>
      </c>
      <c r="N588" t="s">
        <v>11145</v>
      </c>
      <c r="O588" t="s">
        <v>12466</v>
      </c>
      <c r="P588" t="s">
        <v>12465</v>
      </c>
    </row>
    <row r="589" spans="1:16" x14ac:dyDescent="0.2">
      <c r="A589" t="str">
        <f t="shared" si="9"/>
        <v>metab_compid_57475</v>
      </c>
      <c r="B589" t="s">
        <v>12467</v>
      </c>
      <c r="C589">
        <v>2517</v>
      </c>
      <c r="D589" t="s">
        <v>9421</v>
      </c>
      <c r="E589" t="s">
        <v>3459</v>
      </c>
      <c r="F589" t="s">
        <v>814</v>
      </c>
      <c r="G589">
        <v>57475</v>
      </c>
      <c r="H589" t="s">
        <v>11322</v>
      </c>
      <c r="I589">
        <v>100015787</v>
      </c>
      <c r="J589">
        <v>2330</v>
      </c>
      <c r="K589">
        <v>745.62177999999994</v>
      </c>
      <c r="L589" t="s">
        <v>11145</v>
      </c>
      <c r="M589" t="s">
        <v>11145</v>
      </c>
      <c r="N589" t="s">
        <v>11145</v>
      </c>
      <c r="O589" t="s">
        <v>11145</v>
      </c>
      <c r="P589" t="s">
        <v>12467</v>
      </c>
    </row>
    <row r="590" spans="1:16" x14ac:dyDescent="0.2">
      <c r="A590" t="str">
        <f t="shared" si="9"/>
        <v>metab_compid_48490</v>
      </c>
      <c r="B590" t="s">
        <v>12468</v>
      </c>
      <c r="C590">
        <v>2518</v>
      </c>
      <c r="D590" t="s">
        <v>8581</v>
      </c>
      <c r="E590" t="s">
        <v>3459</v>
      </c>
      <c r="F590" t="s">
        <v>814</v>
      </c>
      <c r="G590">
        <v>48490</v>
      </c>
      <c r="H590" t="s">
        <v>11322</v>
      </c>
      <c r="I590">
        <v>100006290</v>
      </c>
      <c r="J590">
        <v>2685</v>
      </c>
      <c r="K590">
        <v>759.63750000000005</v>
      </c>
      <c r="L590" t="s">
        <v>11145</v>
      </c>
      <c r="M590" t="s">
        <v>11145</v>
      </c>
      <c r="N590" t="s">
        <v>11145</v>
      </c>
      <c r="O590" t="s">
        <v>12469</v>
      </c>
      <c r="P590" t="s">
        <v>12468</v>
      </c>
    </row>
    <row r="591" spans="1:16" x14ac:dyDescent="0.2">
      <c r="A591" t="str">
        <f t="shared" si="9"/>
        <v>metab_compid_48491</v>
      </c>
      <c r="B591" t="s">
        <v>12470</v>
      </c>
      <c r="C591">
        <v>2519</v>
      </c>
      <c r="D591" t="s">
        <v>8587</v>
      </c>
      <c r="E591" t="s">
        <v>3459</v>
      </c>
      <c r="F591" t="s">
        <v>814</v>
      </c>
      <c r="G591">
        <v>48491</v>
      </c>
      <c r="H591" t="s">
        <v>11322</v>
      </c>
      <c r="I591">
        <v>100006292</v>
      </c>
      <c r="J591">
        <v>2383</v>
      </c>
      <c r="K591">
        <v>757.62180000000001</v>
      </c>
      <c r="L591" t="s">
        <v>8588</v>
      </c>
      <c r="M591" t="s">
        <v>11145</v>
      </c>
      <c r="N591" t="s">
        <v>11145</v>
      </c>
      <c r="O591" t="s">
        <v>11145</v>
      </c>
      <c r="P591" t="s">
        <v>12470</v>
      </c>
    </row>
    <row r="592" spans="1:16" x14ac:dyDescent="0.2">
      <c r="A592" t="str">
        <f t="shared" si="9"/>
        <v>metab_compid_57481</v>
      </c>
      <c r="B592" t="s">
        <v>12471</v>
      </c>
      <c r="C592">
        <v>2520</v>
      </c>
      <c r="D592" t="s">
        <v>8592</v>
      </c>
      <c r="E592" t="s">
        <v>3459</v>
      </c>
      <c r="F592" t="s">
        <v>814</v>
      </c>
      <c r="G592">
        <v>57481</v>
      </c>
      <c r="H592" t="s">
        <v>11322</v>
      </c>
      <c r="I592">
        <v>100006293</v>
      </c>
      <c r="J592">
        <v>2039</v>
      </c>
      <c r="K592">
        <v>755.60614999999996</v>
      </c>
      <c r="L592" t="s">
        <v>11145</v>
      </c>
      <c r="M592" t="s">
        <v>11145</v>
      </c>
      <c r="N592" t="s">
        <v>11145</v>
      </c>
      <c r="O592" t="s">
        <v>11145</v>
      </c>
      <c r="P592" t="s">
        <v>12471</v>
      </c>
    </row>
    <row r="593" spans="1:16" x14ac:dyDescent="0.2">
      <c r="A593" t="str">
        <f t="shared" si="9"/>
        <v>metab_compid_52495</v>
      </c>
      <c r="B593" t="s">
        <v>12472</v>
      </c>
      <c r="C593">
        <v>2521</v>
      </c>
      <c r="D593" t="s">
        <v>9006</v>
      </c>
      <c r="E593" t="s">
        <v>3459</v>
      </c>
      <c r="F593" t="s">
        <v>814</v>
      </c>
      <c r="G593">
        <v>52495</v>
      </c>
      <c r="H593" t="s">
        <v>11322</v>
      </c>
      <c r="I593">
        <v>100009025</v>
      </c>
      <c r="J593">
        <v>2793</v>
      </c>
      <c r="K593">
        <v>773.65310999999997</v>
      </c>
      <c r="L593" t="s">
        <v>11145</v>
      </c>
      <c r="M593" t="s">
        <v>11145</v>
      </c>
      <c r="N593" t="s">
        <v>11145</v>
      </c>
      <c r="O593" t="s">
        <v>11145</v>
      </c>
      <c r="P593" t="s">
        <v>12472</v>
      </c>
    </row>
    <row r="594" spans="1:16" x14ac:dyDescent="0.2">
      <c r="A594" t="str">
        <f t="shared" si="9"/>
        <v>metab_compid_48493</v>
      </c>
      <c r="B594" t="s">
        <v>12473</v>
      </c>
      <c r="C594">
        <v>2523</v>
      </c>
      <c r="D594" t="s">
        <v>8601</v>
      </c>
      <c r="E594" t="s">
        <v>3459</v>
      </c>
      <c r="F594" t="s">
        <v>814</v>
      </c>
      <c r="G594">
        <v>48493</v>
      </c>
      <c r="H594" t="s">
        <v>11322</v>
      </c>
      <c r="I594">
        <v>100006295</v>
      </c>
      <c r="J594">
        <v>2666</v>
      </c>
      <c r="K594">
        <v>785.65310999999997</v>
      </c>
      <c r="L594" t="s">
        <v>11145</v>
      </c>
      <c r="M594" t="s">
        <v>11145</v>
      </c>
      <c r="N594" t="s">
        <v>11145</v>
      </c>
      <c r="O594" t="s">
        <v>12474</v>
      </c>
      <c r="P594" t="s">
        <v>12473</v>
      </c>
    </row>
    <row r="595" spans="1:16" x14ac:dyDescent="0.2">
      <c r="A595" t="str">
        <f t="shared" si="9"/>
        <v>metab_compid_57477</v>
      </c>
      <c r="B595" t="s">
        <v>12475</v>
      </c>
      <c r="C595">
        <v>2524</v>
      </c>
      <c r="D595" t="s">
        <v>8606</v>
      </c>
      <c r="E595" t="s">
        <v>3459</v>
      </c>
      <c r="F595" t="s">
        <v>814</v>
      </c>
      <c r="G595">
        <v>57477</v>
      </c>
      <c r="H595" t="s">
        <v>11322</v>
      </c>
      <c r="I595">
        <v>100006296</v>
      </c>
      <c r="J595">
        <v>2209</v>
      </c>
      <c r="K595">
        <v>783.63746000000003</v>
      </c>
      <c r="L595" t="s">
        <v>11145</v>
      </c>
      <c r="M595" t="s">
        <v>11145</v>
      </c>
      <c r="N595" t="s">
        <v>11145</v>
      </c>
      <c r="O595" t="s">
        <v>11145</v>
      </c>
      <c r="P595" t="s">
        <v>12475</v>
      </c>
    </row>
    <row r="596" spans="1:16" x14ac:dyDescent="0.2">
      <c r="A596" t="str">
        <f t="shared" si="9"/>
        <v>metab_compid_47153</v>
      </c>
      <c r="B596" t="s">
        <v>12476</v>
      </c>
      <c r="C596">
        <v>2526</v>
      </c>
      <c r="D596" t="s">
        <v>8392</v>
      </c>
      <c r="E596" t="s">
        <v>3459</v>
      </c>
      <c r="F596" t="s">
        <v>814</v>
      </c>
      <c r="G596">
        <v>47153</v>
      </c>
      <c r="H596" t="s">
        <v>11322</v>
      </c>
      <c r="I596">
        <v>100005986</v>
      </c>
      <c r="J596">
        <v>3033</v>
      </c>
      <c r="K596">
        <v>813.68440999999996</v>
      </c>
      <c r="L596" t="s">
        <v>8393</v>
      </c>
      <c r="M596" t="s">
        <v>11145</v>
      </c>
      <c r="N596" t="s">
        <v>11145</v>
      </c>
      <c r="O596" t="s">
        <v>12477</v>
      </c>
      <c r="P596" t="s">
        <v>12476</v>
      </c>
    </row>
    <row r="597" spans="1:16" x14ac:dyDescent="0.2">
      <c r="A597" t="str">
        <f t="shared" si="9"/>
        <v>metab_compid_57478</v>
      </c>
      <c r="B597" t="s">
        <v>12478</v>
      </c>
      <c r="C597">
        <v>2528</v>
      </c>
      <c r="D597" t="s">
        <v>9440</v>
      </c>
      <c r="E597" t="s">
        <v>3459</v>
      </c>
      <c r="F597" t="s">
        <v>814</v>
      </c>
      <c r="G597">
        <v>57478</v>
      </c>
      <c r="H597" t="s">
        <v>11322</v>
      </c>
      <c r="I597">
        <v>100015792</v>
      </c>
      <c r="J597">
        <v>3500</v>
      </c>
      <c r="K597">
        <v>829.71570999999994</v>
      </c>
      <c r="L597" t="s">
        <v>11145</v>
      </c>
      <c r="M597" t="s">
        <v>11145</v>
      </c>
      <c r="N597" t="s">
        <v>11145</v>
      </c>
      <c r="O597" t="s">
        <v>11145</v>
      </c>
      <c r="P597" t="s">
        <v>12478</v>
      </c>
    </row>
    <row r="598" spans="1:16" x14ac:dyDescent="0.2">
      <c r="A598" t="str">
        <f t="shared" si="9"/>
        <v>metab_compid_47154</v>
      </c>
      <c r="B598" t="s">
        <v>12479</v>
      </c>
      <c r="C598">
        <v>2511</v>
      </c>
      <c r="D598" t="s">
        <v>8388</v>
      </c>
      <c r="E598" t="s">
        <v>3459</v>
      </c>
      <c r="F598" t="s">
        <v>814</v>
      </c>
      <c r="G598">
        <v>47154</v>
      </c>
      <c r="H598" t="s">
        <v>11322</v>
      </c>
      <c r="I598">
        <v>100005985</v>
      </c>
      <c r="J598">
        <v>1860</v>
      </c>
      <c r="K598">
        <v>673.52790000000005</v>
      </c>
      <c r="L598" t="s">
        <v>11145</v>
      </c>
      <c r="M598" t="s">
        <v>11145</v>
      </c>
      <c r="N598" t="s">
        <v>11145</v>
      </c>
      <c r="O598" t="s">
        <v>11145</v>
      </c>
      <c r="P598" t="s">
        <v>12479</v>
      </c>
    </row>
    <row r="599" spans="1:16" x14ac:dyDescent="0.2">
      <c r="A599" t="str">
        <f t="shared" si="9"/>
        <v>metab_compid_42459</v>
      </c>
      <c r="B599" t="s">
        <v>12480</v>
      </c>
      <c r="C599">
        <v>2514</v>
      </c>
      <c r="D599" t="s">
        <v>8199</v>
      </c>
      <c r="E599" t="s">
        <v>3459</v>
      </c>
      <c r="F599" t="s">
        <v>814</v>
      </c>
      <c r="G599">
        <v>42459</v>
      </c>
      <c r="H599" t="s">
        <v>11322</v>
      </c>
      <c r="I599">
        <v>100004329</v>
      </c>
      <c r="J599">
        <v>2002</v>
      </c>
      <c r="K599">
        <v>701.55920000000003</v>
      </c>
      <c r="L599" t="s">
        <v>11145</v>
      </c>
      <c r="M599" t="s">
        <v>11145</v>
      </c>
      <c r="N599" t="s">
        <v>11145</v>
      </c>
      <c r="O599" t="s">
        <v>11145</v>
      </c>
      <c r="P599" t="s">
        <v>12480</v>
      </c>
    </row>
    <row r="600" spans="1:16" x14ac:dyDescent="0.2">
      <c r="A600" t="str">
        <f t="shared" si="9"/>
        <v>metab_compid_57474</v>
      </c>
      <c r="B600" t="s">
        <v>12481</v>
      </c>
      <c r="C600">
        <v>2506</v>
      </c>
      <c r="D600" t="s">
        <v>9424</v>
      </c>
      <c r="E600" t="s">
        <v>3459</v>
      </c>
      <c r="F600" t="s">
        <v>814</v>
      </c>
      <c r="G600">
        <v>57474</v>
      </c>
      <c r="H600" t="s">
        <v>11322</v>
      </c>
      <c r="I600">
        <v>100015788</v>
      </c>
      <c r="J600">
        <v>1904</v>
      </c>
      <c r="K600">
        <v>727.57484999999997</v>
      </c>
      <c r="L600" t="s">
        <v>11145</v>
      </c>
      <c r="M600" t="s">
        <v>11145</v>
      </c>
      <c r="N600" t="s">
        <v>11145</v>
      </c>
      <c r="O600" t="s">
        <v>11145</v>
      </c>
      <c r="P600" t="s">
        <v>12481</v>
      </c>
    </row>
    <row r="601" spans="1:16" x14ac:dyDescent="0.2">
      <c r="A601" t="str">
        <f t="shared" si="9"/>
        <v>metab_compid_57480</v>
      </c>
      <c r="B601" t="s">
        <v>12482</v>
      </c>
      <c r="C601">
        <v>2522</v>
      </c>
      <c r="D601" t="s">
        <v>9432</v>
      </c>
      <c r="E601" t="s">
        <v>3459</v>
      </c>
      <c r="F601" t="s">
        <v>814</v>
      </c>
      <c r="G601">
        <v>57480</v>
      </c>
      <c r="H601" t="s">
        <v>11322</v>
      </c>
      <c r="I601">
        <v>100015790</v>
      </c>
      <c r="J601">
        <v>2330</v>
      </c>
      <c r="K601">
        <v>771.63747999999998</v>
      </c>
      <c r="L601" t="s">
        <v>11145</v>
      </c>
      <c r="M601" t="s">
        <v>11145</v>
      </c>
      <c r="N601" t="s">
        <v>11145</v>
      </c>
      <c r="O601" t="s">
        <v>11145</v>
      </c>
      <c r="P601" t="s">
        <v>12482</v>
      </c>
    </row>
    <row r="602" spans="1:16" x14ac:dyDescent="0.2">
      <c r="A602" t="str">
        <f t="shared" si="9"/>
        <v>metab_compid_52435</v>
      </c>
      <c r="B602" t="s">
        <v>12483</v>
      </c>
      <c r="C602">
        <v>2525</v>
      </c>
      <c r="D602" t="s">
        <v>8873</v>
      </c>
      <c r="E602" t="s">
        <v>3459</v>
      </c>
      <c r="F602" t="s">
        <v>814</v>
      </c>
      <c r="G602">
        <v>52435</v>
      </c>
      <c r="H602" t="s">
        <v>11322</v>
      </c>
      <c r="I602">
        <v>100008956</v>
      </c>
      <c r="J602">
        <v>2845</v>
      </c>
      <c r="K602">
        <v>799.66867999999999</v>
      </c>
      <c r="L602" t="s">
        <v>11145</v>
      </c>
      <c r="M602" t="s">
        <v>11145</v>
      </c>
      <c r="N602" t="s">
        <v>11145</v>
      </c>
      <c r="O602" t="s">
        <v>11145</v>
      </c>
      <c r="P602" t="s">
        <v>12483</v>
      </c>
    </row>
    <row r="603" spans="1:16" x14ac:dyDescent="0.2">
      <c r="A603" t="str">
        <f t="shared" si="9"/>
        <v>metab_compid_57482</v>
      </c>
      <c r="B603" t="s">
        <v>12484</v>
      </c>
      <c r="C603">
        <v>2507</v>
      </c>
      <c r="D603" t="s">
        <v>9436</v>
      </c>
      <c r="E603" t="s">
        <v>3459</v>
      </c>
      <c r="F603" t="s">
        <v>814</v>
      </c>
      <c r="G603">
        <v>57482</v>
      </c>
      <c r="H603" t="s">
        <v>11322</v>
      </c>
      <c r="I603">
        <v>100015791</v>
      </c>
      <c r="J603">
        <v>2315</v>
      </c>
      <c r="K603">
        <v>797.65308000000005</v>
      </c>
      <c r="L603" t="s">
        <v>11145</v>
      </c>
      <c r="M603" t="s">
        <v>11145</v>
      </c>
      <c r="N603" t="s">
        <v>11145</v>
      </c>
      <c r="O603" t="s">
        <v>11145</v>
      </c>
      <c r="P603" t="s">
        <v>12484</v>
      </c>
    </row>
    <row r="604" spans="1:16" x14ac:dyDescent="0.2">
      <c r="A604" t="str">
        <f t="shared" si="9"/>
        <v>metab_compid_52437</v>
      </c>
      <c r="B604" t="s">
        <v>12485</v>
      </c>
      <c r="C604">
        <v>2527</v>
      </c>
      <c r="D604" t="s">
        <v>8878</v>
      </c>
      <c r="E604" t="s">
        <v>3459</v>
      </c>
      <c r="F604" t="s">
        <v>814</v>
      </c>
      <c r="G604">
        <v>52437</v>
      </c>
      <c r="H604" t="s">
        <v>11322</v>
      </c>
      <c r="I604">
        <v>100008957</v>
      </c>
      <c r="J604">
        <v>2635</v>
      </c>
      <c r="K604">
        <v>811.66867999999999</v>
      </c>
      <c r="L604" t="s">
        <v>11145</v>
      </c>
      <c r="M604" t="s">
        <v>11145</v>
      </c>
      <c r="N604" t="s">
        <v>11145</v>
      </c>
      <c r="O604" t="s">
        <v>11145</v>
      </c>
      <c r="P604" t="s">
        <v>12485</v>
      </c>
    </row>
    <row r="605" spans="1:16" x14ac:dyDescent="0.2">
      <c r="A605" t="str">
        <f t="shared" si="9"/>
        <v>metab_compid_57479</v>
      </c>
      <c r="B605" t="s">
        <v>12486</v>
      </c>
      <c r="C605">
        <v>2508</v>
      </c>
      <c r="D605" t="s">
        <v>9428</v>
      </c>
      <c r="E605" t="s">
        <v>3459</v>
      </c>
      <c r="F605" t="s">
        <v>814</v>
      </c>
      <c r="G605">
        <v>57479</v>
      </c>
      <c r="H605" t="s">
        <v>11322</v>
      </c>
      <c r="I605">
        <v>100015789</v>
      </c>
      <c r="J605">
        <v>2215</v>
      </c>
      <c r="K605">
        <v>809.65308000000005</v>
      </c>
      <c r="L605" t="s">
        <v>11145</v>
      </c>
      <c r="M605" t="s">
        <v>11145</v>
      </c>
      <c r="N605" t="s">
        <v>11145</v>
      </c>
      <c r="O605" t="s">
        <v>11145</v>
      </c>
      <c r="P605" t="s">
        <v>12486</v>
      </c>
    </row>
    <row r="606" spans="1:16" x14ac:dyDescent="0.2">
      <c r="A606" t="str">
        <f t="shared" si="9"/>
        <v>metab_compid_17747</v>
      </c>
      <c r="B606" t="s">
        <v>12487</v>
      </c>
      <c r="C606">
        <v>2529</v>
      </c>
      <c r="D606" t="s">
        <v>3813</v>
      </c>
      <c r="E606" t="s">
        <v>3459</v>
      </c>
      <c r="F606" t="s">
        <v>3810</v>
      </c>
      <c r="G606">
        <v>17747</v>
      </c>
      <c r="H606" t="s">
        <v>11322</v>
      </c>
      <c r="I606">
        <v>297</v>
      </c>
      <c r="J606">
        <v>1393</v>
      </c>
      <c r="K606">
        <v>300.28971000000001</v>
      </c>
      <c r="L606" t="s">
        <v>3814</v>
      </c>
      <c r="M606">
        <v>5353955</v>
      </c>
      <c r="N606" t="s">
        <v>3817</v>
      </c>
      <c r="O606" t="s">
        <v>12488</v>
      </c>
      <c r="P606" t="s">
        <v>12487</v>
      </c>
    </row>
    <row r="607" spans="1:16" x14ac:dyDescent="0.2">
      <c r="A607" t="str">
        <f t="shared" si="9"/>
        <v>metab_compid_34445</v>
      </c>
      <c r="B607" t="s">
        <v>12489</v>
      </c>
      <c r="C607">
        <v>2531</v>
      </c>
      <c r="D607" t="s">
        <v>5435</v>
      </c>
      <c r="E607" t="s">
        <v>3459</v>
      </c>
      <c r="F607" t="s">
        <v>3810</v>
      </c>
      <c r="G607">
        <v>34445</v>
      </c>
      <c r="H607" t="s">
        <v>11322</v>
      </c>
      <c r="I607">
        <v>100000626</v>
      </c>
      <c r="J607">
        <v>1375</v>
      </c>
      <c r="K607">
        <v>380.25603999999998</v>
      </c>
      <c r="L607" t="s">
        <v>5436</v>
      </c>
      <c r="M607">
        <v>5283560</v>
      </c>
      <c r="N607" t="s">
        <v>5439</v>
      </c>
      <c r="O607" t="s">
        <v>12490</v>
      </c>
      <c r="P607" t="s">
        <v>12489</v>
      </c>
    </row>
    <row r="608" spans="1:16" x14ac:dyDescent="0.2">
      <c r="A608" t="str">
        <f t="shared" si="9"/>
        <v>metab_compid_1358</v>
      </c>
      <c r="B608" t="s">
        <v>12491</v>
      </c>
      <c r="C608">
        <v>1186</v>
      </c>
      <c r="D608" t="s">
        <v>4036</v>
      </c>
      <c r="E608" t="s">
        <v>3459</v>
      </c>
      <c r="F608" t="s">
        <v>11502</v>
      </c>
      <c r="G608">
        <v>1358</v>
      </c>
      <c r="H608" t="s">
        <v>11327</v>
      </c>
      <c r="I608">
        <v>439</v>
      </c>
      <c r="J608">
        <v>5872</v>
      </c>
      <c r="K608">
        <v>283.26425</v>
      </c>
      <c r="L608" t="s">
        <v>4037</v>
      </c>
      <c r="M608">
        <v>5281</v>
      </c>
      <c r="N608" t="s">
        <v>4040</v>
      </c>
      <c r="O608" t="s">
        <v>12492</v>
      </c>
      <c r="P608" t="s">
        <v>12491</v>
      </c>
    </row>
    <row r="609" spans="1:16" x14ac:dyDescent="0.2">
      <c r="A609" t="str">
        <f t="shared" si="9"/>
        <v>metab_compid_33969</v>
      </c>
      <c r="B609" t="s">
        <v>12493</v>
      </c>
      <c r="C609">
        <v>1219</v>
      </c>
      <c r="D609" t="s">
        <v>5992</v>
      </c>
      <c r="E609" t="s">
        <v>3459</v>
      </c>
      <c r="F609" t="s">
        <v>11702</v>
      </c>
      <c r="G609">
        <v>33969</v>
      </c>
      <c r="H609" t="s">
        <v>11327</v>
      </c>
      <c r="I609">
        <v>100001229</v>
      </c>
      <c r="J609">
        <v>5395</v>
      </c>
      <c r="K609">
        <v>275.20164999999997</v>
      </c>
      <c r="L609" t="s">
        <v>5993</v>
      </c>
      <c r="M609">
        <v>5312508</v>
      </c>
      <c r="N609" t="s">
        <v>5996</v>
      </c>
      <c r="O609" t="s">
        <v>12494</v>
      </c>
      <c r="P609" t="s">
        <v>12493</v>
      </c>
    </row>
    <row r="610" spans="1:16" x14ac:dyDescent="0.2">
      <c r="A610" t="str">
        <f t="shared" si="9"/>
        <v>metab_compid_19503</v>
      </c>
      <c r="B610" t="s">
        <v>12495</v>
      </c>
      <c r="C610">
        <v>2502</v>
      </c>
      <c r="D610" t="s">
        <v>5031</v>
      </c>
      <c r="E610" t="s">
        <v>3459</v>
      </c>
      <c r="F610" t="s">
        <v>814</v>
      </c>
      <c r="G610">
        <v>19503</v>
      </c>
      <c r="H610" t="s">
        <v>11322</v>
      </c>
      <c r="I610">
        <v>1538</v>
      </c>
      <c r="J610">
        <v>2400</v>
      </c>
      <c r="K610">
        <v>731.60614999999996</v>
      </c>
      <c r="L610" t="s">
        <v>12496</v>
      </c>
      <c r="M610">
        <v>6453725</v>
      </c>
      <c r="N610" t="s">
        <v>5035</v>
      </c>
      <c r="O610" t="s">
        <v>12497</v>
      </c>
      <c r="P610" t="s">
        <v>12495</v>
      </c>
    </row>
    <row r="611" spans="1:16" x14ac:dyDescent="0.2">
      <c r="A611" t="str">
        <f t="shared" si="9"/>
        <v>metab_compid_57450</v>
      </c>
      <c r="B611" t="s">
        <v>12498</v>
      </c>
      <c r="C611">
        <v>2378</v>
      </c>
      <c r="D611" t="s">
        <v>12499</v>
      </c>
      <c r="E611" t="s">
        <v>3459</v>
      </c>
      <c r="F611" t="s">
        <v>7792</v>
      </c>
      <c r="G611">
        <v>57450</v>
      </c>
      <c r="H611" t="s">
        <v>11322</v>
      </c>
      <c r="I611">
        <v>100010949</v>
      </c>
      <c r="J611">
        <v>3404</v>
      </c>
      <c r="K611">
        <v>662.57181000000003</v>
      </c>
      <c r="L611" t="s">
        <v>11145</v>
      </c>
      <c r="M611" t="s">
        <v>11145</v>
      </c>
      <c r="N611" t="s">
        <v>11145</v>
      </c>
      <c r="O611" t="s">
        <v>11145</v>
      </c>
      <c r="P611" t="s">
        <v>12498</v>
      </c>
    </row>
    <row r="612" spans="1:16" x14ac:dyDescent="0.2">
      <c r="A612" t="str">
        <f t="shared" si="9"/>
        <v>metab_compid_57449</v>
      </c>
      <c r="B612" t="s">
        <v>12500</v>
      </c>
      <c r="C612">
        <v>2379</v>
      </c>
      <c r="D612" t="s">
        <v>12501</v>
      </c>
      <c r="E612" t="s">
        <v>3459</v>
      </c>
      <c r="F612" t="s">
        <v>7792</v>
      </c>
      <c r="G612">
        <v>57449</v>
      </c>
      <c r="H612" t="s">
        <v>11322</v>
      </c>
      <c r="I612">
        <v>100010950</v>
      </c>
      <c r="J612">
        <v>3522</v>
      </c>
      <c r="K612">
        <v>662.57181000000003</v>
      </c>
      <c r="L612" t="s">
        <v>11145</v>
      </c>
      <c r="M612" t="s">
        <v>11145</v>
      </c>
      <c r="N612" t="s">
        <v>11145</v>
      </c>
      <c r="O612" t="s">
        <v>11145</v>
      </c>
      <c r="P612" t="s">
        <v>12500</v>
      </c>
    </row>
    <row r="613" spans="1:16" x14ac:dyDescent="0.2">
      <c r="A613" t="str">
        <f t="shared" si="9"/>
        <v>metab_compid_34409</v>
      </c>
      <c r="B613" t="s">
        <v>12502</v>
      </c>
      <c r="C613">
        <v>1455</v>
      </c>
      <c r="D613" t="s">
        <v>6296</v>
      </c>
      <c r="E613" t="s">
        <v>3459</v>
      </c>
      <c r="F613" t="s">
        <v>11596</v>
      </c>
      <c r="G613">
        <v>34409</v>
      </c>
      <c r="H613" t="s">
        <v>11322</v>
      </c>
      <c r="I613">
        <v>100001391</v>
      </c>
      <c r="J613">
        <v>1485</v>
      </c>
      <c r="K613">
        <v>428.37344000000002</v>
      </c>
      <c r="L613" t="s">
        <v>6297</v>
      </c>
      <c r="M613">
        <v>6426855</v>
      </c>
      <c r="N613" t="s">
        <v>11145</v>
      </c>
      <c r="O613" t="s">
        <v>12503</v>
      </c>
      <c r="P613" t="s">
        <v>12502</v>
      </c>
    </row>
    <row r="614" spans="1:16" x14ac:dyDescent="0.2">
      <c r="A614" t="str">
        <f t="shared" si="9"/>
        <v>metab_compid_57464</v>
      </c>
      <c r="B614" t="s">
        <v>12504</v>
      </c>
      <c r="C614">
        <v>1510</v>
      </c>
      <c r="D614" t="s">
        <v>9371</v>
      </c>
      <c r="E614" t="s">
        <v>3459</v>
      </c>
      <c r="F614" t="s">
        <v>9134</v>
      </c>
      <c r="G614">
        <v>57464</v>
      </c>
      <c r="H614" t="s">
        <v>11322</v>
      </c>
      <c r="I614">
        <v>100015759</v>
      </c>
      <c r="J614">
        <v>1520</v>
      </c>
      <c r="K614">
        <v>370.36797000000001</v>
      </c>
      <c r="L614" t="s">
        <v>11145</v>
      </c>
      <c r="M614" t="s">
        <v>11145</v>
      </c>
      <c r="N614" t="s">
        <v>11145</v>
      </c>
      <c r="O614" t="s">
        <v>11145</v>
      </c>
      <c r="P614" t="s">
        <v>12504</v>
      </c>
    </row>
    <row r="615" spans="1:16" x14ac:dyDescent="0.2">
      <c r="A615" t="str">
        <f t="shared" si="9"/>
        <v>metab_compid_1437</v>
      </c>
      <c r="B615" t="s">
        <v>12505</v>
      </c>
      <c r="C615">
        <v>1131</v>
      </c>
      <c r="D615" t="s">
        <v>3734</v>
      </c>
      <c r="E615" t="s">
        <v>3479</v>
      </c>
      <c r="F615" t="s">
        <v>3480</v>
      </c>
      <c r="G615">
        <v>1437</v>
      </c>
      <c r="H615" t="s">
        <v>11545</v>
      </c>
      <c r="I615">
        <v>252</v>
      </c>
      <c r="J615">
        <v>3149</v>
      </c>
      <c r="K615">
        <v>117.01933</v>
      </c>
      <c r="L615" t="s">
        <v>3735</v>
      </c>
      <c r="M615">
        <v>1110</v>
      </c>
      <c r="N615" t="s">
        <v>3738</v>
      </c>
      <c r="O615" t="s">
        <v>12506</v>
      </c>
      <c r="P615" t="s">
        <v>12505</v>
      </c>
    </row>
    <row r="616" spans="1:16" x14ac:dyDescent="0.2">
      <c r="A616" t="str">
        <f t="shared" si="9"/>
        <v>metab_compid_37058</v>
      </c>
      <c r="B616" t="s">
        <v>12507</v>
      </c>
      <c r="C616">
        <v>1130</v>
      </c>
      <c r="D616" t="s">
        <v>7094</v>
      </c>
      <c r="E616" t="s">
        <v>3479</v>
      </c>
      <c r="F616" t="s">
        <v>3480</v>
      </c>
      <c r="G616">
        <v>37058</v>
      </c>
      <c r="H616" t="s">
        <v>11320</v>
      </c>
      <c r="I616">
        <v>100001948</v>
      </c>
      <c r="J616">
        <v>2291</v>
      </c>
      <c r="K616">
        <v>262.12851999999998</v>
      </c>
      <c r="L616" t="s">
        <v>7095</v>
      </c>
      <c r="M616">
        <v>71464481</v>
      </c>
      <c r="N616" t="s">
        <v>11145</v>
      </c>
      <c r="O616" t="s">
        <v>12508</v>
      </c>
      <c r="P616" t="s">
        <v>12507</v>
      </c>
    </row>
    <row r="617" spans="1:16" x14ac:dyDescent="0.2">
      <c r="A617" t="str">
        <f t="shared" si="9"/>
        <v>metab_compid_2125</v>
      </c>
      <c r="B617" t="s">
        <v>12509</v>
      </c>
      <c r="C617">
        <v>358</v>
      </c>
      <c r="D617" t="s">
        <v>4169</v>
      </c>
      <c r="E617" t="s">
        <v>3436</v>
      </c>
      <c r="F617" t="s">
        <v>3603</v>
      </c>
      <c r="G617">
        <v>2125</v>
      </c>
      <c r="H617" t="s">
        <v>11327</v>
      </c>
      <c r="I617">
        <v>512</v>
      </c>
      <c r="J617">
        <v>690</v>
      </c>
      <c r="K617">
        <v>124.00739</v>
      </c>
      <c r="L617" t="s">
        <v>4170</v>
      </c>
      <c r="M617">
        <v>1123</v>
      </c>
      <c r="N617" t="s">
        <v>4173</v>
      </c>
      <c r="O617" t="s">
        <v>12510</v>
      </c>
      <c r="P617" t="s">
        <v>12509</v>
      </c>
    </row>
    <row r="618" spans="1:16" x14ac:dyDescent="0.2">
      <c r="A618" t="str">
        <f t="shared" si="9"/>
        <v>metab_compid_18494</v>
      </c>
      <c r="B618" t="s">
        <v>12511</v>
      </c>
      <c r="C618">
        <v>2758</v>
      </c>
      <c r="D618" t="s">
        <v>5061</v>
      </c>
      <c r="E618" t="s">
        <v>3459</v>
      </c>
      <c r="F618" t="s">
        <v>3516</v>
      </c>
      <c r="G618">
        <v>18494</v>
      </c>
      <c r="H618" t="s">
        <v>11327</v>
      </c>
      <c r="I618">
        <v>1629</v>
      </c>
      <c r="J618">
        <v>5250</v>
      </c>
      <c r="K618">
        <v>498.28948000000003</v>
      </c>
      <c r="L618" t="s">
        <v>5062</v>
      </c>
      <c r="M618">
        <v>387316</v>
      </c>
      <c r="N618" t="s">
        <v>5065</v>
      </c>
      <c r="O618" t="s">
        <v>12512</v>
      </c>
      <c r="P618" t="s">
        <v>12511</v>
      </c>
    </row>
    <row r="619" spans="1:16" x14ac:dyDescent="0.2">
      <c r="A619" t="str">
        <f t="shared" si="9"/>
        <v>metab_compid_18497</v>
      </c>
      <c r="B619" t="s">
        <v>12513</v>
      </c>
      <c r="C619">
        <v>2755</v>
      </c>
      <c r="D619" t="s">
        <v>5069</v>
      </c>
      <c r="E619" t="s">
        <v>3459</v>
      </c>
      <c r="F619" t="s">
        <v>3516</v>
      </c>
      <c r="G619">
        <v>18497</v>
      </c>
      <c r="H619" t="s">
        <v>11327</v>
      </c>
      <c r="I619">
        <v>1648</v>
      </c>
      <c r="J619">
        <v>5150</v>
      </c>
      <c r="K619">
        <v>514.28439000000003</v>
      </c>
      <c r="L619" t="s">
        <v>5070</v>
      </c>
      <c r="M619">
        <v>6675</v>
      </c>
      <c r="N619" t="s">
        <v>5072</v>
      </c>
      <c r="O619" t="s">
        <v>12514</v>
      </c>
      <c r="P619" t="s">
        <v>12513</v>
      </c>
    </row>
    <row r="620" spans="1:16" x14ac:dyDescent="0.2">
      <c r="A620" t="str">
        <f t="shared" si="9"/>
        <v>metab_compid_32807</v>
      </c>
      <c r="B620" t="s">
        <v>12515</v>
      </c>
      <c r="C620">
        <v>2809</v>
      </c>
      <c r="D620" t="s">
        <v>7144</v>
      </c>
      <c r="E620" t="s">
        <v>3459</v>
      </c>
      <c r="F620" t="s">
        <v>3819</v>
      </c>
      <c r="G620">
        <v>32807</v>
      </c>
      <c r="H620" t="s">
        <v>11327</v>
      </c>
      <c r="I620">
        <v>100001990</v>
      </c>
      <c r="J620">
        <v>4750</v>
      </c>
      <c r="K620">
        <v>279.61421999999999</v>
      </c>
      <c r="L620" t="s">
        <v>11145</v>
      </c>
      <c r="M620" t="s">
        <v>11145</v>
      </c>
      <c r="N620" t="s">
        <v>11145</v>
      </c>
      <c r="O620" t="s">
        <v>11145</v>
      </c>
      <c r="P620" t="s">
        <v>12515</v>
      </c>
    </row>
    <row r="621" spans="1:16" x14ac:dyDescent="0.2">
      <c r="A621" t="str">
        <f t="shared" si="9"/>
        <v>metab_compid_12261</v>
      </c>
      <c r="B621" t="s">
        <v>12516</v>
      </c>
      <c r="C621">
        <v>2776</v>
      </c>
      <c r="D621" t="s">
        <v>5076</v>
      </c>
      <c r="E621" t="s">
        <v>3459</v>
      </c>
      <c r="F621" t="s">
        <v>3819</v>
      </c>
      <c r="G621">
        <v>12261</v>
      </c>
      <c r="H621" t="s">
        <v>11327</v>
      </c>
      <c r="I621">
        <v>1668</v>
      </c>
      <c r="J621">
        <v>5257.4</v>
      </c>
      <c r="K621">
        <v>498.28948000000003</v>
      </c>
      <c r="L621" t="s">
        <v>5077</v>
      </c>
      <c r="M621">
        <v>2733768</v>
      </c>
      <c r="N621" t="s">
        <v>5080</v>
      </c>
      <c r="O621" t="s">
        <v>12517</v>
      </c>
      <c r="P621" t="s">
        <v>12516</v>
      </c>
    </row>
    <row r="622" spans="1:16" x14ac:dyDescent="0.2">
      <c r="A622" t="str">
        <f t="shared" si="9"/>
        <v>metab_compid_36850</v>
      </c>
      <c r="B622" t="s">
        <v>12518</v>
      </c>
      <c r="C622">
        <v>2785</v>
      </c>
      <c r="D622" t="s">
        <v>6839</v>
      </c>
      <c r="E622" t="s">
        <v>3459</v>
      </c>
      <c r="F622" t="s">
        <v>3819</v>
      </c>
      <c r="G622">
        <v>36850</v>
      </c>
      <c r="H622" t="s">
        <v>11327</v>
      </c>
      <c r="I622">
        <v>100001658</v>
      </c>
      <c r="J622">
        <v>5027</v>
      </c>
      <c r="K622">
        <v>280.62205</v>
      </c>
      <c r="L622" t="s">
        <v>6840</v>
      </c>
      <c r="M622">
        <v>440071</v>
      </c>
      <c r="N622" t="s">
        <v>6843</v>
      </c>
      <c r="O622" t="s">
        <v>12519</v>
      </c>
      <c r="P622" t="s">
        <v>12518</v>
      </c>
    </row>
    <row r="623" spans="1:16" x14ac:dyDescent="0.2">
      <c r="A623" t="str">
        <f t="shared" si="9"/>
        <v>metab_compid_35669</v>
      </c>
      <c r="B623" t="s">
        <v>12520</v>
      </c>
      <c r="C623">
        <v>1333</v>
      </c>
      <c r="D623" t="s">
        <v>6752</v>
      </c>
      <c r="E623" t="s">
        <v>3459</v>
      </c>
      <c r="F623" t="s">
        <v>3873</v>
      </c>
      <c r="G623">
        <v>35669</v>
      </c>
      <c r="H623" t="s">
        <v>11327</v>
      </c>
      <c r="I623">
        <v>100001613</v>
      </c>
      <c r="J623">
        <v>4000</v>
      </c>
      <c r="K623">
        <v>257.17583000000002</v>
      </c>
      <c r="L623" t="s">
        <v>6754</v>
      </c>
      <c r="M623">
        <v>13185</v>
      </c>
      <c r="N623" t="s">
        <v>11145</v>
      </c>
      <c r="O623" t="s">
        <v>12521</v>
      </c>
      <c r="P623" t="s">
        <v>12520</v>
      </c>
    </row>
    <row r="624" spans="1:16" x14ac:dyDescent="0.2">
      <c r="A624" t="str">
        <f t="shared" si="9"/>
        <v>metab_compid_27738</v>
      </c>
      <c r="B624" t="s">
        <v>12522</v>
      </c>
      <c r="C624">
        <v>3591</v>
      </c>
      <c r="D624" t="s">
        <v>5718</v>
      </c>
      <c r="E624" t="s">
        <v>3448</v>
      </c>
      <c r="F624" t="s">
        <v>5600</v>
      </c>
      <c r="G624">
        <v>27738</v>
      </c>
      <c r="H624" t="s">
        <v>11545</v>
      </c>
      <c r="I624">
        <v>100001022</v>
      </c>
      <c r="J624">
        <v>2384</v>
      </c>
      <c r="K624">
        <v>135.02988999999999</v>
      </c>
      <c r="L624" t="s">
        <v>5719</v>
      </c>
      <c r="M624">
        <v>151152</v>
      </c>
      <c r="N624" t="s">
        <v>5722</v>
      </c>
      <c r="O624" t="s">
        <v>12523</v>
      </c>
      <c r="P624" t="s">
        <v>12522</v>
      </c>
    </row>
    <row r="625" spans="1:16" x14ac:dyDescent="0.2">
      <c r="A625" t="str">
        <f t="shared" si="9"/>
        <v>metab_compid_1284</v>
      </c>
      <c r="B625" t="s">
        <v>12524</v>
      </c>
      <c r="C625">
        <v>16</v>
      </c>
      <c r="D625" t="s">
        <v>4233</v>
      </c>
      <c r="E625" t="s">
        <v>3436</v>
      </c>
      <c r="F625" t="s">
        <v>3882</v>
      </c>
      <c r="G625">
        <v>1284</v>
      </c>
      <c r="H625" t="s">
        <v>11320</v>
      </c>
      <c r="I625">
        <v>564</v>
      </c>
      <c r="J625">
        <v>1514</v>
      </c>
      <c r="K625">
        <v>120.06552000000001</v>
      </c>
      <c r="L625" t="s">
        <v>4234</v>
      </c>
      <c r="M625">
        <v>6288</v>
      </c>
      <c r="N625" t="s">
        <v>4237</v>
      </c>
      <c r="O625" t="s">
        <v>12525</v>
      </c>
      <c r="P625" t="s">
        <v>12524</v>
      </c>
    </row>
    <row r="626" spans="1:16" x14ac:dyDescent="0.2">
      <c r="A626" t="str">
        <f t="shared" si="9"/>
        <v>metab_compid_31530</v>
      </c>
      <c r="B626" t="s">
        <v>12526</v>
      </c>
      <c r="C626">
        <v>774</v>
      </c>
      <c r="D626" t="s">
        <v>5869</v>
      </c>
      <c r="E626" t="s">
        <v>3853</v>
      </c>
      <c r="F626" t="s">
        <v>5381</v>
      </c>
      <c r="G626">
        <v>31530</v>
      </c>
      <c r="H626" t="s">
        <v>11327</v>
      </c>
      <c r="I626">
        <v>100001125</v>
      </c>
      <c r="J626">
        <v>2322</v>
      </c>
      <c r="K626">
        <v>265.11937999999998</v>
      </c>
      <c r="L626" t="s">
        <v>5870</v>
      </c>
      <c r="M626">
        <v>4099799</v>
      </c>
      <c r="N626" t="s">
        <v>11145</v>
      </c>
      <c r="O626" t="s">
        <v>12527</v>
      </c>
      <c r="P626" t="s">
        <v>12526</v>
      </c>
    </row>
    <row r="627" spans="1:16" x14ac:dyDescent="0.2">
      <c r="A627" t="str">
        <f t="shared" si="9"/>
        <v>metab_compid_2761</v>
      </c>
      <c r="B627" t="s">
        <v>12528</v>
      </c>
      <c r="C627">
        <v>203</v>
      </c>
      <c r="D627" t="s">
        <v>4650</v>
      </c>
      <c r="E627" t="s">
        <v>3436</v>
      </c>
      <c r="F627" t="s">
        <v>3687</v>
      </c>
      <c r="G627">
        <v>2761</v>
      </c>
      <c r="H627" t="s">
        <v>11327</v>
      </c>
      <c r="I627">
        <v>1094</v>
      </c>
      <c r="J627">
        <v>4808</v>
      </c>
      <c r="K627">
        <v>775.67944</v>
      </c>
      <c r="L627" t="s">
        <v>4651</v>
      </c>
      <c r="M627">
        <v>5819</v>
      </c>
      <c r="N627" t="s">
        <v>4654</v>
      </c>
      <c r="O627" t="s">
        <v>12529</v>
      </c>
      <c r="P627" t="s">
        <v>12528</v>
      </c>
    </row>
    <row r="628" spans="1:16" x14ac:dyDescent="0.2">
      <c r="A628" t="str">
        <f t="shared" si="9"/>
        <v>metab_compid_35428</v>
      </c>
      <c r="B628" t="s">
        <v>12530</v>
      </c>
      <c r="C628">
        <v>302</v>
      </c>
      <c r="D628" t="s">
        <v>6696</v>
      </c>
      <c r="E628" t="s">
        <v>3436</v>
      </c>
      <c r="F628" t="s">
        <v>3498</v>
      </c>
      <c r="G628">
        <v>35428</v>
      </c>
      <c r="H628" t="s">
        <v>11320</v>
      </c>
      <c r="I628">
        <v>100001597</v>
      </c>
      <c r="J628">
        <v>2962</v>
      </c>
      <c r="K628">
        <v>244.15433999999999</v>
      </c>
      <c r="L628" t="s">
        <v>6698</v>
      </c>
      <c r="M628">
        <v>22833596</v>
      </c>
      <c r="N628" t="s">
        <v>11145</v>
      </c>
      <c r="O628" t="s">
        <v>12531</v>
      </c>
      <c r="P628" t="s">
        <v>12530</v>
      </c>
    </row>
    <row r="629" spans="1:16" x14ac:dyDescent="0.2">
      <c r="A629" t="str">
        <f t="shared" si="9"/>
        <v>metab_compid_32306</v>
      </c>
      <c r="B629" t="s">
        <v>12532</v>
      </c>
      <c r="C629">
        <v>388</v>
      </c>
      <c r="D629" t="s">
        <v>4521</v>
      </c>
      <c r="E629" t="s">
        <v>3436</v>
      </c>
      <c r="F629" t="s">
        <v>3661</v>
      </c>
      <c r="G629">
        <v>32306</v>
      </c>
      <c r="H629" t="s">
        <v>11320</v>
      </c>
      <c r="I629">
        <v>1001</v>
      </c>
      <c r="J629">
        <v>1064</v>
      </c>
      <c r="K629">
        <v>132.06551999999999</v>
      </c>
      <c r="L629" t="s">
        <v>4523</v>
      </c>
      <c r="M629">
        <v>5810</v>
      </c>
      <c r="N629" t="s">
        <v>4526</v>
      </c>
      <c r="O629" t="s">
        <v>12533</v>
      </c>
      <c r="P629" t="s">
        <v>12532</v>
      </c>
    </row>
    <row r="630" spans="1:16" x14ac:dyDescent="0.2">
      <c r="A630" t="str">
        <f t="shared" si="9"/>
        <v>metab_compid_607</v>
      </c>
      <c r="B630" t="s">
        <v>12534</v>
      </c>
      <c r="C630">
        <v>72</v>
      </c>
      <c r="D630" t="s">
        <v>4209</v>
      </c>
      <c r="E630" t="s">
        <v>3436</v>
      </c>
      <c r="F630" t="s">
        <v>3906</v>
      </c>
      <c r="G630">
        <v>607</v>
      </c>
      <c r="H630" t="s">
        <v>11320</v>
      </c>
      <c r="I630">
        <v>537</v>
      </c>
      <c r="J630">
        <v>2285</v>
      </c>
      <c r="K630">
        <v>139.05020999999999</v>
      </c>
      <c r="L630" t="s">
        <v>4210</v>
      </c>
      <c r="M630">
        <v>736715</v>
      </c>
      <c r="N630" t="s">
        <v>4213</v>
      </c>
      <c r="O630" t="s">
        <v>12535</v>
      </c>
      <c r="P630" t="s">
        <v>12534</v>
      </c>
    </row>
    <row r="631" spans="1:16" x14ac:dyDescent="0.2">
      <c r="A631" t="str">
        <f t="shared" si="9"/>
        <v>metab_compid_52436</v>
      </c>
      <c r="B631" t="s">
        <v>12536</v>
      </c>
      <c r="C631">
        <v>2504</v>
      </c>
      <c r="D631" t="s">
        <v>8869</v>
      </c>
      <c r="E631" t="s">
        <v>3459</v>
      </c>
      <c r="F631" t="s">
        <v>814</v>
      </c>
      <c r="G631">
        <v>52436</v>
      </c>
      <c r="H631" t="s">
        <v>11322</v>
      </c>
      <c r="I631">
        <v>100008955</v>
      </c>
      <c r="J631">
        <v>3200</v>
      </c>
      <c r="K631">
        <v>801.68440999999996</v>
      </c>
      <c r="L631" t="s">
        <v>11145</v>
      </c>
      <c r="M631" t="s">
        <v>11145</v>
      </c>
      <c r="N631" t="s">
        <v>11145</v>
      </c>
      <c r="O631" t="s">
        <v>12537</v>
      </c>
      <c r="P631" t="s">
        <v>12536</v>
      </c>
    </row>
    <row r="632" spans="1:16" x14ac:dyDescent="0.2">
      <c r="A632" t="str">
        <f t="shared" si="9"/>
        <v>metab_compid_32401</v>
      </c>
      <c r="B632" t="s">
        <v>12538</v>
      </c>
      <c r="C632">
        <v>3568</v>
      </c>
      <c r="D632" t="s">
        <v>5814</v>
      </c>
      <c r="E632" t="s">
        <v>3448</v>
      </c>
      <c r="F632" t="s">
        <v>3449</v>
      </c>
      <c r="G632">
        <v>32401</v>
      </c>
      <c r="H632" t="s">
        <v>11320</v>
      </c>
      <c r="I632">
        <v>100001092</v>
      </c>
      <c r="J632">
        <v>1388</v>
      </c>
      <c r="K632">
        <v>138.05495999999999</v>
      </c>
      <c r="L632" t="s">
        <v>5815</v>
      </c>
      <c r="M632">
        <v>5570</v>
      </c>
      <c r="N632" t="s">
        <v>5818</v>
      </c>
      <c r="O632" t="s">
        <v>12539</v>
      </c>
      <c r="P632" t="s">
        <v>12538</v>
      </c>
    </row>
    <row r="633" spans="1:16" x14ac:dyDescent="0.2">
      <c r="A633" t="str">
        <f t="shared" si="9"/>
        <v>metab_compid_40406</v>
      </c>
      <c r="B633" t="s">
        <v>12540</v>
      </c>
      <c r="C633">
        <v>1746</v>
      </c>
      <c r="D633" t="s">
        <v>7871</v>
      </c>
      <c r="E633" t="s">
        <v>3459</v>
      </c>
      <c r="F633" t="s">
        <v>3758</v>
      </c>
      <c r="G633">
        <v>40406</v>
      </c>
      <c r="H633" t="s">
        <v>11320</v>
      </c>
      <c r="I633">
        <v>100003397</v>
      </c>
      <c r="J633">
        <v>2100</v>
      </c>
      <c r="K633">
        <v>76.075689999999994</v>
      </c>
      <c r="L633" t="s">
        <v>7872</v>
      </c>
      <c r="M633">
        <v>1145</v>
      </c>
      <c r="N633" t="s">
        <v>7875</v>
      </c>
      <c r="O633" t="s">
        <v>12541</v>
      </c>
      <c r="P633" t="s">
        <v>12540</v>
      </c>
    </row>
    <row r="634" spans="1:16" x14ac:dyDescent="0.2">
      <c r="A634" t="str">
        <f t="shared" si="9"/>
        <v>metab_compid_54</v>
      </c>
      <c r="B634" t="s">
        <v>12542</v>
      </c>
      <c r="C634">
        <v>207</v>
      </c>
      <c r="D634" t="s">
        <v>4241</v>
      </c>
      <c r="E634" t="s">
        <v>3436</v>
      </c>
      <c r="F634" t="s">
        <v>3470</v>
      </c>
      <c r="G634">
        <v>54</v>
      </c>
      <c r="H634" t="s">
        <v>11320</v>
      </c>
      <c r="I634">
        <v>565</v>
      </c>
      <c r="J634">
        <v>2986</v>
      </c>
      <c r="K634">
        <v>205.09716</v>
      </c>
      <c r="L634" t="s">
        <v>4242</v>
      </c>
      <c r="M634">
        <v>6305</v>
      </c>
      <c r="N634" t="s">
        <v>4245</v>
      </c>
      <c r="O634" t="s">
        <v>12543</v>
      </c>
      <c r="P634" t="s">
        <v>12542</v>
      </c>
    </row>
    <row r="635" spans="1:16" x14ac:dyDescent="0.2">
      <c r="A635" t="str">
        <f t="shared" si="9"/>
        <v>metab_compid_37097</v>
      </c>
      <c r="B635" t="s">
        <v>12544</v>
      </c>
      <c r="C635">
        <v>216</v>
      </c>
      <c r="D635" t="s">
        <v>6908</v>
      </c>
      <c r="E635" t="s">
        <v>3436</v>
      </c>
      <c r="F635" t="s">
        <v>3470</v>
      </c>
      <c r="G635">
        <v>37097</v>
      </c>
      <c r="H635" t="s">
        <v>11320</v>
      </c>
      <c r="I635">
        <v>100001743</v>
      </c>
      <c r="J635">
        <v>2673</v>
      </c>
      <c r="K635">
        <v>247.14411000000001</v>
      </c>
      <c r="L635" t="s">
        <v>6909</v>
      </c>
      <c r="M635">
        <v>442106</v>
      </c>
      <c r="N635" t="s">
        <v>6912</v>
      </c>
      <c r="O635" t="s">
        <v>12545</v>
      </c>
      <c r="P635" t="s">
        <v>12544</v>
      </c>
    </row>
    <row r="636" spans="1:16" x14ac:dyDescent="0.2">
      <c r="A636" t="str">
        <f t="shared" si="9"/>
        <v>metab_compid_48408</v>
      </c>
      <c r="B636" t="s">
        <v>12546</v>
      </c>
      <c r="C636">
        <v>186</v>
      </c>
      <c r="D636" t="s">
        <v>8438</v>
      </c>
      <c r="E636" t="s">
        <v>3436</v>
      </c>
      <c r="F636" t="s">
        <v>3687</v>
      </c>
      <c r="G636">
        <v>48408</v>
      </c>
      <c r="H636" t="s">
        <v>11327</v>
      </c>
      <c r="I636">
        <v>100006092</v>
      </c>
      <c r="J636">
        <v>1565</v>
      </c>
      <c r="K636">
        <v>216.03360000000001</v>
      </c>
      <c r="L636" t="s">
        <v>8439</v>
      </c>
      <c r="M636">
        <v>153005</v>
      </c>
      <c r="N636" t="s">
        <v>11145</v>
      </c>
      <c r="O636" t="s">
        <v>12547</v>
      </c>
      <c r="P636" t="s">
        <v>12546</v>
      </c>
    </row>
    <row r="637" spans="1:16" x14ac:dyDescent="0.2">
      <c r="A637" t="str">
        <f t="shared" si="9"/>
        <v>metab_compid_1299</v>
      </c>
      <c r="B637" t="s">
        <v>12548</v>
      </c>
      <c r="C637">
        <v>132</v>
      </c>
      <c r="D637" t="s">
        <v>1068</v>
      </c>
      <c r="E637" t="s">
        <v>3436</v>
      </c>
      <c r="F637" t="s">
        <v>3687</v>
      </c>
      <c r="G637">
        <v>1299</v>
      </c>
      <c r="H637" t="s">
        <v>11320</v>
      </c>
      <c r="I637">
        <v>815</v>
      </c>
      <c r="J637">
        <v>2430</v>
      </c>
      <c r="K637">
        <v>182.08116999999999</v>
      </c>
      <c r="L637" t="s">
        <v>4319</v>
      </c>
      <c r="M637">
        <v>6057</v>
      </c>
      <c r="N637" t="s">
        <v>4322</v>
      </c>
      <c r="O637" t="s">
        <v>12549</v>
      </c>
      <c r="P637" t="s">
        <v>12548</v>
      </c>
    </row>
    <row r="638" spans="1:16" x14ac:dyDescent="0.2">
      <c r="A638" t="str">
        <f t="shared" si="9"/>
        <v>metab_compid_605</v>
      </c>
      <c r="B638" t="s">
        <v>12550</v>
      </c>
      <c r="C638">
        <v>3477</v>
      </c>
      <c r="D638" t="s">
        <v>4350</v>
      </c>
      <c r="E638" t="s">
        <v>3533</v>
      </c>
      <c r="F638" t="s">
        <v>3705</v>
      </c>
      <c r="G638">
        <v>605</v>
      </c>
      <c r="H638" t="s">
        <v>11545</v>
      </c>
      <c r="I638">
        <v>825</v>
      </c>
      <c r="J638">
        <v>1089.7</v>
      </c>
      <c r="K638">
        <v>111.02</v>
      </c>
      <c r="L638" t="s">
        <v>4351</v>
      </c>
      <c r="M638">
        <v>1174</v>
      </c>
      <c r="N638" t="s">
        <v>4354</v>
      </c>
      <c r="O638" t="s">
        <v>12551</v>
      </c>
      <c r="P638" t="s">
        <v>12550</v>
      </c>
    </row>
    <row r="639" spans="1:16" x14ac:dyDescent="0.2">
      <c r="A639" t="str">
        <f t="shared" si="9"/>
        <v>metab_compid_1604</v>
      </c>
      <c r="B639" t="s">
        <v>12552</v>
      </c>
      <c r="C639">
        <v>3394</v>
      </c>
      <c r="D639" t="s">
        <v>4752</v>
      </c>
      <c r="E639" t="s">
        <v>3533</v>
      </c>
      <c r="F639" t="s">
        <v>3543</v>
      </c>
      <c r="G639">
        <v>1604</v>
      </c>
      <c r="H639" t="s">
        <v>11327</v>
      </c>
      <c r="I639">
        <v>1134</v>
      </c>
      <c r="J639">
        <v>757.1</v>
      </c>
      <c r="K639">
        <v>167.02106000000001</v>
      </c>
      <c r="L639" t="s">
        <v>12553</v>
      </c>
      <c r="M639">
        <v>1175</v>
      </c>
      <c r="N639" t="s">
        <v>4755</v>
      </c>
      <c r="O639" t="s">
        <v>12554</v>
      </c>
      <c r="P639" t="s">
        <v>12552</v>
      </c>
    </row>
    <row r="640" spans="1:16" x14ac:dyDescent="0.2">
      <c r="A640" t="str">
        <f t="shared" si="9"/>
        <v>metab_compid_1670</v>
      </c>
      <c r="B640" t="s">
        <v>12555</v>
      </c>
      <c r="C640">
        <v>367</v>
      </c>
      <c r="D640" t="s">
        <v>4185</v>
      </c>
      <c r="E640" t="s">
        <v>3436</v>
      </c>
      <c r="F640" t="s">
        <v>3661</v>
      </c>
      <c r="G640">
        <v>1670</v>
      </c>
      <c r="H640" t="s">
        <v>11320</v>
      </c>
      <c r="I640">
        <v>533</v>
      </c>
      <c r="J640">
        <v>700</v>
      </c>
      <c r="K640">
        <v>121.07201000000001</v>
      </c>
      <c r="L640" t="s">
        <v>4186</v>
      </c>
      <c r="M640">
        <v>1176</v>
      </c>
      <c r="N640" t="s">
        <v>4189</v>
      </c>
      <c r="O640" t="s">
        <v>12556</v>
      </c>
      <c r="P640" t="s">
        <v>12555</v>
      </c>
    </row>
    <row r="641" spans="1:16" x14ac:dyDescent="0.2">
      <c r="A641" t="str">
        <f t="shared" si="9"/>
        <v>metab_compid_606</v>
      </c>
      <c r="B641" t="s">
        <v>12557</v>
      </c>
      <c r="C641">
        <v>3476</v>
      </c>
      <c r="D641" t="s">
        <v>4193</v>
      </c>
      <c r="E641" t="s">
        <v>3533</v>
      </c>
      <c r="F641" t="s">
        <v>3705</v>
      </c>
      <c r="G641">
        <v>606</v>
      </c>
      <c r="H641" t="s">
        <v>11327</v>
      </c>
      <c r="I641">
        <v>535</v>
      </c>
      <c r="J641">
        <v>1457.6</v>
      </c>
      <c r="K641">
        <v>243.06226000000001</v>
      </c>
      <c r="L641" t="s">
        <v>4194</v>
      </c>
      <c r="M641">
        <v>6029</v>
      </c>
      <c r="N641" t="s">
        <v>4197</v>
      </c>
      <c r="O641" t="s">
        <v>12558</v>
      </c>
      <c r="P641" t="s">
        <v>12557</v>
      </c>
    </row>
    <row r="642" spans="1:16" x14ac:dyDescent="0.2">
      <c r="A642" t="str">
        <f t="shared" si="9"/>
        <v>metab_compid_1605</v>
      </c>
      <c r="B642" t="s">
        <v>12559</v>
      </c>
      <c r="C642">
        <v>2787</v>
      </c>
      <c r="D642" t="s">
        <v>4759</v>
      </c>
      <c r="E642" t="s">
        <v>3459</v>
      </c>
      <c r="F642" t="s">
        <v>3819</v>
      </c>
      <c r="G642">
        <v>1605</v>
      </c>
      <c r="H642" t="s">
        <v>11327</v>
      </c>
      <c r="I642">
        <v>1135</v>
      </c>
      <c r="J642">
        <v>5055</v>
      </c>
      <c r="K642">
        <v>391.28537999999998</v>
      </c>
      <c r="L642" t="s">
        <v>4760</v>
      </c>
      <c r="M642">
        <v>31401</v>
      </c>
      <c r="N642" t="s">
        <v>4763</v>
      </c>
      <c r="O642" t="s">
        <v>12560</v>
      </c>
      <c r="P642" t="s">
        <v>12559</v>
      </c>
    </row>
    <row r="643" spans="1:16" x14ac:dyDescent="0.2">
      <c r="A643" t="str">
        <f t="shared" ref="A643:A706" si="10">_xlfn.CONCAT("metab_compid_", $G643)</f>
        <v>metab_compid_1649</v>
      </c>
      <c r="B643" t="s">
        <v>12561</v>
      </c>
      <c r="C643">
        <v>314</v>
      </c>
      <c r="D643" t="s">
        <v>1072</v>
      </c>
      <c r="E643" t="s">
        <v>3436</v>
      </c>
      <c r="F643" t="s">
        <v>3498</v>
      </c>
      <c r="G643">
        <v>1649</v>
      </c>
      <c r="H643" t="s">
        <v>11320</v>
      </c>
      <c r="I643">
        <v>566</v>
      </c>
      <c r="J643">
        <v>2479</v>
      </c>
      <c r="K643">
        <v>118.08626</v>
      </c>
      <c r="L643" t="s">
        <v>4249</v>
      </c>
      <c r="M643">
        <v>6287</v>
      </c>
      <c r="N643" t="s">
        <v>4252</v>
      </c>
      <c r="O643" t="s">
        <v>12562</v>
      </c>
      <c r="P643" t="s">
        <v>12561</v>
      </c>
    </row>
    <row r="644" spans="1:16" x14ac:dyDescent="0.2">
      <c r="A644" t="str">
        <f t="shared" si="10"/>
        <v>metab_compid_40475</v>
      </c>
      <c r="B644" t="s">
        <v>12563</v>
      </c>
      <c r="C644">
        <v>817</v>
      </c>
      <c r="D644" t="s">
        <v>7954</v>
      </c>
      <c r="E644" t="s">
        <v>3853</v>
      </c>
      <c r="F644" t="s">
        <v>5381</v>
      </c>
      <c r="G644">
        <v>40475</v>
      </c>
      <c r="H644" t="s">
        <v>11327</v>
      </c>
      <c r="I644">
        <v>100003641</v>
      </c>
      <c r="J644">
        <v>1506</v>
      </c>
      <c r="K644">
        <v>173.09316000000001</v>
      </c>
      <c r="L644" t="s">
        <v>7955</v>
      </c>
      <c r="M644">
        <v>136487</v>
      </c>
      <c r="N644" t="s">
        <v>11145</v>
      </c>
      <c r="O644" t="s">
        <v>12564</v>
      </c>
      <c r="P644" t="s">
        <v>12563</v>
      </c>
    </row>
    <row r="645" spans="1:16" x14ac:dyDescent="0.2">
      <c r="A645" t="str">
        <f t="shared" si="10"/>
        <v>metab_compid_54910</v>
      </c>
      <c r="B645" t="s">
        <v>12565</v>
      </c>
      <c r="C645">
        <v>160</v>
      </c>
      <c r="D645" t="s">
        <v>8479</v>
      </c>
      <c r="E645" t="s">
        <v>3436</v>
      </c>
      <c r="F645" t="s">
        <v>3687</v>
      </c>
      <c r="G645">
        <v>54910</v>
      </c>
      <c r="H645" t="s">
        <v>11327</v>
      </c>
      <c r="I645">
        <v>100006129</v>
      </c>
      <c r="J645">
        <v>1625</v>
      </c>
      <c r="K645">
        <v>211.06119000000001</v>
      </c>
      <c r="L645" t="s">
        <v>8480</v>
      </c>
      <c r="M645">
        <v>160637</v>
      </c>
      <c r="N645" t="s">
        <v>11145</v>
      </c>
      <c r="O645" t="s">
        <v>12566</v>
      </c>
      <c r="P645" t="s">
        <v>12565</v>
      </c>
    </row>
    <row r="646" spans="1:16" x14ac:dyDescent="0.2">
      <c r="A646" t="str">
        <f t="shared" si="10"/>
        <v>metab_compid_1567</v>
      </c>
      <c r="B646" t="s">
        <v>12567</v>
      </c>
      <c r="C646">
        <v>161</v>
      </c>
      <c r="D646" t="s">
        <v>4698</v>
      </c>
      <c r="E646" t="s">
        <v>3436</v>
      </c>
      <c r="F646" t="s">
        <v>3687</v>
      </c>
      <c r="G646">
        <v>1567</v>
      </c>
      <c r="H646" t="s">
        <v>11327</v>
      </c>
      <c r="I646">
        <v>1111</v>
      </c>
      <c r="J646">
        <v>941</v>
      </c>
      <c r="K646">
        <v>197.04554999999999</v>
      </c>
      <c r="L646" t="s">
        <v>4699</v>
      </c>
      <c r="M646">
        <v>1245</v>
      </c>
      <c r="N646" t="s">
        <v>4702</v>
      </c>
      <c r="O646" t="s">
        <v>12568</v>
      </c>
      <c r="P646" t="s">
        <v>12567</v>
      </c>
    </row>
    <row r="647" spans="1:16" x14ac:dyDescent="0.2">
      <c r="A647" t="str">
        <f t="shared" si="10"/>
        <v>metab_compid_3147</v>
      </c>
      <c r="B647" t="s">
        <v>12569</v>
      </c>
      <c r="C647">
        <v>3386</v>
      </c>
      <c r="D647" t="s">
        <v>4538</v>
      </c>
      <c r="E647" t="s">
        <v>3533</v>
      </c>
      <c r="F647" t="s">
        <v>3543</v>
      </c>
      <c r="G647">
        <v>3147</v>
      </c>
      <c r="H647" t="s">
        <v>11327</v>
      </c>
      <c r="I647">
        <v>1004</v>
      </c>
      <c r="J647">
        <v>910</v>
      </c>
      <c r="K647">
        <v>151.02615</v>
      </c>
      <c r="L647" t="s">
        <v>4539</v>
      </c>
      <c r="M647">
        <v>1188</v>
      </c>
      <c r="N647" t="s">
        <v>4542</v>
      </c>
      <c r="O647" t="s">
        <v>12570</v>
      </c>
      <c r="P647" t="s">
        <v>12569</v>
      </c>
    </row>
    <row r="648" spans="1:16" x14ac:dyDescent="0.2">
      <c r="A648" t="str">
        <f t="shared" si="10"/>
        <v>metab_compid_15136</v>
      </c>
      <c r="B648" t="s">
        <v>12571</v>
      </c>
      <c r="C648">
        <v>3388</v>
      </c>
      <c r="D648" t="s">
        <v>12572</v>
      </c>
      <c r="E648" t="s">
        <v>3533</v>
      </c>
      <c r="F648" t="s">
        <v>3543</v>
      </c>
      <c r="G648">
        <v>15136</v>
      </c>
      <c r="H648" t="s">
        <v>11327</v>
      </c>
      <c r="I648">
        <v>100000299</v>
      </c>
      <c r="J648">
        <v>1075</v>
      </c>
      <c r="K648">
        <v>283.0684</v>
      </c>
      <c r="L648" t="s">
        <v>12573</v>
      </c>
      <c r="M648">
        <v>64959</v>
      </c>
      <c r="N648" t="s">
        <v>12574</v>
      </c>
      <c r="O648" t="s">
        <v>12575</v>
      </c>
      <c r="P648" t="s">
        <v>12571</v>
      </c>
    </row>
    <row r="649" spans="1:16" x14ac:dyDescent="0.2">
      <c r="A649" t="str">
        <f t="shared" si="10"/>
        <v>metab_compid_15679</v>
      </c>
      <c r="B649" t="s">
        <v>12576</v>
      </c>
      <c r="C649">
        <v>228</v>
      </c>
      <c r="D649" t="s">
        <v>5177</v>
      </c>
      <c r="E649" t="s">
        <v>3436</v>
      </c>
      <c r="F649" t="s">
        <v>3470</v>
      </c>
      <c r="G649">
        <v>15679</v>
      </c>
      <c r="H649" t="s">
        <v>11327</v>
      </c>
      <c r="I649">
        <v>100000015</v>
      </c>
      <c r="J649">
        <v>1476</v>
      </c>
      <c r="K649">
        <v>204.03022999999999</v>
      </c>
      <c r="L649" t="s">
        <v>5178</v>
      </c>
      <c r="M649">
        <v>5699</v>
      </c>
      <c r="N649" t="s">
        <v>5181</v>
      </c>
      <c r="O649" t="s">
        <v>12577</v>
      </c>
      <c r="P649" t="s">
        <v>12576</v>
      </c>
    </row>
    <row r="650" spans="1:16" x14ac:dyDescent="0.2">
      <c r="A650" t="str">
        <f t="shared" si="10"/>
        <v>metab_compid_57517</v>
      </c>
      <c r="B650" t="s">
        <v>12578</v>
      </c>
      <c r="C650">
        <v>1489</v>
      </c>
      <c r="D650" t="s">
        <v>9487</v>
      </c>
      <c r="E650" t="s">
        <v>3459</v>
      </c>
      <c r="F650" t="s">
        <v>11596</v>
      </c>
      <c r="G650">
        <v>57517</v>
      </c>
      <c r="H650" t="s">
        <v>11322</v>
      </c>
      <c r="I650">
        <v>100015836</v>
      </c>
      <c r="J650">
        <v>1607</v>
      </c>
      <c r="K650">
        <v>538.48298999999997</v>
      </c>
      <c r="L650" t="s">
        <v>11145</v>
      </c>
      <c r="M650" t="s">
        <v>11145</v>
      </c>
      <c r="N650" t="s">
        <v>11145</v>
      </c>
      <c r="O650" t="s">
        <v>11145</v>
      </c>
      <c r="P650" t="s">
        <v>12578</v>
      </c>
    </row>
    <row r="651" spans="1:16" x14ac:dyDescent="0.2">
      <c r="A651" t="str">
        <f t="shared" si="10"/>
        <v>metab_compid_46590</v>
      </c>
      <c r="B651" t="s">
        <v>12579</v>
      </c>
      <c r="C651" t="s">
        <v>11145</v>
      </c>
      <c r="D651" t="s">
        <v>12580</v>
      </c>
      <c r="E651" t="s">
        <v>11145</v>
      </c>
      <c r="F651" t="s">
        <v>11145</v>
      </c>
      <c r="G651">
        <v>46590</v>
      </c>
      <c r="H651" t="s">
        <v>11327</v>
      </c>
      <c r="I651" t="s">
        <v>11145</v>
      </c>
      <c r="J651">
        <v>3698</v>
      </c>
      <c r="K651">
        <v>245.04838000000001</v>
      </c>
      <c r="L651" t="s">
        <v>11145</v>
      </c>
      <c r="M651" t="s">
        <v>11145</v>
      </c>
      <c r="N651" t="s">
        <v>11145</v>
      </c>
      <c r="O651" t="s">
        <v>11145</v>
      </c>
      <c r="P651" t="s">
        <v>12579</v>
      </c>
    </row>
    <row r="652" spans="1:16" x14ac:dyDescent="0.2">
      <c r="A652" t="str">
        <f t="shared" si="10"/>
        <v>metab_compid_46355</v>
      </c>
      <c r="B652" t="s">
        <v>12581</v>
      </c>
      <c r="C652" t="s">
        <v>11145</v>
      </c>
      <c r="D652" t="s">
        <v>12582</v>
      </c>
      <c r="E652" t="s">
        <v>11145</v>
      </c>
      <c r="F652" t="s">
        <v>11145</v>
      </c>
      <c r="G652">
        <v>46355</v>
      </c>
      <c r="H652" t="s">
        <v>11327</v>
      </c>
      <c r="I652" t="s">
        <v>11145</v>
      </c>
      <c r="J652">
        <v>2580.5</v>
      </c>
      <c r="K652">
        <v>153.01966999999999</v>
      </c>
      <c r="L652" t="s">
        <v>11145</v>
      </c>
      <c r="M652" t="s">
        <v>11145</v>
      </c>
      <c r="N652" t="s">
        <v>11145</v>
      </c>
      <c r="O652" t="s">
        <v>11145</v>
      </c>
      <c r="P652" t="s">
        <v>12581</v>
      </c>
    </row>
    <row r="653" spans="1:16" x14ac:dyDescent="0.2">
      <c r="A653" t="str">
        <f t="shared" si="10"/>
        <v>metab_compid_32578</v>
      </c>
      <c r="B653" t="s">
        <v>12583</v>
      </c>
      <c r="C653" t="s">
        <v>11145</v>
      </c>
      <c r="D653" t="s">
        <v>12584</v>
      </c>
      <c r="E653" t="s">
        <v>11145</v>
      </c>
      <c r="F653" t="s">
        <v>11145</v>
      </c>
      <c r="G653">
        <v>32578</v>
      </c>
      <c r="H653" t="s">
        <v>11322</v>
      </c>
      <c r="I653" t="s">
        <v>11145</v>
      </c>
      <c r="J653">
        <v>870</v>
      </c>
      <c r="K653">
        <v>286.20078999999998</v>
      </c>
      <c r="L653" t="s">
        <v>11145</v>
      </c>
      <c r="M653" t="s">
        <v>11145</v>
      </c>
      <c r="N653" t="s">
        <v>11145</v>
      </c>
      <c r="O653" t="s">
        <v>11145</v>
      </c>
      <c r="P653" t="s">
        <v>12583</v>
      </c>
    </row>
    <row r="654" spans="1:16" x14ac:dyDescent="0.2">
      <c r="A654" t="str">
        <f t="shared" si="10"/>
        <v>metab_compid_46592</v>
      </c>
      <c r="B654" t="s">
        <v>12585</v>
      </c>
      <c r="C654" t="s">
        <v>11145</v>
      </c>
      <c r="D654" t="s">
        <v>12586</v>
      </c>
      <c r="E654" t="s">
        <v>11145</v>
      </c>
      <c r="F654" t="s">
        <v>11145</v>
      </c>
      <c r="G654">
        <v>46592</v>
      </c>
      <c r="H654" t="s">
        <v>11327</v>
      </c>
      <c r="I654" t="s">
        <v>11145</v>
      </c>
      <c r="J654">
        <v>4886</v>
      </c>
      <c r="K654">
        <v>507.22223000000002</v>
      </c>
      <c r="L654" t="s">
        <v>11145</v>
      </c>
      <c r="M654" t="s">
        <v>11145</v>
      </c>
      <c r="N654" t="s">
        <v>11145</v>
      </c>
      <c r="O654" t="s">
        <v>11145</v>
      </c>
      <c r="P654" t="s">
        <v>12585</v>
      </c>
    </row>
    <row r="655" spans="1:16" x14ac:dyDescent="0.2">
      <c r="A655" t="str">
        <f t="shared" si="10"/>
        <v>metab_compid_46390</v>
      </c>
      <c r="B655" t="s">
        <v>12587</v>
      </c>
      <c r="C655" t="s">
        <v>11145</v>
      </c>
      <c r="D655" t="s">
        <v>12588</v>
      </c>
      <c r="E655" t="s">
        <v>11145</v>
      </c>
      <c r="F655" t="s">
        <v>11145</v>
      </c>
      <c r="G655">
        <v>46390</v>
      </c>
      <c r="H655" t="s">
        <v>11327</v>
      </c>
      <c r="I655" t="s">
        <v>11145</v>
      </c>
      <c r="J655">
        <v>5163</v>
      </c>
      <c r="K655">
        <v>365.2704</v>
      </c>
      <c r="L655" t="s">
        <v>11145</v>
      </c>
      <c r="M655" t="s">
        <v>11145</v>
      </c>
      <c r="N655" t="s">
        <v>11145</v>
      </c>
      <c r="O655" t="s">
        <v>11145</v>
      </c>
      <c r="P655" t="s">
        <v>12587</v>
      </c>
    </row>
    <row r="656" spans="1:16" x14ac:dyDescent="0.2">
      <c r="A656" t="str">
        <f t="shared" si="10"/>
        <v>metab_compid_49592</v>
      </c>
      <c r="B656" t="s">
        <v>12589</v>
      </c>
      <c r="C656" t="s">
        <v>11145</v>
      </c>
      <c r="D656" t="s">
        <v>12590</v>
      </c>
      <c r="E656" t="s">
        <v>11145</v>
      </c>
      <c r="F656" t="s">
        <v>11145</v>
      </c>
      <c r="G656">
        <v>49592</v>
      </c>
      <c r="H656" t="s">
        <v>11327</v>
      </c>
      <c r="I656" t="s">
        <v>11145</v>
      </c>
      <c r="J656">
        <v>1157</v>
      </c>
      <c r="K656">
        <v>128.07154</v>
      </c>
      <c r="L656" t="s">
        <v>11145</v>
      </c>
      <c r="M656" t="s">
        <v>11145</v>
      </c>
      <c r="N656" t="s">
        <v>11145</v>
      </c>
      <c r="O656" t="s">
        <v>11145</v>
      </c>
      <c r="P656" t="s">
        <v>12589</v>
      </c>
    </row>
    <row r="657" spans="1:16" x14ac:dyDescent="0.2">
      <c r="A657" t="str">
        <f t="shared" si="10"/>
        <v>metab_compid_46594</v>
      </c>
      <c r="B657" t="s">
        <v>12591</v>
      </c>
      <c r="C657" t="s">
        <v>11145</v>
      </c>
      <c r="D657" t="s">
        <v>12592</v>
      </c>
      <c r="E657" t="s">
        <v>11145</v>
      </c>
      <c r="F657" t="s">
        <v>11145</v>
      </c>
      <c r="G657">
        <v>46594</v>
      </c>
      <c r="H657" t="s">
        <v>11327</v>
      </c>
      <c r="I657" t="s">
        <v>11145</v>
      </c>
      <c r="J657">
        <v>5319</v>
      </c>
      <c r="K657">
        <v>467.37301000000002</v>
      </c>
      <c r="L657" t="s">
        <v>11145</v>
      </c>
      <c r="M657" t="s">
        <v>11145</v>
      </c>
      <c r="N657" t="s">
        <v>11145</v>
      </c>
      <c r="O657" t="s">
        <v>11145</v>
      </c>
      <c r="P657" t="s">
        <v>12591</v>
      </c>
    </row>
    <row r="658" spans="1:16" x14ac:dyDescent="0.2">
      <c r="A658" t="str">
        <f t="shared" si="10"/>
        <v>metab_compid_46595</v>
      </c>
      <c r="B658" t="s">
        <v>12593</v>
      </c>
      <c r="C658" t="s">
        <v>11145</v>
      </c>
      <c r="D658" t="s">
        <v>12594</v>
      </c>
      <c r="E658" t="s">
        <v>11145</v>
      </c>
      <c r="F658" t="s">
        <v>11145</v>
      </c>
      <c r="G658">
        <v>46595</v>
      </c>
      <c r="H658" t="s">
        <v>11327</v>
      </c>
      <c r="I658" t="s">
        <v>11145</v>
      </c>
      <c r="J658">
        <v>5343</v>
      </c>
      <c r="K658">
        <v>445.33055999999999</v>
      </c>
      <c r="L658" t="s">
        <v>11145</v>
      </c>
      <c r="M658" t="s">
        <v>11145</v>
      </c>
      <c r="N658" t="s">
        <v>11145</v>
      </c>
      <c r="O658" t="s">
        <v>11145</v>
      </c>
      <c r="P658" t="s">
        <v>12593</v>
      </c>
    </row>
    <row r="659" spans="1:16" x14ac:dyDescent="0.2">
      <c r="A659" t="str">
        <f t="shared" si="10"/>
        <v>metab_compid_32698</v>
      </c>
      <c r="B659" t="s">
        <v>12595</v>
      </c>
      <c r="C659" t="s">
        <v>11145</v>
      </c>
      <c r="D659" t="s">
        <v>12596</v>
      </c>
      <c r="E659" t="s">
        <v>11145</v>
      </c>
      <c r="F659" t="s">
        <v>11145</v>
      </c>
      <c r="G659">
        <v>32698</v>
      </c>
      <c r="H659" t="s">
        <v>11320</v>
      </c>
      <c r="I659" t="s">
        <v>11145</v>
      </c>
      <c r="J659">
        <v>2331</v>
      </c>
      <c r="K659">
        <v>186.11233999999999</v>
      </c>
      <c r="L659" t="s">
        <v>11145</v>
      </c>
      <c r="M659" t="s">
        <v>11145</v>
      </c>
      <c r="N659" t="s">
        <v>11145</v>
      </c>
      <c r="O659" t="s">
        <v>11145</v>
      </c>
      <c r="P659" t="s">
        <v>12595</v>
      </c>
    </row>
    <row r="660" spans="1:16" x14ac:dyDescent="0.2">
      <c r="A660" t="str">
        <f t="shared" si="10"/>
        <v>metab_compid_46598</v>
      </c>
      <c r="B660" t="s">
        <v>12597</v>
      </c>
      <c r="C660" t="s">
        <v>11145</v>
      </c>
      <c r="D660" t="s">
        <v>12598</v>
      </c>
      <c r="E660" t="s">
        <v>11145</v>
      </c>
      <c r="F660" t="s">
        <v>11145</v>
      </c>
      <c r="G660">
        <v>46598</v>
      </c>
      <c r="H660" t="s">
        <v>11327</v>
      </c>
      <c r="I660" t="s">
        <v>11145</v>
      </c>
      <c r="J660">
        <v>3121</v>
      </c>
      <c r="K660">
        <v>241.14406</v>
      </c>
      <c r="L660" t="s">
        <v>11145</v>
      </c>
      <c r="M660" t="s">
        <v>11145</v>
      </c>
      <c r="N660" t="s">
        <v>11145</v>
      </c>
      <c r="O660" t="s">
        <v>11145</v>
      </c>
      <c r="P660" t="s">
        <v>12597</v>
      </c>
    </row>
    <row r="661" spans="1:16" x14ac:dyDescent="0.2">
      <c r="A661" t="str">
        <f t="shared" si="10"/>
        <v>metab_compid_46599</v>
      </c>
      <c r="B661" t="s">
        <v>12599</v>
      </c>
      <c r="C661" t="s">
        <v>11145</v>
      </c>
      <c r="D661" t="s">
        <v>12600</v>
      </c>
      <c r="E661" t="s">
        <v>11145</v>
      </c>
      <c r="F661" t="s">
        <v>11145</v>
      </c>
      <c r="G661">
        <v>46599</v>
      </c>
      <c r="H661" t="s">
        <v>11327</v>
      </c>
      <c r="I661" t="s">
        <v>11145</v>
      </c>
      <c r="J661">
        <v>3515</v>
      </c>
      <c r="K661">
        <v>246.07438999999999</v>
      </c>
      <c r="L661" t="s">
        <v>11145</v>
      </c>
      <c r="M661" t="s">
        <v>11145</v>
      </c>
      <c r="N661" t="s">
        <v>11145</v>
      </c>
      <c r="O661" t="s">
        <v>11145</v>
      </c>
      <c r="P661" t="s">
        <v>12599</v>
      </c>
    </row>
    <row r="662" spans="1:16" x14ac:dyDescent="0.2">
      <c r="A662" t="str">
        <f t="shared" si="10"/>
        <v>metab_compid_46360</v>
      </c>
      <c r="B662" t="s">
        <v>12601</v>
      </c>
      <c r="C662" t="s">
        <v>11145</v>
      </c>
      <c r="D662" t="s">
        <v>12602</v>
      </c>
      <c r="E662" t="s">
        <v>11145</v>
      </c>
      <c r="F662" t="s">
        <v>11145</v>
      </c>
      <c r="G662">
        <v>46360</v>
      </c>
      <c r="H662" t="s">
        <v>11327</v>
      </c>
      <c r="I662" t="s">
        <v>11145</v>
      </c>
      <c r="J662">
        <v>3755.8</v>
      </c>
      <c r="K662">
        <v>331.13074999999998</v>
      </c>
      <c r="L662" t="s">
        <v>11145</v>
      </c>
      <c r="M662" t="s">
        <v>11145</v>
      </c>
      <c r="N662" t="s">
        <v>11145</v>
      </c>
      <c r="O662" t="s">
        <v>11145</v>
      </c>
      <c r="P662" t="s">
        <v>12601</v>
      </c>
    </row>
    <row r="663" spans="1:16" x14ac:dyDescent="0.2">
      <c r="A663" t="str">
        <f t="shared" si="10"/>
        <v>metab_compid_46443</v>
      </c>
      <c r="B663" t="s">
        <v>12603</v>
      </c>
      <c r="C663" t="s">
        <v>11145</v>
      </c>
      <c r="D663" t="s">
        <v>12604</v>
      </c>
      <c r="E663" t="s">
        <v>11145</v>
      </c>
      <c r="F663" t="s">
        <v>11145</v>
      </c>
      <c r="G663">
        <v>46443</v>
      </c>
      <c r="H663" t="s">
        <v>11327</v>
      </c>
      <c r="I663" t="s">
        <v>11145</v>
      </c>
      <c r="J663">
        <v>3890</v>
      </c>
      <c r="K663">
        <v>331.13042000000002</v>
      </c>
      <c r="L663" t="s">
        <v>11145</v>
      </c>
      <c r="M663" t="s">
        <v>11145</v>
      </c>
      <c r="N663" t="s">
        <v>11145</v>
      </c>
      <c r="O663" t="s">
        <v>11145</v>
      </c>
      <c r="P663" t="s">
        <v>12603</v>
      </c>
    </row>
    <row r="664" spans="1:16" x14ac:dyDescent="0.2">
      <c r="A664" t="str">
        <f t="shared" si="10"/>
        <v>metab_compid_46460</v>
      </c>
      <c r="B664" t="s">
        <v>12605</v>
      </c>
      <c r="C664" t="s">
        <v>11145</v>
      </c>
      <c r="D664" t="s">
        <v>12606</v>
      </c>
      <c r="E664" t="s">
        <v>11145</v>
      </c>
      <c r="F664" t="s">
        <v>11145</v>
      </c>
      <c r="G664">
        <v>46460</v>
      </c>
      <c r="H664" t="s">
        <v>11327</v>
      </c>
      <c r="I664" t="s">
        <v>11145</v>
      </c>
      <c r="J664">
        <v>3972</v>
      </c>
      <c r="K664">
        <v>541.26521000000002</v>
      </c>
      <c r="L664" t="s">
        <v>11145</v>
      </c>
      <c r="M664" t="s">
        <v>11145</v>
      </c>
      <c r="N664" t="s">
        <v>11145</v>
      </c>
      <c r="O664" t="s">
        <v>11145</v>
      </c>
      <c r="P664" t="s">
        <v>12605</v>
      </c>
    </row>
    <row r="665" spans="1:16" x14ac:dyDescent="0.2">
      <c r="A665" t="str">
        <f t="shared" si="10"/>
        <v>metab_compid_46601</v>
      </c>
      <c r="B665" t="s">
        <v>12607</v>
      </c>
      <c r="C665" t="s">
        <v>11145</v>
      </c>
      <c r="D665" t="s">
        <v>12608</v>
      </c>
      <c r="E665" t="s">
        <v>11145</v>
      </c>
      <c r="F665" t="s">
        <v>11145</v>
      </c>
      <c r="G665">
        <v>46601</v>
      </c>
      <c r="H665" t="s">
        <v>11327</v>
      </c>
      <c r="I665" t="s">
        <v>11145</v>
      </c>
      <c r="J665">
        <v>4151</v>
      </c>
      <c r="K665">
        <v>525.27057000000002</v>
      </c>
      <c r="L665" t="s">
        <v>11145</v>
      </c>
      <c r="M665" t="s">
        <v>11145</v>
      </c>
      <c r="N665" t="s">
        <v>11145</v>
      </c>
      <c r="O665" t="s">
        <v>11145</v>
      </c>
      <c r="P665" t="s">
        <v>12607</v>
      </c>
    </row>
    <row r="666" spans="1:16" x14ac:dyDescent="0.2">
      <c r="A666" t="str">
        <f t="shared" si="10"/>
        <v>metab_compid_46602</v>
      </c>
      <c r="B666" t="s">
        <v>12609</v>
      </c>
      <c r="C666" t="s">
        <v>11145</v>
      </c>
      <c r="D666" t="s">
        <v>12610</v>
      </c>
      <c r="E666" t="s">
        <v>11145</v>
      </c>
      <c r="F666" t="s">
        <v>11145</v>
      </c>
      <c r="G666">
        <v>46602</v>
      </c>
      <c r="H666" t="s">
        <v>11327</v>
      </c>
      <c r="I666" t="s">
        <v>11145</v>
      </c>
      <c r="J666">
        <v>4285</v>
      </c>
      <c r="K666">
        <v>165.09214</v>
      </c>
      <c r="L666" t="s">
        <v>11145</v>
      </c>
      <c r="M666" t="s">
        <v>11145</v>
      </c>
      <c r="N666" t="s">
        <v>11145</v>
      </c>
      <c r="O666" t="s">
        <v>11145</v>
      </c>
      <c r="P666" t="s">
        <v>12609</v>
      </c>
    </row>
    <row r="667" spans="1:16" x14ac:dyDescent="0.2">
      <c r="A667" t="str">
        <f t="shared" si="10"/>
        <v>metab_compid_47650</v>
      </c>
      <c r="B667" t="s">
        <v>12611</v>
      </c>
      <c r="C667" t="s">
        <v>11145</v>
      </c>
      <c r="D667" t="s">
        <v>12612</v>
      </c>
      <c r="E667" t="s">
        <v>11145</v>
      </c>
      <c r="F667" t="s">
        <v>11145</v>
      </c>
      <c r="G667">
        <v>47650</v>
      </c>
      <c r="H667" t="s">
        <v>11327</v>
      </c>
      <c r="I667" t="s">
        <v>11145</v>
      </c>
      <c r="J667">
        <v>4449</v>
      </c>
      <c r="K667">
        <v>505.20823999999999</v>
      </c>
      <c r="L667" t="s">
        <v>11145</v>
      </c>
      <c r="M667" t="s">
        <v>11145</v>
      </c>
      <c r="N667" t="s">
        <v>11145</v>
      </c>
      <c r="O667" t="s">
        <v>11145</v>
      </c>
      <c r="P667" t="s">
        <v>12611</v>
      </c>
    </row>
    <row r="668" spans="1:16" x14ac:dyDescent="0.2">
      <c r="A668" t="str">
        <f t="shared" si="10"/>
        <v>metab_compid_47651</v>
      </c>
      <c r="B668" t="s">
        <v>12613</v>
      </c>
      <c r="C668" t="s">
        <v>11145</v>
      </c>
      <c r="D668" t="s">
        <v>12614</v>
      </c>
      <c r="E668" t="s">
        <v>11145</v>
      </c>
      <c r="F668" t="s">
        <v>11145</v>
      </c>
      <c r="G668">
        <v>47651</v>
      </c>
      <c r="H668" t="s">
        <v>11327</v>
      </c>
      <c r="I668" t="s">
        <v>11145</v>
      </c>
      <c r="J668">
        <v>4819</v>
      </c>
      <c r="K668">
        <v>567.31879000000004</v>
      </c>
      <c r="L668" t="s">
        <v>11145</v>
      </c>
      <c r="M668" t="s">
        <v>11145</v>
      </c>
      <c r="N668" t="s">
        <v>11145</v>
      </c>
      <c r="O668" t="s">
        <v>11145</v>
      </c>
      <c r="P668" t="s">
        <v>12613</v>
      </c>
    </row>
    <row r="669" spans="1:16" x14ac:dyDescent="0.2">
      <c r="A669" t="str">
        <f t="shared" si="10"/>
        <v>metab_compid_46914</v>
      </c>
      <c r="B669" t="s">
        <v>12615</v>
      </c>
      <c r="C669" t="s">
        <v>11145</v>
      </c>
      <c r="D669" t="s">
        <v>12616</v>
      </c>
      <c r="E669" t="s">
        <v>11145</v>
      </c>
      <c r="F669" t="s">
        <v>11145</v>
      </c>
      <c r="G669">
        <v>46914</v>
      </c>
      <c r="H669" t="s">
        <v>11327</v>
      </c>
      <c r="I669" t="s">
        <v>11145</v>
      </c>
      <c r="J669">
        <v>4760</v>
      </c>
      <c r="K669">
        <v>313.11968000000002</v>
      </c>
      <c r="L669" t="s">
        <v>11145</v>
      </c>
      <c r="M669" t="s">
        <v>11145</v>
      </c>
      <c r="N669" t="s">
        <v>11145</v>
      </c>
      <c r="O669" t="s">
        <v>11145</v>
      </c>
      <c r="P669" t="s">
        <v>12615</v>
      </c>
    </row>
    <row r="670" spans="1:16" x14ac:dyDescent="0.2">
      <c r="A670" t="str">
        <f t="shared" si="10"/>
        <v>metab_compid_46603</v>
      </c>
      <c r="B670" t="s">
        <v>12617</v>
      </c>
      <c r="C670" t="s">
        <v>11145</v>
      </c>
      <c r="D670" t="s">
        <v>12618</v>
      </c>
      <c r="E670" t="s">
        <v>11145</v>
      </c>
      <c r="F670" t="s">
        <v>11145</v>
      </c>
      <c r="G670">
        <v>46603</v>
      </c>
      <c r="H670" t="s">
        <v>11327</v>
      </c>
      <c r="I670" t="s">
        <v>11145</v>
      </c>
      <c r="J670">
        <v>4892</v>
      </c>
      <c r="K670">
        <v>313.11959999999999</v>
      </c>
      <c r="L670" t="s">
        <v>11145</v>
      </c>
      <c r="M670" t="s">
        <v>11145</v>
      </c>
      <c r="N670" t="s">
        <v>11145</v>
      </c>
      <c r="O670" t="s">
        <v>11145</v>
      </c>
      <c r="P670" t="s">
        <v>12617</v>
      </c>
    </row>
    <row r="671" spans="1:16" x14ac:dyDescent="0.2">
      <c r="A671" t="str">
        <f t="shared" si="10"/>
        <v>metab_compid_47652</v>
      </c>
      <c r="B671" t="s">
        <v>12619</v>
      </c>
      <c r="C671" t="s">
        <v>11145</v>
      </c>
      <c r="D671" t="s">
        <v>12620</v>
      </c>
      <c r="E671" t="s">
        <v>11145</v>
      </c>
      <c r="F671" t="s">
        <v>11145</v>
      </c>
      <c r="G671">
        <v>47652</v>
      </c>
      <c r="H671" t="s">
        <v>11327</v>
      </c>
      <c r="I671" t="s">
        <v>11145</v>
      </c>
      <c r="J671">
        <v>5100</v>
      </c>
      <c r="K671">
        <v>339.25461000000001</v>
      </c>
      <c r="L671" t="s">
        <v>11145</v>
      </c>
      <c r="M671" t="s">
        <v>11145</v>
      </c>
      <c r="N671" t="s">
        <v>11145</v>
      </c>
      <c r="O671" t="s">
        <v>11145</v>
      </c>
      <c r="P671" t="s">
        <v>12619</v>
      </c>
    </row>
    <row r="672" spans="1:16" x14ac:dyDescent="0.2">
      <c r="A672" t="str">
        <f t="shared" si="10"/>
        <v>metab_compid_46260</v>
      </c>
      <c r="B672" t="s">
        <v>12621</v>
      </c>
      <c r="C672" t="s">
        <v>11145</v>
      </c>
      <c r="D672" t="s">
        <v>12622</v>
      </c>
      <c r="E672" t="s">
        <v>11145</v>
      </c>
      <c r="F672" t="s">
        <v>11145</v>
      </c>
      <c r="G672">
        <v>46260</v>
      </c>
      <c r="H672" t="s">
        <v>11327</v>
      </c>
      <c r="I672" t="s">
        <v>11145</v>
      </c>
      <c r="J672">
        <v>1157.0999999999999</v>
      </c>
      <c r="K672">
        <v>177.023</v>
      </c>
      <c r="L672" t="s">
        <v>11145</v>
      </c>
      <c r="M672" t="s">
        <v>11145</v>
      </c>
      <c r="N672" t="s">
        <v>11145</v>
      </c>
      <c r="O672" t="s">
        <v>11145</v>
      </c>
      <c r="P672" t="s">
        <v>12621</v>
      </c>
    </row>
    <row r="673" spans="1:16" x14ac:dyDescent="0.2">
      <c r="A673" t="str">
        <f t="shared" si="10"/>
        <v>metab_compid_33132</v>
      </c>
      <c r="B673" t="s">
        <v>12623</v>
      </c>
      <c r="C673" t="s">
        <v>11145</v>
      </c>
      <c r="D673" t="s">
        <v>12624</v>
      </c>
      <c r="E673" t="s">
        <v>11145</v>
      </c>
      <c r="F673" t="s">
        <v>11145</v>
      </c>
      <c r="G673">
        <v>33132</v>
      </c>
      <c r="H673" t="s">
        <v>11320</v>
      </c>
      <c r="I673" t="s">
        <v>11145</v>
      </c>
      <c r="J673">
        <v>2319</v>
      </c>
      <c r="K673">
        <v>148.09678</v>
      </c>
      <c r="L673" t="s">
        <v>11145</v>
      </c>
      <c r="M673" t="s">
        <v>11145</v>
      </c>
      <c r="N673" t="s">
        <v>11145</v>
      </c>
      <c r="O673" t="s">
        <v>11145</v>
      </c>
      <c r="P673" t="s">
        <v>12623</v>
      </c>
    </row>
    <row r="674" spans="1:16" x14ac:dyDescent="0.2">
      <c r="A674" t="str">
        <f t="shared" si="10"/>
        <v>metab_compid_33140</v>
      </c>
      <c r="B674" t="s">
        <v>12625</v>
      </c>
      <c r="C674" t="s">
        <v>11145</v>
      </c>
      <c r="D674" t="s">
        <v>12626</v>
      </c>
      <c r="E674" t="s">
        <v>11145</v>
      </c>
      <c r="F674" t="s">
        <v>11145</v>
      </c>
      <c r="G674">
        <v>33140</v>
      </c>
      <c r="H674" t="s">
        <v>11320</v>
      </c>
      <c r="I674" t="s">
        <v>11145</v>
      </c>
      <c r="J674">
        <v>2590</v>
      </c>
      <c r="K674">
        <v>148.09681</v>
      </c>
      <c r="L674" t="s">
        <v>11145</v>
      </c>
      <c r="M674" t="s">
        <v>11145</v>
      </c>
      <c r="N674" t="s">
        <v>11145</v>
      </c>
      <c r="O674" t="s">
        <v>11145</v>
      </c>
      <c r="P674" t="s">
        <v>12625</v>
      </c>
    </row>
    <row r="675" spans="1:16" x14ac:dyDescent="0.2">
      <c r="A675" t="str">
        <f t="shared" si="10"/>
        <v>metab_compid_46509</v>
      </c>
      <c r="B675" t="s">
        <v>12627</v>
      </c>
      <c r="C675" t="s">
        <v>11145</v>
      </c>
      <c r="D675" t="s">
        <v>12628</v>
      </c>
      <c r="E675" t="s">
        <v>11145</v>
      </c>
      <c r="F675" t="s">
        <v>11145</v>
      </c>
      <c r="G675">
        <v>46509</v>
      </c>
      <c r="H675" t="s">
        <v>11320</v>
      </c>
      <c r="I675" t="s">
        <v>11145</v>
      </c>
      <c r="J675">
        <v>2655</v>
      </c>
      <c r="K675">
        <v>418.19303000000002</v>
      </c>
      <c r="L675" t="s">
        <v>11145</v>
      </c>
      <c r="M675" t="s">
        <v>11145</v>
      </c>
      <c r="N675" t="s">
        <v>11145</v>
      </c>
      <c r="O675" t="s">
        <v>11145</v>
      </c>
      <c r="P675" t="s">
        <v>12627</v>
      </c>
    </row>
    <row r="676" spans="1:16" x14ac:dyDescent="0.2">
      <c r="A676" t="str">
        <f t="shared" si="10"/>
        <v>metab_compid_46607</v>
      </c>
      <c r="B676" t="s">
        <v>12629</v>
      </c>
      <c r="C676" t="s">
        <v>11145</v>
      </c>
      <c r="D676" t="s">
        <v>12630</v>
      </c>
      <c r="E676" t="s">
        <v>11145</v>
      </c>
      <c r="F676" t="s">
        <v>11145</v>
      </c>
      <c r="G676">
        <v>46607</v>
      </c>
      <c r="H676" t="s">
        <v>11327</v>
      </c>
      <c r="I676" t="s">
        <v>11145</v>
      </c>
      <c r="J676">
        <v>3215</v>
      </c>
      <c r="K676">
        <v>266.01787999999999</v>
      </c>
      <c r="L676" t="s">
        <v>11145</v>
      </c>
      <c r="M676" t="s">
        <v>11145</v>
      </c>
      <c r="N676" t="s">
        <v>11145</v>
      </c>
      <c r="O676" t="s">
        <v>11145</v>
      </c>
      <c r="P676" t="s">
        <v>12629</v>
      </c>
    </row>
    <row r="677" spans="1:16" x14ac:dyDescent="0.2">
      <c r="A677" t="str">
        <f t="shared" si="10"/>
        <v>metab_compid_46507</v>
      </c>
      <c r="B677" t="s">
        <v>12631</v>
      </c>
      <c r="C677" t="s">
        <v>11145</v>
      </c>
      <c r="D677" t="s">
        <v>12632</v>
      </c>
      <c r="E677" t="s">
        <v>11145</v>
      </c>
      <c r="F677" t="s">
        <v>11145</v>
      </c>
      <c r="G677">
        <v>46507</v>
      </c>
      <c r="H677" t="s">
        <v>11327</v>
      </c>
      <c r="I677" t="s">
        <v>11145</v>
      </c>
      <c r="J677">
        <v>3176</v>
      </c>
      <c r="K677">
        <v>226.01821000000001</v>
      </c>
      <c r="L677" t="s">
        <v>11145</v>
      </c>
      <c r="M677" t="s">
        <v>11145</v>
      </c>
      <c r="N677" t="s">
        <v>11145</v>
      </c>
      <c r="O677" t="s">
        <v>11145</v>
      </c>
      <c r="P677" t="s">
        <v>12631</v>
      </c>
    </row>
    <row r="678" spans="1:16" x14ac:dyDescent="0.2">
      <c r="A678" t="str">
        <f t="shared" si="10"/>
        <v>metab_compid_46608</v>
      </c>
      <c r="B678" t="s">
        <v>12633</v>
      </c>
      <c r="C678" t="s">
        <v>11145</v>
      </c>
      <c r="D678" t="s">
        <v>12634</v>
      </c>
      <c r="E678" t="s">
        <v>11145</v>
      </c>
      <c r="F678" t="s">
        <v>11145</v>
      </c>
      <c r="G678">
        <v>46608</v>
      </c>
      <c r="H678" t="s">
        <v>11327</v>
      </c>
      <c r="I678" t="s">
        <v>11145</v>
      </c>
      <c r="J678">
        <v>5341</v>
      </c>
      <c r="K678">
        <v>537.41567999999995</v>
      </c>
      <c r="L678" t="s">
        <v>11145</v>
      </c>
      <c r="M678" t="s">
        <v>11145</v>
      </c>
      <c r="N678" t="s">
        <v>11145</v>
      </c>
      <c r="O678" t="s">
        <v>11145</v>
      </c>
      <c r="P678" t="s">
        <v>12633</v>
      </c>
    </row>
    <row r="679" spans="1:16" x14ac:dyDescent="0.2">
      <c r="A679" t="str">
        <f t="shared" si="10"/>
        <v>metab_compid_46610</v>
      </c>
      <c r="B679" t="s">
        <v>12635</v>
      </c>
      <c r="C679" t="s">
        <v>11145</v>
      </c>
      <c r="D679" t="s">
        <v>12636</v>
      </c>
      <c r="E679" t="s">
        <v>11145</v>
      </c>
      <c r="F679" t="s">
        <v>11145</v>
      </c>
      <c r="G679">
        <v>46610</v>
      </c>
      <c r="H679" t="s">
        <v>11327</v>
      </c>
      <c r="I679" t="s">
        <v>11145</v>
      </c>
      <c r="J679">
        <v>1357</v>
      </c>
      <c r="K679">
        <v>222.99200999999999</v>
      </c>
      <c r="L679" t="s">
        <v>11145</v>
      </c>
      <c r="M679" t="s">
        <v>11145</v>
      </c>
      <c r="N679" t="s">
        <v>11145</v>
      </c>
      <c r="O679" t="s">
        <v>11145</v>
      </c>
      <c r="P679" t="s">
        <v>12635</v>
      </c>
    </row>
    <row r="680" spans="1:16" x14ac:dyDescent="0.2">
      <c r="A680" t="str">
        <f t="shared" si="10"/>
        <v>metab_compid_47390</v>
      </c>
      <c r="B680" t="s">
        <v>12637</v>
      </c>
      <c r="C680" t="s">
        <v>11145</v>
      </c>
      <c r="D680" t="s">
        <v>12638</v>
      </c>
      <c r="E680" t="s">
        <v>11145</v>
      </c>
      <c r="F680" t="s">
        <v>11145</v>
      </c>
      <c r="G680">
        <v>47390</v>
      </c>
      <c r="H680" t="s">
        <v>11327</v>
      </c>
      <c r="I680" t="s">
        <v>11145</v>
      </c>
      <c r="J680">
        <v>1296</v>
      </c>
      <c r="K680">
        <v>216.08804000000001</v>
      </c>
      <c r="L680" t="s">
        <v>11145</v>
      </c>
      <c r="M680" t="s">
        <v>11145</v>
      </c>
      <c r="N680" t="s">
        <v>11145</v>
      </c>
      <c r="O680" t="s">
        <v>11145</v>
      </c>
      <c r="P680" t="s">
        <v>12637</v>
      </c>
    </row>
    <row r="681" spans="1:16" x14ac:dyDescent="0.2">
      <c r="A681" t="str">
        <f t="shared" si="10"/>
        <v>metab_compid_47905</v>
      </c>
      <c r="B681" t="s">
        <v>12639</v>
      </c>
      <c r="C681" t="s">
        <v>11145</v>
      </c>
      <c r="D681" t="s">
        <v>12640</v>
      </c>
      <c r="E681" t="s">
        <v>11145</v>
      </c>
      <c r="F681" t="s">
        <v>11145</v>
      </c>
      <c r="G681">
        <v>47905</v>
      </c>
      <c r="H681" t="s">
        <v>11327</v>
      </c>
      <c r="I681" t="s">
        <v>11145</v>
      </c>
      <c r="J681">
        <v>1652</v>
      </c>
      <c r="K681">
        <v>180.05306999999999</v>
      </c>
      <c r="L681" t="s">
        <v>11145</v>
      </c>
      <c r="M681" t="s">
        <v>11145</v>
      </c>
      <c r="N681" t="s">
        <v>11145</v>
      </c>
      <c r="O681" t="s">
        <v>11145</v>
      </c>
      <c r="P681" t="s">
        <v>12639</v>
      </c>
    </row>
    <row r="682" spans="1:16" x14ac:dyDescent="0.2">
      <c r="A682" t="str">
        <f t="shared" si="10"/>
        <v>metab_compid_46588</v>
      </c>
      <c r="B682" t="s">
        <v>12641</v>
      </c>
      <c r="C682" t="s">
        <v>11145</v>
      </c>
      <c r="D682" t="s">
        <v>12642</v>
      </c>
      <c r="E682" t="s">
        <v>11145</v>
      </c>
      <c r="F682" t="s">
        <v>11145</v>
      </c>
      <c r="G682">
        <v>46588</v>
      </c>
      <c r="H682" t="s">
        <v>11327</v>
      </c>
      <c r="I682" t="s">
        <v>11145</v>
      </c>
      <c r="J682">
        <v>4800</v>
      </c>
      <c r="K682">
        <v>427.21440999999999</v>
      </c>
      <c r="L682" t="s">
        <v>11145</v>
      </c>
      <c r="M682" t="s">
        <v>11145</v>
      </c>
      <c r="N682" t="s">
        <v>11145</v>
      </c>
      <c r="O682" t="s">
        <v>11145</v>
      </c>
      <c r="P682" t="s">
        <v>12641</v>
      </c>
    </row>
    <row r="683" spans="1:16" x14ac:dyDescent="0.2">
      <c r="A683" t="str">
        <f t="shared" si="10"/>
        <v>metab_compid_47687</v>
      </c>
      <c r="B683" t="s">
        <v>12643</v>
      </c>
      <c r="C683" t="s">
        <v>11145</v>
      </c>
      <c r="D683" t="s">
        <v>12644</v>
      </c>
      <c r="E683" t="s">
        <v>11145</v>
      </c>
      <c r="F683" t="s">
        <v>11145</v>
      </c>
      <c r="G683">
        <v>47687</v>
      </c>
      <c r="H683" t="s">
        <v>11320</v>
      </c>
      <c r="I683" t="s">
        <v>11145</v>
      </c>
      <c r="J683">
        <v>2650</v>
      </c>
      <c r="K683">
        <v>221.09192999999999</v>
      </c>
      <c r="L683" t="s">
        <v>11145</v>
      </c>
      <c r="M683" t="s">
        <v>11145</v>
      </c>
      <c r="N683" t="s">
        <v>11145</v>
      </c>
      <c r="O683" t="s">
        <v>11145</v>
      </c>
      <c r="P683" t="s">
        <v>12643</v>
      </c>
    </row>
    <row r="684" spans="1:16" x14ac:dyDescent="0.2">
      <c r="A684" t="str">
        <f t="shared" si="10"/>
        <v>metab_compid_47642</v>
      </c>
      <c r="B684" t="s">
        <v>12645</v>
      </c>
      <c r="C684" t="s">
        <v>11145</v>
      </c>
      <c r="D684" t="s">
        <v>12646</v>
      </c>
      <c r="E684" t="s">
        <v>11145</v>
      </c>
      <c r="F684" t="s">
        <v>11145</v>
      </c>
      <c r="G684">
        <v>47642</v>
      </c>
      <c r="H684" t="s">
        <v>11320</v>
      </c>
      <c r="I684" t="s">
        <v>11145</v>
      </c>
      <c r="J684">
        <v>2700</v>
      </c>
      <c r="K684">
        <v>164.07386</v>
      </c>
      <c r="L684" t="s">
        <v>11145</v>
      </c>
      <c r="M684" t="s">
        <v>11145</v>
      </c>
      <c r="N684" t="s">
        <v>11145</v>
      </c>
      <c r="O684" t="s">
        <v>11145</v>
      </c>
      <c r="P684" t="s">
        <v>12645</v>
      </c>
    </row>
    <row r="685" spans="1:16" x14ac:dyDescent="0.2">
      <c r="A685" t="str">
        <f t="shared" si="10"/>
        <v>metab_compid_52597</v>
      </c>
      <c r="B685" t="s">
        <v>12647</v>
      </c>
      <c r="C685" t="s">
        <v>11145</v>
      </c>
      <c r="D685" t="s">
        <v>12648</v>
      </c>
      <c r="E685" t="s">
        <v>11145</v>
      </c>
      <c r="F685" t="s">
        <v>11145</v>
      </c>
      <c r="G685">
        <v>52597</v>
      </c>
      <c r="H685" t="s">
        <v>11327</v>
      </c>
      <c r="I685" t="s">
        <v>11145</v>
      </c>
      <c r="J685">
        <v>1763</v>
      </c>
      <c r="K685">
        <v>269.07729999999998</v>
      </c>
      <c r="L685" t="s">
        <v>11145</v>
      </c>
      <c r="M685" t="s">
        <v>11145</v>
      </c>
      <c r="N685" t="s">
        <v>11145</v>
      </c>
      <c r="O685" t="s">
        <v>11145</v>
      </c>
      <c r="P685" t="s">
        <v>12647</v>
      </c>
    </row>
    <row r="686" spans="1:16" x14ac:dyDescent="0.2">
      <c r="A686" t="str">
        <f t="shared" si="10"/>
        <v>metab_compid_46966</v>
      </c>
      <c r="B686" t="s">
        <v>12649</v>
      </c>
      <c r="C686" t="s">
        <v>11145</v>
      </c>
      <c r="D686" t="s">
        <v>12650</v>
      </c>
      <c r="E686" t="s">
        <v>11145</v>
      </c>
      <c r="F686" t="s">
        <v>11145</v>
      </c>
      <c r="G686">
        <v>46966</v>
      </c>
      <c r="H686" t="s">
        <v>11327</v>
      </c>
      <c r="I686" t="s">
        <v>11145</v>
      </c>
      <c r="J686">
        <v>1205</v>
      </c>
      <c r="K686">
        <v>324.07389999999998</v>
      </c>
      <c r="L686" t="s">
        <v>11145</v>
      </c>
      <c r="M686" t="s">
        <v>11145</v>
      </c>
      <c r="N686" t="s">
        <v>11145</v>
      </c>
      <c r="O686" t="s">
        <v>11145</v>
      </c>
      <c r="P686" t="s">
        <v>12649</v>
      </c>
    </row>
    <row r="687" spans="1:16" x14ac:dyDescent="0.2">
      <c r="A687" t="str">
        <f t="shared" si="10"/>
        <v>metab_compid_47702</v>
      </c>
      <c r="B687" t="s">
        <v>12651</v>
      </c>
      <c r="C687" t="s">
        <v>11145</v>
      </c>
      <c r="D687" t="s">
        <v>12652</v>
      </c>
      <c r="E687" t="s">
        <v>11145</v>
      </c>
      <c r="F687" t="s">
        <v>11145</v>
      </c>
      <c r="G687">
        <v>47702</v>
      </c>
      <c r="H687" t="s">
        <v>11320</v>
      </c>
      <c r="I687" t="s">
        <v>11145</v>
      </c>
      <c r="J687">
        <v>2160</v>
      </c>
      <c r="K687">
        <v>226.08170999999999</v>
      </c>
      <c r="L687" t="s">
        <v>11145</v>
      </c>
      <c r="M687" t="s">
        <v>11145</v>
      </c>
      <c r="N687" t="s">
        <v>11145</v>
      </c>
      <c r="O687" t="s">
        <v>11145</v>
      </c>
      <c r="P687" t="s">
        <v>12651</v>
      </c>
    </row>
    <row r="688" spans="1:16" x14ac:dyDescent="0.2">
      <c r="A688" t="str">
        <f t="shared" si="10"/>
        <v>metab_compid_47909</v>
      </c>
      <c r="B688" t="s">
        <v>12653</v>
      </c>
      <c r="C688" t="s">
        <v>11145</v>
      </c>
      <c r="D688" t="s">
        <v>12654</v>
      </c>
      <c r="E688" t="s">
        <v>11145</v>
      </c>
      <c r="F688" t="s">
        <v>11145</v>
      </c>
      <c r="G688">
        <v>47909</v>
      </c>
      <c r="H688" t="s">
        <v>11327</v>
      </c>
      <c r="I688" t="s">
        <v>11145</v>
      </c>
      <c r="J688">
        <v>1829</v>
      </c>
      <c r="K688">
        <v>179.04658000000001</v>
      </c>
      <c r="L688" t="s">
        <v>11145</v>
      </c>
      <c r="M688" t="s">
        <v>11145</v>
      </c>
      <c r="N688" t="s">
        <v>11145</v>
      </c>
      <c r="O688" t="s">
        <v>11145</v>
      </c>
      <c r="P688" t="s">
        <v>12653</v>
      </c>
    </row>
    <row r="689" spans="1:16" x14ac:dyDescent="0.2">
      <c r="A689" t="str">
        <f t="shared" si="10"/>
        <v>metab_compid_46612</v>
      </c>
      <c r="B689" t="s">
        <v>12655</v>
      </c>
      <c r="C689" t="s">
        <v>11145</v>
      </c>
      <c r="D689" t="s">
        <v>12656</v>
      </c>
      <c r="E689" t="s">
        <v>11145</v>
      </c>
      <c r="F689" t="s">
        <v>11145</v>
      </c>
      <c r="G689">
        <v>46612</v>
      </c>
      <c r="H689" t="s">
        <v>11327</v>
      </c>
      <c r="I689" t="s">
        <v>11145</v>
      </c>
      <c r="J689">
        <v>622</v>
      </c>
      <c r="K689">
        <v>254.98159999999999</v>
      </c>
      <c r="L689" t="s">
        <v>11145</v>
      </c>
      <c r="M689" t="s">
        <v>11145</v>
      </c>
      <c r="N689" t="s">
        <v>11145</v>
      </c>
      <c r="O689" t="s">
        <v>11145</v>
      </c>
      <c r="P689" t="s">
        <v>12655</v>
      </c>
    </row>
    <row r="690" spans="1:16" x14ac:dyDescent="0.2">
      <c r="A690" t="str">
        <f t="shared" si="10"/>
        <v>metab_compid_46358</v>
      </c>
      <c r="B690" t="s">
        <v>12657</v>
      </c>
      <c r="C690" t="s">
        <v>11145</v>
      </c>
      <c r="D690" t="s">
        <v>12658</v>
      </c>
      <c r="E690" t="s">
        <v>11145</v>
      </c>
      <c r="F690" t="s">
        <v>11145</v>
      </c>
      <c r="G690">
        <v>46358</v>
      </c>
      <c r="H690" t="s">
        <v>11327</v>
      </c>
      <c r="I690" t="s">
        <v>11145</v>
      </c>
      <c r="J690">
        <v>3597.7</v>
      </c>
      <c r="K690">
        <v>229.01793000000001</v>
      </c>
      <c r="L690" t="s">
        <v>11145</v>
      </c>
      <c r="M690" t="s">
        <v>11145</v>
      </c>
      <c r="N690" t="s">
        <v>11145</v>
      </c>
      <c r="O690" t="s">
        <v>11145</v>
      </c>
      <c r="P690" t="s">
        <v>12657</v>
      </c>
    </row>
    <row r="691" spans="1:16" x14ac:dyDescent="0.2">
      <c r="A691" t="str">
        <f t="shared" si="10"/>
        <v>metab_compid_46613</v>
      </c>
      <c r="B691" t="s">
        <v>12659</v>
      </c>
      <c r="C691" t="s">
        <v>11145</v>
      </c>
      <c r="D691" t="s">
        <v>12660</v>
      </c>
      <c r="E691" t="s">
        <v>11145</v>
      </c>
      <c r="F691" t="s">
        <v>11145</v>
      </c>
      <c r="G691">
        <v>46613</v>
      </c>
      <c r="H691" t="s">
        <v>11327</v>
      </c>
      <c r="I691" t="s">
        <v>11145</v>
      </c>
      <c r="J691">
        <v>1691</v>
      </c>
      <c r="K691">
        <v>227.99743000000001</v>
      </c>
      <c r="L691" t="s">
        <v>11145</v>
      </c>
      <c r="M691" t="s">
        <v>11145</v>
      </c>
      <c r="N691" t="s">
        <v>11145</v>
      </c>
      <c r="O691" t="s">
        <v>11145</v>
      </c>
      <c r="P691" t="s">
        <v>12659</v>
      </c>
    </row>
    <row r="692" spans="1:16" x14ac:dyDescent="0.2">
      <c r="A692" t="str">
        <f t="shared" si="10"/>
        <v>metab_compid_46614</v>
      </c>
      <c r="B692" t="s">
        <v>12661</v>
      </c>
      <c r="C692" t="s">
        <v>11145</v>
      </c>
      <c r="D692" t="s">
        <v>12662</v>
      </c>
      <c r="E692" t="s">
        <v>11145</v>
      </c>
      <c r="F692" t="s">
        <v>11145</v>
      </c>
      <c r="G692">
        <v>46614</v>
      </c>
      <c r="H692" t="s">
        <v>11327</v>
      </c>
      <c r="I692" t="s">
        <v>11145</v>
      </c>
      <c r="J692">
        <v>3346</v>
      </c>
      <c r="K692">
        <v>217.01768000000001</v>
      </c>
      <c r="L692" t="s">
        <v>11145</v>
      </c>
      <c r="M692" t="s">
        <v>11145</v>
      </c>
      <c r="N692" t="s">
        <v>11145</v>
      </c>
      <c r="O692" t="s">
        <v>11145</v>
      </c>
      <c r="P692" t="s">
        <v>12661</v>
      </c>
    </row>
    <row r="693" spans="1:16" x14ac:dyDescent="0.2">
      <c r="A693" t="str">
        <f t="shared" si="10"/>
        <v>metab_compid_46616</v>
      </c>
      <c r="B693" t="s">
        <v>12663</v>
      </c>
      <c r="C693" t="s">
        <v>11145</v>
      </c>
      <c r="D693" t="s">
        <v>12664</v>
      </c>
      <c r="E693" t="s">
        <v>11145</v>
      </c>
      <c r="F693" t="s">
        <v>11145</v>
      </c>
      <c r="G693">
        <v>46616</v>
      </c>
      <c r="H693" t="s">
        <v>11327</v>
      </c>
      <c r="I693" t="s">
        <v>11145</v>
      </c>
      <c r="J693">
        <v>1037</v>
      </c>
      <c r="K693">
        <v>195.03344999999999</v>
      </c>
      <c r="L693" t="s">
        <v>11145</v>
      </c>
      <c r="M693" t="s">
        <v>11145</v>
      </c>
      <c r="N693" t="s">
        <v>11145</v>
      </c>
      <c r="O693" t="s">
        <v>11145</v>
      </c>
      <c r="P693" t="s">
        <v>12663</v>
      </c>
    </row>
    <row r="694" spans="1:16" x14ac:dyDescent="0.2">
      <c r="A694" t="str">
        <f t="shared" si="10"/>
        <v>metab_compid_46618</v>
      </c>
      <c r="B694" t="s">
        <v>12665</v>
      </c>
      <c r="C694" t="s">
        <v>11145</v>
      </c>
      <c r="D694" t="s">
        <v>12666</v>
      </c>
      <c r="E694" t="s">
        <v>11145</v>
      </c>
      <c r="F694" t="s">
        <v>11145</v>
      </c>
      <c r="G694">
        <v>46618</v>
      </c>
      <c r="H694" t="s">
        <v>11327</v>
      </c>
      <c r="I694" t="s">
        <v>11145</v>
      </c>
      <c r="J694">
        <v>5315</v>
      </c>
      <c r="K694">
        <v>223.17051000000001</v>
      </c>
      <c r="L694" t="s">
        <v>11145</v>
      </c>
      <c r="M694" t="s">
        <v>11145</v>
      </c>
      <c r="N694" t="s">
        <v>11145</v>
      </c>
      <c r="O694" t="s">
        <v>11145</v>
      </c>
      <c r="P694" t="s">
        <v>12665</v>
      </c>
    </row>
    <row r="695" spans="1:16" x14ac:dyDescent="0.2">
      <c r="A695" t="str">
        <f t="shared" si="10"/>
        <v>metab_compid_33904</v>
      </c>
      <c r="B695" t="s">
        <v>12667</v>
      </c>
      <c r="C695" t="s">
        <v>11145</v>
      </c>
      <c r="D695" t="s">
        <v>12668</v>
      </c>
      <c r="E695" t="s">
        <v>11145</v>
      </c>
      <c r="F695" t="s">
        <v>11145</v>
      </c>
      <c r="G695">
        <v>33904</v>
      </c>
      <c r="H695" t="s">
        <v>11322</v>
      </c>
      <c r="I695" t="s">
        <v>11145</v>
      </c>
      <c r="J695">
        <v>1060</v>
      </c>
      <c r="K695">
        <v>302.23217</v>
      </c>
      <c r="L695" t="s">
        <v>11145</v>
      </c>
      <c r="M695" t="s">
        <v>11145</v>
      </c>
      <c r="N695" t="s">
        <v>11145</v>
      </c>
      <c r="O695" t="s">
        <v>11145</v>
      </c>
      <c r="P695" t="s">
        <v>12667</v>
      </c>
    </row>
    <row r="696" spans="1:16" x14ac:dyDescent="0.2">
      <c r="A696" t="str">
        <f t="shared" si="10"/>
        <v>metab_compid_46620</v>
      </c>
      <c r="B696" t="s">
        <v>12669</v>
      </c>
      <c r="C696" t="s">
        <v>11145</v>
      </c>
      <c r="D696" t="s">
        <v>12670</v>
      </c>
      <c r="E696" t="s">
        <v>11145</v>
      </c>
      <c r="F696" t="s">
        <v>11145</v>
      </c>
      <c r="G696">
        <v>46620</v>
      </c>
      <c r="H696" t="s">
        <v>11320</v>
      </c>
      <c r="I696" t="s">
        <v>11145</v>
      </c>
      <c r="J696">
        <v>1790</v>
      </c>
      <c r="K696">
        <v>148.04271</v>
      </c>
      <c r="L696" t="s">
        <v>11145</v>
      </c>
      <c r="M696" t="s">
        <v>11145</v>
      </c>
      <c r="N696" t="s">
        <v>11145</v>
      </c>
      <c r="O696" t="s">
        <v>11145</v>
      </c>
      <c r="P696" t="s">
        <v>12669</v>
      </c>
    </row>
    <row r="697" spans="1:16" x14ac:dyDescent="0.2">
      <c r="A697" t="str">
        <f t="shared" si="10"/>
        <v>metab_compid_46628</v>
      </c>
      <c r="B697" t="s">
        <v>12671</v>
      </c>
      <c r="C697" t="s">
        <v>11145</v>
      </c>
      <c r="D697" t="s">
        <v>12672</v>
      </c>
      <c r="E697" t="s">
        <v>11145</v>
      </c>
      <c r="F697" t="s">
        <v>11145</v>
      </c>
      <c r="G697">
        <v>46628</v>
      </c>
      <c r="H697" t="s">
        <v>11327</v>
      </c>
      <c r="I697" t="s">
        <v>11145</v>
      </c>
      <c r="J697">
        <v>2528</v>
      </c>
      <c r="K697">
        <v>241.11935</v>
      </c>
      <c r="L697" t="s">
        <v>11145</v>
      </c>
      <c r="M697" t="s">
        <v>11145</v>
      </c>
      <c r="N697" t="s">
        <v>11145</v>
      </c>
      <c r="O697" t="s">
        <v>11145</v>
      </c>
      <c r="P697" t="s">
        <v>12671</v>
      </c>
    </row>
    <row r="698" spans="1:16" x14ac:dyDescent="0.2">
      <c r="A698" t="str">
        <f t="shared" si="10"/>
        <v>metab_compid_46621</v>
      </c>
      <c r="B698" t="s">
        <v>12673</v>
      </c>
      <c r="C698" t="s">
        <v>11145</v>
      </c>
      <c r="D698" t="s">
        <v>12674</v>
      </c>
      <c r="E698" t="s">
        <v>11145</v>
      </c>
      <c r="F698" t="s">
        <v>11145</v>
      </c>
      <c r="G698">
        <v>46621</v>
      </c>
      <c r="H698" t="s">
        <v>11327</v>
      </c>
      <c r="I698" t="s">
        <v>11145</v>
      </c>
      <c r="J698">
        <v>5780</v>
      </c>
      <c r="K698">
        <v>205.15989999999999</v>
      </c>
      <c r="L698" t="s">
        <v>11145</v>
      </c>
      <c r="M698" t="s">
        <v>11145</v>
      </c>
      <c r="N698" t="s">
        <v>11145</v>
      </c>
      <c r="O698" t="s">
        <v>11145</v>
      </c>
      <c r="P698" t="s">
        <v>12673</v>
      </c>
    </row>
    <row r="699" spans="1:16" x14ac:dyDescent="0.2">
      <c r="A699" t="str">
        <f t="shared" si="10"/>
        <v>metab_compid_46510</v>
      </c>
      <c r="B699" t="s">
        <v>12675</v>
      </c>
      <c r="C699" t="s">
        <v>11145</v>
      </c>
      <c r="D699" t="s">
        <v>12676</v>
      </c>
      <c r="E699" t="s">
        <v>11145</v>
      </c>
      <c r="F699" t="s">
        <v>11145</v>
      </c>
      <c r="G699">
        <v>46510</v>
      </c>
      <c r="H699" t="s">
        <v>11327</v>
      </c>
      <c r="I699" t="s">
        <v>11145</v>
      </c>
      <c r="J699">
        <v>3166.9</v>
      </c>
      <c r="K699">
        <v>209.0822</v>
      </c>
      <c r="L699" t="s">
        <v>11145</v>
      </c>
      <c r="M699" t="s">
        <v>11145</v>
      </c>
      <c r="N699" t="s">
        <v>11145</v>
      </c>
      <c r="O699" t="s">
        <v>11145</v>
      </c>
      <c r="P699" t="s">
        <v>12675</v>
      </c>
    </row>
    <row r="700" spans="1:16" x14ac:dyDescent="0.2">
      <c r="A700" t="str">
        <f t="shared" si="10"/>
        <v>metab_compid_47201</v>
      </c>
      <c r="B700" t="s">
        <v>12677</v>
      </c>
      <c r="C700" t="s">
        <v>11145</v>
      </c>
      <c r="D700" t="s">
        <v>12678</v>
      </c>
      <c r="E700" t="s">
        <v>11145</v>
      </c>
      <c r="F700" t="s">
        <v>11145</v>
      </c>
      <c r="G700">
        <v>47201</v>
      </c>
      <c r="H700" t="s">
        <v>11327</v>
      </c>
      <c r="I700" t="s">
        <v>11145</v>
      </c>
      <c r="J700">
        <v>1054</v>
      </c>
      <c r="K700">
        <v>227.11525</v>
      </c>
      <c r="L700" t="s">
        <v>11145</v>
      </c>
      <c r="M700" t="s">
        <v>11145</v>
      </c>
      <c r="N700" t="s">
        <v>11145</v>
      </c>
      <c r="O700" t="s">
        <v>11145</v>
      </c>
      <c r="P700" t="s">
        <v>12677</v>
      </c>
    </row>
    <row r="701" spans="1:16" x14ac:dyDescent="0.2">
      <c r="A701" t="str">
        <f t="shared" si="10"/>
        <v>metab_compid_46973</v>
      </c>
      <c r="B701" t="s">
        <v>12679</v>
      </c>
      <c r="C701" t="s">
        <v>11145</v>
      </c>
      <c r="D701" t="s">
        <v>12680</v>
      </c>
      <c r="E701" t="s">
        <v>11145</v>
      </c>
      <c r="F701" t="s">
        <v>11145</v>
      </c>
      <c r="G701">
        <v>46973</v>
      </c>
      <c r="H701" t="s">
        <v>11327</v>
      </c>
      <c r="I701" t="s">
        <v>11145</v>
      </c>
      <c r="J701">
        <v>1750</v>
      </c>
      <c r="K701">
        <v>324.07389000000001</v>
      </c>
      <c r="L701" t="s">
        <v>11145</v>
      </c>
      <c r="M701" t="s">
        <v>11145</v>
      </c>
      <c r="N701" t="s">
        <v>11145</v>
      </c>
      <c r="O701" t="s">
        <v>11145</v>
      </c>
      <c r="P701" t="s">
        <v>12679</v>
      </c>
    </row>
    <row r="702" spans="1:16" x14ac:dyDescent="0.2">
      <c r="A702" t="str">
        <f t="shared" si="10"/>
        <v>metab_compid_46623</v>
      </c>
      <c r="B702" t="s">
        <v>12681</v>
      </c>
      <c r="C702" t="s">
        <v>11145</v>
      </c>
      <c r="D702" t="s">
        <v>12682</v>
      </c>
      <c r="E702" t="s">
        <v>11145</v>
      </c>
      <c r="F702" t="s">
        <v>11145</v>
      </c>
      <c r="G702">
        <v>46623</v>
      </c>
      <c r="H702" t="s">
        <v>11327</v>
      </c>
      <c r="I702" t="s">
        <v>11145</v>
      </c>
      <c r="J702">
        <v>2021</v>
      </c>
      <c r="K702">
        <v>227.99726000000001</v>
      </c>
      <c r="L702" t="s">
        <v>11145</v>
      </c>
      <c r="M702" t="s">
        <v>11145</v>
      </c>
      <c r="N702" t="s">
        <v>11145</v>
      </c>
      <c r="O702" t="s">
        <v>11145</v>
      </c>
      <c r="P702" t="s">
        <v>12681</v>
      </c>
    </row>
    <row r="703" spans="1:16" x14ac:dyDescent="0.2">
      <c r="A703" t="str">
        <f t="shared" si="10"/>
        <v>metab_compid_46626</v>
      </c>
      <c r="B703" t="s">
        <v>12683</v>
      </c>
      <c r="C703" t="s">
        <v>11145</v>
      </c>
      <c r="D703" t="s">
        <v>12684</v>
      </c>
      <c r="E703" t="s">
        <v>11145</v>
      </c>
      <c r="F703" t="s">
        <v>11145</v>
      </c>
      <c r="G703">
        <v>46626</v>
      </c>
      <c r="H703" t="s">
        <v>11327</v>
      </c>
      <c r="I703" t="s">
        <v>11145</v>
      </c>
      <c r="J703">
        <v>2406</v>
      </c>
      <c r="K703">
        <v>241.11945</v>
      </c>
      <c r="L703" t="s">
        <v>11145</v>
      </c>
      <c r="M703" t="s">
        <v>11145</v>
      </c>
      <c r="N703" t="s">
        <v>11145</v>
      </c>
      <c r="O703" t="s">
        <v>11145</v>
      </c>
      <c r="P703" t="s">
        <v>12683</v>
      </c>
    </row>
    <row r="704" spans="1:16" x14ac:dyDescent="0.2">
      <c r="A704" t="str">
        <f t="shared" si="10"/>
        <v>metab_compid_46624</v>
      </c>
      <c r="B704" t="s">
        <v>12685</v>
      </c>
      <c r="C704" t="s">
        <v>11145</v>
      </c>
      <c r="D704" t="s">
        <v>12686</v>
      </c>
      <c r="E704" t="s">
        <v>11145</v>
      </c>
      <c r="F704" t="s">
        <v>11145</v>
      </c>
      <c r="G704">
        <v>46624</v>
      </c>
      <c r="H704" t="s">
        <v>11320</v>
      </c>
      <c r="I704" t="s">
        <v>11145</v>
      </c>
      <c r="J704">
        <v>2011</v>
      </c>
      <c r="K704">
        <v>240.10167999999999</v>
      </c>
      <c r="L704" t="s">
        <v>11145</v>
      </c>
      <c r="M704" t="s">
        <v>11145</v>
      </c>
      <c r="N704" t="s">
        <v>11145</v>
      </c>
      <c r="O704" t="s">
        <v>11145</v>
      </c>
      <c r="P704" t="s">
        <v>12685</v>
      </c>
    </row>
    <row r="705" spans="1:16" x14ac:dyDescent="0.2">
      <c r="A705" t="str">
        <f t="shared" si="10"/>
        <v>metab_compid_46997</v>
      </c>
      <c r="B705" t="s">
        <v>12687</v>
      </c>
      <c r="C705" t="s">
        <v>11145</v>
      </c>
      <c r="D705" t="s">
        <v>12688</v>
      </c>
      <c r="E705" t="s">
        <v>11145</v>
      </c>
      <c r="F705" t="s">
        <v>11145</v>
      </c>
      <c r="G705">
        <v>46997</v>
      </c>
      <c r="H705" t="s">
        <v>11327</v>
      </c>
      <c r="I705" t="s">
        <v>11145</v>
      </c>
      <c r="J705">
        <v>2790</v>
      </c>
      <c r="K705">
        <v>389.09280999999999</v>
      </c>
      <c r="L705" t="s">
        <v>11145</v>
      </c>
      <c r="M705" t="s">
        <v>11145</v>
      </c>
      <c r="N705" t="s">
        <v>11145</v>
      </c>
      <c r="O705" t="s">
        <v>11145</v>
      </c>
      <c r="P705" t="s">
        <v>12687</v>
      </c>
    </row>
    <row r="706" spans="1:16" x14ac:dyDescent="0.2">
      <c r="A706" t="str">
        <f t="shared" si="10"/>
        <v>metab_compid_46633</v>
      </c>
      <c r="B706" t="s">
        <v>12689</v>
      </c>
      <c r="C706" t="s">
        <v>11145</v>
      </c>
      <c r="D706" t="s">
        <v>12690</v>
      </c>
      <c r="E706" t="s">
        <v>11145</v>
      </c>
      <c r="F706" t="s">
        <v>11145</v>
      </c>
      <c r="G706">
        <v>46633</v>
      </c>
      <c r="H706" t="s">
        <v>11327</v>
      </c>
      <c r="I706" t="s">
        <v>11145</v>
      </c>
      <c r="J706">
        <v>4185</v>
      </c>
      <c r="K706">
        <v>539.24936000000002</v>
      </c>
      <c r="L706" t="s">
        <v>11145</v>
      </c>
      <c r="M706" t="s">
        <v>11145</v>
      </c>
      <c r="N706" t="s">
        <v>11145</v>
      </c>
      <c r="O706" t="s">
        <v>11145</v>
      </c>
      <c r="P706" t="s">
        <v>12689</v>
      </c>
    </row>
    <row r="707" spans="1:16" x14ac:dyDescent="0.2">
      <c r="A707" t="str">
        <f t="shared" ref="A707:A770" si="11">_xlfn.CONCAT("metab_compid_", $G707)</f>
        <v>metab_compid_46634</v>
      </c>
      <c r="B707" t="s">
        <v>12691</v>
      </c>
      <c r="C707" t="s">
        <v>11145</v>
      </c>
      <c r="D707" t="s">
        <v>12692</v>
      </c>
      <c r="E707" t="s">
        <v>11145</v>
      </c>
      <c r="F707" t="s">
        <v>11145</v>
      </c>
      <c r="G707">
        <v>46634</v>
      </c>
      <c r="H707" t="s">
        <v>11327</v>
      </c>
      <c r="I707" t="s">
        <v>11145</v>
      </c>
      <c r="J707">
        <v>4228</v>
      </c>
      <c r="K707">
        <v>481.24347999999998</v>
      </c>
      <c r="L707" t="s">
        <v>11145</v>
      </c>
      <c r="M707" t="s">
        <v>11145</v>
      </c>
      <c r="N707" t="s">
        <v>11145</v>
      </c>
      <c r="O707" t="s">
        <v>11145</v>
      </c>
      <c r="P707" t="s">
        <v>12691</v>
      </c>
    </row>
    <row r="708" spans="1:16" x14ac:dyDescent="0.2">
      <c r="A708" t="str">
        <f t="shared" si="11"/>
        <v>metab_compid_46364</v>
      </c>
      <c r="B708" t="s">
        <v>12693</v>
      </c>
      <c r="C708" t="s">
        <v>11145</v>
      </c>
      <c r="D708" t="s">
        <v>12694</v>
      </c>
      <c r="E708" t="s">
        <v>11145</v>
      </c>
      <c r="F708" t="s">
        <v>11145</v>
      </c>
      <c r="G708">
        <v>46364</v>
      </c>
      <c r="H708" t="s">
        <v>11327</v>
      </c>
      <c r="I708" t="s">
        <v>11145</v>
      </c>
      <c r="J708">
        <v>4247</v>
      </c>
      <c r="K708">
        <v>227.03878</v>
      </c>
      <c r="L708" t="s">
        <v>11145</v>
      </c>
      <c r="M708" t="s">
        <v>11145</v>
      </c>
      <c r="N708" t="s">
        <v>11145</v>
      </c>
      <c r="O708" t="s">
        <v>11145</v>
      </c>
      <c r="P708" t="s">
        <v>12693</v>
      </c>
    </row>
    <row r="709" spans="1:16" x14ac:dyDescent="0.2">
      <c r="A709" t="str">
        <f t="shared" si="11"/>
        <v>metab_compid_46636</v>
      </c>
      <c r="B709" t="s">
        <v>12695</v>
      </c>
      <c r="C709" t="s">
        <v>11145</v>
      </c>
      <c r="D709" t="s">
        <v>12696</v>
      </c>
      <c r="E709" t="s">
        <v>11145</v>
      </c>
      <c r="F709" t="s">
        <v>11145</v>
      </c>
      <c r="G709">
        <v>46636</v>
      </c>
      <c r="H709" t="s">
        <v>11327</v>
      </c>
      <c r="I709" t="s">
        <v>11145</v>
      </c>
      <c r="J709">
        <v>4696</v>
      </c>
      <c r="K709">
        <v>331.17615999999998</v>
      </c>
      <c r="L709" t="s">
        <v>11145</v>
      </c>
      <c r="M709" t="s">
        <v>11145</v>
      </c>
      <c r="N709" t="s">
        <v>11145</v>
      </c>
      <c r="O709" t="s">
        <v>11145</v>
      </c>
      <c r="P709" t="s">
        <v>12695</v>
      </c>
    </row>
    <row r="710" spans="1:16" x14ac:dyDescent="0.2">
      <c r="A710" t="str">
        <f t="shared" si="11"/>
        <v>metab_compid_46639</v>
      </c>
      <c r="B710" t="s">
        <v>12697</v>
      </c>
      <c r="C710" t="s">
        <v>11145</v>
      </c>
      <c r="D710" t="s">
        <v>12698</v>
      </c>
      <c r="E710" t="s">
        <v>11145</v>
      </c>
      <c r="F710" t="s">
        <v>11145</v>
      </c>
      <c r="G710">
        <v>46639</v>
      </c>
      <c r="H710" t="s">
        <v>11327</v>
      </c>
      <c r="I710" t="s">
        <v>11145</v>
      </c>
      <c r="J710">
        <v>4844</v>
      </c>
      <c r="K710">
        <v>311.66577000000001</v>
      </c>
      <c r="L710" t="s">
        <v>11145</v>
      </c>
      <c r="M710" t="s">
        <v>11145</v>
      </c>
      <c r="N710" t="s">
        <v>11145</v>
      </c>
      <c r="O710" t="s">
        <v>11145</v>
      </c>
      <c r="P710" t="s">
        <v>12697</v>
      </c>
    </row>
    <row r="711" spans="1:16" x14ac:dyDescent="0.2">
      <c r="A711" t="str">
        <f t="shared" si="11"/>
        <v>metab_compid_47955</v>
      </c>
      <c r="B711" t="s">
        <v>12699</v>
      </c>
      <c r="C711" t="s">
        <v>11145</v>
      </c>
      <c r="D711" t="s">
        <v>12700</v>
      </c>
      <c r="E711" t="s">
        <v>11145</v>
      </c>
      <c r="F711" t="s">
        <v>11145</v>
      </c>
      <c r="G711">
        <v>47955</v>
      </c>
      <c r="H711" t="s">
        <v>11327</v>
      </c>
      <c r="I711" t="s">
        <v>11145</v>
      </c>
      <c r="J711">
        <v>793</v>
      </c>
      <c r="K711">
        <v>158.04615999999999</v>
      </c>
      <c r="L711" t="s">
        <v>11145</v>
      </c>
      <c r="M711" t="s">
        <v>11145</v>
      </c>
      <c r="N711" t="s">
        <v>11145</v>
      </c>
      <c r="O711" t="s">
        <v>11145</v>
      </c>
      <c r="P711" t="s">
        <v>12699</v>
      </c>
    </row>
    <row r="712" spans="1:16" x14ac:dyDescent="0.2">
      <c r="A712" t="str">
        <f t="shared" si="11"/>
        <v>metab_compid_47788</v>
      </c>
      <c r="B712" t="s">
        <v>12701</v>
      </c>
      <c r="C712" t="s">
        <v>11145</v>
      </c>
      <c r="D712" t="s">
        <v>12702</v>
      </c>
      <c r="E712" t="s">
        <v>11145</v>
      </c>
      <c r="F712" t="s">
        <v>11145</v>
      </c>
      <c r="G712">
        <v>47788</v>
      </c>
      <c r="H712" t="s">
        <v>11322</v>
      </c>
      <c r="I712" t="s">
        <v>11145</v>
      </c>
      <c r="J712">
        <v>1015</v>
      </c>
      <c r="K712">
        <v>302.23214999999999</v>
      </c>
      <c r="L712" t="s">
        <v>11145</v>
      </c>
      <c r="M712" t="s">
        <v>11145</v>
      </c>
      <c r="N712" t="s">
        <v>11145</v>
      </c>
      <c r="O712" t="s">
        <v>11145</v>
      </c>
      <c r="P712" t="s">
        <v>12701</v>
      </c>
    </row>
    <row r="713" spans="1:16" x14ac:dyDescent="0.2">
      <c r="A713" t="str">
        <f t="shared" si="11"/>
        <v>metab_compid_47959</v>
      </c>
      <c r="B713" t="s">
        <v>12703</v>
      </c>
      <c r="C713" t="s">
        <v>11145</v>
      </c>
      <c r="D713" t="s">
        <v>12704</v>
      </c>
      <c r="E713" t="s">
        <v>11145</v>
      </c>
      <c r="F713" t="s">
        <v>11145</v>
      </c>
      <c r="G713">
        <v>47959</v>
      </c>
      <c r="H713" t="s">
        <v>11327</v>
      </c>
      <c r="I713" t="s">
        <v>11145</v>
      </c>
      <c r="J713">
        <v>1407</v>
      </c>
      <c r="K713">
        <v>263.02334999999999</v>
      </c>
      <c r="L713" t="s">
        <v>11145</v>
      </c>
      <c r="M713" t="s">
        <v>11145</v>
      </c>
      <c r="N713" t="s">
        <v>11145</v>
      </c>
      <c r="O713" t="s">
        <v>11145</v>
      </c>
      <c r="P713" t="s">
        <v>12703</v>
      </c>
    </row>
    <row r="714" spans="1:16" x14ac:dyDescent="0.2">
      <c r="A714" t="str">
        <f t="shared" si="11"/>
        <v>metab_compid_47790</v>
      </c>
      <c r="B714" t="s">
        <v>12705</v>
      </c>
      <c r="C714" t="s">
        <v>11145</v>
      </c>
      <c r="D714" t="s">
        <v>12706</v>
      </c>
      <c r="E714" t="s">
        <v>11145</v>
      </c>
      <c r="F714" t="s">
        <v>11145</v>
      </c>
      <c r="G714">
        <v>47790</v>
      </c>
      <c r="H714" t="s">
        <v>11320</v>
      </c>
      <c r="I714" t="s">
        <v>11145</v>
      </c>
      <c r="J714">
        <v>1642</v>
      </c>
      <c r="K714">
        <v>242.01472000000001</v>
      </c>
      <c r="L714" t="s">
        <v>11145</v>
      </c>
      <c r="M714" t="s">
        <v>11145</v>
      </c>
      <c r="N714" t="s">
        <v>11145</v>
      </c>
      <c r="O714" t="s">
        <v>11145</v>
      </c>
      <c r="P714" t="s">
        <v>12705</v>
      </c>
    </row>
    <row r="715" spans="1:16" x14ac:dyDescent="0.2">
      <c r="A715" t="str">
        <f t="shared" si="11"/>
        <v>metab_compid_47774</v>
      </c>
      <c r="B715" t="s">
        <v>12707</v>
      </c>
      <c r="C715" t="s">
        <v>11145</v>
      </c>
      <c r="D715" t="s">
        <v>12708</v>
      </c>
      <c r="E715" t="s">
        <v>11145</v>
      </c>
      <c r="F715" t="s">
        <v>11145</v>
      </c>
      <c r="G715">
        <v>47774</v>
      </c>
      <c r="H715" t="s">
        <v>11327</v>
      </c>
      <c r="I715" t="s">
        <v>11145</v>
      </c>
      <c r="J715">
        <v>3665</v>
      </c>
      <c r="K715">
        <v>495.22438</v>
      </c>
      <c r="L715" t="s">
        <v>11145</v>
      </c>
      <c r="M715" t="s">
        <v>11145</v>
      </c>
      <c r="N715" t="s">
        <v>11145</v>
      </c>
      <c r="O715" t="s">
        <v>11145</v>
      </c>
      <c r="P715" t="s">
        <v>12707</v>
      </c>
    </row>
    <row r="716" spans="1:16" x14ac:dyDescent="0.2">
      <c r="A716" t="str">
        <f t="shared" si="11"/>
        <v>metab_compid_46645</v>
      </c>
      <c r="B716" t="s">
        <v>12709</v>
      </c>
      <c r="C716" t="s">
        <v>11145</v>
      </c>
      <c r="D716" t="s">
        <v>12710</v>
      </c>
      <c r="E716" t="s">
        <v>11145</v>
      </c>
      <c r="F716" t="s">
        <v>11145</v>
      </c>
      <c r="G716">
        <v>46645</v>
      </c>
      <c r="H716" t="s">
        <v>11327</v>
      </c>
      <c r="I716" t="s">
        <v>11145</v>
      </c>
      <c r="J716">
        <v>1589</v>
      </c>
      <c r="K716">
        <v>197.06819999999999</v>
      </c>
      <c r="L716" t="s">
        <v>11145</v>
      </c>
      <c r="M716" t="s">
        <v>11145</v>
      </c>
      <c r="N716" t="s">
        <v>11145</v>
      </c>
      <c r="O716" t="s">
        <v>11145</v>
      </c>
      <c r="P716" t="s">
        <v>12709</v>
      </c>
    </row>
    <row r="717" spans="1:16" x14ac:dyDescent="0.2">
      <c r="A717" t="str">
        <f t="shared" si="11"/>
        <v>metab_compid_47971</v>
      </c>
      <c r="B717" t="s">
        <v>12711</v>
      </c>
      <c r="C717" t="s">
        <v>11145</v>
      </c>
      <c r="D717" t="s">
        <v>12712</v>
      </c>
      <c r="E717" t="s">
        <v>11145</v>
      </c>
      <c r="F717" t="s">
        <v>11145</v>
      </c>
      <c r="G717">
        <v>47971</v>
      </c>
      <c r="H717" t="s">
        <v>11327</v>
      </c>
      <c r="I717" t="s">
        <v>11145</v>
      </c>
      <c r="J717">
        <v>1745</v>
      </c>
      <c r="K717">
        <v>241.97681</v>
      </c>
      <c r="L717" t="s">
        <v>11145</v>
      </c>
      <c r="M717" t="s">
        <v>11145</v>
      </c>
      <c r="N717" t="s">
        <v>11145</v>
      </c>
      <c r="O717" t="s">
        <v>11145</v>
      </c>
      <c r="P717" t="s">
        <v>12711</v>
      </c>
    </row>
    <row r="718" spans="1:16" x14ac:dyDescent="0.2">
      <c r="A718" t="str">
        <f t="shared" si="11"/>
        <v>metab_compid_47441</v>
      </c>
      <c r="B718" t="s">
        <v>12713</v>
      </c>
      <c r="C718" t="s">
        <v>11145</v>
      </c>
      <c r="D718" t="s">
        <v>12714</v>
      </c>
      <c r="E718" t="s">
        <v>11145</v>
      </c>
      <c r="F718" t="s">
        <v>11145</v>
      </c>
      <c r="G718">
        <v>47441</v>
      </c>
      <c r="H718" t="s">
        <v>11320</v>
      </c>
      <c r="I718" t="s">
        <v>11145</v>
      </c>
      <c r="J718">
        <v>2332</v>
      </c>
      <c r="K718">
        <v>129.10237000000001</v>
      </c>
      <c r="L718" t="s">
        <v>11145</v>
      </c>
      <c r="M718" t="s">
        <v>11145</v>
      </c>
      <c r="N718" t="s">
        <v>11145</v>
      </c>
      <c r="O718" t="s">
        <v>11145</v>
      </c>
      <c r="P718" t="s">
        <v>12713</v>
      </c>
    </row>
    <row r="719" spans="1:16" x14ac:dyDescent="0.2">
      <c r="A719" t="str">
        <f t="shared" si="11"/>
        <v>metab_compid_46646</v>
      </c>
      <c r="B719" t="s">
        <v>12715</v>
      </c>
      <c r="C719" t="s">
        <v>11145</v>
      </c>
      <c r="D719" t="s">
        <v>12716</v>
      </c>
      <c r="E719" t="s">
        <v>11145</v>
      </c>
      <c r="F719" t="s">
        <v>11145</v>
      </c>
      <c r="G719">
        <v>46646</v>
      </c>
      <c r="H719" t="s">
        <v>11327</v>
      </c>
      <c r="I719" t="s">
        <v>11145</v>
      </c>
      <c r="J719">
        <v>1017</v>
      </c>
      <c r="K719">
        <v>169.06175999999999</v>
      </c>
      <c r="L719" t="s">
        <v>11145</v>
      </c>
      <c r="M719" t="s">
        <v>11145</v>
      </c>
      <c r="N719" t="s">
        <v>11145</v>
      </c>
      <c r="O719" t="s">
        <v>11145</v>
      </c>
      <c r="P719" t="s">
        <v>12715</v>
      </c>
    </row>
    <row r="720" spans="1:16" x14ac:dyDescent="0.2">
      <c r="A720" t="str">
        <f t="shared" si="11"/>
        <v>metab_compid_46417</v>
      </c>
      <c r="B720" t="s">
        <v>12717</v>
      </c>
      <c r="C720" t="s">
        <v>11145</v>
      </c>
      <c r="D720" t="s">
        <v>12718</v>
      </c>
      <c r="E720" t="s">
        <v>11145</v>
      </c>
      <c r="F720" t="s">
        <v>11145</v>
      </c>
      <c r="G720">
        <v>46417</v>
      </c>
      <c r="H720" t="s">
        <v>11327</v>
      </c>
      <c r="I720" t="s">
        <v>11145</v>
      </c>
      <c r="J720">
        <v>2417.8000000000002</v>
      </c>
      <c r="K720">
        <v>253.10830000000001</v>
      </c>
      <c r="L720" t="s">
        <v>11145</v>
      </c>
      <c r="M720" t="s">
        <v>11145</v>
      </c>
      <c r="N720" t="s">
        <v>11145</v>
      </c>
      <c r="O720" t="s">
        <v>11145</v>
      </c>
      <c r="P720" t="s">
        <v>12717</v>
      </c>
    </row>
    <row r="721" spans="1:16" x14ac:dyDescent="0.2">
      <c r="A721" t="str">
        <f t="shared" si="11"/>
        <v>metab_compid_46632</v>
      </c>
      <c r="B721" t="s">
        <v>12719</v>
      </c>
      <c r="C721" t="s">
        <v>11145</v>
      </c>
      <c r="D721" t="s">
        <v>12720</v>
      </c>
      <c r="E721" t="s">
        <v>11145</v>
      </c>
      <c r="F721" t="s">
        <v>11145</v>
      </c>
      <c r="G721">
        <v>46632</v>
      </c>
      <c r="H721" t="s">
        <v>11320</v>
      </c>
      <c r="I721" t="s">
        <v>11145</v>
      </c>
      <c r="J721">
        <v>810</v>
      </c>
      <c r="K721">
        <v>192.03254000000001</v>
      </c>
      <c r="L721" t="s">
        <v>11145</v>
      </c>
      <c r="M721" t="s">
        <v>11145</v>
      </c>
      <c r="N721" t="s">
        <v>11145</v>
      </c>
      <c r="O721" t="s">
        <v>11145</v>
      </c>
      <c r="P721" t="s">
        <v>12719</v>
      </c>
    </row>
    <row r="722" spans="1:16" x14ac:dyDescent="0.2">
      <c r="A722" t="str">
        <f t="shared" si="11"/>
        <v>metab_compid_46655</v>
      </c>
      <c r="B722" t="s">
        <v>12721</v>
      </c>
      <c r="C722" t="s">
        <v>11145</v>
      </c>
      <c r="D722" t="s">
        <v>12722</v>
      </c>
      <c r="E722" t="s">
        <v>11145</v>
      </c>
      <c r="F722" t="s">
        <v>11145</v>
      </c>
      <c r="G722">
        <v>46655</v>
      </c>
      <c r="H722" t="s">
        <v>11327</v>
      </c>
      <c r="I722" t="s">
        <v>11145</v>
      </c>
      <c r="J722">
        <v>4855</v>
      </c>
      <c r="K722">
        <v>288.62</v>
      </c>
      <c r="L722" t="s">
        <v>11145</v>
      </c>
      <c r="M722" t="s">
        <v>11145</v>
      </c>
      <c r="N722" t="s">
        <v>11145</v>
      </c>
      <c r="O722" t="s">
        <v>11145</v>
      </c>
      <c r="P722" t="s">
        <v>12721</v>
      </c>
    </row>
    <row r="723" spans="1:16" x14ac:dyDescent="0.2">
      <c r="A723" t="str">
        <f t="shared" si="11"/>
        <v>metab_compid_46652</v>
      </c>
      <c r="B723" t="s">
        <v>12723</v>
      </c>
      <c r="C723" t="s">
        <v>11145</v>
      </c>
      <c r="D723" t="s">
        <v>12724</v>
      </c>
      <c r="E723" t="s">
        <v>11145</v>
      </c>
      <c r="F723" t="s">
        <v>11145</v>
      </c>
      <c r="G723">
        <v>46652</v>
      </c>
      <c r="H723" t="s">
        <v>11327</v>
      </c>
      <c r="I723" t="s">
        <v>11145</v>
      </c>
      <c r="J723">
        <v>4800</v>
      </c>
      <c r="K723">
        <v>288.61957000000001</v>
      </c>
      <c r="L723" t="s">
        <v>11145</v>
      </c>
      <c r="M723" t="s">
        <v>11145</v>
      </c>
      <c r="N723" t="s">
        <v>11145</v>
      </c>
      <c r="O723" t="s">
        <v>11145</v>
      </c>
      <c r="P723" t="s">
        <v>12723</v>
      </c>
    </row>
    <row r="724" spans="1:16" x14ac:dyDescent="0.2">
      <c r="A724" t="str">
        <f t="shared" si="11"/>
        <v>metab_compid_47787</v>
      </c>
      <c r="B724" t="s">
        <v>12725</v>
      </c>
      <c r="C724" t="s">
        <v>11145</v>
      </c>
      <c r="D724" t="s">
        <v>12726</v>
      </c>
      <c r="E724" t="s">
        <v>11145</v>
      </c>
      <c r="F724" t="s">
        <v>11145</v>
      </c>
      <c r="G724">
        <v>47787</v>
      </c>
      <c r="H724" t="s">
        <v>11320</v>
      </c>
      <c r="I724" t="s">
        <v>11145</v>
      </c>
      <c r="J724">
        <v>2000</v>
      </c>
      <c r="K724">
        <v>141.06582</v>
      </c>
      <c r="L724" t="s">
        <v>11145</v>
      </c>
      <c r="M724" t="s">
        <v>11145</v>
      </c>
      <c r="N724" t="s">
        <v>11145</v>
      </c>
      <c r="O724" t="s">
        <v>11145</v>
      </c>
      <c r="P724" t="s">
        <v>12725</v>
      </c>
    </row>
    <row r="725" spans="1:16" x14ac:dyDescent="0.2">
      <c r="A725" t="str">
        <f t="shared" si="11"/>
        <v>metab_compid_46657</v>
      </c>
      <c r="B725" t="s">
        <v>12727</v>
      </c>
      <c r="C725" t="s">
        <v>11145</v>
      </c>
      <c r="D725" t="s">
        <v>12728</v>
      </c>
      <c r="E725" t="s">
        <v>11145</v>
      </c>
      <c r="F725" t="s">
        <v>11145</v>
      </c>
      <c r="G725">
        <v>46657</v>
      </c>
      <c r="H725" t="s">
        <v>11327</v>
      </c>
      <c r="I725" t="s">
        <v>11145</v>
      </c>
      <c r="J725">
        <v>4353</v>
      </c>
      <c r="K725">
        <v>165.09227000000001</v>
      </c>
      <c r="L725" t="s">
        <v>11145</v>
      </c>
      <c r="M725" t="s">
        <v>11145</v>
      </c>
      <c r="N725" t="s">
        <v>11145</v>
      </c>
      <c r="O725" t="s">
        <v>11145</v>
      </c>
      <c r="P725" t="s">
        <v>12727</v>
      </c>
    </row>
    <row r="726" spans="1:16" x14ac:dyDescent="0.2">
      <c r="A726" t="str">
        <f t="shared" si="11"/>
        <v>metab_compid_46661</v>
      </c>
      <c r="B726" t="s">
        <v>12729</v>
      </c>
      <c r="C726" t="s">
        <v>11145</v>
      </c>
      <c r="D726" t="s">
        <v>12730</v>
      </c>
      <c r="E726" t="s">
        <v>11145</v>
      </c>
      <c r="F726" t="s">
        <v>11145</v>
      </c>
      <c r="G726">
        <v>46661</v>
      </c>
      <c r="H726" t="s">
        <v>11327</v>
      </c>
      <c r="I726" t="s">
        <v>11145</v>
      </c>
      <c r="J726">
        <v>568</v>
      </c>
      <c r="K726">
        <v>233.03032999999999</v>
      </c>
      <c r="L726" t="s">
        <v>11145</v>
      </c>
      <c r="M726" t="s">
        <v>11145</v>
      </c>
      <c r="N726" t="s">
        <v>11145</v>
      </c>
      <c r="O726" t="s">
        <v>11145</v>
      </c>
      <c r="P726" t="s">
        <v>12729</v>
      </c>
    </row>
    <row r="727" spans="1:16" x14ac:dyDescent="0.2">
      <c r="A727" t="str">
        <f t="shared" si="11"/>
        <v>metab_compid_46640</v>
      </c>
      <c r="B727" t="s">
        <v>12731</v>
      </c>
      <c r="C727" t="s">
        <v>11145</v>
      </c>
      <c r="D727" t="s">
        <v>12732</v>
      </c>
      <c r="E727" t="s">
        <v>11145</v>
      </c>
      <c r="F727" t="s">
        <v>11145</v>
      </c>
      <c r="G727">
        <v>46640</v>
      </c>
      <c r="H727" t="s">
        <v>11322</v>
      </c>
      <c r="I727" t="s">
        <v>11145</v>
      </c>
      <c r="J727">
        <v>785</v>
      </c>
      <c r="K727">
        <v>304.21159</v>
      </c>
      <c r="L727" t="s">
        <v>11145</v>
      </c>
      <c r="M727" t="s">
        <v>11145</v>
      </c>
      <c r="N727" t="s">
        <v>11145</v>
      </c>
      <c r="O727" t="s">
        <v>11145</v>
      </c>
      <c r="P727" t="s">
        <v>12731</v>
      </c>
    </row>
    <row r="728" spans="1:16" x14ac:dyDescent="0.2">
      <c r="A728" t="str">
        <f t="shared" si="11"/>
        <v>metab_compid_46266</v>
      </c>
      <c r="B728" t="s">
        <v>12733</v>
      </c>
      <c r="C728" t="s">
        <v>11145</v>
      </c>
      <c r="D728" t="s">
        <v>12734</v>
      </c>
      <c r="E728" t="s">
        <v>11145</v>
      </c>
      <c r="F728" t="s">
        <v>11145</v>
      </c>
      <c r="G728">
        <v>46266</v>
      </c>
      <c r="H728" t="s">
        <v>11327</v>
      </c>
      <c r="I728" t="s">
        <v>11145</v>
      </c>
      <c r="J728">
        <v>3629</v>
      </c>
      <c r="K728">
        <v>269.15087999999997</v>
      </c>
      <c r="L728" t="s">
        <v>11145</v>
      </c>
      <c r="M728" t="s">
        <v>11145</v>
      </c>
      <c r="N728" t="s">
        <v>11145</v>
      </c>
      <c r="O728" t="s">
        <v>11145</v>
      </c>
      <c r="P728" t="s">
        <v>12733</v>
      </c>
    </row>
    <row r="729" spans="1:16" x14ac:dyDescent="0.2">
      <c r="A729" t="str">
        <f t="shared" si="11"/>
        <v>metab_compid_46662</v>
      </c>
      <c r="B729" t="s">
        <v>12735</v>
      </c>
      <c r="C729" t="s">
        <v>11145</v>
      </c>
      <c r="D729" t="s">
        <v>12736</v>
      </c>
      <c r="E729" t="s">
        <v>11145</v>
      </c>
      <c r="F729" t="s">
        <v>11145</v>
      </c>
      <c r="G729">
        <v>46662</v>
      </c>
      <c r="H729" t="s">
        <v>11327</v>
      </c>
      <c r="I729" t="s">
        <v>11145</v>
      </c>
      <c r="J729">
        <v>4678</v>
      </c>
      <c r="K729">
        <v>541.26473999999996</v>
      </c>
      <c r="L729" t="s">
        <v>11145</v>
      </c>
      <c r="M729" t="s">
        <v>11145</v>
      </c>
      <c r="N729" t="s">
        <v>11145</v>
      </c>
      <c r="O729" t="s">
        <v>11145</v>
      </c>
      <c r="P729" t="s">
        <v>12735</v>
      </c>
    </row>
    <row r="730" spans="1:16" x14ac:dyDescent="0.2">
      <c r="A730" t="str">
        <f t="shared" si="11"/>
        <v>metab_compid_46977</v>
      </c>
      <c r="B730" t="s">
        <v>12737</v>
      </c>
      <c r="C730" t="s">
        <v>11145</v>
      </c>
      <c r="D730" t="s">
        <v>12738</v>
      </c>
      <c r="E730" t="s">
        <v>11145</v>
      </c>
      <c r="F730" t="s">
        <v>11145</v>
      </c>
      <c r="G730">
        <v>46977</v>
      </c>
      <c r="H730" t="s">
        <v>11327</v>
      </c>
      <c r="I730" t="s">
        <v>11145</v>
      </c>
      <c r="J730">
        <v>1845</v>
      </c>
      <c r="K730">
        <v>193.06254999999999</v>
      </c>
      <c r="L730" t="s">
        <v>11145</v>
      </c>
      <c r="M730" t="s">
        <v>11145</v>
      </c>
      <c r="N730" t="s">
        <v>11145</v>
      </c>
      <c r="O730" t="s">
        <v>11145</v>
      </c>
      <c r="P730" t="s">
        <v>12737</v>
      </c>
    </row>
    <row r="731" spans="1:16" x14ac:dyDescent="0.2">
      <c r="A731" t="str">
        <f t="shared" si="11"/>
        <v>metab_compid_46665</v>
      </c>
      <c r="B731" t="s">
        <v>12739</v>
      </c>
      <c r="C731" t="s">
        <v>11145</v>
      </c>
      <c r="D731" t="s">
        <v>12740</v>
      </c>
      <c r="E731" t="s">
        <v>11145</v>
      </c>
      <c r="F731" t="s">
        <v>11145</v>
      </c>
      <c r="G731">
        <v>46665</v>
      </c>
      <c r="H731" t="s">
        <v>11327</v>
      </c>
      <c r="I731" t="s">
        <v>11145</v>
      </c>
      <c r="J731">
        <v>1362</v>
      </c>
      <c r="K731">
        <v>187.02497</v>
      </c>
      <c r="L731" t="s">
        <v>11145</v>
      </c>
      <c r="M731" t="s">
        <v>11145</v>
      </c>
      <c r="N731" t="s">
        <v>11145</v>
      </c>
      <c r="O731" t="s">
        <v>11145</v>
      </c>
      <c r="P731" t="s">
        <v>12739</v>
      </c>
    </row>
    <row r="732" spans="1:16" x14ac:dyDescent="0.2">
      <c r="A732" t="str">
        <f t="shared" si="11"/>
        <v>metab_compid_46738</v>
      </c>
      <c r="B732" t="s">
        <v>12741</v>
      </c>
      <c r="C732" t="s">
        <v>11145</v>
      </c>
      <c r="D732" t="s">
        <v>12742</v>
      </c>
      <c r="E732" t="s">
        <v>11145</v>
      </c>
      <c r="F732" t="s">
        <v>11145</v>
      </c>
      <c r="G732">
        <v>46738</v>
      </c>
      <c r="H732" t="s">
        <v>11327</v>
      </c>
      <c r="I732" t="s">
        <v>11145</v>
      </c>
      <c r="J732">
        <v>3692</v>
      </c>
      <c r="K732">
        <v>144.04552000000001</v>
      </c>
      <c r="L732" t="s">
        <v>11145</v>
      </c>
      <c r="M732" t="s">
        <v>11145</v>
      </c>
      <c r="N732" t="s">
        <v>11145</v>
      </c>
      <c r="O732" t="s">
        <v>11145</v>
      </c>
      <c r="P732" t="s">
        <v>12741</v>
      </c>
    </row>
    <row r="733" spans="1:16" x14ac:dyDescent="0.2">
      <c r="A733" t="str">
        <f t="shared" si="11"/>
        <v>metab_compid_47988</v>
      </c>
      <c r="B733" t="s">
        <v>12743</v>
      </c>
      <c r="C733" t="s">
        <v>11145</v>
      </c>
      <c r="D733" t="s">
        <v>12744</v>
      </c>
      <c r="E733" t="s">
        <v>11145</v>
      </c>
      <c r="F733" t="s">
        <v>11145</v>
      </c>
      <c r="G733">
        <v>47988</v>
      </c>
      <c r="H733" t="s">
        <v>11327</v>
      </c>
      <c r="I733" t="s">
        <v>11145</v>
      </c>
      <c r="J733">
        <v>4143</v>
      </c>
      <c r="K733">
        <v>443.15660000000003</v>
      </c>
      <c r="L733" t="s">
        <v>11145</v>
      </c>
      <c r="M733" t="s">
        <v>11145</v>
      </c>
      <c r="N733" t="s">
        <v>11145</v>
      </c>
      <c r="O733" t="s">
        <v>11145</v>
      </c>
      <c r="P733" t="s">
        <v>12743</v>
      </c>
    </row>
    <row r="734" spans="1:16" x14ac:dyDescent="0.2">
      <c r="A734" t="str">
        <f t="shared" si="11"/>
        <v>metab_compid_46668</v>
      </c>
      <c r="B734" t="s">
        <v>12745</v>
      </c>
      <c r="C734" t="s">
        <v>11145</v>
      </c>
      <c r="D734" t="s">
        <v>12746</v>
      </c>
      <c r="E734" t="s">
        <v>11145</v>
      </c>
      <c r="F734" t="s">
        <v>11145</v>
      </c>
      <c r="G734">
        <v>46668</v>
      </c>
      <c r="H734" t="s">
        <v>11327</v>
      </c>
      <c r="I734" t="s">
        <v>11145</v>
      </c>
      <c r="J734">
        <v>2624</v>
      </c>
      <c r="K734">
        <v>552.23582999999996</v>
      </c>
      <c r="L734" t="s">
        <v>11145</v>
      </c>
      <c r="M734" t="s">
        <v>11145</v>
      </c>
      <c r="N734" t="s">
        <v>11145</v>
      </c>
      <c r="O734" t="s">
        <v>11145</v>
      </c>
      <c r="P734" t="s">
        <v>12745</v>
      </c>
    </row>
    <row r="735" spans="1:16" x14ac:dyDescent="0.2">
      <c r="A735" t="str">
        <f t="shared" si="11"/>
        <v>metab_compid_47802</v>
      </c>
      <c r="B735" t="s">
        <v>12747</v>
      </c>
      <c r="C735" t="s">
        <v>11145</v>
      </c>
      <c r="D735" t="s">
        <v>12748</v>
      </c>
      <c r="E735" t="s">
        <v>11145</v>
      </c>
      <c r="F735" t="s">
        <v>11145</v>
      </c>
      <c r="G735">
        <v>47802</v>
      </c>
      <c r="H735" t="s">
        <v>11320</v>
      </c>
      <c r="I735" t="s">
        <v>11145</v>
      </c>
      <c r="J735">
        <v>2809</v>
      </c>
      <c r="K735">
        <v>248.09477999999999</v>
      </c>
      <c r="L735" t="s">
        <v>11145</v>
      </c>
      <c r="M735" t="s">
        <v>11145</v>
      </c>
      <c r="N735" t="s">
        <v>11145</v>
      </c>
      <c r="O735" t="s">
        <v>11145</v>
      </c>
      <c r="P735" t="s">
        <v>12747</v>
      </c>
    </row>
    <row r="736" spans="1:16" x14ac:dyDescent="0.2">
      <c r="A736" t="str">
        <f t="shared" si="11"/>
        <v>metab_compid_47013</v>
      </c>
      <c r="B736" t="s">
        <v>12749</v>
      </c>
      <c r="C736" t="s">
        <v>11145</v>
      </c>
      <c r="D736" t="s">
        <v>12750</v>
      </c>
      <c r="E736" t="s">
        <v>11145</v>
      </c>
      <c r="F736" t="s">
        <v>11145</v>
      </c>
      <c r="G736">
        <v>47013</v>
      </c>
      <c r="H736" t="s">
        <v>11327</v>
      </c>
      <c r="I736" t="s">
        <v>11145</v>
      </c>
      <c r="J736">
        <v>3765</v>
      </c>
      <c r="K736">
        <v>198.11431999999999</v>
      </c>
      <c r="L736" t="s">
        <v>11145</v>
      </c>
      <c r="M736" t="s">
        <v>11145</v>
      </c>
      <c r="N736" t="s">
        <v>11145</v>
      </c>
      <c r="O736" t="s">
        <v>11145</v>
      </c>
      <c r="P736" t="s">
        <v>12749</v>
      </c>
    </row>
    <row r="737" spans="1:16" x14ac:dyDescent="0.2">
      <c r="A737" t="str">
        <f t="shared" si="11"/>
        <v>metab_compid_46677</v>
      </c>
      <c r="B737" t="s">
        <v>12751</v>
      </c>
      <c r="C737" t="s">
        <v>11145</v>
      </c>
      <c r="D737" t="s">
        <v>12752</v>
      </c>
      <c r="E737" t="s">
        <v>11145</v>
      </c>
      <c r="F737" t="s">
        <v>11145</v>
      </c>
      <c r="G737">
        <v>46677</v>
      </c>
      <c r="H737" t="s">
        <v>11327</v>
      </c>
      <c r="I737" t="s">
        <v>11145</v>
      </c>
      <c r="J737">
        <v>4598</v>
      </c>
      <c r="K737">
        <v>235.11761999999999</v>
      </c>
      <c r="L737" t="s">
        <v>11145</v>
      </c>
      <c r="M737" t="s">
        <v>11145</v>
      </c>
      <c r="N737" t="s">
        <v>11145</v>
      </c>
      <c r="O737" t="s">
        <v>11145</v>
      </c>
      <c r="P737" t="s">
        <v>12751</v>
      </c>
    </row>
    <row r="738" spans="1:16" x14ac:dyDescent="0.2">
      <c r="A738" t="str">
        <f t="shared" si="11"/>
        <v>metab_compid_46681</v>
      </c>
      <c r="B738" t="s">
        <v>12753</v>
      </c>
      <c r="C738" t="s">
        <v>11145</v>
      </c>
      <c r="D738" t="s">
        <v>12754</v>
      </c>
      <c r="E738" t="s">
        <v>11145</v>
      </c>
      <c r="F738" t="s">
        <v>11145</v>
      </c>
      <c r="G738">
        <v>46681</v>
      </c>
      <c r="H738" t="s">
        <v>11327</v>
      </c>
      <c r="I738" t="s">
        <v>11145</v>
      </c>
      <c r="J738">
        <v>4471</v>
      </c>
      <c r="K738">
        <v>447.27564999999998</v>
      </c>
      <c r="L738" t="s">
        <v>11145</v>
      </c>
      <c r="M738" t="s">
        <v>11145</v>
      </c>
      <c r="N738" t="s">
        <v>11145</v>
      </c>
      <c r="O738" t="s">
        <v>11145</v>
      </c>
      <c r="P738" t="s">
        <v>12753</v>
      </c>
    </row>
    <row r="739" spans="1:16" x14ac:dyDescent="0.2">
      <c r="A739" t="str">
        <f t="shared" si="11"/>
        <v>metab_compid_46511</v>
      </c>
      <c r="B739" t="s">
        <v>12755</v>
      </c>
      <c r="C739" t="s">
        <v>11145</v>
      </c>
      <c r="D739" t="s">
        <v>12756</v>
      </c>
      <c r="E739" t="s">
        <v>11145</v>
      </c>
      <c r="F739" t="s">
        <v>11145</v>
      </c>
      <c r="G739">
        <v>46511</v>
      </c>
      <c r="H739" t="s">
        <v>11327</v>
      </c>
      <c r="I739" t="s">
        <v>11145</v>
      </c>
      <c r="J739">
        <v>2000</v>
      </c>
      <c r="K739">
        <v>233.10317000000001</v>
      </c>
      <c r="L739" t="s">
        <v>11145</v>
      </c>
      <c r="M739" t="s">
        <v>11145</v>
      </c>
      <c r="N739" t="s">
        <v>11145</v>
      </c>
      <c r="O739" t="s">
        <v>11145</v>
      </c>
      <c r="P739" t="s">
        <v>12755</v>
      </c>
    </row>
    <row r="740" spans="1:16" x14ac:dyDescent="0.2">
      <c r="A740" t="str">
        <f t="shared" si="11"/>
        <v>metab_compid_46683</v>
      </c>
      <c r="B740" t="s">
        <v>12757</v>
      </c>
      <c r="C740" t="s">
        <v>11145</v>
      </c>
      <c r="D740" t="s">
        <v>12758</v>
      </c>
      <c r="E740" t="s">
        <v>11145</v>
      </c>
      <c r="F740" t="s">
        <v>11145</v>
      </c>
      <c r="G740">
        <v>46683</v>
      </c>
      <c r="H740" t="s">
        <v>11327</v>
      </c>
      <c r="I740" t="s">
        <v>11145</v>
      </c>
      <c r="J740">
        <v>3718</v>
      </c>
      <c r="K740">
        <v>141.09233</v>
      </c>
      <c r="L740" t="s">
        <v>11145</v>
      </c>
      <c r="M740" t="s">
        <v>11145</v>
      </c>
      <c r="N740" t="s">
        <v>11145</v>
      </c>
      <c r="O740" t="s">
        <v>11145</v>
      </c>
      <c r="P740" t="s">
        <v>12757</v>
      </c>
    </row>
    <row r="741" spans="1:16" x14ac:dyDescent="0.2">
      <c r="A741" t="str">
        <f t="shared" si="11"/>
        <v>metab_compid_46517</v>
      </c>
      <c r="B741" t="s">
        <v>12759</v>
      </c>
      <c r="C741" t="s">
        <v>11145</v>
      </c>
      <c r="D741" t="s">
        <v>12760</v>
      </c>
      <c r="E741" t="s">
        <v>11145</v>
      </c>
      <c r="F741" t="s">
        <v>11145</v>
      </c>
      <c r="G741">
        <v>46517</v>
      </c>
      <c r="H741" t="s">
        <v>11327</v>
      </c>
      <c r="I741" t="s">
        <v>11145</v>
      </c>
      <c r="J741">
        <v>3240</v>
      </c>
      <c r="K741">
        <v>317.11493000000002</v>
      </c>
      <c r="L741" t="s">
        <v>11145</v>
      </c>
      <c r="M741" t="s">
        <v>11145</v>
      </c>
      <c r="N741" t="s">
        <v>11145</v>
      </c>
      <c r="O741" t="s">
        <v>11145</v>
      </c>
      <c r="P741" t="s">
        <v>12759</v>
      </c>
    </row>
    <row r="742" spans="1:16" x14ac:dyDescent="0.2">
      <c r="A742" t="str">
        <f t="shared" si="11"/>
        <v>metab_compid_46685</v>
      </c>
      <c r="B742" t="s">
        <v>12761</v>
      </c>
      <c r="C742" t="s">
        <v>11145</v>
      </c>
      <c r="D742" t="s">
        <v>12762</v>
      </c>
      <c r="E742" t="s">
        <v>11145</v>
      </c>
      <c r="F742" t="s">
        <v>11145</v>
      </c>
      <c r="G742">
        <v>46685</v>
      </c>
      <c r="H742" t="s">
        <v>11327</v>
      </c>
      <c r="I742" t="s">
        <v>11145</v>
      </c>
      <c r="J742">
        <v>3034</v>
      </c>
      <c r="K742">
        <v>174.05948000000001</v>
      </c>
      <c r="L742" t="s">
        <v>11145</v>
      </c>
      <c r="M742" t="s">
        <v>11145</v>
      </c>
      <c r="N742" t="s">
        <v>11145</v>
      </c>
      <c r="O742" t="s">
        <v>11145</v>
      </c>
      <c r="P742" t="s">
        <v>12761</v>
      </c>
    </row>
    <row r="743" spans="1:16" x14ac:dyDescent="0.2">
      <c r="A743" t="str">
        <f t="shared" si="11"/>
        <v>metab_compid_47993</v>
      </c>
      <c r="B743" t="s">
        <v>12763</v>
      </c>
      <c r="C743" t="s">
        <v>11145</v>
      </c>
      <c r="D743" t="s">
        <v>12764</v>
      </c>
      <c r="E743" t="s">
        <v>11145</v>
      </c>
      <c r="F743" t="s">
        <v>11145</v>
      </c>
      <c r="G743">
        <v>47993</v>
      </c>
      <c r="H743" t="s">
        <v>11327</v>
      </c>
      <c r="I743" t="s">
        <v>11145</v>
      </c>
      <c r="J743">
        <v>3178</v>
      </c>
      <c r="K743">
        <v>189.11358999999999</v>
      </c>
      <c r="L743" t="s">
        <v>11145</v>
      </c>
      <c r="M743" t="s">
        <v>11145</v>
      </c>
      <c r="N743" t="s">
        <v>11145</v>
      </c>
      <c r="O743" t="s">
        <v>11145</v>
      </c>
      <c r="P743" t="s">
        <v>12763</v>
      </c>
    </row>
    <row r="744" spans="1:16" x14ac:dyDescent="0.2">
      <c r="A744" t="str">
        <f t="shared" si="11"/>
        <v>metab_compid_46689</v>
      </c>
      <c r="B744" t="s">
        <v>12765</v>
      </c>
      <c r="C744" t="s">
        <v>11145</v>
      </c>
      <c r="D744" t="s">
        <v>12766</v>
      </c>
      <c r="E744" t="s">
        <v>11145</v>
      </c>
      <c r="F744" t="s">
        <v>11145</v>
      </c>
      <c r="G744">
        <v>46689</v>
      </c>
      <c r="H744" t="s">
        <v>11327</v>
      </c>
      <c r="I744" t="s">
        <v>11145</v>
      </c>
      <c r="J744">
        <v>3862</v>
      </c>
      <c r="K744">
        <v>257.17610000000002</v>
      </c>
      <c r="L744" t="s">
        <v>11145</v>
      </c>
      <c r="M744" t="s">
        <v>11145</v>
      </c>
      <c r="N744" t="s">
        <v>11145</v>
      </c>
      <c r="O744" t="s">
        <v>11145</v>
      </c>
      <c r="P744" t="s">
        <v>12765</v>
      </c>
    </row>
    <row r="745" spans="1:16" x14ac:dyDescent="0.2">
      <c r="A745" t="str">
        <f t="shared" si="11"/>
        <v>metab_compid_46692</v>
      </c>
      <c r="B745" t="s">
        <v>12767</v>
      </c>
      <c r="C745" t="s">
        <v>11145</v>
      </c>
      <c r="D745" t="s">
        <v>12768</v>
      </c>
      <c r="E745" t="s">
        <v>11145</v>
      </c>
      <c r="F745" t="s">
        <v>11145</v>
      </c>
      <c r="G745">
        <v>46692</v>
      </c>
      <c r="H745" t="s">
        <v>11327</v>
      </c>
      <c r="I745" t="s">
        <v>11145</v>
      </c>
      <c r="J745">
        <v>2187</v>
      </c>
      <c r="K745">
        <v>653.26846999999998</v>
      </c>
      <c r="L745" t="s">
        <v>11145</v>
      </c>
      <c r="M745" t="s">
        <v>11145</v>
      </c>
      <c r="N745" t="s">
        <v>11145</v>
      </c>
      <c r="O745" t="s">
        <v>11145</v>
      </c>
      <c r="P745" t="s">
        <v>12767</v>
      </c>
    </row>
    <row r="746" spans="1:16" x14ac:dyDescent="0.2">
      <c r="A746" t="str">
        <f t="shared" si="11"/>
        <v>metab_compid_46693</v>
      </c>
      <c r="B746" t="s">
        <v>12769</v>
      </c>
      <c r="C746" t="s">
        <v>11145</v>
      </c>
      <c r="D746" t="s">
        <v>12770</v>
      </c>
      <c r="E746" t="s">
        <v>11145</v>
      </c>
      <c r="F746" t="s">
        <v>11145</v>
      </c>
      <c r="G746">
        <v>46693</v>
      </c>
      <c r="H746" t="s">
        <v>11327</v>
      </c>
      <c r="I746" t="s">
        <v>11145</v>
      </c>
      <c r="J746">
        <v>2842</v>
      </c>
      <c r="K746">
        <v>673.80787999999995</v>
      </c>
      <c r="L746" t="s">
        <v>11145</v>
      </c>
      <c r="M746" t="s">
        <v>11145</v>
      </c>
      <c r="N746" t="s">
        <v>11145</v>
      </c>
      <c r="O746" t="s">
        <v>11145</v>
      </c>
      <c r="P746" t="s">
        <v>12769</v>
      </c>
    </row>
    <row r="747" spans="1:16" x14ac:dyDescent="0.2">
      <c r="A747" t="str">
        <f t="shared" si="11"/>
        <v>metab_compid_46406</v>
      </c>
      <c r="B747" t="s">
        <v>12771</v>
      </c>
      <c r="C747" t="s">
        <v>11145</v>
      </c>
      <c r="D747" t="s">
        <v>12772</v>
      </c>
      <c r="E747" t="s">
        <v>11145</v>
      </c>
      <c r="F747" t="s">
        <v>11145</v>
      </c>
      <c r="G747">
        <v>46406</v>
      </c>
      <c r="H747" t="s">
        <v>11327</v>
      </c>
      <c r="I747" t="s">
        <v>11145</v>
      </c>
      <c r="J747">
        <v>2380.1999999999998</v>
      </c>
      <c r="K747">
        <v>661.25523999999996</v>
      </c>
      <c r="L747" t="s">
        <v>11145</v>
      </c>
      <c r="M747" t="s">
        <v>11145</v>
      </c>
      <c r="N747" t="s">
        <v>11145</v>
      </c>
      <c r="O747" t="s">
        <v>11145</v>
      </c>
      <c r="P747" t="s">
        <v>12771</v>
      </c>
    </row>
    <row r="748" spans="1:16" x14ac:dyDescent="0.2">
      <c r="A748" t="str">
        <f t="shared" si="11"/>
        <v>metab_compid_46698</v>
      </c>
      <c r="B748" t="s">
        <v>12773</v>
      </c>
      <c r="C748" t="s">
        <v>11145</v>
      </c>
      <c r="D748" t="s">
        <v>12774</v>
      </c>
      <c r="E748" t="s">
        <v>11145</v>
      </c>
      <c r="F748" t="s">
        <v>11145</v>
      </c>
      <c r="G748">
        <v>46698</v>
      </c>
      <c r="H748" t="s">
        <v>11327</v>
      </c>
      <c r="I748" t="s">
        <v>11145</v>
      </c>
      <c r="J748">
        <v>2480</v>
      </c>
      <c r="K748">
        <v>595.75333999999998</v>
      </c>
      <c r="L748" t="s">
        <v>11145</v>
      </c>
      <c r="M748" t="s">
        <v>11145</v>
      </c>
      <c r="N748" t="s">
        <v>11145</v>
      </c>
      <c r="O748" t="s">
        <v>11145</v>
      </c>
      <c r="P748" t="s">
        <v>12773</v>
      </c>
    </row>
    <row r="749" spans="1:16" x14ac:dyDescent="0.2">
      <c r="A749" t="str">
        <f t="shared" si="11"/>
        <v>metab_compid_46412</v>
      </c>
      <c r="B749" t="s">
        <v>12775</v>
      </c>
      <c r="C749" t="s">
        <v>11145</v>
      </c>
      <c r="D749" t="s">
        <v>12776</v>
      </c>
      <c r="E749" t="s">
        <v>11145</v>
      </c>
      <c r="F749" t="s">
        <v>11145</v>
      </c>
      <c r="G749">
        <v>46412</v>
      </c>
      <c r="H749" t="s">
        <v>11327</v>
      </c>
      <c r="I749" t="s">
        <v>11145</v>
      </c>
      <c r="J749">
        <v>2399</v>
      </c>
      <c r="K749">
        <v>411.48957999999999</v>
      </c>
      <c r="L749" t="s">
        <v>11145</v>
      </c>
      <c r="M749" t="s">
        <v>11145</v>
      </c>
      <c r="N749" t="s">
        <v>11145</v>
      </c>
      <c r="O749" t="s">
        <v>11145</v>
      </c>
      <c r="P749" t="s">
        <v>12775</v>
      </c>
    </row>
    <row r="750" spans="1:16" x14ac:dyDescent="0.2">
      <c r="A750" t="str">
        <f t="shared" si="11"/>
        <v>metab_compid_40097</v>
      </c>
      <c r="B750" t="s">
        <v>12777</v>
      </c>
      <c r="C750" t="s">
        <v>11145</v>
      </c>
      <c r="D750" t="s">
        <v>12778</v>
      </c>
      <c r="E750" t="s">
        <v>11145</v>
      </c>
      <c r="F750" t="s">
        <v>11145</v>
      </c>
      <c r="G750">
        <v>40097</v>
      </c>
      <c r="H750" t="s">
        <v>11320</v>
      </c>
      <c r="I750" t="s">
        <v>11145</v>
      </c>
      <c r="J750">
        <v>2344</v>
      </c>
      <c r="K750">
        <v>229.15432999999999</v>
      </c>
      <c r="L750" t="s">
        <v>11145</v>
      </c>
      <c r="M750" t="s">
        <v>11145</v>
      </c>
      <c r="N750" t="s">
        <v>11145</v>
      </c>
      <c r="O750" t="s">
        <v>11145</v>
      </c>
      <c r="P750" t="s">
        <v>12777</v>
      </c>
    </row>
    <row r="751" spans="1:16" x14ac:dyDescent="0.2">
      <c r="A751" t="str">
        <f t="shared" si="11"/>
        <v>metab_compid_47000</v>
      </c>
      <c r="B751" t="s">
        <v>12779</v>
      </c>
      <c r="C751" t="s">
        <v>11145</v>
      </c>
      <c r="D751" t="s">
        <v>12780</v>
      </c>
      <c r="E751" t="s">
        <v>11145</v>
      </c>
      <c r="F751" t="s">
        <v>11145</v>
      </c>
      <c r="G751">
        <v>47000</v>
      </c>
      <c r="H751" t="s">
        <v>11327</v>
      </c>
      <c r="I751" t="s">
        <v>11145</v>
      </c>
      <c r="J751">
        <v>3045</v>
      </c>
      <c r="K751">
        <v>255.13585</v>
      </c>
      <c r="L751" t="s">
        <v>11145</v>
      </c>
      <c r="M751" t="s">
        <v>11145</v>
      </c>
      <c r="N751" t="s">
        <v>11145</v>
      </c>
      <c r="O751" t="s">
        <v>11145</v>
      </c>
      <c r="P751" t="s">
        <v>12779</v>
      </c>
    </row>
    <row r="752" spans="1:16" x14ac:dyDescent="0.2">
      <c r="A752" t="str">
        <f t="shared" si="11"/>
        <v>metab_compid_47820</v>
      </c>
      <c r="B752" t="s">
        <v>12781</v>
      </c>
      <c r="C752" t="s">
        <v>11145</v>
      </c>
      <c r="D752" t="s">
        <v>12782</v>
      </c>
      <c r="E752" t="s">
        <v>11145</v>
      </c>
      <c r="F752" t="s">
        <v>11145</v>
      </c>
      <c r="G752">
        <v>47820</v>
      </c>
      <c r="H752" t="s">
        <v>11322</v>
      </c>
      <c r="I752" t="s">
        <v>11145</v>
      </c>
      <c r="J752">
        <v>1052</v>
      </c>
      <c r="K752">
        <v>248.16756000000001</v>
      </c>
      <c r="L752" t="s">
        <v>11145</v>
      </c>
      <c r="M752" t="s">
        <v>11145</v>
      </c>
      <c r="N752" t="s">
        <v>11145</v>
      </c>
      <c r="O752" t="s">
        <v>11145</v>
      </c>
      <c r="P752" t="s">
        <v>12781</v>
      </c>
    </row>
    <row r="753" spans="1:16" x14ac:dyDescent="0.2">
      <c r="A753" t="str">
        <f t="shared" si="11"/>
        <v>metab_compid_47821</v>
      </c>
      <c r="B753" t="s">
        <v>12783</v>
      </c>
      <c r="C753" t="s">
        <v>11145</v>
      </c>
      <c r="D753" t="s">
        <v>12784</v>
      </c>
      <c r="E753" t="s">
        <v>11145</v>
      </c>
      <c r="F753" t="s">
        <v>11145</v>
      </c>
      <c r="G753">
        <v>47821</v>
      </c>
      <c r="H753" t="s">
        <v>11322</v>
      </c>
      <c r="I753" t="s">
        <v>11145</v>
      </c>
      <c r="J753">
        <v>1136</v>
      </c>
      <c r="K753">
        <v>328.24761999999998</v>
      </c>
      <c r="L753" t="s">
        <v>11145</v>
      </c>
      <c r="M753" t="s">
        <v>11145</v>
      </c>
      <c r="N753" t="s">
        <v>11145</v>
      </c>
      <c r="O753" t="s">
        <v>11145</v>
      </c>
      <c r="P753" t="s">
        <v>12783</v>
      </c>
    </row>
    <row r="754" spans="1:16" x14ac:dyDescent="0.2">
      <c r="A754" t="str">
        <f t="shared" si="11"/>
        <v>metab_compid_47872</v>
      </c>
      <c r="B754" t="s">
        <v>12785</v>
      </c>
      <c r="C754" t="s">
        <v>11145</v>
      </c>
      <c r="D754" t="s">
        <v>12786</v>
      </c>
      <c r="E754" t="s">
        <v>11145</v>
      </c>
      <c r="F754" t="s">
        <v>11145</v>
      </c>
      <c r="G754">
        <v>47872</v>
      </c>
      <c r="H754" t="s">
        <v>11327</v>
      </c>
      <c r="I754" t="s">
        <v>11145</v>
      </c>
      <c r="J754">
        <v>4697</v>
      </c>
      <c r="K754">
        <v>539.25001999999995</v>
      </c>
      <c r="L754" t="s">
        <v>11145</v>
      </c>
      <c r="M754" t="s">
        <v>11145</v>
      </c>
      <c r="N754" t="s">
        <v>11145</v>
      </c>
      <c r="O754" t="s">
        <v>11145</v>
      </c>
      <c r="P754" t="s">
        <v>12785</v>
      </c>
    </row>
    <row r="755" spans="1:16" x14ac:dyDescent="0.2">
      <c r="A755" t="str">
        <f t="shared" si="11"/>
        <v>metab_compid_48001</v>
      </c>
      <c r="B755" t="s">
        <v>12787</v>
      </c>
      <c r="C755" t="s">
        <v>11145</v>
      </c>
      <c r="D755" t="s">
        <v>12788</v>
      </c>
      <c r="E755" t="s">
        <v>11145</v>
      </c>
      <c r="F755" t="s">
        <v>11145</v>
      </c>
      <c r="G755">
        <v>48001</v>
      </c>
      <c r="H755" t="s">
        <v>11327</v>
      </c>
      <c r="I755" t="s">
        <v>11145</v>
      </c>
      <c r="J755">
        <v>3390</v>
      </c>
      <c r="K755">
        <v>243.0779</v>
      </c>
      <c r="L755" t="s">
        <v>11145</v>
      </c>
      <c r="M755" t="s">
        <v>11145</v>
      </c>
      <c r="N755" t="s">
        <v>11145</v>
      </c>
      <c r="O755" t="s">
        <v>11145</v>
      </c>
      <c r="P755" t="s">
        <v>12787</v>
      </c>
    </row>
    <row r="756" spans="1:16" x14ac:dyDescent="0.2">
      <c r="A756" t="str">
        <f t="shared" si="11"/>
        <v>metab_compid_48009</v>
      </c>
      <c r="B756" t="s">
        <v>12789</v>
      </c>
      <c r="C756" t="s">
        <v>11145</v>
      </c>
      <c r="D756" t="s">
        <v>12790</v>
      </c>
      <c r="E756" t="s">
        <v>11145</v>
      </c>
      <c r="F756" t="s">
        <v>11145</v>
      </c>
      <c r="G756">
        <v>48009</v>
      </c>
      <c r="H756" t="s">
        <v>11327</v>
      </c>
      <c r="I756" t="s">
        <v>11145</v>
      </c>
      <c r="J756">
        <v>4098</v>
      </c>
      <c r="K756">
        <v>541.26553999999999</v>
      </c>
      <c r="L756" t="s">
        <v>11145</v>
      </c>
      <c r="M756" t="s">
        <v>11145</v>
      </c>
      <c r="N756" t="s">
        <v>11145</v>
      </c>
      <c r="O756" t="s">
        <v>11145</v>
      </c>
      <c r="P756" t="s">
        <v>12789</v>
      </c>
    </row>
    <row r="757" spans="1:16" x14ac:dyDescent="0.2">
      <c r="A757" t="str">
        <f t="shared" si="11"/>
        <v>metab_compid_48011</v>
      </c>
      <c r="B757" t="s">
        <v>12791</v>
      </c>
      <c r="C757" t="s">
        <v>11145</v>
      </c>
      <c r="D757" t="s">
        <v>12792</v>
      </c>
      <c r="E757" t="s">
        <v>11145</v>
      </c>
      <c r="F757" t="s">
        <v>11145</v>
      </c>
      <c r="G757">
        <v>48011</v>
      </c>
      <c r="H757" t="s">
        <v>11327</v>
      </c>
      <c r="I757" t="s">
        <v>11145</v>
      </c>
      <c r="J757">
        <v>4606</v>
      </c>
      <c r="K757">
        <v>541.26594</v>
      </c>
      <c r="L757" t="s">
        <v>11145</v>
      </c>
      <c r="M757" t="s">
        <v>11145</v>
      </c>
      <c r="N757" t="s">
        <v>11145</v>
      </c>
      <c r="O757" t="s">
        <v>11145</v>
      </c>
      <c r="P757" t="s">
        <v>12791</v>
      </c>
    </row>
    <row r="758" spans="1:16" x14ac:dyDescent="0.2">
      <c r="A758" t="str">
        <f t="shared" si="11"/>
        <v>metab_compid_48052</v>
      </c>
      <c r="B758" t="s">
        <v>12793</v>
      </c>
      <c r="C758" t="s">
        <v>11145</v>
      </c>
      <c r="D758" t="s">
        <v>12794</v>
      </c>
      <c r="E758" t="s">
        <v>11145</v>
      </c>
      <c r="F758" t="s">
        <v>11145</v>
      </c>
      <c r="G758">
        <v>48052</v>
      </c>
      <c r="H758" t="s">
        <v>11327</v>
      </c>
      <c r="I758" t="s">
        <v>11145</v>
      </c>
      <c r="J758">
        <v>4308</v>
      </c>
      <c r="K758">
        <v>567.31925999999999</v>
      </c>
      <c r="L758" t="s">
        <v>11145</v>
      </c>
      <c r="M758" t="s">
        <v>11145</v>
      </c>
      <c r="N758" t="s">
        <v>11145</v>
      </c>
      <c r="O758" t="s">
        <v>11145</v>
      </c>
      <c r="P758" t="s">
        <v>12793</v>
      </c>
    </row>
    <row r="759" spans="1:16" x14ac:dyDescent="0.2">
      <c r="A759" t="str">
        <f t="shared" si="11"/>
        <v>metab_compid_46707</v>
      </c>
      <c r="B759" t="s">
        <v>12795</v>
      </c>
      <c r="C759" t="s">
        <v>11145</v>
      </c>
      <c r="D759" t="s">
        <v>12796</v>
      </c>
      <c r="E759" t="s">
        <v>11145</v>
      </c>
      <c r="F759" t="s">
        <v>11145</v>
      </c>
      <c r="G759">
        <v>46707</v>
      </c>
      <c r="H759" t="s">
        <v>11327</v>
      </c>
      <c r="I759" t="s">
        <v>11145</v>
      </c>
      <c r="J759">
        <v>5128</v>
      </c>
      <c r="K759">
        <v>365.26943999999997</v>
      </c>
      <c r="L759" t="s">
        <v>11145</v>
      </c>
      <c r="M759" t="s">
        <v>11145</v>
      </c>
      <c r="N759" t="s">
        <v>11145</v>
      </c>
      <c r="O759" t="s">
        <v>11145</v>
      </c>
      <c r="P759" t="s">
        <v>12795</v>
      </c>
    </row>
    <row r="760" spans="1:16" x14ac:dyDescent="0.2">
      <c r="A760" t="str">
        <f t="shared" si="11"/>
        <v>metab_compid_46709</v>
      </c>
      <c r="B760" t="s">
        <v>12797</v>
      </c>
      <c r="C760" t="s">
        <v>11145</v>
      </c>
      <c r="D760" t="s">
        <v>12798</v>
      </c>
      <c r="E760" t="s">
        <v>11145</v>
      </c>
      <c r="F760" t="s">
        <v>11145</v>
      </c>
      <c r="G760">
        <v>46709</v>
      </c>
      <c r="H760" t="s">
        <v>11327</v>
      </c>
      <c r="I760" t="s">
        <v>11145</v>
      </c>
      <c r="J760">
        <v>5200</v>
      </c>
      <c r="K760">
        <v>365.26938000000001</v>
      </c>
      <c r="L760" t="s">
        <v>11145</v>
      </c>
      <c r="M760" t="s">
        <v>11145</v>
      </c>
      <c r="N760" t="s">
        <v>11145</v>
      </c>
      <c r="O760" t="s">
        <v>11145</v>
      </c>
      <c r="P760" t="s">
        <v>12797</v>
      </c>
    </row>
    <row r="761" spans="1:16" x14ac:dyDescent="0.2">
      <c r="A761" t="str">
        <f t="shared" si="11"/>
        <v>metab_compid_46970</v>
      </c>
      <c r="B761" t="s">
        <v>12799</v>
      </c>
      <c r="C761" t="s">
        <v>11145</v>
      </c>
      <c r="D761" t="s">
        <v>12800</v>
      </c>
      <c r="E761" t="s">
        <v>11145</v>
      </c>
      <c r="F761" t="s">
        <v>11145</v>
      </c>
      <c r="G761">
        <v>46970</v>
      </c>
      <c r="H761" t="s">
        <v>11327</v>
      </c>
      <c r="I761" t="s">
        <v>11145</v>
      </c>
      <c r="J761">
        <v>1485</v>
      </c>
      <c r="K761">
        <v>167.04682</v>
      </c>
      <c r="L761" t="s">
        <v>11145</v>
      </c>
      <c r="M761" t="s">
        <v>11145</v>
      </c>
      <c r="N761" t="s">
        <v>11145</v>
      </c>
      <c r="O761" t="s">
        <v>11145</v>
      </c>
      <c r="P761" t="s">
        <v>12799</v>
      </c>
    </row>
    <row r="762" spans="1:16" x14ac:dyDescent="0.2">
      <c r="A762" t="str">
        <f t="shared" si="11"/>
        <v>metab_compid_46366</v>
      </c>
      <c r="B762" t="s">
        <v>12801</v>
      </c>
      <c r="C762" t="s">
        <v>11145</v>
      </c>
      <c r="D762" t="s">
        <v>12802</v>
      </c>
      <c r="E762" t="s">
        <v>11145</v>
      </c>
      <c r="F762" t="s">
        <v>11145</v>
      </c>
      <c r="G762">
        <v>46366</v>
      </c>
      <c r="H762" t="s">
        <v>11327</v>
      </c>
      <c r="I762" t="s">
        <v>11145</v>
      </c>
      <c r="J762">
        <v>4404.1000000000004</v>
      </c>
      <c r="K762">
        <v>220.9419</v>
      </c>
      <c r="L762" t="s">
        <v>11145</v>
      </c>
      <c r="M762" t="s">
        <v>11145</v>
      </c>
      <c r="N762" t="s">
        <v>11145</v>
      </c>
      <c r="O762" t="s">
        <v>11145</v>
      </c>
      <c r="P762" t="s">
        <v>12801</v>
      </c>
    </row>
    <row r="763" spans="1:16" x14ac:dyDescent="0.2">
      <c r="A763" t="str">
        <f t="shared" si="11"/>
        <v>metab_compid_47342</v>
      </c>
      <c r="B763" t="s">
        <v>12803</v>
      </c>
      <c r="C763" t="s">
        <v>11145</v>
      </c>
      <c r="D763" t="s">
        <v>12804</v>
      </c>
      <c r="E763" t="s">
        <v>11145</v>
      </c>
      <c r="F763" t="s">
        <v>11145</v>
      </c>
      <c r="G763">
        <v>47342</v>
      </c>
      <c r="H763" t="s">
        <v>11327</v>
      </c>
      <c r="I763" t="s">
        <v>11145</v>
      </c>
      <c r="J763">
        <v>1400</v>
      </c>
      <c r="K763">
        <v>245.11447000000001</v>
      </c>
      <c r="L763" t="s">
        <v>11145</v>
      </c>
      <c r="M763" t="s">
        <v>11145</v>
      </c>
      <c r="N763" t="s">
        <v>11145</v>
      </c>
      <c r="O763" t="s">
        <v>11145</v>
      </c>
      <c r="P763" t="s">
        <v>12803</v>
      </c>
    </row>
    <row r="764" spans="1:16" x14ac:dyDescent="0.2">
      <c r="A764" t="str">
        <f t="shared" si="11"/>
        <v>metab_compid_46687</v>
      </c>
      <c r="B764" t="s">
        <v>12805</v>
      </c>
      <c r="C764" t="s">
        <v>11145</v>
      </c>
      <c r="D764" t="s">
        <v>12806</v>
      </c>
      <c r="E764" t="s">
        <v>11145</v>
      </c>
      <c r="F764" t="s">
        <v>11145</v>
      </c>
      <c r="G764">
        <v>46687</v>
      </c>
      <c r="H764" t="s">
        <v>11327</v>
      </c>
      <c r="I764" t="s">
        <v>11145</v>
      </c>
      <c r="J764">
        <v>1969</v>
      </c>
      <c r="K764">
        <v>209.04535000000001</v>
      </c>
      <c r="L764" t="s">
        <v>11145</v>
      </c>
      <c r="M764" t="s">
        <v>11145</v>
      </c>
      <c r="N764" t="s">
        <v>11145</v>
      </c>
      <c r="O764" t="s">
        <v>11145</v>
      </c>
      <c r="P764" t="s">
        <v>12805</v>
      </c>
    </row>
    <row r="765" spans="1:16" x14ac:dyDescent="0.2">
      <c r="A765" t="str">
        <f t="shared" si="11"/>
        <v>metab_compid_48047</v>
      </c>
      <c r="B765" t="s">
        <v>12807</v>
      </c>
      <c r="C765" t="s">
        <v>11145</v>
      </c>
      <c r="D765" t="s">
        <v>12808</v>
      </c>
      <c r="E765" t="s">
        <v>11145</v>
      </c>
      <c r="F765" t="s">
        <v>11145</v>
      </c>
      <c r="G765">
        <v>48047</v>
      </c>
      <c r="H765" t="s">
        <v>11327</v>
      </c>
      <c r="I765" t="s">
        <v>11145</v>
      </c>
      <c r="J765">
        <v>1870</v>
      </c>
      <c r="K765">
        <v>217.10846000000001</v>
      </c>
      <c r="L765" t="s">
        <v>11145</v>
      </c>
      <c r="M765" t="s">
        <v>11145</v>
      </c>
      <c r="N765" t="s">
        <v>11145</v>
      </c>
      <c r="O765" t="s">
        <v>11145</v>
      </c>
      <c r="P765" t="s">
        <v>12807</v>
      </c>
    </row>
    <row r="766" spans="1:16" x14ac:dyDescent="0.2">
      <c r="A766" t="str">
        <f t="shared" si="11"/>
        <v>metab_compid_47670</v>
      </c>
      <c r="B766" t="s">
        <v>12809</v>
      </c>
      <c r="C766" t="s">
        <v>11145</v>
      </c>
      <c r="D766" t="s">
        <v>12810</v>
      </c>
      <c r="E766" t="s">
        <v>11145</v>
      </c>
      <c r="F766" t="s">
        <v>11145</v>
      </c>
      <c r="G766">
        <v>47670</v>
      </c>
      <c r="H766" t="s">
        <v>11327</v>
      </c>
      <c r="I766" t="s">
        <v>11145</v>
      </c>
      <c r="J766">
        <v>3730</v>
      </c>
      <c r="K766">
        <v>337.14272</v>
      </c>
      <c r="L766" t="s">
        <v>11145</v>
      </c>
      <c r="M766" t="s">
        <v>11145</v>
      </c>
      <c r="N766" t="s">
        <v>11145</v>
      </c>
      <c r="O766" t="s">
        <v>11145</v>
      </c>
      <c r="P766" t="s">
        <v>12809</v>
      </c>
    </row>
    <row r="767" spans="1:16" x14ac:dyDescent="0.2">
      <c r="A767" t="str">
        <f t="shared" si="11"/>
        <v>metab_compid_46690</v>
      </c>
      <c r="B767" t="s">
        <v>12811</v>
      </c>
      <c r="C767" t="s">
        <v>11145</v>
      </c>
      <c r="D767" t="s">
        <v>12812</v>
      </c>
      <c r="E767" t="s">
        <v>11145</v>
      </c>
      <c r="F767" t="s">
        <v>11145</v>
      </c>
      <c r="G767">
        <v>46690</v>
      </c>
      <c r="H767" t="s">
        <v>11327</v>
      </c>
      <c r="I767" t="s">
        <v>11145</v>
      </c>
      <c r="J767">
        <v>3800</v>
      </c>
      <c r="K767">
        <v>211.02472</v>
      </c>
      <c r="L767" t="s">
        <v>11145</v>
      </c>
      <c r="M767" t="s">
        <v>11145</v>
      </c>
      <c r="N767" t="s">
        <v>11145</v>
      </c>
      <c r="O767" t="s">
        <v>11145</v>
      </c>
      <c r="P767" t="s">
        <v>12811</v>
      </c>
    </row>
    <row r="768" spans="1:16" x14ac:dyDescent="0.2">
      <c r="A768" t="str">
        <f t="shared" si="11"/>
        <v>metab_compid_46695</v>
      </c>
      <c r="B768" t="s">
        <v>12813</v>
      </c>
      <c r="C768" t="s">
        <v>11145</v>
      </c>
      <c r="D768" t="s">
        <v>12814</v>
      </c>
      <c r="E768" t="s">
        <v>11145</v>
      </c>
      <c r="F768" t="s">
        <v>11145</v>
      </c>
      <c r="G768">
        <v>46695</v>
      </c>
      <c r="H768" t="s">
        <v>11327</v>
      </c>
      <c r="I768" t="s">
        <v>11145</v>
      </c>
      <c r="J768">
        <v>4538</v>
      </c>
      <c r="K768">
        <v>185.11815000000001</v>
      </c>
      <c r="L768" t="s">
        <v>11145</v>
      </c>
      <c r="M768" t="s">
        <v>11145</v>
      </c>
      <c r="N768" t="s">
        <v>11145</v>
      </c>
      <c r="O768" t="s">
        <v>11145</v>
      </c>
      <c r="P768" t="s">
        <v>12813</v>
      </c>
    </row>
    <row r="769" spans="1:16" x14ac:dyDescent="0.2">
      <c r="A769" t="str">
        <f t="shared" si="11"/>
        <v>metab_compid_46368</v>
      </c>
      <c r="B769" t="s">
        <v>12815</v>
      </c>
      <c r="C769" t="s">
        <v>11145</v>
      </c>
      <c r="D769" t="s">
        <v>12816</v>
      </c>
      <c r="E769" t="s">
        <v>11145</v>
      </c>
      <c r="F769" t="s">
        <v>11145</v>
      </c>
      <c r="G769">
        <v>46368</v>
      </c>
      <c r="H769" t="s">
        <v>11327</v>
      </c>
      <c r="I769" t="s">
        <v>11145</v>
      </c>
      <c r="J769">
        <v>4503</v>
      </c>
      <c r="K769">
        <v>266.88893999999999</v>
      </c>
      <c r="L769" t="s">
        <v>11145</v>
      </c>
      <c r="M769" t="s">
        <v>11145</v>
      </c>
      <c r="N769" t="s">
        <v>11145</v>
      </c>
      <c r="O769" t="s">
        <v>11145</v>
      </c>
      <c r="P769" t="s">
        <v>12815</v>
      </c>
    </row>
    <row r="770" spans="1:16" x14ac:dyDescent="0.2">
      <c r="A770" t="str">
        <f t="shared" si="11"/>
        <v>metab_compid_47671</v>
      </c>
      <c r="B770" t="s">
        <v>12817</v>
      </c>
      <c r="C770" t="s">
        <v>11145</v>
      </c>
      <c r="D770" t="s">
        <v>12818</v>
      </c>
      <c r="E770" t="s">
        <v>11145</v>
      </c>
      <c r="F770" t="s">
        <v>11145</v>
      </c>
      <c r="G770">
        <v>47671</v>
      </c>
      <c r="H770" t="s">
        <v>11327</v>
      </c>
      <c r="I770" t="s">
        <v>11145</v>
      </c>
      <c r="J770">
        <v>4870</v>
      </c>
      <c r="K770">
        <v>193.12356</v>
      </c>
      <c r="L770" t="s">
        <v>11145</v>
      </c>
      <c r="M770" t="s">
        <v>11145</v>
      </c>
      <c r="N770" t="s">
        <v>11145</v>
      </c>
      <c r="O770" t="s">
        <v>11145</v>
      </c>
      <c r="P770" t="s">
        <v>12817</v>
      </c>
    </row>
    <row r="771" spans="1:16" x14ac:dyDescent="0.2">
      <c r="A771" t="str">
        <f t="shared" ref="A771:A834" si="12">_xlfn.CONCAT("metab_compid_", $G771)</f>
        <v>metab_compid_46700</v>
      </c>
      <c r="B771" t="s">
        <v>12819</v>
      </c>
      <c r="C771" t="s">
        <v>11145</v>
      </c>
      <c r="D771" t="s">
        <v>12820</v>
      </c>
      <c r="E771" t="s">
        <v>11145</v>
      </c>
      <c r="F771" t="s">
        <v>11145</v>
      </c>
      <c r="G771">
        <v>46700</v>
      </c>
      <c r="H771" t="s">
        <v>11327</v>
      </c>
      <c r="I771" t="s">
        <v>11145</v>
      </c>
      <c r="J771">
        <v>4928</v>
      </c>
      <c r="K771">
        <v>299.18612999999999</v>
      </c>
      <c r="L771" t="s">
        <v>11145</v>
      </c>
      <c r="M771" t="s">
        <v>11145</v>
      </c>
      <c r="N771" t="s">
        <v>11145</v>
      </c>
      <c r="O771" t="s">
        <v>11145</v>
      </c>
      <c r="P771" t="s">
        <v>12819</v>
      </c>
    </row>
    <row r="772" spans="1:16" x14ac:dyDescent="0.2">
      <c r="A772" t="str">
        <f t="shared" si="12"/>
        <v>metab_compid_46701</v>
      </c>
      <c r="B772" t="s">
        <v>12821</v>
      </c>
      <c r="C772" t="s">
        <v>11145</v>
      </c>
      <c r="D772" t="s">
        <v>12822</v>
      </c>
      <c r="E772" t="s">
        <v>11145</v>
      </c>
      <c r="F772" t="s">
        <v>11145</v>
      </c>
      <c r="G772">
        <v>46701</v>
      </c>
      <c r="H772" t="s">
        <v>11327</v>
      </c>
      <c r="I772" t="s">
        <v>11145</v>
      </c>
      <c r="J772">
        <v>3705</v>
      </c>
      <c r="K772">
        <v>415.197</v>
      </c>
      <c r="L772" t="s">
        <v>11145</v>
      </c>
      <c r="M772" t="s">
        <v>11145</v>
      </c>
      <c r="N772" t="s">
        <v>11145</v>
      </c>
      <c r="O772" t="s">
        <v>11145</v>
      </c>
      <c r="P772" t="s">
        <v>12821</v>
      </c>
    </row>
    <row r="773" spans="1:16" x14ac:dyDescent="0.2">
      <c r="A773" t="str">
        <f t="shared" si="12"/>
        <v>metab_compid_46259</v>
      </c>
      <c r="B773" t="s">
        <v>12823</v>
      </c>
      <c r="C773" t="s">
        <v>11145</v>
      </c>
      <c r="D773" t="s">
        <v>12824</v>
      </c>
      <c r="E773" t="s">
        <v>11145</v>
      </c>
      <c r="F773" t="s">
        <v>11145</v>
      </c>
      <c r="G773">
        <v>46259</v>
      </c>
      <c r="H773" t="s">
        <v>11327</v>
      </c>
      <c r="I773" t="s">
        <v>11145</v>
      </c>
      <c r="J773">
        <v>3915</v>
      </c>
      <c r="K773">
        <v>213.02315999999999</v>
      </c>
      <c r="L773" t="s">
        <v>11145</v>
      </c>
      <c r="M773" t="s">
        <v>11145</v>
      </c>
      <c r="N773" t="s">
        <v>11145</v>
      </c>
      <c r="O773" t="s">
        <v>11145</v>
      </c>
      <c r="P773" t="s">
        <v>12823</v>
      </c>
    </row>
    <row r="774" spans="1:16" x14ac:dyDescent="0.2">
      <c r="A774" t="str">
        <f t="shared" si="12"/>
        <v>metab_compid_46295</v>
      </c>
      <c r="B774" t="s">
        <v>12825</v>
      </c>
      <c r="C774" t="s">
        <v>11145</v>
      </c>
      <c r="D774" t="s">
        <v>12826</v>
      </c>
      <c r="E774" t="s">
        <v>11145</v>
      </c>
      <c r="F774" t="s">
        <v>11145</v>
      </c>
      <c r="G774">
        <v>46295</v>
      </c>
      <c r="H774" t="s">
        <v>11327</v>
      </c>
      <c r="I774" t="s">
        <v>11145</v>
      </c>
      <c r="J774">
        <v>1550</v>
      </c>
      <c r="K774">
        <v>164.03550000000001</v>
      </c>
      <c r="L774" t="s">
        <v>11145</v>
      </c>
      <c r="M774" t="s">
        <v>11145</v>
      </c>
      <c r="N774" t="s">
        <v>11145</v>
      </c>
      <c r="O774" t="s">
        <v>11145</v>
      </c>
      <c r="P774" t="s">
        <v>12825</v>
      </c>
    </row>
    <row r="775" spans="1:16" x14ac:dyDescent="0.2">
      <c r="A775" t="str">
        <f t="shared" si="12"/>
        <v>metab_compid_46354</v>
      </c>
      <c r="B775" t="s">
        <v>12827</v>
      </c>
      <c r="C775" t="s">
        <v>11145</v>
      </c>
      <c r="D775" t="s">
        <v>12828</v>
      </c>
      <c r="E775" t="s">
        <v>11145</v>
      </c>
      <c r="F775" t="s">
        <v>11145</v>
      </c>
      <c r="G775">
        <v>46354</v>
      </c>
      <c r="H775" t="s">
        <v>11327</v>
      </c>
      <c r="I775" t="s">
        <v>11145</v>
      </c>
      <c r="J775">
        <v>2235</v>
      </c>
      <c r="K775">
        <v>233.98457999999999</v>
      </c>
      <c r="L775" t="s">
        <v>11145</v>
      </c>
      <c r="M775" t="s">
        <v>11145</v>
      </c>
      <c r="N775" t="s">
        <v>11145</v>
      </c>
      <c r="O775" t="s">
        <v>11145</v>
      </c>
      <c r="P775" t="s">
        <v>12827</v>
      </c>
    </row>
    <row r="776" spans="1:16" x14ac:dyDescent="0.2">
      <c r="A776" t="str">
        <f t="shared" si="12"/>
        <v>metab_compid_46363</v>
      </c>
      <c r="B776" t="s">
        <v>12829</v>
      </c>
      <c r="C776" t="s">
        <v>11145</v>
      </c>
      <c r="D776" t="s">
        <v>12830</v>
      </c>
      <c r="E776" t="s">
        <v>11145</v>
      </c>
      <c r="F776" t="s">
        <v>11145</v>
      </c>
      <c r="G776">
        <v>46363</v>
      </c>
      <c r="H776" t="s">
        <v>11327</v>
      </c>
      <c r="I776" t="s">
        <v>11145</v>
      </c>
      <c r="J776">
        <v>4238.3999999999996</v>
      </c>
      <c r="K776">
        <v>165.09242</v>
      </c>
      <c r="L776" t="s">
        <v>11145</v>
      </c>
      <c r="M776" t="s">
        <v>11145</v>
      </c>
      <c r="N776" t="s">
        <v>11145</v>
      </c>
      <c r="O776" t="s">
        <v>11145</v>
      </c>
      <c r="P776" t="s">
        <v>12829</v>
      </c>
    </row>
    <row r="777" spans="1:16" x14ac:dyDescent="0.2">
      <c r="A777" t="str">
        <f t="shared" si="12"/>
        <v>metab_compid_46384</v>
      </c>
      <c r="B777" t="s">
        <v>12831</v>
      </c>
      <c r="C777" t="s">
        <v>11145</v>
      </c>
      <c r="D777" t="s">
        <v>12832</v>
      </c>
      <c r="E777" t="s">
        <v>11145</v>
      </c>
      <c r="F777" t="s">
        <v>11145</v>
      </c>
      <c r="G777">
        <v>46384</v>
      </c>
      <c r="H777" t="s">
        <v>11327</v>
      </c>
      <c r="I777" t="s">
        <v>11145</v>
      </c>
      <c r="J777">
        <v>5105</v>
      </c>
      <c r="K777">
        <v>453.32261999999997</v>
      </c>
      <c r="L777" t="s">
        <v>11145</v>
      </c>
      <c r="M777" t="s">
        <v>11145</v>
      </c>
      <c r="N777" t="s">
        <v>11145</v>
      </c>
      <c r="O777" t="s">
        <v>11145</v>
      </c>
      <c r="P777" t="s">
        <v>12831</v>
      </c>
    </row>
    <row r="778" spans="1:16" x14ac:dyDescent="0.2">
      <c r="A778" t="str">
        <f t="shared" si="12"/>
        <v>metab_compid_46398</v>
      </c>
      <c r="B778" t="s">
        <v>12833</v>
      </c>
      <c r="C778" t="s">
        <v>11145</v>
      </c>
      <c r="D778" t="s">
        <v>12834</v>
      </c>
      <c r="E778" t="s">
        <v>11145</v>
      </c>
      <c r="F778" t="s">
        <v>11145</v>
      </c>
      <c r="G778">
        <v>46398</v>
      </c>
      <c r="H778" t="s">
        <v>11327</v>
      </c>
      <c r="I778" t="s">
        <v>11145</v>
      </c>
      <c r="J778">
        <v>5196</v>
      </c>
      <c r="K778">
        <v>239.16550000000001</v>
      </c>
      <c r="L778" t="s">
        <v>11145</v>
      </c>
      <c r="M778" t="s">
        <v>11145</v>
      </c>
      <c r="N778" t="s">
        <v>11145</v>
      </c>
      <c r="O778" t="s">
        <v>11145</v>
      </c>
      <c r="P778" t="s">
        <v>12833</v>
      </c>
    </row>
    <row r="779" spans="1:16" x14ac:dyDescent="0.2">
      <c r="A779" t="str">
        <f t="shared" si="12"/>
        <v>metab_compid_46409</v>
      </c>
      <c r="B779" t="s">
        <v>12835</v>
      </c>
      <c r="C779" t="s">
        <v>11145</v>
      </c>
      <c r="D779" t="s">
        <v>12836</v>
      </c>
      <c r="E779" t="s">
        <v>11145</v>
      </c>
      <c r="F779" t="s">
        <v>11145</v>
      </c>
      <c r="G779">
        <v>46409</v>
      </c>
      <c r="H779" t="s">
        <v>11327</v>
      </c>
      <c r="I779" t="s">
        <v>11145</v>
      </c>
      <c r="J779">
        <v>3757</v>
      </c>
      <c r="K779">
        <v>213.08645999999999</v>
      </c>
      <c r="L779" t="s">
        <v>11145</v>
      </c>
      <c r="M779" t="s">
        <v>11145</v>
      </c>
      <c r="N779" t="s">
        <v>11145</v>
      </c>
      <c r="O779" t="s">
        <v>11145</v>
      </c>
      <c r="P779" t="s">
        <v>12835</v>
      </c>
    </row>
    <row r="780" spans="1:16" x14ac:dyDescent="0.2">
      <c r="A780" t="str">
        <f t="shared" si="12"/>
        <v>metab_compid_46428</v>
      </c>
      <c r="B780" t="s">
        <v>12837</v>
      </c>
      <c r="C780" t="s">
        <v>11145</v>
      </c>
      <c r="D780" t="s">
        <v>12838</v>
      </c>
      <c r="E780" t="s">
        <v>11145</v>
      </c>
      <c r="F780" t="s">
        <v>11145</v>
      </c>
      <c r="G780">
        <v>46428</v>
      </c>
      <c r="H780" t="s">
        <v>11327</v>
      </c>
      <c r="I780" t="s">
        <v>11145</v>
      </c>
      <c r="J780">
        <v>2448</v>
      </c>
      <c r="K780">
        <v>223.09771000000001</v>
      </c>
      <c r="L780" t="s">
        <v>11145</v>
      </c>
      <c r="M780" t="s">
        <v>11145</v>
      </c>
      <c r="N780" t="s">
        <v>11145</v>
      </c>
      <c r="O780" t="s">
        <v>11145</v>
      </c>
      <c r="P780" t="s">
        <v>12837</v>
      </c>
    </row>
    <row r="781" spans="1:16" x14ac:dyDescent="0.2">
      <c r="A781" t="str">
        <f t="shared" si="12"/>
        <v>metab_compid_46455</v>
      </c>
      <c r="B781" t="s">
        <v>12839</v>
      </c>
      <c r="C781" t="s">
        <v>11145</v>
      </c>
      <c r="D781" t="s">
        <v>12840</v>
      </c>
      <c r="E781" t="s">
        <v>11145</v>
      </c>
      <c r="F781" t="s">
        <v>11145</v>
      </c>
      <c r="G781">
        <v>46455</v>
      </c>
      <c r="H781" t="s">
        <v>11327</v>
      </c>
      <c r="I781" t="s">
        <v>11145</v>
      </c>
      <c r="J781">
        <v>3921</v>
      </c>
      <c r="K781">
        <v>385.16964000000002</v>
      </c>
      <c r="L781" t="s">
        <v>11145</v>
      </c>
      <c r="M781" t="s">
        <v>11145</v>
      </c>
      <c r="N781" t="s">
        <v>11145</v>
      </c>
      <c r="O781" t="s">
        <v>11145</v>
      </c>
      <c r="P781" t="s">
        <v>12839</v>
      </c>
    </row>
    <row r="782" spans="1:16" x14ac:dyDescent="0.2">
      <c r="A782" t="str">
        <f t="shared" si="12"/>
        <v>metab_compid_46456</v>
      </c>
      <c r="B782" t="s">
        <v>12841</v>
      </c>
      <c r="C782" t="s">
        <v>11145</v>
      </c>
      <c r="D782" t="s">
        <v>12842</v>
      </c>
      <c r="E782" t="s">
        <v>11145</v>
      </c>
      <c r="F782" t="s">
        <v>11145</v>
      </c>
      <c r="G782">
        <v>46456</v>
      </c>
      <c r="H782" t="s">
        <v>11327</v>
      </c>
      <c r="I782" t="s">
        <v>11145</v>
      </c>
      <c r="J782">
        <v>3956</v>
      </c>
      <c r="K782">
        <v>157.08722</v>
      </c>
      <c r="L782" t="s">
        <v>11145</v>
      </c>
      <c r="M782" t="s">
        <v>11145</v>
      </c>
      <c r="N782" t="s">
        <v>11145</v>
      </c>
      <c r="O782" t="s">
        <v>11145</v>
      </c>
      <c r="P782" t="s">
        <v>12841</v>
      </c>
    </row>
    <row r="783" spans="1:16" x14ac:dyDescent="0.2">
      <c r="A783" t="str">
        <f t="shared" si="12"/>
        <v>metab_compid_46486</v>
      </c>
      <c r="B783" t="s">
        <v>12843</v>
      </c>
      <c r="C783" t="s">
        <v>11145</v>
      </c>
      <c r="D783" t="s">
        <v>12844</v>
      </c>
      <c r="E783" t="s">
        <v>11145</v>
      </c>
      <c r="F783" t="s">
        <v>11145</v>
      </c>
      <c r="G783">
        <v>46486</v>
      </c>
      <c r="H783" t="s">
        <v>11327</v>
      </c>
      <c r="I783" t="s">
        <v>11145</v>
      </c>
      <c r="J783">
        <v>3025.4</v>
      </c>
      <c r="K783">
        <v>294.11279999999999</v>
      </c>
      <c r="L783" t="s">
        <v>11145</v>
      </c>
      <c r="M783" t="s">
        <v>11145</v>
      </c>
      <c r="N783" t="s">
        <v>11145</v>
      </c>
      <c r="O783" t="s">
        <v>11145</v>
      </c>
      <c r="P783" t="s">
        <v>12843</v>
      </c>
    </row>
    <row r="784" spans="1:16" x14ac:dyDescent="0.2">
      <c r="A784" t="str">
        <f t="shared" si="12"/>
        <v>metab_compid_46493</v>
      </c>
      <c r="B784" t="s">
        <v>12845</v>
      </c>
      <c r="C784" t="s">
        <v>11145</v>
      </c>
      <c r="D784" t="s">
        <v>12846</v>
      </c>
      <c r="E784" t="s">
        <v>11145</v>
      </c>
      <c r="F784" t="s">
        <v>11145</v>
      </c>
      <c r="G784">
        <v>46493</v>
      </c>
      <c r="H784" t="s">
        <v>11327</v>
      </c>
      <c r="I784" t="s">
        <v>11145</v>
      </c>
      <c r="J784">
        <v>3098</v>
      </c>
      <c r="K784">
        <v>317.11471999999998</v>
      </c>
      <c r="L784" t="s">
        <v>11145</v>
      </c>
      <c r="M784" t="s">
        <v>11145</v>
      </c>
      <c r="N784" t="s">
        <v>11145</v>
      </c>
      <c r="O784" t="s">
        <v>11145</v>
      </c>
      <c r="P784" t="s">
        <v>12845</v>
      </c>
    </row>
    <row r="785" spans="1:16" x14ac:dyDescent="0.2">
      <c r="A785" t="str">
        <f t="shared" si="12"/>
        <v>metab_compid_46503</v>
      </c>
      <c r="B785" t="s">
        <v>12847</v>
      </c>
      <c r="C785" t="s">
        <v>11145</v>
      </c>
      <c r="D785" t="s">
        <v>12848</v>
      </c>
      <c r="E785" t="s">
        <v>11145</v>
      </c>
      <c r="F785" t="s">
        <v>11145</v>
      </c>
      <c r="G785">
        <v>46503</v>
      </c>
      <c r="H785" t="s">
        <v>11327</v>
      </c>
      <c r="I785" t="s">
        <v>11145</v>
      </c>
      <c r="J785">
        <v>4010</v>
      </c>
      <c r="K785">
        <v>478.19875999999999</v>
      </c>
      <c r="L785" t="s">
        <v>11145</v>
      </c>
      <c r="M785" t="s">
        <v>11145</v>
      </c>
      <c r="N785" t="s">
        <v>11145</v>
      </c>
      <c r="O785" t="s">
        <v>11145</v>
      </c>
      <c r="P785" t="s">
        <v>12847</v>
      </c>
    </row>
    <row r="786" spans="1:16" x14ac:dyDescent="0.2">
      <c r="A786" t="str">
        <f t="shared" si="12"/>
        <v>metab_compid_46512</v>
      </c>
      <c r="B786" t="s">
        <v>12849</v>
      </c>
      <c r="C786" t="s">
        <v>11145</v>
      </c>
      <c r="D786" t="s">
        <v>12850</v>
      </c>
      <c r="E786" t="s">
        <v>11145</v>
      </c>
      <c r="F786" t="s">
        <v>11145</v>
      </c>
      <c r="G786">
        <v>46512</v>
      </c>
      <c r="H786" t="s">
        <v>11327</v>
      </c>
      <c r="I786" t="s">
        <v>11145</v>
      </c>
      <c r="J786">
        <v>4041</v>
      </c>
      <c r="K786">
        <v>262.62051000000002</v>
      </c>
      <c r="L786" t="s">
        <v>11145</v>
      </c>
      <c r="M786" t="s">
        <v>11145</v>
      </c>
      <c r="N786" t="s">
        <v>11145</v>
      </c>
      <c r="O786" t="s">
        <v>11145</v>
      </c>
      <c r="P786" t="s">
        <v>12849</v>
      </c>
    </row>
    <row r="787" spans="1:16" x14ac:dyDescent="0.2">
      <c r="A787" t="str">
        <f t="shared" si="12"/>
        <v>metab_compid_46515</v>
      </c>
      <c r="B787" t="s">
        <v>12851</v>
      </c>
      <c r="C787" t="s">
        <v>11145</v>
      </c>
      <c r="D787" t="s">
        <v>12852</v>
      </c>
      <c r="E787" t="s">
        <v>11145</v>
      </c>
      <c r="F787" t="s">
        <v>11145</v>
      </c>
      <c r="G787">
        <v>46515</v>
      </c>
      <c r="H787" t="s">
        <v>11327</v>
      </c>
      <c r="I787" t="s">
        <v>11145</v>
      </c>
      <c r="J787">
        <v>3249</v>
      </c>
      <c r="K787">
        <v>232.05949000000001</v>
      </c>
      <c r="L787" t="s">
        <v>11145</v>
      </c>
      <c r="M787" t="s">
        <v>11145</v>
      </c>
      <c r="N787" t="s">
        <v>11145</v>
      </c>
      <c r="O787" t="s">
        <v>11145</v>
      </c>
      <c r="P787" t="s">
        <v>12851</v>
      </c>
    </row>
    <row r="788" spans="1:16" x14ac:dyDescent="0.2">
      <c r="A788" t="str">
        <f t="shared" si="12"/>
        <v>metab_compid_46516</v>
      </c>
      <c r="B788" t="s">
        <v>12853</v>
      </c>
      <c r="C788" t="s">
        <v>11145</v>
      </c>
      <c r="D788" t="s">
        <v>12854</v>
      </c>
      <c r="E788" t="s">
        <v>11145</v>
      </c>
      <c r="F788" t="s">
        <v>11145</v>
      </c>
      <c r="G788">
        <v>46516</v>
      </c>
      <c r="H788" t="s">
        <v>11327</v>
      </c>
      <c r="I788" t="s">
        <v>11145</v>
      </c>
      <c r="J788">
        <v>4039</v>
      </c>
      <c r="K788">
        <v>295.11196000000001</v>
      </c>
      <c r="L788" t="s">
        <v>11145</v>
      </c>
      <c r="M788" t="s">
        <v>11145</v>
      </c>
      <c r="N788" t="s">
        <v>11145</v>
      </c>
      <c r="O788" t="s">
        <v>11145</v>
      </c>
      <c r="P788" t="s">
        <v>12853</v>
      </c>
    </row>
    <row r="789" spans="1:16" x14ac:dyDescent="0.2">
      <c r="A789" t="str">
        <f t="shared" si="12"/>
        <v>metab_compid_46674</v>
      </c>
      <c r="B789" t="s">
        <v>12855</v>
      </c>
      <c r="C789" t="s">
        <v>11145</v>
      </c>
      <c r="D789" t="s">
        <v>12856</v>
      </c>
      <c r="E789" t="s">
        <v>11145</v>
      </c>
      <c r="F789" t="s">
        <v>11145</v>
      </c>
      <c r="G789">
        <v>46674</v>
      </c>
      <c r="H789" t="s">
        <v>11327</v>
      </c>
      <c r="I789" t="s">
        <v>11145</v>
      </c>
      <c r="J789">
        <v>4529</v>
      </c>
      <c r="K789">
        <v>167.10791</v>
      </c>
      <c r="L789" t="s">
        <v>11145</v>
      </c>
      <c r="M789" t="s">
        <v>11145</v>
      </c>
      <c r="N789" t="s">
        <v>11145</v>
      </c>
      <c r="O789" t="s">
        <v>11145</v>
      </c>
      <c r="P789" t="s">
        <v>12855</v>
      </c>
    </row>
    <row r="790" spans="1:16" x14ac:dyDescent="0.2">
      <c r="A790" t="str">
        <f t="shared" si="12"/>
        <v>metab_compid_46694</v>
      </c>
      <c r="B790" t="s">
        <v>12857</v>
      </c>
      <c r="C790" t="s">
        <v>11145</v>
      </c>
      <c r="D790" t="s">
        <v>12858</v>
      </c>
      <c r="E790" t="s">
        <v>11145</v>
      </c>
      <c r="F790" t="s">
        <v>11145</v>
      </c>
      <c r="G790">
        <v>46694</v>
      </c>
      <c r="H790" t="s">
        <v>11327</v>
      </c>
      <c r="I790" t="s">
        <v>11145</v>
      </c>
      <c r="J790">
        <v>2533</v>
      </c>
      <c r="K790">
        <v>696.77184999999997</v>
      </c>
      <c r="L790" t="s">
        <v>11145</v>
      </c>
      <c r="M790" t="s">
        <v>11145</v>
      </c>
      <c r="N790" t="s">
        <v>11145</v>
      </c>
      <c r="O790" t="s">
        <v>11145</v>
      </c>
      <c r="P790" t="s">
        <v>12857</v>
      </c>
    </row>
    <row r="791" spans="1:16" x14ac:dyDescent="0.2">
      <c r="A791" t="str">
        <f t="shared" si="12"/>
        <v>metab_compid_46696</v>
      </c>
      <c r="B791" t="s">
        <v>12859</v>
      </c>
      <c r="C791" t="s">
        <v>11145</v>
      </c>
      <c r="D791" t="s">
        <v>12860</v>
      </c>
      <c r="E791" t="s">
        <v>11145</v>
      </c>
      <c r="F791" t="s">
        <v>11145</v>
      </c>
      <c r="G791">
        <v>46696</v>
      </c>
      <c r="H791" t="s">
        <v>11327</v>
      </c>
      <c r="I791" t="s">
        <v>11145</v>
      </c>
      <c r="J791">
        <v>2270</v>
      </c>
      <c r="K791">
        <v>697.26337000000001</v>
      </c>
      <c r="L791" t="s">
        <v>11145</v>
      </c>
      <c r="M791" t="s">
        <v>11145</v>
      </c>
      <c r="N791" t="s">
        <v>11145</v>
      </c>
      <c r="O791" t="s">
        <v>11145</v>
      </c>
      <c r="P791" t="s">
        <v>12859</v>
      </c>
    </row>
    <row r="792" spans="1:16" x14ac:dyDescent="0.2">
      <c r="A792" t="str">
        <f t="shared" si="12"/>
        <v>metab_compid_46898</v>
      </c>
      <c r="B792" t="s">
        <v>12861</v>
      </c>
      <c r="C792" t="s">
        <v>11145</v>
      </c>
      <c r="D792" t="s">
        <v>12862</v>
      </c>
      <c r="E792" t="s">
        <v>11145</v>
      </c>
      <c r="F792" t="s">
        <v>11145</v>
      </c>
      <c r="G792">
        <v>46898</v>
      </c>
      <c r="H792" t="s">
        <v>11327</v>
      </c>
      <c r="I792" t="s">
        <v>11145</v>
      </c>
      <c r="J792">
        <v>1024</v>
      </c>
      <c r="K792">
        <v>87.045299999999997</v>
      </c>
      <c r="L792" t="s">
        <v>11145</v>
      </c>
      <c r="M792" t="s">
        <v>11145</v>
      </c>
      <c r="N792" t="s">
        <v>11145</v>
      </c>
      <c r="O792" t="s">
        <v>11145</v>
      </c>
      <c r="P792" t="s">
        <v>12861</v>
      </c>
    </row>
    <row r="793" spans="1:16" x14ac:dyDescent="0.2">
      <c r="A793" t="str">
        <f t="shared" si="12"/>
        <v>metab_compid_46904</v>
      </c>
      <c r="B793" t="s">
        <v>12863</v>
      </c>
      <c r="C793" t="s">
        <v>11145</v>
      </c>
      <c r="D793" t="s">
        <v>12864</v>
      </c>
      <c r="E793" t="s">
        <v>11145</v>
      </c>
      <c r="F793" t="s">
        <v>11145</v>
      </c>
      <c r="G793">
        <v>46904</v>
      </c>
      <c r="H793" t="s">
        <v>11327</v>
      </c>
      <c r="I793" t="s">
        <v>11145</v>
      </c>
      <c r="J793">
        <v>3172</v>
      </c>
      <c r="K793">
        <v>253.14462</v>
      </c>
      <c r="L793" t="s">
        <v>11145</v>
      </c>
      <c r="M793" t="s">
        <v>11145</v>
      </c>
      <c r="N793" t="s">
        <v>11145</v>
      </c>
      <c r="O793" t="s">
        <v>11145</v>
      </c>
      <c r="P793" t="s">
        <v>12863</v>
      </c>
    </row>
    <row r="794" spans="1:16" x14ac:dyDescent="0.2">
      <c r="A794" t="str">
        <f t="shared" si="12"/>
        <v>metab_compid_46905</v>
      </c>
      <c r="B794" t="s">
        <v>12865</v>
      </c>
      <c r="C794" t="s">
        <v>11145</v>
      </c>
      <c r="D794" t="s">
        <v>12866</v>
      </c>
      <c r="E794" t="s">
        <v>11145</v>
      </c>
      <c r="F794" t="s">
        <v>11145</v>
      </c>
      <c r="G794">
        <v>46905</v>
      </c>
      <c r="H794" t="s">
        <v>11327</v>
      </c>
      <c r="I794" t="s">
        <v>11145</v>
      </c>
      <c r="J794">
        <v>3345</v>
      </c>
      <c r="K794">
        <v>183.13916</v>
      </c>
      <c r="L794" t="s">
        <v>11145</v>
      </c>
      <c r="M794" t="s">
        <v>11145</v>
      </c>
      <c r="N794" t="s">
        <v>11145</v>
      </c>
      <c r="O794" t="s">
        <v>11145</v>
      </c>
      <c r="P794" t="s">
        <v>12865</v>
      </c>
    </row>
    <row r="795" spans="1:16" x14ac:dyDescent="0.2">
      <c r="A795" t="str">
        <f t="shared" si="12"/>
        <v>metab_compid_46961</v>
      </c>
      <c r="B795" t="s">
        <v>12867</v>
      </c>
      <c r="C795" t="s">
        <v>11145</v>
      </c>
      <c r="D795" t="s">
        <v>12868</v>
      </c>
      <c r="E795" t="s">
        <v>11145</v>
      </c>
      <c r="F795" t="s">
        <v>11145</v>
      </c>
      <c r="G795">
        <v>46961</v>
      </c>
      <c r="H795" t="s">
        <v>11327</v>
      </c>
      <c r="I795" t="s">
        <v>11145</v>
      </c>
      <c r="J795">
        <v>765</v>
      </c>
      <c r="K795">
        <v>189.04118</v>
      </c>
      <c r="L795" t="s">
        <v>11145</v>
      </c>
      <c r="M795" t="s">
        <v>11145</v>
      </c>
      <c r="N795" t="s">
        <v>11145</v>
      </c>
      <c r="O795" t="s">
        <v>11145</v>
      </c>
      <c r="P795" t="s">
        <v>12867</v>
      </c>
    </row>
    <row r="796" spans="1:16" x14ac:dyDescent="0.2">
      <c r="A796" t="str">
        <f t="shared" si="12"/>
        <v>metab_compid_46968</v>
      </c>
      <c r="B796" t="s">
        <v>12869</v>
      </c>
      <c r="C796" t="s">
        <v>11145</v>
      </c>
      <c r="D796" t="s">
        <v>12870</v>
      </c>
      <c r="E796" t="s">
        <v>11145</v>
      </c>
      <c r="F796" t="s">
        <v>11145</v>
      </c>
      <c r="G796">
        <v>46968</v>
      </c>
      <c r="H796" t="s">
        <v>11327</v>
      </c>
      <c r="I796" t="s">
        <v>11145</v>
      </c>
      <c r="J796">
        <v>1290</v>
      </c>
      <c r="K796">
        <v>197.08265</v>
      </c>
      <c r="L796" t="s">
        <v>11145</v>
      </c>
      <c r="M796" t="s">
        <v>11145</v>
      </c>
      <c r="N796" t="s">
        <v>11145</v>
      </c>
      <c r="O796" t="s">
        <v>11145</v>
      </c>
      <c r="P796" t="s">
        <v>12869</v>
      </c>
    </row>
    <row r="797" spans="1:16" x14ac:dyDescent="0.2">
      <c r="A797" t="str">
        <f t="shared" si="12"/>
        <v>metab_compid_46972</v>
      </c>
      <c r="B797" t="s">
        <v>12871</v>
      </c>
      <c r="C797" t="s">
        <v>11145</v>
      </c>
      <c r="D797" t="s">
        <v>12872</v>
      </c>
      <c r="E797" t="s">
        <v>11145</v>
      </c>
      <c r="F797" t="s">
        <v>11145</v>
      </c>
      <c r="G797">
        <v>46972</v>
      </c>
      <c r="H797" t="s">
        <v>11327</v>
      </c>
      <c r="I797" t="s">
        <v>11145</v>
      </c>
      <c r="J797">
        <v>1625</v>
      </c>
      <c r="K797">
        <v>138.05654999999999</v>
      </c>
      <c r="L797" t="s">
        <v>11145</v>
      </c>
      <c r="M797" t="s">
        <v>11145</v>
      </c>
      <c r="N797" t="s">
        <v>11145</v>
      </c>
      <c r="O797" t="s">
        <v>11145</v>
      </c>
      <c r="P797" t="s">
        <v>12871</v>
      </c>
    </row>
    <row r="798" spans="1:16" x14ac:dyDescent="0.2">
      <c r="A798" t="str">
        <f t="shared" si="12"/>
        <v>metab_compid_46998</v>
      </c>
      <c r="B798" t="s">
        <v>12873</v>
      </c>
      <c r="C798" t="s">
        <v>11145</v>
      </c>
      <c r="D798" t="s">
        <v>12874</v>
      </c>
      <c r="E798" t="s">
        <v>11145</v>
      </c>
      <c r="F798" t="s">
        <v>11145</v>
      </c>
      <c r="G798">
        <v>46998</v>
      </c>
      <c r="H798" t="s">
        <v>11327</v>
      </c>
      <c r="I798" t="s">
        <v>11145</v>
      </c>
      <c r="J798">
        <v>2930</v>
      </c>
      <c r="K798">
        <v>243.07830000000001</v>
      </c>
      <c r="L798" t="s">
        <v>11145</v>
      </c>
      <c r="M798" t="s">
        <v>11145</v>
      </c>
      <c r="N798" t="s">
        <v>11145</v>
      </c>
      <c r="O798" t="s">
        <v>11145</v>
      </c>
      <c r="P798" t="s">
        <v>12873</v>
      </c>
    </row>
    <row r="799" spans="1:16" x14ac:dyDescent="0.2">
      <c r="A799" t="str">
        <f t="shared" si="12"/>
        <v>metab_compid_47006</v>
      </c>
      <c r="B799" t="s">
        <v>12875</v>
      </c>
      <c r="C799" t="s">
        <v>11145</v>
      </c>
      <c r="D799" t="s">
        <v>12876</v>
      </c>
      <c r="E799" t="s">
        <v>11145</v>
      </c>
      <c r="F799" t="s">
        <v>11145</v>
      </c>
      <c r="G799">
        <v>47006</v>
      </c>
      <c r="H799" t="s">
        <v>11327</v>
      </c>
      <c r="I799" t="s">
        <v>11145</v>
      </c>
      <c r="J799">
        <v>3440</v>
      </c>
      <c r="K799">
        <v>245.14021</v>
      </c>
      <c r="L799" t="s">
        <v>11145</v>
      </c>
      <c r="M799" t="s">
        <v>11145</v>
      </c>
      <c r="N799" t="s">
        <v>11145</v>
      </c>
      <c r="O799" t="s">
        <v>11145</v>
      </c>
      <c r="P799" t="s">
        <v>12875</v>
      </c>
    </row>
    <row r="800" spans="1:16" x14ac:dyDescent="0.2">
      <c r="A800" t="str">
        <f t="shared" si="12"/>
        <v>metab_compid_47389</v>
      </c>
      <c r="B800" t="s">
        <v>12877</v>
      </c>
      <c r="C800" t="s">
        <v>11145</v>
      </c>
      <c r="D800" t="s">
        <v>12878</v>
      </c>
      <c r="E800" t="s">
        <v>11145</v>
      </c>
      <c r="F800" t="s">
        <v>11145</v>
      </c>
      <c r="G800">
        <v>47389</v>
      </c>
      <c r="H800" t="s">
        <v>11327</v>
      </c>
      <c r="I800" t="s">
        <v>11145</v>
      </c>
      <c r="J800">
        <v>1263</v>
      </c>
      <c r="K800">
        <v>216.08807999999999</v>
      </c>
      <c r="L800" t="s">
        <v>11145</v>
      </c>
      <c r="M800" t="s">
        <v>11145</v>
      </c>
      <c r="N800" t="s">
        <v>11145</v>
      </c>
      <c r="O800" t="s">
        <v>11145</v>
      </c>
      <c r="P800" t="s">
        <v>12877</v>
      </c>
    </row>
    <row r="801" spans="1:16" x14ac:dyDescent="0.2">
      <c r="A801" t="str">
        <f t="shared" si="12"/>
        <v>metab_compid_47417</v>
      </c>
      <c r="B801" t="s">
        <v>12879</v>
      </c>
      <c r="C801" t="s">
        <v>11145</v>
      </c>
      <c r="D801" t="s">
        <v>12880</v>
      </c>
      <c r="E801" t="s">
        <v>11145</v>
      </c>
      <c r="F801" t="s">
        <v>11145</v>
      </c>
      <c r="G801">
        <v>47417</v>
      </c>
      <c r="H801" t="s">
        <v>11320</v>
      </c>
      <c r="I801" t="s">
        <v>11145</v>
      </c>
      <c r="J801">
        <v>960</v>
      </c>
      <c r="K801">
        <v>150.05828</v>
      </c>
      <c r="L801" t="s">
        <v>11145</v>
      </c>
      <c r="M801" t="s">
        <v>11145</v>
      </c>
      <c r="N801" t="s">
        <v>11145</v>
      </c>
      <c r="O801" t="s">
        <v>11145</v>
      </c>
      <c r="P801" t="s">
        <v>12879</v>
      </c>
    </row>
    <row r="802" spans="1:16" x14ac:dyDescent="0.2">
      <c r="A802" t="str">
        <f t="shared" si="12"/>
        <v>metab_compid_47784</v>
      </c>
      <c r="B802" t="s">
        <v>12881</v>
      </c>
      <c r="C802" t="s">
        <v>11145</v>
      </c>
      <c r="D802" t="s">
        <v>12882</v>
      </c>
      <c r="E802" t="s">
        <v>11145</v>
      </c>
      <c r="F802" t="s">
        <v>11145</v>
      </c>
      <c r="G802">
        <v>47784</v>
      </c>
      <c r="H802" t="s">
        <v>11327</v>
      </c>
      <c r="I802" t="s">
        <v>11145</v>
      </c>
      <c r="J802">
        <v>4389</v>
      </c>
      <c r="K802">
        <v>263.62842000000001</v>
      </c>
      <c r="L802" t="s">
        <v>11145</v>
      </c>
      <c r="M802" t="s">
        <v>11145</v>
      </c>
      <c r="N802" t="s">
        <v>11145</v>
      </c>
      <c r="O802" t="s">
        <v>11145</v>
      </c>
      <c r="P802" t="s">
        <v>12881</v>
      </c>
    </row>
    <row r="803" spans="1:16" x14ac:dyDescent="0.2">
      <c r="A803" t="str">
        <f t="shared" si="12"/>
        <v>metab_compid_48067</v>
      </c>
      <c r="B803" t="s">
        <v>12883</v>
      </c>
      <c r="C803" t="s">
        <v>11145</v>
      </c>
      <c r="D803" t="s">
        <v>12884</v>
      </c>
      <c r="E803" t="s">
        <v>11145</v>
      </c>
      <c r="F803" t="s">
        <v>11145</v>
      </c>
      <c r="G803">
        <v>48067</v>
      </c>
      <c r="H803" t="s">
        <v>11327</v>
      </c>
      <c r="I803" t="s">
        <v>11145</v>
      </c>
      <c r="J803">
        <v>5263</v>
      </c>
      <c r="K803">
        <v>197.15521000000001</v>
      </c>
      <c r="L803" t="s">
        <v>11145</v>
      </c>
      <c r="M803" t="s">
        <v>11145</v>
      </c>
      <c r="N803" t="s">
        <v>11145</v>
      </c>
      <c r="O803" t="s">
        <v>11145</v>
      </c>
      <c r="P803" t="s">
        <v>12883</v>
      </c>
    </row>
    <row r="804" spans="1:16" x14ac:dyDescent="0.2">
      <c r="A804" t="str">
        <f t="shared" si="12"/>
        <v>metab_compid_48076</v>
      </c>
      <c r="B804" t="s">
        <v>12885</v>
      </c>
      <c r="C804" t="s">
        <v>11145</v>
      </c>
      <c r="D804" t="s">
        <v>12886</v>
      </c>
      <c r="E804" t="s">
        <v>11145</v>
      </c>
      <c r="F804" t="s">
        <v>11145</v>
      </c>
      <c r="G804">
        <v>48076</v>
      </c>
      <c r="H804" t="s">
        <v>11327</v>
      </c>
      <c r="I804" t="s">
        <v>11145</v>
      </c>
      <c r="J804">
        <v>2180</v>
      </c>
      <c r="K804">
        <v>160.04409999999999</v>
      </c>
      <c r="L804" t="s">
        <v>11145</v>
      </c>
      <c r="M804" t="s">
        <v>11145</v>
      </c>
      <c r="N804" t="s">
        <v>11145</v>
      </c>
      <c r="O804" t="s">
        <v>11145</v>
      </c>
      <c r="P804" t="s">
        <v>12885</v>
      </c>
    </row>
    <row r="805" spans="1:16" x14ac:dyDescent="0.2">
      <c r="A805" t="str">
        <f t="shared" si="12"/>
        <v>metab_compid_48080</v>
      </c>
      <c r="B805" t="s">
        <v>12887</v>
      </c>
      <c r="C805" t="s">
        <v>11145</v>
      </c>
      <c r="D805" t="s">
        <v>12888</v>
      </c>
      <c r="E805" t="s">
        <v>11145</v>
      </c>
      <c r="F805" t="s">
        <v>11145</v>
      </c>
      <c r="G805">
        <v>48080</v>
      </c>
      <c r="H805" t="s">
        <v>11327</v>
      </c>
      <c r="I805" t="s">
        <v>11145</v>
      </c>
      <c r="J805">
        <v>2980</v>
      </c>
      <c r="K805">
        <v>154.99083999999999</v>
      </c>
      <c r="L805" t="s">
        <v>11145</v>
      </c>
      <c r="M805" t="s">
        <v>11145</v>
      </c>
      <c r="N805" t="s">
        <v>11145</v>
      </c>
      <c r="O805" t="s">
        <v>11145</v>
      </c>
      <c r="P805" t="s">
        <v>12887</v>
      </c>
    </row>
    <row r="806" spans="1:16" x14ac:dyDescent="0.2">
      <c r="A806" t="str">
        <f t="shared" si="12"/>
        <v>metab_compid_48972</v>
      </c>
      <c r="B806" t="s">
        <v>12889</v>
      </c>
      <c r="C806" t="s">
        <v>11145</v>
      </c>
      <c r="D806" t="s">
        <v>12890</v>
      </c>
      <c r="E806" t="s">
        <v>11145</v>
      </c>
      <c r="F806" t="s">
        <v>11145</v>
      </c>
      <c r="G806">
        <v>48972</v>
      </c>
      <c r="H806" t="s">
        <v>11327</v>
      </c>
      <c r="I806" t="s">
        <v>11145</v>
      </c>
      <c r="J806">
        <v>4957.5</v>
      </c>
      <c r="K806">
        <v>329.23325999999997</v>
      </c>
      <c r="L806" t="s">
        <v>11145</v>
      </c>
      <c r="M806" t="s">
        <v>11145</v>
      </c>
      <c r="N806" t="s">
        <v>11145</v>
      </c>
      <c r="O806" t="s">
        <v>11145</v>
      </c>
      <c r="P806" t="s">
        <v>12889</v>
      </c>
    </row>
    <row r="807" spans="1:16" x14ac:dyDescent="0.2">
      <c r="A807" t="str">
        <f t="shared" si="12"/>
        <v>metab_compid_48992</v>
      </c>
      <c r="B807" t="s">
        <v>12891</v>
      </c>
      <c r="C807" t="s">
        <v>11145</v>
      </c>
      <c r="D807" t="s">
        <v>12892</v>
      </c>
      <c r="E807" t="s">
        <v>11145</v>
      </c>
      <c r="F807" t="s">
        <v>11145</v>
      </c>
      <c r="G807">
        <v>48992</v>
      </c>
      <c r="H807" t="s">
        <v>11327</v>
      </c>
      <c r="I807" t="s">
        <v>11145</v>
      </c>
      <c r="J807">
        <v>4886</v>
      </c>
      <c r="K807">
        <v>169.12304</v>
      </c>
      <c r="L807" t="s">
        <v>11145</v>
      </c>
      <c r="M807" t="s">
        <v>11145</v>
      </c>
      <c r="N807" t="s">
        <v>11145</v>
      </c>
      <c r="O807" t="s">
        <v>11145</v>
      </c>
      <c r="P807" t="s">
        <v>12891</v>
      </c>
    </row>
    <row r="808" spans="1:16" x14ac:dyDescent="0.2">
      <c r="A808" t="str">
        <f t="shared" si="12"/>
        <v>metab_compid_48994</v>
      </c>
      <c r="B808" t="s">
        <v>12893</v>
      </c>
      <c r="C808" t="s">
        <v>11145</v>
      </c>
      <c r="D808" t="s">
        <v>12894</v>
      </c>
      <c r="E808" t="s">
        <v>11145</v>
      </c>
      <c r="F808" t="s">
        <v>11145</v>
      </c>
      <c r="G808">
        <v>48994</v>
      </c>
      <c r="H808" t="s">
        <v>11327</v>
      </c>
      <c r="I808" t="s">
        <v>11145</v>
      </c>
      <c r="J808">
        <v>4807</v>
      </c>
      <c r="K808">
        <v>169.12303</v>
      </c>
      <c r="L808" t="s">
        <v>11145</v>
      </c>
      <c r="M808" t="s">
        <v>11145</v>
      </c>
      <c r="N808" t="s">
        <v>11145</v>
      </c>
      <c r="O808" t="s">
        <v>11145</v>
      </c>
      <c r="P808" t="s">
        <v>12893</v>
      </c>
    </row>
    <row r="809" spans="1:16" x14ac:dyDescent="0.2">
      <c r="A809" t="str">
        <f t="shared" si="12"/>
        <v>metab_compid_48996</v>
      </c>
      <c r="B809" t="s">
        <v>12895</v>
      </c>
      <c r="C809" t="s">
        <v>11145</v>
      </c>
      <c r="D809" t="s">
        <v>12896</v>
      </c>
      <c r="E809" t="s">
        <v>11145</v>
      </c>
      <c r="F809" t="s">
        <v>11145</v>
      </c>
      <c r="G809">
        <v>48996</v>
      </c>
      <c r="H809" t="s">
        <v>11327</v>
      </c>
      <c r="I809" t="s">
        <v>11145</v>
      </c>
      <c r="J809">
        <v>4976</v>
      </c>
      <c r="K809">
        <v>169.12304</v>
      </c>
      <c r="L809" t="s">
        <v>11145</v>
      </c>
      <c r="M809" t="s">
        <v>11145</v>
      </c>
      <c r="N809" t="s">
        <v>11145</v>
      </c>
      <c r="O809" t="s">
        <v>11145</v>
      </c>
      <c r="P809" t="s">
        <v>12895</v>
      </c>
    </row>
    <row r="810" spans="1:16" x14ac:dyDescent="0.2">
      <c r="A810" t="str">
        <f t="shared" si="12"/>
        <v>metab_compid_49014</v>
      </c>
      <c r="B810" t="s">
        <v>12897</v>
      </c>
      <c r="C810" t="s">
        <v>11145</v>
      </c>
      <c r="D810" t="s">
        <v>12898</v>
      </c>
      <c r="E810" t="s">
        <v>11145</v>
      </c>
      <c r="F810" t="s">
        <v>11145</v>
      </c>
      <c r="G810">
        <v>49014</v>
      </c>
      <c r="H810" t="s">
        <v>11327</v>
      </c>
      <c r="I810" t="s">
        <v>11145</v>
      </c>
      <c r="J810">
        <v>1578.3</v>
      </c>
      <c r="K810">
        <v>207.08723000000001</v>
      </c>
      <c r="L810" t="s">
        <v>11145</v>
      </c>
      <c r="M810" t="s">
        <v>11145</v>
      </c>
      <c r="N810" t="s">
        <v>11145</v>
      </c>
      <c r="O810" t="s">
        <v>11145</v>
      </c>
      <c r="P810" t="s">
        <v>12897</v>
      </c>
    </row>
    <row r="811" spans="1:16" x14ac:dyDescent="0.2">
      <c r="A811" t="str">
        <f t="shared" si="12"/>
        <v>metab_compid_49228</v>
      </c>
      <c r="B811" t="s">
        <v>12899</v>
      </c>
      <c r="C811" t="s">
        <v>11145</v>
      </c>
      <c r="D811" t="s">
        <v>12900</v>
      </c>
      <c r="E811" t="s">
        <v>11145</v>
      </c>
      <c r="F811" t="s">
        <v>11145</v>
      </c>
      <c r="G811">
        <v>49228</v>
      </c>
      <c r="H811" t="s">
        <v>11327</v>
      </c>
      <c r="I811" t="s">
        <v>11145</v>
      </c>
      <c r="J811">
        <v>2150</v>
      </c>
      <c r="K811">
        <v>188.03496000000001</v>
      </c>
      <c r="L811" t="s">
        <v>11145</v>
      </c>
      <c r="M811" t="s">
        <v>11145</v>
      </c>
      <c r="N811" t="s">
        <v>11145</v>
      </c>
      <c r="O811" t="s">
        <v>11145</v>
      </c>
      <c r="P811" t="s">
        <v>12899</v>
      </c>
    </row>
    <row r="812" spans="1:16" x14ac:dyDescent="0.2">
      <c r="A812" t="str">
        <f t="shared" si="12"/>
        <v>metab_compid_49466</v>
      </c>
      <c r="B812" t="s">
        <v>12901</v>
      </c>
      <c r="C812" t="s">
        <v>11145</v>
      </c>
      <c r="D812" t="s">
        <v>12902</v>
      </c>
      <c r="E812" t="s">
        <v>11145</v>
      </c>
      <c r="F812" t="s">
        <v>11145</v>
      </c>
      <c r="G812">
        <v>49466</v>
      </c>
      <c r="H812" t="s">
        <v>11320</v>
      </c>
      <c r="I812" t="s">
        <v>11145</v>
      </c>
      <c r="J812">
        <v>1466</v>
      </c>
      <c r="K812">
        <v>204.08636000000001</v>
      </c>
      <c r="L812" t="s">
        <v>11145</v>
      </c>
      <c r="M812" t="s">
        <v>11145</v>
      </c>
      <c r="N812" t="s">
        <v>11145</v>
      </c>
      <c r="O812" t="s">
        <v>11145</v>
      </c>
      <c r="P812" t="s">
        <v>12901</v>
      </c>
    </row>
    <row r="813" spans="1:16" x14ac:dyDescent="0.2">
      <c r="A813" t="str">
        <f t="shared" si="12"/>
        <v>metab_compid_49469</v>
      </c>
      <c r="B813" t="s">
        <v>12903</v>
      </c>
      <c r="C813" t="s">
        <v>11145</v>
      </c>
      <c r="D813" t="s">
        <v>12904</v>
      </c>
      <c r="E813" t="s">
        <v>11145</v>
      </c>
      <c r="F813" t="s">
        <v>11145</v>
      </c>
      <c r="G813">
        <v>49469</v>
      </c>
      <c r="H813" t="s">
        <v>11320</v>
      </c>
      <c r="I813" t="s">
        <v>11145</v>
      </c>
      <c r="J813">
        <v>1531</v>
      </c>
      <c r="K813">
        <v>191.10231999999999</v>
      </c>
      <c r="L813" t="s">
        <v>11145</v>
      </c>
      <c r="M813" t="s">
        <v>11145</v>
      </c>
      <c r="N813" t="s">
        <v>11145</v>
      </c>
      <c r="O813" t="s">
        <v>11145</v>
      </c>
      <c r="P813" t="s">
        <v>12903</v>
      </c>
    </row>
    <row r="814" spans="1:16" x14ac:dyDescent="0.2">
      <c r="A814" t="str">
        <f t="shared" si="12"/>
        <v>metab_compid_49515</v>
      </c>
      <c r="B814" t="s">
        <v>12905</v>
      </c>
      <c r="C814" t="s">
        <v>11145</v>
      </c>
      <c r="D814" t="s">
        <v>12906</v>
      </c>
      <c r="E814" t="s">
        <v>11145</v>
      </c>
      <c r="F814" t="s">
        <v>11145</v>
      </c>
      <c r="G814">
        <v>49515</v>
      </c>
      <c r="H814" t="s">
        <v>11320</v>
      </c>
      <c r="I814" t="s">
        <v>11145</v>
      </c>
      <c r="J814">
        <v>1640</v>
      </c>
      <c r="K814">
        <v>134.08104</v>
      </c>
      <c r="L814" t="s">
        <v>11145</v>
      </c>
      <c r="M814" t="s">
        <v>11145</v>
      </c>
      <c r="N814" t="s">
        <v>11145</v>
      </c>
      <c r="O814" t="s">
        <v>11145</v>
      </c>
      <c r="P814" t="s">
        <v>12905</v>
      </c>
    </row>
    <row r="815" spans="1:16" x14ac:dyDescent="0.2">
      <c r="A815" t="str">
        <f t="shared" si="12"/>
        <v>metab_compid_49521</v>
      </c>
      <c r="B815" t="s">
        <v>12907</v>
      </c>
      <c r="C815" t="s">
        <v>11145</v>
      </c>
      <c r="D815" t="s">
        <v>12908</v>
      </c>
      <c r="E815" t="s">
        <v>11145</v>
      </c>
      <c r="F815" t="s">
        <v>11145</v>
      </c>
      <c r="G815">
        <v>49521</v>
      </c>
      <c r="H815" t="s">
        <v>11320</v>
      </c>
      <c r="I815" t="s">
        <v>11145</v>
      </c>
      <c r="J815">
        <v>983</v>
      </c>
      <c r="K815">
        <v>146.08091999999999</v>
      </c>
      <c r="L815" t="s">
        <v>11145</v>
      </c>
      <c r="M815" t="s">
        <v>11145</v>
      </c>
      <c r="N815" t="s">
        <v>11145</v>
      </c>
      <c r="O815" t="s">
        <v>11145</v>
      </c>
      <c r="P815" t="s">
        <v>12907</v>
      </c>
    </row>
    <row r="816" spans="1:16" x14ac:dyDescent="0.2">
      <c r="A816" t="str">
        <f t="shared" si="12"/>
        <v>metab_compid_49543</v>
      </c>
      <c r="B816" t="s">
        <v>12909</v>
      </c>
      <c r="C816" t="s">
        <v>11145</v>
      </c>
      <c r="D816" t="s">
        <v>12910</v>
      </c>
      <c r="E816" t="s">
        <v>11145</v>
      </c>
      <c r="F816" t="s">
        <v>11145</v>
      </c>
      <c r="G816">
        <v>49543</v>
      </c>
      <c r="H816" t="s">
        <v>11320</v>
      </c>
      <c r="I816" t="s">
        <v>11145</v>
      </c>
      <c r="J816">
        <v>2990</v>
      </c>
      <c r="K816">
        <v>159.14892</v>
      </c>
      <c r="L816" t="s">
        <v>11145</v>
      </c>
      <c r="M816" t="s">
        <v>11145</v>
      </c>
      <c r="N816" t="s">
        <v>11145</v>
      </c>
      <c r="O816" t="s">
        <v>11145</v>
      </c>
      <c r="P816" t="s">
        <v>12909</v>
      </c>
    </row>
    <row r="817" spans="1:16" x14ac:dyDescent="0.2">
      <c r="A817" t="str">
        <f t="shared" si="12"/>
        <v>metab_compid_49557</v>
      </c>
      <c r="B817" t="s">
        <v>12911</v>
      </c>
      <c r="C817" t="s">
        <v>11145</v>
      </c>
      <c r="D817" t="s">
        <v>12912</v>
      </c>
      <c r="E817" t="s">
        <v>11145</v>
      </c>
      <c r="F817" t="s">
        <v>11145</v>
      </c>
      <c r="G817">
        <v>49557</v>
      </c>
      <c r="H817" t="s">
        <v>11322</v>
      </c>
      <c r="I817" t="s">
        <v>11145</v>
      </c>
      <c r="J817">
        <v>1049</v>
      </c>
      <c r="K817">
        <v>338.23199</v>
      </c>
      <c r="L817" t="s">
        <v>11145</v>
      </c>
      <c r="M817" t="s">
        <v>11145</v>
      </c>
      <c r="N817" t="s">
        <v>11145</v>
      </c>
      <c r="O817" t="s">
        <v>11145</v>
      </c>
      <c r="P817" t="s">
        <v>12911</v>
      </c>
    </row>
    <row r="818" spans="1:16" x14ac:dyDescent="0.2">
      <c r="A818" t="str">
        <f t="shared" si="12"/>
        <v>metab_compid_49637</v>
      </c>
      <c r="B818" t="s">
        <v>12913</v>
      </c>
      <c r="C818" t="s">
        <v>11145</v>
      </c>
      <c r="D818" t="s">
        <v>12914</v>
      </c>
      <c r="E818" t="s">
        <v>11145</v>
      </c>
      <c r="F818" t="s">
        <v>11145</v>
      </c>
      <c r="G818">
        <v>49637</v>
      </c>
      <c r="H818" t="s">
        <v>11320</v>
      </c>
      <c r="I818" t="s">
        <v>11145</v>
      </c>
      <c r="J818">
        <v>1286</v>
      </c>
      <c r="K818">
        <v>262.10286000000002</v>
      </c>
      <c r="L818" t="s">
        <v>11145</v>
      </c>
      <c r="M818" t="s">
        <v>11145</v>
      </c>
      <c r="N818" t="s">
        <v>11145</v>
      </c>
      <c r="O818" t="s">
        <v>11145</v>
      </c>
      <c r="P818" t="s">
        <v>12913</v>
      </c>
    </row>
    <row r="819" spans="1:16" x14ac:dyDescent="0.2">
      <c r="A819" t="str">
        <f t="shared" si="12"/>
        <v>metab_compid_49681</v>
      </c>
      <c r="B819" t="s">
        <v>12915</v>
      </c>
      <c r="C819" t="s">
        <v>11145</v>
      </c>
      <c r="D819" t="s">
        <v>12916</v>
      </c>
      <c r="E819" t="s">
        <v>11145</v>
      </c>
      <c r="F819" t="s">
        <v>11145</v>
      </c>
      <c r="G819">
        <v>49681</v>
      </c>
      <c r="H819" t="s">
        <v>11322</v>
      </c>
      <c r="I819" t="s">
        <v>11145</v>
      </c>
      <c r="J819">
        <v>1627</v>
      </c>
      <c r="K819">
        <v>349.27318000000002</v>
      </c>
      <c r="L819" t="s">
        <v>11145</v>
      </c>
      <c r="M819" t="s">
        <v>11145</v>
      </c>
      <c r="N819" t="s">
        <v>11145</v>
      </c>
      <c r="O819" t="s">
        <v>11145</v>
      </c>
      <c r="P819" t="s">
        <v>12915</v>
      </c>
    </row>
    <row r="820" spans="1:16" x14ac:dyDescent="0.2">
      <c r="A820" t="str">
        <f t="shared" si="12"/>
        <v>metab_compid_52135</v>
      </c>
      <c r="B820" t="s">
        <v>12917</v>
      </c>
      <c r="C820" t="s">
        <v>11145</v>
      </c>
      <c r="D820" t="s">
        <v>12918</v>
      </c>
      <c r="E820" t="s">
        <v>11145</v>
      </c>
      <c r="F820" t="s">
        <v>11145</v>
      </c>
      <c r="G820">
        <v>52135</v>
      </c>
      <c r="H820" t="s">
        <v>11322</v>
      </c>
      <c r="I820" t="s">
        <v>11145</v>
      </c>
      <c r="J820">
        <v>2172</v>
      </c>
      <c r="K820">
        <v>661.52632000000006</v>
      </c>
      <c r="L820" t="s">
        <v>11145</v>
      </c>
      <c r="M820" t="s">
        <v>11145</v>
      </c>
      <c r="N820" t="s">
        <v>11145</v>
      </c>
      <c r="O820" t="s">
        <v>11145</v>
      </c>
      <c r="P820" t="s">
        <v>12917</v>
      </c>
    </row>
    <row r="821" spans="1:16" x14ac:dyDescent="0.2">
      <c r="A821" t="str">
        <f t="shared" si="12"/>
        <v>metab_compid_52286</v>
      </c>
      <c r="B821" t="s">
        <v>12919</v>
      </c>
      <c r="C821" t="s">
        <v>11145</v>
      </c>
      <c r="D821" t="s">
        <v>12920</v>
      </c>
      <c r="E821" t="s">
        <v>11145</v>
      </c>
      <c r="F821" t="s">
        <v>11145</v>
      </c>
      <c r="G821">
        <v>52286</v>
      </c>
      <c r="H821" t="s">
        <v>11320</v>
      </c>
      <c r="I821" t="s">
        <v>11145</v>
      </c>
      <c r="J821">
        <v>1003</v>
      </c>
      <c r="K821">
        <v>132.06546</v>
      </c>
      <c r="L821" t="s">
        <v>11145</v>
      </c>
      <c r="M821" t="s">
        <v>11145</v>
      </c>
      <c r="N821" t="s">
        <v>11145</v>
      </c>
      <c r="O821" t="s">
        <v>11145</v>
      </c>
      <c r="P821" t="s">
        <v>12919</v>
      </c>
    </row>
    <row r="822" spans="1:16" x14ac:dyDescent="0.2">
      <c r="A822" t="str">
        <f t="shared" si="12"/>
        <v>metab_compid_52483</v>
      </c>
      <c r="B822" t="s">
        <v>12921</v>
      </c>
      <c r="C822" t="s">
        <v>11145</v>
      </c>
      <c r="D822" t="s">
        <v>12922</v>
      </c>
      <c r="E822" t="s">
        <v>11145</v>
      </c>
      <c r="F822" t="s">
        <v>11145</v>
      </c>
      <c r="G822">
        <v>52483</v>
      </c>
      <c r="H822" t="s">
        <v>11327</v>
      </c>
      <c r="I822" t="s">
        <v>11145</v>
      </c>
      <c r="J822">
        <v>1152</v>
      </c>
      <c r="K822">
        <v>217.07139000000001</v>
      </c>
      <c r="L822" t="s">
        <v>11145</v>
      </c>
      <c r="M822" t="s">
        <v>11145</v>
      </c>
      <c r="N822" t="s">
        <v>11145</v>
      </c>
      <c r="O822" t="s">
        <v>11145</v>
      </c>
      <c r="P822" t="s">
        <v>12921</v>
      </c>
    </row>
    <row r="823" spans="1:16" x14ac:dyDescent="0.2">
      <c r="A823" t="str">
        <f t="shared" si="12"/>
        <v>metab_compid_52504</v>
      </c>
      <c r="B823" t="s">
        <v>12923</v>
      </c>
      <c r="C823" t="s">
        <v>11145</v>
      </c>
      <c r="D823" t="s">
        <v>12924</v>
      </c>
      <c r="E823" t="s">
        <v>11145</v>
      </c>
      <c r="F823" t="s">
        <v>11145</v>
      </c>
      <c r="G823">
        <v>52504</v>
      </c>
      <c r="H823" t="s">
        <v>11327</v>
      </c>
      <c r="I823" t="s">
        <v>11145</v>
      </c>
      <c r="J823">
        <v>4430</v>
      </c>
      <c r="K823">
        <v>321.14800000000002</v>
      </c>
      <c r="L823" t="s">
        <v>11145</v>
      </c>
      <c r="M823" t="s">
        <v>11145</v>
      </c>
      <c r="N823" t="s">
        <v>11145</v>
      </c>
      <c r="O823" t="s">
        <v>11145</v>
      </c>
      <c r="P823" t="s">
        <v>12923</v>
      </c>
    </row>
    <row r="824" spans="1:16" x14ac:dyDescent="0.2">
      <c r="A824" t="str">
        <f t="shared" si="12"/>
        <v>metab_compid_52524</v>
      </c>
      <c r="B824" t="s">
        <v>12925</v>
      </c>
      <c r="C824" t="s">
        <v>11145</v>
      </c>
      <c r="D824" t="s">
        <v>12926</v>
      </c>
      <c r="E824" t="s">
        <v>11145</v>
      </c>
      <c r="F824" t="s">
        <v>11145</v>
      </c>
      <c r="G824">
        <v>52524</v>
      </c>
      <c r="H824" t="s">
        <v>11327</v>
      </c>
      <c r="I824" t="s">
        <v>11145</v>
      </c>
      <c r="J824">
        <v>1361.7</v>
      </c>
      <c r="K824">
        <v>161.08171999999999</v>
      </c>
      <c r="L824" t="s">
        <v>11145</v>
      </c>
      <c r="M824" t="s">
        <v>11145</v>
      </c>
      <c r="N824" t="s">
        <v>11145</v>
      </c>
      <c r="O824" t="s">
        <v>11145</v>
      </c>
      <c r="P824" t="s">
        <v>12925</v>
      </c>
    </row>
    <row r="825" spans="1:16" x14ac:dyDescent="0.2">
      <c r="A825" t="str">
        <f t="shared" si="12"/>
        <v>metab_compid_52525</v>
      </c>
      <c r="B825" t="s">
        <v>12927</v>
      </c>
      <c r="C825" t="s">
        <v>11145</v>
      </c>
      <c r="D825" t="s">
        <v>12928</v>
      </c>
      <c r="E825" t="s">
        <v>11145</v>
      </c>
      <c r="F825" t="s">
        <v>11145</v>
      </c>
      <c r="G825">
        <v>52525</v>
      </c>
      <c r="H825" t="s">
        <v>11327</v>
      </c>
      <c r="I825" t="s">
        <v>11145</v>
      </c>
      <c r="J825">
        <v>1391</v>
      </c>
      <c r="K825">
        <v>344.10960999999998</v>
      </c>
      <c r="L825" t="s">
        <v>11145</v>
      </c>
      <c r="M825" t="s">
        <v>11145</v>
      </c>
      <c r="N825" t="s">
        <v>11145</v>
      </c>
      <c r="O825" t="s">
        <v>11145</v>
      </c>
      <c r="P825" t="s">
        <v>12927</v>
      </c>
    </row>
    <row r="826" spans="1:16" x14ac:dyDescent="0.2">
      <c r="A826" t="str">
        <f t="shared" si="12"/>
        <v>metab_compid_52530</v>
      </c>
      <c r="B826" t="s">
        <v>12929</v>
      </c>
      <c r="C826" t="s">
        <v>11145</v>
      </c>
      <c r="D826" t="s">
        <v>12930</v>
      </c>
      <c r="E826" t="s">
        <v>11145</v>
      </c>
      <c r="F826" t="s">
        <v>11145</v>
      </c>
      <c r="G826">
        <v>52530</v>
      </c>
      <c r="H826" t="s">
        <v>11327</v>
      </c>
      <c r="I826" t="s">
        <v>11145</v>
      </c>
      <c r="J826">
        <v>1860</v>
      </c>
      <c r="K826">
        <v>415.18317000000002</v>
      </c>
      <c r="L826" t="s">
        <v>11145</v>
      </c>
      <c r="M826" t="s">
        <v>11145</v>
      </c>
      <c r="N826" t="s">
        <v>11145</v>
      </c>
      <c r="O826" t="s">
        <v>11145</v>
      </c>
      <c r="P826" t="s">
        <v>12929</v>
      </c>
    </row>
    <row r="827" spans="1:16" x14ac:dyDescent="0.2">
      <c r="A827" t="str">
        <f t="shared" si="12"/>
        <v>metab_compid_52533</v>
      </c>
      <c r="B827" t="s">
        <v>12931</v>
      </c>
      <c r="C827" t="s">
        <v>11145</v>
      </c>
      <c r="D827" t="s">
        <v>12932</v>
      </c>
      <c r="E827" t="s">
        <v>11145</v>
      </c>
      <c r="F827" t="s">
        <v>11145</v>
      </c>
      <c r="G827">
        <v>52533</v>
      </c>
      <c r="H827" t="s">
        <v>11327</v>
      </c>
      <c r="I827" t="s">
        <v>11145</v>
      </c>
      <c r="J827">
        <v>1980</v>
      </c>
      <c r="K827">
        <v>239.07856000000001</v>
      </c>
      <c r="L827" t="s">
        <v>11145</v>
      </c>
      <c r="M827" t="s">
        <v>11145</v>
      </c>
      <c r="N827" t="s">
        <v>11145</v>
      </c>
      <c r="O827" t="s">
        <v>11145</v>
      </c>
      <c r="P827" t="s">
        <v>12931</v>
      </c>
    </row>
    <row r="828" spans="1:16" x14ac:dyDescent="0.2">
      <c r="A828" t="str">
        <f t="shared" si="12"/>
        <v>metab_compid_52647</v>
      </c>
      <c r="B828" t="s">
        <v>12933</v>
      </c>
      <c r="C828" t="s">
        <v>11145</v>
      </c>
      <c r="D828" t="s">
        <v>12934</v>
      </c>
      <c r="E828" t="s">
        <v>11145</v>
      </c>
      <c r="F828" t="s">
        <v>11145</v>
      </c>
      <c r="G828">
        <v>52647</v>
      </c>
      <c r="H828" t="s">
        <v>11327</v>
      </c>
      <c r="I828" t="s">
        <v>11145</v>
      </c>
      <c r="J828">
        <v>4704</v>
      </c>
      <c r="K828">
        <v>525.26931000000002</v>
      </c>
      <c r="L828" t="s">
        <v>11145</v>
      </c>
      <c r="M828" t="s">
        <v>11145</v>
      </c>
      <c r="N828" t="s">
        <v>11145</v>
      </c>
      <c r="O828" t="s">
        <v>11145</v>
      </c>
      <c r="P828" t="s">
        <v>12933</v>
      </c>
    </row>
    <row r="829" spans="1:16" x14ac:dyDescent="0.2">
      <c r="A829" t="str">
        <f t="shared" si="12"/>
        <v>metab_compid_52662</v>
      </c>
      <c r="B829" t="s">
        <v>12935</v>
      </c>
      <c r="C829" t="s">
        <v>11145</v>
      </c>
      <c r="D829" t="s">
        <v>12936</v>
      </c>
      <c r="E829" t="s">
        <v>11145</v>
      </c>
      <c r="F829" t="s">
        <v>11145</v>
      </c>
      <c r="G829">
        <v>52662</v>
      </c>
      <c r="H829" t="s">
        <v>11320</v>
      </c>
      <c r="I829" t="s">
        <v>11145</v>
      </c>
      <c r="J829">
        <v>618</v>
      </c>
      <c r="K829">
        <v>210.06055000000001</v>
      </c>
      <c r="L829" t="s">
        <v>11145</v>
      </c>
      <c r="M829" t="s">
        <v>11145</v>
      </c>
      <c r="N829" t="s">
        <v>11145</v>
      </c>
      <c r="O829" t="s">
        <v>11145</v>
      </c>
      <c r="P829" t="s">
        <v>12935</v>
      </c>
    </row>
    <row r="830" spans="1:16" x14ac:dyDescent="0.2">
      <c r="A830" t="str">
        <f t="shared" si="12"/>
        <v>metab_compid_52665</v>
      </c>
      <c r="B830" t="s">
        <v>12937</v>
      </c>
      <c r="C830" t="s">
        <v>11145</v>
      </c>
      <c r="D830" t="s">
        <v>12938</v>
      </c>
      <c r="E830" t="s">
        <v>11145</v>
      </c>
      <c r="F830" t="s">
        <v>11145</v>
      </c>
      <c r="G830">
        <v>52665</v>
      </c>
      <c r="H830" t="s">
        <v>11327</v>
      </c>
      <c r="I830" t="s">
        <v>11145</v>
      </c>
      <c r="J830">
        <v>6625</v>
      </c>
      <c r="K830">
        <v>465.30367999999999</v>
      </c>
      <c r="L830" t="s">
        <v>11145</v>
      </c>
      <c r="M830" t="s">
        <v>11145</v>
      </c>
      <c r="N830" t="s">
        <v>11145</v>
      </c>
      <c r="O830" t="s">
        <v>11145</v>
      </c>
      <c r="P830" t="s">
        <v>12937</v>
      </c>
    </row>
    <row r="831" spans="1:16" x14ac:dyDescent="0.2">
      <c r="A831" t="str">
        <f t="shared" si="12"/>
        <v>metab_compid_52769</v>
      </c>
      <c r="B831" t="s">
        <v>12939</v>
      </c>
      <c r="C831" t="s">
        <v>11145</v>
      </c>
      <c r="D831" t="s">
        <v>12940</v>
      </c>
      <c r="E831" t="s">
        <v>11145</v>
      </c>
      <c r="F831" t="s">
        <v>11145</v>
      </c>
      <c r="G831">
        <v>52769</v>
      </c>
      <c r="H831" t="s">
        <v>11320</v>
      </c>
      <c r="I831" t="s">
        <v>11145</v>
      </c>
      <c r="J831">
        <v>2756</v>
      </c>
      <c r="K831">
        <v>205.15450000000001</v>
      </c>
      <c r="L831" t="s">
        <v>11145</v>
      </c>
      <c r="M831" t="s">
        <v>11145</v>
      </c>
      <c r="N831" t="s">
        <v>11145</v>
      </c>
      <c r="O831" t="s">
        <v>11145</v>
      </c>
      <c r="P831" t="s">
        <v>12939</v>
      </c>
    </row>
    <row r="832" spans="1:16" x14ac:dyDescent="0.2">
      <c r="A832" t="str">
        <f t="shared" si="12"/>
        <v>metab_compid_52813</v>
      </c>
      <c r="B832" t="s">
        <v>12941</v>
      </c>
      <c r="C832" t="s">
        <v>11145</v>
      </c>
      <c r="D832" t="s">
        <v>12942</v>
      </c>
      <c r="E832" t="s">
        <v>11145</v>
      </c>
      <c r="F832" t="s">
        <v>11145</v>
      </c>
      <c r="G832">
        <v>52813</v>
      </c>
      <c r="H832" t="s">
        <v>11327</v>
      </c>
      <c r="I832" t="s">
        <v>11145</v>
      </c>
      <c r="J832">
        <v>4131</v>
      </c>
      <c r="K832">
        <v>479.22769</v>
      </c>
      <c r="L832" t="s">
        <v>11145</v>
      </c>
      <c r="M832" t="s">
        <v>11145</v>
      </c>
      <c r="N832" t="s">
        <v>11145</v>
      </c>
      <c r="O832" t="s">
        <v>11145</v>
      </c>
      <c r="P832" t="s">
        <v>12941</v>
      </c>
    </row>
    <row r="833" spans="1:16" x14ac:dyDescent="0.2">
      <c r="A833" t="str">
        <f t="shared" si="12"/>
        <v>metab_compid_52835</v>
      </c>
      <c r="B833" t="s">
        <v>12943</v>
      </c>
      <c r="C833" t="s">
        <v>11145</v>
      </c>
      <c r="D833" t="s">
        <v>12944</v>
      </c>
      <c r="E833" t="s">
        <v>11145</v>
      </c>
      <c r="F833" t="s">
        <v>11145</v>
      </c>
      <c r="G833">
        <v>52835</v>
      </c>
      <c r="H833" t="s">
        <v>11327</v>
      </c>
      <c r="I833" t="s">
        <v>11145</v>
      </c>
      <c r="J833">
        <v>1283</v>
      </c>
      <c r="K833">
        <v>159.07717</v>
      </c>
      <c r="L833" t="s">
        <v>11145</v>
      </c>
      <c r="M833" t="s">
        <v>11145</v>
      </c>
      <c r="N833" t="s">
        <v>11145</v>
      </c>
      <c r="O833" t="s">
        <v>11145</v>
      </c>
      <c r="P833" t="s">
        <v>12943</v>
      </c>
    </row>
    <row r="834" spans="1:16" x14ac:dyDescent="0.2">
      <c r="A834" t="str">
        <f t="shared" si="12"/>
        <v>metab_compid_52865</v>
      </c>
      <c r="B834" t="s">
        <v>12945</v>
      </c>
      <c r="C834" t="s">
        <v>11145</v>
      </c>
      <c r="D834" t="s">
        <v>12946</v>
      </c>
      <c r="E834" t="s">
        <v>11145</v>
      </c>
      <c r="F834" t="s">
        <v>11145</v>
      </c>
      <c r="G834">
        <v>52865</v>
      </c>
      <c r="H834" t="s">
        <v>11327</v>
      </c>
      <c r="I834" t="s">
        <v>11145</v>
      </c>
      <c r="J834">
        <v>4448</v>
      </c>
      <c r="K834">
        <v>411.18398000000002</v>
      </c>
      <c r="L834" t="s">
        <v>11145</v>
      </c>
      <c r="M834" t="s">
        <v>11145</v>
      </c>
      <c r="N834" t="s">
        <v>11145</v>
      </c>
      <c r="O834" t="s">
        <v>11145</v>
      </c>
      <c r="P834" t="s">
        <v>12945</v>
      </c>
    </row>
    <row r="835" spans="1:16" x14ac:dyDescent="0.2">
      <c r="A835" t="str">
        <f t="shared" ref="A835:A898" si="13">_xlfn.CONCAT("metab_compid_", $G835)</f>
        <v>metab_compid_52867</v>
      </c>
      <c r="B835" t="s">
        <v>12947</v>
      </c>
      <c r="C835" t="s">
        <v>11145</v>
      </c>
      <c r="D835" t="s">
        <v>12948</v>
      </c>
      <c r="E835" t="s">
        <v>11145</v>
      </c>
      <c r="F835" t="s">
        <v>11145</v>
      </c>
      <c r="G835">
        <v>52867</v>
      </c>
      <c r="H835" t="s">
        <v>11327</v>
      </c>
      <c r="I835" t="s">
        <v>11145</v>
      </c>
      <c r="J835">
        <v>3289</v>
      </c>
      <c r="K835">
        <v>231.05085</v>
      </c>
      <c r="L835" t="s">
        <v>11145</v>
      </c>
      <c r="M835" t="s">
        <v>11145</v>
      </c>
      <c r="N835" t="s">
        <v>11145</v>
      </c>
      <c r="O835" t="s">
        <v>11145</v>
      </c>
      <c r="P835" t="s">
        <v>12947</v>
      </c>
    </row>
    <row r="836" spans="1:16" x14ac:dyDescent="0.2">
      <c r="A836" t="str">
        <f t="shared" si="13"/>
        <v>metab_compid_52870</v>
      </c>
      <c r="B836" t="s">
        <v>12949</v>
      </c>
      <c r="C836" t="s">
        <v>11145</v>
      </c>
      <c r="D836" t="s">
        <v>12950</v>
      </c>
      <c r="E836" t="s">
        <v>11145</v>
      </c>
      <c r="F836" t="s">
        <v>11145</v>
      </c>
      <c r="G836">
        <v>52870</v>
      </c>
      <c r="H836" t="s">
        <v>11327</v>
      </c>
      <c r="I836" t="s">
        <v>11145</v>
      </c>
      <c r="J836">
        <v>2610</v>
      </c>
      <c r="K836">
        <v>202.05113</v>
      </c>
      <c r="L836" t="s">
        <v>11145</v>
      </c>
      <c r="M836" t="s">
        <v>11145</v>
      </c>
      <c r="N836" t="s">
        <v>11145</v>
      </c>
      <c r="O836" t="s">
        <v>11145</v>
      </c>
      <c r="P836" t="s">
        <v>12949</v>
      </c>
    </row>
    <row r="837" spans="1:16" x14ac:dyDescent="0.2">
      <c r="A837" t="str">
        <f t="shared" si="13"/>
        <v>metab_compid_52877</v>
      </c>
      <c r="B837" t="s">
        <v>12951</v>
      </c>
      <c r="C837" t="s">
        <v>11145</v>
      </c>
      <c r="D837" t="s">
        <v>12952</v>
      </c>
      <c r="E837" t="s">
        <v>11145</v>
      </c>
      <c r="F837" t="s">
        <v>11145</v>
      </c>
      <c r="G837">
        <v>52877</v>
      </c>
      <c r="H837" t="s">
        <v>11327</v>
      </c>
      <c r="I837" t="s">
        <v>11145</v>
      </c>
      <c r="J837">
        <v>2318</v>
      </c>
      <c r="K837">
        <v>283.11905999999999</v>
      </c>
      <c r="L837" t="s">
        <v>11145</v>
      </c>
      <c r="M837" t="s">
        <v>11145</v>
      </c>
      <c r="N837" t="s">
        <v>11145</v>
      </c>
      <c r="O837" t="s">
        <v>11145</v>
      </c>
      <c r="P837" t="s">
        <v>12951</v>
      </c>
    </row>
    <row r="838" spans="1:16" x14ac:dyDescent="0.2">
      <c r="A838" t="str">
        <f t="shared" si="13"/>
        <v>metab_compid_52909</v>
      </c>
      <c r="B838" t="s">
        <v>12953</v>
      </c>
      <c r="C838" t="s">
        <v>11145</v>
      </c>
      <c r="D838" t="s">
        <v>12954</v>
      </c>
      <c r="E838" t="s">
        <v>11145</v>
      </c>
      <c r="F838" t="s">
        <v>11145</v>
      </c>
      <c r="G838">
        <v>52909</v>
      </c>
      <c r="H838" t="s">
        <v>11327</v>
      </c>
      <c r="I838" t="s">
        <v>11145</v>
      </c>
      <c r="J838">
        <v>2350</v>
      </c>
      <c r="K838">
        <v>485.16714999999999</v>
      </c>
      <c r="L838" t="s">
        <v>11145</v>
      </c>
      <c r="M838" t="s">
        <v>11145</v>
      </c>
      <c r="N838" t="s">
        <v>11145</v>
      </c>
      <c r="O838" t="s">
        <v>11145</v>
      </c>
      <c r="P838" t="s">
        <v>12953</v>
      </c>
    </row>
    <row r="839" spans="1:16" x14ac:dyDescent="0.2">
      <c r="A839" t="str">
        <f t="shared" si="13"/>
        <v>metab_compid_53114</v>
      </c>
      <c r="B839" t="s">
        <v>12955</v>
      </c>
      <c r="C839" t="s">
        <v>11145</v>
      </c>
      <c r="D839" t="s">
        <v>12956</v>
      </c>
      <c r="E839" t="s">
        <v>11145</v>
      </c>
      <c r="F839" t="s">
        <v>11145</v>
      </c>
      <c r="G839">
        <v>53114</v>
      </c>
      <c r="H839" t="s">
        <v>11320</v>
      </c>
      <c r="I839" t="s">
        <v>11145</v>
      </c>
      <c r="J839">
        <v>1876</v>
      </c>
      <c r="K839">
        <v>224.11260999999999</v>
      </c>
      <c r="L839" t="s">
        <v>11145</v>
      </c>
      <c r="M839" t="s">
        <v>11145</v>
      </c>
      <c r="N839" t="s">
        <v>11145</v>
      </c>
      <c r="O839" t="s">
        <v>11145</v>
      </c>
      <c r="P839" t="s">
        <v>12955</v>
      </c>
    </row>
    <row r="840" spans="1:16" x14ac:dyDescent="0.2">
      <c r="A840" t="str">
        <f t="shared" si="13"/>
        <v>metab_compid_53127</v>
      </c>
      <c r="B840" t="s">
        <v>12957</v>
      </c>
      <c r="C840" t="s">
        <v>11145</v>
      </c>
      <c r="D840" t="s">
        <v>12958</v>
      </c>
      <c r="E840" t="s">
        <v>11145</v>
      </c>
      <c r="F840" t="s">
        <v>11145</v>
      </c>
      <c r="G840">
        <v>53127</v>
      </c>
      <c r="H840" t="s">
        <v>11320</v>
      </c>
      <c r="I840" t="s">
        <v>11145</v>
      </c>
      <c r="J840">
        <v>2402</v>
      </c>
      <c r="K840">
        <v>241.15436</v>
      </c>
      <c r="L840" t="s">
        <v>11145</v>
      </c>
      <c r="M840" t="s">
        <v>11145</v>
      </c>
      <c r="N840" t="s">
        <v>11145</v>
      </c>
      <c r="O840" t="s">
        <v>11145</v>
      </c>
      <c r="P840" t="s">
        <v>12957</v>
      </c>
    </row>
    <row r="841" spans="1:16" x14ac:dyDescent="0.2">
      <c r="A841" t="str">
        <f t="shared" si="13"/>
        <v>metab_compid_53157</v>
      </c>
      <c r="B841" t="s">
        <v>12959</v>
      </c>
      <c r="C841" t="s">
        <v>11145</v>
      </c>
      <c r="D841" t="s">
        <v>12960</v>
      </c>
      <c r="E841" t="s">
        <v>11145</v>
      </c>
      <c r="F841" t="s">
        <v>11145</v>
      </c>
      <c r="G841">
        <v>53157</v>
      </c>
      <c r="H841" t="s">
        <v>11320</v>
      </c>
      <c r="I841" t="s">
        <v>11145</v>
      </c>
      <c r="J841">
        <v>1431</v>
      </c>
      <c r="K841">
        <v>238.03761</v>
      </c>
      <c r="L841" t="s">
        <v>11145</v>
      </c>
      <c r="M841" t="s">
        <v>11145</v>
      </c>
      <c r="N841" t="s">
        <v>11145</v>
      </c>
      <c r="O841" t="s">
        <v>11145</v>
      </c>
      <c r="P841" t="s">
        <v>12959</v>
      </c>
    </row>
    <row r="842" spans="1:16" x14ac:dyDescent="0.2">
      <c r="A842" t="str">
        <f t="shared" si="13"/>
        <v>metab_compid_53267</v>
      </c>
      <c r="B842" t="s">
        <v>12961</v>
      </c>
      <c r="C842" t="s">
        <v>11145</v>
      </c>
      <c r="D842" t="s">
        <v>12962</v>
      </c>
      <c r="E842" t="s">
        <v>11145</v>
      </c>
      <c r="F842" t="s">
        <v>11145</v>
      </c>
      <c r="G842">
        <v>53267</v>
      </c>
      <c r="H842" t="s">
        <v>11327</v>
      </c>
      <c r="I842" t="s">
        <v>11145</v>
      </c>
      <c r="J842">
        <v>4596</v>
      </c>
      <c r="K842">
        <v>321.14693</v>
      </c>
      <c r="L842" t="s">
        <v>11145</v>
      </c>
      <c r="M842" t="s">
        <v>11145</v>
      </c>
      <c r="N842" t="s">
        <v>11145</v>
      </c>
      <c r="O842" t="s">
        <v>11145</v>
      </c>
      <c r="P842" t="s">
        <v>12961</v>
      </c>
    </row>
    <row r="843" spans="1:16" x14ac:dyDescent="0.2">
      <c r="A843" t="str">
        <f t="shared" si="13"/>
        <v>metab_compid_54704</v>
      </c>
      <c r="B843" t="s">
        <v>12963</v>
      </c>
      <c r="C843" t="s">
        <v>11145</v>
      </c>
      <c r="D843" t="s">
        <v>12964</v>
      </c>
      <c r="E843" t="s">
        <v>11145</v>
      </c>
      <c r="F843" t="s">
        <v>11145</v>
      </c>
      <c r="G843">
        <v>54704</v>
      </c>
      <c r="H843" t="s">
        <v>11320</v>
      </c>
      <c r="I843" t="s">
        <v>11145</v>
      </c>
      <c r="J843">
        <v>2068.6999999999998</v>
      </c>
      <c r="K843">
        <v>115.08664</v>
      </c>
      <c r="L843" t="s">
        <v>11145</v>
      </c>
      <c r="M843" t="s">
        <v>11145</v>
      </c>
      <c r="N843" t="s">
        <v>11145</v>
      </c>
      <c r="O843" t="s">
        <v>11145</v>
      </c>
      <c r="P843" t="s">
        <v>12963</v>
      </c>
    </row>
    <row r="844" spans="1:16" x14ac:dyDescent="0.2">
      <c r="A844" t="str">
        <f t="shared" si="13"/>
        <v>metab_compid_54831</v>
      </c>
      <c r="B844" t="s">
        <v>12965</v>
      </c>
      <c r="C844" t="s">
        <v>11145</v>
      </c>
      <c r="D844" t="s">
        <v>12966</v>
      </c>
      <c r="E844" t="s">
        <v>11145</v>
      </c>
      <c r="F844" t="s">
        <v>11145</v>
      </c>
      <c r="G844">
        <v>54831</v>
      </c>
      <c r="H844" t="s">
        <v>11320</v>
      </c>
      <c r="I844" t="s">
        <v>11145</v>
      </c>
      <c r="J844">
        <v>1796</v>
      </c>
      <c r="K844">
        <v>324.92800999999997</v>
      </c>
      <c r="L844" t="s">
        <v>11145</v>
      </c>
      <c r="M844" t="s">
        <v>11145</v>
      </c>
      <c r="N844" t="s">
        <v>11145</v>
      </c>
      <c r="O844" t="s">
        <v>11145</v>
      </c>
      <c r="P844" t="s">
        <v>12965</v>
      </c>
    </row>
    <row r="845" spans="1:16" x14ac:dyDescent="0.2">
      <c r="A845" t="str">
        <f t="shared" si="13"/>
        <v>metab_compid_54832</v>
      </c>
      <c r="B845" t="s">
        <v>12967</v>
      </c>
      <c r="C845" t="s">
        <v>11145</v>
      </c>
      <c r="D845" t="s">
        <v>12968</v>
      </c>
      <c r="E845" t="s">
        <v>11145</v>
      </c>
      <c r="F845" t="s">
        <v>11145</v>
      </c>
      <c r="G845">
        <v>54832</v>
      </c>
      <c r="H845" t="s">
        <v>11320</v>
      </c>
      <c r="I845" t="s">
        <v>11145</v>
      </c>
      <c r="J845">
        <v>1803</v>
      </c>
      <c r="K845">
        <v>340.90190999999999</v>
      </c>
      <c r="L845" t="s">
        <v>11145</v>
      </c>
      <c r="M845" t="s">
        <v>11145</v>
      </c>
      <c r="N845" t="s">
        <v>11145</v>
      </c>
      <c r="O845" t="s">
        <v>11145</v>
      </c>
      <c r="P845" t="s">
        <v>12967</v>
      </c>
    </row>
    <row r="846" spans="1:16" x14ac:dyDescent="0.2">
      <c r="A846" t="str">
        <f t="shared" si="13"/>
        <v>metab_compid_54841</v>
      </c>
      <c r="B846" t="s">
        <v>12969</v>
      </c>
      <c r="C846" t="s">
        <v>11145</v>
      </c>
      <c r="D846" t="s">
        <v>12970</v>
      </c>
      <c r="E846" t="s">
        <v>11145</v>
      </c>
      <c r="F846" t="s">
        <v>11145</v>
      </c>
      <c r="G846">
        <v>54841</v>
      </c>
      <c r="H846" t="s">
        <v>11327</v>
      </c>
      <c r="I846" t="s">
        <v>11145</v>
      </c>
      <c r="J846">
        <v>1286</v>
      </c>
      <c r="K846">
        <v>202.04839999999999</v>
      </c>
      <c r="L846" t="s">
        <v>11145</v>
      </c>
      <c r="M846" t="s">
        <v>11145</v>
      </c>
      <c r="N846" t="s">
        <v>11145</v>
      </c>
      <c r="O846" t="s">
        <v>11145</v>
      </c>
      <c r="P846" t="s">
        <v>12969</v>
      </c>
    </row>
    <row r="847" spans="1:16" x14ac:dyDescent="0.2">
      <c r="A847" t="str">
        <f t="shared" si="13"/>
        <v>metab_compid_54859</v>
      </c>
      <c r="B847" t="s">
        <v>12971</v>
      </c>
      <c r="C847" t="s">
        <v>11145</v>
      </c>
      <c r="D847" t="s">
        <v>12972</v>
      </c>
      <c r="E847" t="s">
        <v>11145</v>
      </c>
      <c r="F847" t="s">
        <v>11145</v>
      </c>
      <c r="G847">
        <v>54859</v>
      </c>
      <c r="H847" t="s">
        <v>11327</v>
      </c>
      <c r="I847" t="s">
        <v>11145</v>
      </c>
      <c r="J847">
        <v>1410.2</v>
      </c>
      <c r="K847">
        <v>188.07763</v>
      </c>
      <c r="L847" t="s">
        <v>11145</v>
      </c>
      <c r="M847" t="s">
        <v>11145</v>
      </c>
      <c r="N847" t="s">
        <v>11145</v>
      </c>
      <c r="O847" t="s">
        <v>11145</v>
      </c>
      <c r="P847" t="s">
        <v>12971</v>
      </c>
    </row>
    <row r="848" spans="1:16" x14ac:dyDescent="0.2">
      <c r="A848" t="str">
        <f t="shared" si="13"/>
        <v>metab_compid_54877</v>
      </c>
      <c r="B848" t="s">
        <v>12973</v>
      </c>
      <c r="C848" t="s">
        <v>11145</v>
      </c>
      <c r="D848" t="s">
        <v>12974</v>
      </c>
      <c r="E848" t="s">
        <v>11145</v>
      </c>
      <c r="F848" t="s">
        <v>11145</v>
      </c>
      <c r="G848">
        <v>54877</v>
      </c>
      <c r="H848" t="s">
        <v>11327</v>
      </c>
      <c r="I848" t="s">
        <v>11145</v>
      </c>
      <c r="J848">
        <v>4611</v>
      </c>
      <c r="K848">
        <v>313.11926999999997</v>
      </c>
      <c r="L848" t="s">
        <v>11145</v>
      </c>
      <c r="M848" t="s">
        <v>11145</v>
      </c>
      <c r="N848" t="s">
        <v>11145</v>
      </c>
      <c r="O848" t="s">
        <v>11145</v>
      </c>
      <c r="P848" t="s">
        <v>12973</v>
      </c>
    </row>
    <row r="849" spans="1:16" x14ac:dyDescent="0.2">
      <c r="A849" t="str">
        <f t="shared" si="13"/>
        <v>metab_compid_54977</v>
      </c>
      <c r="B849" t="s">
        <v>12975</v>
      </c>
      <c r="C849" t="s">
        <v>11145</v>
      </c>
      <c r="D849" t="s">
        <v>12976</v>
      </c>
      <c r="E849" t="s">
        <v>11145</v>
      </c>
      <c r="F849" t="s">
        <v>11145</v>
      </c>
      <c r="G849">
        <v>54977</v>
      </c>
      <c r="H849" t="s">
        <v>11322</v>
      </c>
      <c r="I849" t="s">
        <v>11145</v>
      </c>
      <c r="J849">
        <v>2128</v>
      </c>
      <c r="K849">
        <v>719.56917999999996</v>
      </c>
      <c r="L849" t="s">
        <v>11145</v>
      </c>
      <c r="M849" t="s">
        <v>11145</v>
      </c>
      <c r="N849" t="s">
        <v>11145</v>
      </c>
      <c r="O849" t="s">
        <v>11145</v>
      </c>
      <c r="P849" t="s">
        <v>12975</v>
      </c>
    </row>
    <row r="850" spans="1:16" x14ac:dyDescent="0.2">
      <c r="A850" t="str">
        <f t="shared" si="13"/>
        <v>metab_compid_57714</v>
      </c>
      <c r="B850" t="s">
        <v>12977</v>
      </c>
      <c r="C850" t="s">
        <v>11145</v>
      </c>
      <c r="D850" t="s">
        <v>12978</v>
      </c>
      <c r="E850" t="s">
        <v>11145</v>
      </c>
      <c r="F850" t="s">
        <v>11145</v>
      </c>
      <c r="G850">
        <v>57714</v>
      </c>
      <c r="H850" t="s">
        <v>11327</v>
      </c>
      <c r="I850" t="s">
        <v>11145</v>
      </c>
      <c r="J850">
        <v>4518</v>
      </c>
      <c r="K850">
        <v>387.18475999999998</v>
      </c>
      <c r="L850" t="s">
        <v>11145</v>
      </c>
      <c r="M850" t="s">
        <v>11145</v>
      </c>
      <c r="N850" t="s">
        <v>11145</v>
      </c>
      <c r="O850" t="s">
        <v>11145</v>
      </c>
      <c r="P850" t="s">
        <v>12977</v>
      </c>
    </row>
    <row r="851" spans="1:16" x14ac:dyDescent="0.2">
      <c r="A851" t="str">
        <f t="shared" si="13"/>
        <v>metab_compid_57715</v>
      </c>
      <c r="B851" t="s">
        <v>12979</v>
      </c>
      <c r="C851" t="s">
        <v>11145</v>
      </c>
      <c r="D851" t="s">
        <v>12980</v>
      </c>
      <c r="E851" t="s">
        <v>11145</v>
      </c>
      <c r="F851" t="s">
        <v>11145</v>
      </c>
      <c r="G851">
        <v>57715</v>
      </c>
      <c r="H851" t="s">
        <v>11327</v>
      </c>
      <c r="I851" t="s">
        <v>11145</v>
      </c>
      <c r="J851">
        <v>4746</v>
      </c>
      <c r="K851">
        <v>413.20030000000003</v>
      </c>
      <c r="L851" t="s">
        <v>11145</v>
      </c>
      <c r="M851" t="s">
        <v>11145</v>
      </c>
      <c r="N851" t="s">
        <v>11145</v>
      </c>
      <c r="O851" t="s">
        <v>11145</v>
      </c>
      <c r="P851" t="s">
        <v>12979</v>
      </c>
    </row>
    <row r="852" spans="1:16" x14ac:dyDescent="0.2">
      <c r="A852" t="str">
        <f t="shared" si="13"/>
        <v>metab_compid_57716</v>
      </c>
      <c r="B852" t="s">
        <v>12981</v>
      </c>
      <c r="C852" t="s">
        <v>11145</v>
      </c>
      <c r="D852" t="s">
        <v>12982</v>
      </c>
      <c r="E852" t="s">
        <v>11145</v>
      </c>
      <c r="F852" t="s">
        <v>11145</v>
      </c>
      <c r="G852">
        <v>57716</v>
      </c>
      <c r="H852" t="s">
        <v>11327</v>
      </c>
      <c r="I852" t="s">
        <v>11145</v>
      </c>
      <c r="J852">
        <v>4973</v>
      </c>
      <c r="K852">
        <v>263.20166999999998</v>
      </c>
      <c r="L852" t="s">
        <v>11145</v>
      </c>
      <c r="M852" t="s">
        <v>11145</v>
      </c>
      <c r="N852" t="s">
        <v>11145</v>
      </c>
      <c r="O852" t="s">
        <v>11145</v>
      </c>
      <c r="P852" t="s">
        <v>12981</v>
      </c>
    </row>
    <row r="853" spans="1:16" x14ac:dyDescent="0.2">
      <c r="A853" t="str">
        <f t="shared" si="13"/>
        <v>metab_compid_57718</v>
      </c>
      <c r="B853" t="s">
        <v>12983</v>
      </c>
      <c r="C853" t="s">
        <v>11145</v>
      </c>
      <c r="D853" t="s">
        <v>12984</v>
      </c>
      <c r="E853" t="s">
        <v>11145</v>
      </c>
      <c r="F853" t="s">
        <v>11145</v>
      </c>
      <c r="G853">
        <v>57718</v>
      </c>
      <c r="H853" t="s">
        <v>11327</v>
      </c>
      <c r="I853" t="s">
        <v>11145</v>
      </c>
      <c r="J853">
        <v>5227</v>
      </c>
      <c r="K853">
        <v>481.35343</v>
      </c>
      <c r="L853" t="s">
        <v>11145</v>
      </c>
      <c r="M853" t="s">
        <v>11145</v>
      </c>
      <c r="N853" t="s">
        <v>11145</v>
      </c>
      <c r="O853" t="s">
        <v>11145</v>
      </c>
      <c r="P853" t="s">
        <v>12983</v>
      </c>
    </row>
    <row r="854" spans="1:16" x14ac:dyDescent="0.2">
      <c r="A854" t="str">
        <f t="shared" si="13"/>
        <v>metab_compid_57719</v>
      </c>
      <c r="B854" t="s">
        <v>12985</v>
      </c>
      <c r="C854" t="s">
        <v>11145</v>
      </c>
      <c r="D854" t="s">
        <v>12986</v>
      </c>
      <c r="E854" t="s">
        <v>11145</v>
      </c>
      <c r="F854" t="s">
        <v>11145</v>
      </c>
      <c r="G854">
        <v>57719</v>
      </c>
      <c r="H854" t="s">
        <v>11327</v>
      </c>
      <c r="I854" t="s">
        <v>11145</v>
      </c>
      <c r="J854">
        <v>5310</v>
      </c>
      <c r="K854">
        <v>413.19697000000002</v>
      </c>
      <c r="L854" t="s">
        <v>11145</v>
      </c>
      <c r="M854" t="s">
        <v>11145</v>
      </c>
      <c r="N854" t="s">
        <v>11145</v>
      </c>
      <c r="O854" t="s">
        <v>11145</v>
      </c>
      <c r="P854" t="s">
        <v>12985</v>
      </c>
    </row>
    <row r="855" spans="1:16" x14ac:dyDescent="0.2">
      <c r="A855" t="str">
        <f t="shared" si="13"/>
        <v>metab_compid_57815</v>
      </c>
      <c r="B855" t="s">
        <v>12987</v>
      </c>
      <c r="C855" t="s">
        <v>11145</v>
      </c>
      <c r="D855" t="s">
        <v>12988</v>
      </c>
      <c r="E855" t="s">
        <v>11145</v>
      </c>
      <c r="F855" t="s">
        <v>11145</v>
      </c>
      <c r="G855">
        <v>57815</v>
      </c>
      <c r="H855" t="s">
        <v>11327</v>
      </c>
      <c r="I855" t="s">
        <v>11145</v>
      </c>
      <c r="J855">
        <v>2825</v>
      </c>
      <c r="K855">
        <v>218.04580999999999</v>
      </c>
      <c r="L855" t="s">
        <v>11145</v>
      </c>
      <c r="M855" t="s">
        <v>11145</v>
      </c>
      <c r="N855" t="s">
        <v>11145</v>
      </c>
      <c r="O855" t="s">
        <v>11145</v>
      </c>
      <c r="P855" t="s">
        <v>12987</v>
      </c>
    </row>
    <row r="856" spans="1:16" x14ac:dyDescent="0.2">
      <c r="A856" t="str">
        <f t="shared" si="13"/>
        <v>metab_compid_57839</v>
      </c>
      <c r="B856" t="s">
        <v>12989</v>
      </c>
      <c r="C856" t="s">
        <v>11145</v>
      </c>
      <c r="D856" t="s">
        <v>12990</v>
      </c>
      <c r="E856" t="s">
        <v>11145</v>
      </c>
      <c r="F856" t="s">
        <v>11145</v>
      </c>
      <c r="G856">
        <v>57839</v>
      </c>
      <c r="H856" t="s">
        <v>11320</v>
      </c>
      <c r="I856" t="s">
        <v>11145</v>
      </c>
      <c r="J856">
        <v>2833</v>
      </c>
      <c r="K856">
        <v>175.14374000000001</v>
      </c>
      <c r="L856" t="s">
        <v>11145</v>
      </c>
      <c r="M856" t="s">
        <v>11145</v>
      </c>
      <c r="N856" t="s">
        <v>11145</v>
      </c>
      <c r="O856" t="s">
        <v>11145</v>
      </c>
      <c r="P856" t="s">
        <v>12989</v>
      </c>
    </row>
    <row r="857" spans="1:16" x14ac:dyDescent="0.2">
      <c r="A857" t="str">
        <f t="shared" si="13"/>
        <v>metab_compid_62249</v>
      </c>
      <c r="B857" t="s">
        <v>12991</v>
      </c>
      <c r="C857" t="s">
        <v>11145</v>
      </c>
      <c r="D857" t="s">
        <v>12992</v>
      </c>
      <c r="E857" t="s">
        <v>11145</v>
      </c>
      <c r="F857" t="s">
        <v>11145</v>
      </c>
      <c r="G857">
        <v>62249</v>
      </c>
      <c r="H857" t="s">
        <v>11320</v>
      </c>
      <c r="I857" t="s">
        <v>11145</v>
      </c>
      <c r="J857">
        <v>2836</v>
      </c>
      <c r="K857">
        <v>161.12835999999999</v>
      </c>
      <c r="L857" t="s">
        <v>11145</v>
      </c>
      <c r="M857" t="s">
        <v>11145</v>
      </c>
      <c r="N857" t="s">
        <v>11145</v>
      </c>
      <c r="O857" t="s">
        <v>11145</v>
      </c>
      <c r="P857" t="s">
        <v>12991</v>
      </c>
    </row>
    <row r="858" spans="1:16" x14ac:dyDescent="0.2">
      <c r="A858" t="str">
        <f t="shared" si="13"/>
        <v>metab_compid_62602</v>
      </c>
      <c r="B858" t="s">
        <v>12993</v>
      </c>
      <c r="C858" t="s">
        <v>11145</v>
      </c>
      <c r="D858" t="s">
        <v>12994</v>
      </c>
      <c r="E858" t="s">
        <v>11145</v>
      </c>
      <c r="F858" t="s">
        <v>11145</v>
      </c>
      <c r="G858">
        <v>62602</v>
      </c>
      <c r="H858" t="s">
        <v>11327</v>
      </c>
      <c r="I858" t="s">
        <v>11145</v>
      </c>
      <c r="J858">
        <v>1019.3</v>
      </c>
      <c r="K858">
        <v>416.17876000000001</v>
      </c>
      <c r="L858" t="s">
        <v>11145</v>
      </c>
      <c r="M858" t="s">
        <v>11145</v>
      </c>
      <c r="N858" t="s">
        <v>11145</v>
      </c>
      <c r="O858" t="s">
        <v>11145</v>
      </c>
      <c r="P858" t="s">
        <v>12993</v>
      </c>
    </row>
    <row r="859" spans="1:16" x14ac:dyDescent="0.2">
      <c r="A859" t="str">
        <f t="shared" si="13"/>
        <v>metab_compid_62713</v>
      </c>
      <c r="B859" t="s">
        <v>12995</v>
      </c>
      <c r="C859" t="s">
        <v>11145</v>
      </c>
      <c r="D859" t="s">
        <v>12996</v>
      </c>
      <c r="E859" t="s">
        <v>11145</v>
      </c>
      <c r="F859" t="s">
        <v>11145</v>
      </c>
      <c r="G859">
        <v>62713</v>
      </c>
      <c r="H859" t="s">
        <v>11320</v>
      </c>
      <c r="I859" t="s">
        <v>11145</v>
      </c>
      <c r="J859">
        <v>996.9</v>
      </c>
      <c r="K859">
        <v>309.12896000000001</v>
      </c>
      <c r="L859" t="s">
        <v>11145</v>
      </c>
      <c r="M859" t="s">
        <v>11145</v>
      </c>
      <c r="N859" t="s">
        <v>11145</v>
      </c>
      <c r="O859" t="s">
        <v>11145</v>
      </c>
      <c r="P859" t="s">
        <v>12995</v>
      </c>
    </row>
    <row r="860" spans="1:16" x14ac:dyDescent="0.2">
      <c r="A860" t="str">
        <f t="shared" si="13"/>
        <v>metab_compid_62749</v>
      </c>
      <c r="B860" t="s">
        <v>12997</v>
      </c>
      <c r="C860" t="s">
        <v>11145</v>
      </c>
      <c r="D860" t="s">
        <v>12998</v>
      </c>
      <c r="E860" t="s">
        <v>11145</v>
      </c>
      <c r="F860" t="s">
        <v>11145</v>
      </c>
      <c r="G860">
        <v>62749</v>
      </c>
      <c r="H860" t="s">
        <v>11327</v>
      </c>
      <c r="I860" t="s">
        <v>11145</v>
      </c>
      <c r="J860">
        <v>4046</v>
      </c>
      <c r="K860">
        <v>287.61162000000002</v>
      </c>
      <c r="L860" t="s">
        <v>11145</v>
      </c>
      <c r="M860" t="s">
        <v>11145</v>
      </c>
      <c r="N860" t="s">
        <v>11145</v>
      </c>
      <c r="O860" t="s">
        <v>11145</v>
      </c>
      <c r="P860" t="s">
        <v>12997</v>
      </c>
    </row>
    <row r="861" spans="1:16" x14ac:dyDescent="0.2">
      <c r="A861" t="str">
        <f t="shared" si="13"/>
        <v>metab_compid_48762</v>
      </c>
      <c r="B861" t="s">
        <v>12999</v>
      </c>
      <c r="C861">
        <v>4864</v>
      </c>
      <c r="D861" t="s">
        <v>8656</v>
      </c>
      <c r="E861" t="s">
        <v>3863</v>
      </c>
      <c r="F861" t="s">
        <v>5632</v>
      </c>
      <c r="G861">
        <v>48762</v>
      </c>
      <c r="H861" t="s">
        <v>11327</v>
      </c>
      <c r="I861">
        <v>100006374</v>
      </c>
      <c r="J861">
        <v>1709</v>
      </c>
      <c r="K861">
        <v>204.98123000000001</v>
      </c>
      <c r="L861" t="s">
        <v>11145</v>
      </c>
      <c r="M861" t="s">
        <v>11145</v>
      </c>
      <c r="N861" t="s">
        <v>11145</v>
      </c>
      <c r="O861" t="s">
        <v>11145</v>
      </c>
      <c r="P861" t="s">
        <v>12999</v>
      </c>
    </row>
    <row r="862" spans="1:16" x14ac:dyDescent="0.2">
      <c r="A862" t="str">
        <f t="shared" si="13"/>
        <v>metab_compid_34404</v>
      </c>
      <c r="B862" t="s">
        <v>13000</v>
      </c>
      <c r="C862">
        <v>3783</v>
      </c>
      <c r="D862" t="s">
        <v>6333</v>
      </c>
      <c r="E862" t="s">
        <v>3863</v>
      </c>
      <c r="F862" t="s">
        <v>4373</v>
      </c>
      <c r="G862">
        <v>34404</v>
      </c>
      <c r="H862" t="s">
        <v>11327</v>
      </c>
      <c r="I862">
        <v>100001397</v>
      </c>
      <c r="J862">
        <v>1985</v>
      </c>
      <c r="K862">
        <v>209.06800999999999</v>
      </c>
      <c r="L862" t="s">
        <v>6334</v>
      </c>
      <c r="M862">
        <v>79437</v>
      </c>
      <c r="N862" t="s">
        <v>6337</v>
      </c>
      <c r="O862" t="s">
        <v>13001</v>
      </c>
      <c r="P862" t="s">
        <v>13000</v>
      </c>
    </row>
    <row r="863" spans="1:16" x14ac:dyDescent="0.2">
      <c r="A863" t="str">
        <f t="shared" si="13"/>
        <v>metab_compid_32391</v>
      </c>
      <c r="B863" t="s">
        <v>13002</v>
      </c>
      <c r="C863">
        <v>3780</v>
      </c>
      <c r="D863" t="s">
        <v>5838</v>
      </c>
      <c r="E863" t="s">
        <v>3863</v>
      </c>
      <c r="F863" t="s">
        <v>4373</v>
      </c>
      <c r="G863">
        <v>32391</v>
      </c>
      <c r="H863" t="s">
        <v>11327</v>
      </c>
      <c r="I863">
        <v>100001106</v>
      </c>
      <c r="J863">
        <v>1671.4</v>
      </c>
      <c r="K863">
        <v>195.05235999999999</v>
      </c>
      <c r="L863" t="s">
        <v>5839</v>
      </c>
      <c r="M863">
        <v>70346</v>
      </c>
      <c r="N863" t="s">
        <v>11145</v>
      </c>
      <c r="O863" t="s">
        <v>13003</v>
      </c>
      <c r="P863" t="s">
        <v>13002</v>
      </c>
    </row>
    <row r="864" spans="1:16" x14ac:dyDescent="0.2">
      <c r="A864" t="str">
        <f t="shared" si="13"/>
        <v>metab_compid_34400</v>
      </c>
      <c r="B864" t="s">
        <v>13004</v>
      </c>
      <c r="C864">
        <v>3781</v>
      </c>
      <c r="D864" t="s">
        <v>6349</v>
      </c>
      <c r="E864" t="s">
        <v>3863</v>
      </c>
      <c r="F864" t="s">
        <v>4373</v>
      </c>
      <c r="G864">
        <v>34400</v>
      </c>
      <c r="H864" t="s">
        <v>11327</v>
      </c>
      <c r="I864">
        <v>100001399</v>
      </c>
      <c r="J864">
        <v>1578.6</v>
      </c>
      <c r="K864">
        <v>195.05235999999999</v>
      </c>
      <c r="L864" t="s">
        <v>6350</v>
      </c>
      <c r="M864">
        <v>91611</v>
      </c>
      <c r="N864" t="s">
        <v>6353</v>
      </c>
      <c r="O864" t="s">
        <v>13005</v>
      </c>
      <c r="P864" t="s">
        <v>13004</v>
      </c>
    </row>
    <row r="865" spans="1:16" x14ac:dyDescent="0.2">
      <c r="A865" t="str">
        <f t="shared" si="13"/>
        <v>metab_compid_38140</v>
      </c>
      <c r="B865" t="s">
        <v>13006</v>
      </c>
      <c r="C865">
        <v>4696</v>
      </c>
      <c r="D865" t="s">
        <v>7451</v>
      </c>
      <c r="E865" t="s">
        <v>3863</v>
      </c>
      <c r="F865" t="s">
        <v>7418</v>
      </c>
      <c r="G865">
        <v>38140</v>
      </c>
      <c r="H865" t="s">
        <v>11327</v>
      </c>
      <c r="I865">
        <v>100002394</v>
      </c>
      <c r="J865">
        <v>3930</v>
      </c>
      <c r="K865">
        <v>187.04006000000001</v>
      </c>
      <c r="L865" t="s">
        <v>7452</v>
      </c>
      <c r="M865">
        <v>6844</v>
      </c>
      <c r="N865" t="s">
        <v>7454</v>
      </c>
      <c r="O865" t="s">
        <v>11145</v>
      </c>
      <c r="P865" t="s">
        <v>13006</v>
      </c>
    </row>
    <row r="866" spans="1:16" x14ac:dyDescent="0.2">
      <c r="A866" t="str">
        <f t="shared" si="13"/>
        <v>metab_compid_34395</v>
      </c>
      <c r="B866" t="s">
        <v>13007</v>
      </c>
      <c r="C866">
        <v>3778</v>
      </c>
      <c r="D866" t="s">
        <v>6357</v>
      </c>
      <c r="E866" t="s">
        <v>3863</v>
      </c>
      <c r="F866" t="s">
        <v>4373</v>
      </c>
      <c r="G866">
        <v>34395</v>
      </c>
      <c r="H866" t="s">
        <v>11327</v>
      </c>
      <c r="I866">
        <v>100001400</v>
      </c>
      <c r="J866">
        <v>1099</v>
      </c>
      <c r="K866">
        <v>181.03671</v>
      </c>
      <c r="L866" t="s">
        <v>6358</v>
      </c>
      <c r="M866">
        <v>69726</v>
      </c>
      <c r="N866" t="s">
        <v>6361</v>
      </c>
      <c r="O866" t="s">
        <v>13008</v>
      </c>
      <c r="P866" t="s">
        <v>13007</v>
      </c>
    </row>
    <row r="867" spans="1:16" x14ac:dyDescent="0.2">
      <c r="A867" t="str">
        <f t="shared" si="13"/>
        <v>metab_compid_34389</v>
      </c>
      <c r="B867" t="s">
        <v>13009</v>
      </c>
      <c r="C867">
        <v>3784</v>
      </c>
      <c r="D867" t="s">
        <v>6381</v>
      </c>
      <c r="E867" t="s">
        <v>3863</v>
      </c>
      <c r="F867" t="s">
        <v>4373</v>
      </c>
      <c r="G867">
        <v>34389</v>
      </c>
      <c r="H867" t="s">
        <v>11327</v>
      </c>
      <c r="I867">
        <v>100001405</v>
      </c>
      <c r="J867">
        <v>1568.8</v>
      </c>
      <c r="K867">
        <v>165.04179999999999</v>
      </c>
      <c r="L867" t="s">
        <v>6382</v>
      </c>
      <c r="M867">
        <v>80220</v>
      </c>
      <c r="N867" t="s">
        <v>6385</v>
      </c>
      <c r="O867" t="s">
        <v>13010</v>
      </c>
      <c r="P867" t="s">
        <v>13009</v>
      </c>
    </row>
    <row r="868" spans="1:16" x14ac:dyDescent="0.2">
      <c r="A868" t="str">
        <f t="shared" si="13"/>
        <v>metab_compid_57783</v>
      </c>
      <c r="B868" t="s">
        <v>13011</v>
      </c>
      <c r="C868">
        <v>4312</v>
      </c>
      <c r="D868" t="s">
        <v>8268</v>
      </c>
      <c r="E868" t="s">
        <v>3863</v>
      </c>
      <c r="F868" t="s">
        <v>8265</v>
      </c>
      <c r="G868">
        <v>57783</v>
      </c>
      <c r="H868" t="s">
        <v>11327</v>
      </c>
      <c r="I868">
        <v>100004601</v>
      </c>
      <c r="J868">
        <v>2862</v>
      </c>
      <c r="K868">
        <v>174.05605</v>
      </c>
      <c r="L868" t="s">
        <v>8269</v>
      </c>
      <c r="M868" t="s">
        <v>11145</v>
      </c>
      <c r="N868" t="s">
        <v>11145</v>
      </c>
      <c r="O868" t="s">
        <v>11145</v>
      </c>
      <c r="P868" t="s">
        <v>13011</v>
      </c>
    </row>
    <row r="869" spans="1:16" x14ac:dyDescent="0.2">
      <c r="A869" t="str">
        <f t="shared" si="13"/>
        <v>metab_compid_38276</v>
      </c>
      <c r="B869" t="s">
        <v>13012</v>
      </c>
      <c r="C869">
        <v>3894</v>
      </c>
      <c r="D869" t="s">
        <v>7488</v>
      </c>
      <c r="E869" t="s">
        <v>3863</v>
      </c>
      <c r="F869" t="s">
        <v>3864</v>
      </c>
      <c r="G869">
        <v>38276</v>
      </c>
      <c r="H869" t="s">
        <v>11545</v>
      </c>
      <c r="I869">
        <v>100002417</v>
      </c>
      <c r="J869">
        <v>1050</v>
      </c>
      <c r="K869">
        <v>133.05063000000001</v>
      </c>
      <c r="L869" t="s">
        <v>7489</v>
      </c>
      <c r="M869">
        <v>677</v>
      </c>
      <c r="N869" t="s">
        <v>7492</v>
      </c>
      <c r="O869" t="s">
        <v>13013</v>
      </c>
      <c r="P869" t="s">
        <v>13012</v>
      </c>
    </row>
    <row r="870" spans="1:16" x14ac:dyDescent="0.2">
      <c r="A870" t="str">
        <f t="shared" si="13"/>
        <v>metab_compid_62533</v>
      </c>
      <c r="B870" t="s">
        <v>13014</v>
      </c>
      <c r="C870">
        <v>4276</v>
      </c>
      <c r="D870" t="s">
        <v>13015</v>
      </c>
      <c r="E870" t="s">
        <v>3863</v>
      </c>
      <c r="F870" t="s">
        <v>3864</v>
      </c>
      <c r="G870">
        <v>62533</v>
      </c>
      <c r="H870" t="s">
        <v>11327</v>
      </c>
      <c r="I870">
        <v>100020519</v>
      </c>
      <c r="J870">
        <v>3474</v>
      </c>
      <c r="K870">
        <v>201.02269999999999</v>
      </c>
      <c r="L870" t="s">
        <v>11145</v>
      </c>
      <c r="M870" t="s">
        <v>11145</v>
      </c>
      <c r="N870" t="s">
        <v>11145</v>
      </c>
      <c r="O870" t="s">
        <v>11145</v>
      </c>
      <c r="P870" t="s">
        <v>13014</v>
      </c>
    </row>
    <row r="871" spans="1:16" x14ac:dyDescent="0.2">
      <c r="A871" t="str">
        <f t="shared" si="13"/>
        <v>metab_compid_48580</v>
      </c>
      <c r="B871" t="s">
        <v>13016</v>
      </c>
      <c r="C871">
        <v>4347</v>
      </c>
      <c r="D871" t="s">
        <v>8510</v>
      </c>
      <c r="E871" t="s">
        <v>3863</v>
      </c>
      <c r="F871" t="s">
        <v>4942</v>
      </c>
      <c r="G871">
        <v>48580</v>
      </c>
      <c r="H871" t="s">
        <v>11327</v>
      </c>
      <c r="I871">
        <v>100006190</v>
      </c>
      <c r="J871">
        <v>2251</v>
      </c>
      <c r="K871">
        <v>230.01285999999999</v>
      </c>
      <c r="L871" t="s">
        <v>8511</v>
      </c>
      <c r="M871">
        <v>181671</v>
      </c>
      <c r="N871" t="s">
        <v>11145</v>
      </c>
      <c r="O871" t="s">
        <v>11145</v>
      </c>
      <c r="P871" t="s">
        <v>13016</v>
      </c>
    </row>
    <row r="872" spans="1:16" x14ac:dyDescent="0.2">
      <c r="A872" t="str">
        <f t="shared" si="13"/>
        <v>metab_compid_43266</v>
      </c>
      <c r="B872" t="s">
        <v>13017</v>
      </c>
      <c r="C872">
        <v>4763</v>
      </c>
      <c r="D872" t="s">
        <v>8181</v>
      </c>
      <c r="E872" t="s">
        <v>3863</v>
      </c>
      <c r="F872" t="s">
        <v>5632</v>
      </c>
      <c r="G872">
        <v>43266</v>
      </c>
      <c r="H872" t="s">
        <v>11327</v>
      </c>
      <c r="I872">
        <v>100004322</v>
      </c>
      <c r="J872">
        <v>1677</v>
      </c>
      <c r="K872">
        <v>188.00229999999999</v>
      </c>
      <c r="L872" t="s">
        <v>11145</v>
      </c>
      <c r="M872">
        <v>181670</v>
      </c>
      <c r="N872" t="s">
        <v>11145</v>
      </c>
      <c r="O872" t="s">
        <v>13018</v>
      </c>
      <c r="P872" t="s">
        <v>13017</v>
      </c>
    </row>
    <row r="873" spans="1:16" x14ac:dyDescent="0.2">
      <c r="A873" t="str">
        <f t="shared" si="13"/>
        <v>metab_compid_33173</v>
      </c>
      <c r="B873" t="s">
        <v>13019</v>
      </c>
      <c r="C873">
        <v>4339</v>
      </c>
      <c r="D873" t="s">
        <v>6985</v>
      </c>
      <c r="E873" t="s">
        <v>3863</v>
      </c>
      <c r="F873" t="s">
        <v>4942</v>
      </c>
      <c r="G873">
        <v>33173</v>
      </c>
      <c r="H873" t="s">
        <v>11327</v>
      </c>
      <c r="I873">
        <v>100001791</v>
      </c>
      <c r="J873">
        <v>1674</v>
      </c>
      <c r="K873">
        <v>246.00778</v>
      </c>
      <c r="L873" t="s">
        <v>11145</v>
      </c>
      <c r="M873">
        <v>86290013</v>
      </c>
      <c r="N873" t="s">
        <v>11145</v>
      </c>
      <c r="O873" t="s">
        <v>11145</v>
      </c>
      <c r="P873" t="s">
        <v>13019</v>
      </c>
    </row>
    <row r="874" spans="1:16" x14ac:dyDescent="0.2">
      <c r="A874" t="str">
        <f t="shared" si="13"/>
        <v>metab_compid_18281</v>
      </c>
      <c r="B874" t="s">
        <v>13020</v>
      </c>
      <c r="C874">
        <v>3688</v>
      </c>
      <c r="D874" t="s">
        <v>5085</v>
      </c>
      <c r="E874" t="s">
        <v>3863</v>
      </c>
      <c r="F874" t="s">
        <v>5082</v>
      </c>
      <c r="G874">
        <v>18281</v>
      </c>
      <c r="H874" t="s">
        <v>11327</v>
      </c>
      <c r="I874">
        <v>1869</v>
      </c>
      <c r="J874">
        <v>2184</v>
      </c>
      <c r="K874">
        <v>194.04588000000001</v>
      </c>
      <c r="L874" t="s">
        <v>5086</v>
      </c>
      <c r="M874">
        <v>10253</v>
      </c>
      <c r="N874" t="s">
        <v>5089</v>
      </c>
      <c r="O874" t="s">
        <v>13021</v>
      </c>
      <c r="P874" t="s">
        <v>13020</v>
      </c>
    </row>
    <row r="875" spans="1:16" x14ac:dyDescent="0.2">
      <c r="A875" t="str">
        <f t="shared" si="13"/>
        <v>metab_compid_43330</v>
      </c>
      <c r="B875" t="s">
        <v>13022</v>
      </c>
      <c r="C875">
        <v>4354</v>
      </c>
      <c r="D875" t="s">
        <v>8083</v>
      </c>
      <c r="E875" t="s">
        <v>3863</v>
      </c>
      <c r="F875" t="s">
        <v>4942</v>
      </c>
      <c r="G875">
        <v>43330</v>
      </c>
      <c r="H875" t="s">
        <v>11327</v>
      </c>
      <c r="I875">
        <v>100004169</v>
      </c>
      <c r="J875">
        <v>3462</v>
      </c>
      <c r="K875">
        <v>221.11831000000001</v>
      </c>
      <c r="L875" t="s">
        <v>8084</v>
      </c>
      <c r="M875">
        <v>10443535</v>
      </c>
      <c r="N875" t="s">
        <v>11145</v>
      </c>
      <c r="O875" t="s">
        <v>13023</v>
      </c>
      <c r="P875" t="s">
        <v>13022</v>
      </c>
    </row>
    <row r="876" spans="1:16" x14ac:dyDescent="0.2">
      <c r="A876" t="str">
        <f t="shared" si="13"/>
        <v>metab_compid_15667</v>
      </c>
      <c r="B876" t="s">
        <v>13024</v>
      </c>
      <c r="C876">
        <v>3901</v>
      </c>
      <c r="D876" t="s">
        <v>5313</v>
      </c>
      <c r="E876" t="s">
        <v>3863</v>
      </c>
      <c r="F876" t="s">
        <v>3864</v>
      </c>
      <c r="G876">
        <v>15667</v>
      </c>
      <c r="H876" t="s">
        <v>11545</v>
      </c>
      <c r="I876">
        <v>100000409</v>
      </c>
      <c r="J876">
        <v>2605</v>
      </c>
      <c r="K876">
        <v>175.06119000000001</v>
      </c>
      <c r="L876" t="s">
        <v>5314</v>
      </c>
      <c r="M876">
        <v>77</v>
      </c>
      <c r="N876" t="s">
        <v>5317</v>
      </c>
      <c r="O876" t="s">
        <v>13025</v>
      </c>
      <c r="P876" t="s">
        <v>13024</v>
      </c>
    </row>
    <row r="877" spans="1:16" x14ac:dyDescent="0.2">
      <c r="A877" t="str">
        <f t="shared" si="13"/>
        <v>metab_compid_48141</v>
      </c>
      <c r="B877" t="s">
        <v>13026</v>
      </c>
      <c r="C877">
        <v>4201</v>
      </c>
      <c r="D877" t="s">
        <v>8374</v>
      </c>
      <c r="E877" t="s">
        <v>3863</v>
      </c>
      <c r="F877" t="s">
        <v>3864</v>
      </c>
      <c r="G877">
        <v>48141</v>
      </c>
      <c r="H877" t="s">
        <v>11545</v>
      </c>
      <c r="I877">
        <v>100005946</v>
      </c>
      <c r="J877">
        <v>1900</v>
      </c>
      <c r="K877">
        <v>177.04046</v>
      </c>
      <c r="L877" t="s">
        <v>8375</v>
      </c>
      <c r="M877">
        <v>161227</v>
      </c>
      <c r="N877" t="s">
        <v>8378</v>
      </c>
      <c r="O877" t="s">
        <v>13027</v>
      </c>
      <c r="P877" t="s">
        <v>13026</v>
      </c>
    </row>
    <row r="878" spans="1:16" x14ac:dyDescent="0.2">
      <c r="A878" t="str">
        <f t="shared" si="13"/>
        <v>metab_compid_33161</v>
      </c>
      <c r="B878" t="s">
        <v>13028</v>
      </c>
      <c r="C878">
        <v>4341</v>
      </c>
      <c r="D878" t="s">
        <v>6997</v>
      </c>
      <c r="E878" t="s">
        <v>3863</v>
      </c>
      <c r="F878" t="s">
        <v>4942</v>
      </c>
      <c r="G878">
        <v>33161</v>
      </c>
      <c r="H878" t="s">
        <v>11327</v>
      </c>
      <c r="I878">
        <v>100001795</v>
      </c>
      <c r="J878">
        <v>1633</v>
      </c>
      <c r="K878">
        <v>356.09870000000001</v>
      </c>
      <c r="L878" t="s">
        <v>11145</v>
      </c>
      <c r="M878">
        <v>14367271</v>
      </c>
      <c r="N878" t="s">
        <v>11145</v>
      </c>
      <c r="O878" t="s">
        <v>11145</v>
      </c>
      <c r="P878" t="s">
        <v>13028</v>
      </c>
    </row>
    <row r="879" spans="1:16" x14ac:dyDescent="0.2">
      <c r="A879" t="str">
        <f t="shared" si="13"/>
        <v>metab_compid_47031</v>
      </c>
      <c r="B879" t="s">
        <v>13029</v>
      </c>
      <c r="C879">
        <v>4340</v>
      </c>
      <c r="D879" t="s">
        <v>6991</v>
      </c>
      <c r="E879" t="s">
        <v>3863</v>
      </c>
      <c r="F879" t="s">
        <v>4942</v>
      </c>
      <c r="G879">
        <v>47031</v>
      </c>
      <c r="H879" t="s">
        <v>11327</v>
      </c>
      <c r="I879">
        <v>100001793</v>
      </c>
      <c r="J879">
        <v>1949</v>
      </c>
      <c r="K879">
        <v>260.02343000000002</v>
      </c>
      <c r="L879" t="s">
        <v>11145</v>
      </c>
      <c r="M879">
        <v>86290014</v>
      </c>
      <c r="N879" t="s">
        <v>11145</v>
      </c>
      <c r="O879" t="s">
        <v>11145</v>
      </c>
      <c r="P879" t="s">
        <v>13029</v>
      </c>
    </row>
    <row r="880" spans="1:16" x14ac:dyDescent="0.2">
      <c r="A880" t="str">
        <f t="shared" si="13"/>
        <v>metab_compid_48445</v>
      </c>
      <c r="B880" t="s">
        <v>13030</v>
      </c>
      <c r="C880">
        <v>4866</v>
      </c>
      <c r="D880" t="s">
        <v>8498</v>
      </c>
      <c r="E880" t="s">
        <v>3863</v>
      </c>
      <c r="F880" t="s">
        <v>5632</v>
      </c>
      <c r="G880">
        <v>48445</v>
      </c>
      <c r="H880" t="s">
        <v>11327</v>
      </c>
      <c r="I880">
        <v>100006184</v>
      </c>
      <c r="J880">
        <v>1863</v>
      </c>
      <c r="K880">
        <v>218.99688</v>
      </c>
      <c r="L880" t="s">
        <v>8499</v>
      </c>
      <c r="M880" t="s">
        <v>11145</v>
      </c>
      <c r="N880" t="s">
        <v>11145</v>
      </c>
      <c r="O880" t="s">
        <v>11145</v>
      </c>
      <c r="P880" t="s">
        <v>13030</v>
      </c>
    </row>
    <row r="881" spans="1:16" x14ac:dyDescent="0.2">
      <c r="A881" t="str">
        <f t="shared" si="13"/>
        <v>metab_compid_62520</v>
      </c>
      <c r="B881" t="s">
        <v>13031</v>
      </c>
      <c r="C881">
        <v>4826</v>
      </c>
      <c r="D881" t="s">
        <v>9790</v>
      </c>
      <c r="E881" t="s">
        <v>3863</v>
      </c>
      <c r="F881" t="s">
        <v>5632</v>
      </c>
      <c r="G881">
        <v>62520</v>
      </c>
      <c r="H881" t="s">
        <v>11327</v>
      </c>
      <c r="I881">
        <v>100020515</v>
      </c>
      <c r="J881">
        <v>3658</v>
      </c>
      <c r="K881">
        <v>223.00704999999999</v>
      </c>
      <c r="L881" t="s">
        <v>11145</v>
      </c>
      <c r="M881">
        <v>74428</v>
      </c>
      <c r="N881" t="s">
        <v>11145</v>
      </c>
      <c r="O881" t="s">
        <v>11145</v>
      </c>
      <c r="P881" t="s">
        <v>13031</v>
      </c>
    </row>
    <row r="882" spans="1:16" x14ac:dyDescent="0.2">
      <c r="A882" t="str">
        <f t="shared" si="13"/>
        <v>metab_compid_53026</v>
      </c>
      <c r="B882" t="s">
        <v>13032</v>
      </c>
      <c r="C882">
        <v>4224</v>
      </c>
      <c r="D882" t="s">
        <v>13033</v>
      </c>
      <c r="E882" t="s">
        <v>3863</v>
      </c>
      <c r="F882" t="s">
        <v>3864</v>
      </c>
      <c r="G882">
        <v>53026</v>
      </c>
      <c r="H882" t="s">
        <v>11327</v>
      </c>
      <c r="I882">
        <v>100006651</v>
      </c>
      <c r="J882">
        <v>3807</v>
      </c>
      <c r="K882">
        <v>141.09209999999999</v>
      </c>
      <c r="L882" t="s">
        <v>11145</v>
      </c>
      <c r="M882" t="s">
        <v>11145</v>
      </c>
      <c r="N882" t="s">
        <v>11145</v>
      </c>
      <c r="O882" t="s">
        <v>11145</v>
      </c>
      <c r="P882" t="s">
        <v>13032</v>
      </c>
    </row>
    <row r="883" spans="1:16" x14ac:dyDescent="0.2">
      <c r="A883" t="str">
        <f t="shared" si="13"/>
        <v>metab_compid_34399</v>
      </c>
      <c r="B883" t="s">
        <v>13034</v>
      </c>
      <c r="C883">
        <v>3782</v>
      </c>
      <c r="D883" t="s">
        <v>6341</v>
      </c>
      <c r="E883" t="s">
        <v>3863</v>
      </c>
      <c r="F883" t="s">
        <v>4373</v>
      </c>
      <c r="G883">
        <v>34399</v>
      </c>
      <c r="H883" t="s">
        <v>11327</v>
      </c>
      <c r="I883">
        <v>100001398</v>
      </c>
      <c r="J883">
        <v>1418.2</v>
      </c>
      <c r="K883">
        <v>195.05235999999999</v>
      </c>
      <c r="L883" t="s">
        <v>6342</v>
      </c>
      <c r="M883">
        <v>83126</v>
      </c>
      <c r="N883" t="s">
        <v>6345</v>
      </c>
      <c r="O883" t="s">
        <v>13035</v>
      </c>
      <c r="P883" t="s">
        <v>13034</v>
      </c>
    </row>
    <row r="884" spans="1:16" x14ac:dyDescent="0.2">
      <c r="A884" t="str">
        <f t="shared" si="13"/>
        <v>metab_compid_35635</v>
      </c>
      <c r="B884" t="s">
        <v>13036</v>
      </c>
      <c r="C884">
        <v>3770</v>
      </c>
      <c r="D884" t="s">
        <v>6805</v>
      </c>
      <c r="E884" t="s">
        <v>3863</v>
      </c>
      <c r="F884" t="s">
        <v>5082</v>
      </c>
      <c r="G884">
        <v>35635</v>
      </c>
      <c r="H884" t="s">
        <v>11327</v>
      </c>
      <c r="I884">
        <v>100001624</v>
      </c>
      <c r="J884">
        <v>1980</v>
      </c>
      <c r="K884">
        <v>165.05571</v>
      </c>
      <c r="L884" t="s">
        <v>6806</v>
      </c>
      <c r="M884">
        <v>91</v>
      </c>
      <c r="N884" t="s">
        <v>6809</v>
      </c>
      <c r="O884" t="s">
        <v>13037</v>
      </c>
      <c r="P884" t="s">
        <v>13036</v>
      </c>
    </row>
    <row r="885" spans="1:16" x14ac:dyDescent="0.2">
      <c r="A885" t="str">
        <f t="shared" si="13"/>
        <v>metab_compid_45415</v>
      </c>
      <c r="B885" t="s">
        <v>13038</v>
      </c>
      <c r="C885">
        <v>3767</v>
      </c>
      <c r="D885" t="s">
        <v>13039</v>
      </c>
      <c r="E885" t="s">
        <v>3863</v>
      </c>
      <c r="F885" t="s">
        <v>5082</v>
      </c>
      <c r="G885">
        <v>45415</v>
      </c>
      <c r="H885" t="s">
        <v>11327</v>
      </c>
      <c r="I885">
        <v>100005391</v>
      </c>
      <c r="J885">
        <v>1294</v>
      </c>
      <c r="K885">
        <v>245.01253</v>
      </c>
      <c r="L885" t="s">
        <v>13040</v>
      </c>
      <c r="M885">
        <v>187488</v>
      </c>
      <c r="N885" t="s">
        <v>11145</v>
      </c>
      <c r="O885" t="s">
        <v>11145</v>
      </c>
      <c r="P885" t="s">
        <v>13038</v>
      </c>
    </row>
    <row r="886" spans="1:16" x14ac:dyDescent="0.2">
      <c r="A886" t="str">
        <f t="shared" si="13"/>
        <v>metab_compid_34365</v>
      </c>
      <c r="B886" t="s">
        <v>13041</v>
      </c>
      <c r="C886">
        <v>4342</v>
      </c>
      <c r="D886" t="s">
        <v>7003</v>
      </c>
      <c r="E886" t="s">
        <v>3863</v>
      </c>
      <c r="F886" t="s">
        <v>4942</v>
      </c>
      <c r="G886">
        <v>34365</v>
      </c>
      <c r="H886" t="s">
        <v>11320</v>
      </c>
      <c r="I886">
        <v>100001797</v>
      </c>
      <c r="J886">
        <v>2420</v>
      </c>
      <c r="K886">
        <v>271.07470999999998</v>
      </c>
      <c r="L886" t="s">
        <v>11145</v>
      </c>
      <c r="M886">
        <v>5233914</v>
      </c>
      <c r="N886" t="s">
        <v>11145</v>
      </c>
      <c r="O886" t="s">
        <v>11145</v>
      </c>
      <c r="P886" t="s">
        <v>13041</v>
      </c>
    </row>
    <row r="887" spans="1:16" x14ac:dyDescent="0.2">
      <c r="A887" t="str">
        <f t="shared" si="13"/>
        <v>metab_compid_62567</v>
      </c>
      <c r="B887" t="s">
        <v>13042</v>
      </c>
      <c r="C887">
        <v>4346</v>
      </c>
      <c r="D887" t="s">
        <v>9905</v>
      </c>
      <c r="E887" t="s">
        <v>3863</v>
      </c>
      <c r="F887" t="s">
        <v>4942</v>
      </c>
      <c r="G887">
        <v>62567</v>
      </c>
      <c r="H887" t="s">
        <v>11327</v>
      </c>
      <c r="I887">
        <v>100020827</v>
      </c>
      <c r="J887">
        <v>2265</v>
      </c>
      <c r="K887">
        <v>276.00058999999999</v>
      </c>
      <c r="L887" t="s">
        <v>11145</v>
      </c>
      <c r="M887" t="s">
        <v>11145</v>
      </c>
      <c r="N887" t="s">
        <v>11145</v>
      </c>
      <c r="O887" t="s">
        <v>11145</v>
      </c>
      <c r="P887" t="s">
        <v>13042</v>
      </c>
    </row>
    <row r="888" spans="1:16" x14ac:dyDescent="0.2">
      <c r="A888" t="str">
        <f t="shared" si="13"/>
        <v>metab_compid_45721</v>
      </c>
      <c r="B888" t="s">
        <v>13043</v>
      </c>
      <c r="C888">
        <v>4336</v>
      </c>
      <c r="D888" t="s">
        <v>13044</v>
      </c>
      <c r="E888" t="s">
        <v>3863</v>
      </c>
      <c r="F888" t="s">
        <v>4942</v>
      </c>
      <c r="G888">
        <v>45721</v>
      </c>
      <c r="H888" t="s">
        <v>11327</v>
      </c>
      <c r="I888">
        <v>2048</v>
      </c>
      <c r="J888">
        <v>2094</v>
      </c>
      <c r="K888">
        <v>311.07071999999999</v>
      </c>
      <c r="L888" t="s">
        <v>5102</v>
      </c>
      <c r="M888">
        <v>83967</v>
      </c>
      <c r="N888" t="s">
        <v>11145</v>
      </c>
      <c r="O888" t="s">
        <v>11145</v>
      </c>
      <c r="P888" t="s">
        <v>13043</v>
      </c>
    </row>
    <row r="889" spans="1:16" x14ac:dyDescent="0.2">
      <c r="A889" t="str">
        <f t="shared" si="13"/>
        <v>metab_compid_48693</v>
      </c>
      <c r="B889" t="s">
        <v>13045</v>
      </c>
      <c r="C889">
        <v>4761</v>
      </c>
      <c r="D889" t="s">
        <v>13046</v>
      </c>
      <c r="E889" t="s">
        <v>3863</v>
      </c>
      <c r="F889" t="s">
        <v>5632</v>
      </c>
      <c r="G889">
        <v>48693</v>
      </c>
      <c r="H889" t="s">
        <v>11327</v>
      </c>
      <c r="I889">
        <v>100004326</v>
      </c>
      <c r="J889">
        <v>2477</v>
      </c>
      <c r="K889">
        <v>215.00196</v>
      </c>
      <c r="L889" t="s">
        <v>11145</v>
      </c>
      <c r="M889" t="s">
        <v>11145</v>
      </c>
      <c r="N889" t="s">
        <v>11145</v>
      </c>
      <c r="O889" t="s">
        <v>11145</v>
      </c>
      <c r="P889" t="s">
        <v>13045</v>
      </c>
    </row>
    <row r="890" spans="1:16" x14ac:dyDescent="0.2">
      <c r="A890" t="str">
        <f t="shared" si="13"/>
        <v>metab_compid_36848</v>
      </c>
      <c r="B890" t="s">
        <v>13047</v>
      </c>
      <c r="C890">
        <v>3733</v>
      </c>
      <c r="D890" t="s">
        <v>13048</v>
      </c>
      <c r="E890" t="s">
        <v>3863</v>
      </c>
      <c r="F890" t="s">
        <v>5082</v>
      </c>
      <c r="G890">
        <v>36848</v>
      </c>
      <c r="H890" t="s">
        <v>11327</v>
      </c>
      <c r="I890">
        <v>100001808</v>
      </c>
      <c r="J890">
        <v>3530</v>
      </c>
      <c r="K890">
        <v>201.02269999999999</v>
      </c>
      <c r="L890" t="s">
        <v>11145</v>
      </c>
      <c r="M890" t="s">
        <v>11145</v>
      </c>
      <c r="N890" t="s">
        <v>13049</v>
      </c>
      <c r="O890" t="s">
        <v>11145</v>
      </c>
      <c r="P890" t="s">
        <v>13047</v>
      </c>
    </row>
    <row r="891" spans="1:16" x14ac:dyDescent="0.2">
      <c r="A891" t="str">
        <f t="shared" si="13"/>
        <v>metab_compid_43470</v>
      </c>
      <c r="B891" t="s">
        <v>13050</v>
      </c>
      <c r="C891">
        <v>3797</v>
      </c>
      <c r="D891" t="s">
        <v>13051</v>
      </c>
      <c r="E891" t="s">
        <v>3863</v>
      </c>
      <c r="F891" t="s">
        <v>4365</v>
      </c>
      <c r="G891">
        <v>43470</v>
      </c>
      <c r="H891" t="s">
        <v>11327</v>
      </c>
      <c r="I891">
        <v>100004494</v>
      </c>
      <c r="J891">
        <v>1745</v>
      </c>
      <c r="K891">
        <v>367.11469</v>
      </c>
      <c r="L891" t="s">
        <v>13052</v>
      </c>
      <c r="M891">
        <v>183115</v>
      </c>
      <c r="N891" t="s">
        <v>11145</v>
      </c>
      <c r="O891" t="s">
        <v>13053</v>
      </c>
      <c r="P891" t="s">
        <v>13050</v>
      </c>
    </row>
    <row r="892" spans="1:16" x14ac:dyDescent="0.2">
      <c r="A892" t="str">
        <f t="shared" si="13"/>
        <v>metab_compid_39600</v>
      </c>
      <c r="B892" t="s">
        <v>13054</v>
      </c>
      <c r="C892">
        <v>3690</v>
      </c>
      <c r="D892" t="s">
        <v>7284</v>
      </c>
      <c r="E892" t="s">
        <v>3863</v>
      </c>
      <c r="F892" t="s">
        <v>5082</v>
      </c>
      <c r="G892">
        <v>39600</v>
      </c>
      <c r="H892" t="s">
        <v>11327</v>
      </c>
      <c r="I892">
        <v>100002122</v>
      </c>
      <c r="J892">
        <v>1687</v>
      </c>
      <c r="K892">
        <v>194.04588000000001</v>
      </c>
      <c r="L892" t="s">
        <v>7285</v>
      </c>
      <c r="M892">
        <v>450268</v>
      </c>
      <c r="N892" t="s">
        <v>11145</v>
      </c>
      <c r="O892" t="s">
        <v>13055</v>
      </c>
      <c r="P892" t="s">
        <v>13054</v>
      </c>
    </row>
    <row r="893" spans="1:16" x14ac:dyDescent="0.2">
      <c r="A893" t="str">
        <f t="shared" si="13"/>
        <v>metab_compid_62530</v>
      </c>
      <c r="B893" t="s">
        <v>13056</v>
      </c>
      <c r="C893">
        <v>3691</v>
      </c>
      <c r="D893" t="s">
        <v>9752</v>
      </c>
      <c r="E893" t="s">
        <v>3863</v>
      </c>
      <c r="F893" t="s">
        <v>5082</v>
      </c>
      <c r="G893">
        <v>62530</v>
      </c>
      <c r="H893" t="s">
        <v>11327</v>
      </c>
      <c r="I893">
        <v>100020410</v>
      </c>
      <c r="J893">
        <v>1047</v>
      </c>
      <c r="K893">
        <v>274.00268999999997</v>
      </c>
      <c r="L893" t="s">
        <v>11145</v>
      </c>
      <c r="M893">
        <v>186339</v>
      </c>
      <c r="N893" t="s">
        <v>11145</v>
      </c>
      <c r="O893" t="s">
        <v>11145</v>
      </c>
      <c r="P893" t="s">
        <v>13056</v>
      </c>
    </row>
    <row r="894" spans="1:16" x14ac:dyDescent="0.2">
      <c r="A894" t="str">
        <f t="shared" si="13"/>
        <v>metab_compid_48419</v>
      </c>
      <c r="B894" t="s">
        <v>13057</v>
      </c>
      <c r="C894">
        <v>3914</v>
      </c>
      <c r="D894" t="s">
        <v>13058</v>
      </c>
      <c r="E894" t="s">
        <v>3863</v>
      </c>
      <c r="F894" t="s">
        <v>3864</v>
      </c>
      <c r="G894">
        <v>48419</v>
      </c>
      <c r="H894" t="s">
        <v>11327</v>
      </c>
      <c r="I894">
        <v>100006103</v>
      </c>
      <c r="J894">
        <v>2082</v>
      </c>
      <c r="K894">
        <v>227.99721</v>
      </c>
      <c r="L894" t="s">
        <v>11145</v>
      </c>
      <c r="M894" t="s">
        <v>11145</v>
      </c>
      <c r="N894" t="s">
        <v>11145</v>
      </c>
      <c r="O894" t="s">
        <v>11145</v>
      </c>
      <c r="P894" t="s">
        <v>13057</v>
      </c>
    </row>
    <row r="895" spans="1:16" x14ac:dyDescent="0.2">
      <c r="A895" t="str">
        <f t="shared" si="13"/>
        <v>metab_compid_48448</v>
      </c>
      <c r="B895" t="s">
        <v>13059</v>
      </c>
      <c r="C895">
        <v>4867</v>
      </c>
      <c r="D895" t="s">
        <v>8445</v>
      </c>
      <c r="E895" t="s">
        <v>3863</v>
      </c>
      <c r="F895" t="s">
        <v>5632</v>
      </c>
      <c r="G895">
        <v>48448</v>
      </c>
      <c r="H895" t="s">
        <v>11327</v>
      </c>
      <c r="I895">
        <v>100006098</v>
      </c>
      <c r="J895">
        <v>1595.5</v>
      </c>
      <c r="K895">
        <v>173.98665</v>
      </c>
      <c r="L895" t="s">
        <v>8446</v>
      </c>
      <c r="M895" t="s">
        <v>11145</v>
      </c>
      <c r="N895" t="s">
        <v>11145</v>
      </c>
      <c r="O895" t="s">
        <v>11145</v>
      </c>
      <c r="P895" t="s">
        <v>13059</v>
      </c>
    </row>
    <row r="896" spans="1:16" x14ac:dyDescent="0.2">
      <c r="A896" t="str">
        <f t="shared" si="13"/>
        <v>metab_compid_62062</v>
      </c>
      <c r="B896" t="s">
        <v>13060</v>
      </c>
      <c r="C896">
        <v>4140</v>
      </c>
      <c r="D896" t="s">
        <v>9640</v>
      </c>
      <c r="E896" t="s">
        <v>3863</v>
      </c>
      <c r="F896" t="s">
        <v>3864</v>
      </c>
      <c r="G896">
        <v>62062</v>
      </c>
      <c r="H896" t="s">
        <v>11320</v>
      </c>
      <c r="I896">
        <v>100020203</v>
      </c>
      <c r="J896">
        <v>1049</v>
      </c>
      <c r="K896">
        <v>160.09682000000001</v>
      </c>
      <c r="L896" t="s">
        <v>11145</v>
      </c>
      <c r="M896">
        <v>442640</v>
      </c>
      <c r="N896" t="s">
        <v>11145</v>
      </c>
      <c r="O896" t="s">
        <v>11145</v>
      </c>
      <c r="P896" t="s">
        <v>13060</v>
      </c>
    </row>
    <row r="897" spans="1:16" x14ac:dyDescent="0.2">
      <c r="A897" t="str">
        <f t="shared" si="13"/>
        <v>metab_compid_48763</v>
      </c>
      <c r="B897" t="s">
        <v>13061</v>
      </c>
      <c r="C897">
        <v>3747</v>
      </c>
      <c r="D897" t="s">
        <v>8661</v>
      </c>
      <c r="E897" t="s">
        <v>3863</v>
      </c>
      <c r="F897" t="s">
        <v>5082</v>
      </c>
      <c r="G897">
        <v>48763</v>
      </c>
      <c r="H897" t="s">
        <v>11327</v>
      </c>
      <c r="I897">
        <v>100006375</v>
      </c>
      <c r="J897">
        <v>2163</v>
      </c>
      <c r="K897">
        <v>218.99688</v>
      </c>
      <c r="L897" t="s">
        <v>11145</v>
      </c>
      <c r="M897" t="s">
        <v>11145</v>
      </c>
      <c r="N897" t="s">
        <v>11145</v>
      </c>
      <c r="O897" t="s">
        <v>11145</v>
      </c>
      <c r="P897" t="s">
        <v>13061</v>
      </c>
    </row>
    <row r="898" spans="1:16" x14ac:dyDescent="0.2">
      <c r="A898" t="str">
        <f t="shared" si="13"/>
        <v>metab_compid_48752</v>
      </c>
      <c r="B898" t="s">
        <v>13062</v>
      </c>
      <c r="C898">
        <v>3748</v>
      </c>
      <c r="D898" t="s">
        <v>8664</v>
      </c>
      <c r="E898" t="s">
        <v>3863</v>
      </c>
      <c r="F898" t="s">
        <v>5082</v>
      </c>
      <c r="G898">
        <v>48752</v>
      </c>
      <c r="H898" t="s">
        <v>11327</v>
      </c>
      <c r="I898">
        <v>100006376</v>
      </c>
      <c r="J898">
        <v>2200</v>
      </c>
      <c r="K898">
        <v>218.99688</v>
      </c>
      <c r="L898" t="s">
        <v>11145</v>
      </c>
      <c r="M898" t="s">
        <v>11145</v>
      </c>
      <c r="N898" t="s">
        <v>11145</v>
      </c>
      <c r="O898" t="s">
        <v>11145</v>
      </c>
      <c r="P898" t="s">
        <v>13062</v>
      </c>
    </row>
    <row r="899" spans="1:16" x14ac:dyDescent="0.2">
      <c r="A899" t="str">
        <f t="shared" ref="A899:A962" si="14">_xlfn.CONCAT("metab_compid_", $G899)</f>
        <v>metab_compid_46165</v>
      </c>
      <c r="B899" t="s">
        <v>13063</v>
      </c>
      <c r="C899">
        <v>3720</v>
      </c>
      <c r="D899" t="s">
        <v>8079</v>
      </c>
      <c r="E899" t="s">
        <v>3863</v>
      </c>
      <c r="F899" t="s">
        <v>5082</v>
      </c>
      <c r="G899">
        <v>46165</v>
      </c>
      <c r="H899" t="s">
        <v>11327</v>
      </c>
      <c r="I899">
        <v>100004112</v>
      </c>
      <c r="J899">
        <v>2790</v>
      </c>
      <c r="K899">
        <v>203.00196</v>
      </c>
      <c r="L899" t="s">
        <v>11145</v>
      </c>
      <c r="M899" t="s">
        <v>11145</v>
      </c>
      <c r="N899" t="s">
        <v>11145</v>
      </c>
      <c r="O899" t="s">
        <v>11145</v>
      </c>
      <c r="P899" t="s">
        <v>13063</v>
      </c>
    </row>
    <row r="900" spans="1:16" x14ac:dyDescent="0.2">
      <c r="A900" t="str">
        <f t="shared" si="14"/>
        <v>metab_compid_32445</v>
      </c>
      <c r="B900" t="s">
        <v>13064</v>
      </c>
      <c r="C900">
        <v>3785</v>
      </c>
      <c r="D900" t="s">
        <v>5845</v>
      </c>
      <c r="E900" t="s">
        <v>3863</v>
      </c>
      <c r="F900" t="s">
        <v>4373</v>
      </c>
      <c r="G900">
        <v>32445</v>
      </c>
      <c r="H900" t="s">
        <v>11327</v>
      </c>
      <c r="I900">
        <v>100001108</v>
      </c>
      <c r="J900">
        <v>1700</v>
      </c>
      <c r="K900">
        <v>165.04179999999999</v>
      </c>
      <c r="L900" t="s">
        <v>5846</v>
      </c>
      <c r="M900">
        <v>70639</v>
      </c>
      <c r="N900" t="s">
        <v>5849</v>
      </c>
      <c r="O900" t="s">
        <v>13065</v>
      </c>
      <c r="P900" t="s">
        <v>13064</v>
      </c>
    </row>
    <row r="901" spans="1:16" x14ac:dyDescent="0.2">
      <c r="A901" t="str">
        <f t="shared" si="14"/>
        <v>metab_compid_15749</v>
      </c>
      <c r="B901" t="s">
        <v>13066</v>
      </c>
      <c r="C901">
        <v>3772</v>
      </c>
      <c r="D901" t="s">
        <v>5153</v>
      </c>
      <c r="E901" t="s">
        <v>3863</v>
      </c>
      <c r="F901" t="s">
        <v>5082</v>
      </c>
      <c r="G901">
        <v>15749</v>
      </c>
      <c r="H901" t="s">
        <v>11327</v>
      </c>
      <c r="I901">
        <v>100000010</v>
      </c>
      <c r="J901">
        <v>2860</v>
      </c>
      <c r="K901">
        <v>149.0608</v>
      </c>
      <c r="L901" t="s">
        <v>5154</v>
      </c>
      <c r="M901">
        <v>107</v>
      </c>
      <c r="N901" t="s">
        <v>5157</v>
      </c>
      <c r="O901" t="s">
        <v>13067</v>
      </c>
      <c r="P901" t="s">
        <v>13066</v>
      </c>
    </row>
    <row r="902" spans="1:16" x14ac:dyDescent="0.2">
      <c r="A902" t="str">
        <f t="shared" si="14"/>
        <v>metab_compid_12032</v>
      </c>
      <c r="B902" t="s">
        <v>13068</v>
      </c>
      <c r="C902">
        <v>4335</v>
      </c>
      <c r="D902" t="s">
        <v>4945</v>
      </c>
      <c r="E902" t="s">
        <v>3863</v>
      </c>
      <c r="F902" t="s">
        <v>4942</v>
      </c>
      <c r="G902">
        <v>12032</v>
      </c>
      <c r="H902" t="s">
        <v>11327</v>
      </c>
      <c r="I902">
        <v>1383</v>
      </c>
      <c r="J902">
        <v>2173.6999999999998</v>
      </c>
      <c r="K902">
        <v>150.05605</v>
      </c>
      <c r="L902" t="s">
        <v>4946</v>
      </c>
      <c r="M902">
        <v>1983</v>
      </c>
      <c r="N902" t="s">
        <v>4949</v>
      </c>
      <c r="O902" t="s">
        <v>13069</v>
      </c>
      <c r="P902" t="s">
        <v>13068</v>
      </c>
    </row>
    <row r="903" spans="1:16" x14ac:dyDescent="0.2">
      <c r="A903" t="str">
        <f t="shared" si="14"/>
        <v>metab_compid_15736</v>
      </c>
      <c r="B903" t="s">
        <v>13070</v>
      </c>
      <c r="C903">
        <v>4338</v>
      </c>
      <c r="D903" t="s">
        <v>5217</v>
      </c>
      <c r="E903" t="s">
        <v>3863</v>
      </c>
      <c r="F903" t="s">
        <v>4942</v>
      </c>
      <c r="G903">
        <v>15736</v>
      </c>
      <c r="H903" t="s">
        <v>11327</v>
      </c>
      <c r="I903">
        <v>100000043</v>
      </c>
      <c r="J903">
        <v>1400</v>
      </c>
      <c r="K903">
        <v>326.08814000000001</v>
      </c>
      <c r="L903" t="s">
        <v>5218</v>
      </c>
      <c r="M903">
        <v>83944</v>
      </c>
      <c r="N903" t="s">
        <v>11145</v>
      </c>
      <c r="O903" t="s">
        <v>13071</v>
      </c>
      <c r="P903" t="s">
        <v>13070</v>
      </c>
    </row>
    <row r="904" spans="1:16" x14ac:dyDescent="0.2">
      <c r="A904" t="str">
        <f t="shared" si="14"/>
        <v>metab_compid_37475</v>
      </c>
      <c r="B904" t="s">
        <v>13072</v>
      </c>
      <c r="C904">
        <v>4337</v>
      </c>
      <c r="D904" t="s">
        <v>5107</v>
      </c>
      <c r="E904" t="s">
        <v>3863</v>
      </c>
      <c r="F904" t="s">
        <v>4942</v>
      </c>
      <c r="G904">
        <v>37475</v>
      </c>
      <c r="H904" t="s">
        <v>11327</v>
      </c>
      <c r="I904">
        <v>2049</v>
      </c>
      <c r="J904">
        <v>1792</v>
      </c>
      <c r="K904">
        <v>230.01286999999999</v>
      </c>
      <c r="L904" t="s">
        <v>13073</v>
      </c>
      <c r="M904">
        <v>83939</v>
      </c>
      <c r="N904" t="s">
        <v>4949</v>
      </c>
      <c r="O904" t="s">
        <v>13074</v>
      </c>
      <c r="P904" t="s">
        <v>13072</v>
      </c>
    </row>
    <row r="905" spans="1:16" x14ac:dyDescent="0.2">
      <c r="A905" t="str">
        <f t="shared" si="14"/>
        <v>metab_compid_44620</v>
      </c>
      <c r="B905" t="s">
        <v>13075</v>
      </c>
      <c r="C905">
        <v>3731</v>
      </c>
      <c r="D905" t="s">
        <v>5499</v>
      </c>
      <c r="E905" t="s">
        <v>3863</v>
      </c>
      <c r="F905" t="s">
        <v>5082</v>
      </c>
      <c r="G905">
        <v>44620</v>
      </c>
      <c r="H905" t="s">
        <v>11327</v>
      </c>
      <c r="I905">
        <v>100000711</v>
      </c>
      <c r="J905">
        <v>2375</v>
      </c>
      <c r="K905">
        <v>215.00196</v>
      </c>
      <c r="L905" t="s">
        <v>11145</v>
      </c>
      <c r="M905">
        <v>4684006</v>
      </c>
      <c r="N905" t="s">
        <v>11145</v>
      </c>
      <c r="O905" t="s">
        <v>11145</v>
      </c>
      <c r="P905" t="s">
        <v>13075</v>
      </c>
    </row>
    <row r="906" spans="1:16" x14ac:dyDescent="0.2">
      <c r="A906" t="str">
        <f t="shared" si="14"/>
        <v>metab_compid_37181</v>
      </c>
      <c r="B906" t="s">
        <v>13076</v>
      </c>
      <c r="C906">
        <v>4163</v>
      </c>
      <c r="D906" t="s">
        <v>7059</v>
      </c>
      <c r="E906" t="s">
        <v>3863</v>
      </c>
      <c r="F906" t="s">
        <v>3864</v>
      </c>
      <c r="G906">
        <v>37181</v>
      </c>
      <c r="H906" t="s">
        <v>11327</v>
      </c>
      <c r="I906">
        <v>100001868</v>
      </c>
      <c r="J906">
        <v>3805</v>
      </c>
      <c r="K906">
        <v>213.02269999999999</v>
      </c>
      <c r="L906" t="s">
        <v>11145</v>
      </c>
      <c r="M906" t="s">
        <v>11145</v>
      </c>
      <c r="N906" t="s">
        <v>11145</v>
      </c>
      <c r="O906" t="s">
        <v>11145</v>
      </c>
      <c r="P906" t="s">
        <v>13076</v>
      </c>
    </row>
    <row r="907" spans="1:16" x14ac:dyDescent="0.2">
      <c r="A907" t="str">
        <f t="shared" si="14"/>
        <v>metab_compid_54809</v>
      </c>
      <c r="B907" t="s">
        <v>13077</v>
      </c>
      <c r="C907">
        <v>4349</v>
      </c>
      <c r="D907" t="s">
        <v>13078</v>
      </c>
      <c r="E907" t="s">
        <v>3863</v>
      </c>
      <c r="F907" t="s">
        <v>4942</v>
      </c>
      <c r="G907">
        <v>54809</v>
      </c>
      <c r="H907" t="s">
        <v>11327</v>
      </c>
      <c r="I907">
        <v>100010871</v>
      </c>
      <c r="J907">
        <v>1168</v>
      </c>
      <c r="K907">
        <v>188.00229999999999</v>
      </c>
      <c r="L907" t="s">
        <v>11145</v>
      </c>
      <c r="M907" t="s">
        <v>11145</v>
      </c>
      <c r="N907" t="s">
        <v>11145</v>
      </c>
      <c r="O907" t="s">
        <v>11145</v>
      </c>
      <c r="P907" t="s">
        <v>13077</v>
      </c>
    </row>
    <row r="908" spans="1:16" x14ac:dyDescent="0.2">
      <c r="A908" t="str">
        <f t="shared" si="14"/>
        <v>metab_compid_52937</v>
      </c>
      <c r="B908" t="s">
        <v>13079</v>
      </c>
      <c r="C908">
        <v>4223</v>
      </c>
      <c r="D908" t="s">
        <v>13080</v>
      </c>
      <c r="E908" t="s">
        <v>3863</v>
      </c>
      <c r="F908" t="s">
        <v>3864</v>
      </c>
      <c r="G908">
        <v>52937</v>
      </c>
      <c r="H908" t="s">
        <v>11327</v>
      </c>
      <c r="I908">
        <v>100009049</v>
      </c>
      <c r="J908">
        <v>3167</v>
      </c>
      <c r="K908">
        <v>297.09796999999998</v>
      </c>
      <c r="L908" t="s">
        <v>11145</v>
      </c>
      <c r="M908" t="s">
        <v>11145</v>
      </c>
      <c r="N908" t="s">
        <v>11145</v>
      </c>
      <c r="O908" t="s">
        <v>11145</v>
      </c>
      <c r="P908" t="s">
        <v>13079</v>
      </c>
    </row>
    <row r="909" spans="1:16" x14ac:dyDescent="0.2">
      <c r="A909" t="str">
        <f t="shared" si="14"/>
        <v>metab_compid_36099</v>
      </c>
      <c r="B909" t="s">
        <v>13081</v>
      </c>
      <c r="C909">
        <v>3734</v>
      </c>
      <c r="D909" t="s">
        <v>6924</v>
      </c>
      <c r="E909" t="s">
        <v>3863</v>
      </c>
      <c r="F909" t="s">
        <v>5082</v>
      </c>
      <c r="G909">
        <v>36099</v>
      </c>
      <c r="H909" t="s">
        <v>11327</v>
      </c>
      <c r="I909">
        <v>100001756</v>
      </c>
      <c r="J909">
        <v>3580</v>
      </c>
      <c r="K909">
        <v>201.02269999999999</v>
      </c>
      <c r="L909" t="s">
        <v>6926</v>
      </c>
      <c r="M909" t="s">
        <v>11145</v>
      </c>
      <c r="N909" t="s">
        <v>6928</v>
      </c>
      <c r="O909" t="s">
        <v>11145</v>
      </c>
      <c r="P909" t="s">
        <v>13081</v>
      </c>
    </row>
    <row r="910" spans="1:16" x14ac:dyDescent="0.2">
      <c r="A910" t="str">
        <f t="shared" si="14"/>
        <v>metab_compid_62480</v>
      </c>
      <c r="B910" t="s">
        <v>13082</v>
      </c>
      <c r="C910">
        <v>4630</v>
      </c>
      <c r="D910" t="s">
        <v>9852</v>
      </c>
      <c r="E910" t="s">
        <v>3863</v>
      </c>
      <c r="F910" t="s">
        <v>4933</v>
      </c>
      <c r="G910">
        <v>62480</v>
      </c>
      <c r="H910" t="s">
        <v>11327</v>
      </c>
      <c r="I910">
        <v>100020796</v>
      </c>
      <c r="J910">
        <v>3705</v>
      </c>
      <c r="K910">
        <v>488.13846000000001</v>
      </c>
      <c r="L910" t="s">
        <v>11145</v>
      </c>
      <c r="M910" t="s">
        <v>11145</v>
      </c>
      <c r="N910" t="s">
        <v>11145</v>
      </c>
      <c r="O910" t="s">
        <v>13083</v>
      </c>
      <c r="P910" t="s">
        <v>13082</v>
      </c>
    </row>
    <row r="911" spans="1:16" x14ac:dyDescent="0.2">
      <c r="A911" t="str">
        <f t="shared" si="14"/>
        <v>metab_compid_21133</v>
      </c>
      <c r="B911" t="s">
        <v>13084</v>
      </c>
      <c r="C911">
        <v>3708</v>
      </c>
      <c r="D911" t="s">
        <v>13085</v>
      </c>
      <c r="E911" t="s">
        <v>3863</v>
      </c>
      <c r="F911" t="s">
        <v>5082</v>
      </c>
      <c r="G911">
        <v>21133</v>
      </c>
      <c r="H911" t="s">
        <v>11327</v>
      </c>
      <c r="I911">
        <v>100000862</v>
      </c>
      <c r="J911">
        <v>820</v>
      </c>
      <c r="K911">
        <v>137.02440999999999</v>
      </c>
      <c r="L911" t="s">
        <v>13086</v>
      </c>
      <c r="M911">
        <v>135</v>
      </c>
      <c r="N911" t="s">
        <v>13087</v>
      </c>
      <c r="O911" t="s">
        <v>13088</v>
      </c>
      <c r="P911" t="s">
        <v>13084</v>
      </c>
    </row>
    <row r="912" spans="1:16" x14ac:dyDescent="0.2">
      <c r="A912" t="str">
        <f t="shared" si="14"/>
        <v>metab_compid_48441</v>
      </c>
      <c r="B912" t="s">
        <v>13089</v>
      </c>
      <c r="C912">
        <v>4860</v>
      </c>
      <c r="D912" t="s">
        <v>8426</v>
      </c>
      <c r="E912" t="s">
        <v>3863</v>
      </c>
      <c r="F912" t="s">
        <v>5632</v>
      </c>
      <c r="G912">
        <v>48441</v>
      </c>
      <c r="H912" t="s">
        <v>11327</v>
      </c>
      <c r="I912">
        <v>100006082</v>
      </c>
      <c r="J912">
        <v>4427</v>
      </c>
      <c r="K912">
        <v>244.90817000000001</v>
      </c>
      <c r="L912" t="s">
        <v>8427</v>
      </c>
      <c r="M912">
        <v>34217</v>
      </c>
      <c r="N912" t="s">
        <v>11145</v>
      </c>
      <c r="O912" t="s">
        <v>11145</v>
      </c>
      <c r="P912" t="s">
        <v>13089</v>
      </c>
    </row>
    <row r="913" spans="1:16" x14ac:dyDescent="0.2">
      <c r="A913" t="str">
        <f t="shared" si="14"/>
        <v>metab_compid_37445</v>
      </c>
      <c r="B913" t="s">
        <v>13090</v>
      </c>
      <c r="C913">
        <v>4509</v>
      </c>
      <c r="D913" t="s">
        <v>7219</v>
      </c>
      <c r="E913" t="s">
        <v>3863</v>
      </c>
      <c r="F913" t="s">
        <v>7216</v>
      </c>
      <c r="G913">
        <v>37445</v>
      </c>
      <c r="H913" t="s">
        <v>11327</v>
      </c>
      <c r="I913">
        <v>100002049</v>
      </c>
      <c r="J913">
        <v>2470</v>
      </c>
      <c r="K913">
        <v>161.02440999999999</v>
      </c>
      <c r="L913" t="s">
        <v>7220</v>
      </c>
      <c r="M913">
        <v>54682930</v>
      </c>
      <c r="N913" t="s">
        <v>7222</v>
      </c>
      <c r="O913" t="s">
        <v>11145</v>
      </c>
      <c r="P913" t="s">
        <v>13090</v>
      </c>
    </row>
    <row r="914" spans="1:16" x14ac:dyDescent="0.2">
      <c r="A914" t="str">
        <f t="shared" si="14"/>
        <v>metab_compid_35527</v>
      </c>
      <c r="B914" t="s">
        <v>13091</v>
      </c>
      <c r="C914">
        <v>3692</v>
      </c>
      <c r="D914" t="s">
        <v>6433</v>
      </c>
      <c r="E914" t="s">
        <v>3863</v>
      </c>
      <c r="F914" t="s">
        <v>5082</v>
      </c>
      <c r="G914">
        <v>35527</v>
      </c>
      <c r="H914" t="s">
        <v>11327</v>
      </c>
      <c r="I914">
        <v>100001423</v>
      </c>
      <c r="J914">
        <v>1475</v>
      </c>
      <c r="K914">
        <v>194.04588000000001</v>
      </c>
      <c r="L914" t="s">
        <v>6434</v>
      </c>
      <c r="M914">
        <v>151012</v>
      </c>
      <c r="N914" t="s">
        <v>11145</v>
      </c>
      <c r="O914" t="s">
        <v>13092</v>
      </c>
      <c r="P914" t="s">
        <v>13091</v>
      </c>
    </row>
    <row r="915" spans="1:16" x14ac:dyDescent="0.2">
      <c r="A915" t="str">
        <f t="shared" si="14"/>
        <v>metab_compid_46146</v>
      </c>
      <c r="B915" t="s">
        <v>13093</v>
      </c>
      <c r="C915">
        <v>3722</v>
      </c>
      <c r="D915" t="s">
        <v>8074</v>
      </c>
      <c r="E915" t="s">
        <v>3863</v>
      </c>
      <c r="F915" t="s">
        <v>5082</v>
      </c>
      <c r="G915">
        <v>46146</v>
      </c>
      <c r="H915" t="s">
        <v>11327</v>
      </c>
      <c r="I915">
        <v>100004111</v>
      </c>
      <c r="J915">
        <v>2665</v>
      </c>
      <c r="K915">
        <v>203.00196</v>
      </c>
      <c r="L915" t="s">
        <v>11145</v>
      </c>
      <c r="M915" t="s">
        <v>11145</v>
      </c>
      <c r="N915" t="s">
        <v>11145</v>
      </c>
      <c r="O915" t="s">
        <v>11145</v>
      </c>
      <c r="P915" t="s">
        <v>13093</v>
      </c>
    </row>
    <row r="916" spans="1:16" x14ac:dyDescent="0.2">
      <c r="A916" t="str">
        <f t="shared" si="14"/>
        <v>metab_compid_48418</v>
      </c>
      <c r="B916" t="s">
        <v>13094</v>
      </c>
      <c r="C916">
        <v>3718</v>
      </c>
      <c r="D916" t="s">
        <v>8450</v>
      </c>
      <c r="E916" t="s">
        <v>3863</v>
      </c>
      <c r="F916" t="s">
        <v>5082</v>
      </c>
      <c r="G916">
        <v>48418</v>
      </c>
      <c r="H916" t="s">
        <v>11327</v>
      </c>
      <c r="I916">
        <v>100006105</v>
      </c>
      <c r="J916">
        <v>2978</v>
      </c>
      <c r="K916">
        <v>217.01760999999999</v>
      </c>
      <c r="L916" t="s">
        <v>8451</v>
      </c>
      <c r="M916" t="s">
        <v>11145</v>
      </c>
      <c r="N916" t="s">
        <v>11145</v>
      </c>
      <c r="O916" t="s">
        <v>11145</v>
      </c>
      <c r="P916" t="s">
        <v>13094</v>
      </c>
    </row>
    <row r="917" spans="1:16" x14ac:dyDescent="0.2">
      <c r="A917" t="str">
        <f t="shared" si="14"/>
        <v>metab_compid_43337</v>
      </c>
      <c r="B917" t="s">
        <v>13095</v>
      </c>
      <c r="C917">
        <v>4681</v>
      </c>
      <c r="D917" t="s">
        <v>13096</v>
      </c>
      <c r="E917" t="s">
        <v>3863</v>
      </c>
      <c r="F917" t="s">
        <v>7418</v>
      </c>
      <c r="G917">
        <v>43337</v>
      </c>
      <c r="H917" t="s">
        <v>11327</v>
      </c>
      <c r="I917">
        <v>100004197</v>
      </c>
      <c r="J917">
        <v>3500</v>
      </c>
      <c r="K917">
        <v>163.07644999999999</v>
      </c>
      <c r="L917" t="s">
        <v>13097</v>
      </c>
      <c r="M917">
        <v>4775</v>
      </c>
      <c r="N917" t="s">
        <v>11145</v>
      </c>
      <c r="O917" t="s">
        <v>13098</v>
      </c>
      <c r="P917" t="s">
        <v>13095</v>
      </c>
    </row>
    <row r="918" spans="1:16" x14ac:dyDescent="0.2">
      <c r="A918" t="str">
        <f t="shared" si="14"/>
        <v>metab_compid_48442</v>
      </c>
      <c r="B918" t="s">
        <v>13099</v>
      </c>
      <c r="C918">
        <v>4191</v>
      </c>
      <c r="D918" t="s">
        <v>8474</v>
      </c>
      <c r="E918" t="s">
        <v>3863</v>
      </c>
      <c r="F918" t="s">
        <v>3864</v>
      </c>
      <c r="G918">
        <v>48442</v>
      </c>
      <c r="H918" t="s">
        <v>11327</v>
      </c>
      <c r="I918">
        <v>100006126</v>
      </c>
      <c r="J918">
        <v>3354</v>
      </c>
      <c r="K918">
        <v>229.01760999999999</v>
      </c>
      <c r="L918" t="s">
        <v>11145</v>
      </c>
      <c r="M918" t="s">
        <v>11145</v>
      </c>
      <c r="N918" t="s">
        <v>11145</v>
      </c>
      <c r="O918" t="s">
        <v>11145</v>
      </c>
      <c r="P918" t="s">
        <v>13099</v>
      </c>
    </row>
    <row r="919" spans="1:16" x14ac:dyDescent="0.2">
      <c r="A919" t="str">
        <f t="shared" si="14"/>
        <v>metab_compid_36098</v>
      </c>
      <c r="B919" t="s">
        <v>13100</v>
      </c>
      <c r="C919">
        <v>3735</v>
      </c>
      <c r="D919" t="s">
        <v>6916</v>
      </c>
      <c r="E919" t="s">
        <v>3863</v>
      </c>
      <c r="F919" t="s">
        <v>5082</v>
      </c>
      <c r="G919">
        <v>36098</v>
      </c>
      <c r="H919" t="s">
        <v>11327</v>
      </c>
      <c r="I919">
        <v>100001755</v>
      </c>
      <c r="J919">
        <v>3320</v>
      </c>
      <c r="K919">
        <v>199.00704999999999</v>
      </c>
      <c r="L919" t="s">
        <v>6917</v>
      </c>
      <c r="M919">
        <v>6426766</v>
      </c>
      <c r="N919" t="s">
        <v>6920</v>
      </c>
      <c r="O919" t="s">
        <v>13101</v>
      </c>
      <c r="P919" t="s">
        <v>13100</v>
      </c>
    </row>
    <row r="920" spans="1:16" x14ac:dyDescent="0.2">
      <c r="A920" t="str">
        <f t="shared" si="14"/>
        <v>metab_compid_34424</v>
      </c>
      <c r="B920" t="s">
        <v>13102</v>
      </c>
      <c r="C920">
        <v>3787</v>
      </c>
      <c r="D920" t="s">
        <v>6365</v>
      </c>
      <c r="E920" t="s">
        <v>3863</v>
      </c>
      <c r="F920" t="s">
        <v>4373</v>
      </c>
      <c r="G920">
        <v>34424</v>
      </c>
      <c r="H920" t="s">
        <v>11545</v>
      </c>
      <c r="I920">
        <v>100001403</v>
      </c>
      <c r="J920">
        <v>1710</v>
      </c>
      <c r="K920">
        <v>197.06800999999999</v>
      </c>
      <c r="L920" t="s">
        <v>6366</v>
      </c>
      <c r="M920">
        <v>88299</v>
      </c>
      <c r="N920" t="s">
        <v>6369</v>
      </c>
      <c r="O920" t="s">
        <v>13103</v>
      </c>
      <c r="P920" t="s">
        <v>13102</v>
      </c>
    </row>
    <row r="921" spans="1:16" x14ac:dyDescent="0.2">
      <c r="A921" t="str">
        <f t="shared" si="14"/>
        <v>metab_compid_34401</v>
      </c>
      <c r="B921" t="s">
        <v>13104</v>
      </c>
      <c r="C921">
        <v>3788</v>
      </c>
      <c r="D921" t="s">
        <v>13105</v>
      </c>
      <c r="E921" t="s">
        <v>3863</v>
      </c>
      <c r="F921" t="s">
        <v>4373</v>
      </c>
      <c r="G921">
        <v>34401</v>
      </c>
      <c r="H921" t="s">
        <v>11545</v>
      </c>
      <c r="I921">
        <v>100001402</v>
      </c>
      <c r="J921">
        <v>1424</v>
      </c>
      <c r="K921">
        <v>225.06291999999999</v>
      </c>
      <c r="L921" t="s">
        <v>13106</v>
      </c>
      <c r="M921">
        <v>108214</v>
      </c>
      <c r="N921" t="s">
        <v>13107</v>
      </c>
      <c r="O921" t="s">
        <v>13108</v>
      </c>
      <c r="P921" t="s">
        <v>13104</v>
      </c>
    </row>
    <row r="922" spans="1:16" x14ac:dyDescent="0.2">
      <c r="A922" t="str">
        <f t="shared" si="14"/>
        <v>metab_compid_62481</v>
      </c>
      <c r="B922" t="s">
        <v>13109</v>
      </c>
      <c r="C922">
        <v>4631</v>
      </c>
      <c r="D922" t="s">
        <v>9858</v>
      </c>
      <c r="E922" t="s">
        <v>3863</v>
      </c>
      <c r="F922" t="s">
        <v>4933</v>
      </c>
      <c r="G922">
        <v>62481</v>
      </c>
      <c r="H922" t="s">
        <v>11327</v>
      </c>
      <c r="I922">
        <v>100020798</v>
      </c>
      <c r="J922">
        <v>3807</v>
      </c>
      <c r="K922">
        <v>422.07375000000002</v>
      </c>
      <c r="L922" t="s">
        <v>11145</v>
      </c>
      <c r="M922" t="s">
        <v>11145</v>
      </c>
      <c r="N922" t="s">
        <v>11145</v>
      </c>
      <c r="O922" t="s">
        <v>11145</v>
      </c>
      <c r="P922" t="s">
        <v>13109</v>
      </c>
    </row>
    <row r="923" spans="1:16" x14ac:dyDescent="0.2">
      <c r="A923" t="str">
        <f t="shared" si="14"/>
        <v>metab_compid_48698</v>
      </c>
      <c r="B923" t="s">
        <v>13110</v>
      </c>
      <c r="C923">
        <v>4877</v>
      </c>
      <c r="D923" t="s">
        <v>8559</v>
      </c>
      <c r="E923" t="s">
        <v>3863</v>
      </c>
      <c r="F923" t="s">
        <v>5632</v>
      </c>
      <c r="G923">
        <v>48698</v>
      </c>
      <c r="H923" t="s">
        <v>11327</v>
      </c>
      <c r="I923">
        <v>100006260</v>
      </c>
      <c r="J923">
        <v>2498</v>
      </c>
      <c r="K923">
        <v>212.00229999999999</v>
      </c>
      <c r="L923" t="s">
        <v>11145</v>
      </c>
      <c r="M923" t="s">
        <v>11145</v>
      </c>
      <c r="N923" t="s">
        <v>11145</v>
      </c>
      <c r="O923" t="s">
        <v>11145</v>
      </c>
      <c r="P923" t="s">
        <v>13110</v>
      </c>
    </row>
    <row r="924" spans="1:16" x14ac:dyDescent="0.2">
      <c r="A924" t="str">
        <f t="shared" si="14"/>
        <v>metab_compid_39598</v>
      </c>
      <c r="B924" t="s">
        <v>13111</v>
      </c>
      <c r="C924">
        <v>3779</v>
      </c>
      <c r="D924" t="s">
        <v>13112</v>
      </c>
      <c r="E924" t="s">
        <v>3863</v>
      </c>
      <c r="F924" t="s">
        <v>4373</v>
      </c>
      <c r="G924">
        <v>39598</v>
      </c>
      <c r="H924" t="s">
        <v>11320</v>
      </c>
      <c r="I924">
        <v>100002241</v>
      </c>
      <c r="J924">
        <v>1321</v>
      </c>
      <c r="K924">
        <v>183.05126999999999</v>
      </c>
      <c r="L924" t="s">
        <v>13113</v>
      </c>
      <c r="M924">
        <v>69160</v>
      </c>
      <c r="N924" t="s">
        <v>13114</v>
      </c>
      <c r="O924" t="s">
        <v>13115</v>
      </c>
      <c r="P924" t="s">
        <v>13111</v>
      </c>
    </row>
    <row r="925" spans="1:16" x14ac:dyDescent="0.2">
      <c r="A925" t="str">
        <f t="shared" si="14"/>
        <v>metab_compid_34390</v>
      </c>
      <c r="B925" t="s">
        <v>13116</v>
      </c>
      <c r="C925">
        <v>3786</v>
      </c>
      <c r="D925" t="s">
        <v>6325</v>
      </c>
      <c r="E925" t="s">
        <v>3863</v>
      </c>
      <c r="F925" t="s">
        <v>4373</v>
      </c>
      <c r="G925">
        <v>34390</v>
      </c>
      <c r="H925" t="s">
        <v>11320</v>
      </c>
      <c r="I925">
        <v>100001396</v>
      </c>
      <c r="J925">
        <v>1350</v>
      </c>
      <c r="K925">
        <v>167.05636000000001</v>
      </c>
      <c r="L925" t="s">
        <v>6326</v>
      </c>
      <c r="M925">
        <v>68374</v>
      </c>
      <c r="N925" t="s">
        <v>6329</v>
      </c>
      <c r="O925" t="s">
        <v>13117</v>
      </c>
      <c r="P925" t="s">
        <v>13116</v>
      </c>
    </row>
    <row r="926" spans="1:16" x14ac:dyDescent="0.2">
      <c r="A926" t="str">
        <f t="shared" si="14"/>
        <v>metab_compid_48569</v>
      </c>
      <c r="B926" t="s">
        <v>13118</v>
      </c>
      <c r="C926">
        <v>4121</v>
      </c>
      <c r="D926" t="s">
        <v>8523</v>
      </c>
      <c r="E926" t="s">
        <v>3863</v>
      </c>
      <c r="F926" t="s">
        <v>3864</v>
      </c>
      <c r="G926">
        <v>48569</v>
      </c>
      <c r="H926" t="s">
        <v>11327</v>
      </c>
      <c r="I926">
        <v>100006203</v>
      </c>
      <c r="J926">
        <v>1581</v>
      </c>
      <c r="K926">
        <v>161.98665</v>
      </c>
      <c r="L926" t="s">
        <v>8524</v>
      </c>
      <c r="M926">
        <v>36573</v>
      </c>
      <c r="N926" t="s">
        <v>11145</v>
      </c>
      <c r="O926" t="s">
        <v>13119</v>
      </c>
      <c r="P926" t="s">
        <v>13118</v>
      </c>
    </row>
    <row r="927" spans="1:16" x14ac:dyDescent="0.2">
      <c r="A927" t="str">
        <f t="shared" si="14"/>
        <v>metab_compid_43534</v>
      </c>
      <c r="B927" t="s">
        <v>13120</v>
      </c>
      <c r="C927">
        <v>4568</v>
      </c>
      <c r="D927" t="s">
        <v>8223</v>
      </c>
      <c r="E927" t="s">
        <v>3863</v>
      </c>
      <c r="F927" t="s">
        <v>6220</v>
      </c>
      <c r="G927">
        <v>43534</v>
      </c>
      <c r="H927" t="s">
        <v>11327</v>
      </c>
      <c r="I927">
        <v>100004518</v>
      </c>
      <c r="J927">
        <v>1530</v>
      </c>
      <c r="K927">
        <v>135.03122999999999</v>
      </c>
      <c r="L927" t="s">
        <v>8224</v>
      </c>
      <c r="M927">
        <v>2094</v>
      </c>
      <c r="N927" t="s">
        <v>11145</v>
      </c>
      <c r="O927" t="s">
        <v>11145</v>
      </c>
      <c r="P927" t="s">
        <v>13120</v>
      </c>
    </row>
    <row r="928" spans="1:16" x14ac:dyDescent="0.2">
      <c r="A928" t="str">
        <f t="shared" si="14"/>
        <v>metab_compid_38321</v>
      </c>
      <c r="B928" t="s">
        <v>13121</v>
      </c>
      <c r="C928">
        <v>4569</v>
      </c>
      <c r="D928" t="s">
        <v>7496</v>
      </c>
      <c r="E928" t="s">
        <v>3863</v>
      </c>
      <c r="F928" t="s">
        <v>6220</v>
      </c>
      <c r="G928">
        <v>38321</v>
      </c>
      <c r="H928" t="s">
        <v>11327</v>
      </c>
      <c r="I928">
        <v>100002454</v>
      </c>
      <c r="J928">
        <v>1660</v>
      </c>
      <c r="K928">
        <v>267.07348999999999</v>
      </c>
      <c r="L928" t="s">
        <v>7497</v>
      </c>
      <c r="M928" t="s">
        <v>11145</v>
      </c>
      <c r="N928" t="s">
        <v>11145</v>
      </c>
      <c r="O928" t="s">
        <v>11145</v>
      </c>
      <c r="P928" t="s">
        <v>13121</v>
      </c>
    </row>
    <row r="929" spans="1:16" x14ac:dyDescent="0.2">
      <c r="A929" t="str">
        <f t="shared" si="14"/>
        <v>metab_compid_52948</v>
      </c>
      <c r="B929" t="s">
        <v>13122</v>
      </c>
      <c r="C929">
        <v>4415</v>
      </c>
      <c r="D929" t="s">
        <v>8890</v>
      </c>
      <c r="E929" t="s">
        <v>3863</v>
      </c>
      <c r="F929" t="s">
        <v>7477</v>
      </c>
      <c r="G929">
        <v>52948</v>
      </c>
      <c r="H929" t="s">
        <v>11327</v>
      </c>
      <c r="I929">
        <v>100008962</v>
      </c>
      <c r="J929">
        <v>2365</v>
      </c>
      <c r="K929">
        <v>364.09726000000001</v>
      </c>
      <c r="L929" t="s">
        <v>8891</v>
      </c>
      <c r="M929">
        <v>2171</v>
      </c>
      <c r="N929" t="s">
        <v>13123</v>
      </c>
      <c r="O929" t="s">
        <v>13124</v>
      </c>
      <c r="P929" t="s">
        <v>13122</v>
      </c>
    </row>
    <row r="930" spans="1:16" x14ac:dyDescent="0.2">
      <c r="A930" t="str">
        <f t="shared" si="14"/>
        <v>metab_compid_38658</v>
      </c>
      <c r="B930" t="s">
        <v>13125</v>
      </c>
      <c r="C930">
        <v>4502</v>
      </c>
      <c r="D930" t="s">
        <v>7601</v>
      </c>
      <c r="E930" t="s">
        <v>3863</v>
      </c>
      <c r="F930" t="s">
        <v>7216</v>
      </c>
      <c r="G930">
        <v>38658</v>
      </c>
      <c r="H930" t="s">
        <v>11320</v>
      </c>
      <c r="I930">
        <v>100002726</v>
      </c>
      <c r="J930">
        <v>2668</v>
      </c>
      <c r="K930">
        <v>267.17032</v>
      </c>
      <c r="L930" t="s">
        <v>7602</v>
      </c>
      <c r="M930">
        <v>2249</v>
      </c>
      <c r="N930" t="s">
        <v>7605</v>
      </c>
      <c r="O930" t="s">
        <v>13126</v>
      </c>
      <c r="P930" t="s">
        <v>13125</v>
      </c>
    </row>
    <row r="931" spans="1:16" x14ac:dyDescent="0.2">
      <c r="A931" t="str">
        <f t="shared" si="14"/>
        <v>metab_compid_38619</v>
      </c>
      <c r="B931" t="s">
        <v>13127</v>
      </c>
      <c r="C931">
        <v>4553</v>
      </c>
      <c r="D931" t="s">
        <v>13128</v>
      </c>
      <c r="E931" t="s">
        <v>3863</v>
      </c>
      <c r="F931" t="s">
        <v>6220</v>
      </c>
      <c r="G931">
        <v>38619</v>
      </c>
      <c r="H931" t="s">
        <v>11327</v>
      </c>
      <c r="I931">
        <v>100002802</v>
      </c>
      <c r="J931">
        <v>5101</v>
      </c>
      <c r="K931">
        <v>557.24572000000001</v>
      </c>
      <c r="L931" t="s">
        <v>13129</v>
      </c>
      <c r="M931">
        <v>60823</v>
      </c>
      <c r="N931" t="s">
        <v>13130</v>
      </c>
      <c r="O931" t="s">
        <v>13131</v>
      </c>
      <c r="P931" t="s">
        <v>13127</v>
      </c>
    </row>
    <row r="932" spans="1:16" x14ac:dyDescent="0.2">
      <c r="A932" t="str">
        <f t="shared" si="14"/>
        <v>metab_compid_52376</v>
      </c>
      <c r="B932" t="s">
        <v>13132</v>
      </c>
      <c r="C932">
        <v>4519</v>
      </c>
      <c r="D932" t="s">
        <v>13133</v>
      </c>
      <c r="E932" t="s">
        <v>3863</v>
      </c>
      <c r="F932" t="s">
        <v>7216</v>
      </c>
      <c r="G932">
        <v>52376</v>
      </c>
      <c r="H932" t="s">
        <v>11327</v>
      </c>
      <c r="I932">
        <v>100006238</v>
      </c>
      <c r="J932">
        <v>4244</v>
      </c>
      <c r="K932">
        <v>420.03050000000002</v>
      </c>
      <c r="L932" t="s">
        <v>13134</v>
      </c>
      <c r="M932">
        <v>2315</v>
      </c>
      <c r="N932" t="s">
        <v>13135</v>
      </c>
      <c r="O932" t="s">
        <v>11145</v>
      </c>
      <c r="P932" t="s">
        <v>13132</v>
      </c>
    </row>
    <row r="933" spans="1:16" x14ac:dyDescent="0.2">
      <c r="A933" t="str">
        <f t="shared" si="14"/>
        <v>metab_compid_15778</v>
      </c>
      <c r="B933" t="s">
        <v>13136</v>
      </c>
      <c r="C933">
        <v>3698</v>
      </c>
      <c r="D933" t="s">
        <v>5145</v>
      </c>
      <c r="E933" t="s">
        <v>3863</v>
      </c>
      <c r="F933" t="s">
        <v>5082</v>
      </c>
      <c r="G933">
        <v>15778</v>
      </c>
      <c r="H933" t="s">
        <v>11327</v>
      </c>
      <c r="I933">
        <v>100000008</v>
      </c>
      <c r="J933">
        <v>1750</v>
      </c>
      <c r="K933">
        <v>121.0295</v>
      </c>
      <c r="L933" t="s">
        <v>5146</v>
      </c>
      <c r="M933">
        <v>243</v>
      </c>
      <c r="N933" t="s">
        <v>5149</v>
      </c>
      <c r="O933" t="s">
        <v>13137</v>
      </c>
      <c r="P933" t="s">
        <v>13136</v>
      </c>
    </row>
    <row r="934" spans="1:16" x14ac:dyDescent="0.2">
      <c r="A934" t="str">
        <f t="shared" si="14"/>
        <v>metab_compid_35101</v>
      </c>
      <c r="B934" t="s">
        <v>13138</v>
      </c>
      <c r="C934">
        <v>3945</v>
      </c>
      <c r="D934" t="s">
        <v>13139</v>
      </c>
      <c r="E934" t="s">
        <v>3863</v>
      </c>
      <c r="F934" t="s">
        <v>3864</v>
      </c>
      <c r="G934">
        <v>35101</v>
      </c>
      <c r="H934" t="s">
        <v>11320</v>
      </c>
      <c r="I934">
        <v>100001411</v>
      </c>
      <c r="J934">
        <v>2145</v>
      </c>
      <c r="K934">
        <v>132.07676000000001</v>
      </c>
      <c r="L934" t="s">
        <v>13140</v>
      </c>
      <c r="M934">
        <v>67701</v>
      </c>
      <c r="N934" t="s">
        <v>13141</v>
      </c>
      <c r="O934" t="s">
        <v>13142</v>
      </c>
      <c r="P934" t="s">
        <v>13138</v>
      </c>
    </row>
    <row r="935" spans="1:16" x14ac:dyDescent="0.2">
      <c r="A935" t="str">
        <f t="shared" si="14"/>
        <v>metab_compid_21125</v>
      </c>
      <c r="B935" t="s">
        <v>13143</v>
      </c>
      <c r="C935">
        <v>4764</v>
      </c>
      <c r="D935" t="s">
        <v>13144</v>
      </c>
      <c r="E935" t="s">
        <v>3863</v>
      </c>
      <c r="F935" t="s">
        <v>5632</v>
      </c>
      <c r="G935">
        <v>21125</v>
      </c>
      <c r="H935" t="s">
        <v>11327</v>
      </c>
      <c r="I935">
        <v>100000823</v>
      </c>
      <c r="J935">
        <v>4918</v>
      </c>
      <c r="K935">
        <v>227.10775000000001</v>
      </c>
      <c r="L935" t="s">
        <v>13145</v>
      </c>
      <c r="M935">
        <v>6623</v>
      </c>
      <c r="N935" t="s">
        <v>13146</v>
      </c>
      <c r="O935" t="s">
        <v>13147</v>
      </c>
      <c r="P935" t="s">
        <v>13143</v>
      </c>
    </row>
    <row r="936" spans="1:16" x14ac:dyDescent="0.2">
      <c r="A936" t="str">
        <f t="shared" si="14"/>
        <v>metab_compid_53254</v>
      </c>
      <c r="B936" t="s">
        <v>13148</v>
      </c>
      <c r="C936">
        <v>3790</v>
      </c>
      <c r="D936" t="s">
        <v>9205</v>
      </c>
      <c r="E936" t="s">
        <v>3863</v>
      </c>
      <c r="F936" t="s">
        <v>4373</v>
      </c>
      <c r="G936">
        <v>53254</v>
      </c>
      <c r="H936" t="s">
        <v>11545</v>
      </c>
      <c r="I936">
        <v>100009337</v>
      </c>
      <c r="J936">
        <v>1307</v>
      </c>
      <c r="K936">
        <v>258.99178999999998</v>
      </c>
      <c r="L936" t="s">
        <v>11145</v>
      </c>
      <c r="M936" t="s">
        <v>11145</v>
      </c>
      <c r="N936" t="s">
        <v>11145</v>
      </c>
      <c r="O936" t="s">
        <v>13149</v>
      </c>
      <c r="P936" t="s">
        <v>13148</v>
      </c>
    </row>
    <row r="937" spans="1:16" x14ac:dyDescent="0.2">
      <c r="A937" t="str">
        <f t="shared" si="14"/>
        <v>metab_compid_569</v>
      </c>
      <c r="B937" t="s">
        <v>13150</v>
      </c>
      <c r="C937">
        <v>3774</v>
      </c>
      <c r="D937" t="s">
        <v>4376</v>
      </c>
      <c r="E937" t="s">
        <v>3863</v>
      </c>
      <c r="F937" t="s">
        <v>4373</v>
      </c>
      <c r="G937">
        <v>569</v>
      </c>
      <c r="H937" t="s">
        <v>11320</v>
      </c>
      <c r="I937">
        <v>849</v>
      </c>
      <c r="J937">
        <v>2106</v>
      </c>
      <c r="K937">
        <v>195.08766</v>
      </c>
      <c r="L937" t="s">
        <v>4377</v>
      </c>
      <c r="M937">
        <v>2519</v>
      </c>
      <c r="N937" t="s">
        <v>4380</v>
      </c>
      <c r="O937" t="s">
        <v>13151</v>
      </c>
      <c r="P937" t="s">
        <v>13150</v>
      </c>
    </row>
    <row r="938" spans="1:16" x14ac:dyDescent="0.2">
      <c r="A938" t="str">
        <f t="shared" si="14"/>
        <v>metab_compid_54749</v>
      </c>
      <c r="B938" t="s">
        <v>13152</v>
      </c>
      <c r="C938">
        <v>4520</v>
      </c>
      <c r="D938" t="s">
        <v>8502</v>
      </c>
      <c r="E938" t="s">
        <v>3863</v>
      </c>
      <c r="F938" t="s">
        <v>7216</v>
      </c>
      <c r="G938">
        <v>54749</v>
      </c>
      <c r="H938" t="s">
        <v>11327</v>
      </c>
      <c r="I938">
        <v>100006187</v>
      </c>
      <c r="J938">
        <v>3436</v>
      </c>
      <c r="K938">
        <v>439.15240999999997</v>
      </c>
      <c r="L938" t="s">
        <v>8503</v>
      </c>
      <c r="M938">
        <v>2541</v>
      </c>
      <c r="N938" t="s">
        <v>13153</v>
      </c>
      <c r="O938" t="s">
        <v>13154</v>
      </c>
      <c r="P938" t="s">
        <v>13152</v>
      </c>
    </row>
    <row r="939" spans="1:16" x14ac:dyDescent="0.2">
      <c r="A939" t="str">
        <f t="shared" si="14"/>
        <v>metab_compid_37033</v>
      </c>
      <c r="B939" t="s">
        <v>13155</v>
      </c>
      <c r="C939">
        <v>4583</v>
      </c>
      <c r="D939" t="s">
        <v>13156</v>
      </c>
      <c r="E939" t="s">
        <v>3863</v>
      </c>
      <c r="F939" t="s">
        <v>4959</v>
      </c>
      <c r="G939">
        <v>37033</v>
      </c>
      <c r="H939" t="s">
        <v>11322</v>
      </c>
      <c r="I939">
        <v>100001933</v>
      </c>
      <c r="J939">
        <v>880</v>
      </c>
      <c r="K939">
        <v>237.10223999999999</v>
      </c>
      <c r="L939" t="s">
        <v>13157</v>
      </c>
      <c r="M939">
        <v>2554</v>
      </c>
      <c r="N939" t="s">
        <v>13158</v>
      </c>
      <c r="O939" t="s">
        <v>13159</v>
      </c>
      <c r="P939" t="s">
        <v>13155</v>
      </c>
    </row>
    <row r="940" spans="1:16" x14ac:dyDescent="0.2">
      <c r="A940" t="str">
        <f t="shared" si="14"/>
        <v>metab_compid_37020</v>
      </c>
      <c r="B940" t="s">
        <v>13160</v>
      </c>
      <c r="C940">
        <v>4584</v>
      </c>
      <c r="D940" t="s">
        <v>13161</v>
      </c>
      <c r="E940" t="s">
        <v>3863</v>
      </c>
      <c r="F940" t="s">
        <v>4959</v>
      </c>
      <c r="G940">
        <v>37020</v>
      </c>
      <c r="H940" t="s">
        <v>11320</v>
      </c>
      <c r="I940">
        <v>100002321</v>
      </c>
      <c r="J940">
        <v>3020</v>
      </c>
      <c r="K940">
        <v>253.09716</v>
      </c>
      <c r="L940" t="s">
        <v>7409</v>
      </c>
      <c r="M940">
        <v>2555</v>
      </c>
      <c r="N940" t="s">
        <v>7412</v>
      </c>
      <c r="O940" t="s">
        <v>13162</v>
      </c>
      <c r="P940" t="s">
        <v>13160</v>
      </c>
    </row>
    <row r="941" spans="1:16" x14ac:dyDescent="0.2">
      <c r="A941" t="str">
        <f t="shared" si="14"/>
        <v>metab_compid_37056</v>
      </c>
      <c r="B941" t="s">
        <v>13163</v>
      </c>
      <c r="C941">
        <v>4585</v>
      </c>
      <c r="D941" t="s">
        <v>7416</v>
      </c>
      <c r="E941" t="s">
        <v>3863</v>
      </c>
      <c r="F941" t="s">
        <v>4959</v>
      </c>
      <c r="G941">
        <v>37056</v>
      </c>
      <c r="H941" t="s">
        <v>11327</v>
      </c>
      <c r="I941">
        <v>100002322</v>
      </c>
      <c r="J941">
        <v>3884</v>
      </c>
      <c r="K941">
        <v>411.11977000000002</v>
      </c>
      <c r="L941" t="s">
        <v>11145</v>
      </c>
      <c r="M941" t="s">
        <v>11145</v>
      </c>
      <c r="N941" t="s">
        <v>11145</v>
      </c>
      <c r="O941" t="s">
        <v>11145</v>
      </c>
      <c r="P941" t="s">
        <v>13163</v>
      </c>
    </row>
    <row r="942" spans="1:16" x14ac:dyDescent="0.2">
      <c r="A942" t="str">
        <f t="shared" si="14"/>
        <v>metab_compid_43333</v>
      </c>
      <c r="B942" t="s">
        <v>13164</v>
      </c>
      <c r="C942">
        <v>4356</v>
      </c>
      <c r="D942" t="s">
        <v>8089</v>
      </c>
      <c r="E942" t="s">
        <v>3863</v>
      </c>
      <c r="F942" t="s">
        <v>4942</v>
      </c>
      <c r="G942">
        <v>43333</v>
      </c>
      <c r="H942" t="s">
        <v>11327</v>
      </c>
      <c r="I942">
        <v>100004171</v>
      </c>
      <c r="J942">
        <v>1920</v>
      </c>
      <c r="K942">
        <v>235.09757999999999</v>
      </c>
      <c r="L942" t="s">
        <v>8090</v>
      </c>
      <c r="M942">
        <v>10444113</v>
      </c>
      <c r="N942" t="s">
        <v>11145</v>
      </c>
      <c r="O942" t="s">
        <v>13165</v>
      </c>
      <c r="P942" t="s">
        <v>13164</v>
      </c>
    </row>
    <row r="943" spans="1:16" x14ac:dyDescent="0.2">
      <c r="A943" t="str">
        <f t="shared" si="14"/>
        <v>metab_compid_62067</v>
      </c>
      <c r="B943" t="s">
        <v>13166</v>
      </c>
      <c r="C943">
        <v>4357</v>
      </c>
      <c r="D943" t="s">
        <v>13167</v>
      </c>
      <c r="E943" t="s">
        <v>3863</v>
      </c>
      <c r="F943" t="s">
        <v>4942</v>
      </c>
      <c r="G943">
        <v>62067</v>
      </c>
      <c r="H943" t="s">
        <v>11545</v>
      </c>
      <c r="I943">
        <v>100020212</v>
      </c>
      <c r="J943">
        <v>2294</v>
      </c>
      <c r="K943">
        <v>411.12965000000003</v>
      </c>
      <c r="L943" t="s">
        <v>11145</v>
      </c>
      <c r="M943" t="s">
        <v>11145</v>
      </c>
      <c r="N943" t="s">
        <v>11145</v>
      </c>
      <c r="O943" t="s">
        <v>13165</v>
      </c>
      <c r="P943" t="s">
        <v>13166</v>
      </c>
    </row>
    <row r="944" spans="1:16" x14ac:dyDescent="0.2">
      <c r="A944" t="str">
        <f t="shared" si="14"/>
        <v>metab_compid_35320</v>
      </c>
      <c r="B944" t="s">
        <v>13168</v>
      </c>
      <c r="C944">
        <v>3716</v>
      </c>
      <c r="D944" t="s">
        <v>6712</v>
      </c>
      <c r="E944" t="s">
        <v>3863</v>
      </c>
      <c r="F944" t="s">
        <v>5082</v>
      </c>
      <c r="G944">
        <v>35320</v>
      </c>
      <c r="H944" t="s">
        <v>11327</v>
      </c>
      <c r="I944">
        <v>100001605</v>
      </c>
      <c r="J944">
        <v>1906</v>
      </c>
      <c r="K944">
        <v>188.98631</v>
      </c>
      <c r="L944" t="s">
        <v>6713</v>
      </c>
      <c r="M944">
        <v>3083879</v>
      </c>
      <c r="N944" t="s">
        <v>11145</v>
      </c>
      <c r="O944" t="s">
        <v>13169</v>
      </c>
      <c r="P944" t="s">
        <v>13168</v>
      </c>
    </row>
    <row r="945" spans="1:16" x14ac:dyDescent="0.2">
      <c r="A945" t="str">
        <f t="shared" si="14"/>
        <v>metab_compid_38599</v>
      </c>
      <c r="B945" t="s">
        <v>13170</v>
      </c>
      <c r="C945">
        <v>4369</v>
      </c>
      <c r="D945" t="s">
        <v>13171</v>
      </c>
      <c r="E945" t="s">
        <v>3863</v>
      </c>
      <c r="F945" t="s">
        <v>4942</v>
      </c>
      <c r="G945">
        <v>38599</v>
      </c>
      <c r="H945" t="s">
        <v>11327</v>
      </c>
      <c r="I945">
        <v>100002805</v>
      </c>
      <c r="J945">
        <v>5283</v>
      </c>
      <c r="K945">
        <v>380.0686</v>
      </c>
      <c r="L945" t="s">
        <v>13172</v>
      </c>
      <c r="M945">
        <v>2662</v>
      </c>
      <c r="N945" t="s">
        <v>13173</v>
      </c>
      <c r="O945" t="s">
        <v>13174</v>
      </c>
      <c r="P945" t="s">
        <v>13170</v>
      </c>
    </row>
    <row r="946" spans="1:16" x14ac:dyDescent="0.2">
      <c r="A946" t="str">
        <f t="shared" si="14"/>
        <v>metab_compid_54745</v>
      </c>
      <c r="B946" t="s">
        <v>13175</v>
      </c>
      <c r="C946">
        <v>4656</v>
      </c>
      <c r="D946" t="s">
        <v>9037</v>
      </c>
      <c r="E946" t="s">
        <v>3863</v>
      </c>
      <c r="F946" t="s">
        <v>9034</v>
      </c>
      <c r="G946">
        <v>54745</v>
      </c>
      <c r="H946" t="s">
        <v>11322</v>
      </c>
      <c r="I946">
        <v>100009034</v>
      </c>
      <c r="J946">
        <v>1052</v>
      </c>
      <c r="K946">
        <v>389.16264999999999</v>
      </c>
      <c r="L946" t="s">
        <v>9038</v>
      </c>
      <c r="M946">
        <v>2678</v>
      </c>
      <c r="N946" t="s">
        <v>9041</v>
      </c>
      <c r="O946" t="s">
        <v>13176</v>
      </c>
      <c r="P946" t="s">
        <v>13175</v>
      </c>
    </row>
    <row r="947" spans="1:16" x14ac:dyDescent="0.2">
      <c r="A947" t="str">
        <f t="shared" si="14"/>
        <v>metab_compid_38637</v>
      </c>
      <c r="B947" t="s">
        <v>13177</v>
      </c>
      <c r="C947">
        <v>3967</v>
      </c>
      <c r="D947" t="s">
        <v>7380</v>
      </c>
      <c r="E947" t="s">
        <v>3863</v>
      </c>
      <c r="F947" t="s">
        <v>3864</v>
      </c>
      <c r="G947">
        <v>38637</v>
      </c>
      <c r="H947" t="s">
        <v>11327</v>
      </c>
      <c r="I947">
        <v>100002253</v>
      </c>
      <c r="J947">
        <v>3127</v>
      </c>
      <c r="K947">
        <v>204.06661</v>
      </c>
      <c r="L947" t="s">
        <v>7381</v>
      </c>
      <c r="M947">
        <v>709625</v>
      </c>
      <c r="N947" t="s">
        <v>11145</v>
      </c>
      <c r="O947" t="s">
        <v>13178</v>
      </c>
      <c r="P947" t="s">
        <v>13177</v>
      </c>
    </row>
    <row r="948" spans="1:16" x14ac:dyDescent="0.2">
      <c r="A948" t="str">
        <f t="shared" si="14"/>
        <v>metab_compid_62479</v>
      </c>
      <c r="B948" t="s">
        <v>13179</v>
      </c>
      <c r="C948">
        <v>4621</v>
      </c>
      <c r="D948" t="s">
        <v>9845</v>
      </c>
      <c r="E948" t="s">
        <v>3863</v>
      </c>
      <c r="F948" t="s">
        <v>4933</v>
      </c>
      <c r="G948">
        <v>62479</v>
      </c>
      <c r="H948" t="s">
        <v>11327</v>
      </c>
      <c r="I948">
        <v>100020793</v>
      </c>
      <c r="J948">
        <v>4400</v>
      </c>
      <c r="K948">
        <v>310.08848999999998</v>
      </c>
      <c r="L948" t="s">
        <v>11145</v>
      </c>
      <c r="M948">
        <v>10403174</v>
      </c>
      <c r="N948" t="s">
        <v>9848</v>
      </c>
      <c r="O948" t="s">
        <v>9847</v>
      </c>
      <c r="P948" t="s">
        <v>13179</v>
      </c>
    </row>
    <row r="949" spans="1:16" x14ac:dyDescent="0.2">
      <c r="A949" t="str">
        <f t="shared" si="14"/>
        <v>metab_compid_553</v>
      </c>
      <c r="B949" t="s">
        <v>13180</v>
      </c>
      <c r="C949">
        <v>3793</v>
      </c>
      <c r="D949" t="s">
        <v>4368</v>
      </c>
      <c r="E949" t="s">
        <v>3863</v>
      </c>
      <c r="F949" t="s">
        <v>4365</v>
      </c>
      <c r="G949">
        <v>553</v>
      </c>
      <c r="H949" t="s">
        <v>11320</v>
      </c>
      <c r="I949">
        <v>848</v>
      </c>
      <c r="J949">
        <v>2213</v>
      </c>
      <c r="K949">
        <v>177.10223999999999</v>
      </c>
      <c r="L949" t="s">
        <v>4369</v>
      </c>
      <c r="M949">
        <v>854019</v>
      </c>
      <c r="N949" t="s">
        <v>11145</v>
      </c>
      <c r="O949" t="s">
        <v>13181</v>
      </c>
      <c r="P949" t="s">
        <v>13180</v>
      </c>
    </row>
    <row r="950" spans="1:16" x14ac:dyDescent="0.2">
      <c r="A950" t="str">
        <f t="shared" si="14"/>
        <v>metab_compid_62070</v>
      </c>
      <c r="B950" t="s">
        <v>13182</v>
      </c>
      <c r="C950">
        <v>3985</v>
      </c>
      <c r="D950" t="s">
        <v>13183</v>
      </c>
      <c r="E950" t="s">
        <v>3863</v>
      </c>
      <c r="F950" t="s">
        <v>3864</v>
      </c>
      <c r="G950">
        <v>62070</v>
      </c>
      <c r="H950" t="s">
        <v>11327</v>
      </c>
      <c r="I950">
        <v>100020206</v>
      </c>
      <c r="J950">
        <v>2580</v>
      </c>
      <c r="K950">
        <v>429.08271999999999</v>
      </c>
      <c r="L950" t="s">
        <v>11145</v>
      </c>
      <c r="M950">
        <v>11316354</v>
      </c>
      <c r="N950" t="s">
        <v>11145</v>
      </c>
      <c r="O950" t="s">
        <v>13184</v>
      </c>
      <c r="P950" t="s">
        <v>13182</v>
      </c>
    </row>
    <row r="951" spans="1:16" x14ac:dyDescent="0.2">
      <c r="A951" t="str">
        <f t="shared" si="14"/>
        <v>metab_compid_48728</v>
      </c>
      <c r="B951" t="s">
        <v>13185</v>
      </c>
      <c r="C951">
        <v>4195</v>
      </c>
      <c r="D951" t="s">
        <v>13186</v>
      </c>
      <c r="E951" t="s">
        <v>3863</v>
      </c>
      <c r="F951" t="s">
        <v>3864</v>
      </c>
      <c r="G951">
        <v>48728</v>
      </c>
      <c r="H951" t="s">
        <v>11327</v>
      </c>
      <c r="I951">
        <v>100006363</v>
      </c>
      <c r="J951">
        <v>3330</v>
      </c>
      <c r="K951">
        <v>333.00756000000001</v>
      </c>
      <c r="L951" t="s">
        <v>11145</v>
      </c>
      <c r="M951" t="s">
        <v>11145</v>
      </c>
      <c r="N951" t="s">
        <v>11145</v>
      </c>
      <c r="O951" t="s">
        <v>11145</v>
      </c>
      <c r="P951" t="s">
        <v>13185</v>
      </c>
    </row>
    <row r="952" spans="1:16" x14ac:dyDescent="0.2">
      <c r="A952" t="str">
        <f t="shared" si="14"/>
        <v>metab_compid_62477</v>
      </c>
      <c r="B952" t="s">
        <v>13187</v>
      </c>
      <c r="C952">
        <v>4622</v>
      </c>
      <c r="D952" t="s">
        <v>9838</v>
      </c>
      <c r="E952" t="s">
        <v>3863</v>
      </c>
      <c r="F952" t="s">
        <v>4933</v>
      </c>
      <c r="G952">
        <v>62477</v>
      </c>
      <c r="H952" t="s">
        <v>11322</v>
      </c>
      <c r="I952">
        <v>100020790</v>
      </c>
      <c r="J952">
        <v>880</v>
      </c>
      <c r="K952">
        <v>311.15541999999999</v>
      </c>
      <c r="L952" t="s">
        <v>11145</v>
      </c>
      <c r="M952">
        <v>162180</v>
      </c>
      <c r="N952" t="s">
        <v>9841</v>
      </c>
      <c r="O952" t="s">
        <v>13188</v>
      </c>
      <c r="P952" t="s">
        <v>13187</v>
      </c>
    </row>
    <row r="953" spans="1:16" x14ac:dyDescent="0.2">
      <c r="A953" t="str">
        <f t="shared" si="14"/>
        <v>metab_compid_46331</v>
      </c>
      <c r="B953" t="s">
        <v>13189</v>
      </c>
      <c r="C953">
        <v>4351</v>
      </c>
      <c r="D953" t="s">
        <v>6966</v>
      </c>
      <c r="E953" t="s">
        <v>3863</v>
      </c>
      <c r="F953" t="s">
        <v>4942</v>
      </c>
      <c r="G953">
        <v>46331</v>
      </c>
      <c r="H953" t="s">
        <v>11327</v>
      </c>
      <c r="I953">
        <v>100001787</v>
      </c>
      <c r="J953">
        <v>3045</v>
      </c>
      <c r="K953">
        <v>215.07136</v>
      </c>
      <c r="L953" t="s">
        <v>6967</v>
      </c>
      <c r="M953">
        <v>13393711</v>
      </c>
      <c r="N953" t="s">
        <v>11145</v>
      </c>
      <c r="O953" t="s">
        <v>13190</v>
      </c>
      <c r="P953" t="s">
        <v>13189</v>
      </c>
    </row>
    <row r="954" spans="1:16" x14ac:dyDescent="0.2">
      <c r="A954" t="str">
        <f t="shared" si="14"/>
        <v>metab_compid_46106</v>
      </c>
      <c r="B954" t="s">
        <v>13191</v>
      </c>
      <c r="C954">
        <v>4352</v>
      </c>
      <c r="D954" t="s">
        <v>6973</v>
      </c>
      <c r="E954" t="s">
        <v>3863</v>
      </c>
      <c r="F954" t="s">
        <v>4942</v>
      </c>
      <c r="G954">
        <v>46106</v>
      </c>
      <c r="H954" t="s">
        <v>11327</v>
      </c>
      <c r="I954">
        <v>100001788</v>
      </c>
      <c r="J954">
        <v>2250</v>
      </c>
      <c r="K954">
        <v>295.02818000000002</v>
      </c>
      <c r="L954" t="s">
        <v>11145</v>
      </c>
      <c r="M954">
        <v>184679</v>
      </c>
      <c r="N954" t="s">
        <v>11145</v>
      </c>
      <c r="O954" t="s">
        <v>11145</v>
      </c>
      <c r="P954" t="s">
        <v>13191</v>
      </c>
    </row>
    <row r="955" spans="1:16" x14ac:dyDescent="0.2">
      <c r="A955" t="str">
        <f t="shared" si="14"/>
        <v>metab_compid_57668</v>
      </c>
      <c r="B955" t="s">
        <v>13192</v>
      </c>
      <c r="C955">
        <v>4543</v>
      </c>
      <c r="D955" t="s">
        <v>9449</v>
      </c>
      <c r="E955" t="s">
        <v>3863</v>
      </c>
      <c r="F955" t="s">
        <v>7590</v>
      </c>
      <c r="G955">
        <v>57668</v>
      </c>
      <c r="H955" t="s">
        <v>11545</v>
      </c>
      <c r="I955">
        <v>100015794</v>
      </c>
      <c r="J955">
        <v>757</v>
      </c>
      <c r="K955">
        <v>368.0686</v>
      </c>
      <c r="L955" t="s">
        <v>9450</v>
      </c>
      <c r="M955">
        <v>9578005</v>
      </c>
      <c r="N955" t="s">
        <v>9452</v>
      </c>
      <c r="O955" t="s">
        <v>11145</v>
      </c>
      <c r="P955" t="s">
        <v>13192</v>
      </c>
    </row>
    <row r="956" spans="1:16" x14ac:dyDescent="0.2">
      <c r="A956" t="str">
        <f t="shared" si="14"/>
        <v>metab_compid_62524</v>
      </c>
      <c r="B956" t="s">
        <v>13193</v>
      </c>
      <c r="C956">
        <v>3949</v>
      </c>
      <c r="D956" t="s">
        <v>9894</v>
      </c>
      <c r="E956" t="s">
        <v>3863</v>
      </c>
      <c r="F956" t="s">
        <v>3864</v>
      </c>
      <c r="G956">
        <v>62524</v>
      </c>
      <c r="H956" t="s">
        <v>11545</v>
      </c>
      <c r="I956">
        <v>100020822</v>
      </c>
      <c r="J956">
        <v>1328</v>
      </c>
      <c r="K956">
        <v>261.00743999999997</v>
      </c>
      <c r="L956" t="s">
        <v>11145</v>
      </c>
      <c r="M956" t="s">
        <v>11145</v>
      </c>
      <c r="N956" t="s">
        <v>11145</v>
      </c>
      <c r="O956" t="s">
        <v>11145</v>
      </c>
      <c r="P956" t="s">
        <v>13193</v>
      </c>
    </row>
    <row r="957" spans="1:16" x14ac:dyDescent="0.2">
      <c r="A957" t="str">
        <f t="shared" si="14"/>
        <v>metab_compid_40481</v>
      </c>
      <c r="B957" t="s">
        <v>13194</v>
      </c>
      <c r="C957">
        <v>3991</v>
      </c>
      <c r="D957" t="s">
        <v>13195</v>
      </c>
      <c r="E957" t="s">
        <v>3863</v>
      </c>
      <c r="F957" t="s">
        <v>3864</v>
      </c>
      <c r="G957">
        <v>40481</v>
      </c>
      <c r="H957" t="s">
        <v>11327</v>
      </c>
      <c r="I957">
        <v>100003432</v>
      </c>
      <c r="J957">
        <v>1928</v>
      </c>
      <c r="K957">
        <v>195.06628000000001</v>
      </c>
      <c r="L957" t="s">
        <v>7888</v>
      </c>
      <c r="M957">
        <v>14340</v>
      </c>
      <c r="N957" t="s">
        <v>11145</v>
      </c>
      <c r="O957" t="s">
        <v>11145</v>
      </c>
      <c r="P957" t="s">
        <v>13194</v>
      </c>
    </row>
    <row r="958" spans="1:16" x14ac:dyDescent="0.2">
      <c r="A958" t="str">
        <f t="shared" si="14"/>
        <v>metab_compid_42981</v>
      </c>
      <c r="B958" t="s">
        <v>13196</v>
      </c>
      <c r="C958">
        <v>4504</v>
      </c>
      <c r="D958" t="s">
        <v>8014</v>
      </c>
      <c r="E958" t="s">
        <v>3863</v>
      </c>
      <c r="F958" t="s">
        <v>7216</v>
      </c>
      <c r="G958">
        <v>42981</v>
      </c>
      <c r="H958" t="s">
        <v>11322</v>
      </c>
      <c r="I958">
        <v>100004015</v>
      </c>
      <c r="J958">
        <v>888</v>
      </c>
      <c r="K958">
        <v>415.16861</v>
      </c>
      <c r="L958" t="s">
        <v>8015</v>
      </c>
      <c r="M958">
        <v>39186</v>
      </c>
      <c r="N958" t="s">
        <v>13197</v>
      </c>
      <c r="O958" t="s">
        <v>13198</v>
      </c>
      <c r="P958" t="s">
        <v>13196</v>
      </c>
    </row>
    <row r="959" spans="1:16" x14ac:dyDescent="0.2">
      <c r="A959" t="str">
        <f t="shared" si="14"/>
        <v>metab_compid_39273</v>
      </c>
      <c r="B959" t="s">
        <v>13199</v>
      </c>
      <c r="C959">
        <v>4426</v>
      </c>
      <c r="D959" t="s">
        <v>13200</v>
      </c>
      <c r="E959" t="s">
        <v>3863</v>
      </c>
      <c r="F959" t="s">
        <v>7477</v>
      </c>
      <c r="G959">
        <v>39273</v>
      </c>
      <c r="H959" t="s">
        <v>11322</v>
      </c>
      <c r="I959">
        <v>100003009</v>
      </c>
      <c r="J959">
        <v>829</v>
      </c>
      <c r="K959">
        <v>445.16055</v>
      </c>
      <c r="L959" t="s">
        <v>13201</v>
      </c>
      <c r="M959" t="s">
        <v>11145</v>
      </c>
      <c r="N959" t="s">
        <v>11145</v>
      </c>
      <c r="O959" t="s">
        <v>11145</v>
      </c>
      <c r="P959" t="s">
        <v>13199</v>
      </c>
    </row>
    <row r="960" spans="1:16" x14ac:dyDescent="0.2">
      <c r="A960" t="str">
        <f t="shared" si="14"/>
        <v>metab_compid_35651</v>
      </c>
      <c r="B960" t="s">
        <v>13202</v>
      </c>
      <c r="C960">
        <v>4809</v>
      </c>
      <c r="D960" t="s">
        <v>6813</v>
      </c>
      <c r="E960" t="s">
        <v>3863</v>
      </c>
      <c r="F960" t="s">
        <v>5632</v>
      </c>
      <c r="G960">
        <v>35651</v>
      </c>
      <c r="H960" t="s">
        <v>11320</v>
      </c>
      <c r="I960">
        <v>100001635</v>
      </c>
      <c r="J960">
        <v>1980</v>
      </c>
      <c r="K960">
        <v>143.08151000000001</v>
      </c>
      <c r="L960" t="s">
        <v>6814</v>
      </c>
      <c r="M960">
        <v>126041</v>
      </c>
      <c r="N960" t="s">
        <v>6817</v>
      </c>
      <c r="O960" t="s">
        <v>11145</v>
      </c>
      <c r="P960" t="s">
        <v>13202</v>
      </c>
    </row>
    <row r="961" spans="1:16" x14ac:dyDescent="0.2">
      <c r="A961" t="str">
        <f t="shared" si="14"/>
        <v>metab_compid_22163</v>
      </c>
      <c r="B961" t="s">
        <v>13203</v>
      </c>
      <c r="C961">
        <v>4810</v>
      </c>
      <c r="D961" t="s">
        <v>5695</v>
      </c>
      <c r="E961" t="s">
        <v>3863</v>
      </c>
      <c r="F961" t="s">
        <v>5632</v>
      </c>
      <c r="G961">
        <v>22163</v>
      </c>
      <c r="H961" t="s">
        <v>11320</v>
      </c>
      <c r="I961">
        <v>100001002</v>
      </c>
      <c r="J961">
        <v>875</v>
      </c>
      <c r="K961">
        <v>293.09795000000003</v>
      </c>
      <c r="L961" t="s">
        <v>5696</v>
      </c>
      <c r="M961">
        <v>6049</v>
      </c>
      <c r="N961" t="s">
        <v>5699</v>
      </c>
      <c r="O961" t="s">
        <v>13204</v>
      </c>
      <c r="P961" t="s">
        <v>13203</v>
      </c>
    </row>
    <row r="962" spans="1:16" x14ac:dyDescent="0.2">
      <c r="A962" t="str">
        <f t="shared" si="14"/>
        <v>metab_compid_62482</v>
      </c>
      <c r="B962" t="s">
        <v>13205</v>
      </c>
      <c r="C962">
        <v>4531</v>
      </c>
      <c r="D962" t="s">
        <v>13206</v>
      </c>
      <c r="E962" t="s">
        <v>3863</v>
      </c>
      <c r="F962" t="s">
        <v>7216</v>
      </c>
      <c r="G962">
        <v>62482</v>
      </c>
      <c r="H962" t="s">
        <v>11320</v>
      </c>
      <c r="I962">
        <v>100020800</v>
      </c>
      <c r="J962">
        <v>3149</v>
      </c>
      <c r="K962">
        <v>349.17579999999998</v>
      </c>
      <c r="L962" t="s">
        <v>11145</v>
      </c>
      <c r="M962">
        <v>5462501</v>
      </c>
      <c r="N962" t="s">
        <v>13207</v>
      </c>
      <c r="O962" t="s">
        <v>13208</v>
      </c>
      <c r="P962" t="s">
        <v>13205</v>
      </c>
    </row>
    <row r="963" spans="1:16" x14ac:dyDescent="0.2">
      <c r="A963" t="str">
        <f t="shared" ref="A963:A1026" si="15">_xlfn.CONCAT("metab_compid_", $G963)</f>
        <v>metab_compid_37459</v>
      </c>
      <c r="B963" t="s">
        <v>13209</v>
      </c>
      <c r="C963">
        <v>4000</v>
      </c>
      <c r="D963" t="s">
        <v>7318</v>
      </c>
      <c r="E963" t="s">
        <v>3863</v>
      </c>
      <c r="F963" t="s">
        <v>3864</v>
      </c>
      <c r="G963">
        <v>37459</v>
      </c>
      <c r="H963" t="s">
        <v>11320</v>
      </c>
      <c r="I963">
        <v>100002154</v>
      </c>
      <c r="J963">
        <v>850</v>
      </c>
      <c r="K963">
        <v>230.09577999999999</v>
      </c>
      <c r="L963" t="s">
        <v>7319</v>
      </c>
      <c r="M963">
        <v>3032311</v>
      </c>
      <c r="N963" t="s">
        <v>7322</v>
      </c>
      <c r="O963" t="s">
        <v>13210</v>
      </c>
      <c r="P963" t="s">
        <v>13209</v>
      </c>
    </row>
    <row r="964" spans="1:16" x14ac:dyDescent="0.2">
      <c r="A964" t="str">
        <f t="shared" si="15"/>
        <v>metab_compid_20699</v>
      </c>
      <c r="B964" t="s">
        <v>13211</v>
      </c>
      <c r="C964">
        <v>4002</v>
      </c>
      <c r="D964" t="s">
        <v>5611</v>
      </c>
      <c r="E964" t="s">
        <v>3863</v>
      </c>
      <c r="F964" t="s">
        <v>3864</v>
      </c>
      <c r="G964">
        <v>20699</v>
      </c>
      <c r="H964" t="s">
        <v>11545</v>
      </c>
      <c r="I964">
        <v>100000846</v>
      </c>
      <c r="J964">
        <v>1491</v>
      </c>
      <c r="K964">
        <v>167.05610999999999</v>
      </c>
      <c r="L964" t="s">
        <v>5612</v>
      </c>
      <c r="M964">
        <v>222285</v>
      </c>
      <c r="N964" t="s">
        <v>5615</v>
      </c>
      <c r="O964" t="s">
        <v>13212</v>
      </c>
      <c r="P964" t="s">
        <v>13211</v>
      </c>
    </row>
    <row r="965" spans="1:16" x14ac:dyDescent="0.2">
      <c r="A965" t="str">
        <f t="shared" si="15"/>
        <v>metab_compid_40459</v>
      </c>
      <c r="B965" t="s">
        <v>13213</v>
      </c>
      <c r="C965">
        <v>4628</v>
      </c>
      <c r="D965" t="s">
        <v>13214</v>
      </c>
      <c r="E965" t="s">
        <v>3863</v>
      </c>
      <c r="F965" t="s">
        <v>4933</v>
      </c>
      <c r="G965">
        <v>40459</v>
      </c>
      <c r="H965" t="s">
        <v>11322</v>
      </c>
      <c r="I965">
        <v>100003444</v>
      </c>
      <c r="J965">
        <v>908</v>
      </c>
      <c r="K965">
        <v>325.17106999999999</v>
      </c>
      <c r="L965" t="s">
        <v>7910</v>
      </c>
      <c r="M965">
        <v>146570</v>
      </c>
      <c r="N965" t="s">
        <v>7913</v>
      </c>
      <c r="O965" t="s">
        <v>13215</v>
      </c>
      <c r="P965" t="s">
        <v>13213</v>
      </c>
    </row>
    <row r="966" spans="1:16" x14ac:dyDescent="0.2">
      <c r="A966" t="str">
        <f t="shared" si="15"/>
        <v>metab_compid_39603</v>
      </c>
      <c r="B966" t="s">
        <v>13216</v>
      </c>
      <c r="C966">
        <v>4749</v>
      </c>
      <c r="D966" t="s">
        <v>7710</v>
      </c>
      <c r="E966" t="s">
        <v>3863</v>
      </c>
      <c r="F966" t="s">
        <v>5632</v>
      </c>
      <c r="G966">
        <v>39603</v>
      </c>
      <c r="H966" t="s">
        <v>11327</v>
      </c>
      <c r="I966">
        <v>100002849</v>
      </c>
      <c r="J966">
        <v>793</v>
      </c>
      <c r="K966">
        <v>221.06666999999999</v>
      </c>
      <c r="L966" t="s">
        <v>7711</v>
      </c>
      <c r="M966">
        <v>152226</v>
      </c>
      <c r="N966" t="s">
        <v>11145</v>
      </c>
      <c r="O966" t="s">
        <v>13217</v>
      </c>
      <c r="P966" t="s">
        <v>13216</v>
      </c>
    </row>
    <row r="967" spans="1:16" x14ac:dyDescent="0.2">
      <c r="A967" t="str">
        <f t="shared" si="15"/>
        <v>metab_compid_48715</v>
      </c>
      <c r="B967" t="s">
        <v>13218</v>
      </c>
      <c r="C967">
        <v>4197</v>
      </c>
      <c r="D967" t="s">
        <v>8486</v>
      </c>
      <c r="E967" t="s">
        <v>3863</v>
      </c>
      <c r="F967" t="s">
        <v>3864</v>
      </c>
      <c r="G967">
        <v>48715</v>
      </c>
      <c r="H967" t="s">
        <v>11327</v>
      </c>
      <c r="I967">
        <v>100006171</v>
      </c>
      <c r="J967">
        <v>3782</v>
      </c>
      <c r="K967">
        <v>243.03326000000001</v>
      </c>
      <c r="L967" t="s">
        <v>8487</v>
      </c>
      <c r="M967">
        <v>180632</v>
      </c>
      <c r="N967" t="s">
        <v>11145</v>
      </c>
      <c r="O967" t="s">
        <v>11145</v>
      </c>
      <c r="P967" t="s">
        <v>13218</v>
      </c>
    </row>
    <row r="968" spans="1:16" x14ac:dyDescent="0.2">
      <c r="A968" t="str">
        <f t="shared" si="15"/>
        <v>metab_compid_62483</v>
      </c>
      <c r="B968" t="s">
        <v>13219</v>
      </c>
      <c r="C968">
        <v>4566</v>
      </c>
      <c r="D968" t="s">
        <v>13220</v>
      </c>
      <c r="E968" t="s">
        <v>3863</v>
      </c>
      <c r="F968" t="s">
        <v>6220</v>
      </c>
      <c r="G968">
        <v>62483</v>
      </c>
      <c r="H968" t="s">
        <v>11327</v>
      </c>
      <c r="I968">
        <v>100020801</v>
      </c>
      <c r="J968">
        <v>4588</v>
      </c>
      <c r="K968">
        <v>584.17376000000002</v>
      </c>
      <c r="L968" t="s">
        <v>11145</v>
      </c>
      <c r="M968">
        <v>9894653</v>
      </c>
      <c r="N968" t="s">
        <v>11145</v>
      </c>
      <c r="O968" t="s">
        <v>11145</v>
      </c>
      <c r="P968" t="s">
        <v>13219</v>
      </c>
    </row>
    <row r="969" spans="1:16" x14ac:dyDescent="0.2">
      <c r="A969" t="str">
        <f t="shared" si="15"/>
        <v>metab_compid_47114</v>
      </c>
      <c r="B969" t="s">
        <v>13221</v>
      </c>
      <c r="C969">
        <v>4005</v>
      </c>
      <c r="D969" t="s">
        <v>13222</v>
      </c>
      <c r="E969" t="s">
        <v>3863</v>
      </c>
      <c r="F969" t="s">
        <v>3864</v>
      </c>
      <c r="G969">
        <v>47114</v>
      </c>
      <c r="H969" t="s">
        <v>11327</v>
      </c>
      <c r="I969">
        <v>100005389</v>
      </c>
      <c r="J969">
        <v>1200</v>
      </c>
      <c r="K969">
        <v>273.00743999999997</v>
      </c>
      <c r="L969" t="s">
        <v>13223</v>
      </c>
      <c r="M969">
        <v>6305574</v>
      </c>
      <c r="N969" t="s">
        <v>11145</v>
      </c>
      <c r="O969" t="s">
        <v>13224</v>
      </c>
      <c r="P969" t="s">
        <v>13221</v>
      </c>
    </row>
    <row r="970" spans="1:16" x14ac:dyDescent="0.2">
      <c r="A970" t="str">
        <f t="shared" si="15"/>
        <v>metab_compid_44619</v>
      </c>
      <c r="B970" t="s">
        <v>13225</v>
      </c>
      <c r="C970">
        <v>4611</v>
      </c>
      <c r="D970" t="s">
        <v>4936</v>
      </c>
      <c r="E970" t="s">
        <v>3863</v>
      </c>
      <c r="F970" t="s">
        <v>4933</v>
      </c>
      <c r="G970">
        <v>44619</v>
      </c>
      <c r="H970" t="s">
        <v>11322</v>
      </c>
      <c r="I970">
        <v>1382</v>
      </c>
      <c r="J970">
        <v>1025</v>
      </c>
      <c r="K970">
        <v>310.14132999999998</v>
      </c>
      <c r="L970" t="s">
        <v>4937</v>
      </c>
      <c r="M970">
        <v>3386</v>
      </c>
      <c r="N970" t="s">
        <v>4940</v>
      </c>
      <c r="O970" t="s">
        <v>11145</v>
      </c>
      <c r="P970" t="s">
        <v>13225</v>
      </c>
    </row>
    <row r="971" spans="1:16" x14ac:dyDescent="0.2">
      <c r="A971" t="str">
        <f t="shared" si="15"/>
        <v>metab_compid_43009</v>
      </c>
      <c r="B971" t="s">
        <v>13226</v>
      </c>
      <c r="C971">
        <v>4517</v>
      </c>
      <c r="D971" t="s">
        <v>8149</v>
      </c>
      <c r="E971" t="s">
        <v>3863</v>
      </c>
      <c r="F971" t="s">
        <v>7216</v>
      </c>
      <c r="G971">
        <v>43009</v>
      </c>
      <c r="H971" t="s">
        <v>11327</v>
      </c>
      <c r="I971">
        <v>100004241</v>
      </c>
      <c r="J971">
        <v>3515</v>
      </c>
      <c r="K971">
        <v>329.00044000000003</v>
      </c>
      <c r="L971" t="s">
        <v>8150</v>
      </c>
      <c r="M971">
        <v>3440</v>
      </c>
      <c r="N971" t="s">
        <v>8153</v>
      </c>
      <c r="O971" t="s">
        <v>13227</v>
      </c>
      <c r="P971" t="s">
        <v>13226</v>
      </c>
    </row>
    <row r="972" spans="1:16" x14ac:dyDescent="0.2">
      <c r="A972" t="str">
        <f t="shared" si="15"/>
        <v>metab_compid_38686</v>
      </c>
      <c r="B972" t="s">
        <v>13228</v>
      </c>
      <c r="C972">
        <v>4589</v>
      </c>
      <c r="D972" t="s">
        <v>7678</v>
      </c>
      <c r="E972" t="s">
        <v>3863</v>
      </c>
      <c r="F972" t="s">
        <v>4959</v>
      </c>
      <c r="G972">
        <v>38686</v>
      </c>
      <c r="H972" t="s">
        <v>11320</v>
      </c>
      <c r="I972">
        <v>100002806</v>
      </c>
      <c r="J972">
        <v>3123</v>
      </c>
      <c r="K972">
        <v>172.13320999999999</v>
      </c>
      <c r="L972" t="s">
        <v>7679</v>
      </c>
      <c r="M972">
        <v>3446</v>
      </c>
      <c r="N972" t="s">
        <v>7682</v>
      </c>
      <c r="O972" t="s">
        <v>13229</v>
      </c>
      <c r="P972" t="s">
        <v>13228</v>
      </c>
    </row>
    <row r="973" spans="1:16" x14ac:dyDescent="0.2">
      <c r="A973" t="str">
        <f t="shared" si="15"/>
        <v>metab_compid_62061</v>
      </c>
      <c r="B973" t="s">
        <v>13230</v>
      </c>
      <c r="C973">
        <v>3987</v>
      </c>
      <c r="D973" t="s">
        <v>13231</v>
      </c>
      <c r="E973" t="s">
        <v>3863</v>
      </c>
      <c r="F973" t="s">
        <v>3864</v>
      </c>
      <c r="G973">
        <v>62061</v>
      </c>
      <c r="H973" t="s">
        <v>11327</v>
      </c>
      <c r="I973">
        <v>100020207</v>
      </c>
      <c r="J973">
        <v>3616</v>
      </c>
      <c r="K973">
        <v>349.00236000000001</v>
      </c>
      <c r="L973" t="s">
        <v>11145</v>
      </c>
      <c r="M973" t="s">
        <v>11145</v>
      </c>
      <c r="N973" t="s">
        <v>11145</v>
      </c>
      <c r="O973" t="s">
        <v>11145</v>
      </c>
      <c r="P973" t="s">
        <v>13230</v>
      </c>
    </row>
    <row r="974" spans="1:16" x14ac:dyDescent="0.2">
      <c r="A974" t="str">
        <f t="shared" si="15"/>
        <v>metab_compid_587</v>
      </c>
      <c r="B974" t="s">
        <v>13232</v>
      </c>
      <c r="C974">
        <v>3925</v>
      </c>
      <c r="D974" t="s">
        <v>3867</v>
      </c>
      <c r="E974" t="s">
        <v>3863</v>
      </c>
      <c r="F974" t="s">
        <v>3864</v>
      </c>
      <c r="G974">
        <v>587</v>
      </c>
      <c r="H974" t="s">
        <v>11545</v>
      </c>
      <c r="I974">
        <v>338</v>
      </c>
      <c r="J974">
        <v>2922</v>
      </c>
      <c r="K974">
        <v>195.05101999999999</v>
      </c>
      <c r="L974" t="s">
        <v>3868</v>
      </c>
      <c r="M974">
        <v>10690</v>
      </c>
      <c r="N974" t="s">
        <v>3871</v>
      </c>
      <c r="O974" t="s">
        <v>13233</v>
      </c>
      <c r="P974" t="s">
        <v>13232</v>
      </c>
    </row>
    <row r="975" spans="1:16" x14ac:dyDescent="0.2">
      <c r="A975" t="str">
        <f t="shared" si="15"/>
        <v>metab_compid_62290</v>
      </c>
      <c r="B975" t="s">
        <v>13234</v>
      </c>
      <c r="C975">
        <v>4088</v>
      </c>
      <c r="D975" t="s">
        <v>9778</v>
      </c>
      <c r="E975" t="s">
        <v>3863</v>
      </c>
      <c r="F975" t="s">
        <v>3864</v>
      </c>
      <c r="G975">
        <v>62290</v>
      </c>
      <c r="H975" t="s">
        <v>11327</v>
      </c>
      <c r="I975">
        <v>100020491</v>
      </c>
      <c r="J975">
        <v>3951</v>
      </c>
      <c r="K975">
        <v>462.17696000000001</v>
      </c>
      <c r="L975" t="s">
        <v>11145</v>
      </c>
      <c r="M975" t="s">
        <v>11145</v>
      </c>
      <c r="N975" t="s">
        <v>11145</v>
      </c>
      <c r="O975" t="s">
        <v>11145</v>
      </c>
      <c r="P975" t="s">
        <v>13234</v>
      </c>
    </row>
    <row r="976" spans="1:16" x14ac:dyDescent="0.2">
      <c r="A976" t="str">
        <f t="shared" si="15"/>
        <v>metab_compid_62291</v>
      </c>
      <c r="B976" t="s">
        <v>13235</v>
      </c>
      <c r="C976">
        <v>4089</v>
      </c>
      <c r="D976" t="s">
        <v>9779</v>
      </c>
      <c r="E976" t="s">
        <v>3863</v>
      </c>
      <c r="F976" t="s">
        <v>3864</v>
      </c>
      <c r="G976">
        <v>62291</v>
      </c>
      <c r="H976" t="s">
        <v>11327</v>
      </c>
      <c r="I976">
        <v>100020492</v>
      </c>
      <c r="J976">
        <v>3992</v>
      </c>
      <c r="K976">
        <v>462.17696000000001</v>
      </c>
      <c r="L976" t="s">
        <v>11145</v>
      </c>
      <c r="M976" t="s">
        <v>11145</v>
      </c>
      <c r="N976" t="s">
        <v>11145</v>
      </c>
      <c r="O976" t="s">
        <v>11145</v>
      </c>
      <c r="P976" t="s">
        <v>13235</v>
      </c>
    </row>
    <row r="977" spans="1:16" x14ac:dyDescent="0.2">
      <c r="A977" t="str">
        <f t="shared" si="15"/>
        <v>metab_compid_62292</v>
      </c>
      <c r="B977" t="s">
        <v>13236</v>
      </c>
      <c r="C977">
        <v>4090</v>
      </c>
      <c r="D977" t="s">
        <v>9780</v>
      </c>
      <c r="E977" t="s">
        <v>3863</v>
      </c>
      <c r="F977" t="s">
        <v>3864</v>
      </c>
      <c r="G977">
        <v>62292</v>
      </c>
      <c r="H977" t="s">
        <v>11327</v>
      </c>
      <c r="I977">
        <v>100020493</v>
      </c>
      <c r="J977">
        <v>4039</v>
      </c>
      <c r="K977">
        <v>462.17696000000001</v>
      </c>
      <c r="L977" t="s">
        <v>11145</v>
      </c>
      <c r="M977" t="s">
        <v>11145</v>
      </c>
      <c r="N977" t="s">
        <v>11145</v>
      </c>
      <c r="O977" t="s">
        <v>11145</v>
      </c>
      <c r="P977" t="s">
        <v>13236</v>
      </c>
    </row>
    <row r="978" spans="1:16" x14ac:dyDescent="0.2">
      <c r="A978" t="str">
        <f t="shared" si="15"/>
        <v>metab_compid_15737</v>
      </c>
      <c r="B978" t="s">
        <v>13237</v>
      </c>
      <c r="C978">
        <v>4814</v>
      </c>
      <c r="D978" t="s">
        <v>13238</v>
      </c>
      <c r="E978" t="s">
        <v>3863</v>
      </c>
      <c r="F978" t="s">
        <v>5632</v>
      </c>
      <c r="G978">
        <v>15737</v>
      </c>
      <c r="H978" t="s">
        <v>11545</v>
      </c>
      <c r="I978">
        <v>203</v>
      </c>
      <c r="J978">
        <v>1790.4</v>
      </c>
      <c r="K978">
        <v>159.01073</v>
      </c>
      <c r="L978" t="s">
        <v>13239</v>
      </c>
      <c r="M978">
        <v>757</v>
      </c>
      <c r="N978" t="s">
        <v>13240</v>
      </c>
      <c r="O978" t="s">
        <v>13241</v>
      </c>
      <c r="P978" t="s">
        <v>13237</v>
      </c>
    </row>
    <row r="979" spans="1:16" x14ac:dyDescent="0.2">
      <c r="A979" t="str">
        <f t="shared" si="15"/>
        <v>metab_compid_46111</v>
      </c>
      <c r="B979" t="s">
        <v>13242</v>
      </c>
      <c r="C979">
        <v>3719</v>
      </c>
      <c r="D979" t="s">
        <v>8135</v>
      </c>
      <c r="E979" t="s">
        <v>3863</v>
      </c>
      <c r="F979" t="s">
        <v>5082</v>
      </c>
      <c r="G979">
        <v>46111</v>
      </c>
      <c r="H979" t="s">
        <v>11327</v>
      </c>
      <c r="I979">
        <v>100004208</v>
      </c>
      <c r="J979">
        <v>2344</v>
      </c>
      <c r="K979">
        <v>203.00196</v>
      </c>
      <c r="L979" t="s">
        <v>11145</v>
      </c>
      <c r="M979">
        <v>22473</v>
      </c>
      <c r="N979" t="s">
        <v>11145</v>
      </c>
      <c r="O979" t="s">
        <v>13243</v>
      </c>
      <c r="P979" t="s">
        <v>13242</v>
      </c>
    </row>
    <row r="980" spans="1:16" x14ac:dyDescent="0.2">
      <c r="A980" t="str">
        <f t="shared" si="15"/>
        <v>metab_compid_15753</v>
      </c>
      <c r="B980" t="s">
        <v>13244</v>
      </c>
      <c r="C980">
        <v>3684</v>
      </c>
      <c r="D980" t="s">
        <v>5169</v>
      </c>
      <c r="E980" t="s">
        <v>3863</v>
      </c>
      <c r="F980" t="s">
        <v>5082</v>
      </c>
      <c r="G980">
        <v>15753</v>
      </c>
      <c r="H980" t="s">
        <v>11327</v>
      </c>
      <c r="I980">
        <v>100000014</v>
      </c>
      <c r="J980">
        <v>2106.9</v>
      </c>
      <c r="K980">
        <v>178.05096</v>
      </c>
      <c r="L980" t="s">
        <v>5170</v>
      </c>
      <c r="M980">
        <v>464</v>
      </c>
      <c r="N980" t="s">
        <v>5173</v>
      </c>
      <c r="O980" t="s">
        <v>13245</v>
      </c>
      <c r="P980" t="s">
        <v>13244</v>
      </c>
    </row>
    <row r="981" spans="1:16" x14ac:dyDescent="0.2">
      <c r="A981" t="str">
        <f t="shared" si="15"/>
        <v>metab_compid_33009</v>
      </c>
      <c r="B981" t="s">
        <v>13246</v>
      </c>
      <c r="C981">
        <v>4027</v>
      </c>
      <c r="D981" t="s">
        <v>6594</v>
      </c>
      <c r="E981" t="s">
        <v>3863</v>
      </c>
      <c r="F981" t="s">
        <v>3864</v>
      </c>
      <c r="G981">
        <v>33009</v>
      </c>
      <c r="H981" t="s">
        <v>11320</v>
      </c>
      <c r="I981">
        <v>100001550</v>
      </c>
      <c r="J981">
        <v>1750</v>
      </c>
      <c r="K981">
        <v>158.11756</v>
      </c>
      <c r="L981" t="s">
        <v>6595</v>
      </c>
      <c r="M981">
        <v>441447</v>
      </c>
      <c r="N981" t="s">
        <v>6598</v>
      </c>
      <c r="O981" t="s">
        <v>13247</v>
      </c>
      <c r="P981" t="s">
        <v>13246</v>
      </c>
    </row>
    <row r="982" spans="1:16" x14ac:dyDescent="0.2">
      <c r="A982" t="str">
        <f t="shared" si="15"/>
        <v>metab_compid_43508</v>
      </c>
      <c r="B982" t="s">
        <v>13248</v>
      </c>
      <c r="C982">
        <v>4605</v>
      </c>
      <c r="D982" t="s">
        <v>13249</v>
      </c>
      <c r="E982" t="s">
        <v>3863</v>
      </c>
      <c r="F982" t="s">
        <v>4959</v>
      </c>
      <c r="G982">
        <v>43508</v>
      </c>
      <c r="H982" t="s">
        <v>11327</v>
      </c>
      <c r="I982">
        <v>100004189</v>
      </c>
      <c r="J982">
        <v>2342</v>
      </c>
      <c r="K982">
        <v>195.06628000000001</v>
      </c>
      <c r="L982" t="s">
        <v>13250</v>
      </c>
      <c r="M982">
        <v>7139</v>
      </c>
      <c r="N982" t="s">
        <v>11145</v>
      </c>
      <c r="O982" t="s">
        <v>13251</v>
      </c>
      <c r="P982" t="s">
        <v>13248</v>
      </c>
    </row>
    <row r="983" spans="1:16" x14ac:dyDescent="0.2">
      <c r="A983" t="str">
        <f t="shared" si="15"/>
        <v>metab_compid_39625</v>
      </c>
      <c r="B983" t="s">
        <v>13252</v>
      </c>
      <c r="C983">
        <v>4515</v>
      </c>
      <c r="D983" t="s">
        <v>7609</v>
      </c>
      <c r="E983" t="s">
        <v>3863</v>
      </c>
      <c r="F983" t="s">
        <v>7216</v>
      </c>
      <c r="G983">
        <v>39625</v>
      </c>
      <c r="H983" t="s">
        <v>11327</v>
      </c>
      <c r="I983">
        <v>100002734</v>
      </c>
      <c r="J983">
        <v>2046</v>
      </c>
      <c r="K983">
        <v>295.95719000000003</v>
      </c>
      <c r="L983" t="s">
        <v>7610</v>
      </c>
      <c r="M983">
        <v>3639</v>
      </c>
      <c r="N983" t="s">
        <v>7613</v>
      </c>
      <c r="O983" t="s">
        <v>13253</v>
      </c>
      <c r="P983" t="s">
        <v>13252</v>
      </c>
    </row>
    <row r="984" spans="1:16" x14ac:dyDescent="0.2">
      <c r="A984" t="str">
        <f t="shared" si="15"/>
        <v>metab_compid_35322</v>
      </c>
      <c r="B984" t="s">
        <v>13254</v>
      </c>
      <c r="C984">
        <v>4671</v>
      </c>
      <c r="D984" t="s">
        <v>6704</v>
      </c>
      <c r="E984" t="s">
        <v>3863</v>
      </c>
      <c r="F984" t="s">
        <v>4142</v>
      </c>
      <c r="G984">
        <v>35322</v>
      </c>
      <c r="H984" t="s">
        <v>11327</v>
      </c>
      <c r="I984">
        <v>100001604</v>
      </c>
      <c r="J984">
        <v>1395</v>
      </c>
      <c r="K984">
        <v>188.98631</v>
      </c>
      <c r="L984" t="s">
        <v>6705</v>
      </c>
      <c r="M984">
        <v>161220</v>
      </c>
      <c r="N984" t="s">
        <v>6708</v>
      </c>
      <c r="O984" t="s">
        <v>13255</v>
      </c>
      <c r="P984" t="s">
        <v>13254</v>
      </c>
    </row>
    <row r="985" spans="1:16" x14ac:dyDescent="0.2">
      <c r="A985" t="str">
        <f t="shared" si="15"/>
        <v>metab_compid_38661</v>
      </c>
      <c r="B985" t="s">
        <v>13256</v>
      </c>
      <c r="C985">
        <v>3794</v>
      </c>
      <c r="D985" t="s">
        <v>7585</v>
      </c>
      <c r="E985" t="s">
        <v>3863</v>
      </c>
      <c r="F985" t="s">
        <v>4365</v>
      </c>
      <c r="G985">
        <v>38661</v>
      </c>
      <c r="H985" t="s">
        <v>11320</v>
      </c>
      <c r="I985">
        <v>100002717</v>
      </c>
      <c r="J985">
        <v>2030</v>
      </c>
      <c r="K985">
        <v>193.09716</v>
      </c>
      <c r="L985" t="s">
        <v>7586</v>
      </c>
      <c r="M985">
        <v>10219774</v>
      </c>
      <c r="N985" t="s">
        <v>11145</v>
      </c>
      <c r="O985" t="s">
        <v>13257</v>
      </c>
      <c r="P985" t="s">
        <v>13256</v>
      </c>
    </row>
    <row r="986" spans="1:16" x14ac:dyDescent="0.2">
      <c r="A986" t="str">
        <f t="shared" si="15"/>
        <v>metab_compid_43580</v>
      </c>
      <c r="B986" t="s">
        <v>13258</v>
      </c>
      <c r="C986">
        <v>4550</v>
      </c>
      <c r="D986" t="s">
        <v>8123</v>
      </c>
      <c r="E986" t="s">
        <v>3863</v>
      </c>
      <c r="F986" t="s">
        <v>6220</v>
      </c>
      <c r="G986">
        <v>43580</v>
      </c>
      <c r="H986" t="s">
        <v>11320</v>
      </c>
      <c r="I986">
        <v>100004177</v>
      </c>
      <c r="J986">
        <v>3080</v>
      </c>
      <c r="K986">
        <v>373.12166000000002</v>
      </c>
      <c r="L986" t="s">
        <v>8124</v>
      </c>
      <c r="M986" t="s">
        <v>11145</v>
      </c>
      <c r="N986" t="s">
        <v>11145</v>
      </c>
      <c r="O986" t="s">
        <v>11145</v>
      </c>
      <c r="P986" t="s">
        <v>13258</v>
      </c>
    </row>
    <row r="987" spans="1:16" x14ac:dyDescent="0.2">
      <c r="A987" t="str">
        <f t="shared" si="15"/>
        <v>metab_compid_17799</v>
      </c>
      <c r="B987" t="s">
        <v>13259</v>
      </c>
      <c r="C987">
        <v>4353</v>
      </c>
      <c r="D987" t="s">
        <v>4977</v>
      </c>
      <c r="E987" t="s">
        <v>3863</v>
      </c>
      <c r="F987" t="s">
        <v>4942</v>
      </c>
      <c r="G987">
        <v>17799</v>
      </c>
      <c r="H987" t="s">
        <v>11327</v>
      </c>
      <c r="I987">
        <v>1487</v>
      </c>
      <c r="J987">
        <v>4925</v>
      </c>
      <c r="K987">
        <v>205.1234</v>
      </c>
      <c r="L987" t="s">
        <v>4978</v>
      </c>
      <c r="M987">
        <v>3672</v>
      </c>
      <c r="N987" t="s">
        <v>13260</v>
      </c>
      <c r="O987" t="s">
        <v>13261</v>
      </c>
      <c r="P987" t="s">
        <v>13259</v>
      </c>
    </row>
    <row r="988" spans="1:16" x14ac:dyDescent="0.2">
      <c r="A988" t="str">
        <f t="shared" si="15"/>
        <v>metab_compid_38366</v>
      </c>
      <c r="B988" t="s">
        <v>13262</v>
      </c>
      <c r="C988">
        <v>4358</v>
      </c>
      <c r="D988" t="s">
        <v>7472</v>
      </c>
      <c r="E988" t="s">
        <v>3863</v>
      </c>
      <c r="F988" t="s">
        <v>4942</v>
      </c>
      <c r="G988">
        <v>38366</v>
      </c>
      <c r="H988" t="s">
        <v>11327</v>
      </c>
      <c r="I988">
        <v>100002406</v>
      </c>
      <c r="J988">
        <v>4976</v>
      </c>
      <c r="K988">
        <v>381.15548999999999</v>
      </c>
      <c r="L988" t="s">
        <v>7473</v>
      </c>
      <c r="M988">
        <v>163959</v>
      </c>
      <c r="N988" t="s">
        <v>11145</v>
      </c>
      <c r="O988" t="s">
        <v>11145</v>
      </c>
      <c r="P988" t="s">
        <v>13262</v>
      </c>
    </row>
    <row r="989" spans="1:16" x14ac:dyDescent="0.2">
      <c r="A989" t="str">
        <f t="shared" si="15"/>
        <v>metab_compid_21025</v>
      </c>
      <c r="B989" t="s">
        <v>13263</v>
      </c>
      <c r="C989">
        <v>4818</v>
      </c>
      <c r="D989" t="s">
        <v>5635</v>
      </c>
      <c r="E989" t="s">
        <v>3863</v>
      </c>
      <c r="F989" t="s">
        <v>5632</v>
      </c>
      <c r="G989">
        <v>21025</v>
      </c>
      <c r="H989" t="s">
        <v>11320</v>
      </c>
      <c r="I989">
        <v>100000900</v>
      </c>
      <c r="J989">
        <v>830</v>
      </c>
      <c r="K989">
        <v>134.04479000000001</v>
      </c>
      <c r="L989" t="s">
        <v>5636</v>
      </c>
      <c r="M989">
        <v>8897</v>
      </c>
      <c r="N989" t="s">
        <v>5639</v>
      </c>
      <c r="O989" t="s">
        <v>13264</v>
      </c>
      <c r="P989" t="s">
        <v>13263</v>
      </c>
    </row>
    <row r="990" spans="1:16" x14ac:dyDescent="0.2">
      <c r="A990" t="str">
        <f t="shared" si="15"/>
        <v>metab_compid_62279</v>
      </c>
      <c r="B990" t="s">
        <v>13265</v>
      </c>
      <c r="C990">
        <v>4839</v>
      </c>
      <c r="D990" t="s">
        <v>13266</v>
      </c>
      <c r="E990" t="s">
        <v>3863</v>
      </c>
      <c r="F990" t="s">
        <v>5632</v>
      </c>
      <c r="G990">
        <v>62279</v>
      </c>
      <c r="H990" t="s">
        <v>11320</v>
      </c>
      <c r="I990">
        <v>100020479</v>
      </c>
      <c r="J990">
        <v>3114</v>
      </c>
      <c r="K990">
        <v>319.16523999999998</v>
      </c>
      <c r="L990" t="s">
        <v>11145</v>
      </c>
      <c r="M990" t="s">
        <v>11145</v>
      </c>
      <c r="N990" t="s">
        <v>11145</v>
      </c>
      <c r="O990" t="s">
        <v>11145</v>
      </c>
      <c r="P990" t="s">
        <v>13265</v>
      </c>
    </row>
    <row r="991" spans="1:16" x14ac:dyDescent="0.2">
      <c r="A991" t="str">
        <f t="shared" si="15"/>
        <v>metab_compid_48997</v>
      </c>
      <c r="B991" t="s">
        <v>13267</v>
      </c>
      <c r="C991">
        <v>4203</v>
      </c>
      <c r="D991" t="s">
        <v>8433</v>
      </c>
      <c r="E991" t="s">
        <v>3863</v>
      </c>
      <c r="F991" t="s">
        <v>3864</v>
      </c>
      <c r="G991">
        <v>48997</v>
      </c>
      <c r="H991" t="s">
        <v>11327</v>
      </c>
      <c r="I991">
        <v>100006089</v>
      </c>
      <c r="J991">
        <v>3893</v>
      </c>
      <c r="K991">
        <v>243.03326000000001</v>
      </c>
      <c r="L991" t="s">
        <v>11145</v>
      </c>
      <c r="M991" t="s">
        <v>11145</v>
      </c>
      <c r="N991" t="s">
        <v>11145</v>
      </c>
      <c r="O991" t="s">
        <v>11145</v>
      </c>
      <c r="P991" t="s">
        <v>13267</v>
      </c>
    </row>
    <row r="992" spans="1:16" x14ac:dyDescent="0.2">
      <c r="A992" t="str">
        <f t="shared" si="15"/>
        <v>metab_compid_43579</v>
      </c>
      <c r="B992" t="s">
        <v>13268</v>
      </c>
      <c r="C992">
        <v>4549</v>
      </c>
      <c r="D992" t="s">
        <v>8118</v>
      </c>
      <c r="E992" t="s">
        <v>3863</v>
      </c>
      <c r="F992" t="s">
        <v>6220</v>
      </c>
      <c r="G992">
        <v>43579</v>
      </c>
      <c r="H992" t="s">
        <v>11320</v>
      </c>
      <c r="I992">
        <v>100004176</v>
      </c>
      <c r="J992">
        <v>3335</v>
      </c>
      <c r="K992">
        <v>371.10601000000003</v>
      </c>
      <c r="L992" t="s">
        <v>8119</v>
      </c>
      <c r="M992" t="s">
        <v>11145</v>
      </c>
      <c r="N992" t="s">
        <v>11145</v>
      </c>
      <c r="O992" t="s">
        <v>11145</v>
      </c>
      <c r="P992" t="s">
        <v>13268</v>
      </c>
    </row>
    <row r="993" spans="1:16" x14ac:dyDescent="0.2">
      <c r="A993" t="str">
        <f t="shared" si="15"/>
        <v>metab_compid_54787</v>
      </c>
      <c r="B993" t="s">
        <v>13269</v>
      </c>
      <c r="C993">
        <v>4524</v>
      </c>
      <c r="D993" t="s">
        <v>13270</v>
      </c>
      <c r="E993" t="s">
        <v>3863</v>
      </c>
      <c r="F993" t="s">
        <v>7216</v>
      </c>
      <c r="G993">
        <v>54787</v>
      </c>
      <c r="H993" t="s">
        <v>11327</v>
      </c>
      <c r="I993">
        <v>100009389</v>
      </c>
      <c r="J993">
        <v>2617</v>
      </c>
      <c r="K993">
        <v>404.21908999999999</v>
      </c>
      <c r="L993" t="s">
        <v>13271</v>
      </c>
      <c r="M993">
        <v>3937</v>
      </c>
      <c r="N993" t="s">
        <v>11145</v>
      </c>
      <c r="O993" t="s">
        <v>11145</v>
      </c>
      <c r="P993" t="s">
        <v>13269</v>
      </c>
    </row>
    <row r="994" spans="1:16" x14ac:dyDescent="0.2">
      <c r="A994" t="str">
        <f t="shared" si="15"/>
        <v>metab_compid_38306</v>
      </c>
      <c r="B994" t="s">
        <v>13272</v>
      </c>
      <c r="C994">
        <v>4548</v>
      </c>
      <c r="D994" t="s">
        <v>7464</v>
      </c>
      <c r="E994" t="s">
        <v>3863</v>
      </c>
      <c r="F994" t="s">
        <v>6220</v>
      </c>
      <c r="G994">
        <v>38306</v>
      </c>
      <c r="H994" t="s">
        <v>11320</v>
      </c>
      <c r="I994">
        <v>100002405</v>
      </c>
      <c r="J994">
        <v>2817</v>
      </c>
      <c r="K994">
        <v>130.10873000000001</v>
      </c>
      <c r="L994" t="s">
        <v>7465</v>
      </c>
      <c r="M994">
        <v>4091</v>
      </c>
      <c r="N994" t="s">
        <v>7468</v>
      </c>
      <c r="O994" t="s">
        <v>13273</v>
      </c>
      <c r="P994" t="s">
        <v>13272</v>
      </c>
    </row>
    <row r="995" spans="1:16" x14ac:dyDescent="0.2">
      <c r="A995" t="str">
        <f t="shared" si="15"/>
        <v>metab_compid_46144</v>
      </c>
      <c r="B995" t="s">
        <v>13274</v>
      </c>
      <c r="C995">
        <v>4164</v>
      </c>
      <c r="D995" t="s">
        <v>8369</v>
      </c>
      <c r="E995" t="s">
        <v>3863</v>
      </c>
      <c r="F995" t="s">
        <v>3864</v>
      </c>
      <c r="G995">
        <v>46144</v>
      </c>
      <c r="H995" t="s">
        <v>11327</v>
      </c>
      <c r="I995">
        <v>100005864</v>
      </c>
      <c r="J995">
        <v>1070</v>
      </c>
      <c r="K995">
        <v>193.0718</v>
      </c>
      <c r="L995" t="s">
        <v>11145</v>
      </c>
      <c r="M995" t="s">
        <v>11145</v>
      </c>
      <c r="N995" t="s">
        <v>11145</v>
      </c>
      <c r="O995" t="s">
        <v>11145</v>
      </c>
      <c r="P995" t="s">
        <v>13274</v>
      </c>
    </row>
    <row r="996" spans="1:16" x14ac:dyDescent="0.2">
      <c r="A996" t="str">
        <f t="shared" si="15"/>
        <v>metab_compid_1584</v>
      </c>
      <c r="B996" t="s">
        <v>13275</v>
      </c>
      <c r="C996">
        <v>4053</v>
      </c>
      <c r="D996" t="s">
        <v>4674</v>
      </c>
      <c r="E996" t="s">
        <v>3863</v>
      </c>
      <c r="F996" t="s">
        <v>3864</v>
      </c>
      <c r="G996">
        <v>1584</v>
      </c>
      <c r="H996" t="s">
        <v>11320</v>
      </c>
      <c r="I996">
        <v>1104</v>
      </c>
      <c r="J996">
        <v>3380</v>
      </c>
      <c r="K996">
        <v>190.08626000000001</v>
      </c>
      <c r="L996" t="s">
        <v>4675</v>
      </c>
      <c r="M996">
        <v>74706</v>
      </c>
      <c r="N996" t="s">
        <v>11145</v>
      </c>
      <c r="O996" t="s">
        <v>13276</v>
      </c>
      <c r="P996" t="s">
        <v>13275</v>
      </c>
    </row>
    <row r="997" spans="1:16" x14ac:dyDescent="0.2">
      <c r="A997" t="str">
        <f t="shared" si="15"/>
        <v>metab_compid_48429</v>
      </c>
      <c r="B997" t="s">
        <v>13277</v>
      </c>
      <c r="C997">
        <v>3749</v>
      </c>
      <c r="D997" t="s">
        <v>8465</v>
      </c>
      <c r="E997" t="s">
        <v>3863</v>
      </c>
      <c r="F997" t="s">
        <v>5082</v>
      </c>
      <c r="G997">
        <v>48429</v>
      </c>
      <c r="H997" t="s">
        <v>11327</v>
      </c>
      <c r="I997">
        <v>100006116</v>
      </c>
      <c r="J997">
        <v>2873</v>
      </c>
      <c r="K997">
        <v>230.99688</v>
      </c>
      <c r="L997" t="s">
        <v>11145</v>
      </c>
      <c r="M997" t="s">
        <v>11145</v>
      </c>
      <c r="N997" t="s">
        <v>11145</v>
      </c>
      <c r="O997" t="s">
        <v>11145</v>
      </c>
      <c r="P997" t="s">
        <v>13277</v>
      </c>
    </row>
    <row r="998" spans="1:16" x14ac:dyDescent="0.2">
      <c r="A998" t="str">
        <f t="shared" si="15"/>
        <v>metab_compid_61873</v>
      </c>
      <c r="B998" t="s">
        <v>13278</v>
      </c>
      <c r="C998">
        <v>4824</v>
      </c>
      <c r="D998" t="s">
        <v>9635</v>
      </c>
      <c r="E998" t="s">
        <v>3863</v>
      </c>
      <c r="F998" t="s">
        <v>5632</v>
      </c>
      <c r="G998">
        <v>61873</v>
      </c>
      <c r="H998" t="s">
        <v>11327</v>
      </c>
      <c r="I998">
        <v>100020006</v>
      </c>
      <c r="J998">
        <v>4163</v>
      </c>
      <c r="K998">
        <v>237.02269999999999</v>
      </c>
      <c r="L998" t="s">
        <v>11145</v>
      </c>
      <c r="M998" t="s">
        <v>11145</v>
      </c>
      <c r="N998" t="s">
        <v>11145</v>
      </c>
      <c r="O998" t="s">
        <v>11145</v>
      </c>
      <c r="P998" t="s">
        <v>13278</v>
      </c>
    </row>
    <row r="999" spans="1:16" x14ac:dyDescent="0.2">
      <c r="A999" t="str">
        <f t="shared" si="15"/>
        <v>metab_compid_18037</v>
      </c>
      <c r="B999" t="s">
        <v>13279</v>
      </c>
      <c r="C999">
        <v>4497</v>
      </c>
      <c r="D999" t="s">
        <v>13280</v>
      </c>
      <c r="E999" t="s">
        <v>3863</v>
      </c>
      <c r="F999" t="s">
        <v>7216</v>
      </c>
      <c r="G999">
        <v>18037</v>
      </c>
      <c r="H999" t="s">
        <v>11320</v>
      </c>
      <c r="I999">
        <v>2028</v>
      </c>
      <c r="J999">
        <v>3312</v>
      </c>
      <c r="K999">
        <v>268.19072</v>
      </c>
      <c r="L999" t="s">
        <v>13281</v>
      </c>
      <c r="M999">
        <v>4171</v>
      </c>
      <c r="N999" t="s">
        <v>13282</v>
      </c>
      <c r="O999" t="s">
        <v>13283</v>
      </c>
      <c r="P999" t="s">
        <v>13279</v>
      </c>
    </row>
    <row r="1000" spans="1:16" x14ac:dyDescent="0.2">
      <c r="A1000" t="str">
        <f t="shared" si="15"/>
        <v>metab_compid_34109</v>
      </c>
      <c r="B1000" t="s">
        <v>13284</v>
      </c>
      <c r="C1000">
        <v>4498</v>
      </c>
      <c r="D1000" t="s">
        <v>13285</v>
      </c>
      <c r="E1000" t="s">
        <v>3863</v>
      </c>
      <c r="F1000" t="s">
        <v>7216</v>
      </c>
      <c r="G1000">
        <v>34109</v>
      </c>
      <c r="H1000" t="s">
        <v>11320</v>
      </c>
      <c r="I1000">
        <v>100001385</v>
      </c>
      <c r="J1000">
        <v>2950</v>
      </c>
      <c r="K1000">
        <v>268.15433999999999</v>
      </c>
      <c r="L1000" t="s">
        <v>13286</v>
      </c>
      <c r="M1000">
        <v>62936</v>
      </c>
      <c r="N1000" t="s">
        <v>11145</v>
      </c>
      <c r="O1000" t="s">
        <v>11145</v>
      </c>
      <c r="P1000" t="s">
        <v>13284</v>
      </c>
    </row>
    <row r="1001" spans="1:16" x14ac:dyDescent="0.2">
      <c r="A1001" t="str">
        <f t="shared" si="15"/>
        <v>metab_compid_61844</v>
      </c>
      <c r="B1001" t="s">
        <v>13287</v>
      </c>
      <c r="C1001">
        <v>4397</v>
      </c>
      <c r="D1001" t="s">
        <v>13288</v>
      </c>
      <c r="E1001" t="s">
        <v>3863</v>
      </c>
      <c r="F1001" t="s">
        <v>4942</v>
      </c>
      <c r="G1001">
        <v>61844</v>
      </c>
      <c r="H1001" t="s">
        <v>11327</v>
      </c>
      <c r="I1001">
        <v>100016052</v>
      </c>
      <c r="J1001">
        <v>2495</v>
      </c>
      <c r="K1001">
        <v>460.16129999999998</v>
      </c>
      <c r="L1001" t="s">
        <v>11145</v>
      </c>
      <c r="M1001">
        <v>5484731</v>
      </c>
      <c r="N1001" t="s">
        <v>13289</v>
      </c>
      <c r="O1001" t="s">
        <v>13290</v>
      </c>
      <c r="P1001" t="s">
        <v>13287</v>
      </c>
    </row>
    <row r="1002" spans="1:16" x14ac:dyDescent="0.2">
      <c r="A1002" t="str">
        <f t="shared" si="15"/>
        <v>metab_compid_31536</v>
      </c>
      <c r="B1002" t="s">
        <v>13291</v>
      </c>
      <c r="C1002">
        <v>4056</v>
      </c>
      <c r="D1002" t="s">
        <v>5807</v>
      </c>
      <c r="E1002" t="s">
        <v>3863</v>
      </c>
      <c r="F1002" t="s">
        <v>3864</v>
      </c>
      <c r="G1002">
        <v>31536</v>
      </c>
      <c r="H1002" t="s">
        <v>11327</v>
      </c>
      <c r="I1002">
        <v>100001086</v>
      </c>
      <c r="J1002">
        <v>1525</v>
      </c>
      <c r="K1002">
        <v>168.03022999999999</v>
      </c>
      <c r="L1002" t="s">
        <v>13292</v>
      </c>
      <c r="M1002">
        <v>21863</v>
      </c>
      <c r="N1002" t="s">
        <v>11145</v>
      </c>
      <c r="O1002" t="s">
        <v>13293</v>
      </c>
      <c r="P1002" t="s">
        <v>13291</v>
      </c>
    </row>
    <row r="1003" spans="1:16" x14ac:dyDescent="0.2">
      <c r="A1003" t="str">
        <f t="shared" si="15"/>
        <v>metab_compid_45404</v>
      </c>
      <c r="B1003" t="s">
        <v>13294</v>
      </c>
      <c r="C1003">
        <v>3934</v>
      </c>
      <c r="D1003" t="s">
        <v>8285</v>
      </c>
      <c r="E1003" t="s">
        <v>3863</v>
      </c>
      <c r="F1003" t="s">
        <v>3864</v>
      </c>
      <c r="G1003">
        <v>45404</v>
      </c>
      <c r="H1003" t="s">
        <v>11320</v>
      </c>
      <c r="I1003">
        <v>100005367</v>
      </c>
      <c r="J1003">
        <v>1348</v>
      </c>
      <c r="K1003">
        <v>220.06380999999999</v>
      </c>
      <c r="L1003" t="s">
        <v>11145</v>
      </c>
      <c r="M1003" t="s">
        <v>11145</v>
      </c>
      <c r="N1003" t="s">
        <v>11145</v>
      </c>
      <c r="O1003" t="s">
        <v>11145</v>
      </c>
      <c r="P1003" t="s">
        <v>13294</v>
      </c>
    </row>
    <row r="1004" spans="1:16" x14ac:dyDescent="0.2">
      <c r="A1004" t="str">
        <f t="shared" si="15"/>
        <v>metab_compid_62711</v>
      </c>
      <c r="B1004" t="s">
        <v>13295</v>
      </c>
      <c r="C1004">
        <v>4149</v>
      </c>
      <c r="D1004" t="s">
        <v>9787</v>
      </c>
      <c r="E1004" t="s">
        <v>3863</v>
      </c>
      <c r="F1004" t="s">
        <v>3864</v>
      </c>
      <c r="G1004">
        <v>62711</v>
      </c>
      <c r="H1004" t="s">
        <v>11327</v>
      </c>
      <c r="I1004">
        <v>100020514</v>
      </c>
      <c r="J1004">
        <v>1496</v>
      </c>
      <c r="K1004">
        <v>215.10373000000001</v>
      </c>
      <c r="L1004" t="s">
        <v>11145</v>
      </c>
      <c r="M1004" t="s">
        <v>11145</v>
      </c>
      <c r="N1004" t="s">
        <v>11145</v>
      </c>
      <c r="O1004" t="s">
        <v>11145</v>
      </c>
      <c r="P1004" t="s">
        <v>13295</v>
      </c>
    </row>
    <row r="1005" spans="1:16" x14ac:dyDescent="0.2">
      <c r="A1005" t="str">
        <f t="shared" si="15"/>
        <v>metab_compid_52355</v>
      </c>
      <c r="B1005" t="s">
        <v>13296</v>
      </c>
      <c r="C1005">
        <v>4389</v>
      </c>
      <c r="D1005" t="s">
        <v>13297</v>
      </c>
      <c r="E1005" t="s">
        <v>3863</v>
      </c>
      <c r="F1005" t="s">
        <v>4942</v>
      </c>
      <c r="G1005">
        <v>52355</v>
      </c>
      <c r="H1005" t="s">
        <v>11320</v>
      </c>
      <c r="I1005">
        <v>100006384</v>
      </c>
      <c r="J1005">
        <v>3360</v>
      </c>
      <c r="K1005">
        <v>250.18016</v>
      </c>
      <c r="L1005" t="s">
        <v>13298</v>
      </c>
      <c r="M1005">
        <v>10354700</v>
      </c>
      <c r="N1005" t="s">
        <v>11145</v>
      </c>
      <c r="O1005" t="s">
        <v>13299</v>
      </c>
      <c r="P1005" t="s">
        <v>13296</v>
      </c>
    </row>
    <row r="1006" spans="1:16" x14ac:dyDescent="0.2">
      <c r="A1006" t="str">
        <f t="shared" si="15"/>
        <v>metab_compid_47101</v>
      </c>
      <c r="B1006" t="s">
        <v>13300</v>
      </c>
      <c r="C1006">
        <v>4313</v>
      </c>
      <c r="D1006" t="s">
        <v>8303</v>
      </c>
      <c r="E1006" t="s">
        <v>3863</v>
      </c>
      <c r="F1006" t="s">
        <v>8265</v>
      </c>
      <c r="G1006">
        <v>47101</v>
      </c>
      <c r="H1006" t="s">
        <v>11320</v>
      </c>
      <c r="I1006">
        <v>100005383</v>
      </c>
      <c r="J1006">
        <v>1932</v>
      </c>
      <c r="K1006">
        <v>144.10191</v>
      </c>
      <c r="L1006" t="s">
        <v>8304</v>
      </c>
      <c r="M1006">
        <v>11286529</v>
      </c>
      <c r="N1006" t="s">
        <v>11145</v>
      </c>
      <c r="O1006" t="s">
        <v>11145</v>
      </c>
      <c r="P1006" t="s">
        <v>13300</v>
      </c>
    </row>
    <row r="1007" spans="1:16" x14ac:dyDescent="0.2">
      <c r="A1007" t="str">
        <f t="shared" si="15"/>
        <v>metab_compid_12122</v>
      </c>
      <c r="B1007" t="s">
        <v>13301</v>
      </c>
      <c r="C1007">
        <v>4350</v>
      </c>
      <c r="D1007" t="s">
        <v>4953</v>
      </c>
      <c r="E1007" t="s">
        <v>3863</v>
      </c>
      <c r="F1007" t="s">
        <v>4942</v>
      </c>
      <c r="G1007">
        <v>12122</v>
      </c>
      <c r="H1007" t="s">
        <v>11327</v>
      </c>
      <c r="I1007">
        <v>1384</v>
      </c>
      <c r="J1007">
        <v>4155</v>
      </c>
      <c r="K1007">
        <v>229.08702</v>
      </c>
      <c r="L1007" t="s">
        <v>4954</v>
      </c>
      <c r="M1007">
        <v>156391</v>
      </c>
      <c r="N1007" t="s">
        <v>4957</v>
      </c>
      <c r="O1007" t="s">
        <v>13302</v>
      </c>
      <c r="P1007" t="s">
        <v>13301</v>
      </c>
    </row>
    <row r="1008" spans="1:16" x14ac:dyDescent="0.2">
      <c r="A1008" t="str">
        <f t="shared" si="15"/>
        <v>metab_compid_34598</v>
      </c>
      <c r="B1008" t="s">
        <v>13303</v>
      </c>
      <c r="C1008">
        <v>4503</v>
      </c>
      <c r="D1008" t="s">
        <v>13304</v>
      </c>
      <c r="E1008" t="s">
        <v>3863</v>
      </c>
      <c r="F1008" t="s">
        <v>7216</v>
      </c>
      <c r="G1008">
        <v>34598</v>
      </c>
      <c r="H1008" t="s">
        <v>11327</v>
      </c>
      <c r="I1008">
        <v>100001514</v>
      </c>
      <c r="J1008">
        <v>4980</v>
      </c>
      <c r="K1008">
        <v>345.10921000000002</v>
      </c>
      <c r="L1008" t="s">
        <v>13305</v>
      </c>
      <c r="M1008">
        <v>4485</v>
      </c>
      <c r="N1008" t="s">
        <v>13306</v>
      </c>
      <c r="O1008" t="s">
        <v>11145</v>
      </c>
      <c r="P1008" t="s">
        <v>13303</v>
      </c>
    </row>
    <row r="1009" spans="1:16" x14ac:dyDescent="0.2">
      <c r="A1009" t="str">
        <f t="shared" si="15"/>
        <v>metab_compid_36845</v>
      </c>
      <c r="B1009" t="s">
        <v>13307</v>
      </c>
      <c r="C1009">
        <v>3763</v>
      </c>
      <c r="D1009" t="s">
        <v>7018</v>
      </c>
      <c r="E1009" t="s">
        <v>3863</v>
      </c>
      <c r="F1009" t="s">
        <v>5082</v>
      </c>
      <c r="G1009">
        <v>36845</v>
      </c>
      <c r="H1009" t="s">
        <v>11327</v>
      </c>
      <c r="I1009">
        <v>100001806</v>
      </c>
      <c r="J1009">
        <v>2796</v>
      </c>
      <c r="K1009">
        <v>187.00704999999999</v>
      </c>
      <c r="L1009" t="s">
        <v>11145</v>
      </c>
      <c r="M1009">
        <v>11615528</v>
      </c>
      <c r="N1009" t="s">
        <v>11145</v>
      </c>
      <c r="O1009" t="s">
        <v>11145</v>
      </c>
      <c r="P1009" t="s">
        <v>13307</v>
      </c>
    </row>
    <row r="1010" spans="1:16" x14ac:dyDescent="0.2">
      <c r="A1010" t="str">
        <f t="shared" si="15"/>
        <v>metab_compid_53239</v>
      </c>
      <c r="B1010" t="s">
        <v>13308</v>
      </c>
      <c r="C1010">
        <v>4387</v>
      </c>
      <c r="D1010" t="s">
        <v>8687</v>
      </c>
      <c r="E1010" t="s">
        <v>3863</v>
      </c>
      <c r="F1010" t="s">
        <v>4942</v>
      </c>
      <c r="G1010">
        <v>53239</v>
      </c>
      <c r="H1010" t="s">
        <v>11320</v>
      </c>
      <c r="I1010">
        <v>100006382</v>
      </c>
      <c r="J1010">
        <v>3045</v>
      </c>
      <c r="K1010">
        <v>250.18016</v>
      </c>
      <c r="L1010" t="s">
        <v>8688</v>
      </c>
      <c r="M1010">
        <v>130829</v>
      </c>
      <c r="N1010" t="s">
        <v>11145</v>
      </c>
      <c r="O1010" t="s">
        <v>13309</v>
      </c>
      <c r="P1010" t="s">
        <v>13308</v>
      </c>
    </row>
    <row r="1011" spans="1:16" x14ac:dyDescent="0.2">
      <c r="A1011" t="str">
        <f t="shared" si="15"/>
        <v>metab_compid_52357</v>
      </c>
      <c r="B1011" t="s">
        <v>13310</v>
      </c>
      <c r="C1011">
        <v>4388</v>
      </c>
      <c r="D1011" t="s">
        <v>8694</v>
      </c>
      <c r="E1011" t="s">
        <v>3863</v>
      </c>
      <c r="F1011" t="s">
        <v>4942</v>
      </c>
      <c r="G1011">
        <v>52357</v>
      </c>
      <c r="H1011" t="s">
        <v>11320</v>
      </c>
      <c r="I1011">
        <v>100006383</v>
      </c>
      <c r="J1011">
        <v>2741</v>
      </c>
      <c r="K1011">
        <v>426.21224999999998</v>
      </c>
      <c r="L1011" t="s">
        <v>8695</v>
      </c>
      <c r="M1011" t="s">
        <v>11145</v>
      </c>
      <c r="N1011" t="s">
        <v>11145</v>
      </c>
      <c r="O1011" t="s">
        <v>11145</v>
      </c>
      <c r="P1011" t="s">
        <v>13310</v>
      </c>
    </row>
    <row r="1012" spans="1:16" x14ac:dyDescent="0.2">
      <c r="A1012" t="str">
        <f t="shared" si="15"/>
        <v>metab_compid_43334</v>
      </c>
      <c r="B1012" t="s">
        <v>13311</v>
      </c>
      <c r="C1012">
        <v>4616</v>
      </c>
      <c r="D1012" t="s">
        <v>8096</v>
      </c>
      <c r="E1012" t="s">
        <v>3863</v>
      </c>
      <c r="F1012" t="s">
        <v>4933</v>
      </c>
      <c r="G1012">
        <v>43334</v>
      </c>
      <c r="H1012" t="s">
        <v>11320</v>
      </c>
      <c r="I1012">
        <v>100004173</v>
      </c>
      <c r="J1012">
        <v>3253</v>
      </c>
      <c r="K1012">
        <v>264.19580999999999</v>
      </c>
      <c r="L1012" t="s">
        <v>8097</v>
      </c>
      <c r="M1012">
        <v>125017</v>
      </c>
      <c r="N1012" t="s">
        <v>8100</v>
      </c>
      <c r="O1012" t="s">
        <v>13312</v>
      </c>
      <c r="P1012" t="s">
        <v>13311</v>
      </c>
    </row>
    <row r="1013" spans="1:16" x14ac:dyDescent="0.2">
      <c r="A1013" t="str">
        <f t="shared" si="15"/>
        <v>metab_compid_47883</v>
      </c>
      <c r="B1013" t="s">
        <v>13313</v>
      </c>
      <c r="C1013">
        <v>4555</v>
      </c>
      <c r="D1013" t="s">
        <v>13314</v>
      </c>
      <c r="E1013" t="s">
        <v>3863</v>
      </c>
      <c r="F1013" t="s">
        <v>6220</v>
      </c>
      <c r="G1013">
        <v>47883</v>
      </c>
      <c r="H1013" t="s">
        <v>11327</v>
      </c>
      <c r="I1013">
        <v>100005933</v>
      </c>
      <c r="J1013">
        <v>5015</v>
      </c>
      <c r="K1013">
        <v>573.24063999999998</v>
      </c>
      <c r="L1013" t="s">
        <v>13315</v>
      </c>
      <c r="M1013">
        <v>9808225</v>
      </c>
      <c r="N1013" t="s">
        <v>11145</v>
      </c>
      <c r="O1013" t="s">
        <v>11145</v>
      </c>
      <c r="P1013" t="s">
        <v>13313</v>
      </c>
    </row>
    <row r="1014" spans="1:16" x14ac:dyDescent="0.2">
      <c r="A1014" t="str">
        <f t="shared" si="15"/>
        <v>metab_compid_45413</v>
      </c>
      <c r="B1014" t="s">
        <v>13316</v>
      </c>
      <c r="C1014">
        <v>4745</v>
      </c>
      <c r="D1014" t="s">
        <v>13317</v>
      </c>
      <c r="E1014" t="s">
        <v>3863</v>
      </c>
      <c r="F1014" t="s">
        <v>5632</v>
      </c>
      <c r="G1014">
        <v>45413</v>
      </c>
      <c r="H1014" t="s">
        <v>11327</v>
      </c>
      <c r="I1014">
        <v>100005384</v>
      </c>
      <c r="J1014">
        <v>990</v>
      </c>
      <c r="K1014">
        <v>260.02343000000002</v>
      </c>
      <c r="L1014" t="s">
        <v>11145</v>
      </c>
      <c r="M1014">
        <v>514186</v>
      </c>
      <c r="N1014" t="s">
        <v>11145</v>
      </c>
      <c r="O1014" t="s">
        <v>11145</v>
      </c>
      <c r="P1014" t="s">
        <v>13316</v>
      </c>
    </row>
    <row r="1015" spans="1:16" x14ac:dyDescent="0.2">
      <c r="A1015" t="str">
        <f t="shared" si="15"/>
        <v>metab_compid_38600</v>
      </c>
      <c r="B1015" t="s">
        <v>13318</v>
      </c>
      <c r="C1015">
        <v>4540</v>
      </c>
      <c r="D1015" t="s">
        <v>7593</v>
      </c>
      <c r="E1015" t="s">
        <v>3863</v>
      </c>
      <c r="F1015" t="s">
        <v>7590</v>
      </c>
      <c r="G1015">
        <v>38600</v>
      </c>
      <c r="H1015" t="s">
        <v>11327</v>
      </c>
      <c r="I1015">
        <v>100002725</v>
      </c>
      <c r="J1015">
        <v>4673</v>
      </c>
      <c r="K1015">
        <v>344.10743000000002</v>
      </c>
      <c r="L1015" t="s">
        <v>7594</v>
      </c>
      <c r="M1015">
        <v>4594</v>
      </c>
      <c r="N1015" t="s">
        <v>7597</v>
      </c>
      <c r="O1015" t="s">
        <v>13319</v>
      </c>
      <c r="P1015" t="s">
        <v>13318</v>
      </c>
    </row>
    <row r="1016" spans="1:16" x14ac:dyDescent="0.2">
      <c r="A1016" t="str">
        <f t="shared" si="15"/>
        <v>metab_compid_41726</v>
      </c>
      <c r="B1016" t="s">
        <v>13320</v>
      </c>
      <c r="C1016">
        <v>4570</v>
      </c>
      <c r="D1016" t="s">
        <v>7529</v>
      </c>
      <c r="E1016" t="s">
        <v>3863</v>
      </c>
      <c r="F1016" t="s">
        <v>6220</v>
      </c>
      <c r="G1016">
        <v>41726</v>
      </c>
      <c r="H1016" t="s">
        <v>11545</v>
      </c>
      <c r="I1016">
        <v>100002489</v>
      </c>
      <c r="J1016">
        <v>1656</v>
      </c>
      <c r="K1016">
        <v>151.02615</v>
      </c>
      <c r="L1016" t="s">
        <v>7530</v>
      </c>
      <c r="M1016">
        <v>4644</v>
      </c>
      <c r="N1016" t="s">
        <v>7533</v>
      </c>
      <c r="O1016" t="s">
        <v>13321</v>
      </c>
      <c r="P1016" t="s">
        <v>13320</v>
      </c>
    </row>
    <row r="1017" spans="1:16" x14ac:dyDescent="0.2">
      <c r="A1017" t="str">
        <f t="shared" si="15"/>
        <v>metab_compid_36103</v>
      </c>
      <c r="B1017" t="s">
        <v>13322</v>
      </c>
      <c r="C1017">
        <v>3756</v>
      </c>
      <c r="D1017" t="s">
        <v>6215</v>
      </c>
      <c r="E1017" t="s">
        <v>3863</v>
      </c>
      <c r="F1017" t="s">
        <v>5082</v>
      </c>
      <c r="G1017">
        <v>36103</v>
      </c>
      <c r="H1017" t="s">
        <v>11327</v>
      </c>
      <c r="I1017">
        <v>100001315</v>
      </c>
      <c r="J1017">
        <v>2890</v>
      </c>
      <c r="K1017">
        <v>187.00704999999999</v>
      </c>
      <c r="L1017" t="s">
        <v>6216</v>
      </c>
      <c r="M1017">
        <v>4615423</v>
      </c>
      <c r="N1017" t="s">
        <v>11145</v>
      </c>
      <c r="O1017" t="s">
        <v>13323</v>
      </c>
      <c r="P1017" t="s">
        <v>13322</v>
      </c>
    </row>
    <row r="1018" spans="1:16" x14ac:dyDescent="0.2">
      <c r="A1018" t="str">
        <f t="shared" si="15"/>
        <v>metab_compid_47881</v>
      </c>
      <c r="B1018" t="s">
        <v>13324</v>
      </c>
      <c r="C1018">
        <v>4558</v>
      </c>
      <c r="D1018" t="s">
        <v>13325</v>
      </c>
      <c r="E1018" t="s">
        <v>3863</v>
      </c>
      <c r="F1018" t="s">
        <v>6220</v>
      </c>
      <c r="G1018">
        <v>47881</v>
      </c>
      <c r="H1018" t="s">
        <v>11327</v>
      </c>
      <c r="I1018">
        <v>100005939</v>
      </c>
      <c r="J1018">
        <v>4650</v>
      </c>
      <c r="K1018">
        <v>573.24063999999998</v>
      </c>
      <c r="L1018" t="s">
        <v>13326</v>
      </c>
      <c r="M1018">
        <v>9851106</v>
      </c>
      <c r="N1018" t="s">
        <v>11145</v>
      </c>
      <c r="O1018" t="s">
        <v>11145</v>
      </c>
      <c r="P1018" t="s">
        <v>13324</v>
      </c>
    </row>
    <row r="1019" spans="1:16" x14ac:dyDescent="0.2">
      <c r="A1019" t="str">
        <f t="shared" si="15"/>
        <v>metab_compid_18254</v>
      </c>
      <c r="B1019" t="s">
        <v>13327</v>
      </c>
      <c r="C1019">
        <v>3775</v>
      </c>
      <c r="D1019" t="s">
        <v>5360</v>
      </c>
      <c r="E1019" t="s">
        <v>3863</v>
      </c>
      <c r="F1019" t="s">
        <v>4373</v>
      </c>
      <c r="G1019">
        <v>18254</v>
      </c>
      <c r="H1019" t="s">
        <v>11327</v>
      </c>
      <c r="I1019">
        <v>100000453</v>
      </c>
      <c r="J1019">
        <v>2279</v>
      </c>
      <c r="K1019">
        <v>179.05744999999999</v>
      </c>
      <c r="L1019" t="s">
        <v>5361</v>
      </c>
      <c r="M1019">
        <v>4687</v>
      </c>
      <c r="N1019" t="s">
        <v>5364</v>
      </c>
      <c r="O1019" t="s">
        <v>13328</v>
      </c>
      <c r="P1019" t="s">
        <v>13327</v>
      </c>
    </row>
    <row r="1020" spans="1:16" x14ac:dyDescent="0.2">
      <c r="A1020" t="str">
        <f t="shared" si="15"/>
        <v>metab_compid_57564</v>
      </c>
      <c r="B1020" t="s">
        <v>13329</v>
      </c>
      <c r="C1020">
        <v>4840</v>
      </c>
      <c r="D1020" t="s">
        <v>9281</v>
      </c>
      <c r="E1020" t="s">
        <v>3863</v>
      </c>
      <c r="F1020" t="s">
        <v>5632</v>
      </c>
      <c r="G1020">
        <v>57564</v>
      </c>
      <c r="H1020" t="s">
        <v>11327</v>
      </c>
      <c r="I1020">
        <v>100010955</v>
      </c>
      <c r="J1020">
        <v>5233</v>
      </c>
      <c r="K1020">
        <v>498.93020999999999</v>
      </c>
      <c r="L1020" t="s">
        <v>9282</v>
      </c>
      <c r="M1020">
        <v>74483</v>
      </c>
      <c r="N1020" t="s">
        <v>9285</v>
      </c>
      <c r="O1020" t="s">
        <v>13330</v>
      </c>
      <c r="P1020" t="s">
        <v>13329</v>
      </c>
    </row>
    <row r="1021" spans="1:16" x14ac:dyDescent="0.2">
      <c r="A1021" t="str">
        <f t="shared" si="15"/>
        <v>metab_compid_62071</v>
      </c>
      <c r="B1021" t="s">
        <v>13331</v>
      </c>
      <c r="C1021">
        <v>4883</v>
      </c>
      <c r="D1021" t="s">
        <v>13332</v>
      </c>
      <c r="E1021" t="s">
        <v>3863</v>
      </c>
      <c r="F1021" t="s">
        <v>5632</v>
      </c>
      <c r="G1021">
        <v>62071</v>
      </c>
      <c r="H1021" t="s">
        <v>11327</v>
      </c>
      <c r="I1021">
        <v>100020208</v>
      </c>
      <c r="J1021">
        <v>5130</v>
      </c>
      <c r="K1021">
        <v>412.96642000000003</v>
      </c>
      <c r="L1021" t="s">
        <v>11145</v>
      </c>
      <c r="M1021">
        <v>9554</v>
      </c>
      <c r="N1021" t="s">
        <v>11145</v>
      </c>
      <c r="O1021" t="s">
        <v>13333</v>
      </c>
      <c r="P1021" t="s">
        <v>13331</v>
      </c>
    </row>
    <row r="1022" spans="1:16" x14ac:dyDescent="0.2">
      <c r="A1022" t="str">
        <f t="shared" si="15"/>
        <v>metab_compid_52372</v>
      </c>
      <c r="B1022" t="s">
        <v>13334</v>
      </c>
      <c r="C1022">
        <v>4530</v>
      </c>
      <c r="D1022" t="s">
        <v>13335</v>
      </c>
      <c r="E1022" t="s">
        <v>3863</v>
      </c>
      <c r="F1022" t="s">
        <v>7216</v>
      </c>
      <c r="G1022">
        <v>52372</v>
      </c>
      <c r="H1022" t="s">
        <v>11322</v>
      </c>
      <c r="I1022">
        <v>100006237</v>
      </c>
      <c r="J1022">
        <v>904</v>
      </c>
      <c r="K1022">
        <v>369.23840000000001</v>
      </c>
      <c r="L1022" t="s">
        <v>13336</v>
      </c>
      <c r="M1022">
        <v>107807</v>
      </c>
      <c r="N1022" t="s">
        <v>13337</v>
      </c>
      <c r="O1022" t="s">
        <v>13338</v>
      </c>
      <c r="P1022" t="s">
        <v>13334</v>
      </c>
    </row>
    <row r="1023" spans="1:16" x14ac:dyDescent="0.2">
      <c r="A1023" t="str">
        <f t="shared" si="15"/>
        <v>metab_compid_598</v>
      </c>
      <c r="B1023" t="s">
        <v>13339</v>
      </c>
      <c r="C1023">
        <v>4079</v>
      </c>
      <c r="D1023" t="s">
        <v>4095</v>
      </c>
      <c r="E1023" t="s">
        <v>3863</v>
      </c>
      <c r="F1023" t="s">
        <v>3864</v>
      </c>
      <c r="G1023">
        <v>598</v>
      </c>
      <c r="H1023" t="s">
        <v>11327</v>
      </c>
      <c r="I1023">
        <v>466</v>
      </c>
      <c r="J1023">
        <v>5908</v>
      </c>
      <c r="K1023">
        <v>311.29554999999999</v>
      </c>
      <c r="L1023" t="s">
        <v>4096</v>
      </c>
      <c r="M1023">
        <v>26840</v>
      </c>
      <c r="N1023" t="s">
        <v>4099</v>
      </c>
      <c r="O1023" t="s">
        <v>13340</v>
      </c>
      <c r="P1023" t="s">
        <v>13339</v>
      </c>
    </row>
    <row r="1024" spans="1:16" x14ac:dyDescent="0.2">
      <c r="A1024" t="str">
        <f t="shared" si="15"/>
        <v>metab_compid_33139</v>
      </c>
      <c r="B1024" t="s">
        <v>13341</v>
      </c>
      <c r="C1024">
        <v>4547</v>
      </c>
      <c r="D1024" t="s">
        <v>6223</v>
      </c>
      <c r="E1024" t="s">
        <v>3863</v>
      </c>
      <c r="F1024" t="s">
        <v>6220</v>
      </c>
      <c r="G1024">
        <v>33139</v>
      </c>
      <c r="H1024" t="s">
        <v>11322</v>
      </c>
      <c r="I1024">
        <v>100001317</v>
      </c>
      <c r="J1024">
        <v>751</v>
      </c>
      <c r="K1024">
        <v>357.12673999999998</v>
      </c>
      <c r="L1024" t="s">
        <v>6224</v>
      </c>
      <c r="M1024">
        <v>4829</v>
      </c>
      <c r="N1024" t="s">
        <v>13342</v>
      </c>
      <c r="O1024" t="s">
        <v>13343</v>
      </c>
      <c r="P1024" t="s">
        <v>13341</v>
      </c>
    </row>
    <row r="1025" spans="1:16" x14ac:dyDescent="0.2">
      <c r="A1025" t="str">
        <f t="shared" si="15"/>
        <v>metab_compid_33935</v>
      </c>
      <c r="B1025" t="s">
        <v>13344</v>
      </c>
      <c r="C1025">
        <v>4085</v>
      </c>
      <c r="D1025" t="s">
        <v>6076</v>
      </c>
      <c r="E1025" t="s">
        <v>3863</v>
      </c>
      <c r="F1025" t="s">
        <v>3864</v>
      </c>
      <c r="G1025">
        <v>33935</v>
      </c>
      <c r="H1025" t="s">
        <v>11322</v>
      </c>
      <c r="I1025">
        <v>100001267</v>
      </c>
      <c r="J1025">
        <v>1168</v>
      </c>
      <c r="K1025">
        <v>286.14377000000002</v>
      </c>
      <c r="L1025" t="s">
        <v>6077</v>
      </c>
      <c r="M1025">
        <v>638024</v>
      </c>
      <c r="N1025" t="s">
        <v>6080</v>
      </c>
      <c r="O1025" t="s">
        <v>13345</v>
      </c>
      <c r="P1025" t="s">
        <v>13344</v>
      </c>
    </row>
    <row r="1026" spans="1:16" x14ac:dyDescent="0.2">
      <c r="A1026" t="str">
        <f t="shared" si="15"/>
        <v>metab_compid_52913</v>
      </c>
      <c r="B1026" t="s">
        <v>13346</v>
      </c>
      <c r="C1026">
        <v>4606</v>
      </c>
      <c r="D1026" t="s">
        <v>8851</v>
      </c>
      <c r="E1026" t="s">
        <v>3863</v>
      </c>
      <c r="F1026" t="s">
        <v>4959</v>
      </c>
      <c r="G1026">
        <v>52913</v>
      </c>
      <c r="H1026" t="s">
        <v>11320</v>
      </c>
      <c r="I1026">
        <v>100008943</v>
      </c>
      <c r="J1026">
        <v>3123</v>
      </c>
      <c r="K1026">
        <v>160.13320999999999</v>
      </c>
      <c r="L1026" t="s">
        <v>8852</v>
      </c>
      <c r="M1026">
        <v>4715169</v>
      </c>
      <c r="N1026" t="s">
        <v>11145</v>
      </c>
      <c r="O1026" t="s">
        <v>11145</v>
      </c>
      <c r="P1026" t="s">
        <v>13346</v>
      </c>
    </row>
    <row r="1027" spans="1:16" x14ac:dyDescent="0.2">
      <c r="A1027" t="str">
        <f t="shared" ref="A1027:A1063" si="16">_xlfn.CONCAT("metab_compid_", $G1027)</f>
        <v>metab_compid_48480</v>
      </c>
      <c r="B1027" t="s">
        <v>13347</v>
      </c>
      <c r="C1027">
        <v>3750</v>
      </c>
      <c r="D1027" t="s">
        <v>8530</v>
      </c>
      <c r="E1027" t="s">
        <v>3863</v>
      </c>
      <c r="F1027" t="s">
        <v>5082</v>
      </c>
      <c r="G1027">
        <v>48480</v>
      </c>
      <c r="H1027" t="s">
        <v>11327</v>
      </c>
      <c r="I1027">
        <v>100006205</v>
      </c>
      <c r="J1027">
        <v>4794</v>
      </c>
      <c r="K1027">
        <v>179.07136</v>
      </c>
      <c r="L1027" t="s">
        <v>8531</v>
      </c>
      <c r="M1027">
        <v>7175</v>
      </c>
      <c r="N1027" t="s">
        <v>8534</v>
      </c>
      <c r="O1027" t="s">
        <v>13348</v>
      </c>
      <c r="P1027" t="s">
        <v>13347</v>
      </c>
    </row>
    <row r="1028" spans="1:16" x14ac:dyDescent="0.2">
      <c r="A1028" t="str">
        <f t="shared" si="16"/>
        <v>metab_compid_48460</v>
      </c>
      <c r="B1028" t="s">
        <v>13349</v>
      </c>
      <c r="C1028">
        <v>3751</v>
      </c>
      <c r="D1028" t="s">
        <v>8567</v>
      </c>
      <c r="E1028" t="s">
        <v>3863</v>
      </c>
      <c r="F1028" t="s">
        <v>5082</v>
      </c>
      <c r="G1028">
        <v>48460</v>
      </c>
      <c r="H1028" t="s">
        <v>11327</v>
      </c>
      <c r="I1028">
        <v>100006264</v>
      </c>
      <c r="J1028">
        <v>3971</v>
      </c>
      <c r="K1028">
        <v>259.02818000000002</v>
      </c>
      <c r="L1028" t="s">
        <v>8568</v>
      </c>
      <c r="M1028" t="s">
        <v>11145</v>
      </c>
      <c r="N1028" t="s">
        <v>11145</v>
      </c>
      <c r="O1028" t="s">
        <v>11145</v>
      </c>
      <c r="P1028" t="s">
        <v>13349</v>
      </c>
    </row>
    <row r="1029" spans="1:16" x14ac:dyDescent="0.2">
      <c r="A1029" t="str">
        <f t="shared" si="16"/>
        <v>metab_compid_48428</v>
      </c>
      <c r="B1029" t="s">
        <v>13350</v>
      </c>
      <c r="C1029">
        <v>4192</v>
      </c>
      <c r="D1029" t="s">
        <v>6947</v>
      </c>
      <c r="E1029" t="s">
        <v>3863</v>
      </c>
      <c r="F1029" t="s">
        <v>3864</v>
      </c>
      <c r="G1029">
        <v>48428</v>
      </c>
      <c r="H1029" t="s">
        <v>11320</v>
      </c>
      <c r="I1029">
        <v>100001767</v>
      </c>
      <c r="J1029">
        <v>2750</v>
      </c>
      <c r="K1029">
        <v>255.13394</v>
      </c>
      <c r="L1029" t="s">
        <v>6948</v>
      </c>
      <c r="M1029">
        <v>122228</v>
      </c>
      <c r="N1029" t="s">
        <v>11145</v>
      </c>
      <c r="O1029" t="s">
        <v>13351</v>
      </c>
      <c r="P1029" t="s">
        <v>13350</v>
      </c>
    </row>
    <row r="1030" spans="1:16" x14ac:dyDescent="0.2">
      <c r="A1030" t="str">
        <f t="shared" si="16"/>
        <v>metab_compid_18335</v>
      </c>
      <c r="B1030" t="s">
        <v>13352</v>
      </c>
      <c r="C1030">
        <v>4114</v>
      </c>
      <c r="D1030" t="s">
        <v>5336</v>
      </c>
      <c r="E1030" t="s">
        <v>3863</v>
      </c>
      <c r="F1030" t="s">
        <v>3864</v>
      </c>
      <c r="G1030">
        <v>18335</v>
      </c>
      <c r="H1030" t="s">
        <v>11545</v>
      </c>
      <c r="I1030">
        <v>100000442</v>
      </c>
      <c r="J1030">
        <v>2432.9</v>
      </c>
      <c r="K1030">
        <v>191.05610999999999</v>
      </c>
      <c r="L1030" t="s">
        <v>5337</v>
      </c>
      <c r="M1030">
        <v>6508</v>
      </c>
      <c r="N1030" t="s">
        <v>5340</v>
      </c>
      <c r="O1030" t="s">
        <v>13353</v>
      </c>
      <c r="P1030" t="s">
        <v>13352</v>
      </c>
    </row>
    <row r="1031" spans="1:16" x14ac:dyDescent="0.2">
      <c r="A1031" t="str">
        <f t="shared" si="16"/>
        <v>metab_compid_39767</v>
      </c>
      <c r="B1031" t="s">
        <v>13354</v>
      </c>
      <c r="C1031">
        <v>4450</v>
      </c>
      <c r="D1031" t="s">
        <v>7786</v>
      </c>
      <c r="E1031" t="s">
        <v>3863</v>
      </c>
      <c r="F1031" t="s">
        <v>7477</v>
      </c>
      <c r="G1031">
        <v>39767</v>
      </c>
      <c r="H1031" t="s">
        <v>11320</v>
      </c>
      <c r="I1031">
        <v>100002968</v>
      </c>
      <c r="J1031">
        <v>3378</v>
      </c>
      <c r="K1031">
        <v>325.19105999999999</v>
      </c>
      <c r="L1031" t="s">
        <v>7787</v>
      </c>
      <c r="M1031">
        <v>2728270</v>
      </c>
      <c r="N1031" t="s">
        <v>11145</v>
      </c>
      <c r="O1031" t="s">
        <v>11145</v>
      </c>
      <c r="P1031" t="s">
        <v>13354</v>
      </c>
    </row>
    <row r="1032" spans="1:16" x14ac:dyDescent="0.2">
      <c r="A1032" t="str">
        <f t="shared" si="16"/>
        <v>metab_compid_38595</v>
      </c>
      <c r="B1032" t="s">
        <v>13355</v>
      </c>
      <c r="C1032">
        <v>4536</v>
      </c>
      <c r="D1032" t="s">
        <v>7617</v>
      </c>
      <c r="E1032" t="s">
        <v>3863</v>
      </c>
      <c r="F1032" t="s">
        <v>7590</v>
      </c>
      <c r="G1032">
        <v>38595</v>
      </c>
      <c r="H1032" t="s">
        <v>11327</v>
      </c>
      <c r="I1032">
        <v>100002735</v>
      </c>
      <c r="J1032">
        <v>3804</v>
      </c>
      <c r="K1032">
        <v>313.13398000000001</v>
      </c>
      <c r="L1032" t="s">
        <v>7618</v>
      </c>
      <c r="M1032">
        <v>3001055</v>
      </c>
      <c r="N1032" t="s">
        <v>7621</v>
      </c>
      <c r="O1032" t="s">
        <v>13356</v>
      </c>
      <c r="P1032" t="s">
        <v>13355</v>
      </c>
    </row>
    <row r="1033" spans="1:16" x14ac:dyDescent="0.2">
      <c r="A1033" t="str">
        <f t="shared" si="16"/>
        <v>metab_compid_62485</v>
      </c>
      <c r="B1033" t="s">
        <v>13357</v>
      </c>
      <c r="C1033">
        <v>4537</v>
      </c>
      <c r="D1033" t="s">
        <v>9867</v>
      </c>
      <c r="E1033" t="s">
        <v>3863</v>
      </c>
      <c r="F1033" t="s">
        <v>7590</v>
      </c>
      <c r="G1033">
        <v>62485</v>
      </c>
      <c r="H1033" t="s">
        <v>11320</v>
      </c>
      <c r="I1033">
        <v>100020810</v>
      </c>
      <c r="J1033">
        <v>2926</v>
      </c>
      <c r="K1033">
        <v>331.14346</v>
      </c>
      <c r="L1033" t="s">
        <v>11145</v>
      </c>
      <c r="M1033">
        <v>3033888</v>
      </c>
      <c r="N1033" t="s">
        <v>11145</v>
      </c>
      <c r="O1033" t="s">
        <v>11145</v>
      </c>
      <c r="P1033" t="s">
        <v>13357</v>
      </c>
    </row>
    <row r="1034" spans="1:16" x14ac:dyDescent="0.2">
      <c r="A1034" t="str">
        <f t="shared" si="16"/>
        <v>metab_compid_52958</v>
      </c>
      <c r="B1034" t="s">
        <v>13358</v>
      </c>
      <c r="C1034">
        <v>4514</v>
      </c>
      <c r="D1034" t="s">
        <v>13359</v>
      </c>
      <c r="E1034" t="s">
        <v>3863</v>
      </c>
      <c r="F1034" t="s">
        <v>7216</v>
      </c>
      <c r="G1034">
        <v>52958</v>
      </c>
      <c r="H1034" t="s">
        <v>11327</v>
      </c>
      <c r="I1034">
        <v>100008950</v>
      </c>
      <c r="J1034">
        <v>4425</v>
      </c>
      <c r="K1034">
        <v>434.05829</v>
      </c>
      <c r="L1034" t="s">
        <v>13360</v>
      </c>
      <c r="M1034">
        <v>6433119</v>
      </c>
      <c r="N1034" t="s">
        <v>11145</v>
      </c>
      <c r="O1034" t="s">
        <v>11145</v>
      </c>
      <c r="P1034" t="s">
        <v>13358</v>
      </c>
    </row>
    <row r="1035" spans="1:16" x14ac:dyDescent="0.2">
      <c r="A1035" t="str">
        <f t="shared" si="16"/>
        <v>metab_compid_43239</v>
      </c>
      <c r="B1035" t="s">
        <v>13361</v>
      </c>
      <c r="C1035">
        <v>4122</v>
      </c>
      <c r="D1035" t="s">
        <v>8216</v>
      </c>
      <c r="E1035" t="s">
        <v>3863</v>
      </c>
      <c r="F1035" t="s">
        <v>3864</v>
      </c>
      <c r="G1035">
        <v>43239</v>
      </c>
      <c r="H1035" t="s">
        <v>11320</v>
      </c>
      <c r="I1035">
        <v>100004509</v>
      </c>
      <c r="J1035">
        <v>2690</v>
      </c>
      <c r="K1035">
        <v>162.05833000000001</v>
      </c>
      <c r="L1035" t="s">
        <v>8217</v>
      </c>
      <c r="M1035">
        <v>98280</v>
      </c>
      <c r="N1035" t="s">
        <v>11145</v>
      </c>
      <c r="O1035" t="s">
        <v>13362</v>
      </c>
      <c r="P1035" t="s">
        <v>13361</v>
      </c>
    </row>
    <row r="1036" spans="1:16" x14ac:dyDescent="0.2">
      <c r="A1036" t="str">
        <f t="shared" si="16"/>
        <v>metab_compid_21151</v>
      </c>
      <c r="B1036" t="s">
        <v>13363</v>
      </c>
      <c r="C1036">
        <v>4119</v>
      </c>
      <c r="D1036" t="s">
        <v>5619</v>
      </c>
      <c r="E1036" t="s">
        <v>3863</v>
      </c>
      <c r="F1036" t="s">
        <v>3864</v>
      </c>
      <c r="G1036">
        <v>21151</v>
      </c>
      <c r="H1036" t="s">
        <v>11327</v>
      </c>
      <c r="I1036">
        <v>100000870</v>
      </c>
      <c r="J1036">
        <v>2000</v>
      </c>
      <c r="K1036">
        <v>181.99172999999999</v>
      </c>
      <c r="L1036" t="s">
        <v>5620</v>
      </c>
      <c r="M1036">
        <v>5143</v>
      </c>
      <c r="N1036" t="s">
        <v>13364</v>
      </c>
      <c r="O1036" t="s">
        <v>13365</v>
      </c>
      <c r="P1036" t="s">
        <v>13363</v>
      </c>
    </row>
    <row r="1037" spans="1:16" x14ac:dyDescent="0.2">
      <c r="A1037" t="str">
        <f t="shared" si="16"/>
        <v>metab_compid_1515</v>
      </c>
      <c r="B1037" t="s">
        <v>13366</v>
      </c>
      <c r="C1037">
        <v>4667</v>
      </c>
      <c r="D1037" t="s">
        <v>4145</v>
      </c>
      <c r="E1037" t="s">
        <v>3863</v>
      </c>
      <c r="F1037" t="s">
        <v>4142</v>
      </c>
      <c r="G1037">
        <v>1515</v>
      </c>
      <c r="H1037" t="s">
        <v>11545</v>
      </c>
      <c r="I1037">
        <v>501</v>
      </c>
      <c r="J1037">
        <v>802</v>
      </c>
      <c r="K1037">
        <v>137.02422000000001</v>
      </c>
      <c r="L1037" t="s">
        <v>4146</v>
      </c>
      <c r="M1037">
        <v>338</v>
      </c>
      <c r="N1037" t="s">
        <v>4149</v>
      </c>
      <c r="O1037" t="s">
        <v>13367</v>
      </c>
      <c r="P1037" t="s">
        <v>13366</v>
      </c>
    </row>
    <row r="1038" spans="1:16" x14ac:dyDescent="0.2">
      <c r="A1038" t="str">
        <f t="shared" si="16"/>
        <v>metab_compid_33384</v>
      </c>
      <c r="B1038" t="s">
        <v>13368</v>
      </c>
      <c r="C1038">
        <v>4362</v>
      </c>
      <c r="D1038" t="s">
        <v>6256</v>
      </c>
      <c r="E1038" t="s">
        <v>3863</v>
      </c>
      <c r="F1038" t="s">
        <v>4942</v>
      </c>
      <c r="G1038">
        <v>33384</v>
      </c>
      <c r="H1038" t="s">
        <v>11327</v>
      </c>
      <c r="I1038">
        <v>100001332</v>
      </c>
      <c r="J1038">
        <v>1463</v>
      </c>
      <c r="K1038">
        <v>370.07796999999999</v>
      </c>
      <c r="L1038" t="s">
        <v>11145</v>
      </c>
      <c r="M1038" t="s">
        <v>11145</v>
      </c>
      <c r="N1038" t="s">
        <v>11145</v>
      </c>
      <c r="O1038" t="s">
        <v>11145</v>
      </c>
      <c r="P1038" t="s">
        <v>13368</v>
      </c>
    </row>
    <row r="1039" spans="1:16" x14ac:dyDescent="0.2">
      <c r="A1039" t="str">
        <f t="shared" si="16"/>
        <v>metab_compid_52961</v>
      </c>
      <c r="B1039" t="s">
        <v>13369</v>
      </c>
      <c r="C1039">
        <v>4526</v>
      </c>
      <c r="D1039" t="s">
        <v>13370</v>
      </c>
      <c r="E1039" t="s">
        <v>3863</v>
      </c>
      <c r="F1039" t="s">
        <v>7216</v>
      </c>
      <c r="G1039">
        <v>52961</v>
      </c>
      <c r="H1039" t="s">
        <v>11322</v>
      </c>
      <c r="I1039">
        <v>100008971</v>
      </c>
      <c r="J1039">
        <v>946</v>
      </c>
      <c r="K1039">
        <v>475.2122</v>
      </c>
      <c r="L1039" t="s">
        <v>13371</v>
      </c>
      <c r="M1039">
        <v>5212</v>
      </c>
      <c r="N1039" t="s">
        <v>13372</v>
      </c>
      <c r="O1039" t="s">
        <v>13373</v>
      </c>
      <c r="P1039" t="s">
        <v>13369</v>
      </c>
    </row>
    <row r="1040" spans="1:16" x14ac:dyDescent="0.2">
      <c r="A1040" t="str">
        <f t="shared" si="16"/>
        <v>metab_compid_52954</v>
      </c>
      <c r="B1040" t="s">
        <v>13374</v>
      </c>
      <c r="C1040">
        <v>4552</v>
      </c>
      <c r="D1040" t="s">
        <v>8898</v>
      </c>
      <c r="E1040" t="s">
        <v>3863</v>
      </c>
      <c r="F1040" t="s">
        <v>6220</v>
      </c>
      <c r="G1040">
        <v>52954</v>
      </c>
      <c r="H1040" t="s">
        <v>11327</v>
      </c>
      <c r="I1040">
        <v>100008964</v>
      </c>
      <c r="J1040">
        <v>4485</v>
      </c>
      <c r="K1040">
        <v>468.11119000000002</v>
      </c>
      <c r="L1040" t="s">
        <v>8899</v>
      </c>
      <c r="M1040">
        <v>11306691</v>
      </c>
      <c r="N1040" t="s">
        <v>11145</v>
      </c>
      <c r="O1040" t="s">
        <v>11145</v>
      </c>
      <c r="P1040" t="s">
        <v>13374</v>
      </c>
    </row>
    <row r="1041" spans="1:16" x14ac:dyDescent="0.2">
      <c r="A1041" t="str">
        <f t="shared" si="16"/>
        <v>metab_compid_39788</v>
      </c>
      <c r="B1041" t="s">
        <v>13375</v>
      </c>
      <c r="C1041">
        <v>4131</v>
      </c>
      <c r="D1041" t="s">
        <v>7647</v>
      </c>
      <c r="E1041" t="s">
        <v>3863</v>
      </c>
      <c r="F1041" t="s">
        <v>3864</v>
      </c>
      <c r="G1041">
        <v>39788</v>
      </c>
      <c r="H1041" t="s">
        <v>11322</v>
      </c>
      <c r="I1041">
        <v>100002773</v>
      </c>
      <c r="J1041">
        <v>1010</v>
      </c>
      <c r="K1041">
        <v>398.34174999999999</v>
      </c>
      <c r="L1041" t="s">
        <v>7648</v>
      </c>
      <c r="M1041">
        <v>65727</v>
      </c>
      <c r="N1041" t="s">
        <v>7651</v>
      </c>
      <c r="O1041" t="s">
        <v>13376</v>
      </c>
      <c r="P1041" t="s">
        <v>13375</v>
      </c>
    </row>
    <row r="1042" spans="1:16" x14ac:dyDescent="0.2">
      <c r="A1042" t="str">
        <f t="shared" si="16"/>
        <v>metab_compid_34384</v>
      </c>
      <c r="B1042" t="s">
        <v>13377</v>
      </c>
      <c r="C1042">
        <v>4139</v>
      </c>
      <c r="D1042" t="s">
        <v>6180</v>
      </c>
      <c r="E1042" t="s">
        <v>3863</v>
      </c>
      <c r="F1042" t="s">
        <v>3864</v>
      </c>
      <c r="G1042">
        <v>34384</v>
      </c>
      <c r="H1042" t="s">
        <v>11320</v>
      </c>
      <c r="I1042">
        <v>100001296</v>
      </c>
      <c r="J1042">
        <v>1440</v>
      </c>
      <c r="K1042">
        <v>144.10191</v>
      </c>
      <c r="L1042" t="s">
        <v>6181</v>
      </c>
      <c r="M1042">
        <v>115244</v>
      </c>
      <c r="N1042" t="s">
        <v>6184</v>
      </c>
      <c r="O1042" t="s">
        <v>13378</v>
      </c>
      <c r="P1042" t="s">
        <v>13377</v>
      </c>
    </row>
    <row r="1043" spans="1:16" x14ac:dyDescent="0.2">
      <c r="A1043" t="str">
        <f t="shared" si="16"/>
        <v>metab_compid_41888</v>
      </c>
      <c r="B1043" t="s">
        <v>13379</v>
      </c>
      <c r="C1043">
        <v>4849</v>
      </c>
      <c r="D1043" t="s">
        <v>13380</v>
      </c>
      <c r="E1043" t="s">
        <v>3863</v>
      </c>
      <c r="F1043" t="s">
        <v>5632</v>
      </c>
      <c r="G1043">
        <v>41888</v>
      </c>
      <c r="H1043" t="s">
        <v>11545</v>
      </c>
      <c r="I1043">
        <v>100003696</v>
      </c>
      <c r="J1043">
        <v>2155</v>
      </c>
      <c r="K1043">
        <v>116.03532</v>
      </c>
      <c r="L1043" t="s">
        <v>13381</v>
      </c>
      <c r="M1043">
        <v>11439</v>
      </c>
      <c r="N1043" t="s">
        <v>13382</v>
      </c>
      <c r="O1043" t="s">
        <v>11145</v>
      </c>
      <c r="P1043" t="s">
        <v>13379</v>
      </c>
    </row>
    <row r="1044" spans="1:16" x14ac:dyDescent="0.2">
      <c r="A1044" t="str">
        <f t="shared" si="16"/>
        <v>metab_compid_62295</v>
      </c>
      <c r="B1044" t="s">
        <v>13383</v>
      </c>
      <c r="C1044">
        <v>4097</v>
      </c>
      <c r="D1044" t="s">
        <v>9781</v>
      </c>
      <c r="E1044" t="s">
        <v>3863</v>
      </c>
      <c r="F1044" t="s">
        <v>3864</v>
      </c>
      <c r="G1044">
        <v>62295</v>
      </c>
      <c r="H1044" t="s">
        <v>11327</v>
      </c>
      <c r="I1044">
        <v>100020496</v>
      </c>
      <c r="J1044">
        <v>4112</v>
      </c>
      <c r="K1044">
        <v>352.08600999999999</v>
      </c>
      <c r="L1044" t="s">
        <v>11145</v>
      </c>
      <c r="M1044" t="s">
        <v>11145</v>
      </c>
      <c r="N1044" t="s">
        <v>11145</v>
      </c>
      <c r="O1044" t="s">
        <v>11145</v>
      </c>
      <c r="P1044" t="s">
        <v>13383</v>
      </c>
    </row>
    <row r="1045" spans="1:16" x14ac:dyDescent="0.2">
      <c r="A1045" t="str">
        <f t="shared" si="16"/>
        <v>metab_compid_62296</v>
      </c>
      <c r="B1045" t="s">
        <v>13384</v>
      </c>
      <c r="C1045">
        <v>4098</v>
      </c>
      <c r="D1045" t="s">
        <v>9782</v>
      </c>
      <c r="E1045" t="s">
        <v>3863</v>
      </c>
      <c r="F1045" t="s">
        <v>3864</v>
      </c>
      <c r="G1045">
        <v>62296</v>
      </c>
      <c r="H1045" t="s">
        <v>11327</v>
      </c>
      <c r="I1045">
        <v>100020497</v>
      </c>
      <c r="J1045">
        <v>4200</v>
      </c>
      <c r="K1045">
        <v>352.08600999999999</v>
      </c>
      <c r="L1045" t="s">
        <v>11145</v>
      </c>
      <c r="M1045" t="s">
        <v>11145</v>
      </c>
      <c r="N1045" t="s">
        <v>11145</v>
      </c>
      <c r="O1045" t="s">
        <v>11145</v>
      </c>
      <c r="P1045" t="s">
        <v>13384</v>
      </c>
    </row>
    <row r="1046" spans="1:16" x14ac:dyDescent="0.2">
      <c r="A1046" t="str">
        <f t="shared" si="16"/>
        <v>metab_compid_62297</v>
      </c>
      <c r="B1046" t="s">
        <v>13385</v>
      </c>
      <c r="C1046">
        <v>4103</v>
      </c>
      <c r="D1046" t="s">
        <v>9783</v>
      </c>
      <c r="E1046" t="s">
        <v>3863</v>
      </c>
      <c r="F1046" t="s">
        <v>3864</v>
      </c>
      <c r="G1046">
        <v>62297</v>
      </c>
      <c r="H1046" t="s">
        <v>11327</v>
      </c>
      <c r="I1046">
        <v>100020502</v>
      </c>
      <c r="J1046">
        <v>4481</v>
      </c>
      <c r="K1046">
        <v>378.10167000000001</v>
      </c>
      <c r="L1046" t="s">
        <v>11145</v>
      </c>
      <c r="M1046" t="s">
        <v>11145</v>
      </c>
      <c r="N1046" t="s">
        <v>11145</v>
      </c>
      <c r="O1046" t="s">
        <v>11145</v>
      </c>
      <c r="P1046" t="s">
        <v>13385</v>
      </c>
    </row>
    <row r="1047" spans="1:16" x14ac:dyDescent="0.2">
      <c r="A1047" t="str">
        <f t="shared" si="16"/>
        <v>metab_compid_62299</v>
      </c>
      <c r="B1047" t="s">
        <v>13386</v>
      </c>
      <c r="C1047">
        <v>4105</v>
      </c>
      <c r="D1047" t="s">
        <v>9784</v>
      </c>
      <c r="E1047" t="s">
        <v>3863</v>
      </c>
      <c r="F1047" t="s">
        <v>3864</v>
      </c>
      <c r="G1047">
        <v>62299</v>
      </c>
      <c r="H1047" t="s">
        <v>11327</v>
      </c>
      <c r="I1047">
        <v>100020504</v>
      </c>
      <c r="J1047">
        <v>4630</v>
      </c>
      <c r="K1047">
        <v>378.10167000000001</v>
      </c>
      <c r="L1047" t="s">
        <v>11145</v>
      </c>
      <c r="M1047" t="s">
        <v>11145</v>
      </c>
      <c r="N1047" t="s">
        <v>11145</v>
      </c>
      <c r="O1047" t="s">
        <v>11145</v>
      </c>
      <c r="P1047" t="s">
        <v>13386</v>
      </c>
    </row>
    <row r="1048" spans="1:16" x14ac:dyDescent="0.2">
      <c r="A1048" t="str">
        <f t="shared" si="16"/>
        <v>metab_compid_46960</v>
      </c>
      <c r="B1048" t="s">
        <v>13387</v>
      </c>
      <c r="C1048">
        <v>4742</v>
      </c>
      <c r="D1048" t="s">
        <v>7553</v>
      </c>
      <c r="E1048" t="s">
        <v>3863</v>
      </c>
      <c r="F1048" t="s">
        <v>5632</v>
      </c>
      <c r="G1048">
        <v>46960</v>
      </c>
      <c r="H1048" t="s">
        <v>11327</v>
      </c>
      <c r="I1048">
        <v>100002528</v>
      </c>
      <c r="J1048">
        <v>616</v>
      </c>
      <c r="K1048">
        <v>96.960099999999997</v>
      </c>
      <c r="L1048" t="s">
        <v>7554</v>
      </c>
      <c r="M1048">
        <v>1118</v>
      </c>
      <c r="N1048" t="s">
        <v>7557</v>
      </c>
      <c r="O1048" t="s">
        <v>7556</v>
      </c>
      <c r="P1048" t="s">
        <v>13387</v>
      </c>
    </row>
    <row r="1049" spans="1:16" x14ac:dyDescent="0.2">
      <c r="A1049" t="str">
        <f t="shared" si="16"/>
        <v>metab_compid_52950</v>
      </c>
      <c r="B1049" t="s">
        <v>13388</v>
      </c>
      <c r="C1049">
        <v>4527</v>
      </c>
      <c r="D1049" t="s">
        <v>8906</v>
      </c>
      <c r="E1049" t="s">
        <v>3863</v>
      </c>
      <c r="F1049" t="s">
        <v>7216</v>
      </c>
      <c r="G1049">
        <v>52950</v>
      </c>
      <c r="H1049" t="s">
        <v>11327</v>
      </c>
      <c r="I1049">
        <v>100008974</v>
      </c>
      <c r="J1049">
        <v>4898</v>
      </c>
      <c r="K1049">
        <v>388.13028000000003</v>
      </c>
      <c r="L1049" t="s">
        <v>8907</v>
      </c>
      <c r="M1049">
        <v>4687521</v>
      </c>
      <c r="N1049" t="s">
        <v>11145</v>
      </c>
      <c r="O1049" t="s">
        <v>11145</v>
      </c>
      <c r="P1049" t="s">
        <v>13388</v>
      </c>
    </row>
    <row r="1050" spans="1:16" x14ac:dyDescent="0.2">
      <c r="A1050" t="str">
        <f t="shared" si="16"/>
        <v>metab_compid_15336</v>
      </c>
      <c r="B1050" t="s">
        <v>13389</v>
      </c>
      <c r="C1050">
        <v>4147</v>
      </c>
      <c r="D1050" t="s">
        <v>5297</v>
      </c>
      <c r="E1050" t="s">
        <v>3863</v>
      </c>
      <c r="F1050" t="s">
        <v>3864</v>
      </c>
      <c r="G1050">
        <v>15336</v>
      </c>
      <c r="H1050" t="s">
        <v>11327</v>
      </c>
      <c r="I1050">
        <v>100000295</v>
      </c>
      <c r="J1050">
        <v>615.29999999999995</v>
      </c>
      <c r="K1050">
        <v>149.00916000000001</v>
      </c>
      <c r="L1050" t="s">
        <v>13390</v>
      </c>
      <c r="M1050">
        <v>444305</v>
      </c>
      <c r="N1050" t="s">
        <v>13391</v>
      </c>
      <c r="O1050" t="s">
        <v>13392</v>
      </c>
      <c r="P1050" t="s">
        <v>13389</v>
      </c>
    </row>
    <row r="1051" spans="1:16" x14ac:dyDescent="0.2">
      <c r="A1051" t="str">
        <f t="shared" si="16"/>
        <v>metab_compid_20693</v>
      </c>
      <c r="B1051" t="s">
        <v>13393</v>
      </c>
      <c r="C1051">
        <v>4280</v>
      </c>
      <c r="D1051" t="s">
        <v>5594</v>
      </c>
      <c r="E1051" t="s">
        <v>3863</v>
      </c>
      <c r="F1051" t="s">
        <v>8265</v>
      </c>
      <c r="G1051">
        <v>20693</v>
      </c>
      <c r="H1051" t="s">
        <v>11327</v>
      </c>
      <c r="I1051">
        <v>100000840</v>
      </c>
      <c r="J1051">
        <v>610</v>
      </c>
      <c r="K1051">
        <v>118.99858999999999</v>
      </c>
      <c r="L1051" t="s">
        <v>5595</v>
      </c>
      <c r="M1051">
        <v>45</v>
      </c>
      <c r="N1051" t="s">
        <v>5598</v>
      </c>
      <c r="O1051" t="s">
        <v>13394</v>
      </c>
      <c r="P1051" t="s">
        <v>13393</v>
      </c>
    </row>
    <row r="1052" spans="1:16" x14ac:dyDescent="0.2">
      <c r="A1052" t="str">
        <f t="shared" si="16"/>
        <v>metab_compid_61836</v>
      </c>
      <c r="B1052" t="s">
        <v>13395</v>
      </c>
      <c r="C1052">
        <v>4648</v>
      </c>
      <c r="D1052" t="s">
        <v>13396</v>
      </c>
      <c r="E1052" t="s">
        <v>3863</v>
      </c>
      <c r="F1052" t="s">
        <v>4933</v>
      </c>
      <c r="G1052">
        <v>61836</v>
      </c>
      <c r="H1052" t="s">
        <v>11327</v>
      </c>
      <c r="I1052">
        <v>100016048</v>
      </c>
      <c r="J1052">
        <v>5263</v>
      </c>
      <c r="K1052">
        <v>343.19148000000001</v>
      </c>
      <c r="L1052" t="s">
        <v>11145</v>
      </c>
      <c r="M1052">
        <v>107885</v>
      </c>
      <c r="N1052" t="s">
        <v>11145</v>
      </c>
      <c r="O1052" t="s">
        <v>11145</v>
      </c>
      <c r="P1052" t="s">
        <v>13395</v>
      </c>
    </row>
    <row r="1053" spans="1:16" x14ac:dyDescent="0.2">
      <c r="A1053" t="str">
        <f t="shared" si="16"/>
        <v>metab_compid_22206</v>
      </c>
      <c r="B1053" t="s">
        <v>13397</v>
      </c>
      <c r="C1053">
        <v>4148</v>
      </c>
      <c r="D1053" t="s">
        <v>5545</v>
      </c>
      <c r="E1053" t="s">
        <v>3863</v>
      </c>
      <c r="F1053" t="s">
        <v>3864</v>
      </c>
      <c r="G1053">
        <v>22206</v>
      </c>
      <c r="H1053" t="s">
        <v>11320</v>
      </c>
      <c r="I1053">
        <v>100000784</v>
      </c>
      <c r="J1053">
        <v>2180</v>
      </c>
      <c r="K1053">
        <v>175.10772</v>
      </c>
      <c r="L1053" t="s">
        <v>5546</v>
      </c>
      <c r="M1053">
        <v>439378</v>
      </c>
      <c r="N1053" t="s">
        <v>5549</v>
      </c>
      <c r="O1053" t="s">
        <v>13398</v>
      </c>
      <c r="P1053" t="s">
        <v>13397</v>
      </c>
    </row>
    <row r="1054" spans="1:16" x14ac:dyDescent="0.2">
      <c r="A1054" t="str">
        <f t="shared" si="16"/>
        <v>metab_compid_18394</v>
      </c>
      <c r="B1054" t="s">
        <v>13399</v>
      </c>
      <c r="C1054">
        <v>3777</v>
      </c>
      <c r="D1054" t="s">
        <v>5328</v>
      </c>
      <c r="E1054" t="s">
        <v>3863</v>
      </c>
      <c r="F1054" t="s">
        <v>4373</v>
      </c>
      <c r="G1054">
        <v>18394</v>
      </c>
      <c r="H1054" t="s">
        <v>11327</v>
      </c>
      <c r="I1054">
        <v>100000437</v>
      </c>
      <c r="J1054">
        <v>2356.9</v>
      </c>
      <c r="K1054">
        <v>179.05744999999999</v>
      </c>
      <c r="L1054" t="s">
        <v>5329</v>
      </c>
      <c r="M1054">
        <v>2153</v>
      </c>
      <c r="N1054" t="s">
        <v>5332</v>
      </c>
      <c r="O1054" t="s">
        <v>13400</v>
      </c>
      <c r="P1054" t="s">
        <v>13399</v>
      </c>
    </row>
    <row r="1055" spans="1:16" x14ac:dyDescent="0.2">
      <c r="A1055" t="str">
        <f t="shared" si="16"/>
        <v>metab_compid_53231</v>
      </c>
      <c r="B1055" t="s">
        <v>13401</v>
      </c>
      <c r="C1055">
        <v>4881</v>
      </c>
      <c r="D1055" t="s">
        <v>9129</v>
      </c>
      <c r="E1055" t="s">
        <v>3863</v>
      </c>
      <c r="F1055" t="s">
        <v>5632</v>
      </c>
      <c r="G1055">
        <v>53231</v>
      </c>
      <c r="H1055" t="s">
        <v>11320</v>
      </c>
      <c r="I1055">
        <v>100009232</v>
      </c>
      <c r="J1055">
        <v>1250</v>
      </c>
      <c r="K1055">
        <v>134.02703</v>
      </c>
      <c r="L1055" t="s">
        <v>9130</v>
      </c>
      <c r="M1055">
        <v>93176</v>
      </c>
      <c r="N1055" t="s">
        <v>11145</v>
      </c>
      <c r="O1055" t="s">
        <v>11145</v>
      </c>
      <c r="P1055" t="s">
        <v>13401</v>
      </c>
    </row>
    <row r="1056" spans="1:16" x14ac:dyDescent="0.2">
      <c r="A1056" t="str">
        <f t="shared" si="16"/>
        <v>metab_compid_36095</v>
      </c>
      <c r="B1056" t="s">
        <v>13402</v>
      </c>
      <c r="C1056">
        <v>4151</v>
      </c>
      <c r="D1056" t="s">
        <v>6932</v>
      </c>
      <c r="E1056" t="s">
        <v>3863</v>
      </c>
      <c r="F1056" t="s">
        <v>3864</v>
      </c>
      <c r="G1056">
        <v>36095</v>
      </c>
      <c r="H1056" t="s">
        <v>11327</v>
      </c>
      <c r="I1056">
        <v>100001757</v>
      </c>
      <c r="J1056">
        <v>4410</v>
      </c>
      <c r="K1056">
        <v>229.054</v>
      </c>
      <c r="L1056" t="s">
        <v>6933</v>
      </c>
      <c r="M1056" t="s">
        <v>11145</v>
      </c>
      <c r="N1056" t="s">
        <v>6936</v>
      </c>
      <c r="O1056" t="s">
        <v>13403</v>
      </c>
      <c r="P1056" t="s">
        <v>13402</v>
      </c>
    </row>
    <row r="1057" spans="1:16" x14ac:dyDescent="0.2">
      <c r="A1057" t="str">
        <f t="shared" si="16"/>
        <v>metab_compid_53241</v>
      </c>
      <c r="B1057" t="s">
        <v>13404</v>
      </c>
      <c r="C1057">
        <v>4386</v>
      </c>
      <c r="D1057" t="s">
        <v>8679</v>
      </c>
      <c r="E1057" t="s">
        <v>3863</v>
      </c>
      <c r="F1057" t="s">
        <v>4942</v>
      </c>
      <c r="G1057">
        <v>53241</v>
      </c>
      <c r="H1057" t="s">
        <v>11320</v>
      </c>
      <c r="I1057">
        <v>100006381</v>
      </c>
      <c r="J1057">
        <v>3288</v>
      </c>
      <c r="K1057">
        <v>264.19580999999999</v>
      </c>
      <c r="L1057" t="s">
        <v>8680</v>
      </c>
      <c r="M1057">
        <v>33741</v>
      </c>
      <c r="N1057" t="s">
        <v>8683</v>
      </c>
      <c r="O1057" t="s">
        <v>13405</v>
      </c>
      <c r="P1057" t="s">
        <v>13404</v>
      </c>
    </row>
    <row r="1058" spans="1:16" x14ac:dyDescent="0.2">
      <c r="A1058" t="str">
        <f t="shared" si="16"/>
        <v>metab_compid_57691</v>
      </c>
      <c r="B1058" t="s">
        <v>13406</v>
      </c>
      <c r="C1058">
        <v>4638</v>
      </c>
      <c r="D1058" t="s">
        <v>9402</v>
      </c>
      <c r="E1058" t="s">
        <v>3863</v>
      </c>
      <c r="F1058" t="s">
        <v>4933</v>
      </c>
      <c r="G1058">
        <v>57691</v>
      </c>
      <c r="H1058" t="s">
        <v>11322</v>
      </c>
      <c r="I1058">
        <v>100015783</v>
      </c>
      <c r="J1058">
        <v>837</v>
      </c>
      <c r="K1058">
        <v>372.15857</v>
      </c>
      <c r="L1058" t="s">
        <v>9403</v>
      </c>
      <c r="M1058">
        <v>5533</v>
      </c>
      <c r="N1058" t="s">
        <v>9406</v>
      </c>
      <c r="O1058" t="s">
        <v>13407</v>
      </c>
      <c r="P1058" t="s">
        <v>13406</v>
      </c>
    </row>
    <row r="1059" spans="1:16" x14ac:dyDescent="0.2">
      <c r="A1059" t="str">
        <f t="shared" si="16"/>
        <v>metab_compid_22202</v>
      </c>
      <c r="B1059" t="s">
        <v>13408</v>
      </c>
      <c r="C1059">
        <v>4852</v>
      </c>
      <c r="D1059" t="s">
        <v>13409</v>
      </c>
      <c r="E1059" t="s">
        <v>3863</v>
      </c>
      <c r="F1059" t="s">
        <v>5632</v>
      </c>
      <c r="G1059">
        <v>22202</v>
      </c>
      <c r="H1059" t="s">
        <v>11320</v>
      </c>
      <c r="I1059">
        <v>100000989</v>
      </c>
      <c r="J1059">
        <v>1963</v>
      </c>
      <c r="K1059">
        <v>150.11247</v>
      </c>
      <c r="L1059" t="s">
        <v>13410</v>
      </c>
      <c r="M1059">
        <v>7618</v>
      </c>
      <c r="N1059" t="s">
        <v>13411</v>
      </c>
      <c r="O1059" t="s">
        <v>13412</v>
      </c>
      <c r="P1059" t="s">
        <v>13408</v>
      </c>
    </row>
    <row r="1060" spans="1:16" x14ac:dyDescent="0.2">
      <c r="A1060" t="str">
        <f t="shared" si="16"/>
        <v>metab_compid_48674</v>
      </c>
      <c r="B1060" t="s">
        <v>13413</v>
      </c>
      <c r="C1060">
        <v>4194</v>
      </c>
      <c r="D1060" t="s">
        <v>8574</v>
      </c>
      <c r="E1060" t="s">
        <v>3863</v>
      </c>
      <c r="F1060" t="s">
        <v>3864</v>
      </c>
      <c r="G1060">
        <v>48674</v>
      </c>
      <c r="H1060" t="s">
        <v>11327</v>
      </c>
      <c r="I1060">
        <v>100006282</v>
      </c>
      <c r="J1060">
        <v>2440</v>
      </c>
      <c r="K1060">
        <v>240.98123000000001</v>
      </c>
      <c r="L1060" t="s">
        <v>8575</v>
      </c>
      <c r="M1060">
        <v>129659</v>
      </c>
      <c r="N1060" t="s">
        <v>11145</v>
      </c>
      <c r="O1060" t="s">
        <v>11145</v>
      </c>
      <c r="P1060" t="s">
        <v>13413</v>
      </c>
    </row>
    <row r="1061" spans="1:16" x14ac:dyDescent="0.2">
      <c r="A1061" t="str">
        <f t="shared" si="16"/>
        <v>metab_compid_38623</v>
      </c>
      <c r="B1061" t="s">
        <v>13414</v>
      </c>
      <c r="C1061">
        <v>4615</v>
      </c>
      <c r="D1061" t="s">
        <v>7686</v>
      </c>
      <c r="E1061" t="s">
        <v>3863</v>
      </c>
      <c r="F1061" t="s">
        <v>4933</v>
      </c>
      <c r="G1061">
        <v>38623</v>
      </c>
      <c r="H1061" t="s">
        <v>11322</v>
      </c>
      <c r="I1061">
        <v>100002807</v>
      </c>
      <c r="J1061">
        <v>848</v>
      </c>
      <c r="K1061">
        <v>278.21145999999999</v>
      </c>
      <c r="L1061" t="s">
        <v>7687</v>
      </c>
      <c r="M1061">
        <v>5656</v>
      </c>
      <c r="N1061" t="s">
        <v>7690</v>
      </c>
      <c r="O1061" t="s">
        <v>13415</v>
      </c>
      <c r="P1061" t="s">
        <v>13414</v>
      </c>
    </row>
    <row r="1062" spans="1:16" x14ac:dyDescent="0.2">
      <c r="A1062" t="str">
        <f t="shared" si="16"/>
        <v>metab_compid_42990</v>
      </c>
      <c r="B1062" t="s">
        <v>13416</v>
      </c>
      <c r="C1062">
        <v>4505</v>
      </c>
      <c r="D1062" t="s">
        <v>13417</v>
      </c>
      <c r="E1062" t="s">
        <v>3863</v>
      </c>
      <c r="F1062" t="s">
        <v>7216</v>
      </c>
      <c r="G1062">
        <v>42990</v>
      </c>
      <c r="H1062" t="s">
        <v>11322</v>
      </c>
      <c r="I1062">
        <v>100004028</v>
      </c>
      <c r="J1062">
        <v>945</v>
      </c>
      <c r="K1062">
        <v>455.29043999999999</v>
      </c>
      <c r="L1062" t="s">
        <v>13418</v>
      </c>
      <c r="M1062">
        <v>2520</v>
      </c>
      <c r="N1062" t="s">
        <v>13419</v>
      </c>
      <c r="O1062" t="s">
        <v>13420</v>
      </c>
      <c r="P1062" t="s">
        <v>13416</v>
      </c>
    </row>
    <row r="1063" spans="1:16" x14ac:dyDescent="0.2">
      <c r="A1063" t="str">
        <f t="shared" si="16"/>
        <v>metab_compid_43335</v>
      </c>
      <c r="B1063" t="s">
        <v>13421</v>
      </c>
      <c r="C1063">
        <v>4513</v>
      </c>
      <c r="D1063" t="s">
        <v>8111</v>
      </c>
      <c r="E1063" t="s">
        <v>3863</v>
      </c>
      <c r="F1063" t="s">
        <v>7216</v>
      </c>
      <c r="G1063">
        <v>43335</v>
      </c>
      <c r="H1063" t="s">
        <v>11322</v>
      </c>
      <c r="I1063">
        <v>100004175</v>
      </c>
      <c r="J1063">
        <v>1096</v>
      </c>
      <c r="K1063">
        <v>309.11214000000001</v>
      </c>
      <c r="L1063" t="s">
        <v>8112</v>
      </c>
      <c r="M1063" t="s">
        <v>11145</v>
      </c>
      <c r="N1063" t="s">
        <v>13422</v>
      </c>
      <c r="O1063" t="s">
        <v>13423</v>
      </c>
      <c r="P1063" t="s">
        <v>13421</v>
      </c>
    </row>
  </sheetData>
  <conditionalFormatting sqref="A1:A1063">
    <cfRule type="duplicateValues" dxfId="24" priority="2"/>
    <cfRule type="duplicateValues" dxfId="23" priority="3"/>
  </conditionalFormatting>
  <conditionalFormatting sqref="A1:A1048576">
    <cfRule type="duplicateValues" dxfId="22" priority="1"/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4A00E4-3815-274D-B553-A16C0134E1FF}">
  <dimension ref="A1:H225"/>
  <sheetViews>
    <sheetView topLeftCell="A6" zoomScale="73" workbookViewId="0">
      <selection activeCell="E30" sqref="E30"/>
    </sheetView>
  </sheetViews>
  <sheetFormatPr baseColWidth="10" defaultRowHeight="16" x14ac:dyDescent="0.2"/>
  <cols>
    <col min="1" max="1" width="21.1640625" bestFit="1" customWidth="1"/>
    <col min="3" max="3" width="17.6640625" bestFit="1" customWidth="1"/>
    <col min="5" max="5" width="69.83203125" bestFit="1" customWidth="1"/>
    <col min="7" max="7" width="35.83203125" bestFit="1" customWidth="1"/>
    <col min="8" max="8" width="40.83203125" bestFit="1" customWidth="1"/>
  </cols>
  <sheetData>
    <row r="1" spans="1:8" x14ac:dyDescent="0.2">
      <c r="A1" t="s">
        <v>13424</v>
      </c>
      <c r="B1" t="s">
        <v>13425</v>
      </c>
      <c r="C1" t="s">
        <v>13426</v>
      </c>
      <c r="D1" t="s">
        <v>13427</v>
      </c>
      <c r="E1" t="s">
        <v>13428</v>
      </c>
      <c r="F1" t="s">
        <v>13429</v>
      </c>
      <c r="G1" t="s">
        <v>13430</v>
      </c>
      <c r="H1" t="s">
        <v>13431</v>
      </c>
    </row>
    <row r="2" spans="1:8" x14ac:dyDescent="0.2">
      <c r="A2" t="str">
        <f>_xlfn.CONCAT("metab_", $B2)</f>
        <v>metab_hdlsize</v>
      </c>
      <c r="B2" t="s">
        <v>10656</v>
      </c>
      <c r="C2" t="s">
        <v>10657</v>
      </c>
      <c r="D2" t="s">
        <v>13432</v>
      </c>
      <c r="E2" t="s">
        <v>55</v>
      </c>
      <c r="F2" t="s">
        <v>11123</v>
      </c>
      <c r="G2" t="s">
        <v>56</v>
      </c>
    </row>
    <row r="3" spans="1:8" x14ac:dyDescent="0.2">
      <c r="A3" t="str">
        <f t="shared" ref="A3:A66" si="0">_xlfn.CONCAT("metab_", $B3)</f>
        <v>metab_xsvldltgpct</v>
      </c>
      <c r="B3" t="s">
        <v>11035</v>
      </c>
      <c r="C3" t="s">
        <v>13433</v>
      </c>
      <c r="D3" t="s">
        <v>13434</v>
      </c>
      <c r="E3" t="s">
        <v>1066</v>
      </c>
      <c r="F3" t="s">
        <v>11119</v>
      </c>
      <c r="G3" t="s">
        <v>13435</v>
      </c>
      <c r="H3" t="s">
        <v>13436</v>
      </c>
    </row>
    <row r="4" spans="1:8" x14ac:dyDescent="0.2">
      <c r="A4" t="str">
        <f t="shared" si="0"/>
        <v>metab_xsvldlplpct</v>
      </c>
      <c r="B4" t="s">
        <v>11027</v>
      </c>
      <c r="C4" t="s">
        <v>13437</v>
      </c>
      <c r="D4" t="s">
        <v>13438</v>
      </c>
      <c r="E4" t="s">
        <v>781</v>
      </c>
      <c r="F4" t="s">
        <v>11119</v>
      </c>
      <c r="G4" t="s">
        <v>13435</v>
      </c>
      <c r="H4" t="s">
        <v>13436</v>
      </c>
    </row>
    <row r="5" spans="1:8" x14ac:dyDescent="0.2">
      <c r="A5" t="str">
        <f t="shared" si="0"/>
        <v>metab_xlhdlpl</v>
      </c>
      <c r="B5" t="s">
        <v>10920</v>
      </c>
      <c r="C5" t="s">
        <v>11125</v>
      </c>
      <c r="D5" t="s">
        <v>13439</v>
      </c>
      <c r="E5" t="s">
        <v>714</v>
      </c>
      <c r="F5" t="s">
        <v>11118</v>
      </c>
      <c r="G5" t="s">
        <v>72</v>
      </c>
      <c r="H5" t="s">
        <v>128</v>
      </c>
    </row>
    <row r="6" spans="1:8" x14ac:dyDescent="0.2">
      <c r="A6" t="str">
        <f t="shared" si="0"/>
        <v>metab_glucose</v>
      </c>
      <c r="B6" t="s">
        <v>563</v>
      </c>
      <c r="C6" t="s">
        <v>564</v>
      </c>
      <c r="D6" t="s">
        <v>564</v>
      </c>
      <c r="E6" t="s">
        <v>564</v>
      </c>
      <c r="F6" t="s">
        <v>11118</v>
      </c>
      <c r="G6" t="s">
        <v>341</v>
      </c>
    </row>
    <row r="7" spans="1:8" x14ac:dyDescent="0.2">
      <c r="A7" t="str">
        <f t="shared" si="0"/>
        <v>metab_xlhdll</v>
      </c>
      <c r="B7" t="s">
        <v>10918</v>
      </c>
      <c r="C7" t="s">
        <v>11126</v>
      </c>
      <c r="D7" t="s">
        <v>13440</v>
      </c>
      <c r="E7" t="s">
        <v>912</v>
      </c>
      <c r="F7" t="s">
        <v>11118</v>
      </c>
      <c r="G7" t="s">
        <v>72</v>
      </c>
      <c r="H7" t="s">
        <v>128</v>
      </c>
    </row>
    <row r="8" spans="1:8" x14ac:dyDescent="0.2">
      <c r="A8" t="str">
        <f t="shared" si="0"/>
        <v>metab_svldltgpct</v>
      </c>
      <c r="B8" t="s">
        <v>11025</v>
      </c>
      <c r="C8" t="s">
        <v>13441</v>
      </c>
      <c r="D8" t="s">
        <v>13442</v>
      </c>
      <c r="E8" t="s">
        <v>1054</v>
      </c>
      <c r="F8" t="s">
        <v>11119</v>
      </c>
      <c r="G8" t="s">
        <v>13435</v>
      </c>
      <c r="H8" t="s">
        <v>195</v>
      </c>
    </row>
    <row r="9" spans="1:8" x14ac:dyDescent="0.2">
      <c r="A9" t="str">
        <f t="shared" si="0"/>
        <v>metab_svldlcepct</v>
      </c>
      <c r="B9" t="s">
        <v>11021</v>
      </c>
      <c r="C9" t="s">
        <v>13443</v>
      </c>
      <c r="D9" t="s">
        <v>13444</v>
      </c>
      <c r="E9" t="s">
        <v>323</v>
      </c>
      <c r="F9" t="s">
        <v>11119</v>
      </c>
      <c r="G9" t="s">
        <v>13435</v>
      </c>
      <c r="H9" t="s">
        <v>195</v>
      </c>
    </row>
    <row r="10" spans="1:8" x14ac:dyDescent="0.2">
      <c r="A10" t="str">
        <f t="shared" si="0"/>
        <v>metab_lhdlfc</v>
      </c>
      <c r="B10" t="s">
        <v>10940</v>
      </c>
      <c r="C10" t="s">
        <v>11141</v>
      </c>
      <c r="D10" t="s">
        <v>13445</v>
      </c>
      <c r="E10" t="s">
        <v>453</v>
      </c>
      <c r="F10" t="s">
        <v>11118</v>
      </c>
      <c r="G10" t="s">
        <v>72</v>
      </c>
      <c r="H10" t="s">
        <v>83</v>
      </c>
    </row>
    <row r="11" spans="1:8" x14ac:dyDescent="0.2">
      <c r="A11" t="str">
        <f t="shared" si="0"/>
        <v>metab_svldlcpct</v>
      </c>
      <c r="B11" t="s">
        <v>11019</v>
      </c>
      <c r="C11" t="s">
        <v>13446</v>
      </c>
      <c r="D11" t="s">
        <v>13447</v>
      </c>
      <c r="E11" t="s">
        <v>13448</v>
      </c>
      <c r="F11" t="s">
        <v>11119</v>
      </c>
      <c r="G11" t="s">
        <v>13435</v>
      </c>
      <c r="H11" t="s">
        <v>195</v>
      </c>
    </row>
    <row r="12" spans="1:8" x14ac:dyDescent="0.2">
      <c r="A12" t="str">
        <f t="shared" si="0"/>
        <v>metab_idltgpct</v>
      </c>
      <c r="B12" t="s">
        <v>11045</v>
      </c>
      <c r="C12" t="s">
        <v>13449</v>
      </c>
      <c r="D12" t="s">
        <v>13450</v>
      </c>
      <c r="E12" t="s">
        <v>1018</v>
      </c>
      <c r="F12" t="s">
        <v>11119</v>
      </c>
      <c r="G12" t="s">
        <v>13435</v>
      </c>
      <c r="H12" t="s">
        <v>150</v>
      </c>
    </row>
    <row r="13" spans="1:8" x14ac:dyDescent="0.2">
      <c r="A13" t="str">
        <f t="shared" si="0"/>
        <v>metab_idlfcpct</v>
      </c>
      <c r="B13" t="s">
        <v>11043</v>
      </c>
      <c r="C13" t="s">
        <v>13451</v>
      </c>
      <c r="D13" t="s">
        <v>13452</v>
      </c>
      <c r="E13" t="s">
        <v>513</v>
      </c>
      <c r="F13" t="s">
        <v>11119</v>
      </c>
      <c r="G13" t="s">
        <v>13435</v>
      </c>
      <c r="H13" t="s">
        <v>150</v>
      </c>
    </row>
    <row r="14" spans="1:8" x14ac:dyDescent="0.2">
      <c r="A14" t="str">
        <f t="shared" si="0"/>
        <v>metab_leu</v>
      </c>
      <c r="B14" t="s">
        <v>10745</v>
      </c>
      <c r="C14" t="s">
        <v>11124</v>
      </c>
      <c r="D14" t="s">
        <v>11124</v>
      </c>
      <c r="E14" t="s">
        <v>603</v>
      </c>
      <c r="F14" t="s">
        <v>11118</v>
      </c>
      <c r="G14" t="s">
        <v>30</v>
      </c>
      <c r="H14" t="s">
        <v>593</v>
      </c>
    </row>
    <row r="15" spans="1:8" x14ac:dyDescent="0.2">
      <c r="A15" t="str">
        <f t="shared" si="0"/>
        <v>metab_ile</v>
      </c>
      <c r="B15" t="s">
        <v>10743</v>
      </c>
      <c r="C15" t="s">
        <v>11120</v>
      </c>
      <c r="D15" t="s">
        <v>11120</v>
      </c>
      <c r="E15" t="s">
        <v>590</v>
      </c>
      <c r="F15" t="s">
        <v>11118</v>
      </c>
      <c r="G15" t="s">
        <v>30</v>
      </c>
      <c r="H15" t="s">
        <v>593</v>
      </c>
    </row>
    <row r="16" spans="1:8" x14ac:dyDescent="0.2">
      <c r="A16" t="str">
        <f t="shared" si="0"/>
        <v>metab_xsvldlfcpct</v>
      </c>
      <c r="B16" t="s">
        <v>11033</v>
      </c>
      <c r="C16" t="s">
        <v>13453</v>
      </c>
      <c r="D16" t="s">
        <v>13454</v>
      </c>
      <c r="E16" t="s">
        <v>561</v>
      </c>
      <c r="F16" t="s">
        <v>11119</v>
      </c>
      <c r="G16" t="s">
        <v>13435</v>
      </c>
      <c r="H16" t="s">
        <v>13436</v>
      </c>
    </row>
    <row r="17" spans="1:8" x14ac:dyDescent="0.2">
      <c r="A17" t="str">
        <f t="shared" si="0"/>
        <v>metab_sldltgpct</v>
      </c>
      <c r="B17" t="s">
        <v>11075</v>
      </c>
      <c r="C17" t="s">
        <v>13455</v>
      </c>
      <c r="D17" t="s">
        <v>13456</v>
      </c>
      <c r="E17" t="s">
        <v>1050</v>
      </c>
      <c r="F17" t="s">
        <v>11119</v>
      </c>
      <c r="G17" t="s">
        <v>13435</v>
      </c>
      <c r="H17" t="s">
        <v>190</v>
      </c>
    </row>
    <row r="18" spans="1:8" x14ac:dyDescent="0.2">
      <c r="A18" t="str">
        <f t="shared" si="0"/>
        <v>metab_lhdlc</v>
      </c>
      <c r="B18" t="s">
        <v>10936</v>
      </c>
      <c r="C18" t="s">
        <v>11148</v>
      </c>
      <c r="D18" t="s">
        <v>13457</v>
      </c>
      <c r="E18" t="s">
        <v>13458</v>
      </c>
      <c r="F18" t="s">
        <v>11118</v>
      </c>
      <c r="G18" t="s">
        <v>72</v>
      </c>
      <c r="H18" t="s">
        <v>83</v>
      </c>
    </row>
    <row r="19" spans="1:8" x14ac:dyDescent="0.2">
      <c r="A19" t="str">
        <f t="shared" si="0"/>
        <v>metab_xlhdlfc</v>
      </c>
      <c r="B19" t="s">
        <v>10926</v>
      </c>
      <c r="C19" t="s">
        <v>11135</v>
      </c>
      <c r="D19" t="s">
        <v>13459</v>
      </c>
      <c r="E19" t="s">
        <v>493</v>
      </c>
      <c r="F19" t="s">
        <v>11118</v>
      </c>
      <c r="G19" t="s">
        <v>72</v>
      </c>
      <c r="H19" t="s">
        <v>128</v>
      </c>
    </row>
    <row r="20" spans="1:8" x14ac:dyDescent="0.2">
      <c r="A20" t="str">
        <f t="shared" si="0"/>
        <v>metab_xlhdlc</v>
      </c>
      <c r="B20" t="s">
        <v>10922</v>
      </c>
      <c r="C20" t="s">
        <v>11137</v>
      </c>
      <c r="D20" t="s">
        <v>13460</v>
      </c>
      <c r="E20" t="s">
        <v>13461</v>
      </c>
      <c r="F20" t="s">
        <v>11118</v>
      </c>
      <c r="G20" t="s">
        <v>72</v>
      </c>
      <c r="H20" t="s">
        <v>128</v>
      </c>
    </row>
    <row r="21" spans="1:8" x14ac:dyDescent="0.2">
      <c r="A21" t="str">
        <f t="shared" si="0"/>
        <v>metab_lhdlce</v>
      </c>
      <c r="B21" t="s">
        <v>10938</v>
      </c>
      <c r="C21" t="s">
        <v>11152</v>
      </c>
      <c r="D21" t="s">
        <v>13462</v>
      </c>
      <c r="E21" t="s">
        <v>13463</v>
      </c>
      <c r="F21" t="s">
        <v>11118</v>
      </c>
      <c r="G21" t="s">
        <v>72</v>
      </c>
      <c r="H21" t="s">
        <v>83</v>
      </c>
    </row>
    <row r="22" spans="1:8" x14ac:dyDescent="0.2">
      <c r="A22" t="str">
        <f t="shared" si="0"/>
        <v>metab_mvldlcepct</v>
      </c>
      <c r="B22" t="s">
        <v>11011</v>
      </c>
      <c r="C22" t="s">
        <v>13464</v>
      </c>
      <c r="D22" t="s">
        <v>13465</v>
      </c>
      <c r="E22" t="s">
        <v>311</v>
      </c>
      <c r="F22" t="s">
        <v>11119</v>
      </c>
      <c r="G22" t="s">
        <v>13435</v>
      </c>
      <c r="H22" t="s">
        <v>180</v>
      </c>
    </row>
    <row r="23" spans="1:8" x14ac:dyDescent="0.2">
      <c r="A23" t="str">
        <f t="shared" si="0"/>
        <v>metab_idlfc</v>
      </c>
      <c r="B23" t="s">
        <v>10870</v>
      </c>
      <c r="C23" t="s">
        <v>11140</v>
      </c>
      <c r="D23" t="s">
        <v>13466</v>
      </c>
      <c r="E23" t="s">
        <v>449</v>
      </c>
      <c r="F23" t="s">
        <v>11118</v>
      </c>
      <c r="G23" t="s">
        <v>72</v>
      </c>
      <c r="H23" t="s">
        <v>78</v>
      </c>
    </row>
    <row r="24" spans="1:8" x14ac:dyDescent="0.2">
      <c r="A24" t="str">
        <f t="shared" si="0"/>
        <v>metab_vldlsize</v>
      </c>
      <c r="B24" t="s">
        <v>10650</v>
      </c>
      <c r="C24" t="s">
        <v>10651</v>
      </c>
      <c r="D24" t="s">
        <v>13467</v>
      </c>
      <c r="E24" t="s">
        <v>66</v>
      </c>
      <c r="F24" t="s">
        <v>11123</v>
      </c>
      <c r="G24" t="s">
        <v>56</v>
      </c>
    </row>
    <row r="25" spans="1:8" x14ac:dyDescent="0.2">
      <c r="A25" t="str">
        <f t="shared" si="0"/>
        <v>metab_xlhdlce</v>
      </c>
      <c r="B25" t="s">
        <v>10924</v>
      </c>
      <c r="C25" t="s">
        <v>11138</v>
      </c>
      <c r="D25" t="s">
        <v>13468</v>
      </c>
      <c r="E25" t="s">
        <v>13469</v>
      </c>
      <c r="F25" t="s">
        <v>11118</v>
      </c>
      <c r="G25" t="s">
        <v>72</v>
      </c>
      <c r="H25" t="s">
        <v>128</v>
      </c>
    </row>
    <row r="26" spans="1:8" x14ac:dyDescent="0.2">
      <c r="A26" t="str">
        <f t="shared" si="0"/>
        <v>metab_lldltgpct</v>
      </c>
      <c r="B26" t="s">
        <v>11055</v>
      </c>
      <c r="C26" t="s">
        <v>13470</v>
      </c>
      <c r="D26" t="s">
        <v>13471</v>
      </c>
      <c r="E26" t="s">
        <v>1026</v>
      </c>
      <c r="F26" t="s">
        <v>11119</v>
      </c>
      <c r="G26" t="s">
        <v>13435</v>
      </c>
      <c r="H26" t="s">
        <v>160</v>
      </c>
    </row>
    <row r="27" spans="1:8" x14ac:dyDescent="0.2">
      <c r="A27" t="str">
        <f t="shared" si="0"/>
        <v>metab_lhdll</v>
      </c>
      <c r="B27" t="s">
        <v>10932</v>
      </c>
      <c r="C27" t="s">
        <v>11151</v>
      </c>
      <c r="D27" t="s">
        <v>13472</v>
      </c>
      <c r="E27" t="s">
        <v>868</v>
      </c>
      <c r="F27" t="s">
        <v>11118</v>
      </c>
      <c r="G27" t="s">
        <v>72</v>
      </c>
      <c r="H27" t="s">
        <v>83</v>
      </c>
    </row>
    <row r="28" spans="1:8" x14ac:dyDescent="0.2">
      <c r="A28" t="str">
        <f t="shared" si="0"/>
        <v>metab_lldlfc</v>
      </c>
      <c r="B28" t="s">
        <v>10884</v>
      </c>
      <c r="C28" t="s">
        <v>11142</v>
      </c>
      <c r="D28" t="s">
        <v>13473</v>
      </c>
      <c r="E28" t="s">
        <v>457</v>
      </c>
      <c r="F28" t="s">
        <v>11118</v>
      </c>
      <c r="G28" t="s">
        <v>72</v>
      </c>
      <c r="H28" t="s">
        <v>88</v>
      </c>
    </row>
    <row r="29" spans="1:8" x14ac:dyDescent="0.2">
      <c r="A29" t="str">
        <f t="shared" si="0"/>
        <v>metab_unsaturation</v>
      </c>
      <c r="B29" t="s">
        <v>10682</v>
      </c>
      <c r="C29" t="s">
        <v>10683</v>
      </c>
      <c r="D29" t="s">
        <v>10683</v>
      </c>
      <c r="E29" t="s">
        <v>425</v>
      </c>
      <c r="F29" t="s">
        <v>13474</v>
      </c>
      <c r="G29" t="s">
        <v>426</v>
      </c>
    </row>
    <row r="30" spans="1:8" x14ac:dyDescent="0.2">
      <c r="A30" t="str">
        <f t="shared" si="0"/>
        <v>metab_hdl2c</v>
      </c>
      <c r="B30" t="s">
        <v>13475</v>
      </c>
      <c r="C30" t="s">
        <v>11145</v>
      </c>
      <c r="D30" t="s">
        <v>11145</v>
      </c>
      <c r="E30" t="s">
        <v>1088</v>
      </c>
      <c r="F30" t="s">
        <v>11118</v>
      </c>
      <c r="G30" t="s">
        <v>11145</v>
      </c>
    </row>
    <row r="31" spans="1:8" x14ac:dyDescent="0.2">
      <c r="A31" t="str">
        <f t="shared" si="0"/>
        <v>metab_hdlc</v>
      </c>
      <c r="B31" t="s">
        <v>10575</v>
      </c>
      <c r="C31" t="s">
        <v>11194</v>
      </c>
      <c r="D31" t="s">
        <v>13476</v>
      </c>
      <c r="E31" t="s">
        <v>13477</v>
      </c>
      <c r="F31" t="s">
        <v>11118</v>
      </c>
      <c r="G31" t="s">
        <v>346</v>
      </c>
    </row>
    <row r="32" spans="1:8" x14ac:dyDescent="0.2">
      <c r="A32" t="str">
        <f t="shared" si="0"/>
        <v>metab_mldltgpct</v>
      </c>
      <c r="B32" t="s">
        <v>11065</v>
      </c>
      <c r="C32" t="s">
        <v>13478</v>
      </c>
      <c r="D32" t="s">
        <v>13479</v>
      </c>
      <c r="E32" t="s">
        <v>1038</v>
      </c>
      <c r="F32" t="s">
        <v>11119</v>
      </c>
      <c r="G32" t="s">
        <v>13435</v>
      </c>
      <c r="H32" t="s">
        <v>175</v>
      </c>
    </row>
    <row r="33" spans="1:8" x14ac:dyDescent="0.2">
      <c r="A33" t="str">
        <f t="shared" si="0"/>
        <v>metab_idlpl</v>
      </c>
      <c r="B33" t="s">
        <v>10864</v>
      </c>
      <c r="C33" t="s">
        <v>11150</v>
      </c>
      <c r="D33" t="s">
        <v>13480</v>
      </c>
      <c r="E33" t="s">
        <v>671</v>
      </c>
      <c r="F33" t="s">
        <v>11118</v>
      </c>
      <c r="G33" t="s">
        <v>72</v>
      </c>
      <c r="H33" t="s">
        <v>78</v>
      </c>
    </row>
    <row r="34" spans="1:8" x14ac:dyDescent="0.2">
      <c r="A34" t="str">
        <f t="shared" si="0"/>
        <v>metab_val</v>
      </c>
      <c r="B34" t="s">
        <v>10747</v>
      </c>
      <c r="C34" t="s">
        <v>11133</v>
      </c>
      <c r="D34" t="s">
        <v>11133</v>
      </c>
      <c r="E34" t="s">
        <v>1073</v>
      </c>
      <c r="F34" t="s">
        <v>11118</v>
      </c>
      <c r="G34" t="s">
        <v>30</v>
      </c>
      <c r="H34" t="s">
        <v>593</v>
      </c>
    </row>
    <row r="35" spans="1:8" x14ac:dyDescent="0.2">
      <c r="A35" t="str">
        <f t="shared" si="0"/>
        <v>metab_totalce</v>
      </c>
      <c r="B35" t="s">
        <v>10602</v>
      </c>
      <c r="C35" t="s">
        <v>10603</v>
      </c>
      <c r="D35" t="s">
        <v>13481</v>
      </c>
      <c r="E35" t="s">
        <v>843</v>
      </c>
      <c r="F35" t="s">
        <v>11118</v>
      </c>
      <c r="G35" t="s">
        <v>220</v>
      </c>
    </row>
    <row r="36" spans="1:8" x14ac:dyDescent="0.2">
      <c r="A36" t="str">
        <f t="shared" si="0"/>
        <v>metab_pufapct</v>
      </c>
      <c r="B36" t="s">
        <v>10711</v>
      </c>
      <c r="C36" t="s">
        <v>10712</v>
      </c>
      <c r="D36" t="s">
        <v>13482</v>
      </c>
      <c r="E36" t="s">
        <v>794</v>
      </c>
      <c r="F36" t="s">
        <v>11119</v>
      </c>
      <c r="G36" t="s">
        <v>426</v>
      </c>
      <c r="H36" t="s">
        <v>437</v>
      </c>
    </row>
    <row r="37" spans="1:8" x14ac:dyDescent="0.2">
      <c r="A37" t="str">
        <f t="shared" si="0"/>
        <v>metab_lhdlpl</v>
      </c>
      <c r="B37" t="s">
        <v>10934</v>
      </c>
      <c r="C37" t="s">
        <v>11176</v>
      </c>
      <c r="D37" t="s">
        <v>13483</v>
      </c>
      <c r="E37" t="s">
        <v>675</v>
      </c>
      <c r="F37" t="s">
        <v>11118</v>
      </c>
      <c r="G37" t="s">
        <v>72</v>
      </c>
      <c r="H37" t="s">
        <v>83</v>
      </c>
    </row>
    <row r="38" spans="1:8" x14ac:dyDescent="0.2">
      <c r="A38" t="str">
        <f t="shared" si="0"/>
        <v>metab_lldlc</v>
      </c>
      <c r="B38" t="s">
        <v>10880</v>
      </c>
      <c r="C38" t="s">
        <v>11157</v>
      </c>
      <c r="D38" t="s">
        <v>13484</v>
      </c>
      <c r="E38" t="s">
        <v>13485</v>
      </c>
      <c r="F38" t="s">
        <v>11118</v>
      </c>
      <c r="G38" t="s">
        <v>72</v>
      </c>
      <c r="H38" t="s">
        <v>88</v>
      </c>
    </row>
    <row r="39" spans="1:8" x14ac:dyDescent="0.2">
      <c r="A39" t="str">
        <f t="shared" si="0"/>
        <v>metab_sldlce</v>
      </c>
      <c r="B39" t="s">
        <v>10910</v>
      </c>
      <c r="C39" t="s">
        <v>11156</v>
      </c>
      <c r="D39" t="s">
        <v>13486</v>
      </c>
      <c r="E39" t="s">
        <v>13487</v>
      </c>
      <c r="F39" t="s">
        <v>11118</v>
      </c>
      <c r="G39" t="s">
        <v>72</v>
      </c>
      <c r="H39" t="s">
        <v>118</v>
      </c>
    </row>
    <row r="40" spans="1:8" x14ac:dyDescent="0.2">
      <c r="A40" t="str">
        <f t="shared" si="0"/>
        <v>metab_shdlcpct</v>
      </c>
      <c r="B40" t="s">
        <v>11109</v>
      </c>
      <c r="C40" t="s">
        <v>13488</v>
      </c>
      <c r="D40" t="s">
        <v>13489</v>
      </c>
      <c r="E40" t="s">
        <v>13490</v>
      </c>
      <c r="F40" t="s">
        <v>11119</v>
      </c>
      <c r="G40" t="s">
        <v>13435</v>
      </c>
      <c r="H40" t="s">
        <v>185</v>
      </c>
    </row>
    <row r="41" spans="1:8" x14ac:dyDescent="0.2">
      <c r="A41" t="str">
        <f t="shared" si="0"/>
        <v>metab_xsvldlcpct</v>
      </c>
      <c r="B41" t="s">
        <v>11029</v>
      </c>
      <c r="C41" t="s">
        <v>13491</v>
      </c>
      <c r="D41" t="s">
        <v>13492</v>
      </c>
      <c r="E41" t="s">
        <v>13493</v>
      </c>
      <c r="F41" t="s">
        <v>11119</v>
      </c>
      <c r="G41" t="s">
        <v>13435</v>
      </c>
      <c r="H41" t="s">
        <v>13436</v>
      </c>
    </row>
    <row r="42" spans="1:8" x14ac:dyDescent="0.2">
      <c r="A42" t="str">
        <f t="shared" si="0"/>
        <v>metab_ldlc</v>
      </c>
      <c r="B42" t="s">
        <v>10572</v>
      </c>
      <c r="C42" t="s">
        <v>11159</v>
      </c>
      <c r="D42" t="s">
        <v>13494</v>
      </c>
      <c r="E42" t="s">
        <v>13495</v>
      </c>
      <c r="F42" t="s">
        <v>11118</v>
      </c>
      <c r="G42" t="s">
        <v>346</v>
      </c>
    </row>
    <row r="43" spans="1:8" x14ac:dyDescent="0.2">
      <c r="A43" t="str">
        <f t="shared" si="0"/>
        <v>metab_lldlpl</v>
      </c>
      <c r="B43" t="s">
        <v>10878</v>
      </c>
      <c r="C43" t="s">
        <v>11169</v>
      </c>
      <c r="D43" t="s">
        <v>13496</v>
      </c>
      <c r="E43" t="s">
        <v>679</v>
      </c>
      <c r="F43" t="s">
        <v>11118</v>
      </c>
      <c r="G43" t="s">
        <v>72</v>
      </c>
      <c r="H43" t="s">
        <v>88</v>
      </c>
    </row>
    <row r="44" spans="1:8" x14ac:dyDescent="0.2">
      <c r="A44" t="str">
        <f t="shared" si="0"/>
        <v>metab_sldlc</v>
      </c>
      <c r="B44" t="s">
        <v>10908</v>
      </c>
      <c r="C44" t="s">
        <v>11171</v>
      </c>
      <c r="D44" t="s">
        <v>13497</v>
      </c>
      <c r="E44" t="s">
        <v>13498</v>
      </c>
      <c r="F44" t="s">
        <v>11118</v>
      </c>
      <c r="G44" t="s">
        <v>72</v>
      </c>
      <c r="H44" t="s">
        <v>118</v>
      </c>
    </row>
    <row r="45" spans="1:8" x14ac:dyDescent="0.2">
      <c r="A45" t="str">
        <f t="shared" si="0"/>
        <v>metab_mldlce</v>
      </c>
      <c r="B45" t="s">
        <v>10896</v>
      </c>
      <c r="C45" t="s">
        <v>11165</v>
      </c>
      <c r="D45" t="s">
        <v>13499</v>
      </c>
      <c r="E45" t="s">
        <v>13500</v>
      </c>
      <c r="F45" t="s">
        <v>11118</v>
      </c>
      <c r="G45" t="s">
        <v>72</v>
      </c>
      <c r="H45" t="s">
        <v>103</v>
      </c>
    </row>
    <row r="46" spans="1:8" x14ac:dyDescent="0.2">
      <c r="A46" t="str">
        <f t="shared" si="0"/>
        <v>metab_omega6pct</v>
      </c>
      <c r="B46" t="s">
        <v>10708</v>
      </c>
      <c r="C46" t="s">
        <v>10709</v>
      </c>
      <c r="D46" t="s">
        <v>13501</v>
      </c>
      <c r="E46" t="s">
        <v>645</v>
      </c>
      <c r="F46" t="s">
        <v>11119</v>
      </c>
      <c r="G46" t="s">
        <v>426</v>
      </c>
      <c r="H46" t="s">
        <v>437</v>
      </c>
    </row>
    <row r="47" spans="1:8" x14ac:dyDescent="0.2">
      <c r="A47" t="str">
        <f t="shared" si="0"/>
        <v>metab_shdlcepct</v>
      </c>
      <c r="B47" t="s">
        <v>11111</v>
      </c>
      <c r="C47" t="s">
        <v>13502</v>
      </c>
      <c r="D47" t="s">
        <v>13503</v>
      </c>
      <c r="E47" t="s">
        <v>315</v>
      </c>
      <c r="F47" t="s">
        <v>11119</v>
      </c>
      <c r="G47" t="s">
        <v>13435</v>
      </c>
      <c r="H47" t="s">
        <v>185</v>
      </c>
    </row>
    <row r="48" spans="1:8" x14ac:dyDescent="0.2">
      <c r="A48" t="str">
        <f t="shared" si="0"/>
        <v>metab_mldlc</v>
      </c>
      <c r="B48" t="s">
        <v>10894</v>
      </c>
      <c r="C48" t="s">
        <v>11164</v>
      </c>
      <c r="D48" t="s">
        <v>13504</v>
      </c>
      <c r="E48" t="s">
        <v>13505</v>
      </c>
      <c r="F48" t="s">
        <v>11118</v>
      </c>
      <c r="G48" t="s">
        <v>72</v>
      </c>
      <c r="H48" t="s">
        <v>103</v>
      </c>
    </row>
    <row r="49" spans="1:8" x14ac:dyDescent="0.2">
      <c r="A49" t="str">
        <f t="shared" si="0"/>
        <v>metab_totalc</v>
      </c>
      <c r="B49" t="s">
        <v>10557</v>
      </c>
      <c r="C49" t="s">
        <v>10558</v>
      </c>
      <c r="D49" t="s">
        <v>13506</v>
      </c>
      <c r="E49" t="s">
        <v>71</v>
      </c>
      <c r="F49" t="s">
        <v>11118</v>
      </c>
      <c r="G49" t="s">
        <v>346</v>
      </c>
    </row>
    <row r="50" spans="1:8" x14ac:dyDescent="0.2">
      <c r="A50" t="str">
        <f t="shared" si="0"/>
        <v>metab_idlcpct</v>
      </c>
      <c r="B50" t="s">
        <v>11039</v>
      </c>
      <c r="C50" t="s">
        <v>13507</v>
      </c>
      <c r="D50" t="s">
        <v>13508</v>
      </c>
      <c r="E50" t="s">
        <v>13509</v>
      </c>
      <c r="F50" t="s">
        <v>11119</v>
      </c>
      <c r="G50" t="s">
        <v>13435</v>
      </c>
      <c r="H50" t="s">
        <v>150</v>
      </c>
    </row>
    <row r="51" spans="1:8" x14ac:dyDescent="0.2">
      <c r="A51" t="str">
        <f t="shared" si="0"/>
        <v>metab_sldlcpct</v>
      </c>
      <c r="B51" t="s">
        <v>11069</v>
      </c>
      <c r="C51" t="s">
        <v>13510</v>
      </c>
      <c r="D51" t="s">
        <v>13511</v>
      </c>
      <c r="E51" t="s">
        <v>13512</v>
      </c>
      <c r="F51" t="s">
        <v>11119</v>
      </c>
      <c r="G51" t="s">
        <v>13435</v>
      </c>
      <c r="H51" t="s">
        <v>190</v>
      </c>
    </row>
    <row r="52" spans="1:8" x14ac:dyDescent="0.2">
      <c r="A52" t="str">
        <f t="shared" si="0"/>
        <v>metab_idlc</v>
      </c>
      <c r="B52" t="s">
        <v>10866</v>
      </c>
      <c r="C52" t="s">
        <v>11161</v>
      </c>
      <c r="D52" t="s">
        <v>13513</v>
      </c>
      <c r="E52" t="s">
        <v>75</v>
      </c>
      <c r="F52" t="s">
        <v>11118</v>
      </c>
      <c r="G52" t="s">
        <v>72</v>
      </c>
      <c r="H52" t="s">
        <v>78</v>
      </c>
    </row>
    <row r="53" spans="1:8" x14ac:dyDescent="0.2">
      <c r="A53" t="str">
        <f t="shared" si="0"/>
        <v>metab_lldlce</v>
      </c>
      <c r="B53" t="s">
        <v>10882</v>
      </c>
      <c r="C53" t="s">
        <v>11168</v>
      </c>
      <c r="D53" t="s">
        <v>13514</v>
      </c>
      <c r="E53" t="s">
        <v>13515</v>
      </c>
      <c r="F53" t="s">
        <v>11118</v>
      </c>
      <c r="G53" t="s">
        <v>72</v>
      </c>
      <c r="H53" t="s">
        <v>88</v>
      </c>
    </row>
    <row r="54" spans="1:8" x14ac:dyDescent="0.2">
      <c r="A54" t="str">
        <f t="shared" si="0"/>
        <v>metab_apoa1</v>
      </c>
      <c r="B54" t="s">
        <v>10674</v>
      </c>
      <c r="C54" t="s">
        <v>11201</v>
      </c>
      <c r="D54" t="s">
        <v>11201</v>
      </c>
      <c r="E54" t="s">
        <v>37</v>
      </c>
      <c r="F54" t="s">
        <v>11202</v>
      </c>
      <c r="G54" t="s">
        <v>41</v>
      </c>
    </row>
    <row r="55" spans="1:8" x14ac:dyDescent="0.2">
      <c r="A55" t="str">
        <f t="shared" si="0"/>
        <v>metab_lhdlfcpct</v>
      </c>
      <c r="B55" t="s">
        <v>11093</v>
      </c>
      <c r="C55" t="s">
        <v>13516</v>
      </c>
      <c r="D55" t="s">
        <v>13517</v>
      </c>
      <c r="E55" t="s">
        <v>517</v>
      </c>
      <c r="F55" t="s">
        <v>11119</v>
      </c>
      <c r="G55" t="s">
        <v>13435</v>
      </c>
      <c r="H55" t="s">
        <v>155</v>
      </c>
    </row>
    <row r="56" spans="1:8" x14ac:dyDescent="0.2">
      <c r="A56" t="str">
        <f t="shared" si="0"/>
        <v>metab_mhdlplpct</v>
      </c>
      <c r="B56" t="s">
        <v>11097</v>
      </c>
      <c r="C56" t="s">
        <v>13518</v>
      </c>
      <c r="D56" t="s">
        <v>13519</v>
      </c>
      <c r="E56" t="s">
        <v>749</v>
      </c>
      <c r="F56" t="s">
        <v>11119</v>
      </c>
      <c r="G56" t="s">
        <v>13435</v>
      </c>
      <c r="H56" t="s">
        <v>170</v>
      </c>
    </row>
    <row r="57" spans="1:8" x14ac:dyDescent="0.2">
      <c r="A57" t="str">
        <f t="shared" si="0"/>
        <v>metab_lldll</v>
      </c>
      <c r="B57" t="s">
        <v>10876</v>
      </c>
      <c r="C57" t="s">
        <v>11175</v>
      </c>
      <c r="D57" t="s">
        <v>13520</v>
      </c>
      <c r="E57" t="s">
        <v>872</v>
      </c>
      <c r="F57" t="s">
        <v>11118</v>
      </c>
      <c r="G57" t="s">
        <v>72</v>
      </c>
      <c r="H57" t="s">
        <v>88</v>
      </c>
    </row>
    <row r="58" spans="1:8" x14ac:dyDescent="0.2">
      <c r="A58" t="str">
        <f t="shared" si="0"/>
        <v>metab_gln</v>
      </c>
      <c r="B58" t="s">
        <v>10734</v>
      </c>
      <c r="C58" t="s">
        <v>11167</v>
      </c>
      <c r="D58" t="s">
        <v>11167</v>
      </c>
      <c r="E58" t="s">
        <v>568</v>
      </c>
      <c r="F58" t="s">
        <v>11118</v>
      </c>
      <c r="G58" t="s">
        <v>30</v>
      </c>
    </row>
    <row r="59" spans="1:8" x14ac:dyDescent="0.2">
      <c r="A59" t="str">
        <f t="shared" si="0"/>
        <v>metab_lldlcpct</v>
      </c>
      <c r="B59" t="s">
        <v>11049</v>
      </c>
      <c r="C59" t="s">
        <v>13521</v>
      </c>
      <c r="D59" t="s">
        <v>13522</v>
      </c>
      <c r="E59" t="s">
        <v>13523</v>
      </c>
      <c r="F59" t="s">
        <v>11119</v>
      </c>
      <c r="G59" t="s">
        <v>13435</v>
      </c>
      <c r="H59" t="s">
        <v>160</v>
      </c>
    </row>
    <row r="60" spans="1:8" x14ac:dyDescent="0.2">
      <c r="A60" t="str">
        <f t="shared" si="0"/>
        <v>metab_ala</v>
      </c>
      <c r="B60" t="s">
        <v>10732</v>
      </c>
      <c r="C60" t="s">
        <v>11130</v>
      </c>
      <c r="D60" t="s">
        <v>11130</v>
      </c>
      <c r="E60" t="s">
        <v>27</v>
      </c>
      <c r="F60" t="s">
        <v>11118</v>
      </c>
      <c r="G60" t="s">
        <v>30</v>
      </c>
    </row>
    <row r="61" spans="1:8" x14ac:dyDescent="0.2">
      <c r="A61" t="str">
        <f t="shared" si="0"/>
        <v>metab_idlce</v>
      </c>
      <c r="B61" t="s">
        <v>10868</v>
      </c>
      <c r="C61" t="s">
        <v>11179</v>
      </c>
      <c r="D61" t="s">
        <v>13524</v>
      </c>
      <c r="E61" t="s">
        <v>13525</v>
      </c>
      <c r="F61" t="s">
        <v>11118</v>
      </c>
      <c r="G61" t="s">
        <v>72</v>
      </c>
      <c r="H61" t="s">
        <v>78</v>
      </c>
    </row>
    <row r="62" spans="1:8" x14ac:dyDescent="0.2">
      <c r="A62" t="str">
        <f t="shared" si="0"/>
        <v>metab_shdltg</v>
      </c>
      <c r="B62" t="s">
        <v>10970</v>
      </c>
      <c r="C62" t="s">
        <v>11134</v>
      </c>
      <c r="D62" t="s">
        <v>13526</v>
      </c>
      <c r="E62" t="s">
        <v>980</v>
      </c>
      <c r="F62" t="s">
        <v>11118</v>
      </c>
      <c r="G62" t="s">
        <v>72</v>
      </c>
      <c r="H62" t="s">
        <v>113</v>
      </c>
    </row>
    <row r="63" spans="1:8" x14ac:dyDescent="0.2">
      <c r="A63" t="str">
        <f t="shared" si="0"/>
        <v>metab_mldlcpct</v>
      </c>
      <c r="B63" t="s">
        <v>11059</v>
      </c>
      <c r="C63" t="s">
        <v>13527</v>
      </c>
      <c r="D63" t="s">
        <v>13528</v>
      </c>
      <c r="E63" t="s">
        <v>13529</v>
      </c>
      <c r="F63" t="s">
        <v>11119</v>
      </c>
      <c r="G63" t="s">
        <v>13435</v>
      </c>
      <c r="H63" t="s">
        <v>175</v>
      </c>
    </row>
    <row r="64" spans="1:8" x14ac:dyDescent="0.2">
      <c r="A64" t="str">
        <f t="shared" si="0"/>
        <v>metab_mldlfc</v>
      </c>
      <c r="B64" t="s">
        <v>10898</v>
      </c>
      <c r="C64" t="s">
        <v>11189</v>
      </c>
      <c r="D64" t="s">
        <v>13530</v>
      </c>
      <c r="E64" t="s">
        <v>473</v>
      </c>
      <c r="F64" t="s">
        <v>11118</v>
      </c>
      <c r="G64" t="s">
        <v>72</v>
      </c>
      <c r="H64" t="s">
        <v>103</v>
      </c>
    </row>
    <row r="65" spans="1:8" x14ac:dyDescent="0.2">
      <c r="A65" t="str">
        <f t="shared" si="0"/>
        <v>metab_sldlcepct</v>
      </c>
      <c r="B65" t="s">
        <v>11071</v>
      </c>
      <c r="C65" t="s">
        <v>13531</v>
      </c>
      <c r="D65" t="s">
        <v>13532</v>
      </c>
      <c r="E65" t="s">
        <v>319</v>
      </c>
      <c r="F65" t="s">
        <v>11119</v>
      </c>
      <c r="G65" t="s">
        <v>13435</v>
      </c>
      <c r="H65" t="s">
        <v>190</v>
      </c>
    </row>
    <row r="66" spans="1:8" x14ac:dyDescent="0.2">
      <c r="A66" t="str">
        <f t="shared" si="0"/>
        <v>metab_mldll</v>
      </c>
      <c r="B66" t="s">
        <v>10890</v>
      </c>
      <c r="C66" t="s">
        <v>11186</v>
      </c>
      <c r="D66" t="s">
        <v>13533</v>
      </c>
      <c r="E66" t="s">
        <v>11185</v>
      </c>
      <c r="F66" t="s">
        <v>11118</v>
      </c>
      <c r="G66" t="s">
        <v>72</v>
      </c>
      <c r="H66" t="s">
        <v>103</v>
      </c>
    </row>
    <row r="67" spans="1:8" x14ac:dyDescent="0.2">
      <c r="A67" t="str">
        <f t="shared" ref="A67:A130" si="1">_xlfn.CONCAT("metab_", $B67)</f>
        <v>metab_idll</v>
      </c>
      <c r="B67" t="s">
        <v>10862</v>
      </c>
      <c r="C67" t="s">
        <v>11178</v>
      </c>
      <c r="D67" t="s">
        <v>13534</v>
      </c>
      <c r="E67" t="s">
        <v>864</v>
      </c>
      <c r="F67" t="s">
        <v>11118</v>
      </c>
      <c r="G67" t="s">
        <v>72</v>
      </c>
      <c r="H67" t="s">
        <v>78</v>
      </c>
    </row>
    <row r="68" spans="1:8" x14ac:dyDescent="0.2">
      <c r="A68" t="str">
        <f t="shared" si="1"/>
        <v>metab_omega3</v>
      </c>
      <c r="B68" t="s">
        <v>10685</v>
      </c>
      <c r="C68" t="s">
        <v>10686</v>
      </c>
      <c r="D68" t="s">
        <v>13535</v>
      </c>
      <c r="E68" t="s">
        <v>629</v>
      </c>
      <c r="F68" t="s">
        <v>11118</v>
      </c>
      <c r="G68" t="s">
        <v>426</v>
      </c>
    </row>
    <row r="69" spans="1:8" x14ac:dyDescent="0.2">
      <c r="A69" t="str">
        <f t="shared" si="1"/>
        <v>metab_sldll</v>
      </c>
      <c r="B69" t="s">
        <v>10904</v>
      </c>
      <c r="C69" t="s">
        <v>11191</v>
      </c>
      <c r="D69" t="s">
        <v>13536</v>
      </c>
      <c r="E69" t="s">
        <v>904</v>
      </c>
      <c r="F69" t="s">
        <v>11118</v>
      </c>
      <c r="G69" t="s">
        <v>72</v>
      </c>
      <c r="H69" t="s">
        <v>118</v>
      </c>
    </row>
    <row r="70" spans="1:8" x14ac:dyDescent="0.2">
      <c r="A70" t="str">
        <f t="shared" si="1"/>
        <v>metab_sldlfc</v>
      </c>
      <c r="B70" t="s">
        <v>10912</v>
      </c>
      <c r="C70" t="s">
        <v>11196</v>
      </c>
      <c r="D70" t="s">
        <v>13537</v>
      </c>
      <c r="E70" t="s">
        <v>485</v>
      </c>
      <c r="F70" t="s">
        <v>11118</v>
      </c>
      <c r="G70" t="s">
        <v>72</v>
      </c>
      <c r="H70" t="s">
        <v>118</v>
      </c>
    </row>
    <row r="71" spans="1:8" x14ac:dyDescent="0.2">
      <c r="A71" t="str">
        <f t="shared" si="1"/>
        <v>metab_xsvldlpl</v>
      </c>
      <c r="B71" t="s">
        <v>10849</v>
      </c>
      <c r="C71" t="s">
        <v>11188</v>
      </c>
      <c r="D71" t="s">
        <v>13538</v>
      </c>
      <c r="E71" t="s">
        <v>722</v>
      </c>
      <c r="F71" t="s">
        <v>11118</v>
      </c>
      <c r="G71" t="s">
        <v>72</v>
      </c>
      <c r="H71" t="s">
        <v>13539</v>
      </c>
    </row>
    <row r="72" spans="1:8" x14ac:dyDescent="0.2">
      <c r="A72" t="str">
        <f t="shared" si="1"/>
        <v>metab_shdlplpct</v>
      </c>
      <c r="B72" t="s">
        <v>11107</v>
      </c>
      <c r="C72" t="s">
        <v>13540</v>
      </c>
      <c r="D72" t="s">
        <v>13541</v>
      </c>
      <c r="E72" t="s">
        <v>761</v>
      </c>
      <c r="F72" t="s">
        <v>11119</v>
      </c>
      <c r="G72" t="s">
        <v>13435</v>
      </c>
      <c r="H72" t="s">
        <v>185</v>
      </c>
    </row>
    <row r="73" spans="1:8" x14ac:dyDescent="0.2">
      <c r="A73" t="str">
        <f t="shared" si="1"/>
        <v>metab_totalfc</v>
      </c>
      <c r="B73" t="s">
        <v>10614</v>
      </c>
      <c r="C73" t="s">
        <v>10615</v>
      </c>
      <c r="D73" t="s">
        <v>13542</v>
      </c>
      <c r="E73" t="s">
        <v>852</v>
      </c>
      <c r="F73" t="s">
        <v>11118</v>
      </c>
      <c r="G73" t="s">
        <v>442</v>
      </c>
    </row>
    <row r="74" spans="1:8" x14ac:dyDescent="0.2">
      <c r="A74" t="str">
        <f t="shared" si="1"/>
        <v>metab_mldlcepct</v>
      </c>
      <c r="B74" t="s">
        <v>11061</v>
      </c>
      <c r="C74" t="s">
        <v>13543</v>
      </c>
      <c r="D74" t="s">
        <v>13544</v>
      </c>
      <c r="E74" t="s">
        <v>307</v>
      </c>
      <c r="F74" t="s">
        <v>11119</v>
      </c>
      <c r="G74" t="s">
        <v>13435</v>
      </c>
      <c r="H74" t="s">
        <v>175</v>
      </c>
    </row>
    <row r="75" spans="1:8" x14ac:dyDescent="0.2">
      <c r="A75" t="str">
        <f t="shared" si="1"/>
        <v>metab_pufa</v>
      </c>
      <c r="B75" t="s">
        <v>10691</v>
      </c>
      <c r="C75" t="s">
        <v>787</v>
      </c>
      <c r="D75" t="s">
        <v>787</v>
      </c>
      <c r="E75" t="s">
        <v>785</v>
      </c>
      <c r="F75" t="s">
        <v>11118</v>
      </c>
      <c r="G75" t="s">
        <v>426</v>
      </c>
    </row>
    <row r="76" spans="1:8" x14ac:dyDescent="0.2">
      <c r="A76" t="str">
        <f t="shared" si="1"/>
        <v>metab_mldlpl</v>
      </c>
      <c r="B76" t="s">
        <v>10892</v>
      </c>
      <c r="C76" t="s">
        <v>11207</v>
      </c>
      <c r="D76" t="s">
        <v>13545</v>
      </c>
      <c r="E76" t="s">
        <v>694</v>
      </c>
      <c r="F76" t="s">
        <v>11118</v>
      </c>
      <c r="G76" t="s">
        <v>72</v>
      </c>
      <c r="H76" t="s">
        <v>103</v>
      </c>
    </row>
    <row r="77" spans="1:8" x14ac:dyDescent="0.2">
      <c r="A77" t="str">
        <f t="shared" si="1"/>
        <v>metab_mhdlcpct</v>
      </c>
      <c r="B77" t="s">
        <v>11099</v>
      </c>
      <c r="C77" t="s">
        <v>13546</v>
      </c>
      <c r="D77" t="s">
        <v>13547</v>
      </c>
      <c r="E77" t="s">
        <v>13548</v>
      </c>
      <c r="F77" t="s">
        <v>11119</v>
      </c>
      <c r="G77" t="s">
        <v>13435</v>
      </c>
      <c r="H77" t="s">
        <v>170</v>
      </c>
    </row>
    <row r="78" spans="1:8" x14ac:dyDescent="0.2">
      <c r="A78" t="str">
        <f t="shared" si="1"/>
        <v>metab_mhdlcepct</v>
      </c>
      <c r="B78" t="s">
        <v>11101</v>
      </c>
      <c r="C78" t="s">
        <v>13549</v>
      </c>
      <c r="D78" t="s">
        <v>13550</v>
      </c>
      <c r="E78" t="s">
        <v>303</v>
      </c>
      <c r="F78" t="s">
        <v>11119</v>
      </c>
      <c r="G78" t="s">
        <v>13435</v>
      </c>
      <c r="H78" t="s">
        <v>170</v>
      </c>
    </row>
    <row r="79" spans="1:8" x14ac:dyDescent="0.2">
      <c r="A79" t="str">
        <f t="shared" si="1"/>
        <v>metab_sldlplpct</v>
      </c>
      <c r="B79" t="s">
        <v>11067</v>
      </c>
      <c r="C79" t="s">
        <v>13551</v>
      </c>
      <c r="D79" t="s">
        <v>13552</v>
      </c>
      <c r="E79" t="s">
        <v>765</v>
      </c>
      <c r="F79" t="s">
        <v>11119</v>
      </c>
      <c r="G79" t="s">
        <v>13435</v>
      </c>
      <c r="H79" t="s">
        <v>190</v>
      </c>
    </row>
    <row r="80" spans="1:8" x14ac:dyDescent="0.2">
      <c r="A80" t="str">
        <f t="shared" si="1"/>
        <v>metab_xxlvldlfcpct</v>
      </c>
      <c r="B80" t="s">
        <v>10981</v>
      </c>
      <c r="C80" t="s">
        <v>13553</v>
      </c>
      <c r="D80" t="s">
        <v>13554</v>
      </c>
      <c r="E80" t="s">
        <v>509</v>
      </c>
      <c r="F80" t="s">
        <v>11119</v>
      </c>
      <c r="G80" t="s">
        <v>13435</v>
      </c>
      <c r="H80" t="s">
        <v>13555</v>
      </c>
    </row>
    <row r="81" spans="1:8" x14ac:dyDescent="0.2">
      <c r="A81" t="str">
        <f t="shared" si="1"/>
        <v>metab_mldlplpct</v>
      </c>
      <c r="B81" t="s">
        <v>11057</v>
      </c>
      <c r="C81" t="s">
        <v>13556</v>
      </c>
      <c r="D81" t="s">
        <v>13557</v>
      </c>
      <c r="E81" t="s">
        <v>753</v>
      </c>
      <c r="F81" t="s">
        <v>11119</v>
      </c>
      <c r="G81" t="s">
        <v>13435</v>
      </c>
      <c r="H81" t="s">
        <v>175</v>
      </c>
    </row>
    <row r="82" spans="1:8" x14ac:dyDescent="0.2">
      <c r="A82" t="str">
        <f t="shared" si="1"/>
        <v>metab_mvldltgpct</v>
      </c>
      <c r="B82" t="s">
        <v>11015</v>
      </c>
      <c r="C82" t="s">
        <v>13558</v>
      </c>
      <c r="D82" t="s">
        <v>13559</v>
      </c>
      <c r="E82" t="s">
        <v>1042</v>
      </c>
      <c r="F82" t="s">
        <v>11119</v>
      </c>
      <c r="G82" t="s">
        <v>13435</v>
      </c>
      <c r="H82" t="s">
        <v>180</v>
      </c>
    </row>
    <row r="83" spans="1:8" x14ac:dyDescent="0.2">
      <c r="A83" t="str">
        <f t="shared" si="1"/>
        <v>metab_mvldlfcpct</v>
      </c>
      <c r="B83" t="s">
        <v>11013</v>
      </c>
      <c r="C83" t="s">
        <v>13560</v>
      </c>
      <c r="D83" t="s">
        <v>13561</v>
      </c>
      <c r="E83" t="s">
        <v>537</v>
      </c>
      <c r="F83" t="s">
        <v>11119</v>
      </c>
      <c r="G83" t="s">
        <v>13435</v>
      </c>
      <c r="H83" t="s">
        <v>180</v>
      </c>
    </row>
    <row r="84" spans="1:8" x14ac:dyDescent="0.2">
      <c r="A84" t="str">
        <f t="shared" si="1"/>
        <v>metab_shdlfcpct</v>
      </c>
      <c r="B84" t="s">
        <v>11113</v>
      </c>
      <c r="C84" t="s">
        <v>13562</v>
      </c>
      <c r="D84" t="s">
        <v>13563</v>
      </c>
      <c r="E84" t="s">
        <v>541</v>
      </c>
      <c r="F84" t="s">
        <v>11119</v>
      </c>
      <c r="G84" t="s">
        <v>13435</v>
      </c>
      <c r="H84" t="s">
        <v>185</v>
      </c>
    </row>
    <row r="85" spans="1:8" x14ac:dyDescent="0.2">
      <c r="A85" t="str">
        <f t="shared" si="1"/>
        <v>metab_lldlcepct</v>
      </c>
      <c r="B85" t="s">
        <v>11051</v>
      </c>
      <c r="C85" t="s">
        <v>13564</v>
      </c>
      <c r="D85" t="s">
        <v>13565</v>
      </c>
      <c r="E85" t="s">
        <v>295</v>
      </c>
      <c r="F85" t="s">
        <v>11119</v>
      </c>
      <c r="G85" t="s">
        <v>13435</v>
      </c>
      <c r="H85" t="s">
        <v>160</v>
      </c>
    </row>
    <row r="86" spans="1:8" x14ac:dyDescent="0.2">
      <c r="A86" t="str">
        <f t="shared" si="1"/>
        <v>metab_lhdlcpct</v>
      </c>
      <c r="B86" t="s">
        <v>11089</v>
      </c>
      <c r="C86" t="s">
        <v>13566</v>
      </c>
      <c r="D86" t="s">
        <v>13567</v>
      </c>
      <c r="E86" t="s">
        <v>13568</v>
      </c>
      <c r="F86" t="s">
        <v>11119</v>
      </c>
      <c r="G86" t="s">
        <v>13435</v>
      </c>
      <c r="H86" t="s">
        <v>155</v>
      </c>
    </row>
    <row r="87" spans="1:8" x14ac:dyDescent="0.2">
      <c r="A87" t="str">
        <f t="shared" si="1"/>
        <v>metab_sldlpl</v>
      </c>
      <c r="B87" t="s">
        <v>10906</v>
      </c>
      <c r="C87" t="s">
        <v>11224</v>
      </c>
      <c r="D87" t="s">
        <v>13569</v>
      </c>
      <c r="E87" t="s">
        <v>706</v>
      </c>
      <c r="F87" t="s">
        <v>11118</v>
      </c>
      <c r="G87" t="s">
        <v>72</v>
      </c>
      <c r="H87" t="s">
        <v>118</v>
      </c>
    </row>
    <row r="88" spans="1:8" x14ac:dyDescent="0.2">
      <c r="A88" t="str">
        <f t="shared" si="1"/>
        <v>metab_glycerol</v>
      </c>
      <c r="B88" t="s">
        <v>4890</v>
      </c>
      <c r="C88" t="s">
        <v>1085</v>
      </c>
      <c r="D88" t="s">
        <v>1085</v>
      </c>
      <c r="E88" t="s">
        <v>1085</v>
      </c>
      <c r="F88" t="s">
        <v>11118</v>
      </c>
      <c r="G88" t="s">
        <v>341</v>
      </c>
    </row>
    <row r="89" spans="1:8" x14ac:dyDescent="0.2">
      <c r="A89" t="str">
        <f t="shared" si="1"/>
        <v>metab_shdlpl</v>
      </c>
      <c r="B89" t="s">
        <v>10962</v>
      </c>
      <c r="C89" t="s">
        <v>11131</v>
      </c>
      <c r="D89" t="s">
        <v>13570</v>
      </c>
      <c r="E89" t="s">
        <v>702</v>
      </c>
      <c r="F89" t="s">
        <v>11118</v>
      </c>
      <c r="G89" t="s">
        <v>72</v>
      </c>
      <c r="H89" t="s">
        <v>113</v>
      </c>
    </row>
    <row r="90" spans="1:8" x14ac:dyDescent="0.2">
      <c r="A90" t="str">
        <f t="shared" si="1"/>
        <v>metab_xsvldlfc</v>
      </c>
      <c r="B90" t="s">
        <v>10856</v>
      </c>
      <c r="C90" t="s">
        <v>11197</v>
      </c>
      <c r="D90" t="s">
        <v>13571</v>
      </c>
      <c r="E90" t="s">
        <v>501</v>
      </c>
      <c r="F90" t="s">
        <v>11118</v>
      </c>
      <c r="G90" t="s">
        <v>72</v>
      </c>
      <c r="H90" t="s">
        <v>13539</v>
      </c>
    </row>
    <row r="91" spans="1:8" x14ac:dyDescent="0.2">
      <c r="A91" t="str">
        <f t="shared" si="1"/>
        <v>metab_cholines</v>
      </c>
      <c r="B91" t="s">
        <v>10665</v>
      </c>
      <c r="C91" t="s">
        <v>10666</v>
      </c>
      <c r="D91" t="s">
        <v>10666</v>
      </c>
      <c r="E91" t="s">
        <v>830</v>
      </c>
      <c r="F91" t="s">
        <v>11118</v>
      </c>
      <c r="G91" t="s">
        <v>656</v>
      </c>
    </row>
    <row r="92" spans="1:8" x14ac:dyDescent="0.2">
      <c r="A92" t="str">
        <f t="shared" si="1"/>
        <v>metab_omega6</v>
      </c>
      <c r="B92" t="s">
        <v>10688</v>
      </c>
      <c r="C92" t="s">
        <v>10689</v>
      </c>
      <c r="D92" t="s">
        <v>13572</v>
      </c>
      <c r="E92" t="s">
        <v>638</v>
      </c>
      <c r="F92" t="s">
        <v>11118</v>
      </c>
      <c r="G92" t="s">
        <v>426</v>
      </c>
    </row>
    <row r="93" spans="1:8" x14ac:dyDescent="0.2">
      <c r="A93" t="str">
        <f t="shared" si="1"/>
        <v>metab_shdltgpct</v>
      </c>
      <c r="B93" t="s">
        <v>11115</v>
      </c>
      <c r="C93" t="s">
        <v>13573</v>
      </c>
      <c r="D93" t="s">
        <v>13574</v>
      </c>
      <c r="E93" t="s">
        <v>1046</v>
      </c>
      <c r="F93" t="s">
        <v>11119</v>
      </c>
      <c r="G93" t="s">
        <v>13435</v>
      </c>
      <c r="H93" t="s">
        <v>185</v>
      </c>
    </row>
    <row r="94" spans="1:8" x14ac:dyDescent="0.2">
      <c r="A94" t="str">
        <f t="shared" si="1"/>
        <v>metab_phosphatidylc</v>
      </c>
      <c r="B94" t="s">
        <v>10668</v>
      </c>
      <c r="C94" t="s">
        <v>10669</v>
      </c>
      <c r="D94" t="s">
        <v>10669</v>
      </c>
      <c r="E94" t="s">
        <v>653</v>
      </c>
      <c r="F94" t="s">
        <v>11118</v>
      </c>
      <c r="G94" t="s">
        <v>656</v>
      </c>
    </row>
    <row r="95" spans="1:8" x14ac:dyDescent="0.2">
      <c r="A95" t="str">
        <f t="shared" si="1"/>
        <v>metab_tgpg</v>
      </c>
      <c r="B95" t="s">
        <v>10662</v>
      </c>
      <c r="C95" t="s">
        <v>11195</v>
      </c>
      <c r="D95" t="s">
        <v>13575</v>
      </c>
      <c r="E95" t="s">
        <v>1009</v>
      </c>
      <c r="F95" t="s">
        <v>13576</v>
      </c>
      <c r="G95" t="s">
        <v>656</v>
      </c>
    </row>
    <row r="96" spans="1:8" x14ac:dyDescent="0.2">
      <c r="A96" t="str">
        <f t="shared" si="1"/>
        <v>metab_mvldlcpct</v>
      </c>
      <c r="B96" t="s">
        <v>11009</v>
      </c>
      <c r="C96" t="s">
        <v>13577</v>
      </c>
      <c r="D96" t="s">
        <v>13578</v>
      </c>
      <c r="E96" t="s">
        <v>13579</v>
      </c>
      <c r="F96" t="s">
        <v>11119</v>
      </c>
      <c r="G96" t="s">
        <v>13435</v>
      </c>
      <c r="H96" t="s">
        <v>180</v>
      </c>
    </row>
    <row r="97" spans="1:8" x14ac:dyDescent="0.2">
      <c r="A97" t="str">
        <f t="shared" si="1"/>
        <v>metab_lhdlplpct</v>
      </c>
      <c r="B97" t="s">
        <v>11087</v>
      </c>
      <c r="C97" t="s">
        <v>13580</v>
      </c>
      <c r="D97" t="s">
        <v>13581</v>
      </c>
      <c r="E97" t="s">
        <v>737</v>
      </c>
      <c r="F97" t="s">
        <v>11119</v>
      </c>
      <c r="G97" t="s">
        <v>13435</v>
      </c>
      <c r="H97" t="s">
        <v>155</v>
      </c>
    </row>
    <row r="98" spans="1:8" x14ac:dyDescent="0.2">
      <c r="A98" t="str">
        <f t="shared" si="1"/>
        <v>metab_xsvldlc</v>
      </c>
      <c r="B98" t="s">
        <v>10852</v>
      </c>
      <c r="C98" t="s">
        <v>11203</v>
      </c>
      <c r="D98" t="s">
        <v>13582</v>
      </c>
      <c r="E98" t="s">
        <v>13583</v>
      </c>
      <c r="F98" t="s">
        <v>11118</v>
      </c>
      <c r="G98" t="s">
        <v>72</v>
      </c>
      <c r="H98" t="s">
        <v>13539</v>
      </c>
    </row>
    <row r="99" spans="1:8" x14ac:dyDescent="0.2">
      <c r="A99" t="str">
        <f t="shared" si="1"/>
        <v>metab_sphingomyelins</v>
      </c>
      <c r="B99" t="s">
        <v>813</v>
      </c>
      <c r="C99" t="s">
        <v>814</v>
      </c>
      <c r="D99" t="s">
        <v>814</v>
      </c>
      <c r="E99" t="s">
        <v>814</v>
      </c>
      <c r="F99" t="s">
        <v>11118</v>
      </c>
      <c r="G99" t="s">
        <v>656</v>
      </c>
    </row>
    <row r="100" spans="1:8" x14ac:dyDescent="0.2">
      <c r="A100" t="str">
        <f t="shared" si="1"/>
        <v>metab_idlcepct</v>
      </c>
      <c r="B100" t="s">
        <v>11041</v>
      </c>
      <c r="C100" t="s">
        <v>13584</v>
      </c>
      <c r="D100" t="s">
        <v>13585</v>
      </c>
      <c r="E100" t="s">
        <v>287</v>
      </c>
      <c r="F100" t="s">
        <v>11119</v>
      </c>
      <c r="G100" t="s">
        <v>13435</v>
      </c>
      <c r="H100" t="s">
        <v>150</v>
      </c>
    </row>
    <row r="101" spans="1:8" x14ac:dyDescent="0.2">
      <c r="A101" t="str">
        <f t="shared" si="1"/>
        <v>metab_xsvldlcepct</v>
      </c>
      <c r="B101" t="s">
        <v>11031</v>
      </c>
      <c r="C101" t="s">
        <v>13586</v>
      </c>
      <c r="D101" t="s">
        <v>13587</v>
      </c>
      <c r="E101" t="s">
        <v>335</v>
      </c>
      <c r="F101" t="s">
        <v>11119</v>
      </c>
      <c r="G101" t="s">
        <v>13435</v>
      </c>
      <c r="H101" t="s">
        <v>13436</v>
      </c>
    </row>
    <row r="102" spans="1:8" x14ac:dyDescent="0.2">
      <c r="A102" t="str">
        <f t="shared" si="1"/>
        <v>metab_xsvldlce</v>
      </c>
      <c r="B102" t="s">
        <v>10854</v>
      </c>
      <c r="C102" t="s">
        <v>11212</v>
      </c>
      <c r="D102" t="s">
        <v>13588</v>
      </c>
      <c r="E102" t="s">
        <v>13589</v>
      </c>
      <c r="F102" t="s">
        <v>11118</v>
      </c>
      <c r="G102" t="s">
        <v>72</v>
      </c>
      <c r="H102" t="s">
        <v>13539</v>
      </c>
    </row>
    <row r="103" spans="1:8" x14ac:dyDescent="0.2">
      <c r="A103" t="str">
        <f t="shared" si="1"/>
        <v>metab_phosphoglyc</v>
      </c>
      <c r="B103" t="s">
        <v>10659</v>
      </c>
      <c r="C103" t="s">
        <v>10660</v>
      </c>
      <c r="D103" t="s">
        <v>10660</v>
      </c>
      <c r="E103" t="s">
        <v>658</v>
      </c>
      <c r="F103" t="s">
        <v>11118</v>
      </c>
      <c r="G103" t="s">
        <v>656</v>
      </c>
    </row>
    <row r="104" spans="1:8" x14ac:dyDescent="0.2">
      <c r="A104" t="str">
        <f t="shared" si="1"/>
        <v>metab_lvldlcepct</v>
      </c>
      <c r="B104" t="s">
        <v>11001</v>
      </c>
      <c r="C104" t="s">
        <v>13590</v>
      </c>
      <c r="D104" t="s">
        <v>13591</v>
      </c>
      <c r="E104" t="s">
        <v>299</v>
      </c>
      <c r="F104" t="s">
        <v>11119</v>
      </c>
      <c r="G104" t="s">
        <v>13435</v>
      </c>
      <c r="H104" t="s">
        <v>165</v>
      </c>
    </row>
    <row r="105" spans="1:8" x14ac:dyDescent="0.2">
      <c r="A105" t="str">
        <f t="shared" si="1"/>
        <v>metab_shdlfc</v>
      </c>
      <c r="B105" t="s">
        <v>10968</v>
      </c>
      <c r="C105" t="s">
        <v>11139</v>
      </c>
      <c r="D105" t="s">
        <v>13592</v>
      </c>
      <c r="E105" t="s">
        <v>481</v>
      </c>
      <c r="F105" t="s">
        <v>11118</v>
      </c>
      <c r="G105" t="s">
        <v>72</v>
      </c>
      <c r="H105" t="s">
        <v>113</v>
      </c>
    </row>
    <row r="106" spans="1:8" x14ac:dyDescent="0.2">
      <c r="A106" t="str">
        <f t="shared" si="1"/>
        <v>metab_hdl3c</v>
      </c>
      <c r="B106" t="s">
        <v>13593</v>
      </c>
      <c r="C106" t="s">
        <v>11145</v>
      </c>
      <c r="D106" t="s">
        <v>11145</v>
      </c>
      <c r="E106" t="s">
        <v>1089</v>
      </c>
      <c r="F106" t="s">
        <v>11118</v>
      </c>
      <c r="G106" t="s">
        <v>11145</v>
      </c>
    </row>
    <row r="107" spans="1:8" x14ac:dyDescent="0.2">
      <c r="A107" t="str">
        <f t="shared" si="1"/>
        <v>metab_lldlplpct</v>
      </c>
      <c r="B107" t="s">
        <v>11047</v>
      </c>
      <c r="C107" t="s">
        <v>13594</v>
      </c>
      <c r="D107" t="s">
        <v>13595</v>
      </c>
      <c r="E107" t="s">
        <v>741</v>
      </c>
      <c r="F107" t="s">
        <v>11119</v>
      </c>
      <c r="G107" t="s">
        <v>13435</v>
      </c>
      <c r="H107" t="s">
        <v>160</v>
      </c>
    </row>
    <row r="108" spans="1:8" x14ac:dyDescent="0.2">
      <c r="A108" t="str">
        <f t="shared" si="1"/>
        <v>metab_xxlvldlcepct</v>
      </c>
      <c r="B108" t="s">
        <v>10978</v>
      </c>
      <c r="C108" t="s">
        <v>13596</v>
      </c>
      <c r="D108" t="s">
        <v>13597</v>
      </c>
      <c r="E108" t="s">
        <v>283</v>
      </c>
      <c r="F108" t="s">
        <v>11119</v>
      </c>
      <c r="G108" t="s">
        <v>13435</v>
      </c>
      <c r="H108" t="s">
        <v>13555</v>
      </c>
    </row>
    <row r="109" spans="1:8" x14ac:dyDescent="0.2">
      <c r="A109" t="str">
        <f t="shared" si="1"/>
        <v>metab_la</v>
      </c>
      <c r="B109" t="s">
        <v>10699</v>
      </c>
      <c r="C109" t="s">
        <v>11218</v>
      </c>
      <c r="D109" t="s">
        <v>11218</v>
      </c>
      <c r="E109" t="s">
        <v>610</v>
      </c>
      <c r="F109" t="s">
        <v>11118</v>
      </c>
      <c r="G109" t="s">
        <v>426</v>
      </c>
    </row>
    <row r="110" spans="1:8" x14ac:dyDescent="0.2">
      <c r="A110" t="str">
        <f t="shared" si="1"/>
        <v>metab_lhdlcepct</v>
      </c>
      <c r="B110" t="s">
        <v>11091</v>
      </c>
      <c r="C110" t="s">
        <v>13598</v>
      </c>
      <c r="D110" t="s">
        <v>13599</v>
      </c>
      <c r="E110" t="s">
        <v>291</v>
      </c>
      <c r="F110" t="s">
        <v>11119</v>
      </c>
      <c r="G110" t="s">
        <v>13435</v>
      </c>
      <c r="H110" t="s">
        <v>155</v>
      </c>
    </row>
    <row r="111" spans="1:8" x14ac:dyDescent="0.2">
      <c r="A111" t="str">
        <f t="shared" si="1"/>
        <v>metab_apob</v>
      </c>
      <c r="B111" t="s">
        <v>10672</v>
      </c>
      <c r="C111" t="s">
        <v>11243</v>
      </c>
      <c r="D111" t="s">
        <v>11243</v>
      </c>
      <c r="E111" t="s">
        <v>43</v>
      </c>
      <c r="F111" t="s">
        <v>11202</v>
      </c>
      <c r="G111" t="s">
        <v>41</v>
      </c>
    </row>
    <row r="112" spans="1:8" x14ac:dyDescent="0.2">
      <c r="A112" t="str">
        <f t="shared" si="1"/>
        <v>metab_sldlfcpct</v>
      </c>
      <c r="B112" t="s">
        <v>11073</v>
      </c>
      <c r="C112" t="s">
        <v>13600</v>
      </c>
      <c r="D112" t="s">
        <v>13601</v>
      </c>
      <c r="E112" t="s">
        <v>545</v>
      </c>
      <c r="F112" t="s">
        <v>11119</v>
      </c>
      <c r="G112" t="s">
        <v>13435</v>
      </c>
      <c r="H112" t="s">
        <v>190</v>
      </c>
    </row>
    <row r="113" spans="1:8" x14ac:dyDescent="0.2">
      <c r="A113" t="str">
        <f t="shared" si="1"/>
        <v>metab_sfapct</v>
      </c>
      <c r="B113" t="s">
        <v>10717</v>
      </c>
      <c r="C113" t="s">
        <v>10718</v>
      </c>
      <c r="D113" t="s">
        <v>13602</v>
      </c>
      <c r="E113" t="s">
        <v>811</v>
      </c>
      <c r="F113" t="s">
        <v>11119</v>
      </c>
      <c r="G113" t="s">
        <v>426</v>
      </c>
      <c r="H113" t="s">
        <v>437</v>
      </c>
    </row>
    <row r="114" spans="1:8" x14ac:dyDescent="0.2">
      <c r="A114" t="str">
        <f t="shared" si="1"/>
        <v>metab_svldlce</v>
      </c>
      <c r="B114" t="s">
        <v>10839</v>
      </c>
      <c r="C114" t="s">
        <v>11220</v>
      </c>
      <c r="D114" t="s">
        <v>13603</v>
      </c>
      <c r="E114" t="s">
        <v>13604</v>
      </c>
      <c r="F114" t="s">
        <v>11118</v>
      </c>
      <c r="G114" t="s">
        <v>72</v>
      </c>
      <c r="H114" t="s">
        <v>123</v>
      </c>
    </row>
    <row r="115" spans="1:8" x14ac:dyDescent="0.2">
      <c r="A115" t="str">
        <f t="shared" si="1"/>
        <v>metab_remnantc</v>
      </c>
      <c r="B115" t="s">
        <v>10563</v>
      </c>
      <c r="C115" t="s">
        <v>11239</v>
      </c>
      <c r="D115" t="s">
        <v>13605</v>
      </c>
      <c r="E115" t="s">
        <v>802</v>
      </c>
      <c r="F115" t="s">
        <v>11118</v>
      </c>
      <c r="G115" t="s">
        <v>346</v>
      </c>
    </row>
    <row r="116" spans="1:8" x14ac:dyDescent="0.2">
      <c r="A116" t="str">
        <f t="shared" si="1"/>
        <v>metab_glyca</v>
      </c>
      <c r="B116" t="s">
        <v>10766</v>
      </c>
      <c r="C116" t="s">
        <v>10767</v>
      </c>
      <c r="D116" t="s">
        <v>10767</v>
      </c>
      <c r="E116" t="s">
        <v>579</v>
      </c>
      <c r="F116" t="s">
        <v>11118</v>
      </c>
      <c r="G116" t="s">
        <v>580</v>
      </c>
    </row>
    <row r="117" spans="1:8" x14ac:dyDescent="0.2">
      <c r="A117" t="str">
        <f t="shared" si="1"/>
        <v>metab_mldlfcpct</v>
      </c>
      <c r="B117" t="s">
        <v>11063</v>
      </c>
      <c r="C117" t="s">
        <v>13606</v>
      </c>
      <c r="D117" t="s">
        <v>13607</v>
      </c>
      <c r="E117" t="s">
        <v>533</v>
      </c>
      <c r="F117" t="s">
        <v>11119</v>
      </c>
      <c r="G117" t="s">
        <v>13435</v>
      </c>
      <c r="H117" t="s">
        <v>175</v>
      </c>
    </row>
    <row r="118" spans="1:8" x14ac:dyDescent="0.2">
      <c r="A118" t="str">
        <f t="shared" si="1"/>
        <v>metab_xlhdlplpct</v>
      </c>
      <c r="B118" t="s">
        <v>11077</v>
      </c>
      <c r="C118" t="s">
        <v>13608</v>
      </c>
      <c r="D118" t="s">
        <v>13609</v>
      </c>
      <c r="E118" t="s">
        <v>773</v>
      </c>
      <c r="F118" t="s">
        <v>11119</v>
      </c>
      <c r="G118" t="s">
        <v>13435</v>
      </c>
      <c r="H118" t="s">
        <v>200</v>
      </c>
    </row>
    <row r="119" spans="1:8" x14ac:dyDescent="0.2">
      <c r="A119" t="str">
        <f t="shared" si="1"/>
        <v>metab_lhdltg</v>
      </c>
      <c r="B119" t="s">
        <v>10942</v>
      </c>
      <c r="C119" t="s">
        <v>11228</v>
      </c>
      <c r="D119" t="s">
        <v>13610</v>
      </c>
      <c r="E119" t="s">
        <v>951</v>
      </c>
      <c r="F119" t="s">
        <v>11118</v>
      </c>
      <c r="G119" t="s">
        <v>72</v>
      </c>
      <c r="H119" t="s">
        <v>83</v>
      </c>
    </row>
    <row r="120" spans="1:8" x14ac:dyDescent="0.2">
      <c r="A120" t="str">
        <f t="shared" si="1"/>
        <v>metab_xlhdlcepct</v>
      </c>
      <c r="B120" t="s">
        <v>11081</v>
      </c>
      <c r="C120" t="s">
        <v>13611</v>
      </c>
      <c r="D120" t="s">
        <v>13612</v>
      </c>
      <c r="E120" t="s">
        <v>327</v>
      </c>
      <c r="F120" t="s">
        <v>11119</v>
      </c>
      <c r="G120" t="s">
        <v>13435</v>
      </c>
      <c r="H120" t="s">
        <v>200</v>
      </c>
    </row>
    <row r="121" spans="1:8" x14ac:dyDescent="0.2">
      <c r="A121" t="str">
        <f t="shared" si="1"/>
        <v>metab_xlhdltgpct</v>
      </c>
      <c r="B121" t="s">
        <v>11085</v>
      </c>
      <c r="C121" t="s">
        <v>13613</v>
      </c>
      <c r="D121" t="s">
        <v>13614</v>
      </c>
      <c r="E121" t="s">
        <v>1058</v>
      </c>
      <c r="F121" t="s">
        <v>11119</v>
      </c>
      <c r="G121" t="s">
        <v>13435</v>
      </c>
      <c r="H121" t="s">
        <v>200</v>
      </c>
    </row>
    <row r="122" spans="1:8" x14ac:dyDescent="0.2">
      <c r="A122" t="str">
        <f t="shared" si="1"/>
        <v>metab_xsvldll</v>
      </c>
      <c r="B122" t="s">
        <v>10847</v>
      </c>
      <c r="C122" t="s">
        <v>11241</v>
      </c>
      <c r="D122" t="s">
        <v>13615</v>
      </c>
      <c r="E122" t="s">
        <v>920</v>
      </c>
      <c r="F122" t="s">
        <v>11118</v>
      </c>
      <c r="G122" t="s">
        <v>72</v>
      </c>
      <c r="H122" t="s">
        <v>13539</v>
      </c>
    </row>
    <row r="123" spans="1:8" x14ac:dyDescent="0.2">
      <c r="A123" t="str">
        <f t="shared" si="1"/>
        <v>metab_xlvldltgpct</v>
      </c>
      <c r="B123" t="s">
        <v>10994</v>
      </c>
      <c r="C123" t="s">
        <v>13616</v>
      </c>
      <c r="D123" t="s">
        <v>13617</v>
      </c>
      <c r="E123" t="s">
        <v>1062</v>
      </c>
      <c r="F123" t="s">
        <v>11119</v>
      </c>
      <c r="G123" t="s">
        <v>13435</v>
      </c>
      <c r="H123" t="s">
        <v>205</v>
      </c>
    </row>
    <row r="124" spans="1:8" x14ac:dyDescent="0.2">
      <c r="A124" t="str">
        <f t="shared" si="1"/>
        <v>metab_mhdltgpct</v>
      </c>
      <c r="B124" t="s">
        <v>11105</v>
      </c>
      <c r="C124" t="s">
        <v>13618</v>
      </c>
      <c r="D124" t="s">
        <v>13619</v>
      </c>
      <c r="E124" t="s">
        <v>1034</v>
      </c>
      <c r="F124" t="s">
        <v>11119</v>
      </c>
      <c r="G124" t="s">
        <v>13435</v>
      </c>
      <c r="H124" t="s">
        <v>170</v>
      </c>
    </row>
    <row r="125" spans="1:8" x14ac:dyDescent="0.2">
      <c r="A125" t="str">
        <f t="shared" si="1"/>
        <v>metab_gly</v>
      </c>
      <c r="B125" t="s">
        <v>10736</v>
      </c>
      <c r="C125" t="s">
        <v>11277</v>
      </c>
      <c r="D125" t="s">
        <v>11277</v>
      </c>
      <c r="E125" t="s">
        <v>572</v>
      </c>
      <c r="F125" t="s">
        <v>11118</v>
      </c>
      <c r="G125" t="s">
        <v>30</v>
      </c>
    </row>
    <row r="126" spans="1:8" x14ac:dyDescent="0.2">
      <c r="A126" t="str">
        <f t="shared" si="1"/>
        <v>metab_xlvldlplpct</v>
      </c>
      <c r="B126" t="s">
        <v>10986</v>
      </c>
      <c r="C126" t="s">
        <v>13620</v>
      </c>
      <c r="D126" t="s">
        <v>13621</v>
      </c>
      <c r="E126" t="s">
        <v>777</v>
      </c>
      <c r="F126" t="s">
        <v>11119</v>
      </c>
      <c r="G126" t="s">
        <v>13435</v>
      </c>
      <c r="H126" t="s">
        <v>205</v>
      </c>
    </row>
    <row r="127" spans="1:8" x14ac:dyDescent="0.2">
      <c r="A127" t="str">
        <f t="shared" si="1"/>
        <v>metab_omega3pct</v>
      </c>
      <c r="B127" t="s">
        <v>10705</v>
      </c>
      <c r="C127" t="s">
        <v>10706</v>
      </c>
      <c r="D127" t="s">
        <v>13622</v>
      </c>
      <c r="E127" t="s">
        <v>632</v>
      </c>
      <c r="F127" t="s">
        <v>11119</v>
      </c>
      <c r="G127" t="s">
        <v>426</v>
      </c>
      <c r="H127" t="s">
        <v>437</v>
      </c>
    </row>
    <row r="128" spans="1:8" x14ac:dyDescent="0.2">
      <c r="A128" t="str">
        <f t="shared" si="1"/>
        <v>metab_lvldlfcpct</v>
      </c>
      <c r="B128" t="s">
        <v>11003</v>
      </c>
      <c r="C128" t="s">
        <v>13623</v>
      </c>
      <c r="D128" t="s">
        <v>13624</v>
      </c>
      <c r="E128" t="s">
        <v>525</v>
      </c>
      <c r="F128" t="s">
        <v>11119</v>
      </c>
      <c r="G128" t="s">
        <v>13435</v>
      </c>
      <c r="H128" t="s">
        <v>165</v>
      </c>
    </row>
    <row r="129" spans="1:8" x14ac:dyDescent="0.2">
      <c r="A129" t="str">
        <f t="shared" si="1"/>
        <v>metab_xlhdlcpct</v>
      </c>
      <c r="B129" t="s">
        <v>11079</v>
      </c>
      <c r="C129" t="s">
        <v>13625</v>
      </c>
      <c r="D129" t="s">
        <v>13626</v>
      </c>
      <c r="E129" t="s">
        <v>13627</v>
      </c>
      <c r="F129" t="s">
        <v>11119</v>
      </c>
      <c r="G129" t="s">
        <v>13435</v>
      </c>
      <c r="H129" t="s">
        <v>200</v>
      </c>
    </row>
    <row r="130" spans="1:8" x14ac:dyDescent="0.2">
      <c r="A130" t="str">
        <f t="shared" si="1"/>
        <v>metab_totalfa</v>
      </c>
      <c r="B130" t="s">
        <v>10679</v>
      </c>
      <c r="C130" t="s">
        <v>10680</v>
      </c>
      <c r="D130" t="s">
        <v>13628</v>
      </c>
      <c r="E130" t="s">
        <v>846</v>
      </c>
      <c r="F130" t="s">
        <v>11118</v>
      </c>
      <c r="G130" t="s">
        <v>426</v>
      </c>
    </row>
    <row r="131" spans="1:8" x14ac:dyDescent="0.2">
      <c r="A131" t="str">
        <f t="shared" ref="A131:A194" si="2">_xlfn.CONCAT("metab_", $B131)</f>
        <v>metab_mvldlplpct</v>
      </c>
      <c r="B131" t="s">
        <v>11007</v>
      </c>
      <c r="C131" t="s">
        <v>13629</v>
      </c>
      <c r="D131" t="s">
        <v>13630</v>
      </c>
      <c r="E131" t="s">
        <v>757</v>
      </c>
      <c r="F131" t="s">
        <v>11119</v>
      </c>
      <c r="G131" t="s">
        <v>13435</v>
      </c>
      <c r="H131" t="s">
        <v>180</v>
      </c>
    </row>
    <row r="132" spans="1:8" x14ac:dyDescent="0.2">
      <c r="A132" t="str">
        <f t="shared" si="2"/>
        <v>metab_mufapct</v>
      </c>
      <c r="B132" t="s">
        <v>10714</v>
      </c>
      <c r="C132" t="s">
        <v>10715</v>
      </c>
      <c r="D132" t="s">
        <v>13631</v>
      </c>
      <c r="E132" t="s">
        <v>623</v>
      </c>
      <c r="F132" t="s">
        <v>11119</v>
      </c>
      <c r="G132" t="s">
        <v>426</v>
      </c>
      <c r="H132" t="s">
        <v>437</v>
      </c>
    </row>
    <row r="133" spans="1:8" x14ac:dyDescent="0.2">
      <c r="A133" t="str">
        <f t="shared" si="2"/>
        <v>metab_shdlce</v>
      </c>
      <c r="B133" t="s">
        <v>10966</v>
      </c>
      <c r="C133" t="s">
        <v>11285</v>
      </c>
      <c r="D133" t="s">
        <v>13632</v>
      </c>
      <c r="E133" t="s">
        <v>13633</v>
      </c>
      <c r="F133" t="s">
        <v>11118</v>
      </c>
      <c r="G133" t="s">
        <v>72</v>
      </c>
      <c r="H133" t="s">
        <v>113</v>
      </c>
    </row>
    <row r="134" spans="1:8" x14ac:dyDescent="0.2">
      <c r="A134" t="str">
        <f t="shared" si="2"/>
        <v>metab_xlvldlcepct</v>
      </c>
      <c r="B134" t="s">
        <v>10990</v>
      </c>
      <c r="C134" t="s">
        <v>13634</v>
      </c>
      <c r="D134" t="s">
        <v>13635</v>
      </c>
      <c r="E134" t="s">
        <v>331</v>
      </c>
      <c r="F134" t="s">
        <v>11119</v>
      </c>
      <c r="G134" t="s">
        <v>13435</v>
      </c>
      <c r="H134" t="s">
        <v>205</v>
      </c>
    </row>
    <row r="135" spans="1:8" x14ac:dyDescent="0.2">
      <c r="A135" t="str">
        <f t="shared" si="2"/>
        <v>metab_xlvldlcpct</v>
      </c>
      <c r="B135" t="s">
        <v>10988</v>
      </c>
      <c r="C135" t="s">
        <v>13636</v>
      </c>
      <c r="D135" t="s">
        <v>13637</v>
      </c>
      <c r="E135" t="s">
        <v>13638</v>
      </c>
      <c r="F135" t="s">
        <v>11119</v>
      </c>
      <c r="G135" t="s">
        <v>13435</v>
      </c>
      <c r="H135" t="s">
        <v>205</v>
      </c>
    </row>
    <row r="136" spans="1:8" x14ac:dyDescent="0.2">
      <c r="A136" t="str">
        <f t="shared" si="2"/>
        <v>metab_shdll</v>
      </c>
      <c r="B136" t="s">
        <v>10960</v>
      </c>
      <c r="C136" t="s">
        <v>11180</v>
      </c>
      <c r="D136" t="s">
        <v>13639</v>
      </c>
      <c r="E136" t="s">
        <v>900</v>
      </c>
      <c r="F136" t="s">
        <v>11118</v>
      </c>
      <c r="G136" t="s">
        <v>72</v>
      </c>
      <c r="H136" t="s">
        <v>113</v>
      </c>
    </row>
    <row r="137" spans="1:8" x14ac:dyDescent="0.2">
      <c r="A137" t="str">
        <f t="shared" si="2"/>
        <v>metab_ldlsize</v>
      </c>
      <c r="B137" t="s">
        <v>10653</v>
      </c>
      <c r="C137" t="s">
        <v>10654</v>
      </c>
      <c r="D137" t="s">
        <v>13640</v>
      </c>
      <c r="E137" t="s">
        <v>61</v>
      </c>
      <c r="F137" t="s">
        <v>11123</v>
      </c>
      <c r="G137" t="s">
        <v>56</v>
      </c>
    </row>
    <row r="138" spans="1:8" x14ac:dyDescent="0.2">
      <c r="A138" t="str">
        <f t="shared" si="2"/>
        <v>metab_tyr</v>
      </c>
      <c r="B138" t="s">
        <v>10751</v>
      </c>
      <c r="C138" t="s">
        <v>11287</v>
      </c>
      <c r="D138" t="s">
        <v>11287</v>
      </c>
      <c r="E138" t="s">
        <v>1069</v>
      </c>
      <c r="F138" t="s">
        <v>11118</v>
      </c>
      <c r="G138" t="s">
        <v>30</v>
      </c>
      <c r="H138" t="s">
        <v>651</v>
      </c>
    </row>
    <row r="139" spans="1:8" x14ac:dyDescent="0.2">
      <c r="A139" t="str">
        <f t="shared" si="2"/>
        <v>metab_mhdlfcpct</v>
      </c>
      <c r="B139" t="s">
        <v>11103</v>
      </c>
      <c r="C139" t="s">
        <v>13641</v>
      </c>
      <c r="D139" t="s">
        <v>13642</v>
      </c>
      <c r="E139" t="s">
        <v>529</v>
      </c>
      <c r="F139" t="s">
        <v>11119</v>
      </c>
      <c r="G139" t="s">
        <v>13435</v>
      </c>
      <c r="H139" t="s">
        <v>170</v>
      </c>
    </row>
    <row r="140" spans="1:8" x14ac:dyDescent="0.2">
      <c r="A140" t="str">
        <f t="shared" si="2"/>
        <v>metab_svldltg</v>
      </c>
      <c r="B140" t="s">
        <v>10843</v>
      </c>
      <c r="C140" t="s">
        <v>11204</v>
      </c>
      <c r="D140" t="s">
        <v>13643</v>
      </c>
      <c r="E140" t="s">
        <v>988</v>
      </c>
      <c r="F140" t="s">
        <v>11118</v>
      </c>
      <c r="G140" t="s">
        <v>72</v>
      </c>
      <c r="H140" t="s">
        <v>123</v>
      </c>
    </row>
    <row r="141" spans="1:8" x14ac:dyDescent="0.2">
      <c r="A141" t="str">
        <f t="shared" si="2"/>
        <v>metab_lvldltg</v>
      </c>
      <c r="B141" t="s">
        <v>10815</v>
      </c>
      <c r="C141" t="s">
        <v>11205</v>
      </c>
      <c r="D141" t="s">
        <v>13644</v>
      </c>
      <c r="E141" t="s">
        <v>959</v>
      </c>
      <c r="F141" t="s">
        <v>11118</v>
      </c>
      <c r="G141" t="s">
        <v>72</v>
      </c>
      <c r="H141" t="s">
        <v>93</v>
      </c>
    </row>
    <row r="142" spans="1:8" x14ac:dyDescent="0.2">
      <c r="A142" t="str">
        <f t="shared" si="2"/>
        <v>metab_mhdlce</v>
      </c>
      <c r="B142" t="s">
        <v>10952</v>
      </c>
      <c r="C142" t="s">
        <v>11305</v>
      </c>
      <c r="D142" t="s">
        <v>13645</v>
      </c>
      <c r="E142" t="s">
        <v>13646</v>
      </c>
      <c r="F142" t="s">
        <v>11118</v>
      </c>
      <c r="G142" t="s">
        <v>72</v>
      </c>
      <c r="H142" t="s">
        <v>98</v>
      </c>
    </row>
    <row r="143" spans="1:8" x14ac:dyDescent="0.2">
      <c r="A143" t="str">
        <f t="shared" si="2"/>
        <v>metab_mhdltg</v>
      </c>
      <c r="B143" t="s">
        <v>10956</v>
      </c>
      <c r="C143" t="s">
        <v>11231</v>
      </c>
      <c r="D143" t="s">
        <v>13647</v>
      </c>
      <c r="E143" t="s">
        <v>968</v>
      </c>
      <c r="F143" t="s">
        <v>11118</v>
      </c>
      <c r="G143" t="s">
        <v>72</v>
      </c>
      <c r="H143" t="s">
        <v>98</v>
      </c>
    </row>
    <row r="144" spans="1:8" x14ac:dyDescent="0.2">
      <c r="A144" t="str">
        <f t="shared" si="2"/>
        <v>metab_mhdlc</v>
      </c>
      <c r="B144" t="s">
        <v>10950</v>
      </c>
      <c r="C144" t="s">
        <v>11303</v>
      </c>
      <c r="D144" t="s">
        <v>13648</v>
      </c>
      <c r="E144" t="s">
        <v>13649</v>
      </c>
      <c r="F144" t="s">
        <v>11118</v>
      </c>
      <c r="G144" t="s">
        <v>72</v>
      </c>
      <c r="H144" t="s">
        <v>98</v>
      </c>
    </row>
    <row r="145" spans="1:8" x14ac:dyDescent="0.2">
      <c r="A145" t="str">
        <f t="shared" si="2"/>
        <v>metab_svldlc</v>
      </c>
      <c r="B145" t="s">
        <v>10837</v>
      </c>
      <c r="C145" t="s">
        <v>11281</v>
      </c>
      <c r="D145" t="s">
        <v>13650</v>
      </c>
      <c r="E145" t="s">
        <v>13651</v>
      </c>
      <c r="F145" t="s">
        <v>11118</v>
      </c>
      <c r="G145" t="s">
        <v>72</v>
      </c>
      <c r="H145" t="s">
        <v>123</v>
      </c>
    </row>
    <row r="146" spans="1:8" x14ac:dyDescent="0.2">
      <c r="A146" t="str">
        <f t="shared" si="2"/>
        <v>metab_svldlplpct</v>
      </c>
      <c r="B146" t="s">
        <v>11017</v>
      </c>
      <c r="C146" t="s">
        <v>13652</v>
      </c>
      <c r="D146" t="s">
        <v>13653</v>
      </c>
      <c r="E146" t="s">
        <v>769</v>
      </c>
      <c r="F146" t="s">
        <v>11119</v>
      </c>
      <c r="G146" t="s">
        <v>13435</v>
      </c>
      <c r="H146" t="s">
        <v>195</v>
      </c>
    </row>
    <row r="147" spans="1:8" x14ac:dyDescent="0.2">
      <c r="A147" t="str">
        <f t="shared" si="2"/>
        <v>metab_lvldll</v>
      </c>
      <c r="B147" t="s">
        <v>10805</v>
      </c>
      <c r="C147" t="s">
        <v>11214</v>
      </c>
      <c r="D147" t="s">
        <v>13654</v>
      </c>
      <c r="E147" t="s">
        <v>876</v>
      </c>
      <c r="F147" t="s">
        <v>11118</v>
      </c>
      <c r="G147" t="s">
        <v>72</v>
      </c>
      <c r="H147" t="s">
        <v>93</v>
      </c>
    </row>
    <row r="148" spans="1:8" x14ac:dyDescent="0.2">
      <c r="A148" t="str">
        <f t="shared" si="2"/>
        <v>metab_vldltg</v>
      </c>
      <c r="B148" t="s">
        <v>10581</v>
      </c>
      <c r="C148" t="s">
        <v>11208</v>
      </c>
      <c r="D148" t="s">
        <v>13655</v>
      </c>
      <c r="E148" t="s">
        <v>1003</v>
      </c>
      <c r="F148" t="s">
        <v>11118</v>
      </c>
      <c r="G148" t="s">
        <v>935</v>
      </c>
    </row>
    <row r="149" spans="1:8" x14ac:dyDescent="0.2">
      <c r="A149" t="str">
        <f t="shared" si="2"/>
        <v>metab_mvldltg</v>
      </c>
      <c r="B149" t="s">
        <v>10829</v>
      </c>
      <c r="C149" t="s">
        <v>11211</v>
      </c>
      <c r="D149" t="s">
        <v>13656</v>
      </c>
      <c r="E149" t="s">
        <v>976</v>
      </c>
      <c r="F149" t="s">
        <v>11118</v>
      </c>
      <c r="G149" t="s">
        <v>72</v>
      </c>
      <c r="H149" t="s">
        <v>108</v>
      </c>
    </row>
    <row r="150" spans="1:8" x14ac:dyDescent="0.2">
      <c r="A150" t="str">
        <f t="shared" si="2"/>
        <v>metab_xlhdltg</v>
      </c>
      <c r="B150" t="s">
        <v>10928</v>
      </c>
      <c r="C150" t="s">
        <v>11255</v>
      </c>
      <c r="D150" t="s">
        <v>13657</v>
      </c>
      <c r="E150" t="s">
        <v>992</v>
      </c>
      <c r="F150" t="s">
        <v>11118</v>
      </c>
      <c r="G150" t="s">
        <v>72</v>
      </c>
      <c r="H150" t="s">
        <v>128</v>
      </c>
    </row>
    <row r="151" spans="1:8" x14ac:dyDescent="0.2">
      <c r="A151" t="str">
        <f t="shared" si="2"/>
        <v>metab_xsvldltg</v>
      </c>
      <c r="B151" t="s">
        <v>10858</v>
      </c>
      <c r="C151" t="s">
        <v>11219</v>
      </c>
      <c r="D151" t="s">
        <v>13658</v>
      </c>
      <c r="E151" t="s">
        <v>1000</v>
      </c>
      <c r="F151" t="s">
        <v>11118</v>
      </c>
      <c r="G151" t="s">
        <v>72</v>
      </c>
      <c r="H151" t="s">
        <v>13539</v>
      </c>
    </row>
    <row r="152" spans="1:8" x14ac:dyDescent="0.2">
      <c r="A152" t="str">
        <f t="shared" si="2"/>
        <v>metab_lapct</v>
      </c>
      <c r="B152" t="s">
        <v>10720</v>
      </c>
      <c r="C152" t="s">
        <v>10721</v>
      </c>
      <c r="D152" t="s">
        <v>13659</v>
      </c>
      <c r="E152" t="s">
        <v>615</v>
      </c>
      <c r="F152" t="s">
        <v>11119</v>
      </c>
      <c r="G152" t="s">
        <v>426</v>
      </c>
      <c r="H152" t="s">
        <v>437</v>
      </c>
    </row>
    <row r="153" spans="1:8" x14ac:dyDescent="0.2">
      <c r="A153" t="str">
        <f t="shared" si="2"/>
        <v>metab_xlvldlfcpct</v>
      </c>
      <c r="B153" t="s">
        <v>10992</v>
      </c>
      <c r="C153" t="s">
        <v>13660</v>
      </c>
      <c r="D153" t="s">
        <v>13661</v>
      </c>
      <c r="E153" t="s">
        <v>557</v>
      </c>
      <c r="F153" t="s">
        <v>11119</v>
      </c>
      <c r="G153" t="s">
        <v>13435</v>
      </c>
      <c r="H153" t="s">
        <v>205</v>
      </c>
    </row>
    <row r="154" spans="1:8" x14ac:dyDescent="0.2">
      <c r="A154" t="str">
        <f t="shared" si="2"/>
        <v>metab_lvldlpl</v>
      </c>
      <c r="B154" t="s">
        <v>10807</v>
      </c>
      <c r="C154" t="s">
        <v>11229</v>
      </c>
      <c r="D154" t="s">
        <v>13662</v>
      </c>
      <c r="E154" t="s">
        <v>683</v>
      </c>
      <c r="F154" t="s">
        <v>11118</v>
      </c>
      <c r="G154" t="s">
        <v>72</v>
      </c>
      <c r="H154" t="s">
        <v>93</v>
      </c>
    </row>
    <row r="155" spans="1:8" x14ac:dyDescent="0.2">
      <c r="A155" t="str">
        <f t="shared" si="2"/>
        <v>metab_creatinine</v>
      </c>
      <c r="B155" t="s">
        <v>417</v>
      </c>
      <c r="C155" t="s">
        <v>418</v>
      </c>
      <c r="D155" t="s">
        <v>418</v>
      </c>
      <c r="E155" t="s">
        <v>418</v>
      </c>
      <c r="F155" t="s">
        <v>13663</v>
      </c>
      <c r="G155" t="s">
        <v>35</v>
      </c>
    </row>
    <row r="156" spans="1:8" x14ac:dyDescent="0.2">
      <c r="A156" t="str">
        <f t="shared" si="2"/>
        <v>metab_mufa</v>
      </c>
      <c r="B156" t="s">
        <v>10694</v>
      </c>
      <c r="C156" t="s">
        <v>620</v>
      </c>
      <c r="D156" t="s">
        <v>620</v>
      </c>
      <c r="E156" t="s">
        <v>13664</v>
      </c>
      <c r="F156" t="s">
        <v>11118</v>
      </c>
      <c r="G156" t="s">
        <v>426</v>
      </c>
    </row>
    <row r="157" spans="1:8" x14ac:dyDescent="0.2">
      <c r="A157" t="str">
        <f t="shared" si="2"/>
        <v>metab_xlvldltg</v>
      </c>
      <c r="B157" t="s">
        <v>10801</v>
      </c>
      <c r="C157" t="s">
        <v>11217</v>
      </c>
      <c r="D157" t="s">
        <v>13665</v>
      </c>
      <c r="E157" t="s">
        <v>996</v>
      </c>
      <c r="F157" t="s">
        <v>11118</v>
      </c>
      <c r="G157" t="s">
        <v>72</v>
      </c>
      <c r="H157" t="s">
        <v>133</v>
      </c>
    </row>
    <row r="158" spans="1:8" x14ac:dyDescent="0.2">
      <c r="A158" t="str">
        <f t="shared" si="2"/>
        <v>metab_pyruvate</v>
      </c>
      <c r="B158" t="s">
        <v>796</v>
      </c>
      <c r="C158" t="s">
        <v>797</v>
      </c>
      <c r="D158" t="s">
        <v>797</v>
      </c>
      <c r="E158" t="s">
        <v>797</v>
      </c>
      <c r="F158" t="s">
        <v>11118</v>
      </c>
      <c r="G158" t="s">
        <v>341</v>
      </c>
    </row>
    <row r="159" spans="1:8" x14ac:dyDescent="0.2">
      <c r="A159" t="str">
        <f t="shared" si="2"/>
        <v>metab_his</v>
      </c>
      <c r="B159" t="s">
        <v>10738</v>
      </c>
      <c r="C159" t="s">
        <v>11256</v>
      </c>
      <c r="D159" t="s">
        <v>11256</v>
      </c>
      <c r="E159" t="s">
        <v>586</v>
      </c>
      <c r="F159" t="s">
        <v>11118</v>
      </c>
      <c r="G159" t="s">
        <v>30</v>
      </c>
    </row>
    <row r="160" spans="1:8" x14ac:dyDescent="0.2">
      <c r="A160" t="str">
        <f t="shared" si="2"/>
        <v>metab_sfa</v>
      </c>
      <c r="B160" t="s">
        <v>10697</v>
      </c>
      <c r="C160" t="s">
        <v>11304</v>
      </c>
      <c r="D160" t="s">
        <v>11304</v>
      </c>
      <c r="E160" t="s">
        <v>807</v>
      </c>
      <c r="F160" t="s">
        <v>11118</v>
      </c>
      <c r="G160" t="s">
        <v>426</v>
      </c>
    </row>
    <row r="161" spans="1:8" x14ac:dyDescent="0.2">
      <c r="A161" t="str">
        <f t="shared" si="2"/>
        <v>metab_lldlfcpct</v>
      </c>
      <c r="B161" t="s">
        <v>11053</v>
      </c>
      <c r="C161" t="s">
        <v>13666</v>
      </c>
      <c r="D161" t="s">
        <v>13667</v>
      </c>
      <c r="E161" t="s">
        <v>521</v>
      </c>
      <c r="F161" t="s">
        <v>11119</v>
      </c>
      <c r="G161" t="s">
        <v>13435</v>
      </c>
      <c r="H161" t="s">
        <v>160</v>
      </c>
    </row>
    <row r="162" spans="1:8" x14ac:dyDescent="0.2">
      <c r="A162" t="str">
        <f t="shared" si="2"/>
        <v>metab_totaltg</v>
      </c>
      <c r="B162" t="s">
        <v>10578</v>
      </c>
      <c r="C162" t="s">
        <v>10579</v>
      </c>
      <c r="D162" t="s">
        <v>13668</v>
      </c>
      <c r="E162" t="s">
        <v>934</v>
      </c>
      <c r="F162" t="s">
        <v>11118</v>
      </c>
      <c r="G162" t="s">
        <v>935</v>
      </c>
    </row>
    <row r="163" spans="1:8" x14ac:dyDescent="0.2">
      <c r="A163" t="str">
        <f t="shared" si="2"/>
        <v>metab_mhdlfc</v>
      </c>
      <c r="B163" t="s">
        <v>10954</v>
      </c>
      <c r="C163" t="s">
        <v>11289</v>
      </c>
      <c r="D163" t="s">
        <v>13669</v>
      </c>
      <c r="E163" t="s">
        <v>469</v>
      </c>
      <c r="F163" t="s">
        <v>11118</v>
      </c>
      <c r="G163" t="s">
        <v>72</v>
      </c>
      <c r="H163" t="s">
        <v>98</v>
      </c>
    </row>
    <row r="164" spans="1:8" x14ac:dyDescent="0.2">
      <c r="A164" t="str">
        <f t="shared" si="2"/>
        <v>metab_shdlc</v>
      </c>
      <c r="B164" t="s">
        <v>10964</v>
      </c>
      <c r="C164" t="s">
        <v>11300</v>
      </c>
      <c r="D164" t="s">
        <v>13670</v>
      </c>
      <c r="E164" t="s">
        <v>13671</v>
      </c>
      <c r="F164" t="s">
        <v>11118</v>
      </c>
      <c r="G164" t="s">
        <v>72</v>
      </c>
      <c r="H164" t="s">
        <v>113</v>
      </c>
    </row>
    <row r="165" spans="1:8" x14ac:dyDescent="0.2">
      <c r="A165" t="str">
        <f t="shared" si="2"/>
        <v>metab_lvldlfc</v>
      </c>
      <c r="B165" t="s">
        <v>10813</v>
      </c>
      <c r="C165" t="s">
        <v>11210</v>
      </c>
      <c r="D165" t="s">
        <v>13672</v>
      </c>
      <c r="E165" t="s">
        <v>461</v>
      </c>
      <c r="F165" t="s">
        <v>11118</v>
      </c>
      <c r="G165" t="s">
        <v>72</v>
      </c>
      <c r="H165" t="s">
        <v>93</v>
      </c>
    </row>
    <row r="166" spans="1:8" x14ac:dyDescent="0.2">
      <c r="A166" t="str">
        <f t="shared" si="2"/>
        <v>metab_phe</v>
      </c>
      <c r="B166" t="s">
        <v>10749</v>
      </c>
      <c r="C166" t="s">
        <v>11244</v>
      </c>
      <c r="D166" t="s">
        <v>11244</v>
      </c>
      <c r="E166" t="s">
        <v>648</v>
      </c>
      <c r="F166" t="s">
        <v>11118</v>
      </c>
      <c r="G166" t="s">
        <v>30</v>
      </c>
      <c r="H166" t="s">
        <v>651</v>
      </c>
    </row>
    <row r="167" spans="1:8" x14ac:dyDescent="0.2">
      <c r="A167" t="str">
        <f t="shared" si="2"/>
        <v>metab_shdlp</v>
      </c>
      <c r="B167" t="s">
        <v>10958</v>
      </c>
      <c r="C167" t="s">
        <v>11172</v>
      </c>
      <c r="D167" t="s">
        <v>13673</v>
      </c>
      <c r="E167" t="s">
        <v>391</v>
      </c>
      <c r="F167" t="s">
        <v>11118</v>
      </c>
      <c r="G167" t="s">
        <v>72</v>
      </c>
      <c r="H167" t="s">
        <v>113</v>
      </c>
    </row>
    <row r="168" spans="1:8" x14ac:dyDescent="0.2">
      <c r="A168" t="str">
        <f t="shared" si="2"/>
        <v>metab_lhdltgpct</v>
      </c>
      <c r="B168" t="s">
        <v>11095</v>
      </c>
      <c r="C168" t="s">
        <v>13674</v>
      </c>
      <c r="D168" t="s">
        <v>13675</v>
      </c>
      <c r="E168" t="s">
        <v>1022</v>
      </c>
      <c r="F168" t="s">
        <v>11119</v>
      </c>
      <c r="G168" t="s">
        <v>13435</v>
      </c>
      <c r="H168" t="s">
        <v>155</v>
      </c>
    </row>
    <row r="169" spans="1:8" x14ac:dyDescent="0.2">
      <c r="A169" t="str">
        <f t="shared" si="2"/>
        <v>metab_citrate</v>
      </c>
      <c r="B169" t="s">
        <v>337</v>
      </c>
      <c r="C169" t="s">
        <v>338</v>
      </c>
      <c r="D169" t="s">
        <v>338</v>
      </c>
      <c r="E169" t="s">
        <v>338</v>
      </c>
      <c r="F169" t="s">
        <v>11118</v>
      </c>
      <c r="G169" t="s">
        <v>341</v>
      </c>
    </row>
    <row r="170" spans="1:8" x14ac:dyDescent="0.2">
      <c r="A170" t="str">
        <f t="shared" si="2"/>
        <v>metab_apobapoa1</v>
      </c>
      <c r="B170" t="s">
        <v>10676</v>
      </c>
      <c r="C170" t="s">
        <v>11276</v>
      </c>
      <c r="D170" t="s">
        <v>13676</v>
      </c>
      <c r="E170" t="s">
        <v>13677</v>
      </c>
      <c r="F170" t="s">
        <v>13576</v>
      </c>
      <c r="G170" t="s">
        <v>41</v>
      </c>
    </row>
    <row r="171" spans="1:8" x14ac:dyDescent="0.2">
      <c r="A171" t="str">
        <f t="shared" si="2"/>
        <v>metab_lvldlc</v>
      </c>
      <c r="B171" t="s">
        <v>10809</v>
      </c>
      <c r="C171" t="s">
        <v>11234</v>
      </c>
      <c r="D171" t="s">
        <v>13678</v>
      </c>
      <c r="E171" t="s">
        <v>13679</v>
      </c>
      <c r="F171" t="s">
        <v>11118</v>
      </c>
      <c r="G171" t="s">
        <v>72</v>
      </c>
      <c r="H171" t="s">
        <v>93</v>
      </c>
    </row>
    <row r="172" spans="1:8" x14ac:dyDescent="0.2">
      <c r="A172" t="str">
        <f t="shared" si="2"/>
        <v>metab_mvldlfc</v>
      </c>
      <c r="B172" t="s">
        <v>10827</v>
      </c>
      <c r="C172" t="s">
        <v>11225</v>
      </c>
      <c r="D172" t="s">
        <v>13680</v>
      </c>
      <c r="E172" t="s">
        <v>477</v>
      </c>
      <c r="F172" t="s">
        <v>11118</v>
      </c>
      <c r="G172" t="s">
        <v>72</v>
      </c>
      <c r="H172" t="s">
        <v>108</v>
      </c>
    </row>
    <row r="173" spans="1:8" x14ac:dyDescent="0.2">
      <c r="A173" t="str">
        <f t="shared" si="2"/>
        <v>metab_idlplpct</v>
      </c>
      <c r="B173" t="s">
        <v>11037</v>
      </c>
      <c r="C173" t="s">
        <v>13681</v>
      </c>
      <c r="D173" t="s">
        <v>13682</v>
      </c>
      <c r="E173" t="s">
        <v>733</v>
      </c>
      <c r="F173" t="s">
        <v>11119</v>
      </c>
      <c r="G173" t="s">
        <v>13435</v>
      </c>
      <c r="H173" t="s">
        <v>150</v>
      </c>
    </row>
    <row r="174" spans="1:8" x14ac:dyDescent="0.2">
      <c r="A174" t="str">
        <f t="shared" si="2"/>
        <v>metab_xlvldll</v>
      </c>
      <c r="B174" t="s">
        <v>10791</v>
      </c>
      <c r="C174" t="s">
        <v>11235</v>
      </c>
      <c r="D174" t="s">
        <v>13683</v>
      </c>
      <c r="E174" t="s">
        <v>916</v>
      </c>
      <c r="F174" t="s">
        <v>11118</v>
      </c>
      <c r="G174" t="s">
        <v>72</v>
      </c>
      <c r="H174" t="s">
        <v>133</v>
      </c>
    </row>
    <row r="175" spans="1:8" x14ac:dyDescent="0.2">
      <c r="A175" t="str">
        <f t="shared" si="2"/>
        <v>metab_lhdlp</v>
      </c>
      <c r="B175" t="s">
        <v>10930</v>
      </c>
      <c r="C175" t="s">
        <v>11155</v>
      </c>
      <c r="D175" t="s">
        <v>13684</v>
      </c>
      <c r="E175" t="s">
        <v>363</v>
      </c>
      <c r="F175" t="s">
        <v>11118</v>
      </c>
      <c r="G175" t="s">
        <v>72</v>
      </c>
      <c r="H175" t="s">
        <v>83</v>
      </c>
    </row>
    <row r="176" spans="1:8" x14ac:dyDescent="0.2">
      <c r="A176" t="str">
        <f t="shared" si="2"/>
        <v>metab_xxlvldlplpct</v>
      </c>
      <c r="B176" t="s">
        <v>10972</v>
      </c>
      <c r="C176" t="s">
        <v>13685</v>
      </c>
      <c r="D176" t="s">
        <v>13686</v>
      </c>
      <c r="E176" t="s">
        <v>729</v>
      </c>
      <c r="F176" t="s">
        <v>11119</v>
      </c>
      <c r="G176" t="s">
        <v>13435</v>
      </c>
      <c r="H176" t="s">
        <v>13555</v>
      </c>
    </row>
    <row r="177" spans="1:8" x14ac:dyDescent="0.2">
      <c r="A177" t="str">
        <f t="shared" si="2"/>
        <v>metab_vldlc</v>
      </c>
      <c r="B177" t="s">
        <v>10566</v>
      </c>
      <c r="C177" t="s">
        <v>11292</v>
      </c>
      <c r="D177" t="s">
        <v>13687</v>
      </c>
      <c r="E177" t="s">
        <v>13688</v>
      </c>
      <c r="F177" t="s">
        <v>11118</v>
      </c>
      <c r="G177" t="s">
        <v>346</v>
      </c>
    </row>
    <row r="178" spans="1:8" x14ac:dyDescent="0.2">
      <c r="A178" t="str">
        <f t="shared" si="2"/>
        <v>metab_xxlvldlcpct</v>
      </c>
      <c r="B178" t="s">
        <v>10975</v>
      </c>
      <c r="C178" t="s">
        <v>13689</v>
      </c>
      <c r="D178" t="s">
        <v>13690</v>
      </c>
      <c r="E178" t="s">
        <v>13691</v>
      </c>
      <c r="F178" t="s">
        <v>11119</v>
      </c>
      <c r="G178" t="s">
        <v>13435</v>
      </c>
      <c r="H178" t="s">
        <v>13555</v>
      </c>
    </row>
    <row r="179" spans="1:8" x14ac:dyDescent="0.2">
      <c r="A179" t="str">
        <f t="shared" si="2"/>
        <v>metab_lvldlce</v>
      </c>
      <c r="B179" t="s">
        <v>10811</v>
      </c>
      <c r="C179" t="s">
        <v>11265</v>
      </c>
      <c r="D179" t="s">
        <v>13692</v>
      </c>
      <c r="E179" t="s">
        <v>13693</v>
      </c>
      <c r="F179" t="s">
        <v>11118</v>
      </c>
      <c r="G179" t="s">
        <v>72</v>
      </c>
      <c r="H179" t="s">
        <v>93</v>
      </c>
    </row>
    <row r="180" spans="1:8" x14ac:dyDescent="0.2">
      <c r="A180" t="str">
        <f t="shared" si="2"/>
        <v>metab_mvldlce</v>
      </c>
      <c r="B180" t="s">
        <v>10825</v>
      </c>
      <c r="C180" t="s">
        <v>11290</v>
      </c>
      <c r="D180" t="s">
        <v>13694</v>
      </c>
      <c r="E180" t="s">
        <v>13695</v>
      </c>
      <c r="F180" t="s">
        <v>11118</v>
      </c>
      <c r="G180" t="s">
        <v>72</v>
      </c>
      <c r="H180" t="s">
        <v>108</v>
      </c>
    </row>
    <row r="181" spans="1:8" x14ac:dyDescent="0.2">
      <c r="A181" t="str">
        <f t="shared" si="2"/>
        <v>metab_mvldll</v>
      </c>
      <c r="B181" t="s">
        <v>10819</v>
      </c>
      <c r="C181" t="s">
        <v>11242</v>
      </c>
      <c r="D181" t="s">
        <v>13696</v>
      </c>
      <c r="E181" t="s">
        <v>896</v>
      </c>
      <c r="F181" t="s">
        <v>11118</v>
      </c>
      <c r="G181" t="s">
        <v>72</v>
      </c>
      <c r="H181" t="s">
        <v>108</v>
      </c>
    </row>
    <row r="182" spans="1:8" x14ac:dyDescent="0.2">
      <c r="A182" t="str">
        <f t="shared" si="2"/>
        <v>metab_svldlpl</v>
      </c>
      <c r="B182" t="s">
        <v>10835</v>
      </c>
      <c r="C182" t="s">
        <v>11252</v>
      </c>
      <c r="D182" t="s">
        <v>13697</v>
      </c>
      <c r="E182" t="s">
        <v>710</v>
      </c>
      <c r="F182" t="s">
        <v>11118</v>
      </c>
      <c r="G182" t="s">
        <v>72</v>
      </c>
      <c r="H182" t="s">
        <v>123</v>
      </c>
    </row>
    <row r="183" spans="1:8" x14ac:dyDescent="0.2">
      <c r="A183" t="str">
        <f t="shared" si="2"/>
        <v>metab_mhdll</v>
      </c>
      <c r="B183" t="s">
        <v>10946</v>
      </c>
      <c r="C183" t="s">
        <v>11284</v>
      </c>
      <c r="D183" t="s">
        <v>13698</v>
      </c>
      <c r="E183" t="s">
        <v>888</v>
      </c>
      <c r="F183" t="s">
        <v>11118</v>
      </c>
      <c r="G183" t="s">
        <v>72</v>
      </c>
      <c r="H183" t="s">
        <v>98</v>
      </c>
    </row>
    <row r="184" spans="1:8" x14ac:dyDescent="0.2">
      <c r="A184" t="str">
        <f t="shared" si="2"/>
        <v>metab_svldlfcpct</v>
      </c>
      <c r="B184" t="s">
        <v>11023</v>
      </c>
      <c r="C184" t="s">
        <v>13699</v>
      </c>
      <c r="D184" t="s">
        <v>13700</v>
      </c>
      <c r="E184" t="s">
        <v>549</v>
      </c>
      <c r="F184" t="s">
        <v>11119</v>
      </c>
      <c r="G184" t="s">
        <v>13435</v>
      </c>
      <c r="H184" t="s">
        <v>195</v>
      </c>
    </row>
    <row r="185" spans="1:8" x14ac:dyDescent="0.2">
      <c r="A185" t="str">
        <f t="shared" si="2"/>
        <v>metab_mvldlpl</v>
      </c>
      <c r="B185" t="s">
        <v>10821</v>
      </c>
      <c r="C185" t="s">
        <v>11247</v>
      </c>
      <c r="D185" t="s">
        <v>13701</v>
      </c>
      <c r="E185" t="s">
        <v>698</v>
      </c>
      <c r="F185" t="s">
        <v>11118</v>
      </c>
      <c r="G185" t="s">
        <v>72</v>
      </c>
      <c r="H185" t="s">
        <v>108</v>
      </c>
    </row>
    <row r="186" spans="1:8" x14ac:dyDescent="0.2">
      <c r="A186" t="str">
        <f t="shared" si="2"/>
        <v>metab_mldltg</v>
      </c>
      <c r="B186" t="s">
        <v>10900</v>
      </c>
      <c r="C186" t="s">
        <v>11301</v>
      </c>
      <c r="D186" t="s">
        <v>13702</v>
      </c>
      <c r="E186" t="s">
        <v>972</v>
      </c>
      <c r="F186" t="s">
        <v>11118</v>
      </c>
      <c r="G186" t="s">
        <v>72</v>
      </c>
      <c r="H186" t="s">
        <v>103</v>
      </c>
    </row>
    <row r="187" spans="1:8" x14ac:dyDescent="0.2">
      <c r="A187" t="str">
        <f t="shared" si="2"/>
        <v>metab_xxlvldlfc</v>
      </c>
      <c r="B187" t="s">
        <v>10783</v>
      </c>
      <c r="C187" t="s">
        <v>11216</v>
      </c>
      <c r="D187" t="s">
        <v>13703</v>
      </c>
      <c r="E187" t="s">
        <v>11215</v>
      </c>
      <c r="F187" t="s">
        <v>11118</v>
      </c>
      <c r="G187" t="s">
        <v>72</v>
      </c>
      <c r="H187" t="s">
        <v>13704</v>
      </c>
    </row>
    <row r="188" spans="1:8" x14ac:dyDescent="0.2">
      <c r="A188" t="str">
        <f t="shared" si="2"/>
        <v>metab_hdltg</v>
      </c>
      <c r="B188" t="s">
        <v>10587</v>
      </c>
      <c r="C188" t="s">
        <v>11272</v>
      </c>
      <c r="D188" t="s">
        <v>13705</v>
      </c>
      <c r="E188" t="s">
        <v>941</v>
      </c>
      <c r="F188" t="s">
        <v>11118</v>
      </c>
      <c r="G188" t="s">
        <v>935</v>
      </c>
    </row>
    <row r="189" spans="1:8" x14ac:dyDescent="0.2">
      <c r="A189" t="str">
        <f t="shared" si="2"/>
        <v>metab_xxlvldlce</v>
      </c>
      <c r="B189" t="s">
        <v>10780</v>
      </c>
      <c r="C189" t="s">
        <v>11294</v>
      </c>
      <c r="D189" t="s">
        <v>13706</v>
      </c>
      <c r="E189" t="s">
        <v>13707</v>
      </c>
      <c r="F189" t="s">
        <v>11118</v>
      </c>
      <c r="G189" t="s">
        <v>72</v>
      </c>
      <c r="H189" t="s">
        <v>13704</v>
      </c>
    </row>
    <row r="190" spans="1:8" x14ac:dyDescent="0.2">
      <c r="A190" t="str">
        <f t="shared" si="2"/>
        <v>metab_xlvldlpl</v>
      </c>
      <c r="B190" t="s">
        <v>10793</v>
      </c>
      <c r="C190" t="s">
        <v>11257</v>
      </c>
      <c r="D190" t="s">
        <v>13708</v>
      </c>
      <c r="E190" t="s">
        <v>718</v>
      </c>
      <c r="F190" t="s">
        <v>11118</v>
      </c>
      <c r="G190" t="s">
        <v>72</v>
      </c>
      <c r="H190" t="s">
        <v>133</v>
      </c>
    </row>
    <row r="191" spans="1:8" x14ac:dyDescent="0.2">
      <c r="A191" t="str">
        <f t="shared" si="2"/>
        <v>metab_xxlvldltg</v>
      </c>
      <c r="B191" t="s">
        <v>10786</v>
      </c>
      <c r="C191" t="s">
        <v>11262</v>
      </c>
      <c r="D191" t="s">
        <v>13709</v>
      </c>
      <c r="E191" t="s">
        <v>11261</v>
      </c>
      <c r="F191" t="s">
        <v>11118</v>
      </c>
      <c r="G191" t="s">
        <v>72</v>
      </c>
      <c r="H191" t="s">
        <v>13704</v>
      </c>
    </row>
    <row r="192" spans="1:8" x14ac:dyDescent="0.2">
      <c r="A192" t="str">
        <f t="shared" si="2"/>
        <v>metab_xlvldlce</v>
      </c>
      <c r="B192" t="s">
        <v>10797</v>
      </c>
      <c r="C192" t="s">
        <v>11266</v>
      </c>
      <c r="D192" t="s">
        <v>13710</v>
      </c>
      <c r="E192" t="s">
        <v>13711</v>
      </c>
      <c r="F192" t="s">
        <v>11118</v>
      </c>
      <c r="G192" t="s">
        <v>72</v>
      </c>
      <c r="H192" t="s">
        <v>133</v>
      </c>
    </row>
    <row r="193" spans="1:8" x14ac:dyDescent="0.2">
      <c r="A193" t="str">
        <f t="shared" si="2"/>
        <v>metab_xlvldlc</v>
      </c>
      <c r="B193" t="s">
        <v>10795</v>
      </c>
      <c r="C193" t="s">
        <v>11253</v>
      </c>
      <c r="D193" t="s">
        <v>13712</v>
      </c>
      <c r="E193" t="s">
        <v>13713</v>
      </c>
      <c r="F193" t="s">
        <v>11118</v>
      </c>
      <c r="G193" t="s">
        <v>72</v>
      </c>
      <c r="H193" t="s">
        <v>133</v>
      </c>
    </row>
    <row r="194" spans="1:8" x14ac:dyDescent="0.2">
      <c r="A194" t="str">
        <f t="shared" si="2"/>
        <v>metab_lvldlplpct</v>
      </c>
      <c r="B194" t="s">
        <v>10997</v>
      </c>
      <c r="C194" t="s">
        <v>13714</v>
      </c>
      <c r="D194" t="s">
        <v>13715</v>
      </c>
      <c r="E194" t="s">
        <v>745</v>
      </c>
      <c r="F194" t="s">
        <v>11119</v>
      </c>
      <c r="G194" t="s">
        <v>13435</v>
      </c>
      <c r="H194" t="s">
        <v>165</v>
      </c>
    </row>
    <row r="195" spans="1:8" x14ac:dyDescent="0.2">
      <c r="A195" t="str">
        <f t="shared" ref="A195:A225" si="3">_xlfn.CONCAT("metab_", $B195)</f>
        <v>metab_xlvldlfc</v>
      </c>
      <c r="B195" t="s">
        <v>10799</v>
      </c>
      <c r="C195" t="s">
        <v>11269</v>
      </c>
      <c r="D195" t="s">
        <v>13716</v>
      </c>
      <c r="E195" t="s">
        <v>497</v>
      </c>
      <c r="F195" t="s">
        <v>11118</v>
      </c>
      <c r="G195" t="s">
        <v>72</v>
      </c>
      <c r="H195" t="s">
        <v>133</v>
      </c>
    </row>
    <row r="196" spans="1:8" x14ac:dyDescent="0.2">
      <c r="A196" t="str">
        <f t="shared" si="3"/>
        <v>metab_mhdlp</v>
      </c>
      <c r="B196" t="s">
        <v>10944</v>
      </c>
      <c r="C196" t="s">
        <v>11283</v>
      </c>
      <c r="D196" t="s">
        <v>13717</v>
      </c>
      <c r="E196" t="s">
        <v>379</v>
      </c>
      <c r="F196" t="s">
        <v>11118</v>
      </c>
      <c r="G196" t="s">
        <v>72</v>
      </c>
      <c r="H196" t="s">
        <v>98</v>
      </c>
    </row>
    <row r="197" spans="1:8" x14ac:dyDescent="0.2">
      <c r="A197" t="str">
        <f t="shared" si="3"/>
        <v>metab_xxlvldlpl</v>
      </c>
      <c r="B197" t="s">
        <v>10775</v>
      </c>
      <c r="C197" t="s">
        <v>11237</v>
      </c>
      <c r="D197" t="s">
        <v>13718</v>
      </c>
      <c r="E197" t="s">
        <v>11236</v>
      </c>
      <c r="F197" t="s">
        <v>11118</v>
      </c>
      <c r="G197" t="s">
        <v>72</v>
      </c>
      <c r="H197" t="s">
        <v>13704</v>
      </c>
    </row>
    <row r="198" spans="1:8" x14ac:dyDescent="0.2">
      <c r="A198" t="str">
        <f t="shared" si="3"/>
        <v>metab_lldltg</v>
      </c>
      <c r="B198" t="s">
        <v>10886</v>
      </c>
      <c r="C198" t="s">
        <v>11298</v>
      </c>
      <c r="D198" t="s">
        <v>13719</v>
      </c>
      <c r="E198" t="s">
        <v>955</v>
      </c>
      <c r="F198" t="s">
        <v>11118</v>
      </c>
      <c r="G198" t="s">
        <v>72</v>
      </c>
      <c r="H198" t="s">
        <v>88</v>
      </c>
    </row>
    <row r="199" spans="1:8" x14ac:dyDescent="0.2">
      <c r="A199" t="str">
        <f t="shared" si="3"/>
        <v>metab_xxlvldll</v>
      </c>
      <c r="B199" t="s">
        <v>10772</v>
      </c>
      <c r="C199" t="s">
        <v>11249</v>
      </c>
      <c r="D199" t="s">
        <v>13720</v>
      </c>
      <c r="E199" t="s">
        <v>11248</v>
      </c>
      <c r="F199" t="s">
        <v>11118</v>
      </c>
      <c r="G199" t="s">
        <v>72</v>
      </c>
      <c r="H199" t="s">
        <v>13704</v>
      </c>
    </row>
    <row r="200" spans="1:8" x14ac:dyDescent="0.2">
      <c r="A200" t="str">
        <f t="shared" si="3"/>
        <v>metab_idltg</v>
      </c>
      <c r="B200" t="s">
        <v>10872</v>
      </c>
      <c r="C200" t="s">
        <v>11271</v>
      </c>
      <c r="D200" t="s">
        <v>13721</v>
      </c>
      <c r="E200" t="s">
        <v>947</v>
      </c>
      <c r="F200" t="s">
        <v>11118</v>
      </c>
      <c r="G200" t="s">
        <v>72</v>
      </c>
      <c r="H200" t="s">
        <v>78</v>
      </c>
    </row>
    <row r="201" spans="1:8" x14ac:dyDescent="0.2">
      <c r="A201" t="str">
        <f t="shared" si="3"/>
        <v>metab_svldlfc</v>
      </c>
      <c r="B201" t="s">
        <v>10841</v>
      </c>
      <c r="C201" t="s">
        <v>11268</v>
      </c>
      <c r="D201" t="s">
        <v>13722</v>
      </c>
      <c r="E201" t="s">
        <v>489</v>
      </c>
      <c r="F201" t="s">
        <v>11118</v>
      </c>
      <c r="G201" t="s">
        <v>72</v>
      </c>
      <c r="H201" t="s">
        <v>123</v>
      </c>
    </row>
    <row r="202" spans="1:8" x14ac:dyDescent="0.2">
      <c r="A202" t="str">
        <f t="shared" si="3"/>
        <v>metab_sldltg</v>
      </c>
      <c r="B202" t="s">
        <v>10914</v>
      </c>
      <c r="C202" t="s">
        <v>11297</v>
      </c>
      <c r="D202" t="s">
        <v>13723</v>
      </c>
      <c r="E202" t="s">
        <v>984</v>
      </c>
      <c r="F202" t="s">
        <v>11118</v>
      </c>
      <c r="G202" t="s">
        <v>72</v>
      </c>
      <c r="H202" t="s">
        <v>118</v>
      </c>
    </row>
    <row r="203" spans="1:8" x14ac:dyDescent="0.2">
      <c r="A203" t="str">
        <f t="shared" si="3"/>
        <v>metab_mhdlpl</v>
      </c>
      <c r="B203" t="s">
        <v>10948</v>
      </c>
      <c r="C203" t="s">
        <v>11273</v>
      </c>
      <c r="D203" t="s">
        <v>13724</v>
      </c>
      <c r="E203" t="s">
        <v>690</v>
      </c>
      <c r="F203" t="s">
        <v>11118</v>
      </c>
      <c r="G203" t="s">
        <v>72</v>
      </c>
      <c r="H203" t="s">
        <v>98</v>
      </c>
    </row>
    <row r="204" spans="1:8" x14ac:dyDescent="0.2">
      <c r="A204" t="str">
        <f t="shared" si="3"/>
        <v>metab_lactate</v>
      </c>
      <c r="B204" t="s">
        <v>594</v>
      </c>
      <c r="C204" t="s">
        <v>595</v>
      </c>
      <c r="D204" t="s">
        <v>595</v>
      </c>
      <c r="E204" t="s">
        <v>595</v>
      </c>
      <c r="F204" t="s">
        <v>11118</v>
      </c>
      <c r="G204" t="s">
        <v>341</v>
      </c>
    </row>
    <row r="205" spans="1:8" x14ac:dyDescent="0.2">
      <c r="A205" t="str">
        <f t="shared" si="3"/>
        <v>metab_svldll</v>
      </c>
      <c r="B205" t="s">
        <v>10833</v>
      </c>
      <c r="C205" t="s">
        <v>11274</v>
      </c>
      <c r="D205" t="s">
        <v>13725</v>
      </c>
      <c r="E205" t="s">
        <v>908</v>
      </c>
      <c r="F205" t="s">
        <v>11118</v>
      </c>
      <c r="G205" t="s">
        <v>72</v>
      </c>
      <c r="H205" t="s">
        <v>123</v>
      </c>
    </row>
    <row r="206" spans="1:8" x14ac:dyDescent="0.2">
      <c r="A206" t="str">
        <f t="shared" si="3"/>
        <v>metab_xlhdlp</v>
      </c>
      <c r="B206" t="s">
        <v>10916</v>
      </c>
      <c r="C206" t="s">
        <v>11132</v>
      </c>
      <c r="D206" t="s">
        <v>13726</v>
      </c>
      <c r="E206" t="s">
        <v>403</v>
      </c>
      <c r="F206" t="s">
        <v>11118</v>
      </c>
      <c r="G206" t="s">
        <v>72</v>
      </c>
      <c r="H206" t="s">
        <v>128</v>
      </c>
    </row>
    <row r="207" spans="1:8" x14ac:dyDescent="0.2">
      <c r="A207" t="str">
        <f t="shared" si="3"/>
        <v>metab_xxlvldltgpct</v>
      </c>
      <c r="B207" t="s">
        <v>10984</v>
      </c>
      <c r="C207" t="s">
        <v>13727</v>
      </c>
      <c r="D207" t="s">
        <v>13728</v>
      </c>
      <c r="E207" t="s">
        <v>1014</v>
      </c>
      <c r="F207" t="s">
        <v>11119</v>
      </c>
      <c r="G207" t="s">
        <v>13435</v>
      </c>
      <c r="H207" t="s">
        <v>13555</v>
      </c>
    </row>
    <row r="208" spans="1:8" x14ac:dyDescent="0.2">
      <c r="A208" t="str">
        <f t="shared" si="3"/>
        <v>metab_ldltg</v>
      </c>
      <c r="B208" t="s">
        <v>10584</v>
      </c>
      <c r="C208" t="s">
        <v>11288</v>
      </c>
      <c r="D208" t="s">
        <v>13729</v>
      </c>
      <c r="E208" t="s">
        <v>962</v>
      </c>
      <c r="F208" t="s">
        <v>11118</v>
      </c>
      <c r="G208" t="s">
        <v>935</v>
      </c>
    </row>
    <row r="209" spans="1:8" x14ac:dyDescent="0.2">
      <c r="A209" t="str">
        <f t="shared" si="3"/>
        <v>metab_lvldltgpct</v>
      </c>
      <c r="B209" t="s">
        <v>11005</v>
      </c>
      <c r="C209" t="s">
        <v>13730</v>
      </c>
      <c r="D209" t="s">
        <v>13731</v>
      </c>
      <c r="E209" t="s">
        <v>1030</v>
      </c>
      <c r="F209" t="s">
        <v>11119</v>
      </c>
      <c r="G209" t="s">
        <v>13435</v>
      </c>
      <c r="H209" t="s">
        <v>165</v>
      </c>
    </row>
    <row r="210" spans="1:8" x14ac:dyDescent="0.2">
      <c r="A210" t="str">
        <f t="shared" si="3"/>
        <v>metab_xlhdlfcpct</v>
      </c>
      <c r="B210" t="s">
        <v>11083</v>
      </c>
      <c r="C210" t="s">
        <v>13732</v>
      </c>
      <c r="D210" t="s">
        <v>13733</v>
      </c>
      <c r="E210" t="s">
        <v>553</v>
      </c>
      <c r="F210" t="s">
        <v>11119</v>
      </c>
      <c r="G210" t="s">
        <v>13435</v>
      </c>
      <c r="H210" t="s">
        <v>200</v>
      </c>
    </row>
    <row r="211" spans="1:8" x14ac:dyDescent="0.2">
      <c r="A211" t="str">
        <f t="shared" si="3"/>
        <v>metab_bohbutyrate</v>
      </c>
      <c r="B211" t="s">
        <v>10758</v>
      </c>
      <c r="C211" t="s">
        <v>10759</v>
      </c>
      <c r="D211" t="s">
        <v>10759</v>
      </c>
      <c r="E211" t="s">
        <v>10</v>
      </c>
      <c r="F211" t="s">
        <v>11118</v>
      </c>
      <c r="G211" t="s">
        <v>13</v>
      </c>
    </row>
    <row r="212" spans="1:8" x14ac:dyDescent="0.2">
      <c r="A212" t="str">
        <f t="shared" si="3"/>
        <v>metab_lldlp</v>
      </c>
      <c r="B212" t="s">
        <v>10874</v>
      </c>
      <c r="C212" t="s">
        <v>11181</v>
      </c>
      <c r="D212" t="s">
        <v>13734</v>
      </c>
      <c r="E212" t="s">
        <v>367</v>
      </c>
      <c r="F212" t="s">
        <v>11118</v>
      </c>
      <c r="G212" t="s">
        <v>72</v>
      </c>
      <c r="H212" t="s">
        <v>88</v>
      </c>
    </row>
    <row r="213" spans="1:8" x14ac:dyDescent="0.2">
      <c r="A213" t="str">
        <f t="shared" si="3"/>
        <v>metab_sldlp</v>
      </c>
      <c r="B213" t="s">
        <v>10902</v>
      </c>
      <c r="C213" t="s">
        <v>11192</v>
      </c>
      <c r="D213" t="s">
        <v>13735</v>
      </c>
      <c r="E213" t="s">
        <v>395</v>
      </c>
      <c r="F213" t="s">
        <v>11118</v>
      </c>
      <c r="G213" t="s">
        <v>72</v>
      </c>
      <c r="H213" t="s">
        <v>118</v>
      </c>
    </row>
    <row r="214" spans="1:8" x14ac:dyDescent="0.2">
      <c r="A214" t="str">
        <f t="shared" si="3"/>
        <v>metab_acetate</v>
      </c>
      <c r="B214" t="s">
        <v>14</v>
      </c>
      <c r="C214" t="s">
        <v>15</v>
      </c>
      <c r="D214" t="s">
        <v>15</v>
      </c>
      <c r="E214" t="s">
        <v>15</v>
      </c>
      <c r="F214" t="s">
        <v>11118</v>
      </c>
      <c r="G214" t="s">
        <v>13</v>
      </c>
    </row>
    <row r="215" spans="1:8" x14ac:dyDescent="0.2">
      <c r="A215" t="str">
        <f t="shared" si="3"/>
        <v>metab_mldlp</v>
      </c>
      <c r="B215" t="s">
        <v>10888</v>
      </c>
      <c r="C215" t="s">
        <v>11190</v>
      </c>
      <c r="D215" t="s">
        <v>13736</v>
      </c>
      <c r="E215" t="s">
        <v>383</v>
      </c>
      <c r="F215" t="s">
        <v>11118</v>
      </c>
      <c r="G215" t="s">
        <v>72</v>
      </c>
      <c r="H215" t="s">
        <v>103</v>
      </c>
    </row>
    <row r="216" spans="1:8" x14ac:dyDescent="0.2">
      <c r="A216" t="str">
        <f t="shared" si="3"/>
        <v>metab_xxlvldlc</v>
      </c>
      <c r="B216" t="s">
        <v>10778</v>
      </c>
      <c r="C216" t="s">
        <v>11296</v>
      </c>
      <c r="D216" t="s">
        <v>13737</v>
      </c>
      <c r="E216" t="s">
        <v>13738</v>
      </c>
      <c r="F216" t="s">
        <v>11118</v>
      </c>
      <c r="G216" t="s">
        <v>72</v>
      </c>
      <c r="H216" t="s">
        <v>13704</v>
      </c>
    </row>
    <row r="217" spans="1:8" x14ac:dyDescent="0.2">
      <c r="A217" t="str">
        <f t="shared" si="3"/>
        <v>metab_idlp</v>
      </c>
      <c r="B217" t="s">
        <v>10860</v>
      </c>
      <c r="C217" t="s">
        <v>11184</v>
      </c>
      <c r="D217" t="s">
        <v>13739</v>
      </c>
      <c r="E217" t="s">
        <v>359</v>
      </c>
      <c r="F217" t="s">
        <v>11118</v>
      </c>
      <c r="G217" t="s">
        <v>72</v>
      </c>
      <c r="H217" t="s">
        <v>78</v>
      </c>
    </row>
    <row r="218" spans="1:8" x14ac:dyDescent="0.2">
      <c r="A218" t="str">
        <f t="shared" si="3"/>
        <v>metab_mvldlc</v>
      </c>
      <c r="B218" t="s">
        <v>10823</v>
      </c>
      <c r="C218" t="s">
        <v>11282</v>
      </c>
      <c r="D218" t="s">
        <v>13740</v>
      </c>
      <c r="E218" t="s">
        <v>13741</v>
      </c>
      <c r="F218" t="s">
        <v>11118</v>
      </c>
      <c r="G218" t="s">
        <v>72</v>
      </c>
      <c r="H218" t="s">
        <v>108</v>
      </c>
    </row>
    <row r="219" spans="1:8" x14ac:dyDescent="0.2">
      <c r="A219" t="str">
        <f t="shared" si="3"/>
        <v>metab_xsvldlp</v>
      </c>
      <c r="B219" t="s">
        <v>10845</v>
      </c>
      <c r="C219" t="s">
        <v>11258</v>
      </c>
      <c r="D219" t="s">
        <v>13742</v>
      </c>
      <c r="E219" t="s">
        <v>411</v>
      </c>
      <c r="F219" t="s">
        <v>11118</v>
      </c>
      <c r="G219" t="s">
        <v>72</v>
      </c>
      <c r="H219" t="s">
        <v>13539</v>
      </c>
    </row>
    <row r="220" spans="1:8" x14ac:dyDescent="0.2">
      <c r="A220" t="str">
        <f t="shared" si="3"/>
        <v>metab_svldlp</v>
      </c>
      <c r="B220" t="s">
        <v>10831</v>
      </c>
      <c r="C220" t="s">
        <v>11267</v>
      </c>
      <c r="D220" t="s">
        <v>13743</v>
      </c>
      <c r="E220" t="s">
        <v>399</v>
      </c>
      <c r="F220" t="s">
        <v>11118</v>
      </c>
      <c r="G220" t="s">
        <v>72</v>
      </c>
      <c r="H220" t="s">
        <v>123</v>
      </c>
    </row>
    <row r="221" spans="1:8" x14ac:dyDescent="0.2">
      <c r="A221" t="str">
        <f t="shared" si="3"/>
        <v>metab_mvldlp</v>
      </c>
      <c r="B221" t="s">
        <v>10817</v>
      </c>
      <c r="C221" t="s">
        <v>11240</v>
      </c>
      <c r="D221" t="s">
        <v>13744</v>
      </c>
      <c r="E221" t="s">
        <v>387</v>
      </c>
      <c r="F221" t="s">
        <v>11118</v>
      </c>
      <c r="G221" t="s">
        <v>72</v>
      </c>
      <c r="H221" t="s">
        <v>108</v>
      </c>
    </row>
    <row r="222" spans="1:8" x14ac:dyDescent="0.2">
      <c r="A222" t="str">
        <f t="shared" si="3"/>
        <v>metab_lvldlcpct</v>
      </c>
      <c r="B222" t="s">
        <v>10999</v>
      </c>
      <c r="C222" t="s">
        <v>13745</v>
      </c>
      <c r="D222" t="s">
        <v>13746</v>
      </c>
      <c r="E222" t="s">
        <v>13747</v>
      </c>
      <c r="F222" t="s">
        <v>11119</v>
      </c>
      <c r="G222" t="s">
        <v>13435</v>
      </c>
      <c r="H222" t="s">
        <v>165</v>
      </c>
    </row>
    <row r="223" spans="1:8" x14ac:dyDescent="0.2">
      <c r="A223" t="str">
        <f t="shared" si="3"/>
        <v>metab_lvldlp</v>
      </c>
      <c r="B223" t="s">
        <v>10803</v>
      </c>
      <c r="C223" t="s">
        <v>11199</v>
      </c>
      <c r="D223" t="s">
        <v>13748</v>
      </c>
      <c r="E223" t="s">
        <v>371</v>
      </c>
      <c r="F223" t="s">
        <v>11118</v>
      </c>
      <c r="G223" t="s">
        <v>72</v>
      </c>
      <c r="H223" t="s">
        <v>93</v>
      </c>
    </row>
    <row r="224" spans="1:8" x14ac:dyDescent="0.2">
      <c r="A224" t="str">
        <f t="shared" si="3"/>
        <v>metab_xlvldlp</v>
      </c>
      <c r="B224" t="s">
        <v>10789</v>
      </c>
      <c r="C224" t="s">
        <v>11232</v>
      </c>
      <c r="D224" t="s">
        <v>13749</v>
      </c>
      <c r="E224" t="s">
        <v>407</v>
      </c>
      <c r="F224" t="s">
        <v>11118</v>
      </c>
      <c r="G224" t="s">
        <v>72</v>
      </c>
      <c r="H224" t="s">
        <v>133</v>
      </c>
    </row>
    <row r="225" spans="1:8" x14ac:dyDescent="0.2">
      <c r="A225" t="str">
        <f t="shared" si="3"/>
        <v>metab_xxlvldlp</v>
      </c>
      <c r="B225" t="s">
        <v>10769</v>
      </c>
      <c r="C225" t="s">
        <v>11275</v>
      </c>
      <c r="D225" t="s">
        <v>13750</v>
      </c>
      <c r="E225" t="s">
        <v>349</v>
      </c>
      <c r="F225" t="s">
        <v>11118</v>
      </c>
      <c r="G225" t="s">
        <v>72</v>
      </c>
      <c r="H225" t="s">
        <v>13704</v>
      </c>
    </row>
  </sheetData>
  <conditionalFormatting sqref="A1:A225">
    <cfRule type="duplicateValues" dxfId="21" priority="1"/>
    <cfRule type="duplicateValues" dxfId="20" priority="2"/>
    <cfRule type="duplicateValues" dxfId="19" priority="3"/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AB2A10-2C45-5342-8137-5BC13D6ED759}">
  <sheetPr filterMode="1"/>
  <dimension ref="A1:H1747"/>
  <sheetViews>
    <sheetView topLeftCell="A1504" workbookViewId="0">
      <selection activeCell="A1412" sqref="A1:H1747"/>
    </sheetView>
  </sheetViews>
  <sheetFormatPr baseColWidth="10" defaultRowHeight="16" x14ac:dyDescent="0.2"/>
  <cols>
    <col min="1" max="1" width="16" customWidth="1"/>
    <col min="3" max="3" width="81.1640625" bestFit="1" customWidth="1"/>
    <col min="4" max="4" width="12.5" bestFit="1" customWidth="1"/>
    <col min="5" max="5" width="81.1640625" bestFit="1" customWidth="1"/>
    <col min="6" max="7" width="19.1640625" bestFit="1" customWidth="1"/>
    <col min="8" max="8" width="15.6640625" bestFit="1" customWidth="1"/>
  </cols>
  <sheetData>
    <row r="1" spans="1:8" x14ac:dyDescent="0.2">
      <c r="A1" s="3" t="s">
        <v>14361</v>
      </c>
      <c r="B1" s="3" t="s">
        <v>11311</v>
      </c>
      <c r="C1" s="3" t="s">
        <v>14362</v>
      </c>
      <c r="D1" s="3" t="s">
        <v>14363</v>
      </c>
      <c r="E1" s="3" t="s">
        <v>17110</v>
      </c>
      <c r="F1" s="3" t="s">
        <v>13424</v>
      </c>
      <c r="G1" s="3" t="s">
        <v>19774</v>
      </c>
      <c r="H1" s="3" t="s">
        <v>19775</v>
      </c>
    </row>
    <row r="2" spans="1:8" hidden="1" x14ac:dyDescent="0.2">
      <c r="A2" s="3" t="s">
        <v>14364</v>
      </c>
      <c r="B2" s="3" t="s">
        <v>14359</v>
      </c>
      <c r="C2" s="3" t="s">
        <v>1095</v>
      </c>
      <c r="D2" s="3" t="s">
        <v>14365</v>
      </c>
      <c r="E2" t="s">
        <v>19172</v>
      </c>
      <c r="F2" t="s">
        <v>1096</v>
      </c>
      <c r="G2" t="s">
        <v>3459</v>
      </c>
      <c r="H2" t="s">
        <v>5134</v>
      </c>
    </row>
    <row r="3" spans="1:8" hidden="1" x14ac:dyDescent="0.2">
      <c r="A3" s="3" t="s">
        <v>14366</v>
      </c>
      <c r="B3" s="3" t="s">
        <v>14359</v>
      </c>
      <c r="C3" s="3" t="s">
        <v>1097</v>
      </c>
      <c r="D3" s="3" t="s">
        <v>14367</v>
      </c>
      <c r="E3" t="s">
        <v>19173</v>
      </c>
      <c r="F3" t="s">
        <v>1098</v>
      </c>
      <c r="G3" t="s">
        <v>3863</v>
      </c>
      <c r="H3" t="s">
        <v>5082</v>
      </c>
    </row>
    <row r="4" spans="1:8" hidden="1" x14ac:dyDescent="0.2">
      <c r="A4" s="3" t="s">
        <v>14368</v>
      </c>
      <c r="B4" s="3" t="s">
        <v>14359</v>
      </c>
      <c r="C4" s="3" t="s">
        <v>1099</v>
      </c>
      <c r="D4" s="3" t="s">
        <v>14369</v>
      </c>
      <c r="E4" t="s">
        <v>19174</v>
      </c>
      <c r="F4" t="s">
        <v>1100</v>
      </c>
      <c r="G4" t="s">
        <v>3977</v>
      </c>
      <c r="H4" t="s">
        <v>4437</v>
      </c>
    </row>
    <row r="5" spans="1:8" hidden="1" x14ac:dyDescent="0.2">
      <c r="A5" s="3" t="s">
        <v>14370</v>
      </c>
      <c r="B5" s="3" t="s">
        <v>14359</v>
      </c>
      <c r="C5" s="3" t="s">
        <v>1101</v>
      </c>
      <c r="D5" s="3" t="s">
        <v>14371</v>
      </c>
      <c r="E5" t="s">
        <v>19175</v>
      </c>
      <c r="F5" t="s">
        <v>1102</v>
      </c>
      <c r="G5" t="s">
        <v>3863</v>
      </c>
      <c r="H5" t="s">
        <v>5082</v>
      </c>
    </row>
    <row r="6" spans="1:8" hidden="1" x14ac:dyDescent="0.2">
      <c r="A6" s="3" t="s">
        <v>14372</v>
      </c>
      <c r="B6" s="3" t="s">
        <v>14359</v>
      </c>
      <c r="C6" s="3" t="s">
        <v>1103</v>
      </c>
      <c r="D6" s="3" t="s">
        <v>14373</v>
      </c>
      <c r="E6" t="s">
        <v>19176</v>
      </c>
      <c r="F6" t="s">
        <v>1104</v>
      </c>
      <c r="G6" t="s">
        <v>3436</v>
      </c>
      <c r="H6" t="s">
        <v>3603</v>
      </c>
    </row>
    <row r="7" spans="1:8" hidden="1" x14ac:dyDescent="0.2">
      <c r="A7" s="3" t="s">
        <v>14374</v>
      </c>
      <c r="B7" s="3" t="s">
        <v>14359</v>
      </c>
      <c r="C7" s="3" t="s">
        <v>1105</v>
      </c>
      <c r="D7" s="3" t="s">
        <v>14375</v>
      </c>
      <c r="E7" t="s">
        <v>19177</v>
      </c>
      <c r="F7" t="s">
        <v>1106</v>
      </c>
      <c r="G7" t="s">
        <v>3436</v>
      </c>
      <c r="H7" t="s">
        <v>3470</v>
      </c>
    </row>
    <row r="8" spans="1:8" hidden="1" x14ac:dyDescent="0.2">
      <c r="A8" s="3" t="s">
        <v>14376</v>
      </c>
      <c r="B8" s="3" t="s">
        <v>14359</v>
      </c>
      <c r="C8" s="3" t="s">
        <v>1107</v>
      </c>
      <c r="D8" s="3" t="s">
        <v>14377</v>
      </c>
      <c r="E8" t="s">
        <v>17577</v>
      </c>
      <c r="F8" t="s">
        <v>19098</v>
      </c>
      <c r="G8" t="s">
        <v>3436</v>
      </c>
      <c r="H8" t="s">
        <v>3661</v>
      </c>
    </row>
    <row r="9" spans="1:8" hidden="1" x14ac:dyDescent="0.2">
      <c r="A9" s="3" t="s">
        <v>14378</v>
      </c>
      <c r="B9" s="3" t="s">
        <v>14359</v>
      </c>
      <c r="C9" s="3" t="s">
        <v>1108</v>
      </c>
      <c r="D9" s="3" t="s">
        <v>14379</v>
      </c>
      <c r="E9" t="s">
        <v>5209</v>
      </c>
      <c r="F9" t="s">
        <v>1109</v>
      </c>
      <c r="G9" t="s">
        <v>3436</v>
      </c>
      <c r="H9" t="s">
        <v>3906</v>
      </c>
    </row>
    <row r="10" spans="1:8" hidden="1" x14ac:dyDescent="0.2">
      <c r="A10" s="3" t="s">
        <v>14380</v>
      </c>
      <c r="B10" s="3" t="s">
        <v>14359</v>
      </c>
      <c r="C10" s="3" t="s">
        <v>1110</v>
      </c>
      <c r="D10" s="3" t="s">
        <v>14381</v>
      </c>
      <c r="E10" t="s">
        <v>19178</v>
      </c>
      <c r="F10" t="s">
        <v>1111</v>
      </c>
      <c r="G10" t="s">
        <v>3459</v>
      </c>
      <c r="H10" t="s">
        <v>3758</v>
      </c>
    </row>
    <row r="11" spans="1:8" hidden="1" x14ac:dyDescent="0.2">
      <c r="A11" s="3" t="s">
        <v>14382</v>
      </c>
      <c r="B11" s="3" t="s">
        <v>14359</v>
      </c>
      <c r="C11" s="3" t="s">
        <v>1112</v>
      </c>
      <c r="D11" s="3" t="s">
        <v>14383</v>
      </c>
      <c r="E11" t="s">
        <v>19179</v>
      </c>
      <c r="F11" t="s">
        <v>1113</v>
      </c>
      <c r="G11" t="s">
        <v>3436</v>
      </c>
      <c r="H11" t="s">
        <v>3524</v>
      </c>
    </row>
    <row r="12" spans="1:8" hidden="1" x14ac:dyDescent="0.2">
      <c r="A12" s="3" t="s">
        <v>14384</v>
      </c>
      <c r="B12" s="3" t="s">
        <v>14359</v>
      </c>
      <c r="C12" s="3" t="s">
        <v>1114</v>
      </c>
      <c r="D12" s="3" t="s">
        <v>14385</v>
      </c>
      <c r="E12" t="s">
        <v>5193</v>
      </c>
      <c r="F12" t="s">
        <v>1115</v>
      </c>
      <c r="G12" t="s">
        <v>3436</v>
      </c>
      <c r="H12" t="s">
        <v>3498</v>
      </c>
    </row>
    <row r="13" spans="1:8" hidden="1" x14ac:dyDescent="0.2">
      <c r="A13" s="3" t="s">
        <v>14386</v>
      </c>
      <c r="B13" s="3" t="s">
        <v>14359</v>
      </c>
      <c r="C13" s="3" t="s">
        <v>1116</v>
      </c>
      <c r="D13" s="3" t="s">
        <v>14387</v>
      </c>
      <c r="E13" t="s">
        <v>19180</v>
      </c>
      <c r="F13" t="s">
        <v>1117</v>
      </c>
      <c r="G13" t="s">
        <v>3863</v>
      </c>
      <c r="H13" t="s">
        <v>3864</v>
      </c>
    </row>
    <row r="14" spans="1:8" hidden="1" x14ac:dyDescent="0.2">
      <c r="A14" s="3" t="s">
        <v>14388</v>
      </c>
      <c r="B14" s="3" t="s">
        <v>14359</v>
      </c>
      <c r="C14" s="3" t="s">
        <v>1118</v>
      </c>
      <c r="D14" s="3" t="s">
        <v>14389</v>
      </c>
      <c r="E14" t="s">
        <v>19181</v>
      </c>
      <c r="F14" t="s">
        <v>1119</v>
      </c>
      <c r="G14" t="s">
        <v>3459</v>
      </c>
      <c r="H14" t="s">
        <v>3873</v>
      </c>
    </row>
    <row r="15" spans="1:8" hidden="1" x14ac:dyDescent="0.2">
      <c r="A15" s="3" t="s">
        <v>14390</v>
      </c>
      <c r="B15" s="3" t="s">
        <v>14359</v>
      </c>
      <c r="C15" s="3" t="s">
        <v>1120</v>
      </c>
      <c r="D15" s="3" t="s">
        <v>14391</v>
      </c>
      <c r="E15" t="s">
        <v>5224</v>
      </c>
      <c r="F15" t="s">
        <v>1121</v>
      </c>
      <c r="G15" t="s">
        <v>3436</v>
      </c>
      <c r="H15" t="s">
        <v>3586</v>
      </c>
    </row>
    <row r="16" spans="1:8" hidden="1" x14ac:dyDescent="0.2">
      <c r="A16" s="3" t="s">
        <v>14392</v>
      </c>
      <c r="B16" s="3" t="s">
        <v>14359</v>
      </c>
      <c r="C16" s="3" t="s">
        <v>1122</v>
      </c>
      <c r="D16" s="3" t="s">
        <v>14393</v>
      </c>
      <c r="E16" t="s">
        <v>19182</v>
      </c>
      <c r="F16" t="s">
        <v>13805</v>
      </c>
      <c r="G16" t="s">
        <v>3863</v>
      </c>
      <c r="H16" t="s">
        <v>5082</v>
      </c>
    </row>
    <row r="17" spans="1:8" hidden="1" x14ac:dyDescent="0.2">
      <c r="A17" s="3" t="s">
        <v>14394</v>
      </c>
      <c r="B17" s="3" t="s">
        <v>14359</v>
      </c>
      <c r="C17" s="3" t="s">
        <v>1123</v>
      </c>
      <c r="D17" s="3" t="s">
        <v>14395</v>
      </c>
      <c r="E17" t="s">
        <v>19183</v>
      </c>
      <c r="F17" t="s">
        <v>1124</v>
      </c>
      <c r="G17" t="s">
        <v>3436</v>
      </c>
      <c r="H17" t="s">
        <v>3470</v>
      </c>
    </row>
    <row r="18" spans="1:8" hidden="1" x14ac:dyDescent="0.2">
      <c r="A18" s="3" t="s">
        <v>14396</v>
      </c>
      <c r="B18" s="3" t="s">
        <v>14359</v>
      </c>
      <c r="C18" s="3" t="s">
        <v>1125</v>
      </c>
      <c r="D18" s="3" t="s">
        <v>14397</v>
      </c>
      <c r="E18" t="s">
        <v>5289</v>
      </c>
      <c r="F18" t="s">
        <v>1126</v>
      </c>
      <c r="G18" t="s">
        <v>3436</v>
      </c>
      <c r="H18" t="s">
        <v>4215</v>
      </c>
    </row>
    <row r="19" spans="1:8" hidden="1" x14ac:dyDescent="0.2">
      <c r="A19" s="3" t="s">
        <v>14398</v>
      </c>
      <c r="B19" s="3" t="s">
        <v>14359</v>
      </c>
      <c r="C19" s="3" t="s">
        <v>1127</v>
      </c>
      <c r="D19" s="3" t="s">
        <v>14399</v>
      </c>
      <c r="E19" t="s">
        <v>19184</v>
      </c>
      <c r="F19" t="s">
        <v>1128</v>
      </c>
      <c r="G19" t="s">
        <v>3459</v>
      </c>
      <c r="H19" t="s">
        <v>4887</v>
      </c>
    </row>
    <row r="20" spans="1:8" hidden="1" x14ac:dyDescent="0.2">
      <c r="A20" s="3" t="s">
        <v>14400</v>
      </c>
      <c r="B20" s="3" t="s">
        <v>14359</v>
      </c>
      <c r="C20" s="3" t="s">
        <v>1129</v>
      </c>
      <c r="D20" s="3" t="s">
        <v>14401</v>
      </c>
      <c r="E20" t="s">
        <v>19185</v>
      </c>
      <c r="F20" t="s">
        <v>1130</v>
      </c>
      <c r="G20" t="s">
        <v>3436</v>
      </c>
      <c r="H20" t="s">
        <v>3906</v>
      </c>
    </row>
    <row r="21" spans="1:8" hidden="1" x14ac:dyDescent="0.2">
      <c r="A21" s="3" t="s">
        <v>14402</v>
      </c>
      <c r="B21" s="3" t="s">
        <v>14359</v>
      </c>
      <c r="C21" s="3" t="s">
        <v>1131</v>
      </c>
      <c r="D21" s="3" t="s">
        <v>14403</v>
      </c>
      <c r="E21" t="s">
        <v>5233</v>
      </c>
      <c r="F21" t="s">
        <v>1132</v>
      </c>
      <c r="G21" t="s">
        <v>3436</v>
      </c>
      <c r="H21" t="s">
        <v>5230</v>
      </c>
    </row>
    <row r="22" spans="1:8" hidden="1" x14ac:dyDescent="0.2">
      <c r="A22" s="3" t="s">
        <v>14404</v>
      </c>
      <c r="B22" s="3" t="s">
        <v>14359</v>
      </c>
      <c r="C22" s="3" t="s">
        <v>1133</v>
      </c>
      <c r="D22" s="3" t="s">
        <v>14405</v>
      </c>
      <c r="E22" t="s">
        <v>19186</v>
      </c>
      <c r="F22" t="s">
        <v>1134</v>
      </c>
      <c r="G22" t="s">
        <v>3977</v>
      </c>
      <c r="H22" t="s">
        <v>4806</v>
      </c>
    </row>
    <row r="23" spans="1:8" hidden="1" x14ac:dyDescent="0.2">
      <c r="A23" s="3" t="s">
        <v>14406</v>
      </c>
      <c r="B23" s="3" t="s">
        <v>14359</v>
      </c>
      <c r="C23" s="3" t="s">
        <v>1135</v>
      </c>
      <c r="D23" s="3" t="s">
        <v>14407</v>
      </c>
      <c r="E23" t="s">
        <v>19187</v>
      </c>
      <c r="F23" t="s">
        <v>1136</v>
      </c>
      <c r="G23" t="s">
        <v>3977</v>
      </c>
      <c r="H23" t="s">
        <v>4446</v>
      </c>
    </row>
    <row r="24" spans="1:8" hidden="1" x14ac:dyDescent="0.2">
      <c r="A24" s="3" t="s">
        <v>14408</v>
      </c>
      <c r="B24" s="3" t="s">
        <v>14359</v>
      </c>
      <c r="C24" s="3" t="s">
        <v>1137</v>
      </c>
      <c r="D24" s="3" t="s">
        <v>14409</v>
      </c>
      <c r="E24" t="s">
        <v>19188</v>
      </c>
      <c r="F24" t="s">
        <v>1138</v>
      </c>
      <c r="G24" t="s">
        <v>3459</v>
      </c>
      <c r="H24" t="s">
        <v>3819</v>
      </c>
    </row>
    <row r="25" spans="1:8" hidden="1" x14ac:dyDescent="0.2">
      <c r="A25" s="3" t="s">
        <v>14410</v>
      </c>
      <c r="B25" s="3" t="s">
        <v>14359</v>
      </c>
      <c r="C25" s="3" t="s">
        <v>1139</v>
      </c>
      <c r="D25" s="3" t="s">
        <v>14411</v>
      </c>
      <c r="E25" t="s">
        <v>19189</v>
      </c>
      <c r="F25" t="s">
        <v>1140</v>
      </c>
      <c r="G25" t="s">
        <v>3863</v>
      </c>
      <c r="H25" t="s">
        <v>4373</v>
      </c>
    </row>
    <row r="26" spans="1:8" hidden="1" x14ac:dyDescent="0.2">
      <c r="A26" s="3" t="s">
        <v>14412</v>
      </c>
      <c r="B26" s="3" t="s">
        <v>14359</v>
      </c>
      <c r="C26" s="3" t="s">
        <v>1141</v>
      </c>
      <c r="D26" s="3" t="s">
        <v>14413</v>
      </c>
      <c r="E26" t="s">
        <v>19190</v>
      </c>
      <c r="F26" t="s">
        <v>1142</v>
      </c>
      <c r="G26" t="s">
        <v>3863</v>
      </c>
      <c r="H26" t="s">
        <v>3864</v>
      </c>
    </row>
    <row r="27" spans="1:8" hidden="1" x14ac:dyDescent="0.2">
      <c r="A27" s="3" t="s">
        <v>14414</v>
      </c>
      <c r="B27" s="3" t="s">
        <v>14359</v>
      </c>
      <c r="C27" s="3" t="s">
        <v>1143</v>
      </c>
      <c r="D27" s="3" t="s">
        <v>14415</v>
      </c>
      <c r="E27" t="s">
        <v>19191</v>
      </c>
      <c r="F27" t="s">
        <v>1144</v>
      </c>
      <c r="G27" t="s">
        <v>3436</v>
      </c>
      <c r="H27" t="s">
        <v>3687</v>
      </c>
    </row>
    <row r="28" spans="1:8" hidden="1" x14ac:dyDescent="0.2">
      <c r="A28" s="3" t="s">
        <v>14416</v>
      </c>
      <c r="B28" s="3" t="s">
        <v>14359</v>
      </c>
      <c r="C28" s="3" t="s">
        <v>1145</v>
      </c>
      <c r="D28" s="3" t="s">
        <v>14417</v>
      </c>
      <c r="E28" t="s">
        <v>19192</v>
      </c>
      <c r="F28" t="s">
        <v>1146</v>
      </c>
      <c r="G28" t="s">
        <v>3863</v>
      </c>
      <c r="H28" t="s">
        <v>4373</v>
      </c>
    </row>
    <row r="29" spans="1:8" hidden="1" x14ac:dyDescent="0.2">
      <c r="A29" s="3" t="s">
        <v>14418</v>
      </c>
      <c r="B29" s="3" t="s">
        <v>14359</v>
      </c>
      <c r="C29" s="3" t="s">
        <v>1147</v>
      </c>
      <c r="D29" s="3" t="s">
        <v>14419</v>
      </c>
      <c r="E29" t="s">
        <v>19193</v>
      </c>
      <c r="F29" t="s">
        <v>1148</v>
      </c>
      <c r="G29" t="s">
        <v>3977</v>
      </c>
      <c r="H29" t="s">
        <v>4084</v>
      </c>
    </row>
    <row r="30" spans="1:8" hidden="1" x14ac:dyDescent="0.2">
      <c r="A30" s="3" t="s">
        <v>14420</v>
      </c>
      <c r="B30" s="3" t="s">
        <v>14359</v>
      </c>
      <c r="C30" s="3" t="s">
        <v>1149</v>
      </c>
      <c r="D30" s="3" t="s">
        <v>14421</v>
      </c>
      <c r="E30" t="s">
        <v>5429</v>
      </c>
      <c r="F30" t="s">
        <v>1150</v>
      </c>
      <c r="G30" t="s">
        <v>3459</v>
      </c>
      <c r="H30" t="s">
        <v>5014</v>
      </c>
    </row>
    <row r="31" spans="1:8" hidden="1" x14ac:dyDescent="0.2">
      <c r="A31" s="3" t="s">
        <v>14422</v>
      </c>
      <c r="B31" s="3" t="s">
        <v>14359</v>
      </c>
      <c r="C31" s="3" t="s">
        <v>1151</v>
      </c>
      <c r="D31" s="3" t="s">
        <v>14423</v>
      </c>
      <c r="E31" t="s">
        <v>19194</v>
      </c>
      <c r="F31" t="s">
        <v>1152</v>
      </c>
      <c r="G31" t="s">
        <v>3436</v>
      </c>
      <c r="H31" t="s">
        <v>3470</v>
      </c>
    </row>
    <row r="32" spans="1:8" hidden="1" x14ac:dyDescent="0.2">
      <c r="A32" s="3" t="s">
        <v>14424</v>
      </c>
      <c r="B32" s="3" t="s">
        <v>14359</v>
      </c>
      <c r="C32" s="3" t="s">
        <v>1153</v>
      </c>
      <c r="D32" s="3" t="s">
        <v>14425</v>
      </c>
      <c r="E32" t="s">
        <v>19195</v>
      </c>
      <c r="F32" t="s">
        <v>13813</v>
      </c>
      <c r="G32" t="s">
        <v>3459</v>
      </c>
      <c r="H32" t="s">
        <v>3560</v>
      </c>
    </row>
    <row r="33" spans="1:8" hidden="1" x14ac:dyDescent="0.2">
      <c r="A33" s="3" t="s">
        <v>14426</v>
      </c>
      <c r="B33" s="3" t="s">
        <v>14359</v>
      </c>
      <c r="C33" s="3" t="s">
        <v>1154</v>
      </c>
      <c r="D33" s="3" t="s">
        <v>14427</v>
      </c>
      <c r="E33" t="s">
        <v>11491</v>
      </c>
      <c r="F33" t="s">
        <v>1155</v>
      </c>
      <c r="G33" t="s">
        <v>3459</v>
      </c>
      <c r="H33" t="s">
        <v>11492</v>
      </c>
    </row>
    <row r="34" spans="1:8" hidden="1" x14ac:dyDescent="0.2">
      <c r="A34" s="3" t="s">
        <v>14428</v>
      </c>
      <c r="B34" s="3" t="s">
        <v>14359</v>
      </c>
      <c r="C34" s="3" t="s">
        <v>1156</v>
      </c>
      <c r="D34" s="3" t="s">
        <v>14429</v>
      </c>
      <c r="E34" t="s">
        <v>19196</v>
      </c>
      <c r="F34" t="s">
        <v>1157</v>
      </c>
      <c r="G34" t="s">
        <v>3459</v>
      </c>
      <c r="H34" t="s">
        <v>5021</v>
      </c>
    </row>
    <row r="35" spans="1:8" hidden="1" x14ac:dyDescent="0.2">
      <c r="A35" s="3" t="s">
        <v>14430</v>
      </c>
      <c r="B35" s="3" t="s">
        <v>14359</v>
      </c>
      <c r="C35" s="3" t="s">
        <v>1158</v>
      </c>
      <c r="D35" s="3" t="s">
        <v>14431</v>
      </c>
      <c r="E35" t="s">
        <v>19197</v>
      </c>
      <c r="F35" t="s">
        <v>1159</v>
      </c>
      <c r="G35" t="s">
        <v>3863</v>
      </c>
      <c r="H35" t="s">
        <v>4373</v>
      </c>
    </row>
    <row r="36" spans="1:8" hidden="1" x14ac:dyDescent="0.2">
      <c r="A36" s="3" t="s">
        <v>14432</v>
      </c>
      <c r="B36" s="3" t="s">
        <v>14359</v>
      </c>
      <c r="C36" s="3" t="s">
        <v>1160</v>
      </c>
      <c r="D36" s="3" t="s">
        <v>14433</v>
      </c>
      <c r="E36" t="s">
        <v>5398</v>
      </c>
      <c r="F36" t="s">
        <v>1161</v>
      </c>
      <c r="G36" t="s">
        <v>3436</v>
      </c>
      <c r="H36" t="s">
        <v>3498</v>
      </c>
    </row>
    <row r="37" spans="1:8" hidden="1" x14ac:dyDescent="0.2">
      <c r="A37" s="3" t="s">
        <v>14434</v>
      </c>
      <c r="B37" s="3" t="s">
        <v>14359</v>
      </c>
      <c r="C37" s="3" t="s">
        <v>1162</v>
      </c>
      <c r="D37" s="3" t="s">
        <v>14435</v>
      </c>
      <c r="E37" t="s">
        <v>5376</v>
      </c>
      <c r="F37" t="s">
        <v>1163</v>
      </c>
      <c r="G37" t="s">
        <v>3436</v>
      </c>
      <c r="H37" t="s">
        <v>3470</v>
      </c>
    </row>
    <row r="38" spans="1:8" hidden="1" x14ac:dyDescent="0.2">
      <c r="A38" s="3" t="s">
        <v>14436</v>
      </c>
      <c r="B38" s="3" t="s">
        <v>14359</v>
      </c>
      <c r="C38" s="3" t="s">
        <v>1164</v>
      </c>
      <c r="D38" s="3" t="s">
        <v>14437</v>
      </c>
      <c r="E38" t="s">
        <v>19198</v>
      </c>
      <c r="F38" t="s">
        <v>1165</v>
      </c>
      <c r="G38" t="s">
        <v>3459</v>
      </c>
      <c r="H38" t="s">
        <v>3810</v>
      </c>
    </row>
    <row r="39" spans="1:8" hidden="1" x14ac:dyDescent="0.2">
      <c r="A39" s="3" t="s">
        <v>14438</v>
      </c>
      <c r="B39" s="3" t="s">
        <v>14359</v>
      </c>
      <c r="C39" s="3" t="s">
        <v>1166</v>
      </c>
      <c r="D39" s="3" t="s">
        <v>14439</v>
      </c>
      <c r="E39" t="s">
        <v>19199</v>
      </c>
      <c r="F39" t="s">
        <v>1167</v>
      </c>
      <c r="G39" t="s">
        <v>3436</v>
      </c>
      <c r="H39" t="s">
        <v>3498</v>
      </c>
    </row>
    <row r="40" spans="1:8" hidden="1" x14ac:dyDescent="0.2">
      <c r="A40" s="3" t="s">
        <v>14440</v>
      </c>
      <c r="B40" s="3" t="s">
        <v>14359</v>
      </c>
      <c r="C40" s="3" t="s">
        <v>1168</v>
      </c>
      <c r="D40" s="3" t="s">
        <v>14441</v>
      </c>
      <c r="E40" t="s">
        <v>5444</v>
      </c>
      <c r="F40" t="s">
        <v>1169</v>
      </c>
      <c r="G40" t="s">
        <v>3459</v>
      </c>
      <c r="H40" t="s">
        <v>5441</v>
      </c>
    </row>
    <row r="41" spans="1:8" hidden="1" x14ac:dyDescent="0.2">
      <c r="A41" s="3" t="s">
        <v>14442</v>
      </c>
      <c r="B41" s="3" t="s">
        <v>14359</v>
      </c>
      <c r="C41" s="3" t="s">
        <v>1170</v>
      </c>
      <c r="D41" s="3" t="s">
        <v>14443</v>
      </c>
      <c r="E41" t="s">
        <v>19200</v>
      </c>
      <c r="F41" t="s">
        <v>1171</v>
      </c>
      <c r="G41" t="s">
        <v>3459</v>
      </c>
      <c r="H41" t="s">
        <v>5021</v>
      </c>
    </row>
    <row r="42" spans="1:8" hidden="1" x14ac:dyDescent="0.2">
      <c r="A42" s="3" t="s">
        <v>14444</v>
      </c>
      <c r="B42" s="3" t="s">
        <v>14359</v>
      </c>
      <c r="C42" s="3" t="s">
        <v>1172</v>
      </c>
      <c r="D42" s="3" t="s">
        <v>14445</v>
      </c>
      <c r="E42" t="s">
        <v>19201</v>
      </c>
      <c r="F42" t="s">
        <v>1173</v>
      </c>
      <c r="G42" t="s">
        <v>3459</v>
      </c>
      <c r="H42" t="s">
        <v>3873</v>
      </c>
    </row>
    <row r="43" spans="1:8" hidden="1" x14ac:dyDescent="0.2">
      <c r="A43" s="3" t="s">
        <v>14446</v>
      </c>
      <c r="B43" s="3" t="s">
        <v>14359</v>
      </c>
      <c r="C43" s="3" t="s">
        <v>1174</v>
      </c>
      <c r="D43" s="3" t="s">
        <v>14447</v>
      </c>
      <c r="E43" t="s">
        <v>19202</v>
      </c>
      <c r="F43" t="s">
        <v>1175</v>
      </c>
      <c r="G43" t="s">
        <v>3436</v>
      </c>
      <c r="H43" t="s">
        <v>3498</v>
      </c>
    </row>
    <row r="44" spans="1:8" hidden="1" x14ac:dyDescent="0.2">
      <c r="A44" s="3" t="s">
        <v>14448</v>
      </c>
      <c r="B44" s="3" t="s">
        <v>14359</v>
      </c>
      <c r="C44" s="3" t="s">
        <v>1176</v>
      </c>
      <c r="D44" s="3" t="s">
        <v>14449</v>
      </c>
      <c r="E44" t="s">
        <v>5499</v>
      </c>
      <c r="F44" t="s">
        <v>1177</v>
      </c>
      <c r="G44" t="s">
        <v>3863</v>
      </c>
      <c r="H44" t="s">
        <v>5082</v>
      </c>
    </row>
    <row r="45" spans="1:8" hidden="1" x14ac:dyDescent="0.2">
      <c r="A45" s="3" t="s">
        <v>14450</v>
      </c>
      <c r="B45" s="3" t="s">
        <v>14359</v>
      </c>
      <c r="C45" s="3" t="s">
        <v>1178</v>
      </c>
      <c r="D45" s="3" t="s">
        <v>14451</v>
      </c>
      <c r="E45" t="s">
        <v>19203</v>
      </c>
      <c r="F45" t="s">
        <v>1179</v>
      </c>
      <c r="G45" t="s">
        <v>3436</v>
      </c>
      <c r="H45" t="s">
        <v>3524</v>
      </c>
    </row>
    <row r="46" spans="1:8" hidden="1" x14ac:dyDescent="0.2">
      <c r="A46" s="3" t="s">
        <v>14452</v>
      </c>
      <c r="B46" s="3" t="s">
        <v>14359</v>
      </c>
      <c r="C46" s="3" t="s">
        <v>1180</v>
      </c>
      <c r="D46" s="3" t="s">
        <v>14453</v>
      </c>
      <c r="E46" t="s">
        <v>19204</v>
      </c>
      <c r="F46" t="s">
        <v>1181</v>
      </c>
      <c r="G46" t="s">
        <v>3436</v>
      </c>
      <c r="H46" t="s">
        <v>3670</v>
      </c>
    </row>
    <row r="47" spans="1:8" hidden="1" x14ac:dyDescent="0.2">
      <c r="A47" s="3" t="s">
        <v>14454</v>
      </c>
      <c r="B47" s="3" t="s">
        <v>14359</v>
      </c>
      <c r="C47" s="3" t="s">
        <v>1182</v>
      </c>
      <c r="D47" s="3" t="s">
        <v>14455</v>
      </c>
      <c r="E47" t="s">
        <v>19205</v>
      </c>
      <c r="F47" t="s">
        <v>1183</v>
      </c>
      <c r="G47" t="s">
        <v>3459</v>
      </c>
      <c r="H47" t="s">
        <v>5526</v>
      </c>
    </row>
    <row r="48" spans="1:8" hidden="1" x14ac:dyDescent="0.2">
      <c r="A48" s="3" t="s">
        <v>14456</v>
      </c>
      <c r="B48" s="3" t="s">
        <v>14359</v>
      </c>
      <c r="C48" s="3" t="s">
        <v>1184</v>
      </c>
      <c r="D48" s="3" t="s">
        <v>14457</v>
      </c>
      <c r="E48" t="s">
        <v>19206</v>
      </c>
      <c r="F48" t="s">
        <v>1185</v>
      </c>
      <c r="G48" t="s">
        <v>3863</v>
      </c>
      <c r="H48" t="s">
        <v>3864</v>
      </c>
    </row>
    <row r="49" spans="1:8" hidden="1" x14ac:dyDescent="0.2">
      <c r="A49" s="3" t="s">
        <v>14458</v>
      </c>
      <c r="B49" s="3" t="s">
        <v>14359</v>
      </c>
      <c r="C49" s="3" t="s">
        <v>1186</v>
      </c>
      <c r="D49" s="3" t="s">
        <v>14459</v>
      </c>
      <c r="E49" t="s">
        <v>19207</v>
      </c>
      <c r="F49" t="s">
        <v>13814</v>
      </c>
      <c r="G49" t="s">
        <v>3459</v>
      </c>
      <c r="H49" t="s">
        <v>5535</v>
      </c>
    </row>
    <row r="50" spans="1:8" hidden="1" x14ac:dyDescent="0.2">
      <c r="A50" s="3" t="s">
        <v>14460</v>
      </c>
      <c r="B50" s="3" t="s">
        <v>14359</v>
      </c>
      <c r="C50" s="3" t="s">
        <v>1187</v>
      </c>
      <c r="D50" s="3" t="s">
        <v>14461</v>
      </c>
      <c r="E50" t="s">
        <v>19208</v>
      </c>
      <c r="F50" t="s">
        <v>1188</v>
      </c>
      <c r="G50" t="s">
        <v>3459</v>
      </c>
      <c r="H50" t="s">
        <v>5568</v>
      </c>
    </row>
    <row r="51" spans="1:8" hidden="1" x14ac:dyDescent="0.2">
      <c r="A51" s="3" t="s">
        <v>14462</v>
      </c>
      <c r="B51" s="3" t="s">
        <v>14359</v>
      </c>
      <c r="C51" s="3" t="s">
        <v>1189</v>
      </c>
      <c r="D51" s="3" t="s">
        <v>14463</v>
      </c>
      <c r="E51" t="s">
        <v>19209</v>
      </c>
      <c r="F51" t="s">
        <v>13819</v>
      </c>
      <c r="G51" t="s">
        <v>3863</v>
      </c>
      <c r="H51" t="s">
        <v>5632</v>
      </c>
    </row>
    <row r="52" spans="1:8" hidden="1" x14ac:dyDescent="0.2">
      <c r="A52" s="3" t="s">
        <v>14464</v>
      </c>
      <c r="B52" s="3" t="s">
        <v>14359</v>
      </c>
      <c r="C52" s="3" t="s">
        <v>1190</v>
      </c>
      <c r="D52" s="3" t="s">
        <v>14465</v>
      </c>
      <c r="E52" t="s">
        <v>19210</v>
      </c>
      <c r="F52" t="s">
        <v>1191</v>
      </c>
      <c r="G52" t="s">
        <v>3436</v>
      </c>
      <c r="H52" t="s">
        <v>3603</v>
      </c>
    </row>
    <row r="53" spans="1:8" hidden="1" x14ac:dyDescent="0.2">
      <c r="A53" s="3" t="s">
        <v>14466</v>
      </c>
      <c r="B53" s="3" t="s">
        <v>14359</v>
      </c>
      <c r="C53" s="3" t="s">
        <v>1192</v>
      </c>
      <c r="D53" s="3" t="s">
        <v>14467</v>
      </c>
      <c r="E53" t="s">
        <v>19211</v>
      </c>
      <c r="F53" t="s">
        <v>1193</v>
      </c>
      <c r="G53" t="s">
        <v>3448</v>
      </c>
      <c r="H53" t="s">
        <v>5600</v>
      </c>
    </row>
    <row r="54" spans="1:8" hidden="1" x14ac:dyDescent="0.2">
      <c r="A54" s="3" t="s">
        <v>14468</v>
      </c>
      <c r="B54" s="3" t="s">
        <v>14359</v>
      </c>
      <c r="C54" s="3" t="s">
        <v>1194</v>
      </c>
      <c r="D54" s="3" t="s">
        <v>14469</v>
      </c>
      <c r="E54" t="s">
        <v>19212</v>
      </c>
      <c r="F54" t="s">
        <v>13816</v>
      </c>
      <c r="G54" t="s">
        <v>3459</v>
      </c>
      <c r="H54" t="s">
        <v>5559</v>
      </c>
    </row>
    <row r="55" spans="1:8" hidden="1" x14ac:dyDescent="0.2">
      <c r="A55" s="3" t="s">
        <v>14470</v>
      </c>
      <c r="B55" s="3" t="s">
        <v>14359</v>
      </c>
      <c r="C55" s="3" t="s">
        <v>1195</v>
      </c>
      <c r="D55" s="3" t="s">
        <v>14471</v>
      </c>
      <c r="E55" t="s">
        <v>5627</v>
      </c>
      <c r="F55" t="s">
        <v>1196</v>
      </c>
      <c r="G55" t="s">
        <v>3459</v>
      </c>
      <c r="H55" t="s">
        <v>4869</v>
      </c>
    </row>
    <row r="56" spans="1:8" hidden="1" x14ac:dyDescent="0.2">
      <c r="A56" s="3" t="s">
        <v>14472</v>
      </c>
      <c r="B56" s="3" t="s">
        <v>14359</v>
      </c>
      <c r="C56" s="3" t="s">
        <v>1197</v>
      </c>
      <c r="D56" s="3" t="s">
        <v>14473</v>
      </c>
      <c r="E56" t="s">
        <v>19213</v>
      </c>
      <c r="F56" t="s">
        <v>1198</v>
      </c>
      <c r="G56" t="s">
        <v>3436</v>
      </c>
      <c r="H56" t="s">
        <v>3661</v>
      </c>
    </row>
    <row r="57" spans="1:8" hidden="1" x14ac:dyDescent="0.2">
      <c r="A57" s="3" t="s">
        <v>14474</v>
      </c>
      <c r="B57" s="3" t="s">
        <v>14359</v>
      </c>
      <c r="C57" s="3" t="s">
        <v>1199</v>
      </c>
      <c r="D57" s="3" t="s">
        <v>14475</v>
      </c>
      <c r="E57" t="s">
        <v>5643</v>
      </c>
      <c r="F57" t="s">
        <v>1200</v>
      </c>
      <c r="G57" t="s">
        <v>3459</v>
      </c>
      <c r="H57" t="s">
        <v>5418</v>
      </c>
    </row>
    <row r="58" spans="1:8" hidden="1" x14ac:dyDescent="0.2">
      <c r="A58" s="3" t="s">
        <v>14476</v>
      </c>
      <c r="B58" s="3" t="s">
        <v>14359</v>
      </c>
      <c r="C58" s="3" t="s">
        <v>1201</v>
      </c>
      <c r="D58" s="3" t="s">
        <v>14477</v>
      </c>
      <c r="E58" t="s">
        <v>5650</v>
      </c>
      <c r="F58" t="s">
        <v>1202</v>
      </c>
      <c r="G58" t="s">
        <v>3436</v>
      </c>
      <c r="H58" t="s">
        <v>3498</v>
      </c>
    </row>
    <row r="59" spans="1:8" hidden="1" x14ac:dyDescent="0.2">
      <c r="A59" s="3" t="s">
        <v>14478</v>
      </c>
      <c r="B59" s="3" t="s">
        <v>14359</v>
      </c>
      <c r="C59" s="3" t="s">
        <v>1203</v>
      </c>
      <c r="D59" s="3" t="s">
        <v>14479</v>
      </c>
      <c r="E59" t="s">
        <v>19214</v>
      </c>
      <c r="F59" t="s">
        <v>1204</v>
      </c>
      <c r="G59" t="s">
        <v>3863</v>
      </c>
      <c r="H59" t="s">
        <v>3864</v>
      </c>
    </row>
    <row r="60" spans="1:8" hidden="1" x14ac:dyDescent="0.2">
      <c r="A60" s="3" t="s">
        <v>14480</v>
      </c>
      <c r="B60" s="3" t="s">
        <v>14359</v>
      </c>
      <c r="C60" s="3" t="s">
        <v>1205</v>
      </c>
      <c r="D60" s="3" t="s">
        <v>14481</v>
      </c>
      <c r="E60" t="s">
        <v>17659</v>
      </c>
      <c r="F60" t="s">
        <v>19099</v>
      </c>
      <c r="G60" t="s">
        <v>3863</v>
      </c>
      <c r="H60" t="s">
        <v>3864</v>
      </c>
    </row>
    <row r="61" spans="1:8" hidden="1" x14ac:dyDescent="0.2">
      <c r="A61" s="3" t="s">
        <v>14482</v>
      </c>
      <c r="B61" s="3" t="s">
        <v>14359</v>
      </c>
      <c r="C61" s="3" t="s">
        <v>1206</v>
      </c>
      <c r="D61" s="3" t="s">
        <v>14483</v>
      </c>
      <c r="E61" t="s">
        <v>5512</v>
      </c>
      <c r="F61" t="s">
        <v>1207</v>
      </c>
      <c r="G61" t="s">
        <v>3459</v>
      </c>
      <c r="H61" t="s">
        <v>4869</v>
      </c>
    </row>
    <row r="62" spans="1:8" hidden="1" x14ac:dyDescent="0.2">
      <c r="A62" s="3" t="s">
        <v>14484</v>
      </c>
      <c r="B62" s="3" t="s">
        <v>14359</v>
      </c>
      <c r="C62" s="3" t="s">
        <v>1208</v>
      </c>
      <c r="D62" s="3" t="s">
        <v>14485</v>
      </c>
      <c r="E62" t="s">
        <v>5505</v>
      </c>
      <c r="F62" t="s">
        <v>1209</v>
      </c>
      <c r="G62" t="s">
        <v>3459</v>
      </c>
      <c r="H62" t="s">
        <v>4869</v>
      </c>
    </row>
    <row r="63" spans="1:8" hidden="1" x14ac:dyDescent="0.2">
      <c r="A63" s="3" t="s">
        <v>14486</v>
      </c>
      <c r="B63" s="3" t="s">
        <v>14359</v>
      </c>
      <c r="C63" s="3" t="s">
        <v>1210</v>
      </c>
      <c r="D63" s="3" t="s">
        <v>14487</v>
      </c>
      <c r="E63" t="s">
        <v>19215</v>
      </c>
      <c r="F63" t="s">
        <v>1211</v>
      </c>
      <c r="G63" t="s">
        <v>3436</v>
      </c>
      <c r="H63" t="s">
        <v>3661</v>
      </c>
    </row>
    <row r="64" spans="1:8" hidden="1" x14ac:dyDescent="0.2">
      <c r="A64" s="3" t="s">
        <v>14488</v>
      </c>
      <c r="B64" s="3" t="s">
        <v>14359</v>
      </c>
      <c r="C64" s="3" t="s">
        <v>1212</v>
      </c>
      <c r="D64" s="3" t="s">
        <v>14489</v>
      </c>
      <c r="E64" t="s">
        <v>19216</v>
      </c>
      <c r="F64" t="s">
        <v>1213</v>
      </c>
      <c r="G64" t="s">
        <v>3436</v>
      </c>
      <c r="H64" t="s">
        <v>3470</v>
      </c>
    </row>
    <row r="65" spans="1:8" hidden="1" x14ac:dyDescent="0.2">
      <c r="A65" s="3" t="s">
        <v>14490</v>
      </c>
      <c r="B65" s="3" t="s">
        <v>14359</v>
      </c>
      <c r="C65" s="3" t="s">
        <v>1214</v>
      </c>
      <c r="D65" s="3" t="s">
        <v>14491</v>
      </c>
      <c r="E65" t="s">
        <v>5742</v>
      </c>
      <c r="F65" t="s">
        <v>1215</v>
      </c>
      <c r="G65" t="s">
        <v>3459</v>
      </c>
      <c r="H65" t="s">
        <v>5418</v>
      </c>
    </row>
    <row r="66" spans="1:8" hidden="1" x14ac:dyDescent="0.2">
      <c r="A66" s="3" t="s">
        <v>14492</v>
      </c>
      <c r="B66" s="3" t="s">
        <v>14359</v>
      </c>
      <c r="C66" s="3" t="s">
        <v>1216</v>
      </c>
      <c r="D66" s="3" t="s">
        <v>14493</v>
      </c>
      <c r="E66" t="s">
        <v>5681</v>
      </c>
      <c r="F66" t="s">
        <v>1217</v>
      </c>
      <c r="G66" t="s">
        <v>3459</v>
      </c>
      <c r="H66" t="s">
        <v>5418</v>
      </c>
    </row>
    <row r="67" spans="1:8" hidden="1" x14ac:dyDescent="0.2">
      <c r="A67" s="3" t="s">
        <v>14494</v>
      </c>
      <c r="B67" s="3" t="s">
        <v>14359</v>
      </c>
      <c r="C67" s="3" t="s">
        <v>1218</v>
      </c>
      <c r="D67" s="3" t="s">
        <v>14495</v>
      </c>
      <c r="E67" t="s">
        <v>19217</v>
      </c>
      <c r="F67" t="s">
        <v>1219</v>
      </c>
      <c r="G67" t="s">
        <v>3436</v>
      </c>
      <c r="H67" t="s">
        <v>3470</v>
      </c>
    </row>
    <row r="68" spans="1:8" hidden="1" x14ac:dyDescent="0.2">
      <c r="A68" s="3" t="s">
        <v>14496</v>
      </c>
      <c r="B68" s="3" t="s">
        <v>14359</v>
      </c>
      <c r="C68" s="3" t="s">
        <v>1220</v>
      </c>
      <c r="D68" s="3" t="s">
        <v>14497</v>
      </c>
      <c r="E68" t="s">
        <v>19218</v>
      </c>
      <c r="F68" t="s">
        <v>1221</v>
      </c>
      <c r="G68" t="s">
        <v>3448</v>
      </c>
      <c r="H68" t="s">
        <v>5600</v>
      </c>
    </row>
    <row r="69" spans="1:8" hidden="1" x14ac:dyDescent="0.2">
      <c r="A69" s="3" t="s">
        <v>14498</v>
      </c>
      <c r="B69" s="3" t="s">
        <v>14359</v>
      </c>
      <c r="C69" s="3" t="s">
        <v>1222</v>
      </c>
      <c r="D69" s="3" t="s">
        <v>14499</v>
      </c>
      <c r="E69" t="s">
        <v>5703</v>
      </c>
      <c r="F69" t="s">
        <v>1223</v>
      </c>
      <c r="G69" t="s">
        <v>3436</v>
      </c>
      <c r="H69" t="s">
        <v>3882</v>
      </c>
    </row>
    <row r="70" spans="1:8" hidden="1" x14ac:dyDescent="0.2">
      <c r="A70" s="3" t="s">
        <v>14500</v>
      </c>
      <c r="B70" s="3" t="s">
        <v>14359</v>
      </c>
      <c r="C70" s="3" t="s">
        <v>1224</v>
      </c>
      <c r="D70" s="3" t="s">
        <v>14501</v>
      </c>
      <c r="E70" t="s">
        <v>19219</v>
      </c>
      <c r="F70" t="s">
        <v>1225</v>
      </c>
      <c r="G70" t="s">
        <v>3459</v>
      </c>
      <c r="H70" t="s">
        <v>3819</v>
      </c>
    </row>
    <row r="71" spans="1:8" hidden="1" x14ac:dyDescent="0.2">
      <c r="A71" s="3" t="s">
        <v>14502</v>
      </c>
      <c r="B71" s="3" t="s">
        <v>14359</v>
      </c>
      <c r="C71" s="3" t="s">
        <v>1226</v>
      </c>
      <c r="D71" s="3" t="s">
        <v>14503</v>
      </c>
      <c r="E71" t="s">
        <v>5695</v>
      </c>
      <c r="F71" t="s">
        <v>1227</v>
      </c>
      <c r="G71" t="s">
        <v>3863</v>
      </c>
      <c r="H71" t="s">
        <v>5632</v>
      </c>
    </row>
    <row r="72" spans="1:8" hidden="1" x14ac:dyDescent="0.2">
      <c r="A72" s="3" t="s">
        <v>14504</v>
      </c>
      <c r="B72" s="3" t="s">
        <v>14359</v>
      </c>
      <c r="C72" s="3" t="s">
        <v>1228</v>
      </c>
      <c r="D72" s="3" t="s">
        <v>14505</v>
      </c>
      <c r="E72" t="s">
        <v>5749</v>
      </c>
      <c r="F72" t="s">
        <v>1229</v>
      </c>
      <c r="G72" t="s">
        <v>3436</v>
      </c>
      <c r="H72" t="s">
        <v>3906</v>
      </c>
    </row>
    <row r="73" spans="1:8" hidden="1" x14ac:dyDescent="0.2">
      <c r="A73" s="3" t="s">
        <v>14506</v>
      </c>
      <c r="B73" s="3" t="s">
        <v>14359</v>
      </c>
      <c r="C73" s="3" t="s">
        <v>1230</v>
      </c>
      <c r="D73" s="3" t="s">
        <v>14507</v>
      </c>
      <c r="E73" t="s">
        <v>19220</v>
      </c>
      <c r="F73" t="s">
        <v>19100</v>
      </c>
      <c r="G73" t="s">
        <v>3436</v>
      </c>
      <c r="H73" t="s">
        <v>4215</v>
      </c>
    </row>
    <row r="74" spans="1:8" hidden="1" x14ac:dyDescent="0.2">
      <c r="A74" s="3" t="s">
        <v>14508</v>
      </c>
      <c r="B74" s="3" t="s">
        <v>14359</v>
      </c>
      <c r="C74" s="3" t="s">
        <v>1231</v>
      </c>
      <c r="D74" s="3" t="s">
        <v>14509</v>
      </c>
      <c r="E74" t="s">
        <v>5688</v>
      </c>
      <c r="F74" t="s">
        <v>1232</v>
      </c>
      <c r="G74" t="s">
        <v>3459</v>
      </c>
      <c r="H74" t="s">
        <v>4869</v>
      </c>
    </row>
    <row r="75" spans="1:8" hidden="1" x14ac:dyDescent="0.2">
      <c r="A75" s="3" t="s">
        <v>14510</v>
      </c>
      <c r="B75" s="3" t="s">
        <v>14359</v>
      </c>
      <c r="C75" s="3" t="s">
        <v>1233</v>
      </c>
      <c r="D75" s="3" t="s">
        <v>14511</v>
      </c>
      <c r="E75" t="s">
        <v>5838</v>
      </c>
      <c r="F75" t="s">
        <v>1234</v>
      </c>
      <c r="G75" t="s">
        <v>3863</v>
      </c>
      <c r="H75" t="s">
        <v>4373</v>
      </c>
    </row>
    <row r="76" spans="1:8" hidden="1" x14ac:dyDescent="0.2">
      <c r="A76" s="3" t="s">
        <v>14512</v>
      </c>
      <c r="B76" s="3" t="s">
        <v>14359</v>
      </c>
      <c r="C76" s="3" t="s">
        <v>1235</v>
      </c>
      <c r="D76" s="3" t="s">
        <v>14513</v>
      </c>
      <c r="E76" t="s">
        <v>19221</v>
      </c>
      <c r="F76" t="s">
        <v>1236</v>
      </c>
      <c r="G76" t="s">
        <v>3977</v>
      </c>
      <c r="H76" t="s">
        <v>4293</v>
      </c>
    </row>
    <row r="77" spans="1:8" hidden="1" x14ac:dyDescent="0.2">
      <c r="A77" s="3" t="s">
        <v>14514</v>
      </c>
      <c r="B77" s="3" t="s">
        <v>14359</v>
      </c>
      <c r="C77" s="3" t="s">
        <v>1237</v>
      </c>
      <c r="D77" s="3" t="s">
        <v>14515</v>
      </c>
      <c r="E77" t="s">
        <v>19222</v>
      </c>
      <c r="F77" t="s">
        <v>1238</v>
      </c>
      <c r="G77" t="s">
        <v>3448</v>
      </c>
      <c r="H77" t="s">
        <v>3449</v>
      </c>
    </row>
    <row r="78" spans="1:8" hidden="1" x14ac:dyDescent="0.2">
      <c r="A78" s="3" t="s">
        <v>14516</v>
      </c>
      <c r="B78" s="3" t="s">
        <v>14359</v>
      </c>
      <c r="C78" s="3" t="s">
        <v>1239</v>
      </c>
      <c r="D78" s="3" t="s">
        <v>14517</v>
      </c>
      <c r="E78" t="s">
        <v>19223</v>
      </c>
      <c r="F78" t="s">
        <v>1240</v>
      </c>
      <c r="G78" t="s">
        <v>3459</v>
      </c>
      <c r="H78" t="s">
        <v>3873</v>
      </c>
    </row>
    <row r="79" spans="1:8" hidden="1" x14ac:dyDescent="0.2">
      <c r="A79" s="3" t="s">
        <v>14518</v>
      </c>
      <c r="B79" s="3" t="s">
        <v>14359</v>
      </c>
      <c r="C79" s="3" t="s">
        <v>1241</v>
      </c>
      <c r="D79" s="3" t="s">
        <v>14519</v>
      </c>
      <c r="E79" t="s">
        <v>19224</v>
      </c>
      <c r="F79" t="s">
        <v>1242</v>
      </c>
      <c r="G79" t="s">
        <v>3436</v>
      </c>
      <c r="H79" t="s">
        <v>3498</v>
      </c>
    </row>
    <row r="80" spans="1:8" hidden="1" x14ac:dyDescent="0.2">
      <c r="A80" s="3" t="s">
        <v>14520</v>
      </c>
      <c r="B80" s="3" t="s">
        <v>14359</v>
      </c>
      <c r="C80" s="3" t="s">
        <v>1243</v>
      </c>
      <c r="D80" s="3" t="s">
        <v>14521</v>
      </c>
      <c r="E80" t="s">
        <v>5845</v>
      </c>
      <c r="F80" t="s">
        <v>1244</v>
      </c>
      <c r="G80" t="s">
        <v>3863</v>
      </c>
      <c r="H80" t="s">
        <v>4373</v>
      </c>
    </row>
    <row r="81" spans="1:8" hidden="1" x14ac:dyDescent="0.2">
      <c r="A81" s="3" t="s">
        <v>14522</v>
      </c>
      <c r="B81" s="3" t="s">
        <v>14359</v>
      </c>
      <c r="C81" s="3" t="s">
        <v>1245</v>
      </c>
      <c r="D81" s="3" t="s">
        <v>14523</v>
      </c>
      <c r="E81" t="s">
        <v>5853</v>
      </c>
      <c r="F81" t="s">
        <v>1246</v>
      </c>
      <c r="G81" t="s">
        <v>3459</v>
      </c>
      <c r="H81" t="s">
        <v>4869</v>
      </c>
    </row>
    <row r="82" spans="1:8" hidden="1" x14ac:dyDescent="0.2">
      <c r="A82" s="3" t="s">
        <v>14524</v>
      </c>
      <c r="B82" s="3" t="s">
        <v>14359</v>
      </c>
      <c r="C82" s="3" t="s">
        <v>1247</v>
      </c>
      <c r="D82" s="3" t="s">
        <v>14525</v>
      </c>
      <c r="E82" t="s">
        <v>19225</v>
      </c>
      <c r="F82" t="s">
        <v>1248</v>
      </c>
      <c r="G82" t="s">
        <v>3448</v>
      </c>
      <c r="H82" t="s">
        <v>5858</v>
      </c>
    </row>
    <row r="83" spans="1:8" hidden="1" x14ac:dyDescent="0.2">
      <c r="A83" s="3" t="s">
        <v>14526</v>
      </c>
      <c r="B83" s="3" t="s">
        <v>14359</v>
      </c>
      <c r="C83" s="3" t="s">
        <v>1249</v>
      </c>
      <c r="D83" s="3" t="s">
        <v>14527</v>
      </c>
      <c r="E83" t="s">
        <v>11660</v>
      </c>
      <c r="F83" t="s">
        <v>1250</v>
      </c>
      <c r="G83" t="s">
        <v>3459</v>
      </c>
      <c r="H83" t="s">
        <v>4869</v>
      </c>
    </row>
    <row r="84" spans="1:8" hidden="1" x14ac:dyDescent="0.2">
      <c r="A84" s="3" t="s">
        <v>14528</v>
      </c>
      <c r="B84" s="3" t="s">
        <v>14359</v>
      </c>
      <c r="C84" s="3" t="s">
        <v>1251</v>
      </c>
      <c r="D84" s="3" t="s">
        <v>14529</v>
      </c>
      <c r="E84" t="s">
        <v>19226</v>
      </c>
      <c r="F84" t="s">
        <v>1252</v>
      </c>
      <c r="G84" t="s">
        <v>3853</v>
      </c>
      <c r="H84" t="s">
        <v>3854</v>
      </c>
    </row>
    <row r="85" spans="1:8" hidden="1" x14ac:dyDescent="0.2">
      <c r="A85" s="3" t="s">
        <v>14530</v>
      </c>
      <c r="B85" s="3" t="s">
        <v>14359</v>
      </c>
      <c r="C85" s="3" t="s">
        <v>1253</v>
      </c>
      <c r="D85" s="3" t="s">
        <v>14531</v>
      </c>
      <c r="E85" t="s">
        <v>11613</v>
      </c>
      <c r="F85" t="s">
        <v>1254</v>
      </c>
      <c r="G85" t="s">
        <v>3459</v>
      </c>
      <c r="H85" t="s">
        <v>4869</v>
      </c>
    </row>
    <row r="86" spans="1:8" hidden="1" x14ac:dyDescent="0.2">
      <c r="A86" s="3" t="s">
        <v>14532</v>
      </c>
      <c r="B86" s="3" t="s">
        <v>14359</v>
      </c>
      <c r="C86" s="3" t="s">
        <v>1255</v>
      </c>
      <c r="D86" s="3" t="s">
        <v>14533</v>
      </c>
      <c r="E86" t="s">
        <v>19227</v>
      </c>
      <c r="F86" t="s">
        <v>1256</v>
      </c>
      <c r="G86" t="s">
        <v>3459</v>
      </c>
      <c r="H86" t="s">
        <v>5754</v>
      </c>
    </row>
    <row r="87" spans="1:8" hidden="1" x14ac:dyDescent="0.2">
      <c r="A87" s="3" t="s">
        <v>14534</v>
      </c>
      <c r="B87" s="3" t="s">
        <v>14359</v>
      </c>
      <c r="C87" s="3" t="s">
        <v>1257</v>
      </c>
      <c r="D87" s="3" t="s">
        <v>14535</v>
      </c>
      <c r="E87" t="s">
        <v>19228</v>
      </c>
      <c r="F87" t="s">
        <v>1258</v>
      </c>
      <c r="G87" t="s">
        <v>3459</v>
      </c>
      <c r="H87" t="s">
        <v>5754</v>
      </c>
    </row>
    <row r="88" spans="1:8" hidden="1" x14ac:dyDescent="0.2">
      <c r="A88" s="3" t="s">
        <v>14536</v>
      </c>
      <c r="B88" s="3" t="s">
        <v>14359</v>
      </c>
      <c r="C88" s="3" t="s">
        <v>1259</v>
      </c>
      <c r="D88" s="3" t="s">
        <v>14537</v>
      </c>
      <c r="E88" t="s">
        <v>19229</v>
      </c>
      <c r="F88" t="s">
        <v>1260</v>
      </c>
      <c r="G88" t="s">
        <v>3436</v>
      </c>
      <c r="H88" t="s">
        <v>3661</v>
      </c>
    </row>
    <row r="89" spans="1:8" hidden="1" x14ac:dyDescent="0.2">
      <c r="A89" s="3" t="s">
        <v>14538</v>
      </c>
      <c r="B89" s="3" t="s">
        <v>14359</v>
      </c>
      <c r="C89" s="3" t="s">
        <v>1261</v>
      </c>
      <c r="D89" s="3" t="s">
        <v>14539</v>
      </c>
      <c r="E89" t="s">
        <v>19230</v>
      </c>
      <c r="F89" t="s">
        <v>1262</v>
      </c>
      <c r="G89" t="s">
        <v>3459</v>
      </c>
      <c r="H89" t="s">
        <v>5754</v>
      </c>
    </row>
    <row r="90" spans="1:8" hidden="1" x14ac:dyDescent="0.2">
      <c r="A90" s="3" t="s">
        <v>14540</v>
      </c>
      <c r="B90" s="3" t="s">
        <v>14359</v>
      </c>
      <c r="C90" s="3" t="s">
        <v>1263</v>
      </c>
      <c r="D90" s="3" t="s">
        <v>14541</v>
      </c>
      <c r="E90" t="s">
        <v>19231</v>
      </c>
      <c r="F90" t="s">
        <v>1264</v>
      </c>
      <c r="G90" t="s">
        <v>3459</v>
      </c>
      <c r="H90" t="s">
        <v>3560</v>
      </c>
    </row>
    <row r="91" spans="1:8" hidden="1" x14ac:dyDescent="0.2">
      <c r="A91" s="3" t="s">
        <v>14542</v>
      </c>
      <c r="B91" s="3" t="s">
        <v>14359</v>
      </c>
      <c r="C91" s="3" t="s">
        <v>1265</v>
      </c>
      <c r="D91" s="3" t="s">
        <v>14543</v>
      </c>
      <c r="E91" t="s">
        <v>19232</v>
      </c>
      <c r="F91" t="s">
        <v>19101</v>
      </c>
      <c r="G91" t="s">
        <v>3459</v>
      </c>
      <c r="H91" t="s">
        <v>3560</v>
      </c>
    </row>
    <row r="92" spans="1:8" hidden="1" x14ac:dyDescent="0.2">
      <c r="A92" s="3" t="s">
        <v>14544</v>
      </c>
      <c r="B92" s="3" t="s">
        <v>14359</v>
      </c>
      <c r="C92" s="3" t="s">
        <v>1266</v>
      </c>
      <c r="D92" s="3" t="s">
        <v>14545</v>
      </c>
      <c r="E92" t="s">
        <v>19233</v>
      </c>
      <c r="F92" t="s">
        <v>1267</v>
      </c>
      <c r="G92" t="s">
        <v>3459</v>
      </c>
      <c r="H92" t="s">
        <v>3560</v>
      </c>
    </row>
    <row r="93" spans="1:8" hidden="1" x14ac:dyDescent="0.2">
      <c r="A93" s="3" t="s">
        <v>14546</v>
      </c>
      <c r="B93" s="3" t="s">
        <v>14359</v>
      </c>
      <c r="C93" s="3" t="s">
        <v>1268</v>
      </c>
      <c r="D93" s="3" t="s">
        <v>14547</v>
      </c>
      <c r="E93" t="s">
        <v>19234</v>
      </c>
      <c r="F93" t="s">
        <v>1269</v>
      </c>
      <c r="G93" t="s">
        <v>3459</v>
      </c>
      <c r="H93" t="s">
        <v>3873</v>
      </c>
    </row>
    <row r="94" spans="1:8" hidden="1" x14ac:dyDescent="0.2">
      <c r="A94" s="3" t="s">
        <v>14548</v>
      </c>
      <c r="B94" s="3" t="s">
        <v>14359</v>
      </c>
      <c r="C94" s="3" t="s">
        <v>1270</v>
      </c>
      <c r="D94" s="3" t="s">
        <v>14549</v>
      </c>
      <c r="E94" t="s">
        <v>19235</v>
      </c>
      <c r="F94" t="s">
        <v>13826</v>
      </c>
      <c r="G94" t="s">
        <v>3459</v>
      </c>
      <c r="H94" t="s">
        <v>3560</v>
      </c>
    </row>
    <row r="95" spans="1:8" hidden="1" x14ac:dyDescent="0.2">
      <c r="A95" s="3" t="s">
        <v>14550</v>
      </c>
      <c r="B95" s="3" t="s">
        <v>14359</v>
      </c>
      <c r="C95" s="3" t="s">
        <v>1271</v>
      </c>
      <c r="D95" s="3" t="s">
        <v>14551</v>
      </c>
      <c r="E95" t="s">
        <v>5914</v>
      </c>
      <c r="F95" t="s">
        <v>1272</v>
      </c>
      <c r="G95" t="s">
        <v>3436</v>
      </c>
      <c r="H95" t="s">
        <v>3498</v>
      </c>
    </row>
    <row r="96" spans="1:8" hidden="1" x14ac:dyDescent="0.2">
      <c r="A96" s="3" t="s">
        <v>14552</v>
      </c>
      <c r="B96" s="3" t="s">
        <v>14359</v>
      </c>
      <c r="C96" s="3" t="s">
        <v>1273</v>
      </c>
      <c r="D96" s="3" t="s">
        <v>14553</v>
      </c>
      <c r="E96" t="s">
        <v>19236</v>
      </c>
      <c r="F96" t="s">
        <v>1274</v>
      </c>
      <c r="G96" t="s">
        <v>3459</v>
      </c>
      <c r="H96" t="s">
        <v>4059</v>
      </c>
    </row>
    <row r="97" spans="1:8" hidden="1" x14ac:dyDescent="0.2">
      <c r="A97" s="3" t="s">
        <v>14554</v>
      </c>
      <c r="B97" s="3" t="s">
        <v>14359</v>
      </c>
      <c r="C97" s="3" t="s">
        <v>1275</v>
      </c>
      <c r="D97" s="3" t="s">
        <v>14555</v>
      </c>
      <c r="E97" t="s">
        <v>5952</v>
      </c>
      <c r="F97" t="s">
        <v>1276</v>
      </c>
      <c r="G97" t="s">
        <v>3459</v>
      </c>
      <c r="H97" t="s">
        <v>3569</v>
      </c>
    </row>
    <row r="98" spans="1:8" hidden="1" x14ac:dyDescent="0.2">
      <c r="A98" s="3" t="s">
        <v>14556</v>
      </c>
      <c r="B98" s="3" t="s">
        <v>14359</v>
      </c>
      <c r="C98" s="3" t="s">
        <v>1277</v>
      </c>
      <c r="D98" s="3" t="s">
        <v>14557</v>
      </c>
      <c r="E98" t="s">
        <v>5968</v>
      </c>
      <c r="F98" t="s">
        <v>1278</v>
      </c>
      <c r="G98" t="s">
        <v>3436</v>
      </c>
      <c r="H98" t="s">
        <v>3906</v>
      </c>
    </row>
    <row r="99" spans="1:8" hidden="1" x14ac:dyDescent="0.2">
      <c r="A99" s="3" t="s">
        <v>14558</v>
      </c>
      <c r="B99" s="3" t="s">
        <v>14359</v>
      </c>
      <c r="C99" s="3" t="s">
        <v>1279</v>
      </c>
      <c r="D99" s="3" t="s">
        <v>14559</v>
      </c>
      <c r="E99" t="s">
        <v>19237</v>
      </c>
      <c r="F99" t="s">
        <v>1280</v>
      </c>
      <c r="G99" t="s">
        <v>3459</v>
      </c>
      <c r="H99" t="s">
        <v>3873</v>
      </c>
    </row>
    <row r="100" spans="1:8" hidden="1" x14ac:dyDescent="0.2">
      <c r="A100" s="3" t="s">
        <v>14560</v>
      </c>
      <c r="B100" s="3" t="s">
        <v>14359</v>
      </c>
      <c r="C100" s="3" t="s">
        <v>1281</v>
      </c>
      <c r="D100" s="3" t="s">
        <v>14561</v>
      </c>
      <c r="E100" t="s">
        <v>19238</v>
      </c>
      <c r="F100" t="s">
        <v>1282</v>
      </c>
      <c r="G100" t="s">
        <v>3459</v>
      </c>
      <c r="H100" t="s">
        <v>3516</v>
      </c>
    </row>
    <row r="101" spans="1:8" hidden="1" x14ac:dyDescent="0.2">
      <c r="A101" s="3" t="s">
        <v>14562</v>
      </c>
      <c r="B101" s="3" t="s">
        <v>14359</v>
      </c>
      <c r="C101" s="3" t="s">
        <v>1283</v>
      </c>
      <c r="D101" s="3" t="s">
        <v>14563</v>
      </c>
      <c r="E101" t="s">
        <v>19239</v>
      </c>
      <c r="F101" t="s">
        <v>1284</v>
      </c>
      <c r="G101" t="s">
        <v>3459</v>
      </c>
      <c r="H101" t="s">
        <v>5535</v>
      </c>
    </row>
    <row r="102" spans="1:8" hidden="1" x14ac:dyDescent="0.2">
      <c r="A102" s="3" t="s">
        <v>14564</v>
      </c>
      <c r="B102" s="3" t="s">
        <v>14359</v>
      </c>
      <c r="C102" s="3" t="s">
        <v>1285</v>
      </c>
      <c r="D102" s="3" t="s">
        <v>14565</v>
      </c>
      <c r="E102" t="s">
        <v>19240</v>
      </c>
      <c r="F102" t="s">
        <v>1286</v>
      </c>
      <c r="G102" t="s">
        <v>3459</v>
      </c>
      <c r="H102" t="s">
        <v>3560</v>
      </c>
    </row>
    <row r="103" spans="1:8" hidden="1" x14ac:dyDescent="0.2">
      <c r="A103" s="3" t="s">
        <v>14566</v>
      </c>
      <c r="B103" s="3" t="s">
        <v>14359</v>
      </c>
      <c r="C103" s="3" t="s">
        <v>1287</v>
      </c>
      <c r="D103" s="3" t="s">
        <v>14567</v>
      </c>
      <c r="E103" t="s">
        <v>19241</v>
      </c>
      <c r="F103" t="s">
        <v>1288</v>
      </c>
      <c r="G103" t="s">
        <v>3459</v>
      </c>
      <c r="H103" t="s">
        <v>5535</v>
      </c>
    </row>
    <row r="104" spans="1:8" hidden="1" x14ac:dyDescent="0.2">
      <c r="A104" s="3" t="s">
        <v>14568</v>
      </c>
      <c r="B104" s="3" t="s">
        <v>14359</v>
      </c>
      <c r="C104" s="3" t="s">
        <v>1289</v>
      </c>
      <c r="D104" s="3" t="s">
        <v>14569</v>
      </c>
      <c r="E104" t="s">
        <v>6000</v>
      </c>
      <c r="F104" t="s">
        <v>1290</v>
      </c>
      <c r="G104" t="s">
        <v>3459</v>
      </c>
      <c r="H104" t="s">
        <v>3569</v>
      </c>
    </row>
    <row r="105" spans="1:8" hidden="1" x14ac:dyDescent="0.2">
      <c r="A105" s="3" t="s">
        <v>14570</v>
      </c>
      <c r="B105" s="3" t="s">
        <v>14359</v>
      </c>
      <c r="C105" s="3" t="s">
        <v>1291</v>
      </c>
      <c r="D105" s="3" t="s">
        <v>14571</v>
      </c>
      <c r="E105" t="s">
        <v>6113</v>
      </c>
      <c r="F105" t="s">
        <v>1292</v>
      </c>
      <c r="G105" t="s">
        <v>3436</v>
      </c>
      <c r="H105" t="s">
        <v>3498</v>
      </c>
    </row>
    <row r="106" spans="1:8" hidden="1" x14ac:dyDescent="0.2">
      <c r="A106" s="3" t="s">
        <v>14572</v>
      </c>
      <c r="B106" s="3" t="s">
        <v>14359</v>
      </c>
      <c r="C106" s="3" t="s">
        <v>1293</v>
      </c>
      <c r="D106" s="3" t="s">
        <v>14573</v>
      </c>
      <c r="E106" t="s">
        <v>19242</v>
      </c>
      <c r="F106" t="s">
        <v>1294</v>
      </c>
      <c r="G106" t="s">
        <v>3459</v>
      </c>
      <c r="H106" t="s">
        <v>3749</v>
      </c>
    </row>
    <row r="107" spans="1:8" hidden="1" x14ac:dyDescent="0.2">
      <c r="A107" s="3" t="s">
        <v>14574</v>
      </c>
      <c r="B107" s="3" t="s">
        <v>14359</v>
      </c>
      <c r="C107" s="3" t="s">
        <v>1295</v>
      </c>
      <c r="D107" s="3" t="s">
        <v>14575</v>
      </c>
      <c r="E107" t="s">
        <v>6106</v>
      </c>
      <c r="F107" t="s">
        <v>1296</v>
      </c>
      <c r="G107" t="s">
        <v>3436</v>
      </c>
      <c r="H107" t="s">
        <v>3882</v>
      </c>
    </row>
    <row r="108" spans="1:8" hidden="1" x14ac:dyDescent="0.2">
      <c r="A108" s="3" t="s">
        <v>14576</v>
      </c>
      <c r="B108" s="3" t="s">
        <v>14359</v>
      </c>
      <c r="C108" s="3" t="s">
        <v>1297</v>
      </c>
      <c r="D108" s="3" t="s">
        <v>14577</v>
      </c>
      <c r="E108" t="s">
        <v>6098</v>
      </c>
      <c r="F108" t="s">
        <v>1298</v>
      </c>
      <c r="G108" t="s">
        <v>3459</v>
      </c>
      <c r="H108" t="s">
        <v>5441</v>
      </c>
    </row>
    <row r="109" spans="1:8" hidden="1" x14ac:dyDescent="0.2">
      <c r="A109" s="3" t="s">
        <v>14578</v>
      </c>
      <c r="B109" s="3" t="s">
        <v>14359</v>
      </c>
      <c r="C109" s="3" t="s">
        <v>1299</v>
      </c>
      <c r="D109" s="3" t="s">
        <v>14579</v>
      </c>
      <c r="E109" t="s">
        <v>6120</v>
      </c>
      <c r="F109" t="s">
        <v>1300</v>
      </c>
      <c r="G109" t="s">
        <v>3459</v>
      </c>
      <c r="H109" t="s">
        <v>4059</v>
      </c>
    </row>
    <row r="110" spans="1:8" hidden="1" x14ac:dyDescent="0.2">
      <c r="A110" s="3" t="s">
        <v>14580</v>
      </c>
      <c r="B110" s="3" t="s">
        <v>14359</v>
      </c>
      <c r="C110" s="3" t="s">
        <v>1301</v>
      </c>
      <c r="D110" s="3" t="s">
        <v>14581</v>
      </c>
      <c r="E110" t="s">
        <v>19243</v>
      </c>
      <c r="F110" t="s">
        <v>1302</v>
      </c>
      <c r="G110" t="s">
        <v>3863</v>
      </c>
      <c r="H110" t="s">
        <v>3864</v>
      </c>
    </row>
    <row r="111" spans="1:8" hidden="1" x14ac:dyDescent="0.2">
      <c r="A111" s="3" t="s">
        <v>14582</v>
      </c>
      <c r="B111" s="3" t="s">
        <v>14359</v>
      </c>
      <c r="C111" s="3" t="s">
        <v>1303</v>
      </c>
      <c r="D111" s="3" t="s">
        <v>14583</v>
      </c>
      <c r="E111" t="s">
        <v>19244</v>
      </c>
      <c r="F111" t="s">
        <v>1304</v>
      </c>
      <c r="G111" t="s">
        <v>3459</v>
      </c>
      <c r="H111" t="s">
        <v>5526</v>
      </c>
    </row>
    <row r="112" spans="1:8" hidden="1" x14ac:dyDescent="0.2">
      <c r="A112" s="3" t="s">
        <v>14584</v>
      </c>
      <c r="B112" s="3" t="s">
        <v>14359</v>
      </c>
      <c r="C112" s="3" t="s">
        <v>1305</v>
      </c>
      <c r="D112" s="3" t="s">
        <v>14585</v>
      </c>
      <c r="E112" t="s">
        <v>6127</v>
      </c>
      <c r="F112" t="s">
        <v>1306</v>
      </c>
      <c r="G112" t="s">
        <v>3459</v>
      </c>
      <c r="H112" t="s">
        <v>4059</v>
      </c>
    </row>
    <row r="113" spans="1:8" hidden="1" x14ac:dyDescent="0.2">
      <c r="A113" s="3" t="s">
        <v>14586</v>
      </c>
      <c r="B113" s="3" t="s">
        <v>14359</v>
      </c>
      <c r="C113" s="3" t="s">
        <v>1307</v>
      </c>
      <c r="D113" s="3" t="s">
        <v>14587</v>
      </c>
      <c r="E113" t="s">
        <v>19245</v>
      </c>
      <c r="F113" t="s">
        <v>1308</v>
      </c>
      <c r="G113" t="s">
        <v>3459</v>
      </c>
      <c r="H113" t="s">
        <v>5441</v>
      </c>
    </row>
    <row r="114" spans="1:8" hidden="1" x14ac:dyDescent="0.2">
      <c r="A114" s="3" t="s">
        <v>14588</v>
      </c>
      <c r="B114" s="3" t="s">
        <v>14359</v>
      </c>
      <c r="C114" s="3" t="s">
        <v>1309</v>
      </c>
      <c r="D114" s="3" t="s">
        <v>14589</v>
      </c>
      <c r="E114" t="s">
        <v>6060</v>
      </c>
      <c r="F114" t="s">
        <v>1310</v>
      </c>
      <c r="G114" t="s">
        <v>3459</v>
      </c>
      <c r="H114" t="s">
        <v>5441</v>
      </c>
    </row>
    <row r="115" spans="1:8" hidden="1" x14ac:dyDescent="0.2">
      <c r="A115" s="3" t="s">
        <v>14590</v>
      </c>
      <c r="B115" s="3" t="s">
        <v>14359</v>
      </c>
      <c r="C115" s="3" t="s">
        <v>1311</v>
      </c>
      <c r="D115" s="3" t="s">
        <v>14591</v>
      </c>
      <c r="E115" t="s">
        <v>19246</v>
      </c>
      <c r="F115" t="s">
        <v>1312</v>
      </c>
      <c r="G115" t="s">
        <v>3459</v>
      </c>
      <c r="H115" t="s">
        <v>3819</v>
      </c>
    </row>
    <row r="116" spans="1:8" hidden="1" x14ac:dyDescent="0.2">
      <c r="A116" s="3" t="s">
        <v>14592</v>
      </c>
      <c r="B116" s="3" t="s">
        <v>14359</v>
      </c>
      <c r="C116" s="3" t="s">
        <v>1313</v>
      </c>
      <c r="D116" s="3" t="s">
        <v>14593</v>
      </c>
      <c r="E116" t="s">
        <v>6158</v>
      </c>
      <c r="F116" t="s">
        <v>1314</v>
      </c>
      <c r="G116" t="s">
        <v>3436</v>
      </c>
      <c r="H116" t="s">
        <v>3906</v>
      </c>
    </row>
    <row r="117" spans="1:8" hidden="1" x14ac:dyDescent="0.2">
      <c r="A117" s="3" t="s">
        <v>14594</v>
      </c>
      <c r="B117" s="3" t="s">
        <v>14359</v>
      </c>
      <c r="C117" s="3" t="s">
        <v>1315</v>
      </c>
      <c r="D117" s="3" t="s">
        <v>14595</v>
      </c>
      <c r="E117" t="s">
        <v>19247</v>
      </c>
      <c r="F117" t="s">
        <v>13830</v>
      </c>
      <c r="G117" t="s">
        <v>3436</v>
      </c>
      <c r="H117" t="s">
        <v>3498</v>
      </c>
    </row>
    <row r="118" spans="1:8" hidden="1" x14ac:dyDescent="0.2">
      <c r="A118" s="3" t="s">
        <v>14596</v>
      </c>
      <c r="B118" s="3" t="s">
        <v>14359</v>
      </c>
      <c r="C118" s="3" t="s">
        <v>1317</v>
      </c>
      <c r="D118" s="3" t="s">
        <v>14597</v>
      </c>
      <c r="E118" t="s">
        <v>6262</v>
      </c>
      <c r="F118" t="s">
        <v>1318</v>
      </c>
      <c r="G118" t="s">
        <v>3436</v>
      </c>
      <c r="H118" t="s">
        <v>3661</v>
      </c>
    </row>
    <row r="119" spans="1:8" hidden="1" x14ac:dyDescent="0.2">
      <c r="A119" s="3" t="s">
        <v>14598</v>
      </c>
      <c r="B119" s="3" t="s">
        <v>14359</v>
      </c>
      <c r="C119" s="3" t="s">
        <v>1319</v>
      </c>
      <c r="D119" s="3" t="s">
        <v>14599</v>
      </c>
      <c r="E119" t="s">
        <v>19248</v>
      </c>
      <c r="F119" t="s">
        <v>1320</v>
      </c>
      <c r="G119" t="s">
        <v>3863</v>
      </c>
      <c r="H119" t="s">
        <v>3864</v>
      </c>
    </row>
    <row r="120" spans="1:8" hidden="1" x14ac:dyDescent="0.2">
      <c r="A120" s="3" t="s">
        <v>14600</v>
      </c>
      <c r="B120" s="3" t="s">
        <v>14359</v>
      </c>
      <c r="C120" s="3" t="s">
        <v>1321</v>
      </c>
      <c r="D120" s="3" t="s">
        <v>14601</v>
      </c>
      <c r="E120" t="s">
        <v>19249</v>
      </c>
      <c r="F120" t="s">
        <v>1322</v>
      </c>
      <c r="G120" t="s">
        <v>3863</v>
      </c>
      <c r="H120" t="s">
        <v>4942</v>
      </c>
    </row>
    <row r="121" spans="1:8" hidden="1" x14ac:dyDescent="0.2">
      <c r="A121" s="3" t="s">
        <v>14602</v>
      </c>
      <c r="B121" s="3" t="s">
        <v>14359</v>
      </c>
      <c r="C121" s="3" t="s">
        <v>1323</v>
      </c>
      <c r="D121" s="3" t="s">
        <v>14603</v>
      </c>
      <c r="E121" t="s">
        <v>19250</v>
      </c>
      <c r="F121" t="s">
        <v>1324</v>
      </c>
      <c r="G121" t="s">
        <v>3863</v>
      </c>
      <c r="H121" t="s">
        <v>5082</v>
      </c>
    </row>
    <row r="122" spans="1:8" hidden="1" x14ac:dyDescent="0.2">
      <c r="A122" s="3" t="s">
        <v>14604</v>
      </c>
      <c r="B122" s="3" t="s">
        <v>14359</v>
      </c>
      <c r="C122" s="3" t="s">
        <v>1325</v>
      </c>
      <c r="D122" s="3" t="s">
        <v>14605</v>
      </c>
      <c r="E122" t="s">
        <v>19251</v>
      </c>
      <c r="F122" t="s">
        <v>1326</v>
      </c>
      <c r="G122" t="s">
        <v>3853</v>
      </c>
      <c r="H122" t="s">
        <v>3854</v>
      </c>
    </row>
    <row r="123" spans="1:8" hidden="1" x14ac:dyDescent="0.2">
      <c r="A123" s="3" t="s">
        <v>14606</v>
      </c>
      <c r="B123" s="3" t="s">
        <v>14359</v>
      </c>
      <c r="C123" s="3" t="s">
        <v>1327</v>
      </c>
      <c r="D123" s="3" t="s">
        <v>14607</v>
      </c>
      <c r="E123" t="s">
        <v>6318</v>
      </c>
      <c r="F123" t="s">
        <v>1328</v>
      </c>
      <c r="G123" t="s">
        <v>3459</v>
      </c>
      <c r="H123" t="s">
        <v>5441</v>
      </c>
    </row>
    <row r="124" spans="1:8" hidden="1" x14ac:dyDescent="0.2">
      <c r="A124" s="3" t="s">
        <v>14608</v>
      </c>
      <c r="B124" s="3" t="s">
        <v>14359</v>
      </c>
      <c r="C124" s="3" t="s">
        <v>1329</v>
      </c>
      <c r="D124" s="3" t="s">
        <v>14609</v>
      </c>
      <c r="E124" t="s">
        <v>19252</v>
      </c>
      <c r="F124" t="s">
        <v>1330</v>
      </c>
      <c r="G124" t="s">
        <v>3459</v>
      </c>
      <c r="H124" t="s">
        <v>5526</v>
      </c>
    </row>
    <row r="125" spans="1:8" hidden="1" x14ac:dyDescent="0.2">
      <c r="A125" s="3" t="s">
        <v>14610</v>
      </c>
      <c r="B125" s="3" t="s">
        <v>14359</v>
      </c>
      <c r="C125" s="3" t="s">
        <v>1331</v>
      </c>
      <c r="D125" s="3" t="s">
        <v>14611</v>
      </c>
      <c r="E125" t="s">
        <v>19253</v>
      </c>
      <c r="F125" t="s">
        <v>1332</v>
      </c>
      <c r="G125" t="s">
        <v>3459</v>
      </c>
      <c r="H125" t="s">
        <v>4059</v>
      </c>
    </row>
    <row r="126" spans="1:8" hidden="1" x14ac:dyDescent="0.2">
      <c r="A126" s="3" t="s">
        <v>14612</v>
      </c>
      <c r="B126" s="3" t="s">
        <v>14359</v>
      </c>
      <c r="C126" s="3" t="s">
        <v>1333</v>
      </c>
      <c r="D126" s="3" t="s">
        <v>14613</v>
      </c>
      <c r="E126" t="s">
        <v>19254</v>
      </c>
      <c r="F126" t="s">
        <v>1334</v>
      </c>
      <c r="G126" t="s">
        <v>3479</v>
      </c>
      <c r="H126" t="s">
        <v>3480</v>
      </c>
    </row>
    <row r="127" spans="1:8" hidden="1" x14ac:dyDescent="0.2">
      <c r="A127" s="3" t="s">
        <v>14614</v>
      </c>
      <c r="B127" s="3" t="s">
        <v>14359</v>
      </c>
      <c r="C127" s="3" t="s">
        <v>1335</v>
      </c>
      <c r="D127" s="3" t="s">
        <v>14615</v>
      </c>
      <c r="E127" t="s">
        <v>19255</v>
      </c>
      <c r="F127" t="s">
        <v>1336</v>
      </c>
      <c r="G127" t="s">
        <v>3977</v>
      </c>
      <c r="H127" t="s">
        <v>4806</v>
      </c>
    </row>
    <row r="128" spans="1:8" hidden="1" x14ac:dyDescent="0.2">
      <c r="A128" s="3" t="s">
        <v>14616</v>
      </c>
      <c r="B128" s="3" t="s">
        <v>14359</v>
      </c>
      <c r="C128" s="3" t="s">
        <v>1337</v>
      </c>
      <c r="D128" s="3" t="s">
        <v>14617</v>
      </c>
      <c r="E128" t="s">
        <v>19256</v>
      </c>
      <c r="F128" t="s">
        <v>1338</v>
      </c>
      <c r="G128" t="s">
        <v>3436</v>
      </c>
      <c r="H128" t="s">
        <v>3498</v>
      </c>
    </row>
    <row r="129" spans="1:8" hidden="1" x14ac:dyDescent="0.2">
      <c r="A129" s="3" t="s">
        <v>14618</v>
      </c>
      <c r="B129" s="3" t="s">
        <v>14359</v>
      </c>
      <c r="C129" s="3" t="s">
        <v>1339</v>
      </c>
      <c r="D129" s="3" t="s">
        <v>14619</v>
      </c>
      <c r="E129" t="s">
        <v>19257</v>
      </c>
      <c r="F129" t="s">
        <v>1340</v>
      </c>
      <c r="G129" t="s">
        <v>3459</v>
      </c>
      <c r="H129" t="s">
        <v>3560</v>
      </c>
    </row>
    <row r="130" spans="1:8" hidden="1" x14ac:dyDescent="0.2">
      <c r="A130" s="3" t="s">
        <v>14620</v>
      </c>
      <c r="B130" s="3" t="s">
        <v>14359</v>
      </c>
      <c r="C130" s="3" t="s">
        <v>1341</v>
      </c>
      <c r="D130" s="3" t="s">
        <v>14621</v>
      </c>
      <c r="E130" t="s">
        <v>19258</v>
      </c>
      <c r="F130" t="s">
        <v>1342</v>
      </c>
      <c r="G130" t="s">
        <v>3853</v>
      </c>
      <c r="H130" t="s">
        <v>3854</v>
      </c>
    </row>
    <row r="131" spans="1:8" hidden="1" x14ac:dyDescent="0.2">
      <c r="A131" s="3" t="s">
        <v>14622</v>
      </c>
      <c r="B131" s="3" t="s">
        <v>14359</v>
      </c>
      <c r="C131" s="3" t="s">
        <v>1343</v>
      </c>
      <c r="D131" s="3" t="s">
        <v>14623</v>
      </c>
      <c r="E131" t="s">
        <v>19259</v>
      </c>
      <c r="F131" t="s">
        <v>13837</v>
      </c>
      <c r="G131" t="s">
        <v>3459</v>
      </c>
      <c r="H131" t="s">
        <v>5535</v>
      </c>
    </row>
    <row r="132" spans="1:8" hidden="1" x14ac:dyDescent="0.2">
      <c r="A132" s="3" t="s">
        <v>14624</v>
      </c>
      <c r="B132" s="3" t="s">
        <v>14359</v>
      </c>
      <c r="C132" s="3" t="s">
        <v>1344</v>
      </c>
      <c r="D132" s="3" t="s">
        <v>14625</v>
      </c>
      <c r="E132" t="s">
        <v>19260</v>
      </c>
      <c r="F132" t="s">
        <v>1345</v>
      </c>
      <c r="G132" t="s">
        <v>3853</v>
      </c>
      <c r="H132" t="s">
        <v>3854</v>
      </c>
    </row>
    <row r="133" spans="1:8" hidden="1" x14ac:dyDescent="0.2">
      <c r="A133" s="3" t="s">
        <v>14626</v>
      </c>
      <c r="B133" s="3" t="s">
        <v>14359</v>
      </c>
      <c r="C133" s="3" t="s">
        <v>1346</v>
      </c>
      <c r="D133" s="3" t="s">
        <v>14627</v>
      </c>
      <c r="E133" t="s">
        <v>19261</v>
      </c>
      <c r="F133" t="s">
        <v>1347</v>
      </c>
      <c r="G133" t="s">
        <v>3459</v>
      </c>
      <c r="H133" t="s">
        <v>5559</v>
      </c>
    </row>
    <row r="134" spans="1:8" hidden="1" x14ac:dyDescent="0.2">
      <c r="A134" s="3" t="s">
        <v>14628</v>
      </c>
      <c r="B134" s="3" t="s">
        <v>14359</v>
      </c>
      <c r="C134" s="3" t="s">
        <v>1348</v>
      </c>
      <c r="D134" s="3" t="s">
        <v>14629</v>
      </c>
      <c r="E134" t="s">
        <v>19262</v>
      </c>
      <c r="F134" t="s">
        <v>1349</v>
      </c>
      <c r="G134" t="s">
        <v>3853</v>
      </c>
      <c r="H134" t="s">
        <v>3854</v>
      </c>
    </row>
    <row r="135" spans="1:8" hidden="1" x14ac:dyDescent="0.2">
      <c r="A135" s="3" t="s">
        <v>14630</v>
      </c>
      <c r="B135" s="3" t="s">
        <v>14359</v>
      </c>
      <c r="C135" s="3" t="s">
        <v>1350</v>
      </c>
      <c r="D135" s="3" t="s">
        <v>14631</v>
      </c>
      <c r="E135" t="s">
        <v>6325</v>
      </c>
      <c r="F135" t="s">
        <v>1351</v>
      </c>
      <c r="G135" t="s">
        <v>3863</v>
      </c>
      <c r="H135" t="s">
        <v>4373</v>
      </c>
    </row>
    <row r="136" spans="1:8" hidden="1" x14ac:dyDescent="0.2">
      <c r="A136" s="3" t="s">
        <v>14632</v>
      </c>
      <c r="B136" s="3" t="s">
        <v>14359</v>
      </c>
      <c r="C136" s="3" t="s">
        <v>1352</v>
      </c>
      <c r="D136" s="3" t="s">
        <v>14633</v>
      </c>
      <c r="E136" t="s">
        <v>6341</v>
      </c>
      <c r="F136" t="s">
        <v>1353</v>
      </c>
      <c r="G136" t="s">
        <v>3863</v>
      </c>
      <c r="H136" t="s">
        <v>4373</v>
      </c>
    </row>
    <row r="137" spans="1:8" hidden="1" x14ac:dyDescent="0.2">
      <c r="A137" s="3" t="s">
        <v>14634</v>
      </c>
      <c r="B137" s="3" t="s">
        <v>14359</v>
      </c>
      <c r="C137" s="3" t="s">
        <v>1354</v>
      </c>
      <c r="D137" s="3" t="s">
        <v>14635</v>
      </c>
      <c r="E137" t="s">
        <v>19263</v>
      </c>
      <c r="F137" t="s">
        <v>13838</v>
      </c>
      <c r="G137" t="s">
        <v>3863</v>
      </c>
      <c r="H137" t="s">
        <v>4373</v>
      </c>
    </row>
    <row r="138" spans="1:8" hidden="1" x14ac:dyDescent="0.2">
      <c r="A138" s="3" t="s">
        <v>14636</v>
      </c>
      <c r="B138" s="3" t="s">
        <v>14359</v>
      </c>
      <c r="C138" s="3" t="s">
        <v>1355</v>
      </c>
      <c r="D138" s="3" t="s">
        <v>14637</v>
      </c>
      <c r="E138" t="s">
        <v>6333</v>
      </c>
      <c r="F138" t="s">
        <v>1356</v>
      </c>
      <c r="G138" t="s">
        <v>3863</v>
      </c>
      <c r="H138" t="s">
        <v>4373</v>
      </c>
    </row>
    <row r="139" spans="1:8" hidden="1" x14ac:dyDescent="0.2">
      <c r="A139" s="3" t="s">
        <v>14638</v>
      </c>
      <c r="B139" s="3" t="s">
        <v>14359</v>
      </c>
      <c r="C139" s="3" t="s">
        <v>1357</v>
      </c>
      <c r="D139" s="3" t="s">
        <v>14639</v>
      </c>
      <c r="E139" t="s">
        <v>6403</v>
      </c>
      <c r="F139" t="s">
        <v>1358</v>
      </c>
      <c r="G139" t="s">
        <v>3533</v>
      </c>
      <c r="H139" t="s">
        <v>4356</v>
      </c>
    </row>
    <row r="140" spans="1:8" hidden="1" x14ac:dyDescent="0.2">
      <c r="A140" s="3" t="s">
        <v>14640</v>
      </c>
      <c r="B140" s="3" t="s">
        <v>14359</v>
      </c>
      <c r="C140" s="3" t="s">
        <v>1359</v>
      </c>
      <c r="D140" s="3" t="s">
        <v>14641</v>
      </c>
      <c r="E140" t="s">
        <v>19264</v>
      </c>
      <c r="F140" t="s">
        <v>1360</v>
      </c>
      <c r="G140" t="s">
        <v>3436</v>
      </c>
      <c r="H140" t="s">
        <v>3470</v>
      </c>
    </row>
    <row r="141" spans="1:8" hidden="1" x14ac:dyDescent="0.2">
      <c r="A141" s="3" t="s">
        <v>14642</v>
      </c>
      <c r="B141" s="3" t="s">
        <v>14359</v>
      </c>
      <c r="C141" s="3" t="s">
        <v>1361</v>
      </c>
      <c r="D141" s="3" t="s">
        <v>14643</v>
      </c>
      <c r="E141" t="s">
        <v>6365</v>
      </c>
      <c r="F141" t="s">
        <v>1362</v>
      </c>
      <c r="G141" t="s">
        <v>3863</v>
      </c>
      <c r="H141" t="s">
        <v>4373</v>
      </c>
    </row>
    <row r="142" spans="1:8" hidden="1" x14ac:dyDescent="0.2">
      <c r="A142" s="3" t="s">
        <v>14644</v>
      </c>
      <c r="B142" s="3" t="s">
        <v>14359</v>
      </c>
      <c r="C142" s="3" t="s">
        <v>1363</v>
      </c>
      <c r="D142" s="3" t="s">
        <v>14645</v>
      </c>
      <c r="E142" t="s">
        <v>6389</v>
      </c>
      <c r="F142" t="s">
        <v>1364</v>
      </c>
      <c r="G142" t="s">
        <v>3533</v>
      </c>
      <c r="H142" t="s">
        <v>3543</v>
      </c>
    </row>
    <row r="143" spans="1:8" hidden="1" x14ac:dyDescent="0.2">
      <c r="A143" s="3" t="s">
        <v>14646</v>
      </c>
      <c r="B143" s="3" t="s">
        <v>14359</v>
      </c>
      <c r="C143" s="3" t="s">
        <v>1365</v>
      </c>
      <c r="D143" s="3" t="s">
        <v>14647</v>
      </c>
      <c r="E143" t="s">
        <v>6410</v>
      </c>
      <c r="F143" t="s">
        <v>1366</v>
      </c>
      <c r="G143" t="s">
        <v>3533</v>
      </c>
      <c r="H143" t="s">
        <v>3620</v>
      </c>
    </row>
    <row r="144" spans="1:8" hidden="1" x14ac:dyDescent="0.2">
      <c r="A144" s="3" t="s">
        <v>14648</v>
      </c>
      <c r="B144" s="3" t="s">
        <v>14359</v>
      </c>
      <c r="C144" s="3" t="s">
        <v>1367</v>
      </c>
      <c r="D144" s="3" t="s">
        <v>14649</v>
      </c>
      <c r="E144" t="s">
        <v>6381</v>
      </c>
      <c r="F144" t="s">
        <v>1368</v>
      </c>
      <c r="G144" t="s">
        <v>3863</v>
      </c>
      <c r="H144" t="s">
        <v>4373</v>
      </c>
    </row>
    <row r="145" spans="1:8" hidden="1" x14ac:dyDescent="0.2">
      <c r="A145" s="3" t="s">
        <v>14650</v>
      </c>
      <c r="B145" s="3" t="s">
        <v>14359</v>
      </c>
      <c r="C145" s="3" t="s">
        <v>1369</v>
      </c>
      <c r="D145" s="3" t="s">
        <v>14651</v>
      </c>
      <c r="E145" t="s">
        <v>19265</v>
      </c>
      <c r="F145" t="s">
        <v>1370</v>
      </c>
      <c r="G145" t="s">
        <v>3533</v>
      </c>
      <c r="H145" t="s">
        <v>4656</v>
      </c>
    </row>
    <row r="146" spans="1:8" hidden="1" x14ac:dyDescent="0.2">
      <c r="A146" s="3" t="s">
        <v>14652</v>
      </c>
      <c r="B146" s="3" t="s">
        <v>14359</v>
      </c>
      <c r="C146" s="3" t="s">
        <v>1371</v>
      </c>
      <c r="D146" s="3" t="s">
        <v>14653</v>
      </c>
      <c r="E146" t="s">
        <v>6433</v>
      </c>
      <c r="F146" t="s">
        <v>1372</v>
      </c>
      <c r="G146" t="s">
        <v>3863</v>
      </c>
      <c r="H146" t="s">
        <v>5082</v>
      </c>
    </row>
    <row r="147" spans="1:8" hidden="1" x14ac:dyDescent="0.2">
      <c r="A147" s="3" t="s">
        <v>14654</v>
      </c>
      <c r="B147" s="3" t="s">
        <v>14359</v>
      </c>
      <c r="C147" s="3" t="s">
        <v>1373</v>
      </c>
      <c r="D147" s="3" t="s">
        <v>14655</v>
      </c>
      <c r="E147" t="s">
        <v>19266</v>
      </c>
      <c r="F147" t="s">
        <v>13840</v>
      </c>
      <c r="G147" t="s">
        <v>3533</v>
      </c>
      <c r="H147" t="s">
        <v>3705</v>
      </c>
    </row>
    <row r="148" spans="1:8" hidden="1" x14ac:dyDescent="0.2">
      <c r="A148" s="3" t="s">
        <v>14656</v>
      </c>
      <c r="B148" s="3" t="s">
        <v>14359</v>
      </c>
      <c r="C148" s="3" t="s">
        <v>1375</v>
      </c>
      <c r="D148" s="3" t="s">
        <v>14657</v>
      </c>
      <c r="E148" t="s">
        <v>6440</v>
      </c>
      <c r="F148" t="s">
        <v>1376</v>
      </c>
      <c r="G148" t="s">
        <v>3533</v>
      </c>
      <c r="H148" t="s">
        <v>3705</v>
      </c>
    </row>
    <row r="149" spans="1:8" hidden="1" x14ac:dyDescent="0.2">
      <c r="A149" s="3" t="s">
        <v>14658</v>
      </c>
      <c r="B149" s="3" t="s">
        <v>14359</v>
      </c>
      <c r="C149" s="3" t="s">
        <v>1377</v>
      </c>
      <c r="D149" s="3" t="s">
        <v>14659</v>
      </c>
      <c r="E149" t="s">
        <v>19267</v>
      </c>
      <c r="F149" t="s">
        <v>1378</v>
      </c>
      <c r="G149" t="s">
        <v>3853</v>
      </c>
      <c r="H149" t="s">
        <v>6422</v>
      </c>
    </row>
    <row r="150" spans="1:8" hidden="1" x14ac:dyDescent="0.2">
      <c r="A150" s="3" t="s">
        <v>14660</v>
      </c>
      <c r="B150" s="3" t="s">
        <v>14359</v>
      </c>
      <c r="C150" s="3" t="s">
        <v>1379</v>
      </c>
      <c r="D150" s="3" t="s">
        <v>14661</v>
      </c>
      <c r="E150" t="s">
        <v>19268</v>
      </c>
      <c r="F150" t="s">
        <v>1380</v>
      </c>
      <c r="G150" t="s">
        <v>3459</v>
      </c>
      <c r="H150" t="s">
        <v>3873</v>
      </c>
    </row>
    <row r="151" spans="1:8" hidden="1" x14ac:dyDescent="0.2">
      <c r="A151" s="3" t="s">
        <v>14662</v>
      </c>
      <c r="B151" s="3" t="s">
        <v>14359</v>
      </c>
      <c r="C151" s="3" t="s">
        <v>1381</v>
      </c>
      <c r="D151" s="3" t="s">
        <v>14663</v>
      </c>
      <c r="E151" t="s">
        <v>6453</v>
      </c>
      <c r="F151" t="s">
        <v>1382</v>
      </c>
      <c r="G151" t="s">
        <v>3459</v>
      </c>
      <c r="H151" t="s">
        <v>5418</v>
      </c>
    </row>
    <row r="152" spans="1:8" hidden="1" x14ac:dyDescent="0.2">
      <c r="A152" s="3" t="s">
        <v>14664</v>
      </c>
      <c r="B152" s="3" t="s">
        <v>14359</v>
      </c>
      <c r="C152" s="3" t="s">
        <v>1383</v>
      </c>
      <c r="D152" s="3" t="s">
        <v>14665</v>
      </c>
      <c r="E152" t="s">
        <v>6498</v>
      </c>
      <c r="F152" t="s">
        <v>1384</v>
      </c>
      <c r="G152" t="s">
        <v>3533</v>
      </c>
      <c r="H152" t="s">
        <v>4656</v>
      </c>
    </row>
    <row r="153" spans="1:8" hidden="1" x14ac:dyDescent="0.2">
      <c r="A153" s="3" t="s">
        <v>14666</v>
      </c>
      <c r="B153" s="3" t="s">
        <v>14359</v>
      </c>
      <c r="C153" s="3" t="s">
        <v>1385</v>
      </c>
      <c r="D153" s="3" t="s">
        <v>14667</v>
      </c>
      <c r="E153" t="s">
        <v>6506</v>
      </c>
      <c r="F153" t="s">
        <v>1386</v>
      </c>
      <c r="G153" t="s">
        <v>3459</v>
      </c>
      <c r="H153" t="s">
        <v>5441</v>
      </c>
    </row>
    <row r="154" spans="1:8" hidden="1" x14ac:dyDescent="0.2">
      <c r="A154" s="3" t="s">
        <v>14668</v>
      </c>
      <c r="B154" s="3" t="s">
        <v>14359</v>
      </c>
      <c r="C154" s="3" t="s">
        <v>1387</v>
      </c>
      <c r="D154" s="3" t="s">
        <v>14669</v>
      </c>
      <c r="E154" t="s">
        <v>19269</v>
      </c>
      <c r="F154" t="s">
        <v>1388</v>
      </c>
      <c r="G154" t="s">
        <v>3436</v>
      </c>
      <c r="H154" t="s">
        <v>3687</v>
      </c>
    </row>
    <row r="155" spans="1:8" hidden="1" x14ac:dyDescent="0.2">
      <c r="A155" s="3" t="s">
        <v>14670</v>
      </c>
      <c r="B155" s="3" t="s">
        <v>14359</v>
      </c>
      <c r="C155" s="3" t="s">
        <v>1389</v>
      </c>
      <c r="D155" s="3" t="s">
        <v>14671</v>
      </c>
      <c r="E155" t="s">
        <v>19270</v>
      </c>
      <c r="F155" t="s">
        <v>1390</v>
      </c>
      <c r="G155" t="s">
        <v>3459</v>
      </c>
      <c r="H155" t="s">
        <v>6535</v>
      </c>
    </row>
    <row r="156" spans="1:8" hidden="1" x14ac:dyDescent="0.2">
      <c r="A156" s="3" t="s">
        <v>14672</v>
      </c>
      <c r="B156" s="3" t="s">
        <v>14359</v>
      </c>
      <c r="C156" s="3" t="s">
        <v>1391</v>
      </c>
      <c r="D156" s="3" t="s">
        <v>14673</v>
      </c>
      <c r="E156" t="s">
        <v>19271</v>
      </c>
      <c r="F156" t="s">
        <v>1392</v>
      </c>
      <c r="G156" t="s">
        <v>3853</v>
      </c>
      <c r="H156" t="s">
        <v>3854</v>
      </c>
    </row>
    <row r="157" spans="1:8" hidden="1" x14ac:dyDescent="0.2">
      <c r="A157" s="3" t="s">
        <v>14674</v>
      </c>
      <c r="B157" s="3" t="s">
        <v>14359</v>
      </c>
      <c r="C157" s="3" t="s">
        <v>1393</v>
      </c>
      <c r="D157" s="3" t="s">
        <v>14675</v>
      </c>
      <c r="E157" t="s">
        <v>19272</v>
      </c>
      <c r="F157" t="s">
        <v>19105</v>
      </c>
      <c r="G157" t="s">
        <v>3459</v>
      </c>
      <c r="H157" t="s">
        <v>4324</v>
      </c>
    </row>
    <row r="158" spans="1:8" hidden="1" x14ac:dyDescent="0.2">
      <c r="A158" s="3" t="s">
        <v>14676</v>
      </c>
      <c r="B158" s="3" t="s">
        <v>14359</v>
      </c>
      <c r="C158" s="3" t="s">
        <v>1394</v>
      </c>
      <c r="D158" s="3" t="s">
        <v>14677</v>
      </c>
      <c r="E158" t="s">
        <v>19273</v>
      </c>
      <c r="F158" t="s">
        <v>1395</v>
      </c>
      <c r="G158" t="s">
        <v>3459</v>
      </c>
      <c r="H158" t="s">
        <v>5441</v>
      </c>
    </row>
    <row r="159" spans="1:8" hidden="1" x14ac:dyDescent="0.2">
      <c r="A159" s="3" t="s">
        <v>14678</v>
      </c>
      <c r="B159" s="3" t="s">
        <v>14359</v>
      </c>
      <c r="C159" s="3" t="s">
        <v>1396</v>
      </c>
      <c r="D159" s="3" t="s">
        <v>14679</v>
      </c>
      <c r="E159" t="s">
        <v>6517</v>
      </c>
      <c r="F159" t="s">
        <v>1397</v>
      </c>
      <c r="G159" t="s">
        <v>3448</v>
      </c>
      <c r="H159" t="s">
        <v>3449</v>
      </c>
    </row>
    <row r="160" spans="1:8" hidden="1" x14ac:dyDescent="0.2">
      <c r="A160" s="3" t="s">
        <v>14680</v>
      </c>
      <c r="B160" s="3" t="s">
        <v>14359</v>
      </c>
      <c r="C160" s="3" t="s">
        <v>1398</v>
      </c>
      <c r="D160" s="3" t="s">
        <v>14681</v>
      </c>
      <c r="E160" t="s">
        <v>19274</v>
      </c>
      <c r="F160" t="s">
        <v>19104</v>
      </c>
      <c r="G160" t="s">
        <v>3853</v>
      </c>
      <c r="H160" t="s">
        <v>3854</v>
      </c>
    </row>
    <row r="161" spans="1:8" hidden="1" x14ac:dyDescent="0.2">
      <c r="A161" s="3" t="s">
        <v>14682</v>
      </c>
      <c r="B161" s="3" t="s">
        <v>14359</v>
      </c>
      <c r="C161" s="3" t="s">
        <v>1399</v>
      </c>
      <c r="D161" s="3" t="s">
        <v>14683</v>
      </c>
      <c r="E161" t="s">
        <v>6513</v>
      </c>
      <c r="F161" t="s">
        <v>1400</v>
      </c>
      <c r="G161" t="s">
        <v>3459</v>
      </c>
      <c r="H161" t="s">
        <v>5441</v>
      </c>
    </row>
    <row r="162" spans="1:8" hidden="1" x14ac:dyDescent="0.2">
      <c r="A162" s="3" t="s">
        <v>14684</v>
      </c>
      <c r="B162" s="3" t="s">
        <v>14359</v>
      </c>
      <c r="C162" s="3" t="s">
        <v>1401</v>
      </c>
      <c r="D162" s="3" t="s">
        <v>14685</v>
      </c>
      <c r="E162" t="s">
        <v>19275</v>
      </c>
      <c r="F162" t="s">
        <v>13845</v>
      </c>
      <c r="G162" t="s">
        <v>3459</v>
      </c>
      <c r="H162" t="s">
        <v>4991</v>
      </c>
    </row>
    <row r="163" spans="1:8" hidden="1" x14ac:dyDescent="0.2">
      <c r="A163" s="3" t="s">
        <v>14686</v>
      </c>
      <c r="B163" s="3" t="s">
        <v>14359</v>
      </c>
      <c r="C163" s="3" t="s">
        <v>1402</v>
      </c>
      <c r="D163" s="3" t="s">
        <v>14687</v>
      </c>
      <c r="E163" t="s">
        <v>19276</v>
      </c>
      <c r="F163" t="s">
        <v>13847</v>
      </c>
      <c r="G163" t="s">
        <v>6580</v>
      </c>
      <c r="H163" t="s">
        <v>6580</v>
      </c>
    </row>
    <row r="164" spans="1:8" hidden="1" x14ac:dyDescent="0.2">
      <c r="A164" s="3" t="s">
        <v>14688</v>
      </c>
      <c r="B164" s="3" t="s">
        <v>14359</v>
      </c>
      <c r="C164" s="3" t="s">
        <v>1403</v>
      </c>
      <c r="D164" s="3" t="s">
        <v>14689</v>
      </c>
      <c r="E164" t="s">
        <v>6484</v>
      </c>
      <c r="F164" t="s">
        <v>1404</v>
      </c>
      <c r="G164" t="s">
        <v>3533</v>
      </c>
      <c r="H164" t="s">
        <v>3705</v>
      </c>
    </row>
    <row r="165" spans="1:8" hidden="1" x14ac:dyDescent="0.2">
      <c r="A165" s="3" t="s">
        <v>14690</v>
      </c>
      <c r="B165" s="3" t="s">
        <v>14359</v>
      </c>
      <c r="C165" s="3" t="s">
        <v>1405</v>
      </c>
      <c r="D165" s="3" t="s">
        <v>14691</v>
      </c>
      <c r="E165" t="s">
        <v>19277</v>
      </c>
      <c r="F165" t="s">
        <v>1406</v>
      </c>
      <c r="G165" t="s">
        <v>3436</v>
      </c>
      <c r="H165" t="s">
        <v>3793</v>
      </c>
    </row>
    <row r="166" spans="1:8" hidden="1" x14ac:dyDescent="0.2">
      <c r="A166" s="3" t="s">
        <v>14692</v>
      </c>
      <c r="B166" s="3" t="s">
        <v>14359</v>
      </c>
      <c r="C166" s="3" t="s">
        <v>1407</v>
      </c>
      <c r="D166" s="3" t="s">
        <v>14693</v>
      </c>
      <c r="E166" t="s">
        <v>19278</v>
      </c>
      <c r="F166" t="s">
        <v>19102</v>
      </c>
      <c r="G166" t="s">
        <v>3436</v>
      </c>
      <c r="H166" t="s">
        <v>3498</v>
      </c>
    </row>
    <row r="167" spans="1:8" hidden="1" x14ac:dyDescent="0.2">
      <c r="A167" s="3" t="s">
        <v>14694</v>
      </c>
      <c r="B167" s="3" t="s">
        <v>14359</v>
      </c>
      <c r="C167" s="3" t="s">
        <v>1408</v>
      </c>
      <c r="D167" s="3" t="s">
        <v>14695</v>
      </c>
      <c r="E167" t="s">
        <v>6587</v>
      </c>
      <c r="F167" t="s">
        <v>1409</v>
      </c>
      <c r="G167" t="s">
        <v>3436</v>
      </c>
      <c r="H167" t="s">
        <v>3498</v>
      </c>
    </row>
    <row r="168" spans="1:8" hidden="1" x14ac:dyDescent="0.2">
      <c r="A168" s="3" t="s">
        <v>14696</v>
      </c>
      <c r="B168" s="3" t="s">
        <v>14359</v>
      </c>
      <c r="C168" s="3" t="s">
        <v>1410</v>
      </c>
      <c r="D168" s="3" t="s">
        <v>14697</v>
      </c>
      <c r="E168" t="s">
        <v>19279</v>
      </c>
      <c r="F168" t="s">
        <v>1411</v>
      </c>
      <c r="G168" t="s">
        <v>3863</v>
      </c>
      <c r="H168" t="s">
        <v>3864</v>
      </c>
    </row>
    <row r="169" spans="1:8" hidden="1" x14ac:dyDescent="0.2">
      <c r="A169" s="3" t="s">
        <v>14698</v>
      </c>
      <c r="B169" s="3" t="s">
        <v>14359</v>
      </c>
      <c r="C169" s="3" t="s">
        <v>1412</v>
      </c>
      <c r="D169" s="3" t="s">
        <v>14699</v>
      </c>
      <c r="E169" t="s">
        <v>19280</v>
      </c>
      <c r="F169" t="s">
        <v>1413</v>
      </c>
      <c r="G169" t="s">
        <v>3459</v>
      </c>
      <c r="H169" t="s">
        <v>5441</v>
      </c>
    </row>
    <row r="170" spans="1:8" hidden="1" x14ac:dyDescent="0.2">
      <c r="A170" s="3" t="s">
        <v>14700</v>
      </c>
      <c r="B170" s="3" t="s">
        <v>14359</v>
      </c>
      <c r="C170" s="3" t="s">
        <v>1414</v>
      </c>
      <c r="D170" s="3" t="s">
        <v>14701</v>
      </c>
      <c r="E170" t="s">
        <v>19281</v>
      </c>
      <c r="F170" t="s">
        <v>1415</v>
      </c>
      <c r="G170" t="s">
        <v>3459</v>
      </c>
      <c r="H170" t="s">
        <v>5441</v>
      </c>
    </row>
    <row r="171" spans="1:8" hidden="1" x14ac:dyDescent="0.2">
      <c r="A171" s="3" t="s">
        <v>14702</v>
      </c>
      <c r="B171" s="3" t="s">
        <v>14359</v>
      </c>
      <c r="C171" s="3" t="s">
        <v>1416</v>
      </c>
      <c r="D171" s="3" t="s">
        <v>14703</v>
      </c>
      <c r="E171" t="s">
        <v>19282</v>
      </c>
      <c r="F171" t="s">
        <v>1417</v>
      </c>
      <c r="G171" t="s">
        <v>3459</v>
      </c>
      <c r="H171" t="s">
        <v>5441</v>
      </c>
    </row>
    <row r="172" spans="1:8" hidden="1" x14ac:dyDescent="0.2">
      <c r="A172" s="3" t="s">
        <v>14704</v>
      </c>
      <c r="B172" s="3" t="s">
        <v>14359</v>
      </c>
      <c r="C172" s="3" t="s">
        <v>1418</v>
      </c>
      <c r="D172" s="3" t="s">
        <v>14705</v>
      </c>
      <c r="E172" t="s">
        <v>19283</v>
      </c>
      <c r="F172" t="s">
        <v>1419</v>
      </c>
      <c r="G172" t="s">
        <v>3459</v>
      </c>
      <c r="H172" t="s">
        <v>5441</v>
      </c>
    </row>
    <row r="173" spans="1:8" hidden="1" x14ac:dyDescent="0.2">
      <c r="A173" s="3" t="s">
        <v>14706</v>
      </c>
      <c r="B173" s="3" t="s">
        <v>14359</v>
      </c>
      <c r="C173" s="3" t="s">
        <v>1420</v>
      </c>
      <c r="D173" s="3" t="s">
        <v>14707</v>
      </c>
      <c r="E173" t="s">
        <v>6621</v>
      </c>
      <c r="F173" t="s">
        <v>1421</v>
      </c>
      <c r="G173" t="s">
        <v>3459</v>
      </c>
      <c r="H173" t="s">
        <v>5441</v>
      </c>
    </row>
    <row r="174" spans="1:8" hidden="1" x14ac:dyDescent="0.2">
      <c r="A174" s="3" t="s">
        <v>14708</v>
      </c>
      <c r="B174" s="3" t="s">
        <v>14359</v>
      </c>
      <c r="C174" s="3" t="s">
        <v>1422</v>
      </c>
      <c r="D174" s="3" t="s">
        <v>14709</v>
      </c>
      <c r="E174" t="s">
        <v>19284</v>
      </c>
      <c r="F174" t="s">
        <v>1423</v>
      </c>
      <c r="G174" t="s">
        <v>3459</v>
      </c>
      <c r="H174" t="s">
        <v>5441</v>
      </c>
    </row>
    <row r="175" spans="1:8" hidden="1" x14ac:dyDescent="0.2">
      <c r="A175" s="3" t="s">
        <v>14710</v>
      </c>
      <c r="B175" s="3" t="s">
        <v>14359</v>
      </c>
      <c r="C175" s="3" t="s">
        <v>1424</v>
      </c>
      <c r="D175" s="3" t="s">
        <v>14711</v>
      </c>
      <c r="E175" t="s">
        <v>6628</v>
      </c>
      <c r="F175" t="s">
        <v>1425</v>
      </c>
      <c r="G175" t="s">
        <v>3459</v>
      </c>
      <c r="H175" t="s">
        <v>5441</v>
      </c>
    </row>
    <row r="176" spans="1:8" hidden="1" x14ac:dyDescent="0.2">
      <c r="A176" s="3" t="s">
        <v>14712</v>
      </c>
      <c r="B176" s="3" t="s">
        <v>14359</v>
      </c>
      <c r="C176" s="3" t="s">
        <v>1426</v>
      </c>
      <c r="D176" s="3" t="s">
        <v>14713</v>
      </c>
      <c r="E176" t="s">
        <v>6655</v>
      </c>
      <c r="F176" t="s">
        <v>1427</v>
      </c>
      <c r="G176" t="s">
        <v>3459</v>
      </c>
      <c r="H176" t="s">
        <v>4869</v>
      </c>
    </row>
    <row r="177" spans="1:8" hidden="1" x14ac:dyDescent="0.2">
      <c r="A177" s="3" t="s">
        <v>14714</v>
      </c>
      <c r="B177" s="3" t="s">
        <v>14359</v>
      </c>
      <c r="C177" s="3" t="s">
        <v>1428</v>
      </c>
      <c r="D177" s="3" t="s">
        <v>14715</v>
      </c>
      <c r="E177" t="s">
        <v>19285</v>
      </c>
      <c r="F177" t="s">
        <v>1429</v>
      </c>
      <c r="G177" t="s">
        <v>3459</v>
      </c>
      <c r="H177" t="s">
        <v>3560</v>
      </c>
    </row>
    <row r="178" spans="1:8" hidden="1" x14ac:dyDescent="0.2">
      <c r="A178" s="3" t="s">
        <v>14716</v>
      </c>
      <c r="B178" s="3" t="s">
        <v>14359</v>
      </c>
      <c r="C178" s="3" t="s">
        <v>1430</v>
      </c>
      <c r="D178" s="3" t="s">
        <v>14717</v>
      </c>
      <c r="E178" t="s">
        <v>19286</v>
      </c>
      <c r="F178" t="s">
        <v>1431</v>
      </c>
      <c r="G178" t="s">
        <v>3448</v>
      </c>
      <c r="H178" t="s">
        <v>5600</v>
      </c>
    </row>
    <row r="179" spans="1:8" hidden="1" x14ac:dyDescent="0.2">
      <c r="A179" s="3" t="s">
        <v>14718</v>
      </c>
      <c r="B179" s="3" t="s">
        <v>14359</v>
      </c>
      <c r="C179" s="3" t="s">
        <v>1432</v>
      </c>
      <c r="D179" s="3" t="s">
        <v>14719</v>
      </c>
      <c r="E179" t="s">
        <v>19287</v>
      </c>
      <c r="F179" t="s">
        <v>1433</v>
      </c>
      <c r="G179" t="s">
        <v>3436</v>
      </c>
      <c r="H179" t="s">
        <v>3498</v>
      </c>
    </row>
    <row r="180" spans="1:8" hidden="1" x14ac:dyDescent="0.2">
      <c r="A180" s="3" t="s">
        <v>14720</v>
      </c>
      <c r="B180" s="3" t="s">
        <v>14359</v>
      </c>
      <c r="C180" s="3" t="s">
        <v>1434</v>
      </c>
      <c r="D180" s="3" t="s">
        <v>14721</v>
      </c>
      <c r="E180" t="s">
        <v>19288</v>
      </c>
      <c r="F180" t="s">
        <v>1435</v>
      </c>
      <c r="G180" t="s">
        <v>3436</v>
      </c>
      <c r="H180" t="s">
        <v>3586</v>
      </c>
    </row>
    <row r="181" spans="1:8" hidden="1" x14ac:dyDescent="0.2">
      <c r="A181" s="3" t="s">
        <v>14722</v>
      </c>
      <c r="B181" s="3" t="s">
        <v>14359</v>
      </c>
      <c r="C181" s="3" t="s">
        <v>1436</v>
      </c>
      <c r="D181" s="3" t="s">
        <v>14723</v>
      </c>
      <c r="E181" t="s">
        <v>19289</v>
      </c>
      <c r="F181" t="s">
        <v>1437</v>
      </c>
      <c r="G181" t="s">
        <v>3436</v>
      </c>
      <c r="H181" t="s">
        <v>3498</v>
      </c>
    </row>
    <row r="182" spans="1:8" hidden="1" x14ac:dyDescent="0.2">
      <c r="A182" s="3" t="s">
        <v>14724</v>
      </c>
      <c r="B182" s="3" t="s">
        <v>14359</v>
      </c>
      <c r="C182" s="3" t="s">
        <v>1438</v>
      </c>
      <c r="D182" s="3" t="s">
        <v>14725</v>
      </c>
      <c r="E182" t="s">
        <v>19290</v>
      </c>
      <c r="F182" t="s">
        <v>1439</v>
      </c>
      <c r="G182" t="s">
        <v>3863</v>
      </c>
      <c r="H182" t="s">
        <v>4142</v>
      </c>
    </row>
    <row r="183" spans="1:8" hidden="1" x14ac:dyDescent="0.2">
      <c r="A183" s="3" t="s">
        <v>14726</v>
      </c>
      <c r="B183" s="3" t="s">
        <v>14359</v>
      </c>
      <c r="C183" s="3" t="s">
        <v>1440</v>
      </c>
      <c r="D183" s="3" t="s">
        <v>14727</v>
      </c>
      <c r="E183" t="s">
        <v>19291</v>
      </c>
      <c r="F183" t="s">
        <v>1441</v>
      </c>
      <c r="G183" t="s">
        <v>3436</v>
      </c>
      <c r="H183" t="s">
        <v>3498</v>
      </c>
    </row>
    <row r="184" spans="1:8" hidden="1" x14ac:dyDescent="0.2">
      <c r="A184" s="3" t="s">
        <v>14728</v>
      </c>
      <c r="B184" s="3" t="s">
        <v>14359</v>
      </c>
      <c r="C184" s="3" t="s">
        <v>1442</v>
      </c>
      <c r="D184" s="3" t="s">
        <v>14729</v>
      </c>
      <c r="E184" t="s">
        <v>19292</v>
      </c>
      <c r="F184" t="s">
        <v>1443</v>
      </c>
      <c r="G184" t="s">
        <v>3863</v>
      </c>
      <c r="H184" t="s">
        <v>5082</v>
      </c>
    </row>
    <row r="185" spans="1:8" hidden="1" x14ac:dyDescent="0.2">
      <c r="A185" s="3" t="s">
        <v>14730</v>
      </c>
      <c r="B185" s="3" t="s">
        <v>14359</v>
      </c>
      <c r="C185" s="3" t="s">
        <v>1444</v>
      </c>
      <c r="D185" s="3" t="s">
        <v>14731</v>
      </c>
      <c r="E185" t="s">
        <v>19293</v>
      </c>
      <c r="F185" t="s">
        <v>1445</v>
      </c>
      <c r="G185" t="s">
        <v>3459</v>
      </c>
      <c r="H185" t="s">
        <v>3749</v>
      </c>
    </row>
    <row r="186" spans="1:8" hidden="1" x14ac:dyDescent="0.2">
      <c r="A186" s="3" t="s">
        <v>14732</v>
      </c>
      <c r="B186" s="3" t="s">
        <v>14359</v>
      </c>
      <c r="C186" s="3" t="s">
        <v>1446</v>
      </c>
      <c r="D186" s="3" t="s">
        <v>14733</v>
      </c>
      <c r="E186" t="s">
        <v>19294</v>
      </c>
      <c r="F186" t="s">
        <v>1447</v>
      </c>
      <c r="G186" t="s">
        <v>3459</v>
      </c>
      <c r="H186" t="s">
        <v>3873</v>
      </c>
    </row>
    <row r="187" spans="1:8" hidden="1" x14ac:dyDescent="0.2">
      <c r="A187" s="3" t="s">
        <v>14734</v>
      </c>
      <c r="B187" s="3" t="s">
        <v>14359</v>
      </c>
      <c r="C187" s="3" t="s">
        <v>1448</v>
      </c>
      <c r="D187" s="3" t="s">
        <v>14735</v>
      </c>
      <c r="E187" t="s">
        <v>19295</v>
      </c>
      <c r="F187" t="s">
        <v>1449</v>
      </c>
      <c r="G187" t="s">
        <v>3459</v>
      </c>
      <c r="H187" t="s">
        <v>3873</v>
      </c>
    </row>
    <row r="188" spans="1:8" hidden="1" x14ac:dyDescent="0.2">
      <c r="A188" s="3" t="s">
        <v>14736</v>
      </c>
      <c r="B188" s="3" t="s">
        <v>14359</v>
      </c>
      <c r="C188" s="3" t="s">
        <v>1450</v>
      </c>
      <c r="D188" s="3" t="s">
        <v>14737</v>
      </c>
      <c r="E188" t="s">
        <v>19296</v>
      </c>
      <c r="F188" t="s">
        <v>1451</v>
      </c>
      <c r="G188" t="s">
        <v>3459</v>
      </c>
      <c r="H188" t="s">
        <v>3873</v>
      </c>
    </row>
    <row r="189" spans="1:8" hidden="1" x14ac:dyDescent="0.2">
      <c r="A189" s="3" t="s">
        <v>14738</v>
      </c>
      <c r="B189" s="3" t="s">
        <v>14359</v>
      </c>
      <c r="C189" s="3" t="s">
        <v>1452</v>
      </c>
      <c r="D189" s="3" t="s">
        <v>14739</v>
      </c>
      <c r="E189" t="s">
        <v>19297</v>
      </c>
      <c r="F189" t="s">
        <v>1453</v>
      </c>
      <c r="G189" t="s">
        <v>3459</v>
      </c>
      <c r="H189" t="s">
        <v>3758</v>
      </c>
    </row>
    <row r="190" spans="1:8" hidden="1" x14ac:dyDescent="0.2">
      <c r="A190" s="3" t="s">
        <v>14740</v>
      </c>
      <c r="B190" s="3" t="s">
        <v>14359</v>
      </c>
      <c r="C190" s="3" t="s">
        <v>1454</v>
      </c>
      <c r="D190" s="3" t="s">
        <v>14741</v>
      </c>
      <c r="E190" t="s">
        <v>19298</v>
      </c>
      <c r="F190" t="s">
        <v>1455</v>
      </c>
      <c r="G190" t="s">
        <v>3459</v>
      </c>
      <c r="H190" t="s">
        <v>3819</v>
      </c>
    </row>
    <row r="191" spans="1:8" hidden="1" x14ac:dyDescent="0.2">
      <c r="A191" s="3" t="s">
        <v>14742</v>
      </c>
      <c r="B191" s="3" t="s">
        <v>14359</v>
      </c>
      <c r="C191" s="3" t="s">
        <v>1456</v>
      </c>
      <c r="D191" s="3" t="s">
        <v>14743</v>
      </c>
      <c r="E191" t="s">
        <v>6826</v>
      </c>
      <c r="F191" t="s">
        <v>1457</v>
      </c>
      <c r="G191" t="s">
        <v>3459</v>
      </c>
      <c r="H191" t="s">
        <v>5441</v>
      </c>
    </row>
    <row r="192" spans="1:8" hidden="1" x14ac:dyDescent="0.2">
      <c r="A192" s="3" t="s">
        <v>14744</v>
      </c>
      <c r="B192" s="3" t="s">
        <v>14359</v>
      </c>
      <c r="C192" s="3" t="s">
        <v>1458</v>
      </c>
      <c r="D192" s="3" t="s">
        <v>14745</v>
      </c>
      <c r="E192" t="s">
        <v>19299</v>
      </c>
      <c r="F192" t="s">
        <v>1459</v>
      </c>
      <c r="G192" t="s">
        <v>3459</v>
      </c>
      <c r="H192" t="s">
        <v>3819</v>
      </c>
    </row>
    <row r="193" spans="1:8" hidden="1" x14ac:dyDescent="0.2">
      <c r="A193" s="3" t="s">
        <v>14746</v>
      </c>
      <c r="B193" s="3" t="s">
        <v>14359</v>
      </c>
      <c r="C193" s="3" t="s">
        <v>1460</v>
      </c>
      <c r="D193" s="3" t="s">
        <v>14747</v>
      </c>
      <c r="E193" t="s">
        <v>6805</v>
      </c>
      <c r="F193" t="s">
        <v>1461</v>
      </c>
      <c r="G193" t="s">
        <v>3863</v>
      </c>
      <c r="H193" t="s">
        <v>5082</v>
      </c>
    </row>
    <row r="194" spans="1:8" hidden="1" x14ac:dyDescent="0.2">
      <c r="A194" s="3" t="s">
        <v>14748</v>
      </c>
      <c r="B194" s="3" t="s">
        <v>14359</v>
      </c>
      <c r="C194" s="3" t="s">
        <v>1462</v>
      </c>
      <c r="D194" s="3" t="s">
        <v>14749</v>
      </c>
      <c r="E194" t="s">
        <v>19300</v>
      </c>
      <c r="F194" t="s">
        <v>1463</v>
      </c>
      <c r="G194" t="s">
        <v>3459</v>
      </c>
      <c r="H194" t="s">
        <v>5134</v>
      </c>
    </row>
    <row r="195" spans="1:8" hidden="1" x14ac:dyDescent="0.2">
      <c r="A195" s="3" t="s">
        <v>14750</v>
      </c>
      <c r="B195" s="3" t="s">
        <v>14359</v>
      </c>
      <c r="C195" s="3" t="s">
        <v>1464</v>
      </c>
      <c r="D195" s="3" t="s">
        <v>14751</v>
      </c>
      <c r="E195" t="s">
        <v>19301</v>
      </c>
      <c r="F195" t="s">
        <v>1465</v>
      </c>
      <c r="G195" t="s">
        <v>3459</v>
      </c>
      <c r="H195" t="s">
        <v>4869</v>
      </c>
    </row>
    <row r="196" spans="1:8" hidden="1" x14ac:dyDescent="0.2">
      <c r="A196" s="3" t="s">
        <v>14752</v>
      </c>
      <c r="B196" s="3" t="s">
        <v>14359</v>
      </c>
      <c r="C196" s="3" t="s">
        <v>1466</v>
      </c>
      <c r="D196" s="3" t="s">
        <v>14753</v>
      </c>
      <c r="E196" t="s">
        <v>19302</v>
      </c>
      <c r="F196" t="s">
        <v>1467</v>
      </c>
      <c r="G196" t="s">
        <v>3436</v>
      </c>
      <c r="H196" t="s">
        <v>3906</v>
      </c>
    </row>
    <row r="197" spans="1:8" hidden="1" x14ac:dyDescent="0.2">
      <c r="A197" s="3" t="s">
        <v>14754</v>
      </c>
      <c r="B197" s="3" t="s">
        <v>14359</v>
      </c>
      <c r="C197" s="3" t="s">
        <v>1468</v>
      </c>
      <c r="D197" s="3" t="s">
        <v>14755</v>
      </c>
      <c r="E197" t="s">
        <v>6869</v>
      </c>
      <c r="F197" t="s">
        <v>1469</v>
      </c>
      <c r="G197" t="s">
        <v>3459</v>
      </c>
      <c r="H197" t="s">
        <v>3460</v>
      </c>
    </row>
    <row r="198" spans="1:8" hidden="1" x14ac:dyDescent="0.2">
      <c r="A198" s="3" t="s">
        <v>14756</v>
      </c>
      <c r="B198" s="3" t="s">
        <v>14359</v>
      </c>
      <c r="C198" s="3" t="s">
        <v>1470</v>
      </c>
      <c r="D198" s="3" t="s">
        <v>14757</v>
      </c>
      <c r="E198" t="s">
        <v>19303</v>
      </c>
      <c r="F198" t="s">
        <v>1471</v>
      </c>
      <c r="G198" t="s">
        <v>3436</v>
      </c>
      <c r="H198" t="s">
        <v>3470</v>
      </c>
    </row>
    <row r="199" spans="1:8" hidden="1" x14ac:dyDescent="0.2">
      <c r="A199" s="3" t="s">
        <v>14758</v>
      </c>
      <c r="B199" s="3" t="s">
        <v>14359</v>
      </c>
      <c r="C199" s="3" t="s">
        <v>1472</v>
      </c>
      <c r="D199" s="3" t="s">
        <v>14759</v>
      </c>
      <c r="E199" t="s">
        <v>19304</v>
      </c>
      <c r="F199" t="s">
        <v>1473</v>
      </c>
      <c r="G199" t="s">
        <v>3977</v>
      </c>
      <c r="H199" t="s">
        <v>4293</v>
      </c>
    </row>
    <row r="200" spans="1:8" hidden="1" x14ac:dyDescent="0.2">
      <c r="A200" s="3" t="s">
        <v>14760</v>
      </c>
      <c r="B200" s="3" t="s">
        <v>14359</v>
      </c>
      <c r="C200" s="3" t="s">
        <v>1474</v>
      </c>
      <c r="D200" s="3" t="s">
        <v>14761</v>
      </c>
      <c r="E200" t="s">
        <v>19305</v>
      </c>
      <c r="F200" t="s">
        <v>1475</v>
      </c>
      <c r="G200" t="s">
        <v>3436</v>
      </c>
      <c r="H200" t="s">
        <v>3470</v>
      </c>
    </row>
    <row r="201" spans="1:8" hidden="1" x14ac:dyDescent="0.2">
      <c r="A201" s="3" t="s">
        <v>14762</v>
      </c>
      <c r="B201" s="3" t="s">
        <v>14359</v>
      </c>
      <c r="C201" s="3" t="s">
        <v>1476</v>
      </c>
      <c r="D201" s="3" t="s">
        <v>14763</v>
      </c>
      <c r="E201" t="s">
        <v>19306</v>
      </c>
      <c r="F201" t="s">
        <v>1477</v>
      </c>
      <c r="G201" t="s">
        <v>3459</v>
      </c>
      <c r="H201" t="s">
        <v>3560</v>
      </c>
    </row>
    <row r="202" spans="1:8" hidden="1" x14ac:dyDescent="0.2">
      <c r="A202" s="3" t="s">
        <v>14764</v>
      </c>
      <c r="B202" s="3" t="s">
        <v>14359</v>
      </c>
      <c r="C202" s="3" t="s">
        <v>1478</v>
      </c>
      <c r="D202" s="3" t="s">
        <v>14765</v>
      </c>
      <c r="E202" t="s">
        <v>19307</v>
      </c>
      <c r="F202" t="s">
        <v>1479</v>
      </c>
      <c r="G202" t="s">
        <v>3459</v>
      </c>
      <c r="H202" t="s">
        <v>5441</v>
      </c>
    </row>
    <row r="203" spans="1:8" hidden="1" x14ac:dyDescent="0.2">
      <c r="A203" s="3" t="s">
        <v>14766</v>
      </c>
      <c r="B203" s="3" t="s">
        <v>14359</v>
      </c>
      <c r="C203" s="3" t="s">
        <v>1480</v>
      </c>
      <c r="D203" s="3" t="s">
        <v>14767</v>
      </c>
      <c r="E203" t="s">
        <v>6955</v>
      </c>
      <c r="F203" t="s">
        <v>1481</v>
      </c>
      <c r="G203" t="s">
        <v>3459</v>
      </c>
      <c r="H203" t="s">
        <v>5441</v>
      </c>
    </row>
    <row r="204" spans="1:8" hidden="1" x14ac:dyDescent="0.2">
      <c r="A204" s="3" t="s">
        <v>14768</v>
      </c>
      <c r="B204" s="3" t="s">
        <v>14359</v>
      </c>
      <c r="C204" s="3" t="s">
        <v>1482</v>
      </c>
      <c r="D204" s="3" t="s">
        <v>14769</v>
      </c>
      <c r="E204" t="s">
        <v>19308</v>
      </c>
      <c r="F204" t="s">
        <v>1483</v>
      </c>
      <c r="G204" t="s">
        <v>3863</v>
      </c>
      <c r="H204" t="s">
        <v>5082</v>
      </c>
    </row>
    <row r="205" spans="1:8" hidden="1" x14ac:dyDescent="0.2">
      <c r="A205" s="3" t="s">
        <v>14770</v>
      </c>
      <c r="B205" s="3" t="s">
        <v>14359</v>
      </c>
      <c r="C205" s="3" t="s">
        <v>1484</v>
      </c>
      <c r="D205" s="3" t="s">
        <v>14771</v>
      </c>
      <c r="E205" t="s">
        <v>6916</v>
      </c>
      <c r="F205" t="s">
        <v>1485</v>
      </c>
      <c r="G205" t="s">
        <v>3863</v>
      </c>
      <c r="H205" t="s">
        <v>5082</v>
      </c>
    </row>
    <row r="206" spans="1:8" hidden="1" x14ac:dyDescent="0.2">
      <c r="A206" s="3" t="s">
        <v>14772</v>
      </c>
      <c r="B206" s="3" t="s">
        <v>14359</v>
      </c>
      <c r="C206" s="3" t="s">
        <v>1486</v>
      </c>
      <c r="D206" s="3" t="s">
        <v>14773</v>
      </c>
      <c r="E206" t="s">
        <v>19309</v>
      </c>
      <c r="F206" t="s">
        <v>1487</v>
      </c>
      <c r="G206" t="s">
        <v>3863</v>
      </c>
      <c r="H206" t="s">
        <v>3864</v>
      </c>
    </row>
    <row r="207" spans="1:8" hidden="1" x14ac:dyDescent="0.2">
      <c r="A207" s="3" t="s">
        <v>14774</v>
      </c>
      <c r="B207" s="3" t="s">
        <v>14359</v>
      </c>
      <c r="C207" s="3" t="s">
        <v>1488</v>
      </c>
      <c r="D207" s="3" t="s">
        <v>14775</v>
      </c>
      <c r="E207" t="s">
        <v>6884</v>
      </c>
      <c r="F207" t="s">
        <v>1489</v>
      </c>
      <c r="G207" t="s">
        <v>3436</v>
      </c>
      <c r="H207" t="s">
        <v>3586</v>
      </c>
    </row>
    <row r="208" spans="1:8" hidden="1" x14ac:dyDescent="0.2">
      <c r="A208" s="3" t="s">
        <v>14776</v>
      </c>
      <c r="B208" s="3" t="s">
        <v>14359</v>
      </c>
      <c r="C208" s="3" t="s">
        <v>1490</v>
      </c>
      <c r="D208" s="3" t="s">
        <v>14777</v>
      </c>
      <c r="E208" t="s">
        <v>19310</v>
      </c>
      <c r="F208" t="s">
        <v>1491</v>
      </c>
      <c r="G208" t="s">
        <v>3863</v>
      </c>
      <c r="H208" t="s">
        <v>3864</v>
      </c>
    </row>
    <row r="209" spans="1:8" hidden="1" x14ac:dyDescent="0.2">
      <c r="A209" s="3" t="s">
        <v>14778</v>
      </c>
      <c r="B209" s="3" t="s">
        <v>14359</v>
      </c>
      <c r="C209" s="3" t="s">
        <v>1492</v>
      </c>
      <c r="D209" s="3" t="s">
        <v>14779</v>
      </c>
      <c r="E209" t="s">
        <v>7040</v>
      </c>
      <c r="F209" t="s">
        <v>1493</v>
      </c>
      <c r="G209" t="s">
        <v>3436</v>
      </c>
      <c r="H209" t="s">
        <v>3882</v>
      </c>
    </row>
    <row r="210" spans="1:8" hidden="1" x14ac:dyDescent="0.2">
      <c r="A210" s="3" t="s">
        <v>14780</v>
      </c>
      <c r="B210" s="3" t="s">
        <v>14359</v>
      </c>
      <c r="C210" s="3" t="s">
        <v>1494</v>
      </c>
      <c r="D210" s="3" t="s">
        <v>14781</v>
      </c>
      <c r="E210" t="s">
        <v>6940</v>
      </c>
      <c r="F210" t="s">
        <v>1495</v>
      </c>
      <c r="G210" t="s">
        <v>3459</v>
      </c>
      <c r="H210" t="s">
        <v>3873</v>
      </c>
    </row>
    <row r="211" spans="1:8" hidden="1" x14ac:dyDescent="0.2">
      <c r="A211" s="3" t="s">
        <v>14782</v>
      </c>
      <c r="B211" s="3" t="s">
        <v>14359</v>
      </c>
      <c r="C211" s="3" t="s">
        <v>1496</v>
      </c>
      <c r="D211" s="3" t="s">
        <v>14783</v>
      </c>
      <c r="E211" t="s">
        <v>6924</v>
      </c>
      <c r="F211" t="s">
        <v>1497</v>
      </c>
      <c r="G211" t="s">
        <v>3863</v>
      </c>
      <c r="H211" t="s">
        <v>5082</v>
      </c>
    </row>
    <row r="212" spans="1:8" hidden="1" x14ac:dyDescent="0.2">
      <c r="A212" s="3" t="s">
        <v>14784</v>
      </c>
      <c r="B212" s="3" t="s">
        <v>14359</v>
      </c>
      <c r="C212" s="3" t="s">
        <v>1498</v>
      </c>
      <c r="D212" s="3" t="s">
        <v>14785</v>
      </c>
      <c r="E212" t="s">
        <v>7047</v>
      </c>
      <c r="F212" t="s">
        <v>1499</v>
      </c>
      <c r="G212" t="s">
        <v>3459</v>
      </c>
      <c r="H212" t="s">
        <v>5006</v>
      </c>
    </row>
    <row r="213" spans="1:8" hidden="1" x14ac:dyDescent="0.2">
      <c r="A213" s="3" t="s">
        <v>14786</v>
      </c>
      <c r="B213" s="3" t="s">
        <v>14359</v>
      </c>
      <c r="C213" s="3" t="s">
        <v>1500</v>
      </c>
      <c r="D213" s="3" t="s">
        <v>14787</v>
      </c>
      <c r="E213" t="s">
        <v>19311</v>
      </c>
      <c r="F213" t="s">
        <v>1501</v>
      </c>
      <c r="G213" t="s">
        <v>3436</v>
      </c>
      <c r="H213" t="s">
        <v>3661</v>
      </c>
    </row>
    <row r="214" spans="1:8" hidden="1" x14ac:dyDescent="0.2">
      <c r="A214" s="3" t="s">
        <v>14788</v>
      </c>
      <c r="B214" s="3" t="s">
        <v>14359</v>
      </c>
      <c r="C214" s="3" t="s">
        <v>1502</v>
      </c>
      <c r="D214" s="3" t="s">
        <v>14789</v>
      </c>
      <c r="E214" t="s">
        <v>19312</v>
      </c>
      <c r="F214" t="s">
        <v>1503</v>
      </c>
      <c r="G214" t="s">
        <v>3459</v>
      </c>
      <c r="H214" t="s">
        <v>6878</v>
      </c>
    </row>
    <row r="215" spans="1:8" hidden="1" x14ac:dyDescent="0.2">
      <c r="A215" s="3" t="s">
        <v>14790</v>
      </c>
      <c r="B215" s="3" t="s">
        <v>14359</v>
      </c>
      <c r="C215" s="3" t="s">
        <v>1504</v>
      </c>
      <c r="D215" s="3" t="s">
        <v>14791</v>
      </c>
      <c r="E215" t="s">
        <v>19313</v>
      </c>
      <c r="F215" t="s">
        <v>1505</v>
      </c>
      <c r="G215" t="s">
        <v>3853</v>
      </c>
      <c r="H215" t="s">
        <v>3854</v>
      </c>
    </row>
    <row r="216" spans="1:8" hidden="1" x14ac:dyDescent="0.2">
      <c r="A216" s="3" t="s">
        <v>14792</v>
      </c>
      <c r="B216" s="3" t="s">
        <v>14359</v>
      </c>
      <c r="C216" s="3" t="s">
        <v>1506</v>
      </c>
      <c r="D216" s="3" t="s">
        <v>14793</v>
      </c>
      <c r="E216" t="s">
        <v>7128</v>
      </c>
      <c r="F216" t="s">
        <v>1507</v>
      </c>
      <c r="G216" t="s">
        <v>3459</v>
      </c>
      <c r="H216" t="s">
        <v>5559</v>
      </c>
    </row>
    <row r="217" spans="1:8" hidden="1" x14ac:dyDescent="0.2">
      <c r="A217" s="3" t="s">
        <v>14794</v>
      </c>
      <c r="B217" s="3" t="s">
        <v>14359</v>
      </c>
      <c r="C217" s="3" t="s">
        <v>1508</v>
      </c>
      <c r="D217" s="3" t="s">
        <v>14795</v>
      </c>
      <c r="E217" t="s">
        <v>7113</v>
      </c>
      <c r="F217" t="s">
        <v>1509</v>
      </c>
      <c r="G217" t="s">
        <v>3436</v>
      </c>
      <c r="H217" t="s">
        <v>3661</v>
      </c>
    </row>
    <row r="218" spans="1:8" hidden="1" x14ac:dyDescent="0.2">
      <c r="A218" s="3" t="s">
        <v>14796</v>
      </c>
      <c r="B218" s="3" t="s">
        <v>14359</v>
      </c>
      <c r="C218" s="3" t="s">
        <v>1510</v>
      </c>
      <c r="D218" s="3" t="s">
        <v>14797</v>
      </c>
      <c r="E218" t="s">
        <v>19314</v>
      </c>
      <c r="F218" t="s">
        <v>1511</v>
      </c>
      <c r="G218" t="s">
        <v>3448</v>
      </c>
      <c r="H218" t="s">
        <v>4124</v>
      </c>
    </row>
    <row r="219" spans="1:8" hidden="1" x14ac:dyDescent="0.2">
      <c r="A219" s="3" t="s">
        <v>14798</v>
      </c>
      <c r="B219" s="3" t="s">
        <v>14359</v>
      </c>
      <c r="C219" s="3" t="s">
        <v>1512</v>
      </c>
      <c r="D219" s="3" t="s">
        <v>14799</v>
      </c>
      <c r="E219" t="s">
        <v>7136</v>
      </c>
      <c r="F219" t="s">
        <v>1513</v>
      </c>
      <c r="G219" t="s">
        <v>3459</v>
      </c>
      <c r="H219" t="s">
        <v>7133</v>
      </c>
    </row>
    <row r="220" spans="1:8" hidden="1" x14ac:dyDescent="0.2">
      <c r="A220" s="3" t="s">
        <v>14800</v>
      </c>
      <c r="B220" s="3" t="s">
        <v>14359</v>
      </c>
      <c r="C220" s="3" t="s">
        <v>1514</v>
      </c>
      <c r="D220" s="3" t="s">
        <v>14801</v>
      </c>
      <c r="E220" t="s">
        <v>19315</v>
      </c>
      <c r="F220" t="s">
        <v>1515</v>
      </c>
      <c r="G220" t="s">
        <v>3459</v>
      </c>
      <c r="H220" t="s">
        <v>3819</v>
      </c>
    </row>
    <row r="221" spans="1:8" hidden="1" x14ac:dyDescent="0.2">
      <c r="A221" s="3" t="s">
        <v>14802</v>
      </c>
      <c r="B221" s="3" t="s">
        <v>14359</v>
      </c>
      <c r="C221" s="3" t="s">
        <v>1516</v>
      </c>
      <c r="D221" s="3" t="s">
        <v>14803</v>
      </c>
      <c r="E221" t="s">
        <v>19316</v>
      </c>
      <c r="F221" t="s">
        <v>1517</v>
      </c>
      <c r="G221" t="s">
        <v>3459</v>
      </c>
      <c r="H221" t="s">
        <v>7151</v>
      </c>
    </row>
    <row r="222" spans="1:8" hidden="1" x14ac:dyDescent="0.2">
      <c r="A222" s="3" t="s">
        <v>14804</v>
      </c>
      <c r="B222" s="3" t="s">
        <v>14359</v>
      </c>
      <c r="C222" s="3" t="s">
        <v>1518</v>
      </c>
      <c r="D222" s="3" t="s">
        <v>14805</v>
      </c>
      <c r="E222" t="s">
        <v>19317</v>
      </c>
      <c r="F222" t="s">
        <v>1519</v>
      </c>
      <c r="G222" t="s">
        <v>3459</v>
      </c>
      <c r="H222" t="s">
        <v>3819</v>
      </c>
    </row>
    <row r="223" spans="1:8" hidden="1" x14ac:dyDescent="0.2">
      <c r="A223" s="3" t="s">
        <v>14806</v>
      </c>
      <c r="B223" s="3" t="s">
        <v>14359</v>
      </c>
      <c r="C223" s="3" t="s">
        <v>1520</v>
      </c>
      <c r="D223" s="3" t="s">
        <v>14807</v>
      </c>
      <c r="E223" t="s">
        <v>19318</v>
      </c>
      <c r="F223" t="s">
        <v>1521</v>
      </c>
      <c r="G223" t="s">
        <v>3459</v>
      </c>
      <c r="H223" t="s">
        <v>5559</v>
      </c>
    </row>
    <row r="224" spans="1:8" hidden="1" x14ac:dyDescent="0.2">
      <c r="A224" s="3" t="s">
        <v>14808</v>
      </c>
      <c r="B224" s="3" t="s">
        <v>14359</v>
      </c>
      <c r="C224" s="3" t="s">
        <v>1522</v>
      </c>
      <c r="D224" s="3" t="s">
        <v>14809</v>
      </c>
      <c r="E224" t="s">
        <v>19319</v>
      </c>
      <c r="F224" t="s">
        <v>13864</v>
      </c>
      <c r="G224" t="s">
        <v>3459</v>
      </c>
      <c r="H224" t="s">
        <v>3937</v>
      </c>
    </row>
    <row r="225" spans="1:8" hidden="1" x14ac:dyDescent="0.2">
      <c r="A225" s="3" t="s">
        <v>14810</v>
      </c>
      <c r="B225" s="3" t="s">
        <v>14359</v>
      </c>
      <c r="C225" s="3" t="s">
        <v>1523</v>
      </c>
      <c r="D225" s="3" t="s">
        <v>14811</v>
      </c>
      <c r="E225" t="s">
        <v>7070</v>
      </c>
      <c r="F225" t="s">
        <v>1524</v>
      </c>
      <c r="G225" t="s">
        <v>3459</v>
      </c>
      <c r="H225" t="s">
        <v>5006</v>
      </c>
    </row>
    <row r="226" spans="1:8" hidden="1" x14ac:dyDescent="0.2">
      <c r="A226" s="3" t="s">
        <v>14812</v>
      </c>
      <c r="B226" s="3" t="s">
        <v>14359</v>
      </c>
      <c r="C226" s="3" t="s">
        <v>1525</v>
      </c>
      <c r="D226" s="3" t="s">
        <v>14813</v>
      </c>
      <c r="E226" t="s">
        <v>19320</v>
      </c>
      <c r="F226" t="s">
        <v>1526</v>
      </c>
      <c r="G226" t="s">
        <v>3459</v>
      </c>
      <c r="H226" t="s">
        <v>3836</v>
      </c>
    </row>
    <row r="227" spans="1:8" hidden="1" x14ac:dyDescent="0.2">
      <c r="A227" s="3" t="s">
        <v>14814</v>
      </c>
      <c r="B227" s="3" t="s">
        <v>14359</v>
      </c>
      <c r="C227" s="3" t="s">
        <v>1527</v>
      </c>
      <c r="D227" s="3" t="s">
        <v>14815</v>
      </c>
      <c r="E227" t="s">
        <v>19321</v>
      </c>
      <c r="F227" t="s">
        <v>1528</v>
      </c>
      <c r="G227" t="s">
        <v>3459</v>
      </c>
      <c r="H227" t="s">
        <v>7081</v>
      </c>
    </row>
    <row r="228" spans="1:8" hidden="1" x14ac:dyDescent="0.2">
      <c r="A228" s="3" t="s">
        <v>14816</v>
      </c>
      <c r="B228" s="3" t="s">
        <v>14359</v>
      </c>
      <c r="C228" s="3" t="s">
        <v>1529</v>
      </c>
      <c r="D228" s="3" t="s">
        <v>14817</v>
      </c>
      <c r="E228" t="s">
        <v>7059</v>
      </c>
      <c r="F228" t="s">
        <v>1530</v>
      </c>
      <c r="G228" t="s">
        <v>3863</v>
      </c>
      <c r="H228" t="s">
        <v>3864</v>
      </c>
    </row>
    <row r="229" spans="1:8" hidden="1" x14ac:dyDescent="0.2">
      <c r="A229" s="3" t="s">
        <v>14818</v>
      </c>
      <c r="B229" s="3" t="s">
        <v>14359</v>
      </c>
      <c r="C229" s="3" t="s">
        <v>1531</v>
      </c>
      <c r="D229" s="3" t="s">
        <v>14819</v>
      </c>
      <c r="E229" t="s">
        <v>19322</v>
      </c>
      <c r="F229" t="s">
        <v>13866</v>
      </c>
      <c r="G229" t="s">
        <v>3479</v>
      </c>
      <c r="H229" t="s">
        <v>3480</v>
      </c>
    </row>
    <row r="230" spans="1:8" hidden="1" x14ac:dyDescent="0.2">
      <c r="A230" s="3" t="s">
        <v>14820</v>
      </c>
      <c r="B230" s="3" t="s">
        <v>14359</v>
      </c>
      <c r="C230" s="3" t="s">
        <v>1532</v>
      </c>
      <c r="D230" s="3" t="s">
        <v>14821</v>
      </c>
      <c r="E230" t="s">
        <v>7160</v>
      </c>
      <c r="F230" t="s">
        <v>1533</v>
      </c>
      <c r="G230" t="s">
        <v>3459</v>
      </c>
      <c r="H230" t="s">
        <v>7151</v>
      </c>
    </row>
    <row r="231" spans="1:8" hidden="1" x14ac:dyDescent="0.2">
      <c r="A231" s="3" t="s">
        <v>14822</v>
      </c>
      <c r="B231" s="3" t="s">
        <v>14359</v>
      </c>
      <c r="C231" s="3" t="s">
        <v>1534</v>
      </c>
      <c r="D231" s="3" t="s">
        <v>14823</v>
      </c>
      <c r="E231" t="s">
        <v>7166</v>
      </c>
      <c r="F231" t="s">
        <v>1535</v>
      </c>
      <c r="G231" t="s">
        <v>3459</v>
      </c>
      <c r="H231" t="s">
        <v>5559</v>
      </c>
    </row>
    <row r="232" spans="1:8" hidden="1" x14ac:dyDescent="0.2">
      <c r="A232" s="3" t="s">
        <v>14824</v>
      </c>
      <c r="B232" s="3" t="s">
        <v>14359</v>
      </c>
      <c r="C232" s="3" t="s">
        <v>1536</v>
      </c>
      <c r="D232" s="3" t="s">
        <v>14825</v>
      </c>
      <c r="E232" t="s">
        <v>19323</v>
      </c>
      <c r="F232" t="s">
        <v>1537</v>
      </c>
      <c r="G232" t="s">
        <v>3459</v>
      </c>
      <c r="H232" t="s">
        <v>5559</v>
      </c>
    </row>
    <row r="233" spans="1:8" hidden="1" x14ac:dyDescent="0.2">
      <c r="A233" s="3" t="s">
        <v>14826</v>
      </c>
      <c r="B233" s="3" t="s">
        <v>14359</v>
      </c>
      <c r="C233" s="3" t="s">
        <v>1538</v>
      </c>
      <c r="D233" s="3" t="s">
        <v>14827</v>
      </c>
      <c r="E233" t="s">
        <v>7192</v>
      </c>
      <c r="F233" t="s">
        <v>1539</v>
      </c>
      <c r="G233" t="s">
        <v>3459</v>
      </c>
      <c r="H233" t="s">
        <v>5559</v>
      </c>
    </row>
    <row r="234" spans="1:8" hidden="1" x14ac:dyDescent="0.2">
      <c r="A234" s="3" t="s">
        <v>14828</v>
      </c>
      <c r="B234" s="3" t="s">
        <v>14359</v>
      </c>
      <c r="C234" s="3" t="s">
        <v>1540</v>
      </c>
      <c r="D234" s="3" t="s">
        <v>14829</v>
      </c>
      <c r="E234" t="s">
        <v>7170</v>
      </c>
      <c r="F234" t="s">
        <v>1541</v>
      </c>
      <c r="G234" t="s">
        <v>3459</v>
      </c>
      <c r="H234" t="s">
        <v>7133</v>
      </c>
    </row>
    <row r="235" spans="1:8" hidden="1" x14ac:dyDescent="0.2">
      <c r="A235" s="3" t="s">
        <v>14830</v>
      </c>
      <c r="B235" s="3" t="s">
        <v>14359</v>
      </c>
      <c r="C235" s="3" t="s">
        <v>1542</v>
      </c>
      <c r="D235" s="3" t="s">
        <v>14831</v>
      </c>
      <c r="E235" t="s">
        <v>7174</v>
      </c>
      <c r="F235" t="s">
        <v>1543</v>
      </c>
      <c r="G235" t="s">
        <v>3459</v>
      </c>
      <c r="H235" t="s">
        <v>7133</v>
      </c>
    </row>
    <row r="236" spans="1:8" hidden="1" x14ac:dyDescent="0.2">
      <c r="A236" s="3" t="s">
        <v>14832</v>
      </c>
      <c r="B236" s="3" t="s">
        <v>14359</v>
      </c>
      <c r="C236" s="3" t="s">
        <v>1544</v>
      </c>
      <c r="D236" s="3" t="s">
        <v>14833</v>
      </c>
      <c r="E236" t="s">
        <v>7195</v>
      </c>
      <c r="F236" t="s">
        <v>1545</v>
      </c>
      <c r="G236" t="s">
        <v>3459</v>
      </c>
      <c r="H236" t="s">
        <v>5559</v>
      </c>
    </row>
    <row r="237" spans="1:8" hidden="1" x14ac:dyDescent="0.2">
      <c r="A237" s="3" t="s">
        <v>14834</v>
      </c>
      <c r="B237" s="3" t="s">
        <v>14359</v>
      </c>
      <c r="C237" s="3" t="s">
        <v>1546</v>
      </c>
      <c r="D237" s="3" t="s">
        <v>14835</v>
      </c>
      <c r="E237" t="s">
        <v>19324</v>
      </c>
      <c r="F237" t="s">
        <v>1547</v>
      </c>
      <c r="G237" t="s">
        <v>3459</v>
      </c>
      <c r="H237" t="s">
        <v>5559</v>
      </c>
    </row>
    <row r="238" spans="1:8" hidden="1" x14ac:dyDescent="0.2">
      <c r="A238" s="3" t="s">
        <v>14836</v>
      </c>
      <c r="B238" s="3" t="s">
        <v>14359</v>
      </c>
      <c r="C238" s="3" t="s">
        <v>1548</v>
      </c>
      <c r="D238" s="3" t="s">
        <v>14799</v>
      </c>
      <c r="E238" t="s">
        <v>7177</v>
      </c>
      <c r="F238" t="s">
        <v>1549</v>
      </c>
      <c r="G238" t="s">
        <v>3459</v>
      </c>
      <c r="H238" t="s">
        <v>7133</v>
      </c>
    </row>
    <row r="239" spans="1:8" hidden="1" x14ac:dyDescent="0.2">
      <c r="A239" s="3" t="s">
        <v>14837</v>
      </c>
      <c r="B239" s="3" t="s">
        <v>14359</v>
      </c>
      <c r="C239" s="3" t="s">
        <v>1550</v>
      </c>
      <c r="D239" s="3" t="s">
        <v>14838</v>
      </c>
      <c r="E239" t="s">
        <v>7188</v>
      </c>
      <c r="F239" t="s">
        <v>1551</v>
      </c>
      <c r="G239" t="s">
        <v>3459</v>
      </c>
      <c r="H239" t="s">
        <v>5559</v>
      </c>
    </row>
    <row r="240" spans="1:8" hidden="1" x14ac:dyDescent="0.2">
      <c r="A240" s="3" t="s">
        <v>14839</v>
      </c>
      <c r="B240" s="3" t="s">
        <v>14359</v>
      </c>
      <c r="C240" s="3" t="s">
        <v>1552</v>
      </c>
      <c r="D240" s="3" t="s">
        <v>14840</v>
      </c>
      <c r="E240" t="s">
        <v>7183</v>
      </c>
      <c r="F240" t="s">
        <v>1553</v>
      </c>
      <c r="G240" t="s">
        <v>3459</v>
      </c>
      <c r="H240" t="s">
        <v>5559</v>
      </c>
    </row>
    <row r="241" spans="1:8" hidden="1" x14ac:dyDescent="0.2">
      <c r="A241" s="3" t="s">
        <v>14841</v>
      </c>
      <c r="B241" s="3" t="s">
        <v>14359</v>
      </c>
      <c r="C241" s="3" t="s">
        <v>1554</v>
      </c>
      <c r="D241" s="3" t="s">
        <v>14842</v>
      </c>
      <c r="E241" t="s">
        <v>19325</v>
      </c>
      <c r="F241" t="s">
        <v>1555</v>
      </c>
      <c r="G241" t="s">
        <v>3459</v>
      </c>
      <c r="H241" t="s">
        <v>5559</v>
      </c>
    </row>
    <row r="242" spans="1:8" hidden="1" x14ac:dyDescent="0.2">
      <c r="A242" s="3" t="s">
        <v>14843</v>
      </c>
      <c r="B242" s="3" t="s">
        <v>14359</v>
      </c>
      <c r="C242" s="3" t="s">
        <v>1556</v>
      </c>
      <c r="D242" s="3" t="s">
        <v>14844</v>
      </c>
      <c r="E242" t="s">
        <v>19326</v>
      </c>
      <c r="F242" t="s">
        <v>1557</v>
      </c>
      <c r="G242" t="s">
        <v>3459</v>
      </c>
      <c r="H242" t="s">
        <v>7151</v>
      </c>
    </row>
    <row r="243" spans="1:8" hidden="1" x14ac:dyDescent="0.2">
      <c r="A243" s="3" t="s">
        <v>14845</v>
      </c>
      <c r="B243" s="3" t="s">
        <v>14359</v>
      </c>
      <c r="C243" s="3" t="s">
        <v>1558</v>
      </c>
      <c r="D243" s="3" t="s">
        <v>14846</v>
      </c>
      <c r="E243" t="s">
        <v>7219</v>
      </c>
      <c r="F243" t="s">
        <v>1559</v>
      </c>
      <c r="G243" t="s">
        <v>3863</v>
      </c>
      <c r="H243" t="s">
        <v>7216</v>
      </c>
    </row>
    <row r="244" spans="1:8" hidden="1" x14ac:dyDescent="0.2">
      <c r="A244" s="3" t="s">
        <v>14847</v>
      </c>
      <c r="B244" s="3" t="s">
        <v>14359</v>
      </c>
      <c r="C244" s="3" t="s">
        <v>1560</v>
      </c>
      <c r="D244" s="3" t="s">
        <v>14848</v>
      </c>
      <c r="E244" t="s">
        <v>11521</v>
      </c>
      <c r="F244" t="s">
        <v>1561</v>
      </c>
      <c r="G244" t="s">
        <v>3459</v>
      </c>
      <c r="H244" t="s">
        <v>5559</v>
      </c>
    </row>
    <row r="245" spans="1:8" hidden="1" x14ac:dyDescent="0.2">
      <c r="A245" s="3" t="s">
        <v>14849</v>
      </c>
      <c r="B245" s="3" t="s">
        <v>14359</v>
      </c>
      <c r="C245" s="3" t="s">
        <v>1562</v>
      </c>
      <c r="D245" s="3" t="s">
        <v>14850</v>
      </c>
      <c r="E245" t="s">
        <v>19327</v>
      </c>
      <c r="F245" t="s">
        <v>1563</v>
      </c>
      <c r="G245" t="s">
        <v>3448</v>
      </c>
      <c r="H245" t="s">
        <v>4679</v>
      </c>
    </row>
    <row r="246" spans="1:8" hidden="1" x14ac:dyDescent="0.2">
      <c r="A246" s="3" t="s">
        <v>14851</v>
      </c>
      <c r="B246" s="3" t="s">
        <v>14359</v>
      </c>
      <c r="C246" s="3" t="s">
        <v>1564</v>
      </c>
      <c r="D246" s="3" t="s">
        <v>14852</v>
      </c>
      <c r="E246" t="s">
        <v>7234</v>
      </c>
      <c r="F246" t="s">
        <v>1565</v>
      </c>
      <c r="G246" t="s">
        <v>3459</v>
      </c>
      <c r="H246" t="s">
        <v>3873</v>
      </c>
    </row>
    <row r="247" spans="1:8" hidden="1" x14ac:dyDescent="0.2">
      <c r="A247" s="3" t="s">
        <v>14853</v>
      </c>
      <c r="B247" s="3" t="s">
        <v>14359</v>
      </c>
      <c r="C247" s="3" t="s">
        <v>1566</v>
      </c>
      <c r="D247" s="3" t="s">
        <v>14854</v>
      </c>
      <c r="E247" t="s">
        <v>7249</v>
      </c>
      <c r="F247" t="s">
        <v>1567</v>
      </c>
      <c r="G247" t="s">
        <v>3533</v>
      </c>
      <c r="H247" t="s">
        <v>3705</v>
      </c>
    </row>
    <row r="248" spans="1:8" hidden="1" x14ac:dyDescent="0.2">
      <c r="A248" s="3" t="s">
        <v>14855</v>
      </c>
      <c r="B248" s="3" t="s">
        <v>14359</v>
      </c>
      <c r="C248" s="3" t="s">
        <v>1568</v>
      </c>
      <c r="D248" s="3" t="s">
        <v>14856</v>
      </c>
      <c r="E248" t="s">
        <v>19328</v>
      </c>
      <c r="F248" t="s">
        <v>13875</v>
      </c>
      <c r="G248" t="s">
        <v>3459</v>
      </c>
      <c r="H248" t="s">
        <v>3873</v>
      </c>
    </row>
    <row r="249" spans="1:8" hidden="1" x14ac:dyDescent="0.2">
      <c r="A249" s="3" t="s">
        <v>14857</v>
      </c>
      <c r="B249" s="3" t="s">
        <v>14359</v>
      </c>
      <c r="C249" s="3" t="s">
        <v>1570</v>
      </c>
      <c r="D249" s="3" t="s">
        <v>14858</v>
      </c>
      <c r="E249" t="s">
        <v>19329</v>
      </c>
      <c r="F249" t="s">
        <v>1571</v>
      </c>
      <c r="G249" t="s">
        <v>3436</v>
      </c>
      <c r="H249" t="s">
        <v>3906</v>
      </c>
    </row>
    <row r="250" spans="1:8" hidden="1" x14ac:dyDescent="0.2">
      <c r="A250" s="3" t="s">
        <v>14859</v>
      </c>
      <c r="B250" s="3" t="s">
        <v>14359</v>
      </c>
      <c r="C250" s="3" t="s">
        <v>1572</v>
      </c>
      <c r="D250" s="3" t="s">
        <v>14860</v>
      </c>
      <c r="E250" t="s">
        <v>7284</v>
      </c>
      <c r="F250" t="s">
        <v>1573</v>
      </c>
      <c r="G250" t="s">
        <v>3863</v>
      </c>
      <c r="H250" t="s">
        <v>5082</v>
      </c>
    </row>
    <row r="251" spans="1:8" hidden="1" x14ac:dyDescent="0.2">
      <c r="A251" s="3" t="s">
        <v>14861</v>
      </c>
      <c r="B251" s="3" t="s">
        <v>14359</v>
      </c>
      <c r="C251" s="3" t="s">
        <v>1574</v>
      </c>
      <c r="D251" s="3" t="s">
        <v>14862</v>
      </c>
      <c r="E251" t="s">
        <v>7372</v>
      </c>
      <c r="F251" t="s">
        <v>1575</v>
      </c>
      <c r="G251" t="s">
        <v>3459</v>
      </c>
      <c r="H251" t="s">
        <v>3749</v>
      </c>
    </row>
    <row r="252" spans="1:8" hidden="1" x14ac:dyDescent="0.2">
      <c r="A252" s="3" t="s">
        <v>14863</v>
      </c>
      <c r="B252" s="3" t="s">
        <v>14359</v>
      </c>
      <c r="C252" s="3" t="s">
        <v>1576</v>
      </c>
      <c r="D252" s="3" t="s">
        <v>14864</v>
      </c>
      <c r="E252" t="s">
        <v>19330</v>
      </c>
      <c r="F252" t="s">
        <v>1577</v>
      </c>
      <c r="G252" t="s">
        <v>3459</v>
      </c>
      <c r="H252" t="s">
        <v>5559</v>
      </c>
    </row>
    <row r="253" spans="1:8" hidden="1" x14ac:dyDescent="0.2">
      <c r="A253" s="3" t="s">
        <v>14865</v>
      </c>
      <c r="B253" s="3" t="s">
        <v>14359</v>
      </c>
      <c r="C253" s="3" t="s">
        <v>1578</v>
      </c>
      <c r="D253" s="3" t="s">
        <v>14866</v>
      </c>
      <c r="E253" t="s">
        <v>19331</v>
      </c>
      <c r="F253" t="s">
        <v>1579</v>
      </c>
      <c r="G253" t="s">
        <v>3459</v>
      </c>
      <c r="H253" t="s">
        <v>5559</v>
      </c>
    </row>
    <row r="254" spans="1:8" hidden="1" x14ac:dyDescent="0.2">
      <c r="A254" s="3" t="s">
        <v>14867</v>
      </c>
      <c r="B254" s="3" t="s">
        <v>14359</v>
      </c>
      <c r="C254" s="3" t="s">
        <v>1580</v>
      </c>
      <c r="D254" s="3" t="s">
        <v>14868</v>
      </c>
      <c r="E254" t="s">
        <v>19332</v>
      </c>
      <c r="F254" t="s">
        <v>1581</v>
      </c>
      <c r="G254" t="s">
        <v>3459</v>
      </c>
      <c r="H254" t="s">
        <v>7151</v>
      </c>
    </row>
    <row r="255" spans="1:8" hidden="1" x14ac:dyDescent="0.2">
      <c r="A255" s="3" t="s">
        <v>14869</v>
      </c>
      <c r="B255" s="3" t="s">
        <v>14359</v>
      </c>
      <c r="C255" s="3" t="s">
        <v>1582</v>
      </c>
      <c r="D255" s="3" t="s">
        <v>14870</v>
      </c>
      <c r="E255" t="s">
        <v>7334</v>
      </c>
      <c r="F255" t="s">
        <v>13874</v>
      </c>
      <c r="G255" t="s">
        <v>3436</v>
      </c>
      <c r="H255" t="s">
        <v>3603</v>
      </c>
    </row>
    <row r="256" spans="1:8" hidden="1" x14ac:dyDescent="0.2">
      <c r="A256" s="3" t="s">
        <v>14871</v>
      </c>
      <c r="B256" s="3" t="s">
        <v>14359</v>
      </c>
      <c r="C256" s="3" t="s">
        <v>1583</v>
      </c>
      <c r="D256" s="3" t="s">
        <v>14872</v>
      </c>
      <c r="E256" t="s">
        <v>7349</v>
      </c>
      <c r="F256" t="s">
        <v>1584</v>
      </c>
      <c r="G256" t="s">
        <v>3459</v>
      </c>
      <c r="H256" t="s">
        <v>4869</v>
      </c>
    </row>
    <row r="257" spans="1:8" hidden="1" x14ac:dyDescent="0.2">
      <c r="A257" s="3" t="s">
        <v>14873</v>
      </c>
      <c r="B257" s="3" t="s">
        <v>14359</v>
      </c>
      <c r="C257" s="3" t="s">
        <v>1585</v>
      </c>
      <c r="D257" s="3" t="s">
        <v>14874</v>
      </c>
      <c r="E257" t="s">
        <v>19333</v>
      </c>
      <c r="F257" t="s">
        <v>1586</v>
      </c>
      <c r="G257" t="s">
        <v>3459</v>
      </c>
      <c r="H257" t="s">
        <v>814</v>
      </c>
    </row>
    <row r="258" spans="1:8" hidden="1" x14ac:dyDescent="0.2">
      <c r="A258" s="3" t="s">
        <v>14875</v>
      </c>
      <c r="B258" s="3" t="s">
        <v>14359</v>
      </c>
      <c r="C258" s="3" t="s">
        <v>1587</v>
      </c>
      <c r="D258" s="3" t="s">
        <v>14876</v>
      </c>
      <c r="E258" t="s">
        <v>19334</v>
      </c>
      <c r="F258" t="s">
        <v>1588</v>
      </c>
      <c r="G258" t="s">
        <v>3436</v>
      </c>
      <c r="H258" t="s">
        <v>3470</v>
      </c>
    </row>
    <row r="259" spans="1:8" hidden="1" x14ac:dyDescent="0.2">
      <c r="A259" s="3" t="s">
        <v>14877</v>
      </c>
      <c r="B259" s="3" t="s">
        <v>14359</v>
      </c>
      <c r="C259" s="3" t="s">
        <v>1589</v>
      </c>
      <c r="D259" s="3" t="s">
        <v>14878</v>
      </c>
      <c r="E259" t="s">
        <v>19335</v>
      </c>
      <c r="F259" t="s">
        <v>1590</v>
      </c>
      <c r="G259" t="s">
        <v>3459</v>
      </c>
      <c r="H259" t="s">
        <v>814</v>
      </c>
    </row>
    <row r="260" spans="1:8" hidden="1" x14ac:dyDescent="0.2">
      <c r="A260" s="3" t="s">
        <v>14879</v>
      </c>
      <c r="B260" s="3" t="s">
        <v>14359</v>
      </c>
      <c r="C260" s="3" t="s">
        <v>1591</v>
      </c>
      <c r="D260" s="3" t="s">
        <v>14880</v>
      </c>
      <c r="E260" t="s">
        <v>19336</v>
      </c>
      <c r="F260" t="s">
        <v>1592</v>
      </c>
      <c r="G260" t="s">
        <v>3863</v>
      </c>
      <c r="H260" t="s">
        <v>3864</v>
      </c>
    </row>
    <row r="261" spans="1:8" hidden="1" x14ac:dyDescent="0.2">
      <c r="A261" s="3" t="s">
        <v>14881</v>
      </c>
      <c r="B261" s="3" t="s">
        <v>14359</v>
      </c>
      <c r="C261" s="3" t="s">
        <v>1593</v>
      </c>
      <c r="D261" s="3" t="s">
        <v>14882</v>
      </c>
      <c r="E261" t="s">
        <v>19337</v>
      </c>
      <c r="F261" t="s">
        <v>1594</v>
      </c>
      <c r="G261" t="s">
        <v>3459</v>
      </c>
      <c r="H261" t="s">
        <v>6535</v>
      </c>
    </row>
    <row r="262" spans="1:8" hidden="1" x14ac:dyDescent="0.2">
      <c r="A262" s="3" t="s">
        <v>14883</v>
      </c>
      <c r="B262" s="3" t="s">
        <v>14359</v>
      </c>
      <c r="C262" s="3" t="s">
        <v>1595</v>
      </c>
      <c r="D262" s="3" t="s">
        <v>14884</v>
      </c>
      <c r="E262" t="s">
        <v>11655</v>
      </c>
      <c r="F262" t="s">
        <v>1596</v>
      </c>
      <c r="G262" t="s">
        <v>3436</v>
      </c>
      <c r="H262" t="s">
        <v>3586</v>
      </c>
    </row>
    <row r="263" spans="1:8" hidden="1" x14ac:dyDescent="0.2">
      <c r="A263" s="3" t="s">
        <v>14885</v>
      </c>
      <c r="B263" s="3" t="s">
        <v>14359</v>
      </c>
      <c r="C263" s="3" t="s">
        <v>1597</v>
      </c>
      <c r="D263" s="3" t="s">
        <v>14886</v>
      </c>
      <c r="E263" t="s">
        <v>19338</v>
      </c>
      <c r="F263" t="s">
        <v>1598</v>
      </c>
      <c r="G263" t="s">
        <v>3459</v>
      </c>
      <c r="H263" t="s">
        <v>3460</v>
      </c>
    </row>
    <row r="264" spans="1:8" hidden="1" x14ac:dyDescent="0.2">
      <c r="A264" s="3" t="s">
        <v>14887</v>
      </c>
      <c r="B264" s="3" t="s">
        <v>14359</v>
      </c>
      <c r="C264" s="3" t="s">
        <v>1599</v>
      </c>
      <c r="D264" s="3" t="s">
        <v>14888</v>
      </c>
      <c r="E264" t="s">
        <v>19339</v>
      </c>
      <c r="F264" t="s">
        <v>1600</v>
      </c>
      <c r="G264" t="s">
        <v>3436</v>
      </c>
      <c r="H264" t="s">
        <v>3793</v>
      </c>
    </row>
    <row r="265" spans="1:8" hidden="1" x14ac:dyDescent="0.2">
      <c r="A265" s="3" t="s">
        <v>14889</v>
      </c>
      <c r="B265" s="3" t="s">
        <v>14359</v>
      </c>
      <c r="C265" s="3" t="s">
        <v>1601</v>
      </c>
      <c r="D265" s="3" t="s">
        <v>14890</v>
      </c>
      <c r="E265" t="s">
        <v>7488</v>
      </c>
      <c r="F265" t="s">
        <v>1602</v>
      </c>
      <c r="G265" t="s">
        <v>3863</v>
      </c>
      <c r="H265" t="s">
        <v>3864</v>
      </c>
    </row>
    <row r="266" spans="1:8" hidden="1" x14ac:dyDescent="0.2">
      <c r="A266" s="3" t="s">
        <v>14891</v>
      </c>
      <c r="B266" s="3" t="s">
        <v>14359</v>
      </c>
      <c r="C266" s="3" t="s">
        <v>1603</v>
      </c>
      <c r="D266" s="3" t="s">
        <v>14892</v>
      </c>
      <c r="E266" t="s">
        <v>19340</v>
      </c>
      <c r="F266" t="s">
        <v>1604</v>
      </c>
      <c r="G266" t="s">
        <v>3436</v>
      </c>
      <c r="H266" t="s">
        <v>4215</v>
      </c>
    </row>
    <row r="267" spans="1:8" hidden="1" x14ac:dyDescent="0.2">
      <c r="A267" s="3" t="s">
        <v>14893</v>
      </c>
      <c r="B267" s="3" t="s">
        <v>14359</v>
      </c>
      <c r="C267" s="3" t="s">
        <v>1605</v>
      </c>
      <c r="D267" s="3" t="s">
        <v>14894</v>
      </c>
      <c r="E267" t="s">
        <v>7502</v>
      </c>
      <c r="F267" t="s">
        <v>1606</v>
      </c>
      <c r="G267" t="s">
        <v>3436</v>
      </c>
      <c r="H267" t="s">
        <v>3498</v>
      </c>
    </row>
    <row r="268" spans="1:8" hidden="1" x14ac:dyDescent="0.2">
      <c r="A268" s="3" t="s">
        <v>14895</v>
      </c>
      <c r="B268" s="3" t="s">
        <v>14359</v>
      </c>
      <c r="C268" s="3" t="s">
        <v>1607</v>
      </c>
      <c r="D268" s="3" t="s">
        <v>14896</v>
      </c>
      <c r="E268" t="s">
        <v>7429</v>
      </c>
      <c r="F268" t="s">
        <v>1608</v>
      </c>
      <c r="G268" t="s">
        <v>3459</v>
      </c>
      <c r="H268" t="s">
        <v>4101</v>
      </c>
    </row>
    <row r="269" spans="1:8" hidden="1" x14ac:dyDescent="0.2">
      <c r="A269" s="3" t="s">
        <v>14897</v>
      </c>
      <c r="B269" s="3" t="s">
        <v>14359</v>
      </c>
      <c r="C269" s="3" t="s">
        <v>1609</v>
      </c>
      <c r="D269" s="3" t="s">
        <v>14898</v>
      </c>
      <c r="E269" t="s">
        <v>19341</v>
      </c>
      <c r="F269" t="s">
        <v>1610</v>
      </c>
      <c r="G269" t="s">
        <v>3863</v>
      </c>
      <c r="H269" t="s">
        <v>3864</v>
      </c>
    </row>
    <row r="270" spans="1:8" hidden="1" x14ac:dyDescent="0.2">
      <c r="A270" s="3" t="s">
        <v>14899</v>
      </c>
      <c r="B270" s="3" t="s">
        <v>14359</v>
      </c>
      <c r="C270" s="3" t="s">
        <v>1611</v>
      </c>
      <c r="D270" s="3" t="s">
        <v>14900</v>
      </c>
      <c r="E270" t="s">
        <v>7436</v>
      </c>
      <c r="F270" t="s">
        <v>1612</v>
      </c>
      <c r="G270" t="s">
        <v>3459</v>
      </c>
      <c r="H270" t="s">
        <v>3460</v>
      </c>
    </row>
    <row r="271" spans="1:8" hidden="1" x14ac:dyDescent="0.2">
      <c r="A271" s="3" t="s">
        <v>14901</v>
      </c>
      <c r="B271" s="3" t="s">
        <v>14359</v>
      </c>
      <c r="C271" s="3" t="s">
        <v>1613</v>
      </c>
      <c r="D271" s="3" t="s">
        <v>14902</v>
      </c>
      <c r="E271" t="s">
        <v>7561</v>
      </c>
      <c r="F271" t="s">
        <v>1614</v>
      </c>
      <c r="G271" t="s">
        <v>3436</v>
      </c>
      <c r="H271" t="s">
        <v>4215</v>
      </c>
    </row>
    <row r="272" spans="1:8" hidden="1" x14ac:dyDescent="0.2">
      <c r="A272" s="3" t="s">
        <v>14903</v>
      </c>
      <c r="B272" s="3" t="s">
        <v>14359</v>
      </c>
      <c r="C272" s="3" t="s">
        <v>1615</v>
      </c>
      <c r="D272" s="3" t="s">
        <v>14904</v>
      </c>
      <c r="E272" t="s">
        <v>7625</v>
      </c>
      <c r="F272" t="s">
        <v>1616</v>
      </c>
      <c r="G272" t="s">
        <v>3436</v>
      </c>
      <c r="H272" t="s">
        <v>3603</v>
      </c>
    </row>
    <row r="273" spans="1:8" hidden="1" x14ac:dyDescent="0.2">
      <c r="A273" s="3" t="s">
        <v>14905</v>
      </c>
      <c r="B273" s="3" t="s">
        <v>14359</v>
      </c>
      <c r="C273" s="3" t="s">
        <v>1617</v>
      </c>
      <c r="D273" s="3" t="s">
        <v>14906</v>
      </c>
      <c r="E273" t="s">
        <v>19342</v>
      </c>
      <c r="F273" t="s">
        <v>1618</v>
      </c>
      <c r="G273" t="s">
        <v>3459</v>
      </c>
      <c r="H273" t="s">
        <v>3819</v>
      </c>
    </row>
    <row r="274" spans="1:8" hidden="1" x14ac:dyDescent="0.2">
      <c r="A274" s="3" t="s">
        <v>14907</v>
      </c>
      <c r="B274" s="3" t="s">
        <v>14359</v>
      </c>
      <c r="C274" s="3" t="s">
        <v>1619</v>
      </c>
      <c r="D274" s="3" t="s">
        <v>14908</v>
      </c>
      <c r="E274" t="s">
        <v>19343</v>
      </c>
      <c r="F274" t="s">
        <v>13895</v>
      </c>
      <c r="G274" t="s">
        <v>3459</v>
      </c>
      <c r="H274" t="s">
        <v>3569</v>
      </c>
    </row>
    <row r="275" spans="1:8" hidden="1" x14ac:dyDescent="0.2">
      <c r="A275" s="3" t="s">
        <v>14909</v>
      </c>
      <c r="B275" s="3" t="s">
        <v>14359</v>
      </c>
      <c r="C275" s="3" t="s">
        <v>1621</v>
      </c>
      <c r="D275" s="3" t="s">
        <v>14910</v>
      </c>
      <c r="E275" t="s">
        <v>18165</v>
      </c>
      <c r="F275" t="s">
        <v>19107</v>
      </c>
      <c r="G275" t="s">
        <v>3448</v>
      </c>
      <c r="H275" t="s">
        <v>4124</v>
      </c>
    </row>
    <row r="276" spans="1:8" hidden="1" x14ac:dyDescent="0.2">
      <c r="A276" s="3" t="s">
        <v>14911</v>
      </c>
      <c r="B276" s="3" t="s">
        <v>14359</v>
      </c>
      <c r="C276" s="3" t="s">
        <v>1622</v>
      </c>
      <c r="D276" s="3" t="s">
        <v>14912</v>
      </c>
      <c r="E276" t="s">
        <v>7717</v>
      </c>
      <c r="F276" t="s">
        <v>1623</v>
      </c>
      <c r="G276" t="s">
        <v>3459</v>
      </c>
      <c r="H276" t="s">
        <v>5441</v>
      </c>
    </row>
    <row r="277" spans="1:8" hidden="1" x14ac:dyDescent="0.2">
      <c r="A277" s="3" t="s">
        <v>14913</v>
      </c>
      <c r="B277" s="3" t="s">
        <v>14359</v>
      </c>
      <c r="C277" s="3" t="s">
        <v>1624</v>
      </c>
      <c r="D277" s="3" t="s">
        <v>14914</v>
      </c>
      <c r="E277" t="s">
        <v>19344</v>
      </c>
      <c r="F277" t="s">
        <v>1625</v>
      </c>
      <c r="G277" t="s">
        <v>3863</v>
      </c>
      <c r="H277" t="s">
        <v>5632</v>
      </c>
    </row>
    <row r="278" spans="1:8" hidden="1" x14ac:dyDescent="0.2">
      <c r="A278" s="3" t="s">
        <v>14915</v>
      </c>
      <c r="B278" s="3" t="s">
        <v>14359</v>
      </c>
      <c r="C278" s="3" t="s">
        <v>1626</v>
      </c>
      <c r="D278" s="3" t="s">
        <v>14916</v>
      </c>
      <c r="E278" t="s">
        <v>18144</v>
      </c>
      <c r="F278" t="s">
        <v>19106</v>
      </c>
      <c r="G278" t="s">
        <v>3459</v>
      </c>
      <c r="H278" t="s">
        <v>3873</v>
      </c>
    </row>
    <row r="279" spans="1:8" hidden="1" x14ac:dyDescent="0.2">
      <c r="A279" s="3" t="s">
        <v>14917</v>
      </c>
      <c r="B279" s="3" t="s">
        <v>14359</v>
      </c>
      <c r="C279" s="3" t="s">
        <v>1627</v>
      </c>
      <c r="D279" s="3" t="s">
        <v>14918</v>
      </c>
      <c r="E279" t="s">
        <v>19345</v>
      </c>
      <c r="F279" t="s">
        <v>1628</v>
      </c>
      <c r="G279" t="s">
        <v>3459</v>
      </c>
      <c r="H279" t="s">
        <v>3819</v>
      </c>
    </row>
    <row r="280" spans="1:8" hidden="1" x14ac:dyDescent="0.2">
      <c r="A280" s="3" t="s">
        <v>14919</v>
      </c>
      <c r="B280" s="3" t="s">
        <v>14359</v>
      </c>
      <c r="C280" s="3" t="s">
        <v>1629</v>
      </c>
      <c r="D280" s="3" t="s">
        <v>14920</v>
      </c>
      <c r="E280" t="s">
        <v>19346</v>
      </c>
      <c r="F280" t="s">
        <v>1630</v>
      </c>
      <c r="G280" t="s">
        <v>3459</v>
      </c>
      <c r="H280" t="s">
        <v>7722</v>
      </c>
    </row>
    <row r="281" spans="1:8" hidden="1" x14ac:dyDescent="0.2">
      <c r="A281" s="3" t="s">
        <v>14921</v>
      </c>
      <c r="B281" s="3" t="s">
        <v>14359</v>
      </c>
      <c r="C281" s="3" t="s">
        <v>1631</v>
      </c>
      <c r="D281" s="3" t="s">
        <v>14922</v>
      </c>
      <c r="E281" t="s">
        <v>19347</v>
      </c>
      <c r="F281" t="s">
        <v>1632</v>
      </c>
      <c r="G281" t="s">
        <v>3436</v>
      </c>
      <c r="H281" t="s">
        <v>3661</v>
      </c>
    </row>
    <row r="282" spans="1:8" hidden="1" x14ac:dyDescent="0.2">
      <c r="A282" s="3" t="s">
        <v>14923</v>
      </c>
      <c r="B282" s="3" t="s">
        <v>14359</v>
      </c>
      <c r="C282" s="3" t="s">
        <v>1633</v>
      </c>
      <c r="D282" s="3" t="s">
        <v>14924</v>
      </c>
      <c r="E282" t="s">
        <v>7731</v>
      </c>
      <c r="F282" t="s">
        <v>13902</v>
      </c>
      <c r="G282" t="s">
        <v>3436</v>
      </c>
      <c r="H282" t="s">
        <v>3906</v>
      </c>
    </row>
    <row r="283" spans="1:8" hidden="1" x14ac:dyDescent="0.2">
      <c r="A283" s="3" t="s">
        <v>14925</v>
      </c>
      <c r="B283" s="3" t="s">
        <v>14359</v>
      </c>
      <c r="C283" s="3" t="s">
        <v>1635</v>
      </c>
      <c r="D283" s="3" t="s">
        <v>14926</v>
      </c>
      <c r="E283" t="s">
        <v>19348</v>
      </c>
      <c r="F283" t="s">
        <v>1636</v>
      </c>
      <c r="G283" t="s">
        <v>3436</v>
      </c>
      <c r="H283" t="s">
        <v>3906</v>
      </c>
    </row>
    <row r="284" spans="1:8" hidden="1" x14ac:dyDescent="0.2">
      <c r="A284" s="3" t="s">
        <v>14927</v>
      </c>
      <c r="B284" s="3" t="s">
        <v>14359</v>
      </c>
      <c r="C284" s="3" t="s">
        <v>1637</v>
      </c>
      <c r="D284" s="3" t="s">
        <v>14928</v>
      </c>
      <c r="E284" t="s">
        <v>19349</v>
      </c>
      <c r="F284" t="s">
        <v>1638</v>
      </c>
      <c r="G284" t="s">
        <v>3436</v>
      </c>
      <c r="H284" t="s">
        <v>3661</v>
      </c>
    </row>
    <row r="285" spans="1:8" hidden="1" x14ac:dyDescent="0.2">
      <c r="A285" s="3" t="s">
        <v>14929</v>
      </c>
      <c r="B285" s="3" t="s">
        <v>14359</v>
      </c>
      <c r="C285" s="3" t="s">
        <v>1639</v>
      </c>
      <c r="D285" s="3" t="s">
        <v>14930</v>
      </c>
      <c r="E285" t="s">
        <v>19350</v>
      </c>
      <c r="F285" t="s">
        <v>1640</v>
      </c>
      <c r="G285" t="s">
        <v>3448</v>
      </c>
      <c r="H285" t="s">
        <v>4568</v>
      </c>
    </row>
    <row r="286" spans="1:8" hidden="1" x14ac:dyDescent="0.2">
      <c r="A286" s="3" t="s">
        <v>14931</v>
      </c>
      <c r="B286" s="3" t="s">
        <v>14359</v>
      </c>
      <c r="C286" s="3" t="s">
        <v>1641</v>
      </c>
      <c r="D286" s="3" t="s">
        <v>14932</v>
      </c>
      <c r="E286" t="s">
        <v>19351</v>
      </c>
      <c r="F286" t="s">
        <v>1642</v>
      </c>
      <c r="G286" t="s">
        <v>3436</v>
      </c>
      <c r="H286" t="s">
        <v>3906</v>
      </c>
    </row>
    <row r="287" spans="1:8" hidden="1" x14ac:dyDescent="0.2">
      <c r="A287" s="3" t="s">
        <v>14933</v>
      </c>
      <c r="B287" s="3" t="s">
        <v>14359</v>
      </c>
      <c r="C287" s="3" t="s">
        <v>1643</v>
      </c>
      <c r="D287" s="3" t="s">
        <v>14934</v>
      </c>
      <c r="E287" t="s">
        <v>19352</v>
      </c>
      <c r="F287" t="s">
        <v>1644</v>
      </c>
      <c r="G287" t="s">
        <v>3459</v>
      </c>
      <c r="H287" t="s">
        <v>7722</v>
      </c>
    </row>
    <row r="288" spans="1:8" hidden="1" x14ac:dyDescent="0.2">
      <c r="A288" s="3" t="s">
        <v>14935</v>
      </c>
      <c r="B288" s="3" t="s">
        <v>14359</v>
      </c>
      <c r="C288" s="3" t="s">
        <v>1645</v>
      </c>
      <c r="D288" s="3" t="s">
        <v>14936</v>
      </c>
      <c r="E288" t="s">
        <v>7752</v>
      </c>
      <c r="F288" t="s">
        <v>1646</v>
      </c>
      <c r="G288" t="s">
        <v>3436</v>
      </c>
      <c r="H288" t="s">
        <v>3603</v>
      </c>
    </row>
    <row r="289" spans="1:8" hidden="1" x14ac:dyDescent="0.2">
      <c r="A289" s="3" t="s">
        <v>14937</v>
      </c>
      <c r="B289" s="3" t="s">
        <v>14359</v>
      </c>
      <c r="C289" s="3" t="s">
        <v>1647</v>
      </c>
      <c r="D289" s="3" t="s">
        <v>14938</v>
      </c>
      <c r="E289" t="s">
        <v>19353</v>
      </c>
      <c r="F289" t="s">
        <v>13913</v>
      </c>
      <c r="G289" t="s">
        <v>3448</v>
      </c>
      <c r="H289" t="s">
        <v>5600</v>
      </c>
    </row>
    <row r="290" spans="1:8" hidden="1" x14ac:dyDescent="0.2">
      <c r="A290" s="3" t="s">
        <v>14939</v>
      </c>
      <c r="B290" s="3" t="s">
        <v>14359</v>
      </c>
      <c r="C290" s="3" t="s">
        <v>1649</v>
      </c>
      <c r="D290" s="3" t="s">
        <v>14940</v>
      </c>
      <c r="E290" t="s">
        <v>19354</v>
      </c>
      <c r="F290" t="s">
        <v>1650</v>
      </c>
      <c r="G290" t="s">
        <v>3459</v>
      </c>
      <c r="H290" t="s">
        <v>3873</v>
      </c>
    </row>
    <row r="291" spans="1:8" hidden="1" x14ac:dyDescent="0.2">
      <c r="A291" s="3" t="s">
        <v>14941</v>
      </c>
      <c r="B291" s="3" t="s">
        <v>14359</v>
      </c>
      <c r="C291" s="3" t="s">
        <v>1651</v>
      </c>
      <c r="D291" s="3" t="s">
        <v>14942</v>
      </c>
      <c r="E291" t="s">
        <v>19355</v>
      </c>
      <c r="F291" t="s">
        <v>1652</v>
      </c>
      <c r="G291" t="s">
        <v>3459</v>
      </c>
      <c r="H291" t="s">
        <v>7722</v>
      </c>
    </row>
    <row r="292" spans="1:8" hidden="1" x14ac:dyDescent="0.2">
      <c r="A292" s="3" t="s">
        <v>14943</v>
      </c>
      <c r="B292" s="3" t="s">
        <v>14359</v>
      </c>
      <c r="C292" s="3" t="s">
        <v>1653</v>
      </c>
      <c r="D292" s="3" t="s">
        <v>14944</v>
      </c>
      <c r="E292" t="s">
        <v>19356</v>
      </c>
      <c r="F292" t="s">
        <v>1654</v>
      </c>
      <c r="G292" t="s">
        <v>3436</v>
      </c>
      <c r="H292" t="s">
        <v>4215</v>
      </c>
    </row>
    <row r="293" spans="1:8" hidden="1" x14ac:dyDescent="0.2">
      <c r="A293" s="3" t="s">
        <v>14945</v>
      </c>
      <c r="B293" s="3" t="s">
        <v>14359</v>
      </c>
      <c r="C293" s="3" t="s">
        <v>1655</v>
      </c>
      <c r="D293" s="3" t="s">
        <v>14946</v>
      </c>
      <c r="E293" t="s">
        <v>7817</v>
      </c>
      <c r="F293" t="s">
        <v>1656</v>
      </c>
      <c r="G293" t="s">
        <v>3459</v>
      </c>
      <c r="H293" t="s">
        <v>4774</v>
      </c>
    </row>
    <row r="294" spans="1:8" hidden="1" x14ac:dyDescent="0.2">
      <c r="A294" s="3" t="s">
        <v>14947</v>
      </c>
      <c r="B294" s="3" t="s">
        <v>14359</v>
      </c>
      <c r="C294" s="3" t="s">
        <v>1657</v>
      </c>
      <c r="D294" s="3" t="s">
        <v>14948</v>
      </c>
      <c r="E294" t="s">
        <v>19357</v>
      </c>
      <c r="F294" t="s">
        <v>1658</v>
      </c>
      <c r="G294" t="s">
        <v>3459</v>
      </c>
      <c r="H294" t="s">
        <v>3873</v>
      </c>
    </row>
    <row r="295" spans="1:8" hidden="1" x14ac:dyDescent="0.2">
      <c r="A295" s="3" t="s">
        <v>14949</v>
      </c>
      <c r="B295" s="3" t="s">
        <v>14359</v>
      </c>
      <c r="C295" s="3" t="s">
        <v>1659</v>
      </c>
      <c r="D295" s="3" t="s">
        <v>14950</v>
      </c>
      <c r="E295" t="s">
        <v>19358</v>
      </c>
      <c r="F295" t="s">
        <v>1660</v>
      </c>
      <c r="G295" t="s">
        <v>3459</v>
      </c>
      <c r="H295" t="s">
        <v>7792</v>
      </c>
    </row>
    <row r="296" spans="1:8" hidden="1" x14ac:dyDescent="0.2">
      <c r="A296" s="3" t="s">
        <v>14951</v>
      </c>
      <c r="B296" s="3" t="s">
        <v>14359</v>
      </c>
      <c r="C296" s="3" t="s">
        <v>1661</v>
      </c>
      <c r="D296" s="3" t="s">
        <v>14952</v>
      </c>
      <c r="E296" t="s">
        <v>19359</v>
      </c>
      <c r="F296" t="s">
        <v>1662</v>
      </c>
      <c r="G296" t="s">
        <v>3436</v>
      </c>
      <c r="H296" t="s">
        <v>3906</v>
      </c>
    </row>
    <row r="297" spans="1:8" hidden="1" x14ac:dyDescent="0.2">
      <c r="A297" s="3" t="s">
        <v>14953</v>
      </c>
      <c r="B297" s="3" t="s">
        <v>14359</v>
      </c>
      <c r="C297" s="3" t="s">
        <v>1663</v>
      </c>
      <c r="D297" s="3" t="s">
        <v>14954</v>
      </c>
      <c r="E297" t="s">
        <v>19360</v>
      </c>
      <c r="F297" t="s">
        <v>13908</v>
      </c>
      <c r="G297" t="s">
        <v>3459</v>
      </c>
      <c r="H297" t="s">
        <v>7821</v>
      </c>
    </row>
    <row r="298" spans="1:8" hidden="1" x14ac:dyDescent="0.2">
      <c r="A298" s="3" t="s">
        <v>14955</v>
      </c>
      <c r="B298" s="3" t="s">
        <v>14359</v>
      </c>
      <c r="C298" s="3" t="s">
        <v>1664</v>
      </c>
      <c r="D298" s="3" t="s">
        <v>14956</v>
      </c>
      <c r="E298" t="s">
        <v>19361</v>
      </c>
      <c r="F298" t="s">
        <v>1665</v>
      </c>
      <c r="G298" t="s">
        <v>3459</v>
      </c>
      <c r="H298" t="s">
        <v>7133</v>
      </c>
    </row>
    <row r="299" spans="1:8" hidden="1" x14ac:dyDescent="0.2">
      <c r="A299" s="3" t="s">
        <v>14957</v>
      </c>
      <c r="B299" s="3" t="s">
        <v>14359</v>
      </c>
      <c r="C299" s="3" t="s">
        <v>1666</v>
      </c>
      <c r="D299" s="3" t="s">
        <v>14958</v>
      </c>
      <c r="E299" t="s">
        <v>19362</v>
      </c>
      <c r="F299" t="s">
        <v>19108</v>
      </c>
      <c r="G299" t="s">
        <v>3436</v>
      </c>
      <c r="H299" t="s">
        <v>4215</v>
      </c>
    </row>
    <row r="300" spans="1:8" hidden="1" x14ac:dyDescent="0.2">
      <c r="A300" s="3" t="s">
        <v>14959</v>
      </c>
      <c r="B300" s="3" t="s">
        <v>14359</v>
      </c>
      <c r="C300" s="3" t="s">
        <v>1667</v>
      </c>
      <c r="D300" s="3" t="s">
        <v>14960</v>
      </c>
      <c r="E300" t="s">
        <v>19363</v>
      </c>
      <c r="F300" t="s">
        <v>1668</v>
      </c>
      <c r="G300" t="s">
        <v>3863</v>
      </c>
      <c r="H300" t="s">
        <v>3864</v>
      </c>
    </row>
    <row r="301" spans="1:8" hidden="1" x14ac:dyDescent="0.2">
      <c r="A301" s="3" t="s">
        <v>14961</v>
      </c>
      <c r="B301" s="3" t="s">
        <v>14359</v>
      </c>
      <c r="C301" s="3" t="s">
        <v>1669</v>
      </c>
      <c r="D301" s="3" t="s">
        <v>14962</v>
      </c>
      <c r="E301" t="s">
        <v>19364</v>
      </c>
      <c r="F301" t="s">
        <v>1670</v>
      </c>
      <c r="G301" t="s">
        <v>3459</v>
      </c>
      <c r="H301" t="s">
        <v>3758</v>
      </c>
    </row>
    <row r="302" spans="1:8" hidden="1" x14ac:dyDescent="0.2">
      <c r="A302" s="3" t="s">
        <v>14963</v>
      </c>
      <c r="B302" s="3" t="s">
        <v>14359</v>
      </c>
      <c r="C302" s="3" t="s">
        <v>1671</v>
      </c>
      <c r="D302" s="3" t="s">
        <v>14964</v>
      </c>
      <c r="E302" t="s">
        <v>19365</v>
      </c>
      <c r="F302" t="s">
        <v>1672</v>
      </c>
      <c r="G302" t="s">
        <v>3863</v>
      </c>
      <c r="H302" t="s">
        <v>3864</v>
      </c>
    </row>
    <row r="303" spans="1:8" hidden="1" x14ac:dyDescent="0.2">
      <c r="A303" s="3" t="s">
        <v>14965</v>
      </c>
      <c r="B303" s="3" t="s">
        <v>14359</v>
      </c>
      <c r="C303" s="3" t="s">
        <v>1673</v>
      </c>
      <c r="D303" s="3" t="s">
        <v>14966</v>
      </c>
      <c r="E303" t="s">
        <v>19366</v>
      </c>
      <c r="F303" t="s">
        <v>1674</v>
      </c>
      <c r="G303" t="s">
        <v>3853</v>
      </c>
      <c r="H303" t="s">
        <v>5381</v>
      </c>
    </row>
    <row r="304" spans="1:8" hidden="1" x14ac:dyDescent="0.2">
      <c r="A304" s="3" t="s">
        <v>14967</v>
      </c>
      <c r="B304" s="3" t="s">
        <v>14359</v>
      </c>
      <c r="C304" s="3" t="s">
        <v>1675</v>
      </c>
      <c r="D304" s="3" t="s">
        <v>14968</v>
      </c>
      <c r="E304" t="s">
        <v>7968</v>
      </c>
      <c r="F304" t="s">
        <v>1676</v>
      </c>
      <c r="G304" t="s">
        <v>3459</v>
      </c>
      <c r="H304" t="s">
        <v>4991</v>
      </c>
    </row>
    <row r="305" spans="1:8" hidden="1" x14ac:dyDescent="0.2">
      <c r="A305" s="3" t="s">
        <v>14969</v>
      </c>
      <c r="B305" s="3" t="s">
        <v>14359</v>
      </c>
      <c r="C305" s="3" t="s">
        <v>1677</v>
      </c>
      <c r="D305" s="3" t="s">
        <v>14970</v>
      </c>
      <c r="E305" t="s">
        <v>8036</v>
      </c>
      <c r="F305" t="s">
        <v>1678</v>
      </c>
      <c r="G305" t="s">
        <v>3436</v>
      </c>
      <c r="H305" t="s">
        <v>3603</v>
      </c>
    </row>
    <row r="306" spans="1:8" hidden="1" x14ac:dyDescent="0.2">
      <c r="A306" s="3" t="s">
        <v>14971</v>
      </c>
      <c r="B306" s="3" t="s">
        <v>14359</v>
      </c>
      <c r="C306" s="3" t="s">
        <v>1679</v>
      </c>
      <c r="D306" s="3" t="s">
        <v>14972</v>
      </c>
      <c r="E306" t="s">
        <v>19367</v>
      </c>
      <c r="F306" t="s">
        <v>1680</v>
      </c>
      <c r="G306" t="s">
        <v>3863</v>
      </c>
      <c r="H306" t="s">
        <v>5632</v>
      </c>
    </row>
    <row r="307" spans="1:8" hidden="1" x14ac:dyDescent="0.2">
      <c r="A307" s="3" t="s">
        <v>14973</v>
      </c>
      <c r="B307" s="3" t="s">
        <v>14359</v>
      </c>
      <c r="C307" s="3" t="s">
        <v>1681</v>
      </c>
      <c r="D307" s="3" t="s">
        <v>14974</v>
      </c>
      <c r="E307" t="s">
        <v>8022</v>
      </c>
      <c r="F307" t="s">
        <v>1682</v>
      </c>
      <c r="G307" t="s">
        <v>3436</v>
      </c>
      <c r="H307" t="s">
        <v>3906</v>
      </c>
    </row>
    <row r="308" spans="1:8" hidden="1" x14ac:dyDescent="0.2">
      <c r="A308" s="3" t="s">
        <v>14975</v>
      </c>
      <c r="B308" s="3" t="s">
        <v>14359</v>
      </c>
      <c r="C308" s="3" t="s">
        <v>1683</v>
      </c>
      <c r="D308" s="3" t="s">
        <v>14976</v>
      </c>
      <c r="E308" t="s">
        <v>19368</v>
      </c>
      <c r="F308" t="s">
        <v>1684</v>
      </c>
      <c r="G308" t="s">
        <v>3863</v>
      </c>
      <c r="H308" t="s">
        <v>3864</v>
      </c>
    </row>
    <row r="309" spans="1:8" hidden="1" x14ac:dyDescent="0.2">
      <c r="A309" s="3" t="s">
        <v>14977</v>
      </c>
      <c r="B309" s="3" t="s">
        <v>14359</v>
      </c>
      <c r="C309" s="3" t="s">
        <v>1685</v>
      </c>
      <c r="D309" s="3" t="s">
        <v>14978</v>
      </c>
      <c r="E309" t="s">
        <v>19369</v>
      </c>
      <c r="F309" t="s">
        <v>1686</v>
      </c>
      <c r="G309" t="s">
        <v>3459</v>
      </c>
      <c r="H309" t="s">
        <v>5441</v>
      </c>
    </row>
    <row r="310" spans="1:8" hidden="1" x14ac:dyDescent="0.2">
      <c r="A310" s="3" t="s">
        <v>14979</v>
      </c>
      <c r="B310" s="3" t="s">
        <v>14359</v>
      </c>
      <c r="C310" s="3" t="s">
        <v>1687</v>
      </c>
      <c r="D310" s="3" t="s">
        <v>14980</v>
      </c>
      <c r="E310" t="s">
        <v>19370</v>
      </c>
      <c r="F310" t="s">
        <v>1688</v>
      </c>
      <c r="G310" t="s">
        <v>3459</v>
      </c>
      <c r="H310" t="s">
        <v>5526</v>
      </c>
    </row>
    <row r="311" spans="1:8" hidden="1" x14ac:dyDescent="0.2">
      <c r="A311" s="3" t="s">
        <v>14981</v>
      </c>
      <c r="B311" s="3" t="s">
        <v>14359</v>
      </c>
      <c r="C311" s="3" t="s">
        <v>1689</v>
      </c>
      <c r="D311" s="3" t="s">
        <v>14982</v>
      </c>
      <c r="E311" t="s">
        <v>8001</v>
      </c>
      <c r="F311" t="s">
        <v>1690</v>
      </c>
      <c r="G311" t="s">
        <v>3459</v>
      </c>
      <c r="H311" t="s">
        <v>7998</v>
      </c>
    </row>
    <row r="312" spans="1:8" hidden="1" x14ac:dyDescent="0.2">
      <c r="A312" s="3" t="s">
        <v>14983</v>
      </c>
      <c r="B312" s="3" t="s">
        <v>14359</v>
      </c>
      <c r="C312" s="3" t="s">
        <v>1691</v>
      </c>
      <c r="D312" s="3" t="s">
        <v>14984</v>
      </c>
      <c r="E312" t="s">
        <v>19371</v>
      </c>
      <c r="F312" t="s">
        <v>1692</v>
      </c>
      <c r="G312" t="s">
        <v>3436</v>
      </c>
      <c r="H312" t="s">
        <v>3603</v>
      </c>
    </row>
    <row r="313" spans="1:8" hidden="1" x14ac:dyDescent="0.2">
      <c r="A313" s="3" t="s">
        <v>14985</v>
      </c>
      <c r="B313" s="3" t="s">
        <v>14359</v>
      </c>
      <c r="C313" s="3" t="s">
        <v>1693</v>
      </c>
      <c r="D313" s="3" t="s">
        <v>14986</v>
      </c>
      <c r="E313" t="s">
        <v>19372</v>
      </c>
      <c r="F313" t="s">
        <v>1694</v>
      </c>
      <c r="G313" t="s">
        <v>3863</v>
      </c>
      <c r="H313" t="s">
        <v>3864</v>
      </c>
    </row>
    <row r="314" spans="1:8" hidden="1" x14ac:dyDescent="0.2">
      <c r="A314" s="3" t="s">
        <v>14987</v>
      </c>
      <c r="B314" s="3" t="s">
        <v>14359</v>
      </c>
      <c r="C314" s="3" t="s">
        <v>1695</v>
      </c>
      <c r="D314" s="3" t="s">
        <v>14988</v>
      </c>
      <c r="E314" t="s">
        <v>18241</v>
      </c>
      <c r="F314" t="s">
        <v>13933</v>
      </c>
      <c r="G314" t="s">
        <v>3459</v>
      </c>
      <c r="H314" t="s">
        <v>3819</v>
      </c>
    </row>
    <row r="315" spans="1:8" hidden="1" x14ac:dyDescent="0.2">
      <c r="A315" s="3" t="s">
        <v>14989</v>
      </c>
      <c r="B315" s="3" t="s">
        <v>14359</v>
      </c>
      <c r="C315" s="3" t="s">
        <v>1696</v>
      </c>
      <c r="D315" s="3" t="s">
        <v>14990</v>
      </c>
      <c r="E315" t="s">
        <v>8060</v>
      </c>
      <c r="F315" t="s">
        <v>1697</v>
      </c>
      <c r="G315" t="s">
        <v>3459</v>
      </c>
      <c r="H315" t="s">
        <v>4869</v>
      </c>
    </row>
    <row r="316" spans="1:8" hidden="1" x14ac:dyDescent="0.2">
      <c r="A316" s="3" t="s">
        <v>14991</v>
      </c>
      <c r="B316" s="3" t="s">
        <v>14359</v>
      </c>
      <c r="C316" s="3" t="s">
        <v>1698</v>
      </c>
      <c r="D316" s="3" t="s">
        <v>14992</v>
      </c>
      <c r="E316" t="s">
        <v>19373</v>
      </c>
      <c r="F316" t="s">
        <v>1699</v>
      </c>
      <c r="G316" t="s">
        <v>3459</v>
      </c>
      <c r="H316" t="s">
        <v>3819</v>
      </c>
    </row>
    <row r="317" spans="1:8" hidden="1" x14ac:dyDescent="0.2">
      <c r="A317" s="3" t="s">
        <v>14993</v>
      </c>
      <c r="B317" s="3" t="s">
        <v>14359</v>
      </c>
      <c r="C317" s="3" t="s">
        <v>1700</v>
      </c>
      <c r="D317" s="3" t="s">
        <v>14994</v>
      </c>
      <c r="E317" t="s">
        <v>18236</v>
      </c>
      <c r="F317" t="s">
        <v>19109</v>
      </c>
      <c r="G317" t="s">
        <v>3863</v>
      </c>
      <c r="H317" t="s">
        <v>5082</v>
      </c>
    </row>
    <row r="318" spans="1:8" hidden="1" x14ac:dyDescent="0.2">
      <c r="A318" s="3" t="s">
        <v>14995</v>
      </c>
      <c r="B318" s="3" t="s">
        <v>14359</v>
      </c>
      <c r="C318" s="3" t="s">
        <v>1701</v>
      </c>
      <c r="D318" s="3" t="s">
        <v>14996</v>
      </c>
      <c r="E318" t="s">
        <v>8142</v>
      </c>
      <c r="F318" t="s">
        <v>1702</v>
      </c>
      <c r="G318" t="s">
        <v>3459</v>
      </c>
      <c r="H318" t="s">
        <v>8139</v>
      </c>
    </row>
    <row r="319" spans="1:8" hidden="1" x14ac:dyDescent="0.2">
      <c r="A319" s="3" t="s">
        <v>14997</v>
      </c>
      <c r="B319" s="3" t="s">
        <v>14359</v>
      </c>
      <c r="C319" s="3" t="s">
        <v>1703</v>
      </c>
      <c r="D319" s="3" t="s">
        <v>14998</v>
      </c>
      <c r="E319" t="s">
        <v>8079</v>
      </c>
      <c r="F319" t="s">
        <v>1704</v>
      </c>
      <c r="G319" t="s">
        <v>3863</v>
      </c>
      <c r="H319" t="s">
        <v>5082</v>
      </c>
    </row>
    <row r="320" spans="1:8" hidden="1" x14ac:dyDescent="0.2">
      <c r="A320" s="3" t="s">
        <v>14999</v>
      </c>
      <c r="B320" s="3" t="s">
        <v>14359</v>
      </c>
      <c r="C320" s="3" t="s">
        <v>1705</v>
      </c>
      <c r="D320" s="3" t="s">
        <v>15000</v>
      </c>
      <c r="E320" t="s">
        <v>8074</v>
      </c>
      <c r="F320" t="s">
        <v>1706</v>
      </c>
      <c r="G320" t="s">
        <v>3863</v>
      </c>
      <c r="H320" t="s">
        <v>5082</v>
      </c>
    </row>
    <row r="321" spans="1:8" hidden="1" x14ac:dyDescent="0.2">
      <c r="A321" s="3" t="s">
        <v>15001</v>
      </c>
      <c r="B321" s="3" t="s">
        <v>14359</v>
      </c>
      <c r="C321" s="3" t="s">
        <v>1707</v>
      </c>
      <c r="D321" s="3" t="s">
        <v>15002</v>
      </c>
      <c r="E321" t="s">
        <v>19374</v>
      </c>
      <c r="F321" t="s">
        <v>1708</v>
      </c>
      <c r="G321" t="s">
        <v>3863</v>
      </c>
      <c r="H321" t="s">
        <v>5082</v>
      </c>
    </row>
    <row r="322" spans="1:8" hidden="1" x14ac:dyDescent="0.2">
      <c r="A322" s="3" t="s">
        <v>15003</v>
      </c>
      <c r="B322" s="3" t="s">
        <v>14359</v>
      </c>
      <c r="C322" s="3" t="s">
        <v>1709</v>
      </c>
      <c r="D322" s="3" t="s">
        <v>15004</v>
      </c>
      <c r="E322" t="s">
        <v>19375</v>
      </c>
      <c r="F322" t="s">
        <v>1710</v>
      </c>
      <c r="G322" t="s">
        <v>3448</v>
      </c>
      <c r="H322" t="s">
        <v>4679</v>
      </c>
    </row>
    <row r="323" spans="1:8" hidden="1" x14ac:dyDescent="0.2">
      <c r="A323" s="3" t="s">
        <v>15005</v>
      </c>
      <c r="B323" s="3" t="s">
        <v>14359</v>
      </c>
      <c r="C323" s="3" t="s">
        <v>1711</v>
      </c>
      <c r="D323" s="3" t="s">
        <v>15006</v>
      </c>
      <c r="E323" t="s">
        <v>19376</v>
      </c>
      <c r="F323" t="s">
        <v>1712</v>
      </c>
      <c r="G323" t="s">
        <v>3863</v>
      </c>
      <c r="H323" t="s">
        <v>5632</v>
      </c>
    </row>
    <row r="324" spans="1:8" hidden="1" x14ac:dyDescent="0.2">
      <c r="A324" s="3" t="s">
        <v>15007</v>
      </c>
      <c r="B324" s="3" t="s">
        <v>14359</v>
      </c>
      <c r="C324" s="3" t="s">
        <v>1713</v>
      </c>
      <c r="D324" s="3" t="s">
        <v>15008</v>
      </c>
      <c r="E324" t="s">
        <v>8169</v>
      </c>
      <c r="F324" t="s">
        <v>1714</v>
      </c>
      <c r="G324" t="s">
        <v>3863</v>
      </c>
      <c r="H324" t="s">
        <v>3864</v>
      </c>
    </row>
    <row r="325" spans="1:8" hidden="1" x14ac:dyDescent="0.2">
      <c r="A325" s="3" t="s">
        <v>15009</v>
      </c>
      <c r="B325" s="3" t="s">
        <v>14359</v>
      </c>
      <c r="C325" s="3" t="s">
        <v>1715</v>
      </c>
      <c r="D325" s="3" t="s">
        <v>15010</v>
      </c>
      <c r="E325" t="s">
        <v>19377</v>
      </c>
      <c r="F325" t="s">
        <v>19110</v>
      </c>
      <c r="G325" t="s">
        <v>3863</v>
      </c>
      <c r="H325" t="s">
        <v>3864</v>
      </c>
    </row>
    <row r="326" spans="1:8" hidden="1" x14ac:dyDescent="0.2">
      <c r="A326" s="3" t="s">
        <v>15011</v>
      </c>
      <c r="B326" s="3" t="s">
        <v>14359</v>
      </c>
      <c r="C326" s="3" t="s">
        <v>1716</v>
      </c>
      <c r="D326" s="3" t="s">
        <v>15012</v>
      </c>
      <c r="E326" t="s">
        <v>19378</v>
      </c>
      <c r="F326" t="s">
        <v>1717</v>
      </c>
      <c r="G326" t="s">
        <v>3459</v>
      </c>
      <c r="H326" t="s">
        <v>814</v>
      </c>
    </row>
    <row r="327" spans="1:8" hidden="1" x14ac:dyDescent="0.2">
      <c r="A327" s="3" t="s">
        <v>15013</v>
      </c>
      <c r="B327" s="3" t="s">
        <v>14359</v>
      </c>
      <c r="C327" s="3" t="s">
        <v>1718</v>
      </c>
      <c r="D327" s="3" t="s">
        <v>15014</v>
      </c>
      <c r="E327" t="s">
        <v>13046</v>
      </c>
      <c r="F327" t="s">
        <v>14312</v>
      </c>
      <c r="G327" t="s">
        <v>3863</v>
      </c>
      <c r="H327" t="s">
        <v>5632</v>
      </c>
    </row>
    <row r="328" spans="1:8" hidden="1" x14ac:dyDescent="0.2">
      <c r="A328" s="3" t="s">
        <v>15015</v>
      </c>
      <c r="B328" s="3" t="s">
        <v>14359</v>
      </c>
      <c r="C328" s="3" t="s">
        <v>1719</v>
      </c>
      <c r="D328" s="3" t="s">
        <v>15016</v>
      </c>
      <c r="E328" t="s">
        <v>19379</v>
      </c>
      <c r="F328" t="s">
        <v>1720</v>
      </c>
      <c r="G328" t="s">
        <v>3459</v>
      </c>
      <c r="H328" t="s">
        <v>814</v>
      </c>
    </row>
    <row r="329" spans="1:8" hidden="1" x14ac:dyDescent="0.2">
      <c r="A329" s="3" t="s">
        <v>15017</v>
      </c>
      <c r="B329" s="3" t="s">
        <v>14359</v>
      </c>
      <c r="C329" s="3" t="s">
        <v>1721</v>
      </c>
      <c r="D329" s="3" t="s">
        <v>15018</v>
      </c>
      <c r="E329" t="s">
        <v>8216</v>
      </c>
      <c r="F329" t="s">
        <v>1722</v>
      </c>
      <c r="G329" t="s">
        <v>3863</v>
      </c>
      <c r="H329" t="s">
        <v>3864</v>
      </c>
    </row>
    <row r="330" spans="1:8" hidden="1" x14ac:dyDescent="0.2">
      <c r="A330" s="3" t="s">
        <v>15019</v>
      </c>
      <c r="B330" s="3" t="s">
        <v>14359</v>
      </c>
      <c r="C330" s="3" t="s">
        <v>1723</v>
      </c>
      <c r="D330" s="3" t="s">
        <v>15020</v>
      </c>
      <c r="E330" t="s">
        <v>8209</v>
      </c>
      <c r="F330" t="s">
        <v>1724</v>
      </c>
      <c r="G330" t="s">
        <v>3436</v>
      </c>
      <c r="H330" t="s">
        <v>3586</v>
      </c>
    </row>
    <row r="331" spans="1:8" hidden="1" x14ac:dyDescent="0.2">
      <c r="A331" s="3" t="s">
        <v>15021</v>
      </c>
      <c r="B331" s="3" t="s">
        <v>14359</v>
      </c>
      <c r="C331" s="3" t="s">
        <v>1725</v>
      </c>
      <c r="D331" s="3" t="s">
        <v>15022</v>
      </c>
      <c r="E331" t="s">
        <v>8181</v>
      </c>
      <c r="F331" t="s">
        <v>1726</v>
      </c>
      <c r="G331" t="s">
        <v>3863</v>
      </c>
      <c r="H331" t="s">
        <v>3864</v>
      </c>
    </row>
    <row r="332" spans="1:8" hidden="1" x14ac:dyDescent="0.2">
      <c r="A332" s="3" t="s">
        <v>15023</v>
      </c>
      <c r="B332" s="3" t="s">
        <v>14359</v>
      </c>
      <c r="C332" s="3" t="s">
        <v>1727</v>
      </c>
      <c r="D332" s="3" t="s">
        <v>15024</v>
      </c>
      <c r="E332" t="s">
        <v>8285</v>
      </c>
      <c r="F332" t="s">
        <v>1728</v>
      </c>
      <c r="G332" t="s">
        <v>3863</v>
      </c>
      <c r="H332" t="s">
        <v>3864</v>
      </c>
    </row>
    <row r="333" spans="1:8" hidden="1" x14ac:dyDescent="0.2">
      <c r="A333" s="3" t="s">
        <v>15025</v>
      </c>
      <c r="B333" s="3" t="s">
        <v>14359</v>
      </c>
      <c r="C333" s="3" t="s">
        <v>1729</v>
      </c>
      <c r="D333" s="3" t="s">
        <v>15026</v>
      </c>
      <c r="E333" t="s">
        <v>8245</v>
      </c>
      <c r="F333" t="s">
        <v>1730</v>
      </c>
      <c r="G333" t="s">
        <v>3459</v>
      </c>
      <c r="H333" t="s">
        <v>8139</v>
      </c>
    </row>
    <row r="334" spans="1:8" hidden="1" x14ac:dyDescent="0.2">
      <c r="A334" s="3" t="s">
        <v>15027</v>
      </c>
      <c r="B334" s="3" t="s">
        <v>14359</v>
      </c>
      <c r="C334" s="3" t="s">
        <v>1731</v>
      </c>
      <c r="D334" s="3" t="s">
        <v>15028</v>
      </c>
      <c r="E334" t="s">
        <v>11619</v>
      </c>
      <c r="F334" t="s">
        <v>1732</v>
      </c>
      <c r="G334" t="s">
        <v>3436</v>
      </c>
      <c r="H334" t="s">
        <v>3687</v>
      </c>
    </row>
    <row r="335" spans="1:8" hidden="1" x14ac:dyDescent="0.2">
      <c r="A335" s="3" t="s">
        <v>15029</v>
      </c>
      <c r="B335" s="3" t="s">
        <v>14359</v>
      </c>
      <c r="C335" s="3" t="s">
        <v>1733</v>
      </c>
      <c r="D335" s="3" t="s">
        <v>15030</v>
      </c>
      <c r="E335" t="s">
        <v>8260</v>
      </c>
      <c r="F335" t="s">
        <v>1734</v>
      </c>
      <c r="G335" t="s">
        <v>3436</v>
      </c>
      <c r="H335" t="s">
        <v>3661</v>
      </c>
    </row>
    <row r="336" spans="1:8" hidden="1" x14ac:dyDescent="0.2">
      <c r="A336" s="3" t="s">
        <v>15031</v>
      </c>
      <c r="B336" s="3" t="s">
        <v>14359</v>
      </c>
      <c r="C336" s="3" t="s">
        <v>1735</v>
      </c>
      <c r="D336" s="3" t="s">
        <v>15032</v>
      </c>
      <c r="E336" t="s">
        <v>19380</v>
      </c>
      <c r="F336" t="s">
        <v>14333</v>
      </c>
      <c r="G336" t="s">
        <v>3863</v>
      </c>
      <c r="H336" t="s">
        <v>3864</v>
      </c>
    </row>
    <row r="337" spans="1:8" hidden="1" x14ac:dyDescent="0.2">
      <c r="A337" s="3" t="s">
        <v>15033</v>
      </c>
      <c r="B337" s="3" t="s">
        <v>14359</v>
      </c>
      <c r="C337" s="3" t="s">
        <v>1736</v>
      </c>
      <c r="D337" s="3" t="s">
        <v>15034</v>
      </c>
      <c r="E337" t="s">
        <v>8268</v>
      </c>
      <c r="F337" t="s">
        <v>1737</v>
      </c>
      <c r="G337" t="s">
        <v>3863</v>
      </c>
      <c r="H337" t="s">
        <v>8265</v>
      </c>
    </row>
    <row r="338" spans="1:8" hidden="1" x14ac:dyDescent="0.2">
      <c r="A338" s="3" t="s">
        <v>15035</v>
      </c>
      <c r="B338" s="3" t="s">
        <v>14359</v>
      </c>
      <c r="C338" s="3" t="s">
        <v>1738</v>
      </c>
      <c r="D338" s="3" t="s">
        <v>15036</v>
      </c>
      <c r="E338" t="s">
        <v>13039</v>
      </c>
      <c r="F338" t="s">
        <v>14311</v>
      </c>
      <c r="G338" t="s">
        <v>3863</v>
      </c>
      <c r="H338" t="s">
        <v>5082</v>
      </c>
    </row>
    <row r="339" spans="1:8" hidden="1" x14ac:dyDescent="0.2">
      <c r="A339" s="3" t="s">
        <v>15037</v>
      </c>
      <c r="B339" s="3" t="s">
        <v>14359</v>
      </c>
      <c r="C339" s="3" t="s">
        <v>1739</v>
      </c>
      <c r="D339" s="3" t="s">
        <v>15038</v>
      </c>
      <c r="E339" t="s">
        <v>19381</v>
      </c>
      <c r="F339" t="s">
        <v>1740</v>
      </c>
      <c r="G339" t="s">
        <v>3459</v>
      </c>
      <c r="H339" t="s">
        <v>5441</v>
      </c>
    </row>
    <row r="340" spans="1:8" hidden="1" x14ac:dyDescent="0.2">
      <c r="A340" s="3" t="s">
        <v>15039</v>
      </c>
      <c r="B340" s="3" t="s">
        <v>14359</v>
      </c>
      <c r="C340" s="3" t="s">
        <v>1741</v>
      </c>
      <c r="D340" s="3" t="s">
        <v>15040</v>
      </c>
      <c r="E340" t="s">
        <v>19382</v>
      </c>
      <c r="F340" t="s">
        <v>1742</v>
      </c>
      <c r="G340" t="s">
        <v>3863</v>
      </c>
      <c r="H340" t="s">
        <v>5632</v>
      </c>
    </row>
    <row r="341" spans="1:8" hidden="1" x14ac:dyDescent="0.2">
      <c r="A341" s="3" t="s">
        <v>15041</v>
      </c>
      <c r="B341" s="3" t="s">
        <v>14359</v>
      </c>
      <c r="C341" s="3" t="s">
        <v>1743</v>
      </c>
      <c r="D341" s="3" t="s">
        <v>15042</v>
      </c>
      <c r="E341" t="s">
        <v>8252</v>
      </c>
      <c r="F341" t="s">
        <v>1744</v>
      </c>
      <c r="G341" t="s">
        <v>3436</v>
      </c>
      <c r="H341" t="s">
        <v>3470</v>
      </c>
    </row>
    <row r="342" spans="1:8" hidden="1" x14ac:dyDescent="0.2">
      <c r="A342" s="3" t="s">
        <v>15043</v>
      </c>
      <c r="B342" s="3" t="s">
        <v>14359</v>
      </c>
      <c r="C342" s="3" t="s">
        <v>1745</v>
      </c>
      <c r="D342" s="3" t="s">
        <v>15044</v>
      </c>
      <c r="E342" t="s">
        <v>19383</v>
      </c>
      <c r="F342" t="s">
        <v>1746</v>
      </c>
      <c r="G342" t="s">
        <v>3436</v>
      </c>
      <c r="H342" t="s">
        <v>3603</v>
      </c>
    </row>
    <row r="343" spans="1:8" hidden="1" x14ac:dyDescent="0.2">
      <c r="A343" s="3" t="s">
        <v>15045</v>
      </c>
      <c r="B343" s="3" t="s">
        <v>14359</v>
      </c>
      <c r="C343" s="3" t="s">
        <v>1747</v>
      </c>
      <c r="D343" s="3" t="s">
        <v>15046</v>
      </c>
      <c r="E343" t="s">
        <v>19384</v>
      </c>
      <c r="F343" t="s">
        <v>1748</v>
      </c>
      <c r="G343" t="s">
        <v>3436</v>
      </c>
      <c r="H343" t="s">
        <v>3437</v>
      </c>
    </row>
    <row r="344" spans="1:8" hidden="1" x14ac:dyDescent="0.2">
      <c r="A344" s="3" t="s">
        <v>15047</v>
      </c>
      <c r="B344" s="3" t="s">
        <v>14359</v>
      </c>
      <c r="C344" s="3" t="s">
        <v>1749</v>
      </c>
      <c r="D344" s="3" t="s">
        <v>15048</v>
      </c>
      <c r="E344" t="s">
        <v>8328</v>
      </c>
      <c r="F344" t="s">
        <v>1750</v>
      </c>
      <c r="G344" t="s">
        <v>3459</v>
      </c>
      <c r="H344" t="s">
        <v>7151</v>
      </c>
    </row>
    <row r="345" spans="1:8" hidden="1" x14ac:dyDescent="0.2">
      <c r="A345" s="3" t="s">
        <v>15049</v>
      </c>
      <c r="B345" s="3" t="s">
        <v>14359</v>
      </c>
      <c r="C345" s="3" t="s">
        <v>1751</v>
      </c>
      <c r="D345" s="3" t="s">
        <v>15050</v>
      </c>
      <c r="E345" t="s">
        <v>19385</v>
      </c>
      <c r="F345" t="s">
        <v>1752</v>
      </c>
      <c r="G345" t="s">
        <v>3459</v>
      </c>
      <c r="H345" t="s">
        <v>5559</v>
      </c>
    </row>
    <row r="346" spans="1:8" hidden="1" x14ac:dyDescent="0.2">
      <c r="A346" s="3" t="s">
        <v>15051</v>
      </c>
      <c r="B346" s="3" t="s">
        <v>14359</v>
      </c>
      <c r="C346" s="3" t="s">
        <v>1753</v>
      </c>
      <c r="D346" s="3" t="s">
        <v>15052</v>
      </c>
      <c r="E346" t="s">
        <v>19386</v>
      </c>
      <c r="F346" t="s">
        <v>1754</v>
      </c>
      <c r="G346" t="s">
        <v>3436</v>
      </c>
      <c r="H346" t="s">
        <v>3586</v>
      </c>
    </row>
    <row r="347" spans="1:8" hidden="1" x14ac:dyDescent="0.2">
      <c r="A347" s="3" t="s">
        <v>15053</v>
      </c>
      <c r="B347" s="3" t="s">
        <v>14359</v>
      </c>
      <c r="C347" s="3" t="s">
        <v>1755</v>
      </c>
      <c r="D347" s="3" t="s">
        <v>15054</v>
      </c>
      <c r="E347" t="s">
        <v>19387</v>
      </c>
      <c r="F347" t="s">
        <v>1756</v>
      </c>
      <c r="G347" t="s">
        <v>3459</v>
      </c>
      <c r="H347" t="s">
        <v>7722</v>
      </c>
    </row>
    <row r="348" spans="1:8" hidden="1" x14ac:dyDescent="0.2">
      <c r="A348" s="3" t="s">
        <v>15055</v>
      </c>
      <c r="B348" s="3" t="s">
        <v>14359</v>
      </c>
      <c r="C348" s="3" t="s">
        <v>1757</v>
      </c>
      <c r="D348" s="3" t="s">
        <v>15056</v>
      </c>
      <c r="E348" t="s">
        <v>8331</v>
      </c>
      <c r="F348" t="s">
        <v>1758</v>
      </c>
      <c r="G348" t="s">
        <v>3436</v>
      </c>
      <c r="H348" t="s">
        <v>3603</v>
      </c>
    </row>
    <row r="349" spans="1:8" hidden="1" x14ac:dyDescent="0.2">
      <c r="A349" s="3" t="s">
        <v>15057</v>
      </c>
      <c r="B349" s="3" t="s">
        <v>14359</v>
      </c>
      <c r="C349" s="3" t="s">
        <v>1759</v>
      </c>
      <c r="D349" s="3" t="s">
        <v>15058</v>
      </c>
      <c r="E349" t="s">
        <v>19388</v>
      </c>
      <c r="F349" t="s">
        <v>1760</v>
      </c>
      <c r="G349" t="s">
        <v>3459</v>
      </c>
      <c r="H349" t="s">
        <v>5441</v>
      </c>
    </row>
    <row r="350" spans="1:8" hidden="1" x14ac:dyDescent="0.2">
      <c r="A350" s="3" t="s">
        <v>15059</v>
      </c>
      <c r="B350" s="3" t="s">
        <v>14359</v>
      </c>
      <c r="C350" s="3" t="s">
        <v>1761</v>
      </c>
      <c r="D350" s="3" t="s">
        <v>15060</v>
      </c>
      <c r="E350" t="s">
        <v>19389</v>
      </c>
      <c r="F350" t="s">
        <v>1762</v>
      </c>
      <c r="G350" t="s">
        <v>3459</v>
      </c>
      <c r="H350" t="s">
        <v>5441</v>
      </c>
    </row>
    <row r="351" spans="1:8" hidden="1" x14ac:dyDescent="0.2">
      <c r="A351" s="3" t="s">
        <v>15061</v>
      </c>
      <c r="B351" s="3" t="s">
        <v>14359</v>
      </c>
      <c r="C351" s="3" t="s">
        <v>1763</v>
      </c>
      <c r="D351" s="3" t="s">
        <v>15062</v>
      </c>
      <c r="E351" t="s">
        <v>19390</v>
      </c>
      <c r="F351" t="s">
        <v>1764</v>
      </c>
      <c r="G351" t="s">
        <v>3459</v>
      </c>
      <c r="H351" t="s">
        <v>8397</v>
      </c>
    </row>
    <row r="352" spans="1:8" hidden="1" x14ac:dyDescent="0.2">
      <c r="A352" s="3" t="s">
        <v>15063</v>
      </c>
      <c r="B352" s="3" t="s">
        <v>14359</v>
      </c>
      <c r="C352" s="3" t="s">
        <v>1765</v>
      </c>
      <c r="D352" s="3" t="s">
        <v>15064</v>
      </c>
      <c r="E352" t="s">
        <v>8363</v>
      </c>
      <c r="F352" t="s">
        <v>1766</v>
      </c>
      <c r="G352" t="s">
        <v>3436</v>
      </c>
      <c r="H352" t="s">
        <v>3498</v>
      </c>
    </row>
    <row r="353" spans="1:8" hidden="1" x14ac:dyDescent="0.2">
      <c r="A353" s="3" t="s">
        <v>15065</v>
      </c>
      <c r="B353" s="3" t="s">
        <v>14359</v>
      </c>
      <c r="C353" s="3" t="s">
        <v>1767</v>
      </c>
      <c r="D353" s="3" t="s">
        <v>15066</v>
      </c>
      <c r="E353" t="s">
        <v>19391</v>
      </c>
      <c r="F353" t="s">
        <v>1768</v>
      </c>
      <c r="G353" t="s">
        <v>3459</v>
      </c>
      <c r="H353" t="s">
        <v>814</v>
      </c>
    </row>
    <row r="354" spans="1:8" hidden="1" x14ac:dyDescent="0.2">
      <c r="A354" s="3" t="s">
        <v>15067</v>
      </c>
      <c r="B354" s="3" t="s">
        <v>14359</v>
      </c>
      <c r="C354" s="3" t="s">
        <v>1769</v>
      </c>
      <c r="D354" s="3" t="s">
        <v>15068</v>
      </c>
      <c r="E354" t="s">
        <v>19392</v>
      </c>
      <c r="F354" t="s">
        <v>1770</v>
      </c>
      <c r="G354" t="s">
        <v>3863</v>
      </c>
      <c r="H354" t="s">
        <v>3864</v>
      </c>
    </row>
    <row r="355" spans="1:8" hidden="1" x14ac:dyDescent="0.2">
      <c r="A355" s="3" t="s">
        <v>15069</v>
      </c>
      <c r="B355" s="3" t="s">
        <v>14359</v>
      </c>
      <c r="C355" s="3" t="s">
        <v>1771</v>
      </c>
      <c r="D355" s="3" t="s">
        <v>15070</v>
      </c>
      <c r="E355" t="s">
        <v>8356</v>
      </c>
      <c r="F355" t="s">
        <v>1772</v>
      </c>
      <c r="G355" t="s">
        <v>3459</v>
      </c>
      <c r="H355" t="s">
        <v>4869</v>
      </c>
    </row>
    <row r="356" spans="1:8" hidden="1" x14ac:dyDescent="0.2">
      <c r="A356" s="3" t="s">
        <v>15071</v>
      </c>
      <c r="B356" s="3" t="s">
        <v>14359</v>
      </c>
      <c r="C356" s="3" t="s">
        <v>1773</v>
      </c>
      <c r="D356" s="3" t="s">
        <v>15072</v>
      </c>
      <c r="E356" t="s">
        <v>19393</v>
      </c>
      <c r="F356" t="s">
        <v>1774</v>
      </c>
      <c r="G356" t="s">
        <v>3459</v>
      </c>
      <c r="H356" t="s">
        <v>814</v>
      </c>
    </row>
    <row r="357" spans="1:8" hidden="1" x14ac:dyDescent="0.2">
      <c r="A357" s="3" t="s">
        <v>15073</v>
      </c>
      <c r="B357" s="3" t="s">
        <v>14359</v>
      </c>
      <c r="C357" s="3" t="s">
        <v>1775</v>
      </c>
      <c r="D357" s="3" t="s">
        <v>15074</v>
      </c>
      <c r="E357" t="s">
        <v>8470</v>
      </c>
      <c r="F357" t="s">
        <v>1776</v>
      </c>
      <c r="G357" t="s">
        <v>3459</v>
      </c>
      <c r="H357" t="s">
        <v>5418</v>
      </c>
    </row>
    <row r="358" spans="1:8" hidden="1" x14ac:dyDescent="0.2">
      <c r="A358" s="3" t="s">
        <v>15075</v>
      </c>
      <c r="B358" s="3" t="s">
        <v>14359</v>
      </c>
      <c r="C358" s="3" t="s">
        <v>1777</v>
      </c>
      <c r="D358" s="3" t="s">
        <v>15076</v>
      </c>
      <c r="E358" t="s">
        <v>8426</v>
      </c>
      <c r="F358" t="s">
        <v>1778</v>
      </c>
      <c r="G358" t="s">
        <v>3863</v>
      </c>
      <c r="H358" t="s">
        <v>5632</v>
      </c>
    </row>
    <row r="359" spans="1:8" hidden="1" x14ac:dyDescent="0.2">
      <c r="A359" s="3" t="s">
        <v>15077</v>
      </c>
      <c r="B359" s="3" t="s">
        <v>14359</v>
      </c>
      <c r="C359" s="3" t="s">
        <v>1779</v>
      </c>
      <c r="D359" s="3" t="s">
        <v>15078</v>
      </c>
      <c r="E359" t="s">
        <v>19394</v>
      </c>
      <c r="F359" t="s">
        <v>1780</v>
      </c>
      <c r="G359" t="s">
        <v>3436</v>
      </c>
      <c r="H359" t="s">
        <v>3687</v>
      </c>
    </row>
    <row r="360" spans="1:8" hidden="1" x14ac:dyDescent="0.2">
      <c r="A360" s="3" t="s">
        <v>15079</v>
      </c>
      <c r="B360" s="3" t="s">
        <v>14359</v>
      </c>
      <c r="C360" s="3" t="s">
        <v>1781</v>
      </c>
      <c r="D360" s="3" t="s">
        <v>15080</v>
      </c>
      <c r="E360" t="s">
        <v>19395</v>
      </c>
      <c r="F360" t="s">
        <v>1782</v>
      </c>
      <c r="G360" t="s">
        <v>3459</v>
      </c>
      <c r="H360" t="s">
        <v>6535</v>
      </c>
    </row>
    <row r="361" spans="1:8" hidden="1" x14ac:dyDescent="0.2">
      <c r="A361" s="3" t="s">
        <v>15081</v>
      </c>
      <c r="B361" s="3" t="s">
        <v>14359</v>
      </c>
      <c r="C361" s="3" t="s">
        <v>1783</v>
      </c>
      <c r="D361" s="3" t="s">
        <v>15082</v>
      </c>
      <c r="E361" t="s">
        <v>8419</v>
      </c>
      <c r="F361" t="s">
        <v>13946</v>
      </c>
      <c r="G361" t="s">
        <v>3436</v>
      </c>
      <c r="H361" t="s">
        <v>3687</v>
      </c>
    </row>
    <row r="362" spans="1:8" hidden="1" x14ac:dyDescent="0.2">
      <c r="A362" s="3" t="s">
        <v>15083</v>
      </c>
      <c r="B362" s="3" t="s">
        <v>14359</v>
      </c>
      <c r="C362" s="3" t="s">
        <v>1784</v>
      </c>
      <c r="D362" s="3" t="s">
        <v>15084</v>
      </c>
      <c r="E362" t="s">
        <v>8510</v>
      </c>
      <c r="F362" t="s">
        <v>1785</v>
      </c>
      <c r="G362" t="s">
        <v>3863</v>
      </c>
      <c r="H362" t="s">
        <v>3864</v>
      </c>
    </row>
    <row r="363" spans="1:8" hidden="1" x14ac:dyDescent="0.2">
      <c r="A363" s="3" t="s">
        <v>15085</v>
      </c>
      <c r="B363" s="3" t="s">
        <v>14359</v>
      </c>
      <c r="C363" s="3" t="s">
        <v>1786</v>
      </c>
      <c r="D363" s="3" t="s">
        <v>15086</v>
      </c>
      <c r="E363" t="s">
        <v>8474</v>
      </c>
      <c r="F363" t="s">
        <v>1787</v>
      </c>
      <c r="G363" t="s">
        <v>3863</v>
      </c>
      <c r="H363" t="s">
        <v>3864</v>
      </c>
    </row>
    <row r="364" spans="1:8" hidden="1" x14ac:dyDescent="0.2">
      <c r="A364" s="3" t="s">
        <v>15087</v>
      </c>
      <c r="B364" s="3" t="s">
        <v>14359</v>
      </c>
      <c r="C364" s="3" t="s">
        <v>1788</v>
      </c>
      <c r="D364" s="3" t="s">
        <v>15088</v>
      </c>
      <c r="E364" t="s">
        <v>8408</v>
      </c>
      <c r="F364" t="s">
        <v>1789</v>
      </c>
      <c r="G364" t="s">
        <v>3459</v>
      </c>
      <c r="H364" t="s">
        <v>5559</v>
      </c>
    </row>
    <row r="365" spans="1:8" hidden="1" x14ac:dyDescent="0.2">
      <c r="A365" s="3" t="s">
        <v>15089</v>
      </c>
      <c r="B365" s="3" t="s">
        <v>14359</v>
      </c>
      <c r="C365" s="3" t="s">
        <v>1790</v>
      </c>
      <c r="D365" s="3" t="s">
        <v>15090</v>
      </c>
      <c r="E365" t="s">
        <v>19396</v>
      </c>
      <c r="F365" t="s">
        <v>19111</v>
      </c>
      <c r="G365" t="s">
        <v>3436</v>
      </c>
      <c r="H365" t="s">
        <v>3687</v>
      </c>
    </row>
    <row r="366" spans="1:8" hidden="1" x14ac:dyDescent="0.2">
      <c r="A366" s="3" t="s">
        <v>15091</v>
      </c>
      <c r="B366" s="3" t="s">
        <v>14359</v>
      </c>
      <c r="C366" s="3" t="s">
        <v>1791</v>
      </c>
      <c r="D366" s="3" t="s">
        <v>15092</v>
      </c>
      <c r="E366" t="s">
        <v>19397</v>
      </c>
      <c r="F366" t="s">
        <v>1792</v>
      </c>
      <c r="G366" t="s">
        <v>3863</v>
      </c>
      <c r="H366" t="s">
        <v>5082</v>
      </c>
    </row>
    <row r="367" spans="1:8" hidden="1" x14ac:dyDescent="0.2">
      <c r="A367" s="3" t="s">
        <v>15093</v>
      </c>
      <c r="B367" s="3" t="s">
        <v>14359</v>
      </c>
      <c r="C367" s="3" t="s">
        <v>1793</v>
      </c>
      <c r="D367" s="3" t="s">
        <v>15094</v>
      </c>
      <c r="E367" t="s">
        <v>19398</v>
      </c>
      <c r="F367" t="s">
        <v>1794</v>
      </c>
      <c r="G367" t="s">
        <v>3863</v>
      </c>
      <c r="H367" t="s">
        <v>3864</v>
      </c>
    </row>
    <row r="368" spans="1:8" hidden="1" x14ac:dyDescent="0.2">
      <c r="A368" s="3" t="s">
        <v>15095</v>
      </c>
      <c r="B368" s="3" t="s">
        <v>14359</v>
      </c>
      <c r="C368" s="3" t="s">
        <v>1795</v>
      </c>
      <c r="D368" s="3" t="s">
        <v>15096</v>
      </c>
      <c r="E368" t="s">
        <v>8498</v>
      </c>
      <c r="F368" t="s">
        <v>1796</v>
      </c>
      <c r="G368" t="s">
        <v>3863</v>
      </c>
      <c r="H368" t="s">
        <v>5632</v>
      </c>
    </row>
    <row r="369" spans="1:8" hidden="1" x14ac:dyDescent="0.2">
      <c r="A369" s="3" t="s">
        <v>15097</v>
      </c>
      <c r="B369" s="3" t="s">
        <v>14359</v>
      </c>
      <c r="C369" s="3" t="s">
        <v>1797</v>
      </c>
      <c r="D369" s="3" t="s">
        <v>15098</v>
      </c>
      <c r="E369" t="s">
        <v>19399</v>
      </c>
      <c r="F369" t="s">
        <v>1798</v>
      </c>
      <c r="G369" t="s">
        <v>3436</v>
      </c>
      <c r="H369" t="s">
        <v>3687</v>
      </c>
    </row>
    <row r="370" spans="1:8" hidden="1" x14ac:dyDescent="0.2">
      <c r="A370" s="3" t="s">
        <v>15099</v>
      </c>
      <c r="B370" s="3" t="s">
        <v>14359</v>
      </c>
      <c r="C370" s="3" t="s">
        <v>1799</v>
      </c>
      <c r="D370" s="3" t="s">
        <v>15100</v>
      </c>
      <c r="E370" t="s">
        <v>8450</v>
      </c>
      <c r="F370" t="s">
        <v>1800</v>
      </c>
      <c r="G370" t="s">
        <v>3863</v>
      </c>
      <c r="H370" t="s">
        <v>5082</v>
      </c>
    </row>
    <row r="371" spans="1:8" hidden="1" x14ac:dyDescent="0.2">
      <c r="A371" s="3" t="s">
        <v>15101</v>
      </c>
      <c r="B371" s="3" t="s">
        <v>14359</v>
      </c>
      <c r="C371" s="3" t="s">
        <v>1801</v>
      </c>
      <c r="D371" s="3" t="s">
        <v>15102</v>
      </c>
      <c r="E371" t="s">
        <v>8445</v>
      </c>
      <c r="F371" t="s">
        <v>1802</v>
      </c>
      <c r="G371" t="s">
        <v>3863</v>
      </c>
      <c r="H371" t="s">
        <v>5632</v>
      </c>
    </row>
    <row r="372" spans="1:8" hidden="1" x14ac:dyDescent="0.2">
      <c r="A372" s="3" t="s">
        <v>15103</v>
      </c>
      <c r="B372" s="3" t="s">
        <v>14359</v>
      </c>
      <c r="C372" s="3" t="s">
        <v>1803</v>
      </c>
      <c r="D372" s="3" t="s">
        <v>15104</v>
      </c>
      <c r="E372" t="s">
        <v>19400</v>
      </c>
      <c r="F372" t="s">
        <v>1804</v>
      </c>
      <c r="G372" t="s">
        <v>3977</v>
      </c>
      <c r="H372" t="s">
        <v>4446</v>
      </c>
    </row>
    <row r="373" spans="1:8" hidden="1" x14ac:dyDescent="0.2">
      <c r="A373" s="3" t="s">
        <v>15105</v>
      </c>
      <c r="B373" s="3" t="s">
        <v>14359</v>
      </c>
      <c r="C373" s="3" t="s">
        <v>1805</v>
      </c>
      <c r="D373" s="3" t="s">
        <v>15106</v>
      </c>
      <c r="E373" t="s">
        <v>19401</v>
      </c>
      <c r="F373" t="s">
        <v>1806</v>
      </c>
      <c r="G373" t="s">
        <v>3459</v>
      </c>
      <c r="H373" t="s">
        <v>8397</v>
      </c>
    </row>
    <row r="374" spans="1:8" hidden="1" x14ac:dyDescent="0.2">
      <c r="A374" s="3" t="s">
        <v>15107</v>
      </c>
      <c r="B374" s="3" t="s">
        <v>14359</v>
      </c>
      <c r="C374" s="3" t="s">
        <v>1807</v>
      </c>
      <c r="D374" s="3" t="s">
        <v>15108</v>
      </c>
      <c r="E374" t="s">
        <v>19402</v>
      </c>
      <c r="F374" t="s">
        <v>1808</v>
      </c>
      <c r="G374" t="s">
        <v>3853</v>
      </c>
      <c r="H374" t="s">
        <v>6422</v>
      </c>
    </row>
    <row r="375" spans="1:8" hidden="1" x14ac:dyDescent="0.2">
      <c r="A375" s="3" t="s">
        <v>15109</v>
      </c>
      <c r="B375" s="3" t="s">
        <v>14359</v>
      </c>
      <c r="C375" s="3" t="s">
        <v>1809</v>
      </c>
      <c r="D375" s="3" t="s">
        <v>15110</v>
      </c>
      <c r="E375" t="s">
        <v>19403</v>
      </c>
      <c r="F375" t="s">
        <v>19112</v>
      </c>
      <c r="G375" t="s">
        <v>3863</v>
      </c>
      <c r="H375" t="s">
        <v>5632</v>
      </c>
    </row>
    <row r="376" spans="1:8" hidden="1" x14ac:dyDescent="0.2">
      <c r="A376" s="3" t="s">
        <v>15111</v>
      </c>
      <c r="B376" s="3" t="s">
        <v>14359</v>
      </c>
      <c r="C376" s="3" t="s">
        <v>1810</v>
      </c>
      <c r="D376" s="3" t="s">
        <v>15112</v>
      </c>
      <c r="E376" t="s">
        <v>19404</v>
      </c>
      <c r="F376" t="s">
        <v>1811</v>
      </c>
      <c r="G376" t="s">
        <v>3459</v>
      </c>
      <c r="H376" t="s">
        <v>814</v>
      </c>
    </row>
    <row r="377" spans="1:8" hidden="1" x14ac:dyDescent="0.2">
      <c r="A377" s="3" t="s">
        <v>15113</v>
      </c>
      <c r="B377" s="3" t="s">
        <v>14359</v>
      </c>
      <c r="C377" s="3" t="s">
        <v>1812</v>
      </c>
      <c r="D377" s="3" t="s">
        <v>15114</v>
      </c>
      <c r="E377" t="s">
        <v>19405</v>
      </c>
      <c r="F377" t="s">
        <v>1813</v>
      </c>
      <c r="G377" t="s">
        <v>3459</v>
      </c>
      <c r="H377" t="s">
        <v>814</v>
      </c>
    </row>
    <row r="378" spans="1:8" hidden="1" x14ac:dyDescent="0.2">
      <c r="A378" s="3" t="s">
        <v>15115</v>
      </c>
      <c r="B378" s="3" t="s">
        <v>14359</v>
      </c>
      <c r="C378" s="3" t="s">
        <v>1814</v>
      </c>
      <c r="D378" s="3" t="s">
        <v>15116</v>
      </c>
      <c r="E378" t="s">
        <v>19406</v>
      </c>
      <c r="F378" t="s">
        <v>1815</v>
      </c>
      <c r="G378" t="s">
        <v>3459</v>
      </c>
      <c r="H378" t="s">
        <v>814</v>
      </c>
    </row>
    <row r="379" spans="1:8" hidden="1" x14ac:dyDescent="0.2">
      <c r="A379" s="3" t="s">
        <v>15117</v>
      </c>
      <c r="B379" s="3" t="s">
        <v>14359</v>
      </c>
      <c r="C379" s="3" t="s">
        <v>1816</v>
      </c>
      <c r="D379" s="3" t="s">
        <v>15118</v>
      </c>
      <c r="E379" t="s">
        <v>19407</v>
      </c>
      <c r="F379" t="s">
        <v>1817</v>
      </c>
      <c r="G379" t="s">
        <v>3863</v>
      </c>
      <c r="H379" t="s">
        <v>5082</v>
      </c>
    </row>
    <row r="380" spans="1:8" hidden="1" x14ac:dyDescent="0.2">
      <c r="A380" s="3" t="s">
        <v>15119</v>
      </c>
      <c r="B380" s="3" t="s">
        <v>14359</v>
      </c>
      <c r="C380" s="3" t="s">
        <v>1818</v>
      </c>
      <c r="D380" s="3" t="s">
        <v>15120</v>
      </c>
      <c r="E380" t="s">
        <v>8563</v>
      </c>
      <c r="F380" t="s">
        <v>1819</v>
      </c>
      <c r="G380" t="s">
        <v>3436</v>
      </c>
      <c r="H380" t="s">
        <v>3687</v>
      </c>
    </row>
    <row r="381" spans="1:8" hidden="1" x14ac:dyDescent="0.2">
      <c r="A381" s="3" t="s">
        <v>15121</v>
      </c>
      <c r="B381" s="3" t="s">
        <v>14359</v>
      </c>
      <c r="C381" s="3" t="s">
        <v>1820</v>
      </c>
      <c r="D381" s="3" t="s">
        <v>15122</v>
      </c>
      <c r="E381" t="s">
        <v>19408</v>
      </c>
      <c r="F381" t="s">
        <v>1821</v>
      </c>
      <c r="G381" t="s">
        <v>3863</v>
      </c>
      <c r="H381" t="s">
        <v>3864</v>
      </c>
    </row>
    <row r="382" spans="1:8" hidden="1" x14ac:dyDescent="0.2">
      <c r="A382" s="3" t="s">
        <v>15123</v>
      </c>
      <c r="B382" s="3" t="s">
        <v>14359</v>
      </c>
      <c r="C382" s="3" t="s">
        <v>1822</v>
      </c>
      <c r="D382" s="3" t="s">
        <v>15124</v>
      </c>
      <c r="E382" t="s">
        <v>19409</v>
      </c>
      <c r="F382" t="s">
        <v>1823</v>
      </c>
      <c r="G382" t="s">
        <v>3459</v>
      </c>
      <c r="H382" t="s">
        <v>814</v>
      </c>
    </row>
    <row r="383" spans="1:8" hidden="1" x14ac:dyDescent="0.2">
      <c r="A383" s="3" t="s">
        <v>15125</v>
      </c>
      <c r="B383" s="3" t="s">
        <v>14359</v>
      </c>
      <c r="C383" s="3" t="s">
        <v>1824</v>
      </c>
      <c r="D383" s="3" t="s">
        <v>15126</v>
      </c>
      <c r="E383" t="s">
        <v>8559</v>
      </c>
      <c r="F383" t="s">
        <v>1825</v>
      </c>
      <c r="G383" t="s">
        <v>3863</v>
      </c>
      <c r="H383" t="s">
        <v>5632</v>
      </c>
    </row>
    <row r="384" spans="1:8" hidden="1" x14ac:dyDescent="0.2">
      <c r="A384" s="3" t="s">
        <v>15127</v>
      </c>
      <c r="B384" s="3" t="s">
        <v>14359</v>
      </c>
      <c r="C384" s="3" t="s">
        <v>1826</v>
      </c>
      <c r="D384" s="3" t="s">
        <v>15128</v>
      </c>
      <c r="E384" t="s">
        <v>19410</v>
      </c>
      <c r="F384" t="s">
        <v>1827</v>
      </c>
      <c r="G384" t="s">
        <v>3436</v>
      </c>
      <c r="H384" t="s">
        <v>3687</v>
      </c>
    </row>
    <row r="385" spans="1:8" hidden="1" x14ac:dyDescent="0.2">
      <c r="A385" s="3" t="s">
        <v>15129</v>
      </c>
      <c r="B385" s="3" t="s">
        <v>14359</v>
      </c>
      <c r="C385" s="3" t="s">
        <v>1828</v>
      </c>
      <c r="D385" s="3" t="s">
        <v>15130</v>
      </c>
      <c r="E385" t="s">
        <v>8643</v>
      </c>
      <c r="F385" t="s">
        <v>1829</v>
      </c>
      <c r="G385" t="s">
        <v>3436</v>
      </c>
      <c r="H385" t="s">
        <v>3670</v>
      </c>
    </row>
    <row r="386" spans="1:8" hidden="1" x14ac:dyDescent="0.2">
      <c r="A386" s="3" t="s">
        <v>15131</v>
      </c>
      <c r="B386" s="3" t="s">
        <v>14359</v>
      </c>
      <c r="C386" s="3" t="s">
        <v>1830</v>
      </c>
      <c r="D386" s="3" t="s">
        <v>15132</v>
      </c>
      <c r="E386" t="s">
        <v>19411</v>
      </c>
      <c r="F386" t="s">
        <v>1831</v>
      </c>
      <c r="G386" t="s">
        <v>3479</v>
      </c>
      <c r="H386" t="s">
        <v>3480</v>
      </c>
    </row>
    <row r="387" spans="1:8" hidden="1" x14ac:dyDescent="0.2">
      <c r="A387" s="3" t="s">
        <v>15131</v>
      </c>
      <c r="B387" s="3" t="s">
        <v>14359</v>
      </c>
      <c r="C387" s="3" t="s">
        <v>1830</v>
      </c>
      <c r="D387" s="3" t="s">
        <v>15133</v>
      </c>
      <c r="E387" t="s">
        <v>19411</v>
      </c>
      <c r="F387" t="s">
        <v>1831</v>
      </c>
      <c r="G387" t="s">
        <v>3479</v>
      </c>
      <c r="H387" t="s">
        <v>3480</v>
      </c>
    </row>
    <row r="388" spans="1:8" hidden="1" x14ac:dyDescent="0.2">
      <c r="A388" s="3" t="s">
        <v>15134</v>
      </c>
      <c r="B388" s="3" t="s">
        <v>14359</v>
      </c>
      <c r="C388" s="3" t="s">
        <v>1832</v>
      </c>
      <c r="D388" s="3" t="s">
        <v>15135</v>
      </c>
      <c r="E388" t="s">
        <v>8656</v>
      </c>
      <c r="F388" t="s">
        <v>1833</v>
      </c>
      <c r="G388" t="s">
        <v>3863</v>
      </c>
      <c r="H388" t="s">
        <v>5632</v>
      </c>
    </row>
    <row r="389" spans="1:8" hidden="1" x14ac:dyDescent="0.2">
      <c r="A389" s="3" t="s">
        <v>15136</v>
      </c>
      <c r="B389" s="3" t="s">
        <v>14359</v>
      </c>
      <c r="C389" s="3" t="s">
        <v>1834</v>
      </c>
      <c r="D389" s="3" t="s">
        <v>15137</v>
      </c>
      <c r="E389" t="s">
        <v>8664</v>
      </c>
      <c r="F389" t="s">
        <v>1835</v>
      </c>
      <c r="G389" t="s">
        <v>3863</v>
      </c>
      <c r="H389" t="s">
        <v>5082</v>
      </c>
    </row>
    <row r="390" spans="1:8" hidden="1" x14ac:dyDescent="0.2">
      <c r="A390" s="3" t="s">
        <v>15138</v>
      </c>
      <c r="B390" s="3" t="s">
        <v>14359</v>
      </c>
      <c r="C390" s="3" t="s">
        <v>1836</v>
      </c>
      <c r="D390" s="3" t="s">
        <v>15139</v>
      </c>
      <c r="E390" t="s">
        <v>8672</v>
      </c>
      <c r="F390" t="s">
        <v>1837</v>
      </c>
      <c r="G390" t="s">
        <v>3436</v>
      </c>
      <c r="H390" t="s">
        <v>3470</v>
      </c>
    </row>
    <row r="391" spans="1:8" hidden="1" x14ac:dyDescent="0.2">
      <c r="A391" s="3" t="s">
        <v>15140</v>
      </c>
      <c r="B391" s="3" t="s">
        <v>14359</v>
      </c>
      <c r="C391" s="3" t="s">
        <v>1838</v>
      </c>
      <c r="D391" s="3" t="s">
        <v>15141</v>
      </c>
      <c r="E391" t="s">
        <v>8661</v>
      </c>
      <c r="F391" t="s">
        <v>1839</v>
      </c>
      <c r="G391" t="s">
        <v>3863</v>
      </c>
      <c r="H391" t="s">
        <v>5082</v>
      </c>
    </row>
    <row r="392" spans="1:8" hidden="1" x14ac:dyDescent="0.2">
      <c r="A392" s="3" t="s">
        <v>15142</v>
      </c>
      <c r="B392" s="3" t="s">
        <v>14359</v>
      </c>
      <c r="C392" s="3" t="s">
        <v>1840</v>
      </c>
      <c r="D392" s="3" t="s">
        <v>15143</v>
      </c>
      <c r="E392" t="s">
        <v>19412</v>
      </c>
      <c r="F392" t="s">
        <v>1841</v>
      </c>
      <c r="G392" t="s">
        <v>3459</v>
      </c>
      <c r="H392" t="s">
        <v>814</v>
      </c>
    </row>
    <row r="393" spans="1:8" hidden="1" x14ac:dyDescent="0.2">
      <c r="A393" s="3" t="s">
        <v>15144</v>
      </c>
      <c r="B393" s="3" t="s">
        <v>14359</v>
      </c>
      <c r="C393" s="3" t="s">
        <v>1842</v>
      </c>
      <c r="D393" s="3" t="s">
        <v>15145</v>
      </c>
      <c r="E393" t="s">
        <v>19413</v>
      </c>
      <c r="F393" t="s">
        <v>1843</v>
      </c>
      <c r="G393" t="s">
        <v>3977</v>
      </c>
      <c r="H393" t="s">
        <v>4446</v>
      </c>
    </row>
    <row r="394" spans="1:8" hidden="1" x14ac:dyDescent="0.2">
      <c r="A394" s="3" t="s">
        <v>15146</v>
      </c>
      <c r="B394" s="3" t="s">
        <v>14359</v>
      </c>
      <c r="C394" s="3" t="s">
        <v>1844</v>
      </c>
      <c r="D394" s="3" t="s">
        <v>15147</v>
      </c>
      <c r="E394" t="s">
        <v>8636</v>
      </c>
      <c r="F394" t="s">
        <v>1845</v>
      </c>
      <c r="G394" t="s">
        <v>3459</v>
      </c>
      <c r="H394" t="s">
        <v>4869</v>
      </c>
    </row>
    <row r="395" spans="1:8" hidden="1" x14ac:dyDescent="0.2">
      <c r="A395" s="3" t="s">
        <v>15148</v>
      </c>
      <c r="B395" s="3" t="s">
        <v>14359</v>
      </c>
      <c r="C395" s="3" t="s">
        <v>1846</v>
      </c>
      <c r="D395" s="3" t="s">
        <v>15112</v>
      </c>
      <c r="E395" t="s">
        <v>19414</v>
      </c>
      <c r="F395" t="s">
        <v>1847</v>
      </c>
      <c r="G395" t="s">
        <v>3459</v>
      </c>
      <c r="H395" t="s">
        <v>814</v>
      </c>
    </row>
    <row r="396" spans="1:8" hidden="1" x14ac:dyDescent="0.2">
      <c r="A396" s="3" t="s">
        <v>15149</v>
      </c>
      <c r="B396" s="3" t="s">
        <v>14359</v>
      </c>
      <c r="C396" s="3" t="s">
        <v>1848</v>
      </c>
      <c r="D396" s="3" t="s">
        <v>15150</v>
      </c>
      <c r="E396" t="s">
        <v>8649</v>
      </c>
      <c r="F396" t="s">
        <v>1849</v>
      </c>
      <c r="G396" t="s">
        <v>3459</v>
      </c>
      <c r="H396" t="s">
        <v>3749</v>
      </c>
    </row>
    <row r="397" spans="1:8" hidden="1" x14ac:dyDescent="0.2">
      <c r="A397" s="3" t="s">
        <v>15151</v>
      </c>
      <c r="B397" s="3" t="s">
        <v>14359</v>
      </c>
      <c r="C397" s="3" t="s">
        <v>1850</v>
      </c>
      <c r="D397" s="3" t="s">
        <v>15152</v>
      </c>
      <c r="E397" t="s">
        <v>8667</v>
      </c>
      <c r="F397" t="s">
        <v>1851</v>
      </c>
      <c r="G397" t="s">
        <v>3436</v>
      </c>
      <c r="H397" t="s">
        <v>3470</v>
      </c>
    </row>
    <row r="398" spans="1:8" hidden="1" x14ac:dyDescent="0.2">
      <c r="A398" s="3" t="s">
        <v>15153</v>
      </c>
      <c r="B398" s="3" t="s">
        <v>14359</v>
      </c>
      <c r="C398" s="3" t="s">
        <v>1852</v>
      </c>
      <c r="D398" s="3" t="s">
        <v>15154</v>
      </c>
      <c r="E398" t="s">
        <v>19415</v>
      </c>
      <c r="F398" t="s">
        <v>1853</v>
      </c>
      <c r="G398" t="s">
        <v>3436</v>
      </c>
      <c r="H398" t="s">
        <v>3687</v>
      </c>
    </row>
    <row r="399" spans="1:8" hidden="1" x14ac:dyDescent="0.2">
      <c r="A399" s="3" t="s">
        <v>15155</v>
      </c>
      <c r="B399" s="3" t="s">
        <v>14359</v>
      </c>
      <c r="C399" s="3" t="s">
        <v>1854</v>
      </c>
      <c r="D399" s="3" t="s">
        <v>15112</v>
      </c>
      <c r="E399" t="s">
        <v>19416</v>
      </c>
      <c r="F399" t="s">
        <v>1855</v>
      </c>
      <c r="G399" t="s">
        <v>3459</v>
      </c>
      <c r="H399" t="s">
        <v>814</v>
      </c>
    </row>
    <row r="400" spans="1:8" hidden="1" x14ac:dyDescent="0.2">
      <c r="A400" s="3" t="s">
        <v>15156</v>
      </c>
      <c r="B400" s="3" t="s">
        <v>14359</v>
      </c>
      <c r="C400" s="3" t="s">
        <v>1856</v>
      </c>
      <c r="D400" s="3" t="s">
        <v>15157</v>
      </c>
      <c r="E400" t="s">
        <v>19417</v>
      </c>
      <c r="F400" t="s">
        <v>1857</v>
      </c>
      <c r="G400" t="s">
        <v>3459</v>
      </c>
      <c r="H400" t="s">
        <v>8397</v>
      </c>
    </row>
    <row r="401" spans="1:8" hidden="1" x14ac:dyDescent="0.2">
      <c r="A401" s="3" t="s">
        <v>15158</v>
      </c>
      <c r="B401" s="3" t="s">
        <v>14359</v>
      </c>
      <c r="C401" s="3" t="s">
        <v>1858</v>
      </c>
      <c r="D401" s="3" t="s">
        <v>15159</v>
      </c>
      <c r="E401" t="s">
        <v>19418</v>
      </c>
      <c r="F401" t="s">
        <v>1859</v>
      </c>
      <c r="G401" t="s">
        <v>3436</v>
      </c>
      <c r="H401" t="s">
        <v>3687</v>
      </c>
    </row>
    <row r="402" spans="1:8" hidden="1" x14ac:dyDescent="0.2">
      <c r="A402" s="3" t="s">
        <v>15160</v>
      </c>
      <c r="B402" s="3" t="s">
        <v>14359</v>
      </c>
      <c r="C402" s="3" t="s">
        <v>1860</v>
      </c>
      <c r="D402" s="3" t="s">
        <v>15161</v>
      </c>
      <c r="E402" t="s">
        <v>19419</v>
      </c>
      <c r="F402" t="s">
        <v>1861</v>
      </c>
      <c r="G402" t="s">
        <v>3459</v>
      </c>
      <c r="H402" t="s">
        <v>814</v>
      </c>
    </row>
    <row r="403" spans="1:8" hidden="1" x14ac:dyDescent="0.2">
      <c r="A403" s="3" t="s">
        <v>15162</v>
      </c>
      <c r="B403" s="3" t="s">
        <v>14359</v>
      </c>
      <c r="C403" s="3" t="s">
        <v>1862</v>
      </c>
      <c r="D403" s="3" t="s">
        <v>15163</v>
      </c>
      <c r="E403" t="s">
        <v>19420</v>
      </c>
      <c r="F403" t="s">
        <v>1863</v>
      </c>
      <c r="G403" t="s">
        <v>3977</v>
      </c>
      <c r="H403" t="s">
        <v>4806</v>
      </c>
    </row>
    <row r="404" spans="1:8" hidden="1" x14ac:dyDescent="0.2">
      <c r="A404" s="3" t="s">
        <v>15164</v>
      </c>
      <c r="B404" s="3" t="s">
        <v>14359</v>
      </c>
      <c r="C404" s="3" t="s">
        <v>1864</v>
      </c>
      <c r="D404" s="3" t="s">
        <v>15165</v>
      </c>
      <c r="E404" t="s">
        <v>19421</v>
      </c>
      <c r="F404" t="s">
        <v>1865</v>
      </c>
      <c r="G404" t="s">
        <v>3459</v>
      </c>
      <c r="H404" t="s">
        <v>3516</v>
      </c>
    </row>
    <row r="405" spans="1:8" hidden="1" x14ac:dyDescent="0.2">
      <c r="A405" s="3" t="s">
        <v>15166</v>
      </c>
      <c r="B405" s="3" t="s">
        <v>14359</v>
      </c>
      <c r="C405" s="3" t="s">
        <v>1866</v>
      </c>
      <c r="D405" s="3" t="s">
        <v>15167</v>
      </c>
      <c r="E405" t="s">
        <v>19422</v>
      </c>
      <c r="F405" t="s">
        <v>13960</v>
      </c>
      <c r="G405" t="s">
        <v>3863</v>
      </c>
      <c r="H405" t="s">
        <v>3864</v>
      </c>
    </row>
    <row r="406" spans="1:8" hidden="1" x14ac:dyDescent="0.2">
      <c r="A406" s="3" t="s">
        <v>15168</v>
      </c>
      <c r="B406" s="3" t="s">
        <v>14359</v>
      </c>
      <c r="C406" s="3" t="s">
        <v>1867</v>
      </c>
      <c r="D406" s="3" t="s">
        <v>15169</v>
      </c>
      <c r="E406" t="s">
        <v>19423</v>
      </c>
      <c r="F406" t="s">
        <v>13959</v>
      </c>
      <c r="G406" t="s">
        <v>3459</v>
      </c>
      <c r="H406" t="s">
        <v>3819</v>
      </c>
    </row>
    <row r="407" spans="1:8" hidden="1" x14ac:dyDescent="0.2">
      <c r="A407" s="3" t="s">
        <v>15170</v>
      </c>
      <c r="B407" s="3" t="s">
        <v>14359</v>
      </c>
      <c r="C407" s="3" t="s">
        <v>1869</v>
      </c>
      <c r="D407" s="3" t="s">
        <v>15171</v>
      </c>
      <c r="E407" t="s">
        <v>19424</v>
      </c>
      <c r="F407" t="s">
        <v>13961</v>
      </c>
      <c r="G407" t="s">
        <v>3436</v>
      </c>
      <c r="H407" t="s">
        <v>3687</v>
      </c>
    </row>
    <row r="408" spans="1:8" hidden="1" x14ac:dyDescent="0.2">
      <c r="A408" s="3" t="s">
        <v>15172</v>
      </c>
      <c r="B408" s="3" t="s">
        <v>14359</v>
      </c>
      <c r="C408" s="3" t="s">
        <v>1870</v>
      </c>
      <c r="D408" s="3" t="s">
        <v>15173</v>
      </c>
      <c r="E408" t="s">
        <v>19425</v>
      </c>
      <c r="F408" t="s">
        <v>1871</v>
      </c>
      <c r="G408" t="s">
        <v>3459</v>
      </c>
      <c r="H408" t="s">
        <v>3819</v>
      </c>
    </row>
    <row r="409" spans="1:8" hidden="1" x14ac:dyDescent="0.2">
      <c r="A409" s="3" t="s">
        <v>15174</v>
      </c>
      <c r="B409" s="3" t="s">
        <v>14359</v>
      </c>
      <c r="C409" s="3" t="s">
        <v>1872</v>
      </c>
      <c r="D409" s="3" t="s">
        <v>15040</v>
      </c>
      <c r="E409" t="s">
        <v>18402</v>
      </c>
      <c r="F409" t="s">
        <v>19113</v>
      </c>
      <c r="G409" t="s">
        <v>3436</v>
      </c>
      <c r="H409" t="s">
        <v>3687</v>
      </c>
    </row>
    <row r="410" spans="1:8" hidden="1" x14ac:dyDescent="0.2">
      <c r="A410" s="3" t="s">
        <v>15175</v>
      </c>
      <c r="B410" s="3" t="s">
        <v>14359</v>
      </c>
      <c r="C410" s="3" t="s">
        <v>1873</v>
      </c>
      <c r="D410" s="3" t="s">
        <v>15176</v>
      </c>
      <c r="E410" t="s">
        <v>19426</v>
      </c>
      <c r="F410" t="s">
        <v>1874</v>
      </c>
      <c r="G410" t="s">
        <v>3459</v>
      </c>
      <c r="H410" t="s">
        <v>5021</v>
      </c>
    </row>
    <row r="411" spans="1:8" hidden="1" x14ac:dyDescent="0.2">
      <c r="A411" s="3" t="s">
        <v>15177</v>
      </c>
      <c r="B411" s="3" t="s">
        <v>14359</v>
      </c>
      <c r="C411" s="3" t="s">
        <v>1875</v>
      </c>
      <c r="D411" s="3" t="s">
        <v>15178</v>
      </c>
      <c r="E411" t="s">
        <v>19427</v>
      </c>
      <c r="F411" t="s">
        <v>1876</v>
      </c>
      <c r="G411" t="s">
        <v>3459</v>
      </c>
      <c r="H411" t="s">
        <v>4774</v>
      </c>
    </row>
    <row r="412" spans="1:8" hidden="1" x14ac:dyDescent="0.2">
      <c r="A412" s="3" t="s">
        <v>15179</v>
      </c>
      <c r="B412" s="3" t="s">
        <v>14359</v>
      </c>
      <c r="C412" s="3" t="s">
        <v>1877</v>
      </c>
      <c r="D412" s="3" t="s">
        <v>15180</v>
      </c>
      <c r="E412" t="s">
        <v>8771</v>
      </c>
      <c r="F412" t="s">
        <v>1878</v>
      </c>
      <c r="G412" t="s">
        <v>3459</v>
      </c>
      <c r="H412" t="s">
        <v>5021</v>
      </c>
    </row>
    <row r="413" spans="1:8" hidden="1" x14ac:dyDescent="0.2">
      <c r="A413" s="3" t="s">
        <v>15181</v>
      </c>
      <c r="B413" s="3" t="s">
        <v>14359</v>
      </c>
      <c r="C413" s="3" t="s">
        <v>1879</v>
      </c>
      <c r="D413" s="3" t="s">
        <v>15182</v>
      </c>
      <c r="E413" t="s">
        <v>19428</v>
      </c>
      <c r="F413" t="s">
        <v>1880</v>
      </c>
      <c r="G413" t="s">
        <v>3459</v>
      </c>
      <c r="H413" t="s">
        <v>5535</v>
      </c>
    </row>
    <row r="414" spans="1:8" hidden="1" x14ac:dyDescent="0.2">
      <c r="A414" s="3" t="s">
        <v>15183</v>
      </c>
      <c r="B414" s="3" t="s">
        <v>14359</v>
      </c>
      <c r="C414" s="3" t="s">
        <v>1881</v>
      </c>
      <c r="D414" s="3" t="s">
        <v>15184</v>
      </c>
      <c r="E414" t="s">
        <v>8827</v>
      </c>
      <c r="F414" t="s">
        <v>1882</v>
      </c>
      <c r="G414" t="s">
        <v>3436</v>
      </c>
      <c r="H414" t="s">
        <v>3793</v>
      </c>
    </row>
    <row r="415" spans="1:8" hidden="1" x14ac:dyDescent="0.2">
      <c r="A415" s="3" t="s">
        <v>15185</v>
      </c>
      <c r="B415" s="3" t="s">
        <v>14359</v>
      </c>
      <c r="C415" s="3" t="s">
        <v>1883</v>
      </c>
      <c r="D415" s="3" t="s">
        <v>15186</v>
      </c>
      <c r="E415" t="s">
        <v>19429</v>
      </c>
      <c r="F415" t="s">
        <v>1884</v>
      </c>
      <c r="G415" t="s">
        <v>3459</v>
      </c>
      <c r="H415" t="s">
        <v>814</v>
      </c>
    </row>
    <row r="416" spans="1:8" hidden="1" x14ac:dyDescent="0.2">
      <c r="A416" s="3" t="s">
        <v>15187</v>
      </c>
      <c r="B416" s="3" t="s">
        <v>14359</v>
      </c>
      <c r="C416" s="3" t="s">
        <v>1885</v>
      </c>
      <c r="D416" s="3" t="s">
        <v>15188</v>
      </c>
      <c r="E416" t="s">
        <v>19430</v>
      </c>
      <c r="F416" t="s">
        <v>1886</v>
      </c>
      <c r="G416" t="s">
        <v>3459</v>
      </c>
      <c r="H416" t="s">
        <v>814</v>
      </c>
    </row>
    <row r="417" spans="1:8" hidden="1" x14ac:dyDescent="0.2">
      <c r="A417" s="3" t="s">
        <v>15189</v>
      </c>
      <c r="B417" s="3" t="s">
        <v>14359</v>
      </c>
      <c r="C417" s="3" t="s">
        <v>1887</v>
      </c>
      <c r="D417" s="3" t="s">
        <v>15190</v>
      </c>
      <c r="E417" t="s">
        <v>19431</v>
      </c>
      <c r="F417" t="s">
        <v>1888</v>
      </c>
      <c r="G417" t="s">
        <v>3459</v>
      </c>
      <c r="H417" t="s">
        <v>8860</v>
      </c>
    </row>
    <row r="418" spans="1:8" hidden="1" x14ac:dyDescent="0.2">
      <c r="A418" s="3" t="s">
        <v>15191</v>
      </c>
      <c r="B418" s="3" t="s">
        <v>14359</v>
      </c>
      <c r="C418" s="3" t="s">
        <v>1889</v>
      </c>
      <c r="D418" s="3" t="s">
        <v>15192</v>
      </c>
      <c r="E418" t="s">
        <v>19432</v>
      </c>
      <c r="F418" t="s">
        <v>1890</v>
      </c>
      <c r="G418" t="s">
        <v>3459</v>
      </c>
      <c r="H418" t="s">
        <v>5418</v>
      </c>
    </row>
    <row r="419" spans="1:8" hidden="1" x14ac:dyDescent="0.2">
      <c r="A419" s="3" t="s">
        <v>15193</v>
      </c>
      <c r="B419" s="3" t="s">
        <v>14359</v>
      </c>
      <c r="C419" s="3" t="s">
        <v>1891</v>
      </c>
      <c r="D419" s="3" t="s">
        <v>15194</v>
      </c>
      <c r="E419" t="s">
        <v>19433</v>
      </c>
      <c r="F419" t="s">
        <v>1892</v>
      </c>
      <c r="G419" t="s">
        <v>3459</v>
      </c>
      <c r="H419" t="s">
        <v>5021</v>
      </c>
    </row>
    <row r="420" spans="1:8" hidden="1" x14ac:dyDescent="0.2">
      <c r="A420" s="3" t="s">
        <v>15195</v>
      </c>
      <c r="B420" s="3" t="s">
        <v>14359</v>
      </c>
      <c r="C420" s="3" t="s">
        <v>1893</v>
      </c>
      <c r="D420" s="3" t="s">
        <v>15196</v>
      </c>
      <c r="E420" t="s">
        <v>19434</v>
      </c>
      <c r="F420" t="s">
        <v>1894</v>
      </c>
      <c r="G420" t="s">
        <v>3459</v>
      </c>
      <c r="H420" t="s">
        <v>5021</v>
      </c>
    </row>
    <row r="421" spans="1:8" hidden="1" x14ac:dyDescent="0.2">
      <c r="A421" s="3" t="s">
        <v>15197</v>
      </c>
      <c r="B421" s="3" t="s">
        <v>14359</v>
      </c>
      <c r="C421" s="3" t="s">
        <v>1895</v>
      </c>
      <c r="D421" s="3" t="s">
        <v>15198</v>
      </c>
      <c r="E421" t="s">
        <v>19435</v>
      </c>
      <c r="F421" t="s">
        <v>1896</v>
      </c>
      <c r="G421" t="s">
        <v>3459</v>
      </c>
      <c r="H421" t="s">
        <v>5006</v>
      </c>
    </row>
    <row r="422" spans="1:8" hidden="1" x14ac:dyDescent="0.2">
      <c r="A422" s="3" t="s">
        <v>15199</v>
      </c>
      <c r="B422" s="3" t="s">
        <v>14359</v>
      </c>
      <c r="C422" s="3" t="s">
        <v>1897</v>
      </c>
      <c r="D422" s="3" t="s">
        <v>15200</v>
      </c>
      <c r="E422" t="s">
        <v>19436</v>
      </c>
      <c r="F422" t="s">
        <v>1898</v>
      </c>
      <c r="G422" t="s">
        <v>3459</v>
      </c>
      <c r="H422" t="s">
        <v>814</v>
      </c>
    </row>
    <row r="423" spans="1:8" hidden="1" x14ac:dyDescent="0.2">
      <c r="A423" s="3" t="s">
        <v>15201</v>
      </c>
      <c r="B423" s="3" t="s">
        <v>14359</v>
      </c>
      <c r="C423" s="3" t="s">
        <v>1899</v>
      </c>
      <c r="D423" s="3" t="s">
        <v>15202</v>
      </c>
      <c r="E423" t="s">
        <v>19437</v>
      </c>
      <c r="F423" t="s">
        <v>1900</v>
      </c>
      <c r="G423" t="s">
        <v>3459</v>
      </c>
      <c r="H423" t="s">
        <v>5021</v>
      </c>
    </row>
    <row r="424" spans="1:8" hidden="1" x14ac:dyDescent="0.2">
      <c r="A424" s="3" t="s">
        <v>15203</v>
      </c>
      <c r="B424" s="3" t="s">
        <v>14359</v>
      </c>
      <c r="C424" s="3" t="s">
        <v>1901</v>
      </c>
      <c r="D424" s="3" t="s">
        <v>15204</v>
      </c>
      <c r="E424" t="s">
        <v>19438</v>
      </c>
      <c r="F424" t="s">
        <v>1902</v>
      </c>
      <c r="G424" t="s">
        <v>3459</v>
      </c>
      <c r="H424" t="s">
        <v>4059</v>
      </c>
    </row>
    <row r="425" spans="1:8" hidden="1" x14ac:dyDescent="0.2">
      <c r="A425" s="3" t="s">
        <v>15205</v>
      </c>
      <c r="B425" s="3" t="s">
        <v>14359</v>
      </c>
      <c r="C425" s="3" t="s">
        <v>1903</v>
      </c>
      <c r="D425" s="3" t="s">
        <v>15206</v>
      </c>
      <c r="E425" t="s">
        <v>8792</v>
      </c>
      <c r="F425" t="s">
        <v>1904</v>
      </c>
      <c r="G425" t="s">
        <v>3459</v>
      </c>
      <c r="H425" t="s">
        <v>5021</v>
      </c>
    </row>
    <row r="426" spans="1:8" hidden="1" x14ac:dyDescent="0.2">
      <c r="A426" s="3" t="s">
        <v>15207</v>
      </c>
      <c r="B426" s="3" t="s">
        <v>14359</v>
      </c>
      <c r="C426" s="3" t="s">
        <v>1905</v>
      </c>
      <c r="D426" s="3" t="s">
        <v>15208</v>
      </c>
      <c r="E426" t="s">
        <v>19439</v>
      </c>
      <c r="F426" t="s">
        <v>1906</v>
      </c>
      <c r="G426" t="s">
        <v>3459</v>
      </c>
      <c r="H426" t="s">
        <v>8803</v>
      </c>
    </row>
    <row r="427" spans="1:8" hidden="1" x14ac:dyDescent="0.2">
      <c r="A427" s="3" t="s">
        <v>15209</v>
      </c>
      <c r="B427" s="3" t="s">
        <v>14359</v>
      </c>
      <c r="C427" s="3" t="s">
        <v>1907</v>
      </c>
      <c r="D427" s="3" t="s">
        <v>15210</v>
      </c>
      <c r="E427" t="s">
        <v>8919</v>
      </c>
      <c r="F427" t="s">
        <v>1908</v>
      </c>
      <c r="G427" t="s">
        <v>3459</v>
      </c>
      <c r="H427" t="s">
        <v>5006</v>
      </c>
    </row>
    <row r="428" spans="1:8" hidden="1" x14ac:dyDescent="0.2">
      <c r="A428" s="3" t="s">
        <v>15211</v>
      </c>
      <c r="B428" s="3" t="s">
        <v>14359</v>
      </c>
      <c r="C428" s="3" t="s">
        <v>1909</v>
      </c>
      <c r="D428" s="3" t="s">
        <v>15212</v>
      </c>
      <c r="E428" t="s">
        <v>19440</v>
      </c>
      <c r="F428" t="s">
        <v>1910</v>
      </c>
      <c r="G428" t="s">
        <v>3459</v>
      </c>
      <c r="H428" t="s">
        <v>5021</v>
      </c>
    </row>
    <row r="429" spans="1:8" hidden="1" x14ac:dyDescent="0.2">
      <c r="A429" s="3" t="s">
        <v>15213</v>
      </c>
      <c r="B429" s="3" t="s">
        <v>14359</v>
      </c>
      <c r="C429" s="3" t="s">
        <v>1911</v>
      </c>
      <c r="D429" s="3" t="s">
        <v>15214</v>
      </c>
      <c r="E429" t="s">
        <v>19441</v>
      </c>
      <c r="F429" t="s">
        <v>1912</v>
      </c>
      <c r="G429" t="s">
        <v>3459</v>
      </c>
      <c r="H429" t="s">
        <v>814</v>
      </c>
    </row>
    <row r="430" spans="1:8" hidden="1" x14ac:dyDescent="0.2">
      <c r="A430" s="3" t="s">
        <v>15215</v>
      </c>
      <c r="B430" s="3" t="s">
        <v>14359</v>
      </c>
      <c r="C430" s="3" t="s">
        <v>1913</v>
      </c>
      <c r="D430" s="3" t="s">
        <v>15216</v>
      </c>
      <c r="E430" t="s">
        <v>19442</v>
      </c>
      <c r="F430" t="s">
        <v>1914</v>
      </c>
      <c r="G430" t="s">
        <v>3459</v>
      </c>
      <c r="H430" t="s">
        <v>8803</v>
      </c>
    </row>
    <row r="431" spans="1:8" hidden="1" x14ac:dyDescent="0.2">
      <c r="A431" s="3" t="s">
        <v>15217</v>
      </c>
      <c r="B431" s="3" t="s">
        <v>14359</v>
      </c>
      <c r="C431" s="3" t="s">
        <v>1915</v>
      </c>
      <c r="D431" s="3" t="s">
        <v>15218</v>
      </c>
      <c r="E431" t="s">
        <v>19443</v>
      </c>
      <c r="F431" t="s">
        <v>1916</v>
      </c>
      <c r="G431" t="s">
        <v>3459</v>
      </c>
      <c r="H431" t="s">
        <v>8860</v>
      </c>
    </row>
    <row r="432" spans="1:8" hidden="1" x14ac:dyDescent="0.2">
      <c r="A432" s="3" t="s">
        <v>15219</v>
      </c>
      <c r="B432" s="3" t="s">
        <v>14359</v>
      </c>
      <c r="C432" s="3" t="s">
        <v>1917</v>
      </c>
      <c r="D432" s="3" t="s">
        <v>15220</v>
      </c>
      <c r="E432" t="s">
        <v>9051</v>
      </c>
      <c r="F432" t="s">
        <v>1918</v>
      </c>
      <c r="G432" t="s">
        <v>3436</v>
      </c>
      <c r="H432" t="s">
        <v>3470</v>
      </c>
    </row>
    <row r="433" spans="1:8" hidden="1" x14ac:dyDescent="0.2">
      <c r="A433" s="3" t="s">
        <v>15221</v>
      </c>
      <c r="B433" s="3" t="s">
        <v>14359</v>
      </c>
      <c r="C433" s="3" t="s">
        <v>1919</v>
      </c>
      <c r="D433" s="3" t="s">
        <v>15222</v>
      </c>
      <c r="E433" t="s">
        <v>19444</v>
      </c>
      <c r="F433" t="s">
        <v>1920</v>
      </c>
      <c r="G433" t="s">
        <v>3459</v>
      </c>
      <c r="H433" t="s">
        <v>5021</v>
      </c>
    </row>
    <row r="434" spans="1:8" hidden="1" x14ac:dyDescent="0.2">
      <c r="A434" s="3" t="s">
        <v>15223</v>
      </c>
      <c r="B434" s="3" t="s">
        <v>14359</v>
      </c>
      <c r="C434" s="3" t="s">
        <v>1921</v>
      </c>
      <c r="D434" s="3" t="s">
        <v>15224</v>
      </c>
      <c r="E434" t="s">
        <v>19445</v>
      </c>
      <c r="F434" t="s">
        <v>1922</v>
      </c>
      <c r="G434" t="s">
        <v>3459</v>
      </c>
      <c r="H434" t="s">
        <v>8803</v>
      </c>
    </row>
    <row r="435" spans="1:8" hidden="1" x14ac:dyDescent="0.2">
      <c r="A435" s="3" t="s">
        <v>15225</v>
      </c>
      <c r="B435" s="3" t="s">
        <v>14359</v>
      </c>
      <c r="C435" s="3" t="s">
        <v>1923</v>
      </c>
      <c r="D435" s="3" t="s">
        <v>15226</v>
      </c>
      <c r="E435" t="s">
        <v>19446</v>
      </c>
      <c r="F435" t="s">
        <v>1924</v>
      </c>
      <c r="G435" t="s">
        <v>3459</v>
      </c>
      <c r="H435" t="s">
        <v>814</v>
      </c>
    </row>
    <row r="436" spans="1:8" hidden="1" x14ac:dyDescent="0.2">
      <c r="A436" s="3" t="s">
        <v>15227</v>
      </c>
      <c r="B436" s="3" t="s">
        <v>14359</v>
      </c>
      <c r="C436" s="3" t="s">
        <v>1925</v>
      </c>
      <c r="D436" s="3" t="s">
        <v>15228</v>
      </c>
      <c r="E436" t="s">
        <v>19447</v>
      </c>
      <c r="F436" t="s">
        <v>1926</v>
      </c>
      <c r="G436" t="s">
        <v>3459</v>
      </c>
      <c r="H436" t="s">
        <v>5006</v>
      </c>
    </row>
    <row r="437" spans="1:8" hidden="1" x14ac:dyDescent="0.2">
      <c r="A437" s="3" t="s">
        <v>15229</v>
      </c>
      <c r="B437" s="3" t="s">
        <v>14359</v>
      </c>
      <c r="C437" s="3" t="s">
        <v>1927</v>
      </c>
      <c r="D437" s="3" t="s">
        <v>15230</v>
      </c>
      <c r="E437" t="s">
        <v>19448</v>
      </c>
      <c r="F437" t="s">
        <v>1928</v>
      </c>
      <c r="G437" t="s">
        <v>3459</v>
      </c>
      <c r="H437" t="s">
        <v>9027</v>
      </c>
    </row>
    <row r="438" spans="1:8" hidden="1" x14ac:dyDescent="0.2">
      <c r="A438" s="3" t="s">
        <v>15231</v>
      </c>
      <c r="B438" s="3" t="s">
        <v>14359</v>
      </c>
      <c r="C438" s="3" t="s">
        <v>1929</v>
      </c>
      <c r="D438" s="3" t="s">
        <v>15112</v>
      </c>
      <c r="E438" t="s">
        <v>19449</v>
      </c>
      <c r="F438" t="s">
        <v>1930</v>
      </c>
      <c r="G438" t="s">
        <v>3459</v>
      </c>
      <c r="H438" t="s">
        <v>8860</v>
      </c>
    </row>
    <row r="439" spans="1:8" hidden="1" x14ac:dyDescent="0.2">
      <c r="A439" s="3" t="s">
        <v>15232</v>
      </c>
      <c r="B439" s="3" t="s">
        <v>14359</v>
      </c>
      <c r="C439" s="3" t="s">
        <v>1931</v>
      </c>
      <c r="D439" s="3" t="s">
        <v>15233</v>
      </c>
      <c r="E439" t="s">
        <v>19450</v>
      </c>
      <c r="F439" t="s">
        <v>1932</v>
      </c>
      <c r="G439" t="s">
        <v>3459</v>
      </c>
      <c r="H439" t="s">
        <v>8803</v>
      </c>
    </row>
    <row r="440" spans="1:8" hidden="1" x14ac:dyDescent="0.2">
      <c r="A440" s="3" t="s">
        <v>15234</v>
      </c>
      <c r="B440" s="3" t="s">
        <v>14359</v>
      </c>
      <c r="C440" s="3" t="s">
        <v>1933</v>
      </c>
      <c r="D440" s="3" t="s">
        <v>15235</v>
      </c>
      <c r="E440" t="s">
        <v>19451</v>
      </c>
      <c r="F440" t="s">
        <v>1934</v>
      </c>
      <c r="G440" t="s">
        <v>3459</v>
      </c>
      <c r="H440" t="s">
        <v>8803</v>
      </c>
    </row>
    <row r="441" spans="1:8" hidden="1" x14ac:dyDescent="0.2">
      <c r="A441" s="3" t="s">
        <v>15236</v>
      </c>
      <c r="B441" s="3" t="s">
        <v>14359</v>
      </c>
      <c r="C441" s="3" t="s">
        <v>1935</v>
      </c>
      <c r="D441" s="3" t="s">
        <v>15237</v>
      </c>
      <c r="E441" t="s">
        <v>19452</v>
      </c>
      <c r="F441" t="s">
        <v>1936</v>
      </c>
      <c r="G441" t="s">
        <v>3459</v>
      </c>
      <c r="H441" t="s">
        <v>8860</v>
      </c>
    </row>
    <row r="442" spans="1:8" hidden="1" x14ac:dyDescent="0.2">
      <c r="A442" s="3" t="s">
        <v>15238</v>
      </c>
      <c r="B442" s="3" t="s">
        <v>14359</v>
      </c>
      <c r="C442" s="3" t="s">
        <v>1937</v>
      </c>
      <c r="D442" s="3" t="s">
        <v>15239</v>
      </c>
      <c r="E442" t="s">
        <v>19453</v>
      </c>
      <c r="F442" t="s">
        <v>1938</v>
      </c>
      <c r="G442" t="s">
        <v>3459</v>
      </c>
      <c r="H442" t="s">
        <v>8803</v>
      </c>
    </row>
    <row r="443" spans="1:8" hidden="1" x14ac:dyDescent="0.2">
      <c r="A443" s="3" t="s">
        <v>15240</v>
      </c>
      <c r="B443" s="3" t="s">
        <v>14359</v>
      </c>
      <c r="C443" s="3" t="s">
        <v>1939</v>
      </c>
      <c r="D443" s="3" t="s">
        <v>15241</v>
      </c>
      <c r="E443" t="s">
        <v>19454</v>
      </c>
      <c r="F443" t="s">
        <v>1940</v>
      </c>
      <c r="G443" t="s">
        <v>3459</v>
      </c>
      <c r="H443" t="s">
        <v>8803</v>
      </c>
    </row>
    <row r="444" spans="1:8" hidden="1" x14ac:dyDescent="0.2">
      <c r="A444" s="3" t="s">
        <v>15242</v>
      </c>
      <c r="B444" s="3" t="s">
        <v>14359</v>
      </c>
      <c r="C444" s="3" t="s">
        <v>1941</v>
      </c>
      <c r="D444" s="3" t="s">
        <v>15243</v>
      </c>
      <c r="E444" t="s">
        <v>19455</v>
      </c>
      <c r="F444" t="s">
        <v>1942</v>
      </c>
      <c r="G444" t="s">
        <v>3459</v>
      </c>
      <c r="H444" t="s">
        <v>5014</v>
      </c>
    </row>
    <row r="445" spans="1:8" hidden="1" x14ac:dyDescent="0.2">
      <c r="A445" s="3" t="s">
        <v>15244</v>
      </c>
      <c r="B445" s="3" t="s">
        <v>14359</v>
      </c>
      <c r="C445" s="3" t="s">
        <v>1943</v>
      </c>
      <c r="D445" s="3" t="s">
        <v>15245</v>
      </c>
      <c r="E445" t="s">
        <v>19456</v>
      </c>
      <c r="F445" t="s">
        <v>1944</v>
      </c>
      <c r="G445" t="s">
        <v>3459</v>
      </c>
      <c r="H445" t="s">
        <v>5006</v>
      </c>
    </row>
    <row r="446" spans="1:8" hidden="1" x14ac:dyDescent="0.2">
      <c r="A446" s="3" t="s">
        <v>15246</v>
      </c>
      <c r="B446" s="3" t="s">
        <v>14359</v>
      </c>
      <c r="C446" s="3" t="s">
        <v>1945</v>
      </c>
      <c r="D446" s="3" t="s">
        <v>15247</v>
      </c>
      <c r="E446" t="s">
        <v>9022</v>
      </c>
      <c r="F446" t="s">
        <v>1946</v>
      </c>
      <c r="G446" t="s">
        <v>3459</v>
      </c>
      <c r="H446" t="s">
        <v>4463</v>
      </c>
    </row>
    <row r="447" spans="1:8" hidden="1" x14ac:dyDescent="0.2">
      <c r="A447" s="3" t="s">
        <v>15248</v>
      </c>
      <c r="B447" s="3" t="s">
        <v>14359</v>
      </c>
      <c r="C447" s="3" t="s">
        <v>1947</v>
      </c>
      <c r="D447" s="3" t="s">
        <v>15249</v>
      </c>
      <c r="E447" t="s">
        <v>19457</v>
      </c>
      <c r="F447" t="s">
        <v>1948</v>
      </c>
      <c r="G447" t="s">
        <v>3459</v>
      </c>
      <c r="H447" t="s">
        <v>5006</v>
      </c>
    </row>
    <row r="448" spans="1:8" hidden="1" x14ac:dyDescent="0.2">
      <c r="A448" s="3" t="s">
        <v>15250</v>
      </c>
      <c r="B448" s="3" t="s">
        <v>14359</v>
      </c>
      <c r="C448" s="3" t="s">
        <v>1949</v>
      </c>
      <c r="D448" s="3" t="s">
        <v>15251</v>
      </c>
      <c r="E448" t="s">
        <v>19458</v>
      </c>
      <c r="F448" t="s">
        <v>1950</v>
      </c>
      <c r="G448" t="s">
        <v>3448</v>
      </c>
      <c r="H448" t="s">
        <v>4679</v>
      </c>
    </row>
    <row r="449" spans="1:8" hidden="1" x14ac:dyDescent="0.2">
      <c r="A449" s="3" t="s">
        <v>15252</v>
      </c>
      <c r="B449" s="3" t="s">
        <v>14359</v>
      </c>
      <c r="C449" s="3" t="s">
        <v>1951</v>
      </c>
      <c r="D449" s="3" t="s">
        <v>15253</v>
      </c>
      <c r="E449" t="s">
        <v>8962</v>
      </c>
      <c r="F449" t="s">
        <v>1952</v>
      </c>
      <c r="G449" t="s">
        <v>3459</v>
      </c>
      <c r="H449" t="s">
        <v>5014</v>
      </c>
    </row>
    <row r="450" spans="1:8" hidden="1" x14ac:dyDescent="0.2">
      <c r="A450" s="3" t="s">
        <v>15254</v>
      </c>
      <c r="B450" s="3" t="s">
        <v>14359</v>
      </c>
      <c r="C450" s="3" t="s">
        <v>1953</v>
      </c>
      <c r="D450" s="3" t="s">
        <v>15040</v>
      </c>
      <c r="E450" t="s">
        <v>19459</v>
      </c>
      <c r="F450" t="s">
        <v>19114</v>
      </c>
      <c r="G450" t="s">
        <v>3459</v>
      </c>
      <c r="H450" t="s">
        <v>5006</v>
      </c>
    </row>
    <row r="451" spans="1:8" hidden="1" x14ac:dyDescent="0.2">
      <c r="A451" s="3" t="s">
        <v>15255</v>
      </c>
      <c r="B451" s="3" t="s">
        <v>14359</v>
      </c>
      <c r="C451" s="3" t="s">
        <v>1954</v>
      </c>
      <c r="D451" s="3" t="s">
        <v>15256</v>
      </c>
      <c r="E451" t="s">
        <v>19460</v>
      </c>
      <c r="F451" t="s">
        <v>1955</v>
      </c>
      <c r="G451" t="s">
        <v>3853</v>
      </c>
      <c r="H451" t="s">
        <v>6422</v>
      </c>
    </row>
    <row r="452" spans="1:8" hidden="1" x14ac:dyDescent="0.2">
      <c r="A452" s="3" t="s">
        <v>15257</v>
      </c>
      <c r="B452" s="3" t="s">
        <v>14359</v>
      </c>
      <c r="C452" s="3" t="s">
        <v>1956</v>
      </c>
      <c r="D452" s="3" t="s">
        <v>15258</v>
      </c>
      <c r="E452" t="s">
        <v>19461</v>
      </c>
      <c r="F452" t="s">
        <v>1957</v>
      </c>
      <c r="G452" t="s">
        <v>3459</v>
      </c>
      <c r="H452" t="s">
        <v>8803</v>
      </c>
    </row>
    <row r="453" spans="1:8" hidden="1" x14ac:dyDescent="0.2">
      <c r="A453" s="3" t="s">
        <v>15259</v>
      </c>
      <c r="B453" s="3" t="s">
        <v>14359</v>
      </c>
      <c r="C453" s="3" t="s">
        <v>1958</v>
      </c>
      <c r="D453" s="3" t="s">
        <v>15260</v>
      </c>
      <c r="E453" t="s">
        <v>19462</v>
      </c>
      <c r="F453" t="s">
        <v>1959</v>
      </c>
      <c r="G453" t="s">
        <v>3459</v>
      </c>
      <c r="H453" t="s">
        <v>9134</v>
      </c>
    </row>
    <row r="454" spans="1:8" hidden="1" x14ac:dyDescent="0.2">
      <c r="A454" s="3" t="s">
        <v>15261</v>
      </c>
      <c r="B454" s="3" t="s">
        <v>14359</v>
      </c>
      <c r="C454" s="3" t="s">
        <v>1960</v>
      </c>
      <c r="D454" s="3" t="s">
        <v>15262</v>
      </c>
      <c r="E454" t="s">
        <v>19463</v>
      </c>
      <c r="F454" t="s">
        <v>1961</v>
      </c>
      <c r="G454" t="s">
        <v>3863</v>
      </c>
      <c r="H454" t="s">
        <v>5632</v>
      </c>
    </row>
    <row r="455" spans="1:8" hidden="1" x14ac:dyDescent="0.2">
      <c r="A455" s="3" t="s">
        <v>15263</v>
      </c>
      <c r="B455" s="3" t="s">
        <v>14359</v>
      </c>
      <c r="C455" s="3" t="s">
        <v>1962</v>
      </c>
      <c r="D455" s="3" t="s">
        <v>15264</v>
      </c>
      <c r="E455" t="s">
        <v>19464</v>
      </c>
      <c r="F455" t="s">
        <v>1963</v>
      </c>
      <c r="G455" t="s">
        <v>3459</v>
      </c>
      <c r="H455" t="s">
        <v>5021</v>
      </c>
    </row>
    <row r="456" spans="1:8" hidden="1" x14ac:dyDescent="0.2">
      <c r="A456" s="3" t="s">
        <v>15265</v>
      </c>
      <c r="B456" s="3" t="s">
        <v>14359</v>
      </c>
      <c r="C456" s="3" t="s">
        <v>1964</v>
      </c>
      <c r="D456" s="3" t="s">
        <v>15266</v>
      </c>
      <c r="E456" t="s">
        <v>19465</v>
      </c>
      <c r="F456" t="s">
        <v>1965</v>
      </c>
      <c r="G456" t="s">
        <v>3459</v>
      </c>
      <c r="H456" t="s">
        <v>5441</v>
      </c>
    </row>
    <row r="457" spans="1:8" hidden="1" x14ac:dyDescent="0.2">
      <c r="A457" s="3" t="s">
        <v>15267</v>
      </c>
      <c r="B457" s="3" t="s">
        <v>14359</v>
      </c>
      <c r="C457" s="3" t="s">
        <v>1966</v>
      </c>
      <c r="D457" s="3" t="s">
        <v>15268</v>
      </c>
      <c r="E457" t="s">
        <v>19466</v>
      </c>
      <c r="F457" t="s">
        <v>1967</v>
      </c>
      <c r="G457" t="s">
        <v>3459</v>
      </c>
      <c r="H457" t="s">
        <v>8803</v>
      </c>
    </row>
    <row r="458" spans="1:8" hidden="1" x14ac:dyDescent="0.2">
      <c r="A458" s="3" t="s">
        <v>15269</v>
      </c>
      <c r="B458" s="3" t="s">
        <v>14359</v>
      </c>
      <c r="C458" s="3" t="s">
        <v>1968</v>
      </c>
      <c r="D458" s="3" t="s">
        <v>15270</v>
      </c>
      <c r="E458" t="s">
        <v>19467</v>
      </c>
      <c r="F458" t="s">
        <v>1969</v>
      </c>
      <c r="G458" t="s">
        <v>3459</v>
      </c>
      <c r="H458" t="s">
        <v>8803</v>
      </c>
    </row>
    <row r="459" spans="1:8" hidden="1" x14ac:dyDescent="0.2">
      <c r="A459" s="3" t="s">
        <v>15271</v>
      </c>
      <c r="B459" s="3" t="s">
        <v>14359</v>
      </c>
      <c r="C459" s="3" t="s">
        <v>1970</v>
      </c>
      <c r="D459" s="3" t="s">
        <v>15272</v>
      </c>
      <c r="E459" t="s">
        <v>19468</v>
      </c>
      <c r="F459" t="s">
        <v>1971</v>
      </c>
      <c r="G459" t="s">
        <v>3459</v>
      </c>
      <c r="H459" t="s">
        <v>5014</v>
      </c>
    </row>
    <row r="460" spans="1:8" hidden="1" x14ac:dyDescent="0.2">
      <c r="A460" s="3" t="s">
        <v>15273</v>
      </c>
      <c r="B460" s="3" t="s">
        <v>14359</v>
      </c>
      <c r="C460" s="3" t="s">
        <v>1972</v>
      </c>
      <c r="D460" s="3" t="s">
        <v>15274</v>
      </c>
      <c r="E460" t="s">
        <v>19469</v>
      </c>
      <c r="F460" t="s">
        <v>1973</v>
      </c>
      <c r="G460" t="s">
        <v>3459</v>
      </c>
      <c r="H460" t="s">
        <v>5021</v>
      </c>
    </row>
    <row r="461" spans="1:8" hidden="1" x14ac:dyDescent="0.2">
      <c r="A461" s="3" t="s">
        <v>15275</v>
      </c>
      <c r="B461" s="3" t="s">
        <v>14359</v>
      </c>
      <c r="C461" s="3" t="s">
        <v>1974</v>
      </c>
      <c r="D461" s="3" t="s">
        <v>15276</v>
      </c>
      <c r="E461" t="s">
        <v>19470</v>
      </c>
      <c r="F461" t="s">
        <v>1975</v>
      </c>
      <c r="G461" t="s">
        <v>3459</v>
      </c>
      <c r="H461" t="s">
        <v>5006</v>
      </c>
    </row>
    <row r="462" spans="1:8" hidden="1" x14ac:dyDescent="0.2">
      <c r="A462" s="3" t="s">
        <v>15277</v>
      </c>
      <c r="B462" s="3" t="s">
        <v>14359</v>
      </c>
      <c r="C462" s="3" t="s">
        <v>1976</v>
      </c>
      <c r="D462" s="3" t="s">
        <v>15278</v>
      </c>
      <c r="E462" t="s">
        <v>19471</v>
      </c>
      <c r="F462" t="s">
        <v>1977</v>
      </c>
      <c r="G462" t="s">
        <v>3459</v>
      </c>
      <c r="H462" t="s">
        <v>5014</v>
      </c>
    </row>
    <row r="463" spans="1:8" hidden="1" x14ac:dyDescent="0.2">
      <c r="A463" s="3" t="s">
        <v>15279</v>
      </c>
      <c r="B463" s="3" t="s">
        <v>14359</v>
      </c>
      <c r="C463" s="3" t="s">
        <v>1978</v>
      </c>
      <c r="D463" s="3" t="s">
        <v>15280</v>
      </c>
      <c r="E463" t="s">
        <v>19472</v>
      </c>
      <c r="F463" t="s">
        <v>1979</v>
      </c>
      <c r="G463" t="s">
        <v>3459</v>
      </c>
      <c r="H463" t="s">
        <v>5021</v>
      </c>
    </row>
    <row r="464" spans="1:8" hidden="1" x14ac:dyDescent="0.2">
      <c r="A464" s="3" t="s">
        <v>15281</v>
      </c>
      <c r="B464" s="3" t="s">
        <v>14359</v>
      </c>
      <c r="C464" s="3" t="s">
        <v>1980</v>
      </c>
      <c r="D464" s="3" t="s">
        <v>15282</v>
      </c>
      <c r="E464" t="s">
        <v>19473</v>
      </c>
      <c r="F464" t="s">
        <v>1981</v>
      </c>
      <c r="G464" t="s">
        <v>3459</v>
      </c>
      <c r="H464" t="s">
        <v>5006</v>
      </c>
    </row>
    <row r="465" spans="1:8" hidden="1" x14ac:dyDescent="0.2">
      <c r="A465" s="3" t="s">
        <v>15283</v>
      </c>
      <c r="B465" s="3" t="s">
        <v>14359</v>
      </c>
      <c r="C465" s="3" t="s">
        <v>1982</v>
      </c>
      <c r="D465" s="3" t="s">
        <v>15284</v>
      </c>
      <c r="E465" t="s">
        <v>19474</v>
      </c>
      <c r="F465" t="s">
        <v>1983</v>
      </c>
      <c r="G465" t="s">
        <v>3459</v>
      </c>
      <c r="H465" t="s">
        <v>8803</v>
      </c>
    </row>
    <row r="466" spans="1:8" hidden="1" x14ac:dyDescent="0.2">
      <c r="A466" s="3" t="s">
        <v>15285</v>
      </c>
      <c r="B466" s="3" t="s">
        <v>14359</v>
      </c>
      <c r="C466" s="3" t="s">
        <v>1984</v>
      </c>
      <c r="D466" s="3" t="s">
        <v>15286</v>
      </c>
      <c r="E466" t="s">
        <v>19475</v>
      </c>
      <c r="F466" t="s">
        <v>1985</v>
      </c>
      <c r="G466" t="s">
        <v>3459</v>
      </c>
      <c r="H466" t="s">
        <v>9134</v>
      </c>
    </row>
    <row r="467" spans="1:8" hidden="1" x14ac:dyDescent="0.2">
      <c r="A467" s="3" t="s">
        <v>15287</v>
      </c>
      <c r="B467" s="3" t="s">
        <v>14359</v>
      </c>
      <c r="C467" s="3" t="s">
        <v>1986</v>
      </c>
      <c r="D467" s="3" t="s">
        <v>15288</v>
      </c>
      <c r="E467" t="s">
        <v>19476</v>
      </c>
      <c r="F467" t="s">
        <v>1987</v>
      </c>
      <c r="G467" t="s">
        <v>3459</v>
      </c>
      <c r="H467" t="s">
        <v>7081</v>
      </c>
    </row>
    <row r="468" spans="1:8" hidden="1" x14ac:dyDescent="0.2">
      <c r="A468" s="3" t="s">
        <v>15289</v>
      </c>
      <c r="B468" s="3" t="s">
        <v>14359</v>
      </c>
      <c r="C468" s="3" t="s">
        <v>1988</v>
      </c>
      <c r="D468" s="3" t="s">
        <v>15290</v>
      </c>
      <c r="E468" t="s">
        <v>19477</v>
      </c>
      <c r="F468" t="s">
        <v>1989</v>
      </c>
      <c r="G468" t="s">
        <v>3459</v>
      </c>
      <c r="H468" t="s">
        <v>9134</v>
      </c>
    </row>
    <row r="469" spans="1:8" hidden="1" x14ac:dyDescent="0.2">
      <c r="A469" s="3" t="s">
        <v>15291</v>
      </c>
      <c r="B469" s="3" t="s">
        <v>14359</v>
      </c>
      <c r="C469" s="3" t="s">
        <v>1990</v>
      </c>
      <c r="D469" s="3" t="s">
        <v>15292</v>
      </c>
      <c r="E469" t="s">
        <v>18503</v>
      </c>
      <c r="F469" t="s">
        <v>19115</v>
      </c>
      <c r="G469" t="s">
        <v>3436</v>
      </c>
      <c r="H469" t="s">
        <v>3882</v>
      </c>
    </row>
    <row r="470" spans="1:8" hidden="1" x14ac:dyDescent="0.2">
      <c r="A470" s="3" t="s">
        <v>15293</v>
      </c>
      <c r="B470" s="3" t="s">
        <v>14359</v>
      </c>
      <c r="C470" s="3" t="s">
        <v>1991</v>
      </c>
      <c r="D470" s="3" t="s">
        <v>15294</v>
      </c>
      <c r="E470" t="s">
        <v>9166</v>
      </c>
      <c r="F470" t="s">
        <v>1992</v>
      </c>
      <c r="G470" t="s">
        <v>3459</v>
      </c>
      <c r="H470" t="s">
        <v>7998</v>
      </c>
    </row>
    <row r="471" spans="1:8" hidden="1" x14ac:dyDescent="0.2">
      <c r="A471" s="3" t="s">
        <v>15295</v>
      </c>
      <c r="B471" s="3" t="s">
        <v>14359</v>
      </c>
      <c r="C471" s="3" t="s">
        <v>1993</v>
      </c>
      <c r="D471" s="3" t="s">
        <v>15040</v>
      </c>
      <c r="E471" t="s">
        <v>19478</v>
      </c>
      <c r="F471" t="s">
        <v>19116</v>
      </c>
      <c r="G471" t="s">
        <v>3436</v>
      </c>
      <c r="H471" t="s">
        <v>3498</v>
      </c>
    </row>
    <row r="472" spans="1:8" hidden="1" x14ac:dyDescent="0.2">
      <c r="A472" s="3" t="s">
        <v>15296</v>
      </c>
      <c r="B472" s="3" t="s">
        <v>14359</v>
      </c>
      <c r="C472" s="3" t="s">
        <v>1994</v>
      </c>
      <c r="D472" s="3" t="s">
        <v>15297</v>
      </c>
      <c r="E472" t="s">
        <v>19479</v>
      </c>
      <c r="F472" t="s">
        <v>1995</v>
      </c>
      <c r="G472" t="s">
        <v>3459</v>
      </c>
      <c r="H472" t="s">
        <v>9134</v>
      </c>
    </row>
    <row r="473" spans="1:8" hidden="1" x14ac:dyDescent="0.2">
      <c r="A473" s="3" t="s">
        <v>15298</v>
      </c>
      <c r="B473" s="3" t="s">
        <v>14359</v>
      </c>
      <c r="C473" s="3" t="s">
        <v>1996</v>
      </c>
      <c r="D473" s="3" t="s">
        <v>15299</v>
      </c>
      <c r="E473" t="s">
        <v>19480</v>
      </c>
      <c r="F473" t="s">
        <v>1997</v>
      </c>
      <c r="G473" t="s">
        <v>3459</v>
      </c>
      <c r="H473" t="s">
        <v>9134</v>
      </c>
    </row>
    <row r="474" spans="1:8" hidden="1" x14ac:dyDescent="0.2">
      <c r="A474" s="3" t="s">
        <v>15300</v>
      </c>
      <c r="B474" s="3" t="s">
        <v>14359</v>
      </c>
      <c r="C474" s="3" t="s">
        <v>1998</v>
      </c>
      <c r="D474" s="3" t="s">
        <v>15301</v>
      </c>
      <c r="E474" t="s">
        <v>19481</v>
      </c>
      <c r="F474" t="s">
        <v>1999</v>
      </c>
      <c r="G474" t="s">
        <v>3459</v>
      </c>
      <c r="H474" t="s">
        <v>3516</v>
      </c>
    </row>
    <row r="475" spans="1:8" hidden="1" x14ac:dyDescent="0.2">
      <c r="A475" s="3" t="s">
        <v>15302</v>
      </c>
      <c r="B475" s="3" t="s">
        <v>14359</v>
      </c>
      <c r="C475" s="3" t="s">
        <v>2000</v>
      </c>
      <c r="D475" s="3" t="s">
        <v>15303</v>
      </c>
      <c r="E475" t="s">
        <v>19482</v>
      </c>
      <c r="F475" t="s">
        <v>2001</v>
      </c>
      <c r="G475" t="s">
        <v>3863</v>
      </c>
      <c r="H475" t="s">
        <v>3864</v>
      </c>
    </row>
    <row r="476" spans="1:8" hidden="1" x14ac:dyDescent="0.2">
      <c r="A476" s="3" t="s">
        <v>15304</v>
      </c>
      <c r="B476" s="3" t="s">
        <v>14359</v>
      </c>
      <c r="C476" s="3" t="s">
        <v>2002</v>
      </c>
      <c r="D476" s="3" t="s">
        <v>15305</v>
      </c>
      <c r="E476" t="s">
        <v>19483</v>
      </c>
      <c r="F476" t="s">
        <v>2003</v>
      </c>
      <c r="G476" t="s">
        <v>3448</v>
      </c>
      <c r="H476" t="s">
        <v>5600</v>
      </c>
    </row>
    <row r="477" spans="1:8" hidden="1" x14ac:dyDescent="0.2">
      <c r="A477" s="3" t="s">
        <v>15306</v>
      </c>
      <c r="B477" s="3" t="s">
        <v>14359</v>
      </c>
      <c r="C477" s="3" t="s">
        <v>2004</v>
      </c>
      <c r="D477" s="3" t="s">
        <v>15307</v>
      </c>
      <c r="E477" t="s">
        <v>19484</v>
      </c>
      <c r="F477" t="s">
        <v>2005</v>
      </c>
      <c r="G477" t="s">
        <v>3459</v>
      </c>
      <c r="H477" t="s">
        <v>5021</v>
      </c>
    </row>
    <row r="478" spans="1:8" hidden="1" x14ac:dyDescent="0.2">
      <c r="A478" s="3" t="s">
        <v>15308</v>
      </c>
      <c r="B478" s="3" t="s">
        <v>14359</v>
      </c>
      <c r="C478" s="3" t="s">
        <v>2006</v>
      </c>
      <c r="D478" s="3" t="s">
        <v>15309</v>
      </c>
      <c r="E478" t="s">
        <v>19485</v>
      </c>
      <c r="F478" t="s">
        <v>19117</v>
      </c>
      <c r="G478" t="s">
        <v>3436</v>
      </c>
      <c r="H478" t="s">
        <v>3687</v>
      </c>
    </row>
    <row r="479" spans="1:8" hidden="1" x14ac:dyDescent="0.2">
      <c r="A479" s="3" t="s">
        <v>15310</v>
      </c>
      <c r="B479" s="3" t="s">
        <v>14359</v>
      </c>
      <c r="C479" s="3" t="s">
        <v>2007</v>
      </c>
      <c r="D479" s="3" t="s">
        <v>15040</v>
      </c>
      <c r="E479" t="s">
        <v>19486</v>
      </c>
      <c r="F479" t="s">
        <v>19118</v>
      </c>
      <c r="G479" t="s">
        <v>3863</v>
      </c>
      <c r="H479" t="s">
        <v>3864</v>
      </c>
    </row>
    <row r="480" spans="1:8" hidden="1" x14ac:dyDescent="0.2">
      <c r="A480" s="3" t="s">
        <v>15311</v>
      </c>
      <c r="B480" s="3" t="s">
        <v>14359</v>
      </c>
      <c r="C480" s="3" t="s">
        <v>2008</v>
      </c>
      <c r="D480" s="3" t="s">
        <v>15312</v>
      </c>
      <c r="E480" t="s">
        <v>19487</v>
      </c>
      <c r="F480" t="s">
        <v>2009</v>
      </c>
      <c r="G480" t="s">
        <v>3459</v>
      </c>
      <c r="H480" t="s">
        <v>9027</v>
      </c>
    </row>
    <row r="481" spans="1:8" hidden="1" x14ac:dyDescent="0.2">
      <c r="A481" s="3" t="s">
        <v>15313</v>
      </c>
      <c r="B481" s="3" t="s">
        <v>14359</v>
      </c>
      <c r="C481" s="3" t="s">
        <v>2010</v>
      </c>
      <c r="D481" s="3" t="s">
        <v>15314</v>
      </c>
      <c r="E481" t="s">
        <v>9332</v>
      </c>
      <c r="F481" t="s">
        <v>2011</v>
      </c>
      <c r="G481" t="s">
        <v>3459</v>
      </c>
      <c r="H481" t="s">
        <v>4774</v>
      </c>
    </row>
    <row r="482" spans="1:8" hidden="1" x14ac:dyDescent="0.2">
      <c r="A482" s="3" t="s">
        <v>15315</v>
      </c>
      <c r="B482" s="3" t="s">
        <v>14359</v>
      </c>
      <c r="C482" s="3" t="s">
        <v>2012</v>
      </c>
      <c r="D482" s="3" t="s">
        <v>15316</v>
      </c>
      <c r="E482" t="s">
        <v>19488</v>
      </c>
      <c r="F482" t="s">
        <v>2013</v>
      </c>
      <c r="G482" t="s">
        <v>3863</v>
      </c>
      <c r="H482" t="s">
        <v>5632</v>
      </c>
    </row>
    <row r="483" spans="1:8" hidden="1" x14ac:dyDescent="0.2">
      <c r="A483" s="3" t="s">
        <v>15317</v>
      </c>
      <c r="B483" s="3" t="s">
        <v>14359</v>
      </c>
      <c r="C483" s="3" t="s">
        <v>2014</v>
      </c>
      <c r="D483" s="3" t="s">
        <v>15318</v>
      </c>
      <c r="E483" t="s">
        <v>19489</v>
      </c>
      <c r="F483" t="s">
        <v>19119</v>
      </c>
      <c r="G483" t="s">
        <v>3459</v>
      </c>
      <c r="H483" t="s">
        <v>8397</v>
      </c>
    </row>
    <row r="484" spans="1:8" hidden="1" x14ac:dyDescent="0.2">
      <c r="A484" s="3" t="s">
        <v>15319</v>
      </c>
      <c r="B484" s="3" t="s">
        <v>14359</v>
      </c>
      <c r="C484" s="3" t="s">
        <v>2015</v>
      </c>
      <c r="D484" s="3" t="s">
        <v>15320</v>
      </c>
      <c r="E484" t="s">
        <v>19490</v>
      </c>
      <c r="F484" t="s">
        <v>2016</v>
      </c>
      <c r="G484" t="s">
        <v>3459</v>
      </c>
      <c r="H484" t="s">
        <v>5021</v>
      </c>
    </row>
    <row r="485" spans="1:8" hidden="1" x14ac:dyDescent="0.2">
      <c r="A485" s="3" t="s">
        <v>15321</v>
      </c>
      <c r="B485" s="3" t="s">
        <v>14359</v>
      </c>
      <c r="C485" s="3" t="s">
        <v>2017</v>
      </c>
      <c r="D485" s="3" t="s">
        <v>15322</v>
      </c>
      <c r="E485" t="s">
        <v>19491</v>
      </c>
      <c r="F485" t="s">
        <v>2018</v>
      </c>
      <c r="G485" t="s">
        <v>3459</v>
      </c>
      <c r="H485" t="s">
        <v>7792</v>
      </c>
    </row>
    <row r="486" spans="1:8" hidden="1" x14ac:dyDescent="0.2">
      <c r="A486" s="3" t="s">
        <v>15323</v>
      </c>
      <c r="B486" s="3" t="s">
        <v>14359</v>
      </c>
      <c r="C486" s="3" t="s">
        <v>2019</v>
      </c>
      <c r="D486" s="3" t="s">
        <v>15324</v>
      </c>
      <c r="E486" t="s">
        <v>19492</v>
      </c>
      <c r="F486" t="s">
        <v>2020</v>
      </c>
      <c r="G486" t="s">
        <v>3459</v>
      </c>
      <c r="H486" t="s">
        <v>3560</v>
      </c>
    </row>
    <row r="487" spans="1:8" hidden="1" x14ac:dyDescent="0.2">
      <c r="A487" s="3" t="s">
        <v>15325</v>
      </c>
      <c r="B487" s="3" t="s">
        <v>14359</v>
      </c>
      <c r="C487" s="3" t="s">
        <v>2021</v>
      </c>
      <c r="D487" s="3" t="s">
        <v>15326</v>
      </c>
      <c r="E487" t="s">
        <v>19493</v>
      </c>
      <c r="F487" t="s">
        <v>2022</v>
      </c>
      <c r="G487" t="s">
        <v>3459</v>
      </c>
      <c r="H487" t="s">
        <v>7081</v>
      </c>
    </row>
    <row r="488" spans="1:8" hidden="1" x14ac:dyDescent="0.2">
      <c r="A488" s="3" t="s">
        <v>15327</v>
      </c>
      <c r="B488" s="3" t="s">
        <v>14359</v>
      </c>
      <c r="C488" s="3" t="s">
        <v>2023</v>
      </c>
      <c r="D488" s="3" t="s">
        <v>15328</v>
      </c>
      <c r="E488" t="s">
        <v>9243</v>
      </c>
      <c r="F488" t="s">
        <v>2024</v>
      </c>
      <c r="G488" t="s">
        <v>3853</v>
      </c>
      <c r="H488" t="s">
        <v>6422</v>
      </c>
    </row>
    <row r="489" spans="1:8" hidden="1" x14ac:dyDescent="0.2">
      <c r="A489" s="3" t="s">
        <v>15329</v>
      </c>
      <c r="B489" s="3" t="s">
        <v>14359</v>
      </c>
      <c r="C489" s="3" t="s">
        <v>2025</v>
      </c>
      <c r="D489" s="3" t="s">
        <v>15330</v>
      </c>
      <c r="E489" t="s">
        <v>19494</v>
      </c>
      <c r="F489" t="s">
        <v>2026</v>
      </c>
      <c r="G489" t="s">
        <v>3853</v>
      </c>
      <c r="H489" t="s">
        <v>3854</v>
      </c>
    </row>
    <row r="490" spans="1:8" hidden="1" x14ac:dyDescent="0.2">
      <c r="A490" s="3" t="s">
        <v>15331</v>
      </c>
      <c r="B490" s="3" t="s">
        <v>14359</v>
      </c>
      <c r="C490" s="3" t="s">
        <v>2027</v>
      </c>
      <c r="D490" s="3" t="s">
        <v>15332</v>
      </c>
      <c r="E490" t="s">
        <v>19495</v>
      </c>
      <c r="F490" t="s">
        <v>2028</v>
      </c>
      <c r="G490" t="s">
        <v>3459</v>
      </c>
      <c r="H490" t="s">
        <v>4998</v>
      </c>
    </row>
    <row r="491" spans="1:8" hidden="1" x14ac:dyDescent="0.2">
      <c r="A491" s="3" t="s">
        <v>15333</v>
      </c>
      <c r="B491" s="3" t="s">
        <v>14359</v>
      </c>
      <c r="C491" s="3" t="s">
        <v>2029</v>
      </c>
      <c r="D491" s="3" t="s">
        <v>15334</v>
      </c>
      <c r="E491" t="s">
        <v>19496</v>
      </c>
      <c r="F491" t="s">
        <v>2030</v>
      </c>
      <c r="G491" t="s">
        <v>3459</v>
      </c>
      <c r="H491" t="s">
        <v>7792</v>
      </c>
    </row>
    <row r="492" spans="1:8" hidden="1" x14ac:dyDescent="0.2">
      <c r="A492" s="3" t="s">
        <v>15335</v>
      </c>
      <c r="B492" s="3" t="s">
        <v>14359</v>
      </c>
      <c r="C492" s="3" t="s">
        <v>2031</v>
      </c>
      <c r="D492" s="3" t="s">
        <v>15336</v>
      </c>
      <c r="E492" t="s">
        <v>19497</v>
      </c>
      <c r="F492" t="s">
        <v>2032</v>
      </c>
      <c r="G492" t="s">
        <v>3459</v>
      </c>
      <c r="H492" t="s">
        <v>6535</v>
      </c>
    </row>
    <row r="493" spans="1:8" hidden="1" x14ac:dyDescent="0.2">
      <c r="A493" s="3" t="s">
        <v>15337</v>
      </c>
      <c r="B493" s="3" t="s">
        <v>14359</v>
      </c>
      <c r="C493" s="3" t="s">
        <v>2033</v>
      </c>
      <c r="D493" s="3" t="s">
        <v>15338</v>
      </c>
      <c r="E493" t="s">
        <v>19498</v>
      </c>
      <c r="F493" t="s">
        <v>2034</v>
      </c>
      <c r="G493" t="s">
        <v>3459</v>
      </c>
      <c r="H493" t="s">
        <v>4998</v>
      </c>
    </row>
    <row r="494" spans="1:8" hidden="1" x14ac:dyDescent="0.2">
      <c r="A494" s="3" t="s">
        <v>15339</v>
      </c>
      <c r="B494" s="3" t="s">
        <v>14359</v>
      </c>
      <c r="C494" s="3" t="s">
        <v>2035</v>
      </c>
      <c r="D494" s="3" t="s">
        <v>15340</v>
      </c>
      <c r="E494" t="s">
        <v>9246</v>
      </c>
      <c r="F494" t="s">
        <v>2036</v>
      </c>
      <c r="G494" t="s">
        <v>3436</v>
      </c>
      <c r="H494" t="s">
        <v>3498</v>
      </c>
    </row>
    <row r="495" spans="1:8" hidden="1" x14ac:dyDescent="0.2">
      <c r="A495" s="3" t="s">
        <v>15341</v>
      </c>
      <c r="B495" s="3" t="s">
        <v>14359</v>
      </c>
      <c r="C495" s="3" t="s">
        <v>2037</v>
      </c>
      <c r="D495" s="3" t="s">
        <v>15342</v>
      </c>
      <c r="E495" t="s">
        <v>19499</v>
      </c>
      <c r="F495" t="s">
        <v>2038</v>
      </c>
      <c r="G495" t="s">
        <v>3459</v>
      </c>
      <c r="H495" t="s">
        <v>9134</v>
      </c>
    </row>
    <row r="496" spans="1:8" hidden="1" x14ac:dyDescent="0.2">
      <c r="A496" s="3" t="s">
        <v>15343</v>
      </c>
      <c r="B496" s="3" t="s">
        <v>14359</v>
      </c>
      <c r="C496" s="3" t="s">
        <v>2039</v>
      </c>
      <c r="D496" s="3" t="s">
        <v>15344</v>
      </c>
      <c r="E496" t="s">
        <v>19500</v>
      </c>
      <c r="F496" t="s">
        <v>2040</v>
      </c>
      <c r="G496" t="s">
        <v>3459</v>
      </c>
      <c r="H496" t="s">
        <v>7081</v>
      </c>
    </row>
    <row r="497" spans="1:8" hidden="1" x14ac:dyDescent="0.2">
      <c r="A497" s="3" t="s">
        <v>15345</v>
      </c>
      <c r="B497" s="3" t="s">
        <v>14359</v>
      </c>
      <c r="C497" s="3" t="s">
        <v>2041</v>
      </c>
      <c r="D497" s="3" t="s">
        <v>15346</v>
      </c>
      <c r="E497" t="s">
        <v>19501</v>
      </c>
      <c r="F497" t="s">
        <v>2042</v>
      </c>
      <c r="G497" t="s">
        <v>3459</v>
      </c>
      <c r="H497" t="s">
        <v>4998</v>
      </c>
    </row>
    <row r="498" spans="1:8" hidden="1" x14ac:dyDescent="0.2">
      <c r="A498" s="3" t="s">
        <v>15347</v>
      </c>
      <c r="B498" s="3" t="s">
        <v>14359</v>
      </c>
      <c r="C498" s="3" t="s">
        <v>2043</v>
      </c>
      <c r="D498" s="3" t="s">
        <v>15344</v>
      </c>
      <c r="E498" t="s">
        <v>19502</v>
      </c>
      <c r="F498" t="s">
        <v>2044</v>
      </c>
      <c r="G498" t="s">
        <v>3459</v>
      </c>
      <c r="H498" t="s">
        <v>4998</v>
      </c>
    </row>
    <row r="499" spans="1:8" hidden="1" x14ac:dyDescent="0.2">
      <c r="A499" s="3" t="s">
        <v>15348</v>
      </c>
      <c r="B499" s="3" t="s">
        <v>14359</v>
      </c>
      <c r="C499" s="3" t="s">
        <v>2045</v>
      </c>
      <c r="D499" s="3" t="s">
        <v>15349</v>
      </c>
      <c r="E499" t="s">
        <v>19503</v>
      </c>
      <c r="F499" t="s">
        <v>2046</v>
      </c>
      <c r="G499" t="s">
        <v>3459</v>
      </c>
      <c r="H499" t="s">
        <v>7081</v>
      </c>
    </row>
    <row r="500" spans="1:8" hidden="1" x14ac:dyDescent="0.2">
      <c r="A500" s="3" t="s">
        <v>15350</v>
      </c>
      <c r="B500" s="3" t="s">
        <v>14359</v>
      </c>
      <c r="C500" s="3" t="s">
        <v>2047</v>
      </c>
      <c r="D500" s="3" t="s">
        <v>15351</v>
      </c>
      <c r="E500" t="s">
        <v>19504</v>
      </c>
      <c r="F500" t="s">
        <v>2048</v>
      </c>
      <c r="G500" t="s">
        <v>3459</v>
      </c>
      <c r="H500" t="s">
        <v>7081</v>
      </c>
    </row>
    <row r="501" spans="1:8" hidden="1" x14ac:dyDescent="0.2">
      <c r="A501" s="3" t="s">
        <v>15352</v>
      </c>
      <c r="B501" s="3" t="s">
        <v>14359</v>
      </c>
      <c r="C501" s="3" t="s">
        <v>2049</v>
      </c>
      <c r="D501" s="3" t="s">
        <v>15344</v>
      </c>
      <c r="E501" t="s">
        <v>19505</v>
      </c>
      <c r="F501" t="s">
        <v>2050</v>
      </c>
      <c r="G501" t="s">
        <v>3459</v>
      </c>
      <c r="H501" t="s">
        <v>7081</v>
      </c>
    </row>
    <row r="502" spans="1:8" hidden="1" x14ac:dyDescent="0.2">
      <c r="A502" s="3" t="s">
        <v>15353</v>
      </c>
      <c r="B502" s="3" t="s">
        <v>14359</v>
      </c>
      <c r="C502" s="3" t="s">
        <v>2051</v>
      </c>
      <c r="D502" s="3" t="s">
        <v>15354</v>
      </c>
      <c r="E502" t="s">
        <v>19506</v>
      </c>
      <c r="F502" t="s">
        <v>2052</v>
      </c>
      <c r="G502" t="s">
        <v>3459</v>
      </c>
      <c r="H502" t="s">
        <v>3836</v>
      </c>
    </row>
    <row r="503" spans="1:8" hidden="1" x14ac:dyDescent="0.2">
      <c r="A503" s="3" t="s">
        <v>15355</v>
      </c>
      <c r="B503" s="3" t="s">
        <v>14359</v>
      </c>
      <c r="C503" s="3" t="s">
        <v>2053</v>
      </c>
      <c r="D503" s="3" t="s">
        <v>15344</v>
      </c>
      <c r="E503" t="s">
        <v>19507</v>
      </c>
      <c r="F503" t="s">
        <v>2054</v>
      </c>
      <c r="G503" t="s">
        <v>3459</v>
      </c>
      <c r="H503" t="s">
        <v>4998</v>
      </c>
    </row>
    <row r="504" spans="1:8" hidden="1" x14ac:dyDescent="0.2">
      <c r="A504" s="3" t="s">
        <v>15356</v>
      </c>
      <c r="B504" s="3" t="s">
        <v>14359</v>
      </c>
      <c r="C504" s="3" t="s">
        <v>2055</v>
      </c>
      <c r="D504" s="3" t="s">
        <v>15357</v>
      </c>
      <c r="E504" t="s">
        <v>19508</v>
      </c>
      <c r="F504" t="s">
        <v>2056</v>
      </c>
      <c r="G504" t="s">
        <v>3459</v>
      </c>
      <c r="H504" t="s">
        <v>3560</v>
      </c>
    </row>
    <row r="505" spans="1:8" hidden="1" x14ac:dyDescent="0.2">
      <c r="A505" s="3" t="s">
        <v>15358</v>
      </c>
      <c r="B505" s="3" t="s">
        <v>14359</v>
      </c>
      <c r="C505" s="3" t="s">
        <v>2057</v>
      </c>
      <c r="D505" s="3" t="s">
        <v>15112</v>
      </c>
      <c r="E505" t="s">
        <v>19509</v>
      </c>
      <c r="F505" t="s">
        <v>2058</v>
      </c>
      <c r="G505" t="s">
        <v>3459</v>
      </c>
      <c r="H505" t="s">
        <v>8860</v>
      </c>
    </row>
    <row r="506" spans="1:8" hidden="1" x14ac:dyDescent="0.2">
      <c r="A506" s="3" t="s">
        <v>15359</v>
      </c>
      <c r="B506" s="3" t="s">
        <v>14359</v>
      </c>
      <c r="C506" s="3" t="s">
        <v>2059</v>
      </c>
      <c r="D506" s="3" t="s">
        <v>15112</v>
      </c>
      <c r="E506" t="s">
        <v>19510</v>
      </c>
      <c r="F506" t="s">
        <v>2060</v>
      </c>
      <c r="G506" t="s">
        <v>3459</v>
      </c>
      <c r="H506" t="s">
        <v>814</v>
      </c>
    </row>
    <row r="507" spans="1:8" hidden="1" x14ac:dyDescent="0.2">
      <c r="A507" s="3" t="s">
        <v>15360</v>
      </c>
      <c r="B507" s="3" t="s">
        <v>14359</v>
      </c>
      <c r="C507" s="3" t="s">
        <v>2061</v>
      </c>
      <c r="D507" s="3" t="s">
        <v>15112</v>
      </c>
      <c r="E507" t="s">
        <v>19511</v>
      </c>
      <c r="F507" t="s">
        <v>2062</v>
      </c>
      <c r="G507" t="s">
        <v>3459</v>
      </c>
      <c r="H507" t="s">
        <v>814</v>
      </c>
    </row>
    <row r="508" spans="1:8" hidden="1" x14ac:dyDescent="0.2">
      <c r="A508" s="3" t="s">
        <v>15361</v>
      </c>
      <c r="B508" s="3" t="s">
        <v>14359</v>
      </c>
      <c r="C508" s="3" t="s">
        <v>2063</v>
      </c>
      <c r="D508" s="3" t="s">
        <v>15112</v>
      </c>
      <c r="E508" t="s">
        <v>19512</v>
      </c>
      <c r="F508" t="s">
        <v>2064</v>
      </c>
      <c r="G508" t="s">
        <v>3459</v>
      </c>
      <c r="H508" t="s">
        <v>814</v>
      </c>
    </row>
    <row r="509" spans="1:8" hidden="1" x14ac:dyDescent="0.2">
      <c r="A509" s="3" t="s">
        <v>15362</v>
      </c>
      <c r="B509" s="3" t="s">
        <v>14359</v>
      </c>
      <c r="C509" s="3" t="s">
        <v>2065</v>
      </c>
      <c r="D509" s="3" t="s">
        <v>15363</v>
      </c>
      <c r="E509" t="s">
        <v>19513</v>
      </c>
      <c r="F509" t="s">
        <v>2066</v>
      </c>
      <c r="G509" t="s">
        <v>3459</v>
      </c>
      <c r="H509" t="s">
        <v>5526</v>
      </c>
    </row>
    <row r="510" spans="1:8" hidden="1" x14ac:dyDescent="0.2">
      <c r="A510" s="3" t="s">
        <v>15364</v>
      </c>
      <c r="B510" s="3" t="s">
        <v>14359</v>
      </c>
      <c r="C510" s="3" t="s">
        <v>2067</v>
      </c>
      <c r="D510" s="3" t="s">
        <v>15112</v>
      </c>
      <c r="E510" t="s">
        <v>19514</v>
      </c>
      <c r="F510" t="s">
        <v>2068</v>
      </c>
      <c r="G510" t="s">
        <v>3459</v>
      </c>
      <c r="H510" t="s">
        <v>814</v>
      </c>
    </row>
    <row r="511" spans="1:8" hidden="1" x14ac:dyDescent="0.2">
      <c r="A511" s="3" t="s">
        <v>15365</v>
      </c>
      <c r="B511" s="3" t="s">
        <v>14359</v>
      </c>
      <c r="C511" s="3" t="s">
        <v>2069</v>
      </c>
      <c r="D511" s="3" t="s">
        <v>15112</v>
      </c>
      <c r="E511" t="s">
        <v>19515</v>
      </c>
      <c r="F511" t="s">
        <v>2070</v>
      </c>
      <c r="G511" t="s">
        <v>3459</v>
      </c>
      <c r="H511" t="s">
        <v>814</v>
      </c>
    </row>
    <row r="512" spans="1:8" hidden="1" x14ac:dyDescent="0.2">
      <c r="A512" s="3" t="s">
        <v>15366</v>
      </c>
      <c r="B512" s="3" t="s">
        <v>14359</v>
      </c>
      <c r="C512" s="3" t="s">
        <v>2071</v>
      </c>
      <c r="D512" s="3" t="s">
        <v>15367</v>
      </c>
      <c r="E512" t="s">
        <v>19516</v>
      </c>
      <c r="F512" t="s">
        <v>2072</v>
      </c>
      <c r="G512" t="s">
        <v>3459</v>
      </c>
      <c r="H512" t="s">
        <v>9134</v>
      </c>
    </row>
    <row r="513" spans="1:8" hidden="1" x14ac:dyDescent="0.2">
      <c r="A513" s="3" t="s">
        <v>15368</v>
      </c>
      <c r="B513" s="3" t="s">
        <v>14359</v>
      </c>
      <c r="C513" s="3" t="s">
        <v>2073</v>
      </c>
      <c r="D513" s="3" t="s">
        <v>15112</v>
      </c>
      <c r="E513" t="s">
        <v>19517</v>
      </c>
      <c r="F513" t="s">
        <v>2074</v>
      </c>
      <c r="G513" t="s">
        <v>3459</v>
      </c>
      <c r="H513" t="s">
        <v>814</v>
      </c>
    </row>
    <row r="514" spans="1:8" hidden="1" x14ac:dyDescent="0.2">
      <c r="A514" s="3" t="s">
        <v>15369</v>
      </c>
      <c r="B514" s="3" t="s">
        <v>14359</v>
      </c>
      <c r="C514" s="3" t="s">
        <v>2075</v>
      </c>
      <c r="D514" s="3" t="s">
        <v>15370</v>
      </c>
      <c r="E514" t="s">
        <v>19518</v>
      </c>
      <c r="F514" t="s">
        <v>2076</v>
      </c>
      <c r="G514" t="s">
        <v>3459</v>
      </c>
      <c r="H514" t="s">
        <v>7821</v>
      </c>
    </row>
    <row r="515" spans="1:8" hidden="1" x14ac:dyDescent="0.2">
      <c r="A515" s="3" t="s">
        <v>15371</v>
      </c>
      <c r="B515" s="3" t="s">
        <v>14359</v>
      </c>
      <c r="C515" s="3" t="s">
        <v>2077</v>
      </c>
      <c r="D515" s="3" t="s">
        <v>15372</v>
      </c>
      <c r="E515" t="s">
        <v>19519</v>
      </c>
      <c r="F515" t="s">
        <v>13994</v>
      </c>
      <c r="G515" t="s">
        <v>3459</v>
      </c>
      <c r="H515" t="s">
        <v>3560</v>
      </c>
    </row>
    <row r="516" spans="1:8" hidden="1" x14ac:dyDescent="0.2">
      <c r="A516" s="3" t="s">
        <v>15373</v>
      </c>
      <c r="B516" s="3" t="s">
        <v>14359</v>
      </c>
      <c r="C516" s="3" t="s">
        <v>2078</v>
      </c>
      <c r="D516" s="3" t="s">
        <v>15112</v>
      </c>
      <c r="E516" t="s">
        <v>19520</v>
      </c>
      <c r="F516" t="s">
        <v>2079</v>
      </c>
      <c r="G516" t="s">
        <v>3459</v>
      </c>
      <c r="H516" t="s">
        <v>814</v>
      </c>
    </row>
    <row r="517" spans="1:8" hidden="1" x14ac:dyDescent="0.2">
      <c r="A517" s="3" t="s">
        <v>15374</v>
      </c>
      <c r="B517" s="3" t="s">
        <v>14359</v>
      </c>
      <c r="C517" s="3" t="s">
        <v>2080</v>
      </c>
      <c r="D517" s="3" t="s">
        <v>15375</v>
      </c>
      <c r="E517" t="s">
        <v>19521</v>
      </c>
      <c r="F517" t="s">
        <v>2081</v>
      </c>
      <c r="G517" t="s">
        <v>3459</v>
      </c>
      <c r="H517" t="s">
        <v>5526</v>
      </c>
    </row>
    <row r="518" spans="1:8" hidden="1" x14ac:dyDescent="0.2">
      <c r="A518" s="3" t="s">
        <v>15376</v>
      </c>
      <c r="B518" s="3" t="s">
        <v>14359</v>
      </c>
      <c r="C518" s="3" t="s">
        <v>2082</v>
      </c>
      <c r="D518" s="3" t="s">
        <v>15377</v>
      </c>
      <c r="E518" t="s">
        <v>19522</v>
      </c>
      <c r="F518" t="s">
        <v>2083</v>
      </c>
      <c r="G518" t="s">
        <v>3459</v>
      </c>
      <c r="H518" t="s">
        <v>5526</v>
      </c>
    </row>
    <row r="519" spans="1:8" hidden="1" x14ac:dyDescent="0.2">
      <c r="A519" s="3" t="s">
        <v>15378</v>
      </c>
      <c r="B519" s="3" t="s">
        <v>14359</v>
      </c>
      <c r="C519" s="3" t="s">
        <v>2084</v>
      </c>
      <c r="D519" s="3" t="s">
        <v>15379</v>
      </c>
      <c r="E519" t="s">
        <v>19523</v>
      </c>
      <c r="F519" t="s">
        <v>2085</v>
      </c>
      <c r="G519" t="s">
        <v>3459</v>
      </c>
      <c r="H519" t="s">
        <v>5526</v>
      </c>
    </row>
    <row r="520" spans="1:8" hidden="1" x14ac:dyDescent="0.2">
      <c r="A520" s="3" t="s">
        <v>15380</v>
      </c>
      <c r="B520" s="3" t="s">
        <v>14359</v>
      </c>
      <c r="C520" s="3" t="s">
        <v>2086</v>
      </c>
      <c r="D520" s="3" t="s">
        <v>15040</v>
      </c>
      <c r="E520" t="s">
        <v>19524</v>
      </c>
      <c r="F520" t="s">
        <v>19120</v>
      </c>
      <c r="G520" t="s">
        <v>3459</v>
      </c>
      <c r="H520" t="s">
        <v>3560</v>
      </c>
    </row>
    <row r="521" spans="1:8" hidden="1" x14ac:dyDescent="0.2">
      <c r="A521" s="3" t="s">
        <v>15381</v>
      </c>
      <c r="B521" s="3" t="s">
        <v>14359</v>
      </c>
      <c r="C521" s="3" t="s">
        <v>2087</v>
      </c>
      <c r="D521" s="3" t="s">
        <v>15382</v>
      </c>
      <c r="E521" t="s">
        <v>19525</v>
      </c>
      <c r="F521" t="s">
        <v>2088</v>
      </c>
      <c r="G521" t="s">
        <v>3459</v>
      </c>
      <c r="H521" t="s">
        <v>7821</v>
      </c>
    </row>
    <row r="522" spans="1:8" hidden="1" x14ac:dyDescent="0.2">
      <c r="A522" s="3" t="s">
        <v>15383</v>
      </c>
      <c r="B522" s="3" t="s">
        <v>14359</v>
      </c>
      <c r="C522" s="3" t="s">
        <v>2089</v>
      </c>
      <c r="D522" s="3" t="s">
        <v>15384</v>
      </c>
      <c r="E522" t="s">
        <v>19526</v>
      </c>
      <c r="F522" t="s">
        <v>2090</v>
      </c>
      <c r="G522" t="s">
        <v>3448</v>
      </c>
      <c r="H522" t="s">
        <v>4124</v>
      </c>
    </row>
    <row r="523" spans="1:8" hidden="1" x14ac:dyDescent="0.2">
      <c r="A523" s="3" t="s">
        <v>15385</v>
      </c>
      <c r="B523" s="3" t="s">
        <v>14359</v>
      </c>
      <c r="C523" s="3" t="s">
        <v>2091</v>
      </c>
      <c r="D523" s="3" t="s">
        <v>15386</v>
      </c>
      <c r="E523" t="s">
        <v>19527</v>
      </c>
      <c r="F523" t="s">
        <v>2092</v>
      </c>
      <c r="G523" t="s">
        <v>3863</v>
      </c>
      <c r="H523" t="s">
        <v>3864</v>
      </c>
    </row>
    <row r="524" spans="1:8" hidden="1" x14ac:dyDescent="0.2">
      <c r="A524" s="3" t="s">
        <v>15387</v>
      </c>
      <c r="B524" s="3" t="s">
        <v>14359</v>
      </c>
      <c r="C524" s="3" t="s">
        <v>2093</v>
      </c>
      <c r="D524" s="3" t="s">
        <v>15388</v>
      </c>
      <c r="E524" t="s">
        <v>19528</v>
      </c>
      <c r="F524" t="s">
        <v>2094</v>
      </c>
      <c r="G524" t="s">
        <v>3448</v>
      </c>
      <c r="H524" t="s">
        <v>4124</v>
      </c>
    </row>
    <row r="525" spans="1:8" hidden="1" x14ac:dyDescent="0.2">
      <c r="A525" s="3" t="s">
        <v>15389</v>
      </c>
      <c r="B525" s="3" t="s">
        <v>14359</v>
      </c>
      <c r="C525" s="3" t="s">
        <v>2095</v>
      </c>
      <c r="D525" s="3" t="s">
        <v>15390</v>
      </c>
      <c r="E525" t="s">
        <v>19529</v>
      </c>
      <c r="F525" t="s">
        <v>2096</v>
      </c>
      <c r="G525" t="s">
        <v>3459</v>
      </c>
      <c r="H525" t="s">
        <v>6535</v>
      </c>
    </row>
    <row r="526" spans="1:8" hidden="1" x14ac:dyDescent="0.2">
      <c r="A526" s="3" t="s">
        <v>15391</v>
      </c>
      <c r="B526" s="3" t="s">
        <v>14359</v>
      </c>
      <c r="C526" s="3" t="s">
        <v>2097</v>
      </c>
      <c r="D526" s="3" t="s">
        <v>15392</v>
      </c>
      <c r="E526" t="s">
        <v>19530</v>
      </c>
      <c r="F526" t="s">
        <v>2098</v>
      </c>
      <c r="G526" t="s">
        <v>3459</v>
      </c>
      <c r="H526" t="s">
        <v>7821</v>
      </c>
    </row>
    <row r="527" spans="1:8" hidden="1" x14ac:dyDescent="0.2">
      <c r="A527" s="3" t="s">
        <v>15393</v>
      </c>
      <c r="B527" s="3" t="s">
        <v>14359</v>
      </c>
      <c r="C527" s="3" t="s">
        <v>2099</v>
      </c>
      <c r="D527" s="3" t="s">
        <v>15394</v>
      </c>
      <c r="E527" t="s">
        <v>19531</v>
      </c>
      <c r="F527" t="s">
        <v>2100</v>
      </c>
      <c r="G527" t="s">
        <v>3459</v>
      </c>
      <c r="H527" t="s">
        <v>7081</v>
      </c>
    </row>
    <row r="528" spans="1:8" hidden="1" x14ac:dyDescent="0.2">
      <c r="A528" s="3" t="s">
        <v>15395</v>
      </c>
      <c r="B528" s="3" t="s">
        <v>14359</v>
      </c>
      <c r="C528" s="3" t="s">
        <v>2101</v>
      </c>
      <c r="D528" s="3" t="s">
        <v>15396</v>
      </c>
      <c r="E528" t="s">
        <v>19532</v>
      </c>
      <c r="F528" t="s">
        <v>2102</v>
      </c>
      <c r="G528" t="s">
        <v>3459</v>
      </c>
      <c r="H528" t="s">
        <v>7821</v>
      </c>
    </row>
    <row r="529" spans="1:8" hidden="1" x14ac:dyDescent="0.2">
      <c r="A529" s="3" t="s">
        <v>15397</v>
      </c>
      <c r="B529" s="3" t="s">
        <v>14359</v>
      </c>
      <c r="C529" s="3" t="s">
        <v>2103</v>
      </c>
      <c r="D529" s="3" t="s">
        <v>15398</v>
      </c>
      <c r="E529" t="s">
        <v>9523</v>
      </c>
      <c r="F529" t="s">
        <v>2104</v>
      </c>
      <c r="G529" t="s">
        <v>3436</v>
      </c>
      <c r="H529" t="s">
        <v>3586</v>
      </c>
    </row>
    <row r="530" spans="1:8" hidden="1" x14ac:dyDescent="0.2">
      <c r="A530" s="3" t="s">
        <v>15399</v>
      </c>
      <c r="B530" s="3" t="s">
        <v>14359</v>
      </c>
      <c r="C530" s="3" t="s">
        <v>2105</v>
      </c>
      <c r="D530" s="3" t="s">
        <v>15400</v>
      </c>
      <c r="E530" t="s">
        <v>19533</v>
      </c>
      <c r="F530" t="s">
        <v>2106</v>
      </c>
      <c r="G530" t="s">
        <v>3459</v>
      </c>
      <c r="H530" t="s">
        <v>6535</v>
      </c>
    </row>
    <row r="531" spans="1:8" hidden="1" x14ac:dyDescent="0.2">
      <c r="A531" s="3" t="s">
        <v>15401</v>
      </c>
      <c r="B531" s="3" t="s">
        <v>14359</v>
      </c>
      <c r="C531" s="3" t="s">
        <v>2107</v>
      </c>
      <c r="D531" s="3" t="s">
        <v>15402</v>
      </c>
      <c r="E531" t="s">
        <v>19534</v>
      </c>
      <c r="F531" t="s">
        <v>2108</v>
      </c>
      <c r="G531" t="s">
        <v>3459</v>
      </c>
      <c r="H531" t="s">
        <v>6535</v>
      </c>
    </row>
    <row r="532" spans="1:8" hidden="1" x14ac:dyDescent="0.2">
      <c r="A532" s="3" t="s">
        <v>15403</v>
      </c>
      <c r="B532" s="3" t="s">
        <v>14359</v>
      </c>
      <c r="C532" s="3" t="s">
        <v>2109</v>
      </c>
      <c r="D532" s="3" t="s">
        <v>15404</v>
      </c>
      <c r="E532" t="s">
        <v>19535</v>
      </c>
      <c r="F532" t="s">
        <v>2110</v>
      </c>
      <c r="G532" t="s">
        <v>3459</v>
      </c>
      <c r="H532" t="s">
        <v>7821</v>
      </c>
    </row>
    <row r="533" spans="1:8" hidden="1" x14ac:dyDescent="0.2">
      <c r="A533" s="3" t="s">
        <v>15405</v>
      </c>
      <c r="B533" s="3" t="s">
        <v>14359</v>
      </c>
      <c r="C533" s="3" t="s">
        <v>2111</v>
      </c>
      <c r="D533" s="3" t="s">
        <v>15406</v>
      </c>
      <c r="E533" t="s">
        <v>9565</v>
      </c>
      <c r="F533" t="s">
        <v>2112</v>
      </c>
      <c r="G533" t="s">
        <v>3459</v>
      </c>
      <c r="H533" t="s">
        <v>6535</v>
      </c>
    </row>
    <row r="534" spans="1:8" hidden="1" x14ac:dyDescent="0.2">
      <c r="A534" s="3" t="s">
        <v>15407</v>
      </c>
      <c r="B534" s="3" t="s">
        <v>14359</v>
      </c>
      <c r="C534" s="3" t="s">
        <v>2113</v>
      </c>
      <c r="D534" s="3" t="s">
        <v>15408</v>
      </c>
      <c r="E534" t="s">
        <v>9570</v>
      </c>
      <c r="F534" t="s">
        <v>14000</v>
      </c>
      <c r="G534" t="s">
        <v>3459</v>
      </c>
      <c r="H534" t="s">
        <v>4991</v>
      </c>
    </row>
    <row r="535" spans="1:8" hidden="1" x14ac:dyDescent="0.2">
      <c r="A535" s="3" t="s">
        <v>15409</v>
      </c>
      <c r="B535" s="3" t="s">
        <v>14359</v>
      </c>
      <c r="C535" s="3" t="s">
        <v>2114</v>
      </c>
      <c r="D535" s="3" t="s">
        <v>15410</v>
      </c>
      <c r="E535" t="s">
        <v>9559</v>
      </c>
      <c r="F535" t="s">
        <v>2115</v>
      </c>
      <c r="G535" t="s">
        <v>3436</v>
      </c>
      <c r="H535" t="s">
        <v>3437</v>
      </c>
    </row>
    <row r="536" spans="1:8" hidden="1" x14ac:dyDescent="0.2">
      <c r="A536" s="3" t="s">
        <v>15409</v>
      </c>
      <c r="B536" s="3" t="s">
        <v>14359</v>
      </c>
      <c r="C536" s="3" t="s">
        <v>2114</v>
      </c>
      <c r="D536" s="3" t="s">
        <v>15411</v>
      </c>
      <c r="E536" t="s">
        <v>9559</v>
      </c>
      <c r="F536" t="s">
        <v>2115</v>
      </c>
      <c r="G536" t="s">
        <v>3436</v>
      </c>
      <c r="H536" t="s">
        <v>3437</v>
      </c>
    </row>
    <row r="537" spans="1:8" hidden="1" x14ac:dyDescent="0.2">
      <c r="A537" s="3" t="s">
        <v>15412</v>
      </c>
      <c r="B537" s="3" t="s">
        <v>14359</v>
      </c>
      <c r="C537" s="3" t="s">
        <v>2116</v>
      </c>
      <c r="D537" s="3" t="s">
        <v>15413</v>
      </c>
      <c r="E537" t="s">
        <v>19536</v>
      </c>
      <c r="F537" t="s">
        <v>2117</v>
      </c>
      <c r="G537" t="s">
        <v>3459</v>
      </c>
      <c r="H537" t="s">
        <v>3873</v>
      </c>
    </row>
    <row r="538" spans="1:8" hidden="1" x14ac:dyDescent="0.2">
      <c r="A538" s="3" t="s">
        <v>15414</v>
      </c>
      <c r="B538" s="3" t="s">
        <v>14359</v>
      </c>
      <c r="C538" s="3" t="s">
        <v>2118</v>
      </c>
      <c r="D538" s="3" t="s">
        <v>15040</v>
      </c>
      <c r="E538" t="s">
        <v>18623</v>
      </c>
      <c r="F538" t="s">
        <v>19121</v>
      </c>
      <c r="G538" t="s">
        <v>3863</v>
      </c>
      <c r="H538" t="s">
        <v>3864</v>
      </c>
    </row>
    <row r="539" spans="1:8" hidden="1" x14ac:dyDescent="0.2">
      <c r="A539" s="3" t="s">
        <v>15415</v>
      </c>
      <c r="B539" s="3" t="s">
        <v>14359</v>
      </c>
      <c r="C539" s="3" t="s">
        <v>2119</v>
      </c>
      <c r="D539" s="3" t="s">
        <v>15416</v>
      </c>
      <c r="E539" t="s">
        <v>19537</v>
      </c>
      <c r="F539" t="s">
        <v>13997</v>
      </c>
      <c r="G539" t="s">
        <v>3459</v>
      </c>
      <c r="H539" t="s">
        <v>3768</v>
      </c>
    </row>
    <row r="540" spans="1:8" hidden="1" x14ac:dyDescent="0.2">
      <c r="A540" s="3" t="s">
        <v>15417</v>
      </c>
      <c r="B540" s="3" t="s">
        <v>14359</v>
      </c>
      <c r="C540" s="3" t="s">
        <v>2121</v>
      </c>
      <c r="D540" s="3" t="s">
        <v>15418</v>
      </c>
      <c r="E540" t="s">
        <v>19538</v>
      </c>
      <c r="F540" t="s">
        <v>2122</v>
      </c>
      <c r="G540" t="s">
        <v>3448</v>
      </c>
      <c r="H540" t="s">
        <v>4124</v>
      </c>
    </row>
    <row r="541" spans="1:8" hidden="1" x14ac:dyDescent="0.2">
      <c r="A541" s="3" t="s">
        <v>15419</v>
      </c>
      <c r="B541" s="3" t="s">
        <v>14359</v>
      </c>
      <c r="C541" s="3" t="s">
        <v>2123</v>
      </c>
      <c r="D541" s="3" t="s">
        <v>15040</v>
      </c>
      <c r="E541" t="s">
        <v>9579</v>
      </c>
      <c r="F541" t="s">
        <v>2124</v>
      </c>
      <c r="G541" t="s">
        <v>3459</v>
      </c>
      <c r="H541" t="s">
        <v>7998</v>
      </c>
    </row>
    <row r="542" spans="1:8" hidden="1" x14ac:dyDescent="0.2">
      <c r="A542" s="3" t="s">
        <v>15420</v>
      </c>
      <c r="B542" s="3" t="s">
        <v>14359</v>
      </c>
      <c r="C542" s="3" t="s">
        <v>2125</v>
      </c>
      <c r="D542" s="3" t="s">
        <v>15421</v>
      </c>
      <c r="E542" t="s">
        <v>19539</v>
      </c>
      <c r="F542" t="s">
        <v>2126</v>
      </c>
      <c r="G542" t="s">
        <v>3459</v>
      </c>
      <c r="H542" t="s">
        <v>3873</v>
      </c>
    </row>
    <row r="543" spans="1:8" hidden="1" x14ac:dyDescent="0.2">
      <c r="A543" s="3" t="s">
        <v>15422</v>
      </c>
      <c r="B543" s="3" t="s">
        <v>14359</v>
      </c>
      <c r="C543" s="3" t="s">
        <v>2127</v>
      </c>
      <c r="D543" s="3" t="s">
        <v>15040</v>
      </c>
      <c r="E543" t="s">
        <v>19540</v>
      </c>
      <c r="F543" t="s">
        <v>2128</v>
      </c>
      <c r="G543" t="s">
        <v>3459</v>
      </c>
      <c r="H543" t="s">
        <v>4991</v>
      </c>
    </row>
    <row r="544" spans="1:8" hidden="1" x14ac:dyDescent="0.2">
      <c r="A544" s="3" t="s">
        <v>15423</v>
      </c>
      <c r="B544" s="3" t="s">
        <v>14359</v>
      </c>
      <c r="C544" s="3" t="s">
        <v>2129</v>
      </c>
      <c r="D544" s="3" t="s">
        <v>15424</v>
      </c>
      <c r="E544" t="s">
        <v>19541</v>
      </c>
      <c r="F544" t="s">
        <v>2130</v>
      </c>
      <c r="G544" t="s">
        <v>3459</v>
      </c>
      <c r="H544" t="s">
        <v>4869</v>
      </c>
    </row>
    <row r="545" spans="1:8" hidden="1" x14ac:dyDescent="0.2">
      <c r="A545" s="3" t="s">
        <v>15425</v>
      </c>
      <c r="B545" s="3" t="s">
        <v>14359</v>
      </c>
      <c r="C545" s="3" t="s">
        <v>2131</v>
      </c>
      <c r="D545" s="3" t="s">
        <v>15040</v>
      </c>
      <c r="E545" t="s">
        <v>18631</v>
      </c>
      <c r="F545" t="s">
        <v>19122</v>
      </c>
      <c r="G545" t="s">
        <v>3853</v>
      </c>
      <c r="H545" t="s">
        <v>6422</v>
      </c>
    </row>
    <row r="546" spans="1:8" hidden="1" x14ac:dyDescent="0.2">
      <c r="A546" s="3" t="s">
        <v>15426</v>
      </c>
      <c r="B546" s="3" t="s">
        <v>14359</v>
      </c>
      <c r="C546" s="3" t="s">
        <v>2132</v>
      </c>
      <c r="D546" s="3" t="s">
        <v>15427</v>
      </c>
      <c r="E546" t="s">
        <v>19542</v>
      </c>
      <c r="F546" t="s">
        <v>2133</v>
      </c>
      <c r="G546" t="s">
        <v>3459</v>
      </c>
      <c r="H546" t="s">
        <v>3873</v>
      </c>
    </row>
    <row r="547" spans="1:8" hidden="1" x14ac:dyDescent="0.2">
      <c r="A547" s="3" t="s">
        <v>15428</v>
      </c>
      <c r="B547" s="3" t="s">
        <v>14359</v>
      </c>
      <c r="C547" s="3" t="s">
        <v>2134</v>
      </c>
      <c r="D547" s="3" t="s">
        <v>15429</v>
      </c>
      <c r="E547" t="s">
        <v>19543</v>
      </c>
      <c r="F547" t="s">
        <v>2135</v>
      </c>
      <c r="G547" t="s">
        <v>3459</v>
      </c>
      <c r="H547" t="s">
        <v>3873</v>
      </c>
    </row>
    <row r="548" spans="1:8" hidden="1" x14ac:dyDescent="0.2">
      <c r="A548" s="3" t="s">
        <v>15430</v>
      </c>
      <c r="B548" s="3" t="s">
        <v>14359</v>
      </c>
      <c r="C548" s="3" t="s">
        <v>2136</v>
      </c>
      <c r="D548" s="3" t="s">
        <v>15431</v>
      </c>
      <c r="E548" t="s">
        <v>19544</v>
      </c>
      <c r="F548" t="s">
        <v>2137</v>
      </c>
      <c r="G548" t="s">
        <v>3459</v>
      </c>
      <c r="H548" t="s">
        <v>3873</v>
      </c>
    </row>
    <row r="549" spans="1:8" hidden="1" x14ac:dyDescent="0.2">
      <c r="A549" s="3" t="s">
        <v>15432</v>
      </c>
      <c r="B549" s="3" t="s">
        <v>14359</v>
      </c>
      <c r="C549" s="3" t="s">
        <v>2138</v>
      </c>
      <c r="D549" s="3" t="s">
        <v>15433</v>
      </c>
      <c r="E549" t="s">
        <v>19545</v>
      </c>
      <c r="F549" t="s">
        <v>2139</v>
      </c>
      <c r="G549" t="s">
        <v>3863</v>
      </c>
      <c r="H549" t="s">
        <v>3864</v>
      </c>
    </row>
    <row r="550" spans="1:8" hidden="1" x14ac:dyDescent="0.2">
      <c r="A550" s="3" t="s">
        <v>15434</v>
      </c>
      <c r="B550" s="3" t="s">
        <v>14359</v>
      </c>
      <c r="C550" s="3" t="s">
        <v>2140</v>
      </c>
      <c r="D550" s="3" t="s">
        <v>15435</v>
      </c>
      <c r="E550" t="s">
        <v>19546</v>
      </c>
      <c r="F550" t="s">
        <v>14016</v>
      </c>
      <c r="G550" t="s">
        <v>6580</v>
      </c>
      <c r="H550" t="s">
        <v>6580</v>
      </c>
    </row>
    <row r="551" spans="1:8" hidden="1" x14ac:dyDescent="0.2">
      <c r="A551" s="3" t="s">
        <v>15436</v>
      </c>
      <c r="B551" s="3" t="s">
        <v>14359</v>
      </c>
      <c r="C551" s="3" t="s">
        <v>2142</v>
      </c>
      <c r="D551" s="3" t="s">
        <v>15437</v>
      </c>
      <c r="E551" t="s">
        <v>19547</v>
      </c>
      <c r="F551" t="s">
        <v>14010</v>
      </c>
      <c r="G551" t="s">
        <v>3436</v>
      </c>
      <c r="H551" t="s">
        <v>3670</v>
      </c>
    </row>
    <row r="552" spans="1:8" hidden="1" x14ac:dyDescent="0.2">
      <c r="A552" s="3" t="s">
        <v>15438</v>
      </c>
      <c r="B552" s="3" t="s">
        <v>14359</v>
      </c>
      <c r="C552" s="3" t="s">
        <v>2143</v>
      </c>
      <c r="D552" s="3" t="s">
        <v>15112</v>
      </c>
      <c r="E552" t="s">
        <v>19548</v>
      </c>
      <c r="F552" t="s">
        <v>2144</v>
      </c>
      <c r="G552" t="s">
        <v>3459</v>
      </c>
      <c r="H552" t="s">
        <v>814</v>
      </c>
    </row>
    <row r="553" spans="1:8" hidden="1" x14ac:dyDescent="0.2">
      <c r="A553" s="3" t="s">
        <v>15439</v>
      </c>
      <c r="B553" s="3" t="s">
        <v>14359</v>
      </c>
      <c r="C553" s="3" t="s">
        <v>2145</v>
      </c>
      <c r="D553" s="3" t="s">
        <v>15440</v>
      </c>
      <c r="E553" t="s">
        <v>19549</v>
      </c>
      <c r="F553" t="s">
        <v>2146</v>
      </c>
      <c r="G553" t="s">
        <v>3459</v>
      </c>
      <c r="H553" t="s">
        <v>3873</v>
      </c>
    </row>
    <row r="554" spans="1:8" hidden="1" x14ac:dyDescent="0.2">
      <c r="A554" s="3" t="s">
        <v>15441</v>
      </c>
      <c r="B554" s="3" t="s">
        <v>14359</v>
      </c>
      <c r="C554" s="3" t="s">
        <v>2147</v>
      </c>
      <c r="D554" s="3" t="s">
        <v>15442</v>
      </c>
      <c r="E554" t="s">
        <v>19550</v>
      </c>
      <c r="F554" t="s">
        <v>2148</v>
      </c>
      <c r="G554" t="s">
        <v>3863</v>
      </c>
      <c r="H554" t="s">
        <v>5632</v>
      </c>
    </row>
    <row r="555" spans="1:8" hidden="1" x14ac:dyDescent="0.2">
      <c r="A555" s="3" t="s">
        <v>15443</v>
      </c>
      <c r="B555" s="3" t="s">
        <v>14359</v>
      </c>
      <c r="C555" s="3" t="s">
        <v>2149</v>
      </c>
      <c r="D555" s="3" t="s">
        <v>15444</v>
      </c>
      <c r="E555" t="s">
        <v>19551</v>
      </c>
      <c r="F555" t="s">
        <v>14006</v>
      </c>
      <c r="G555" t="s">
        <v>3459</v>
      </c>
      <c r="H555" t="s">
        <v>3873</v>
      </c>
    </row>
    <row r="556" spans="1:8" hidden="1" x14ac:dyDescent="0.2">
      <c r="A556" s="3" t="s">
        <v>15445</v>
      </c>
      <c r="B556" s="3" t="s">
        <v>14359</v>
      </c>
      <c r="C556" s="3" t="s">
        <v>2150</v>
      </c>
      <c r="D556" s="3" t="s">
        <v>15446</v>
      </c>
      <c r="E556" t="s">
        <v>19552</v>
      </c>
      <c r="F556" t="s">
        <v>2151</v>
      </c>
      <c r="G556" t="s">
        <v>6580</v>
      </c>
      <c r="H556" t="s">
        <v>6580</v>
      </c>
    </row>
    <row r="557" spans="1:8" hidden="1" x14ac:dyDescent="0.2">
      <c r="A557" s="3" t="s">
        <v>15447</v>
      </c>
      <c r="B557" s="3" t="s">
        <v>14359</v>
      </c>
      <c r="C557" s="3" t="s">
        <v>2152</v>
      </c>
      <c r="D557" s="3" t="s">
        <v>15448</v>
      </c>
      <c r="E557" t="s">
        <v>19553</v>
      </c>
      <c r="F557" t="s">
        <v>14011</v>
      </c>
      <c r="G557" t="s">
        <v>3459</v>
      </c>
      <c r="H557" t="s">
        <v>4991</v>
      </c>
    </row>
    <row r="558" spans="1:8" hidden="1" x14ac:dyDescent="0.2">
      <c r="A558" s="3" t="s">
        <v>15449</v>
      </c>
      <c r="B558" s="3" t="s">
        <v>14359</v>
      </c>
      <c r="C558" s="3" t="s">
        <v>2153</v>
      </c>
      <c r="D558" s="3" t="s">
        <v>15450</v>
      </c>
      <c r="E558" t="s">
        <v>19554</v>
      </c>
      <c r="F558" t="s">
        <v>2154</v>
      </c>
      <c r="G558" t="s">
        <v>6580</v>
      </c>
      <c r="H558" t="s">
        <v>6580</v>
      </c>
    </row>
    <row r="559" spans="1:8" hidden="1" x14ac:dyDescent="0.2">
      <c r="A559" s="3" t="s">
        <v>15451</v>
      </c>
      <c r="B559" s="3" t="s">
        <v>14359</v>
      </c>
      <c r="C559" s="3" t="s">
        <v>2155</v>
      </c>
      <c r="D559" s="3" t="s">
        <v>15452</v>
      </c>
      <c r="E559" t="s">
        <v>19555</v>
      </c>
      <c r="F559" t="s">
        <v>2156</v>
      </c>
      <c r="G559" t="s">
        <v>6580</v>
      </c>
      <c r="H559" t="s">
        <v>6580</v>
      </c>
    </row>
    <row r="560" spans="1:8" hidden="1" x14ac:dyDescent="0.2">
      <c r="A560" s="3" t="s">
        <v>15453</v>
      </c>
      <c r="B560" s="3" t="s">
        <v>14359</v>
      </c>
      <c r="C560" s="3" t="s">
        <v>2157</v>
      </c>
      <c r="D560" s="3" t="s">
        <v>15454</v>
      </c>
      <c r="E560" t="s">
        <v>19556</v>
      </c>
      <c r="F560" t="s">
        <v>14013</v>
      </c>
      <c r="G560" t="s">
        <v>3436</v>
      </c>
      <c r="H560" t="s">
        <v>3661</v>
      </c>
    </row>
    <row r="561" spans="1:8" hidden="1" x14ac:dyDescent="0.2">
      <c r="A561" s="3" t="s">
        <v>15455</v>
      </c>
      <c r="B561" s="3" t="s">
        <v>14359</v>
      </c>
      <c r="C561" s="3" t="s">
        <v>2158</v>
      </c>
      <c r="D561" s="3" t="s">
        <v>15456</v>
      </c>
      <c r="E561" t="s">
        <v>19557</v>
      </c>
      <c r="F561" t="s">
        <v>2159</v>
      </c>
      <c r="G561" t="s">
        <v>6580</v>
      </c>
      <c r="H561" t="s">
        <v>6580</v>
      </c>
    </row>
    <row r="562" spans="1:8" hidden="1" x14ac:dyDescent="0.2">
      <c r="A562" s="3" t="s">
        <v>15457</v>
      </c>
      <c r="B562" s="3" t="s">
        <v>14359</v>
      </c>
      <c r="C562" s="3" t="s">
        <v>2160</v>
      </c>
      <c r="D562" s="3" t="s">
        <v>15458</v>
      </c>
      <c r="E562" t="s">
        <v>19558</v>
      </c>
      <c r="F562" t="s">
        <v>14012</v>
      </c>
      <c r="G562" t="s">
        <v>3459</v>
      </c>
      <c r="H562" t="s">
        <v>3516</v>
      </c>
    </row>
    <row r="563" spans="1:8" hidden="1" x14ac:dyDescent="0.2">
      <c r="A563" s="3" t="s">
        <v>15459</v>
      </c>
      <c r="B563" s="3" t="s">
        <v>14359</v>
      </c>
      <c r="C563" s="3" t="s">
        <v>2161</v>
      </c>
      <c r="D563" s="3" t="s">
        <v>15040</v>
      </c>
      <c r="E563" t="s">
        <v>19559</v>
      </c>
      <c r="F563" t="s">
        <v>19123</v>
      </c>
      <c r="G563" t="s">
        <v>6580</v>
      </c>
      <c r="H563" t="s">
        <v>6580</v>
      </c>
    </row>
    <row r="564" spans="1:8" hidden="1" x14ac:dyDescent="0.2">
      <c r="A564" s="3" t="s">
        <v>15460</v>
      </c>
      <c r="B564" s="3" t="s">
        <v>14359</v>
      </c>
      <c r="C564" s="3" t="s">
        <v>2162</v>
      </c>
      <c r="D564" s="3" t="s">
        <v>15461</v>
      </c>
      <c r="E564" t="s">
        <v>19560</v>
      </c>
      <c r="F564" t="s">
        <v>14014</v>
      </c>
      <c r="G564" t="s">
        <v>3436</v>
      </c>
      <c r="H564" t="s">
        <v>3661</v>
      </c>
    </row>
    <row r="565" spans="1:8" hidden="1" x14ac:dyDescent="0.2">
      <c r="A565" s="3" t="s">
        <v>15462</v>
      </c>
      <c r="B565" s="3" t="s">
        <v>14359</v>
      </c>
      <c r="C565" s="3" t="s">
        <v>2164</v>
      </c>
      <c r="D565" s="3" t="s">
        <v>15463</v>
      </c>
      <c r="E565" t="s">
        <v>19561</v>
      </c>
      <c r="F565" t="s">
        <v>2165</v>
      </c>
      <c r="G565" t="s">
        <v>6580</v>
      </c>
      <c r="H565" t="s">
        <v>6580</v>
      </c>
    </row>
    <row r="566" spans="1:8" hidden="1" x14ac:dyDescent="0.2">
      <c r="A566" s="3" t="s">
        <v>15464</v>
      </c>
      <c r="B566" s="3" t="s">
        <v>14359</v>
      </c>
      <c r="C566" s="3" t="s">
        <v>2166</v>
      </c>
      <c r="D566" s="3" t="s">
        <v>15465</v>
      </c>
      <c r="E566" t="s">
        <v>19562</v>
      </c>
      <c r="F566" t="s">
        <v>2167</v>
      </c>
      <c r="G566" t="s">
        <v>3459</v>
      </c>
      <c r="H566" t="s">
        <v>8139</v>
      </c>
    </row>
    <row r="567" spans="1:8" hidden="1" x14ac:dyDescent="0.2">
      <c r="A567" s="3" t="s">
        <v>15466</v>
      </c>
      <c r="B567" s="3" t="s">
        <v>14359</v>
      </c>
      <c r="C567" s="3" t="s">
        <v>2168</v>
      </c>
      <c r="D567" s="3" t="s">
        <v>15467</v>
      </c>
      <c r="E567" t="s">
        <v>9679</v>
      </c>
      <c r="F567" t="s">
        <v>14015</v>
      </c>
      <c r="G567" t="s">
        <v>3863</v>
      </c>
      <c r="H567" t="s">
        <v>3864</v>
      </c>
    </row>
    <row r="568" spans="1:8" hidden="1" x14ac:dyDescent="0.2">
      <c r="A568" s="3" t="s">
        <v>15468</v>
      </c>
      <c r="B568" s="3" t="s">
        <v>14359</v>
      </c>
      <c r="C568" s="3" t="s">
        <v>2170</v>
      </c>
      <c r="D568" s="3" t="s">
        <v>15469</v>
      </c>
      <c r="E568" t="s">
        <v>19563</v>
      </c>
      <c r="F568" t="s">
        <v>2171</v>
      </c>
      <c r="G568" t="s">
        <v>3853</v>
      </c>
      <c r="H568" t="s">
        <v>3854</v>
      </c>
    </row>
    <row r="569" spans="1:8" hidden="1" x14ac:dyDescent="0.2">
      <c r="A569" s="3" t="s">
        <v>15470</v>
      </c>
      <c r="B569" s="3" t="s">
        <v>14359</v>
      </c>
      <c r="C569" s="3" t="s">
        <v>2172</v>
      </c>
      <c r="D569" s="3" t="s">
        <v>15471</v>
      </c>
      <c r="E569" t="s">
        <v>18671</v>
      </c>
      <c r="F569" t="s">
        <v>19124</v>
      </c>
      <c r="G569" t="s">
        <v>3436</v>
      </c>
      <c r="H569" t="s">
        <v>3470</v>
      </c>
    </row>
    <row r="570" spans="1:8" hidden="1" x14ac:dyDescent="0.2">
      <c r="A570" s="3" t="s">
        <v>15472</v>
      </c>
      <c r="B570" s="3" t="s">
        <v>14359</v>
      </c>
      <c r="C570" s="3" t="s">
        <v>2174</v>
      </c>
      <c r="D570" s="3" t="s">
        <v>15473</v>
      </c>
      <c r="E570" t="s">
        <v>19564</v>
      </c>
      <c r="F570" t="s">
        <v>14019</v>
      </c>
      <c r="G570" t="s">
        <v>3459</v>
      </c>
      <c r="H570" t="s">
        <v>3560</v>
      </c>
    </row>
    <row r="571" spans="1:8" hidden="1" x14ac:dyDescent="0.2">
      <c r="A571" s="3" t="s">
        <v>15474</v>
      </c>
      <c r="B571" s="3" t="s">
        <v>14359</v>
      </c>
      <c r="C571" s="3" t="s">
        <v>2176</v>
      </c>
      <c r="D571" s="3" t="s">
        <v>15475</v>
      </c>
      <c r="E571" t="s">
        <v>9717</v>
      </c>
      <c r="F571" t="s">
        <v>14020</v>
      </c>
      <c r="G571" t="s">
        <v>3436</v>
      </c>
      <c r="H571" t="s">
        <v>3661</v>
      </c>
    </row>
    <row r="572" spans="1:8" hidden="1" x14ac:dyDescent="0.2">
      <c r="A572" s="3" t="s">
        <v>15476</v>
      </c>
      <c r="B572" s="3" t="s">
        <v>14359</v>
      </c>
      <c r="C572" s="3" t="s">
        <v>2178</v>
      </c>
      <c r="D572" s="3" t="s">
        <v>15477</v>
      </c>
      <c r="E572" t="s">
        <v>19565</v>
      </c>
      <c r="F572" t="s">
        <v>2179</v>
      </c>
      <c r="G572" t="s">
        <v>3863</v>
      </c>
      <c r="H572" t="s">
        <v>3864</v>
      </c>
    </row>
    <row r="573" spans="1:8" hidden="1" x14ac:dyDescent="0.2">
      <c r="A573" s="3" t="s">
        <v>15478</v>
      </c>
      <c r="B573" s="3" t="s">
        <v>14359</v>
      </c>
      <c r="C573" s="3" t="s">
        <v>2180</v>
      </c>
      <c r="D573" s="3" t="s">
        <v>15479</v>
      </c>
      <c r="E573" t="s">
        <v>19566</v>
      </c>
      <c r="F573" t="s">
        <v>2181</v>
      </c>
      <c r="G573" t="s">
        <v>3459</v>
      </c>
      <c r="H573" t="s">
        <v>3873</v>
      </c>
    </row>
    <row r="574" spans="1:8" hidden="1" x14ac:dyDescent="0.2">
      <c r="A574" s="3" t="s">
        <v>15480</v>
      </c>
      <c r="B574" s="3" t="s">
        <v>14359</v>
      </c>
      <c r="C574" s="3" t="s">
        <v>2182</v>
      </c>
      <c r="D574" s="3" t="s">
        <v>15040</v>
      </c>
      <c r="E574" t="s">
        <v>10288</v>
      </c>
      <c r="F574" t="s">
        <v>19128</v>
      </c>
      <c r="G574" t="s">
        <v>3436</v>
      </c>
      <c r="H574" t="s">
        <v>3687</v>
      </c>
    </row>
    <row r="575" spans="1:8" hidden="1" x14ac:dyDescent="0.2">
      <c r="A575" s="3" t="s">
        <v>15481</v>
      </c>
      <c r="B575" s="3" t="s">
        <v>14359</v>
      </c>
      <c r="C575" s="3" t="s">
        <v>2184</v>
      </c>
      <c r="D575" s="3" t="s">
        <v>15482</v>
      </c>
      <c r="E575" t="s">
        <v>9724</v>
      </c>
      <c r="F575" t="s">
        <v>2185</v>
      </c>
      <c r="G575" t="s">
        <v>3436</v>
      </c>
      <c r="H575" t="s">
        <v>3670</v>
      </c>
    </row>
    <row r="576" spans="1:8" hidden="1" x14ac:dyDescent="0.2">
      <c r="A576" s="3" t="s">
        <v>15483</v>
      </c>
      <c r="B576" s="3" t="s">
        <v>14359</v>
      </c>
      <c r="C576" s="3" t="s">
        <v>2186</v>
      </c>
      <c r="D576" s="3" t="s">
        <v>15484</v>
      </c>
      <c r="E576" t="s">
        <v>19567</v>
      </c>
      <c r="F576" t="s">
        <v>14022</v>
      </c>
      <c r="G576" t="s">
        <v>3863</v>
      </c>
      <c r="H576" t="s">
        <v>3864</v>
      </c>
    </row>
    <row r="577" spans="1:8" hidden="1" x14ac:dyDescent="0.2">
      <c r="A577" s="3" t="s">
        <v>15485</v>
      </c>
      <c r="B577" s="3" t="s">
        <v>14359</v>
      </c>
      <c r="C577" s="3" t="s">
        <v>2188</v>
      </c>
      <c r="D577" s="3" t="s">
        <v>15486</v>
      </c>
      <c r="E577" t="s">
        <v>10285</v>
      </c>
      <c r="F577" t="s">
        <v>19127</v>
      </c>
      <c r="G577" t="s">
        <v>3436</v>
      </c>
      <c r="H577" t="s">
        <v>3524</v>
      </c>
    </row>
    <row r="578" spans="1:8" hidden="1" x14ac:dyDescent="0.2">
      <c r="A578" s="3" t="s">
        <v>15487</v>
      </c>
      <c r="B578" s="3" t="s">
        <v>14359</v>
      </c>
      <c r="C578" s="3" t="s">
        <v>2190</v>
      </c>
      <c r="D578" s="3" t="s">
        <v>15488</v>
      </c>
      <c r="E578" t="s">
        <v>9776</v>
      </c>
      <c r="F578" t="s">
        <v>2191</v>
      </c>
      <c r="G578" t="s">
        <v>3436</v>
      </c>
      <c r="H578" t="s">
        <v>3437</v>
      </c>
    </row>
    <row r="579" spans="1:8" hidden="1" x14ac:dyDescent="0.2">
      <c r="A579" s="3" t="s">
        <v>15489</v>
      </c>
      <c r="B579" s="3" t="s">
        <v>14359</v>
      </c>
      <c r="C579" s="3" t="s">
        <v>2192</v>
      </c>
      <c r="D579" s="3" t="s">
        <v>15490</v>
      </c>
      <c r="E579" t="s">
        <v>18684</v>
      </c>
      <c r="F579" t="s">
        <v>2193</v>
      </c>
      <c r="G579" t="s">
        <v>3863</v>
      </c>
      <c r="H579" t="s">
        <v>5632</v>
      </c>
    </row>
    <row r="580" spans="1:8" hidden="1" x14ac:dyDescent="0.2">
      <c r="A580" s="3" t="s">
        <v>15491</v>
      </c>
      <c r="B580" s="3" t="s">
        <v>14359</v>
      </c>
      <c r="C580" s="3" t="s">
        <v>2194</v>
      </c>
      <c r="D580" s="3" t="s">
        <v>15492</v>
      </c>
      <c r="E580" t="s">
        <v>10279</v>
      </c>
      <c r="F580" t="s">
        <v>19131</v>
      </c>
      <c r="G580" t="s">
        <v>3436</v>
      </c>
      <c r="H580" t="s">
        <v>3498</v>
      </c>
    </row>
    <row r="581" spans="1:8" hidden="1" x14ac:dyDescent="0.2">
      <c r="A581" s="3" t="s">
        <v>15493</v>
      </c>
      <c r="B581" s="3" t="s">
        <v>14359</v>
      </c>
      <c r="C581" s="3" t="s">
        <v>2196</v>
      </c>
      <c r="D581" s="3" t="s">
        <v>15494</v>
      </c>
      <c r="E581" t="s">
        <v>18689</v>
      </c>
      <c r="F581" t="s">
        <v>19125</v>
      </c>
      <c r="G581" t="s">
        <v>3459</v>
      </c>
      <c r="H581" t="s">
        <v>3873</v>
      </c>
    </row>
    <row r="582" spans="1:8" hidden="1" x14ac:dyDescent="0.2">
      <c r="A582" s="3" t="s">
        <v>15495</v>
      </c>
      <c r="B582" s="3" t="s">
        <v>14359</v>
      </c>
      <c r="C582" s="3" t="s">
        <v>2197</v>
      </c>
      <c r="D582" s="3" t="s">
        <v>15496</v>
      </c>
      <c r="E582" t="s">
        <v>19568</v>
      </c>
      <c r="F582" t="s">
        <v>2198</v>
      </c>
      <c r="G582" t="s">
        <v>3448</v>
      </c>
      <c r="H582" t="s">
        <v>5600</v>
      </c>
    </row>
    <row r="583" spans="1:8" hidden="1" x14ac:dyDescent="0.2">
      <c r="A583" s="3" t="s">
        <v>15497</v>
      </c>
      <c r="B583" s="3" t="s">
        <v>14359</v>
      </c>
      <c r="C583" s="3" t="s">
        <v>2199</v>
      </c>
      <c r="D583" s="3" t="s">
        <v>15498</v>
      </c>
      <c r="E583" t="s">
        <v>10291</v>
      </c>
      <c r="F583" t="s">
        <v>19129</v>
      </c>
      <c r="G583" t="s">
        <v>3436</v>
      </c>
      <c r="H583" t="s">
        <v>3498</v>
      </c>
    </row>
    <row r="584" spans="1:8" hidden="1" x14ac:dyDescent="0.2">
      <c r="A584" s="3" t="s">
        <v>15499</v>
      </c>
      <c r="B584" s="3" t="s">
        <v>14359</v>
      </c>
      <c r="C584" s="3" t="s">
        <v>2201</v>
      </c>
      <c r="D584" s="3" t="s">
        <v>15500</v>
      </c>
      <c r="E584" t="s">
        <v>9757</v>
      </c>
      <c r="F584" t="s">
        <v>2202</v>
      </c>
      <c r="G584" t="s">
        <v>3436</v>
      </c>
      <c r="H584" t="s">
        <v>3470</v>
      </c>
    </row>
    <row r="585" spans="1:8" hidden="1" x14ac:dyDescent="0.2">
      <c r="A585" s="3" t="s">
        <v>15501</v>
      </c>
      <c r="B585" s="3" t="s">
        <v>14359</v>
      </c>
      <c r="C585" s="3" t="s">
        <v>2203</v>
      </c>
      <c r="D585" s="3" t="s">
        <v>15502</v>
      </c>
      <c r="E585" t="s">
        <v>19569</v>
      </c>
      <c r="F585" t="s">
        <v>19126</v>
      </c>
      <c r="G585" t="s">
        <v>3448</v>
      </c>
      <c r="H585" t="s">
        <v>4679</v>
      </c>
    </row>
    <row r="586" spans="1:8" hidden="1" x14ac:dyDescent="0.2">
      <c r="A586" s="3" t="s">
        <v>15503</v>
      </c>
      <c r="B586" s="3" t="s">
        <v>14359</v>
      </c>
      <c r="C586" s="3" t="s">
        <v>2204</v>
      </c>
      <c r="D586" s="3" t="s">
        <v>15504</v>
      </c>
      <c r="E586" t="s">
        <v>19570</v>
      </c>
      <c r="F586" t="s">
        <v>2205</v>
      </c>
      <c r="G586" t="s">
        <v>3436</v>
      </c>
      <c r="H586" t="s">
        <v>3470</v>
      </c>
    </row>
    <row r="587" spans="1:8" hidden="1" x14ac:dyDescent="0.2">
      <c r="A587" s="3" t="s">
        <v>15505</v>
      </c>
      <c r="B587" s="3" t="s">
        <v>14359</v>
      </c>
      <c r="C587" s="3" t="s">
        <v>2206</v>
      </c>
      <c r="D587" s="3" t="s">
        <v>15040</v>
      </c>
      <c r="E587" t="s">
        <v>10282</v>
      </c>
      <c r="F587" t="s">
        <v>19130</v>
      </c>
      <c r="G587" t="s">
        <v>3436</v>
      </c>
      <c r="H587" t="s">
        <v>3498</v>
      </c>
    </row>
    <row r="588" spans="1:8" hidden="1" x14ac:dyDescent="0.2">
      <c r="A588" s="3" t="s">
        <v>15506</v>
      </c>
      <c r="B588" s="3" t="s">
        <v>14359</v>
      </c>
      <c r="C588" s="3" t="s">
        <v>2208</v>
      </c>
      <c r="D588" s="3" t="s">
        <v>15507</v>
      </c>
      <c r="E588" t="s">
        <v>9730</v>
      </c>
      <c r="F588" t="s">
        <v>14021</v>
      </c>
      <c r="G588" t="s">
        <v>3863</v>
      </c>
      <c r="H588" t="s">
        <v>3864</v>
      </c>
    </row>
    <row r="589" spans="1:8" hidden="1" x14ac:dyDescent="0.2">
      <c r="A589" s="3" t="s">
        <v>15508</v>
      </c>
      <c r="B589" s="3" t="s">
        <v>14359</v>
      </c>
      <c r="C589" s="3" t="s">
        <v>2210</v>
      </c>
      <c r="D589" s="3" t="s">
        <v>15509</v>
      </c>
      <c r="E589" t="s">
        <v>19571</v>
      </c>
      <c r="F589" t="s">
        <v>2211</v>
      </c>
      <c r="G589" t="s">
        <v>3863</v>
      </c>
      <c r="H589" t="s">
        <v>3864</v>
      </c>
    </row>
    <row r="590" spans="1:8" hidden="1" x14ac:dyDescent="0.2">
      <c r="A590" s="3" t="s">
        <v>15510</v>
      </c>
      <c r="B590" s="3" t="s">
        <v>14359</v>
      </c>
      <c r="C590" s="3" t="s">
        <v>2212</v>
      </c>
      <c r="D590" s="3" t="s">
        <v>15040</v>
      </c>
      <c r="E590" t="s">
        <v>19572</v>
      </c>
      <c r="F590" t="s">
        <v>19132</v>
      </c>
      <c r="G590" t="s">
        <v>3863</v>
      </c>
      <c r="H590" t="s">
        <v>3864</v>
      </c>
    </row>
    <row r="591" spans="1:8" hidden="1" x14ac:dyDescent="0.2">
      <c r="A591" s="3" t="s">
        <v>15511</v>
      </c>
      <c r="B591" s="3" t="s">
        <v>14359</v>
      </c>
      <c r="C591" s="3" t="s">
        <v>2213</v>
      </c>
      <c r="D591" s="3" t="s">
        <v>15512</v>
      </c>
      <c r="E591" t="s">
        <v>19573</v>
      </c>
      <c r="F591" t="s">
        <v>2214</v>
      </c>
      <c r="G591" t="s">
        <v>3863</v>
      </c>
      <c r="H591" t="s">
        <v>3864</v>
      </c>
    </row>
    <row r="592" spans="1:8" hidden="1" x14ac:dyDescent="0.2">
      <c r="A592" s="3" t="s">
        <v>15513</v>
      </c>
      <c r="B592" s="3" t="s">
        <v>14359</v>
      </c>
      <c r="C592" s="3" t="s">
        <v>2215</v>
      </c>
      <c r="D592" s="3" t="s">
        <v>15514</v>
      </c>
      <c r="E592" t="s">
        <v>19574</v>
      </c>
      <c r="F592" t="s">
        <v>2216</v>
      </c>
      <c r="G592" t="s">
        <v>3863</v>
      </c>
      <c r="H592" t="s">
        <v>3864</v>
      </c>
    </row>
    <row r="593" spans="1:8" hidden="1" x14ac:dyDescent="0.2">
      <c r="A593" s="3" t="s">
        <v>15515</v>
      </c>
      <c r="B593" s="3" t="s">
        <v>14359</v>
      </c>
      <c r="C593" s="3" t="s">
        <v>2217</v>
      </c>
      <c r="D593" s="3" t="s">
        <v>15516</v>
      </c>
      <c r="E593" t="s">
        <v>19575</v>
      </c>
      <c r="F593" t="s">
        <v>2218</v>
      </c>
      <c r="G593" t="s">
        <v>3863</v>
      </c>
      <c r="H593" t="s">
        <v>3864</v>
      </c>
    </row>
    <row r="594" spans="1:8" hidden="1" x14ac:dyDescent="0.2">
      <c r="A594" s="3" t="s">
        <v>15517</v>
      </c>
      <c r="B594" s="3" t="s">
        <v>14359</v>
      </c>
      <c r="C594" s="3" t="s">
        <v>2219</v>
      </c>
      <c r="D594" s="3" t="s">
        <v>15518</v>
      </c>
      <c r="E594" t="s">
        <v>9826</v>
      </c>
      <c r="F594" t="s">
        <v>2220</v>
      </c>
      <c r="G594" t="s">
        <v>3863</v>
      </c>
      <c r="H594" t="s">
        <v>5632</v>
      </c>
    </row>
    <row r="595" spans="1:8" hidden="1" x14ac:dyDescent="0.2">
      <c r="A595" s="3" t="s">
        <v>15519</v>
      </c>
      <c r="B595" s="3" t="s">
        <v>14359</v>
      </c>
      <c r="C595" s="3" t="s">
        <v>2221</v>
      </c>
      <c r="D595" s="3" t="s">
        <v>15520</v>
      </c>
      <c r="E595" t="s">
        <v>19576</v>
      </c>
      <c r="F595" t="s">
        <v>2222</v>
      </c>
      <c r="G595" t="s">
        <v>3863</v>
      </c>
      <c r="H595" t="s">
        <v>3864</v>
      </c>
    </row>
    <row r="596" spans="1:8" hidden="1" x14ac:dyDescent="0.2">
      <c r="A596" s="3" t="s">
        <v>15521</v>
      </c>
      <c r="B596" s="3" t="s">
        <v>14359</v>
      </c>
      <c r="C596" s="3" t="s">
        <v>2223</v>
      </c>
      <c r="D596" s="3" t="s">
        <v>15522</v>
      </c>
      <c r="E596" t="s">
        <v>9790</v>
      </c>
      <c r="F596" t="s">
        <v>2224</v>
      </c>
      <c r="G596" t="s">
        <v>3863</v>
      </c>
      <c r="H596" t="s">
        <v>5632</v>
      </c>
    </row>
    <row r="597" spans="1:8" hidden="1" x14ac:dyDescent="0.2">
      <c r="A597" s="3" t="s">
        <v>15523</v>
      </c>
      <c r="B597" s="3" t="s">
        <v>14359</v>
      </c>
      <c r="C597" s="3" t="s">
        <v>2225</v>
      </c>
      <c r="D597" s="3" t="s">
        <v>15524</v>
      </c>
      <c r="E597" t="s">
        <v>9801</v>
      </c>
      <c r="F597" t="s">
        <v>14027</v>
      </c>
      <c r="G597" t="s">
        <v>3459</v>
      </c>
      <c r="H597" t="s">
        <v>5559</v>
      </c>
    </row>
    <row r="598" spans="1:8" hidden="1" x14ac:dyDescent="0.2">
      <c r="A598" s="3" t="s">
        <v>15525</v>
      </c>
      <c r="B598" s="3" t="s">
        <v>14359</v>
      </c>
      <c r="C598" s="3" t="s">
        <v>2227</v>
      </c>
      <c r="D598" s="3" t="s">
        <v>15526</v>
      </c>
      <c r="E598" t="s">
        <v>9798</v>
      </c>
      <c r="F598" t="s">
        <v>14026</v>
      </c>
      <c r="G598" t="s">
        <v>3863</v>
      </c>
      <c r="H598" t="s">
        <v>5082</v>
      </c>
    </row>
    <row r="599" spans="1:8" hidden="1" x14ac:dyDescent="0.2">
      <c r="A599" s="3" t="s">
        <v>15527</v>
      </c>
      <c r="B599" s="3" t="s">
        <v>14359</v>
      </c>
      <c r="C599" s="3" t="s">
        <v>2229</v>
      </c>
      <c r="D599" s="3" t="s">
        <v>15528</v>
      </c>
      <c r="E599" t="s">
        <v>19577</v>
      </c>
      <c r="F599" t="s">
        <v>2230</v>
      </c>
      <c r="G599" t="s">
        <v>3863</v>
      </c>
      <c r="H599" t="s">
        <v>3864</v>
      </c>
    </row>
    <row r="600" spans="1:8" hidden="1" x14ac:dyDescent="0.2">
      <c r="A600" s="3" t="s">
        <v>15529</v>
      </c>
      <c r="B600" s="3" t="s">
        <v>14359</v>
      </c>
      <c r="C600" s="3" t="s">
        <v>2231</v>
      </c>
      <c r="D600" s="3" t="s">
        <v>15530</v>
      </c>
      <c r="E600" t="s">
        <v>9795</v>
      </c>
      <c r="F600" t="s">
        <v>2232</v>
      </c>
      <c r="G600" t="s">
        <v>3863</v>
      </c>
      <c r="H600" t="s">
        <v>3864</v>
      </c>
    </row>
    <row r="601" spans="1:8" hidden="1" x14ac:dyDescent="0.2">
      <c r="A601" s="3" t="s">
        <v>15531</v>
      </c>
      <c r="B601" s="3" t="s">
        <v>14359</v>
      </c>
      <c r="C601" s="3" t="s">
        <v>2233</v>
      </c>
      <c r="D601" s="3" t="s">
        <v>15040</v>
      </c>
      <c r="E601" t="s">
        <v>19578</v>
      </c>
      <c r="F601" t="s">
        <v>2234</v>
      </c>
      <c r="G601" t="s">
        <v>3459</v>
      </c>
      <c r="H601" t="s">
        <v>5559</v>
      </c>
    </row>
    <row r="602" spans="1:8" hidden="1" x14ac:dyDescent="0.2">
      <c r="A602" s="3" t="s">
        <v>15532</v>
      </c>
      <c r="B602" s="3" t="s">
        <v>14359</v>
      </c>
      <c r="C602" s="3" t="s">
        <v>2235</v>
      </c>
      <c r="D602" s="3" t="s">
        <v>15533</v>
      </c>
      <c r="E602" t="s">
        <v>19579</v>
      </c>
      <c r="F602" t="s">
        <v>2236</v>
      </c>
      <c r="G602" t="s">
        <v>3459</v>
      </c>
      <c r="H602" t="s">
        <v>3516</v>
      </c>
    </row>
    <row r="603" spans="1:8" hidden="1" x14ac:dyDescent="0.2">
      <c r="A603" s="3" t="s">
        <v>15534</v>
      </c>
      <c r="B603" s="3" t="s">
        <v>14359</v>
      </c>
      <c r="C603" s="3" t="s">
        <v>2237</v>
      </c>
      <c r="D603" s="3" t="s">
        <v>15535</v>
      </c>
      <c r="E603" t="s">
        <v>9823</v>
      </c>
      <c r="F603" t="s">
        <v>14029</v>
      </c>
      <c r="G603" t="s">
        <v>3863</v>
      </c>
      <c r="H603" t="s">
        <v>5082</v>
      </c>
    </row>
    <row r="604" spans="1:8" hidden="1" x14ac:dyDescent="0.2">
      <c r="A604" s="3" t="s">
        <v>15536</v>
      </c>
      <c r="B604" s="3" t="s">
        <v>14359</v>
      </c>
      <c r="C604" s="3" t="s">
        <v>2239</v>
      </c>
      <c r="D604" s="3" t="s">
        <v>15537</v>
      </c>
      <c r="E604" t="s">
        <v>19580</v>
      </c>
      <c r="F604" t="s">
        <v>2240</v>
      </c>
      <c r="G604" t="s">
        <v>3459</v>
      </c>
      <c r="H604" t="s">
        <v>3819</v>
      </c>
    </row>
    <row r="605" spans="1:8" hidden="1" x14ac:dyDescent="0.2">
      <c r="A605" s="3" t="s">
        <v>15538</v>
      </c>
      <c r="B605" s="3" t="s">
        <v>14359</v>
      </c>
      <c r="C605" s="3" t="s">
        <v>2241</v>
      </c>
      <c r="D605" s="3" t="s">
        <v>15539</v>
      </c>
      <c r="E605" t="s">
        <v>19581</v>
      </c>
      <c r="F605" t="s">
        <v>2242</v>
      </c>
      <c r="G605" t="s">
        <v>3863</v>
      </c>
      <c r="H605" t="s">
        <v>3864</v>
      </c>
    </row>
    <row r="606" spans="1:8" hidden="1" x14ac:dyDescent="0.2">
      <c r="A606" s="3" t="s">
        <v>15540</v>
      </c>
      <c r="B606" s="3" t="s">
        <v>14359</v>
      </c>
      <c r="C606" s="3" t="s">
        <v>2243</v>
      </c>
      <c r="D606" s="3" t="s">
        <v>15541</v>
      </c>
      <c r="E606" t="s">
        <v>9835</v>
      </c>
      <c r="F606" t="s">
        <v>2244</v>
      </c>
      <c r="G606" t="s">
        <v>3459</v>
      </c>
      <c r="H606" t="s">
        <v>6878</v>
      </c>
    </row>
    <row r="607" spans="1:8" hidden="1" x14ac:dyDescent="0.2">
      <c r="A607" s="3" t="s">
        <v>15542</v>
      </c>
      <c r="B607" s="3" t="s">
        <v>14359</v>
      </c>
      <c r="C607" s="3" t="s">
        <v>2245</v>
      </c>
      <c r="D607" s="3" t="s">
        <v>15543</v>
      </c>
      <c r="E607" t="s">
        <v>9908</v>
      </c>
      <c r="F607" t="s">
        <v>14043</v>
      </c>
      <c r="G607" t="s">
        <v>3436</v>
      </c>
      <c r="H607" t="s">
        <v>3498</v>
      </c>
    </row>
    <row r="608" spans="1:8" hidden="1" x14ac:dyDescent="0.2">
      <c r="A608" s="3" t="s">
        <v>15544</v>
      </c>
      <c r="B608" s="3" t="s">
        <v>14359</v>
      </c>
      <c r="C608" s="3" t="s">
        <v>2247</v>
      </c>
      <c r="D608" s="3" t="s">
        <v>15545</v>
      </c>
      <c r="E608" t="s">
        <v>10049</v>
      </c>
      <c r="F608" t="s">
        <v>2248</v>
      </c>
      <c r="G608" t="s">
        <v>3863</v>
      </c>
      <c r="H608" t="s">
        <v>5632</v>
      </c>
    </row>
    <row r="609" spans="1:8" hidden="1" x14ac:dyDescent="0.2">
      <c r="A609" s="3" t="s">
        <v>15546</v>
      </c>
      <c r="B609" s="3" t="s">
        <v>14359</v>
      </c>
      <c r="C609" s="3" t="s">
        <v>2249</v>
      </c>
      <c r="D609" s="3" t="s">
        <v>15547</v>
      </c>
      <c r="E609" t="s">
        <v>10046</v>
      </c>
      <c r="F609" t="s">
        <v>2250</v>
      </c>
      <c r="G609" t="s">
        <v>3863</v>
      </c>
      <c r="H609" t="s">
        <v>5632</v>
      </c>
    </row>
    <row r="610" spans="1:8" hidden="1" x14ac:dyDescent="0.2">
      <c r="A610" s="3" t="s">
        <v>15548</v>
      </c>
      <c r="B610" s="3" t="s">
        <v>14359</v>
      </c>
      <c r="C610" s="3" t="s">
        <v>2251</v>
      </c>
      <c r="D610" s="3" t="s">
        <v>15549</v>
      </c>
      <c r="E610" t="s">
        <v>18755</v>
      </c>
      <c r="F610" t="s">
        <v>19133</v>
      </c>
      <c r="G610" t="s">
        <v>3863</v>
      </c>
      <c r="H610" t="s">
        <v>3864</v>
      </c>
    </row>
    <row r="611" spans="1:8" hidden="1" x14ac:dyDescent="0.2">
      <c r="A611" s="3" t="s">
        <v>15550</v>
      </c>
      <c r="B611" s="3" t="s">
        <v>14359</v>
      </c>
      <c r="C611" s="3" t="s">
        <v>2252</v>
      </c>
      <c r="D611" s="3" t="s">
        <v>15551</v>
      </c>
      <c r="E611" t="s">
        <v>9902</v>
      </c>
      <c r="F611" t="s">
        <v>2253</v>
      </c>
      <c r="G611" t="s">
        <v>3459</v>
      </c>
      <c r="H611" t="s">
        <v>7998</v>
      </c>
    </row>
    <row r="612" spans="1:8" hidden="1" x14ac:dyDescent="0.2">
      <c r="A612" s="3" t="s">
        <v>15552</v>
      </c>
      <c r="B612" s="3" t="s">
        <v>14359</v>
      </c>
      <c r="C612" s="3" t="s">
        <v>2254</v>
      </c>
      <c r="D612" s="3" t="s">
        <v>15553</v>
      </c>
      <c r="E612" t="s">
        <v>9915</v>
      </c>
      <c r="F612" t="s">
        <v>14044</v>
      </c>
      <c r="G612" t="s">
        <v>3863</v>
      </c>
      <c r="H612" t="s">
        <v>4142</v>
      </c>
    </row>
    <row r="613" spans="1:8" hidden="1" x14ac:dyDescent="0.2">
      <c r="A613" s="3" t="s">
        <v>15554</v>
      </c>
      <c r="B613" s="3" t="s">
        <v>14359</v>
      </c>
      <c r="C613" s="3" t="s">
        <v>2256</v>
      </c>
      <c r="D613" s="3" t="s">
        <v>15555</v>
      </c>
      <c r="E613" t="s">
        <v>9928</v>
      </c>
      <c r="F613" t="s">
        <v>2257</v>
      </c>
      <c r="G613" t="s">
        <v>3863</v>
      </c>
      <c r="H613" t="s">
        <v>3864</v>
      </c>
    </row>
    <row r="614" spans="1:8" hidden="1" x14ac:dyDescent="0.2">
      <c r="A614" s="3" t="s">
        <v>15556</v>
      </c>
      <c r="B614" s="3" t="s">
        <v>14359</v>
      </c>
      <c r="C614" s="3" t="s">
        <v>2258</v>
      </c>
      <c r="D614" s="3" t="s">
        <v>15557</v>
      </c>
      <c r="E614" t="s">
        <v>19582</v>
      </c>
      <c r="F614" t="s">
        <v>2259</v>
      </c>
      <c r="G614" t="s">
        <v>3459</v>
      </c>
      <c r="H614" t="s">
        <v>3819</v>
      </c>
    </row>
    <row r="615" spans="1:8" hidden="1" x14ac:dyDescent="0.2">
      <c r="A615" s="3" t="s">
        <v>15558</v>
      </c>
      <c r="B615" s="3" t="s">
        <v>14359</v>
      </c>
      <c r="C615" s="3" t="s">
        <v>2260</v>
      </c>
      <c r="D615" s="3" t="s">
        <v>15559</v>
      </c>
      <c r="E615" t="s">
        <v>9931</v>
      </c>
      <c r="F615" t="s">
        <v>2261</v>
      </c>
      <c r="G615" t="s">
        <v>3863</v>
      </c>
      <c r="H615" t="s">
        <v>3864</v>
      </c>
    </row>
    <row r="616" spans="1:8" hidden="1" x14ac:dyDescent="0.2">
      <c r="A616" s="3" t="s">
        <v>15560</v>
      </c>
      <c r="B616" s="3" t="s">
        <v>14359</v>
      </c>
      <c r="C616" s="3" t="s">
        <v>2262</v>
      </c>
      <c r="D616" s="3" t="s">
        <v>15561</v>
      </c>
      <c r="E616" t="s">
        <v>19583</v>
      </c>
      <c r="F616" t="s">
        <v>14050</v>
      </c>
      <c r="G616" t="s">
        <v>3436</v>
      </c>
      <c r="H616" t="s">
        <v>3603</v>
      </c>
    </row>
    <row r="617" spans="1:8" hidden="1" x14ac:dyDescent="0.2">
      <c r="A617" s="3" t="s">
        <v>15562</v>
      </c>
      <c r="B617" s="3" t="s">
        <v>14359</v>
      </c>
      <c r="C617" s="3" t="s">
        <v>2264</v>
      </c>
      <c r="D617" s="3" t="s">
        <v>15563</v>
      </c>
      <c r="E617" t="s">
        <v>19584</v>
      </c>
      <c r="F617" t="s">
        <v>14078</v>
      </c>
      <c r="G617" t="s">
        <v>3459</v>
      </c>
      <c r="H617" t="s">
        <v>4991</v>
      </c>
    </row>
    <row r="618" spans="1:8" hidden="1" x14ac:dyDescent="0.2">
      <c r="A618" s="3" t="s">
        <v>15564</v>
      </c>
      <c r="B618" s="3" t="s">
        <v>14359</v>
      </c>
      <c r="C618" s="3" t="s">
        <v>2266</v>
      </c>
      <c r="D618" s="3" t="s">
        <v>15040</v>
      </c>
      <c r="E618" t="s">
        <v>19585</v>
      </c>
      <c r="F618" t="s">
        <v>2267</v>
      </c>
      <c r="G618" t="s">
        <v>3436</v>
      </c>
      <c r="H618" t="s">
        <v>3603</v>
      </c>
    </row>
    <row r="619" spans="1:8" hidden="1" x14ac:dyDescent="0.2">
      <c r="A619" s="3" t="s">
        <v>15565</v>
      </c>
      <c r="B619" s="3" t="s">
        <v>14359</v>
      </c>
      <c r="C619" s="3" t="s">
        <v>2268</v>
      </c>
      <c r="D619" s="3" t="s">
        <v>15566</v>
      </c>
      <c r="E619" t="s">
        <v>19586</v>
      </c>
      <c r="F619" t="s">
        <v>14075</v>
      </c>
      <c r="G619" t="s">
        <v>3459</v>
      </c>
      <c r="H619" t="s">
        <v>6535</v>
      </c>
    </row>
    <row r="620" spans="1:8" hidden="1" x14ac:dyDescent="0.2">
      <c r="A620" s="3" t="s">
        <v>15567</v>
      </c>
      <c r="B620" s="3" t="s">
        <v>14359</v>
      </c>
      <c r="C620" s="3" t="s">
        <v>2270</v>
      </c>
      <c r="D620" s="3" t="s">
        <v>15568</v>
      </c>
      <c r="E620" t="s">
        <v>19587</v>
      </c>
      <c r="F620" t="s">
        <v>14077</v>
      </c>
      <c r="G620" t="s">
        <v>3459</v>
      </c>
      <c r="H620" t="s">
        <v>10101</v>
      </c>
    </row>
    <row r="621" spans="1:8" hidden="1" x14ac:dyDescent="0.2">
      <c r="A621" s="3" t="s">
        <v>15569</v>
      </c>
      <c r="B621" s="3" t="s">
        <v>14359</v>
      </c>
      <c r="C621" s="3" t="s">
        <v>2272</v>
      </c>
      <c r="D621" s="3" t="s">
        <v>15570</v>
      </c>
      <c r="E621" t="s">
        <v>19588</v>
      </c>
      <c r="F621" t="s">
        <v>14071</v>
      </c>
      <c r="G621" t="s">
        <v>3459</v>
      </c>
      <c r="H621" t="s">
        <v>7151</v>
      </c>
    </row>
    <row r="622" spans="1:8" hidden="1" x14ac:dyDescent="0.2">
      <c r="A622" s="3" t="s">
        <v>15571</v>
      </c>
      <c r="B622" s="3" t="s">
        <v>14359</v>
      </c>
      <c r="C622" s="3" t="s">
        <v>2274</v>
      </c>
      <c r="D622" s="3" t="s">
        <v>15572</v>
      </c>
      <c r="E622" t="s">
        <v>19589</v>
      </c>
      <c r="F622" t="s">
        <v>2275</v>
      </c>
      <c r="G622" t="s">
        <v>3459</v>
      </c>
      <c r="H622" t="s">
        <v>3873</v>
      </c>
    </row>
    <row r="623" spans="1:8" hidden="1" x14ac:dyDescent="0.2">
      <c r="A623" s="3" t="s">
        <v>15573</v>
      </c>
      <c r="B623" s="3" t="s">
        <v>14359</v>
      </c>
      <c r="C623" s="3" t="s">
        <v>2276</v>
      </c>
      <c r="D623" s="3" t="s">
        <v>15574</v>
      </c>
      <c r="E623" t="s">
        <v>19590</v>
      </c>
      <c r="F623" t="s">
        <v>14074</v>
      </c>
      <c r="G623" t="s">
        <v>3436</v>
      </c>
      <c r="H623" t="s">
        <v>3586</v>
      </c>
    </row>
    <row r="624" spans="1:8" hidden="1" x14ac:dyDescent="0.2">
      <c r="A624" s="3" t="s">
        <v>15575</v>
      </c>
      <c r="B624" s="3" t="s">
        <v>14359</v>
      </c>
      <c r="C624" s="3" t="s">
        <v>2278</v>
      </c>
      <c r="D624" s="3" t="s">
        <v>15576</v>
      </c>
      <c r="E624" t="s">
        <v>19591</v>
      </c>
      <c r="F624" t="s">
        <v>14070</v>
      </c>
      <c r="G624" t="s">
        <v>3459</v>
      </c>
      <c r="H624" t="s">
        <v>7151</v>
      </c>
    </row>
    <row r="625" spans="1:8" hidden="1" x14ac:dyDescent="0.2">
      <c r="A625" s="3" t="s">
        <v>15577</v>
      </c>
      <c r="B625" s="3" t="s">
        <v>14359</v>
      </c>
      <c r="C625" s="3" t="s">
        <v>2280</v>
      </c>
      <c r="D625" s="3" t="s">
        <v>15578</v>
      </c>
      <c r="E625" t="s">
        <v>19592</v>
      </c>
      <c r="F625" t="s">
        <v>14069</v>
      </c>
      <c r="G625" t="s">
        <v>3459</v>
      </c>
      <c r="H625" t="s">
        <v>3819</v>
      </c>
    </row>
    <row r="626" spans="1:8" hidden="1" x14ac:dyDescent="0.2">
      <c r="A626" s="3" t="s">
        <v>15579</v>
      </c>
      <c r="B626" s="3" t="s">
        <v>14359</v>
      </c>
      <c r="C626" s="3" t="s">
        <v>2282</v>
      </c>
      <c r="D626" s="3" t="s">
        <v>15580</v>
      </c>
      <c r="E626" t="s">
        <v>19593</v>
      </c>
      <c r="F626" t="s">
        <v>14067</v>
      </c>
      <c r="G626" t="s">
        <v>3459</v>
      </c>
      <c r="H626" t="s">
        <v>814</v>
      </c>
    </row>
    <row r="627" spans="1:8" hidden="1" x14ac:dyDescent="0.2">
      <c r="A627" s="3" t="s">
        <v>15581</v>
      </c>
      <c r="B627" s="3" t="s">
        <v>14359</v>
      </c>
      <c r="C627" s="3" t="s">
        <v>2283</v>
      </c>
      <c r="D627" s="3" t="s">
        <v>15582</v>
      </c>
      <c r="E627" t="s">
        <v>19594</v>
      </c>
      <c r="F627" t="s">
        <v>19134</v>
      </c>
      <c r="G627" t="s">
        <v>3863</v>
      </c>
      <c r="H627" t="s">
        <v>3864</v>
      </c>
    </row>
    <row r="628" spans="1:8" hidden="1" x14ac:dyDescent="0.2">
      <c r="A628" s="3" t="s">
        <v>15583</v>
      </c>
      <c r="B628" s="3" t="s">
        <v>14359</v>
      </c>
      <c r="C628" s="3" t="s">
        <v>2284</v>
      </c>
      <c r="D628" s="3" t="s">
        <v>15040</v>
      </c>
      <c r="E628" t="s">
        <v>19595</v>
      </c>
      <c r="F628" t="s">
        <v>14072</v>
      </c>
      <c r="G628" t="s">
        <v>3459</v>
      </c>
      <c r="H628" t="s">
        <v>3873</v>
      </c>
    </row>
    <row r="629" spans="1:8" hidden="1" x14ac:dyDescent="0.2">
      <c r="A629" s="3" t="s">
        <v>15584</v>
      </c>
      <c r="B629" s="3" t="s">
        <v>14359</v>
      </c>
      <c r="C629" s="3" t="s">
        <v>2286</v>
      </c>
      <c r="D629" s="3" t="s">
        <v>15585</v>
      </c>
      <c r="E629" t="s">
        <v>10097</v>
      </c>
      <c r="F629" t="s">
        <v>2287</v>
      </c>
      <c r="G629" t="s">
        <v>3459</v>
      </c>
      <c r="H629" t="s">
        <v>7998</v>
      </c>
    </row>
    <row r="630" spans="1:8" hidden="1" x14ac:dyDescent="0.2">
      <c r="A630" s="3" t="s">
        <v>15586</v>
      </c>
      <c r="B630" s="3" t="s">
        <v>14359</v>
      </c>
      <c r="C630" s="3" t="s">
        <v>2288</v>
      </c>
      <c r="D630" s="3" t="s">
        <v>15040</v>
      </c>
      <c r="E630" t="s">
        <v>19596</v>
      </c>
      <c r="F630" t="s">
        <v>19135</v>
      </c>
      <c r="G630" t="s">
        <v>3863</v>
      </c>
      <c r="H630" t="s">
        <v>3864</v>
      </c>
    </row>
    <row r="631" spans="1:8" hidden="1" x14ac:dyDescent="0.2">
      <c r="A631" s="3" t="s">
        <v>15587</v>
      </c>
      <c r="B631" s="3" t="s">
        <v>14359</v>
      </c>
      <c r="C631" s="3" t="s">
        <v>2289</v>
      </c>
      <c r="D631" s="3" t="s">
        <v>15167</v>
      </c>
      <c r="E631" t="s">
        <v>19597</v>
      </c>
      <c r="F631" t="s">
        <v>14095</v>
      </c>
      <c r="G631" t="s">
        <v>3459</v>
      </c>
      <c r="H631" t="s">
        <v>4101</v>
      </c>
    </row>
    <row r="632" spans="1:8" hidden="1" x14ac:dyDescent="0.2">
      <c r="A632" s="3" t="s">
        <v>15588</v>
      </c>
      <c r="B632" s="3" t="s">
        <v>14359</v>
      </c>
      <c r="C632" s="3" t="s">
        <v>2290</v>
      </c>
      <c r="D632" s="3" t="s">
        <v>15589</v>
      </c>
      <c r="E632" t="s">
        <v>19598</v>
      </c>
      <c r="F632" t="s">
        <v>14091</v>
      </c>
      <c r="G632" t="s">
        <v>6580</v>
      </c>
      <c r="H632" t="s">
        <v>6580</v>
      </c>
    </row>
    <row r="633" spans="1:8" hidden="1" x14ac:dyDescent="0.2">
      <c r="A633" s="3" t="s">
        <v>15590</v>
      </c>
      <c r="B633" s="3" t="s">
        <v>14359</v>
      </c>
      <c r="C633" s="3" t="s">
        <v>2292</v>
      </c>
      <c r="D633" s="3" t="s">
        <v>15591</v>
      </c>
      <c r="E633" t="s">
        <v>19599</v>
      </c>
      <c r="F633" t="s">
        <v>14093</v>
      </c>
      <c r="G633" t="s">
        <v>3459</v>
      </c>
      <c r="H633" t="s">
        <v>3819</v>
      </c>
    </row>
    <row r="634" spans="1:8" hidden="1" x14ac:dyDescent="0.2">
      <c r="A634" s="3" t="s">
        <v>15592</v>
      </c>
      <c r="B634" s="3" t="s">
        <v>14359</v>
      </c>
      <c r="C634" s="3" t="s">
        <v>2294</v>
      </c>
      <c r="D634" s="3" t="s">
        <v>15593</v>
      </c>
      <c r="E634" t="s">
        <v>19600</v>
      </c>
      <c r="F634" t="s">
        <v>2295</v>
      </c>
      <c r="G634" t="s">
        <v>6580</v>
      </c>
      <c r="H634" t="s">
        <v>6580</v>
      </c>
    </row>
    <row r="635" spans="1:8" hidden="1" x14ac:dyDescent="0.2">
      <c r="A635" s="3" t="s">
        <v>15594</v>
      </c>
      <c r="B635" s="3" t="s">
        <v>14359</v>
      </c>
      <c r="C635" s="3" t="s">
        <v>2296</v>
      </c>
      <c r="D635" s="3" t="s">
        <v>15595</v>
      </c>
      <c r="E635" t="s">
        <v>10124</v>
      </c>
      <c r="F635" t="s">
        <v>14081</v>
      </c>
      <c r="G635" t="s">
        <v>3863</v>
      </c>
      <c r="H635" t="s">
        <v>5632</v>
      </c>
    </row>
    <row r="636" spans="1:8" hidden="1" x14ac:dyDescent="0.2">
      <c r="A636" s="3" t="s">
        <v>15596</v>
      </c>
      <c r="B636" s="3" t="s">
        <v>14359</v>
      </c>
      <c r="C636" s="3" t="s">
        <v>2298</v>
      </c>
      <c r="D636" s="3" t="s">
        <v>15597</v>
      </c>
      <c r="E636" t="s">
        <v>19601</v>
      </c>
      <c r="F636" t="s">
        <v>14083</v>
      </c>
      <c r="G636" t="s">
        <v>3863</v>
      </c>
      <c r="H636" t="s">
        <v>3864</v>
      </c>
    </row>
    <row r="637" spans="1:8" hidden="1" x14ac:dyDescent="0.2">
      <c r="A637" s="3" t="s">
        <v>15598</v>
      </c>
      <c r="B637" s="3" t="s">
        <v>14359</v>
      </c>
      <c r="C637" s="3" t="s">
        <v>2299</v>
      </c>
      <c r="D637" s="3" t="s">
        <v>15599</v>
      </c>
      <c r="E637" t="s">
        <v>18784</v>
      </c>
      <c r="F637" t="s">
        <v>19136</v>
      </c>
      <c r="G637" t="s">
        <v>3863</v>
      </c>
      <c r="H637" t="s">
        <v>3864</v>
      </c>
    </row>
    <row r="638" spans="1:8" hidden="1" x14ac:dyDescent="0.2">
      <c r="A638" s="3" t="s">
        <v>15600</v>
      </c>
      <c r="B638" s="3" t="s">
        <v>14359</v>
      </c>
      <c r="C638" s="3" t="s">
        <v>2300</v>
      </c>
      <c r="D638" s="3" t="s">
        <v>15601</v>
      </c>
      <c r="E638" t="s">
        <v>19602</v>
      </c>
      <c r="F638" t="s">
        <v>14090</v>
      </c>
      <c r="G638" t="s">
        <v>3863</v>
      </c>
      <c r="H638" t="s">
        <v>5632</v>
      </c>
    </row>
    <row r="639" spans="1:8" hidden="1" x14ac:dyDescent="0.2">
      <c r="A639" s="3" t="s">
        <v>15602</v>
      </c>
      <c r="B639" s="3" t="s">
        <v>14359</v>
      </c>
      <c r="C639" s="3" t="s">
        <v>2302</v>
      </c>
      <c r="D639" s="3" t="s">
        <v>15603</v>
      </c>
      <c r="E639" t="s">
        <v>19603</v>
      </c>
      <c r="F639" t="s">
        <v>19138</v>
      </c>
      <c r="G639" t="s">
        <v>3863</v>
      </c>
      <c r="H639" t="s">
        <v>5632</v>
      </c>
    </row>
    <row r="640" spans="1:8" hidden="1" x14ac:dyDescent="0.2">
      <c r="A640" s="3" t="s">
        <v>15604</v>
      </c>
      <c r="B640" s="3" t="s">
        <v>14359</v>
      </c>
      <c r="C640" s="3" t="s">
        <v>2303</v>
      </c>
      <c r="D640" s="3" t="s">
        <v>15605</v>
      </c>
      <c r="E640" t="s">
        <v>19604</v>
      </c>
      <c r="F640" t="s">
        <v>14082</v>
      </c>
      <c r="G640" t="s">
        <v>6580</v>
      </c>
      <c r="H640" t="s">
        <v>6580</v>
      </c>
    </row>
    <row r="641" spans="1:8" hidden="1" x14ac:dyDescent="0.2">
      <c r="A641" s="3" t="s">
        <v>15606</v>
      </c>
      <c r="B641" s="3" t="s">
        <v>14359</v>
      </c>
      <c r="C641" s="3" t="s">
        <v>2305</v>
      </c>
      <c r="D641" s="3" t="s">
        <v>15607</v>
      </c>
      <c r="E641" t="s">
        <v>10138</v>
      </c>
      <c r="F641" t="s">
        <v>2306</v>
      </c>
      <c r="G641" t="s">
        <v>3436</v>
      </c>
      <c r="H641" t="s">
        <v>3603</v>
      </c>
    </row>
    <row r="642" spans="1:8" hidden="1" x14ac:dyDescent="0.2">
      <c r="A642" s="3" t="s">
        <v>15608</v>
      </c>
      <c r="B642" s="3" t="s">
        <v>14359</v>
      </c>
      <c r="C642" s="3" t="s">
        <v>2307</v>
      </c>
      <c r="D642" s="3" t="s">
        <v>15609</v>
      </c>
      <c r="E642" t="s">
        <v>19605</v>
      </c>
      <c r="F642" t="s">
        <v>2308</v>
      </c>
      <c r="G642" t="s">
        <v>6580</v>
      </c>
      <c r="H642" t="s">
        <v>6580</v>
      </c>
    </row>
    <row r="643" spans="1:8" hidden="1" x14ac:dyDescent="0.2">
      <c r="A643" s="3" t="s">
        <v>15610</v>
      </c>
      <c r="B643" s="3" t="s">
        <v>14359</v>
      </c>
      <c r="C643" s="3" t="s">
        <v>2309</v>
      </c>
      <c r="D643" s="3" t="s">
        <v>15611</v>
      </c>
      <c r="E643" t="s">
        <v>19606</v>
      </c>
      <c r="F643" t="s">
        <v>14084</v>
      </c>
      <c r="G643" t="s">
        <v>3459</v>
      </c>
      <c r="H643" t="s">
        <v>3873</v>
      </c>
    </row>
    <row r="644" spans="1:8" hidden="1" x14ac:dyDescent="0.2">
      <c r="A644" s="3" t="s">
        <v>15612</v>
      </c>
      <c r="B644" s="3" t="s">
        <v>14359</v>
      </c>
      <c r="C644" s="3" t="s">
        <v>2310</v>
      </c>
      <c r="D644" s="3" t="s">
        <v>15613</v>
      </c>
      <c r="E644" t="s">
        <v>10156</v>
      </c>
      <c r="F644" t="s">
        <v>2311</v>
      </c>
      <c r="G644" t="s">
        <v>3436</v>
      </c>
      <c r="H644" t="s">
        <v>3603</v>
      </c>
    </row>
    <row r="645" spans="1:8" hidden="1" x14ac:dyDescent="0.2">
      <c r="A645" s="3" t="s">
        <v>15614</v>
      </c>
      <c r="B645" s="3" t="s">
        <v>14359</v>
      </c>
      <c r="C645" s="3" t="s">
        <v>2312</v>
      </c>
      <c r="D645" s="3" t="s">
        <v>15040</v>
      </c>
      <c r="E645" t="s">
        <v>18797</v>
      </c>
      <c r="F645" t="s">
        <v>19137</v>
      </c>
      <c r="G645" t="s">
        <v>3436</v>
      </c>
      <c r="H645" t="s">
        <v>3524</v>
      </c>
    </row>
    <row r="646" spans="1:8" hidden="1" x14ac:dyDescent="0.2">
      <c r="A646" s="3" t="s">
        <v>15615</v>
      </c>
      <c r="B646" s="3" t="s">
        <v>14359</v>
      </c>
      <c r="C646" s="3" t="s">
        <v>2313</v>
      </c>
      <c r="D646" s="3" t="s">
        <v>15616</v>
      </c>
      <c r="E646" t="s">
        <v>10153</v>
      </c>
      <c r="F646" t="s">
        <v>14086</v>
      </c>
      <c r="G646" t="s">
        <v>3459</v>
      </c>
      <c r="H646" t="s">
        <v>3569</v>
      </c>
    </row>
    <row r="647" spans="1:8" hidden="1" x14ac:dyDescent="0.2">
      <c r="A647" s="3" t="s">
        <v>15617</v>
      </c>
      <c r="B647" s="3" t="s">
        <v>14359</v>
      </c>
      <c r="C647" s="3" t="s">
        <v>2315</v>
      </c>
      <c r="D647" s="3" t="s">
        <v>15618</v>
      </c>
      <c r="E647" t="s">
        <v>19607</v>
      </c>
      <c r="F647" t="s">
        <v>14111</v>
      </c>
      <c r="G647" t="s">
        <v>6580</v>
      </c>
      <c r="H647" t="s">
        <v>6580</v>
      </c>
    </row>
    <row r="648" spans="1:8" hidden="1" x14ac:dyDescent="0.2">
      <c r="A648" s="3" t="s">
        <v>15619</v>
      </c>
      <c r="B648" s="3" t="s">
        <v>14359</v>
      </c>
      <c r="C648" s="3" t="s">
        <v>2316</v>
      </c>
      <c r="D648" s="3" t="s">
        <v>15618</v>
      </c>
      <c r="E648" t="s">
        <v>19608</v>
      </c>
      <c r="F648" t="s">
        <v>14114</v>
      </c>
      <c r="G648" t="s">
        <v>6580</v>
      </c>
      <c r="H648" t="s">
        <v>6580</v>
      </c>
    </row>
    <row r="649" spans="1:8" hidden="1" x14ac:dyDescent="0.2">
      <c r="A649" s="3" t="s">
        <v>15620</v>
      </c>
      <c r="B649" s="3" t="s">
        <v>14359</v>
      </c>
      <c r="C649" s="3" t="s">
        <v>2317</v>
      </c>
      <c r="D649" s="3" t="s">
        <v>15040</v>
      </c>
      <c r="E649" t="s">
        <v>19609</v>
      </c>
      <c r="F649" t="s">
        <v>2318</v>
      </c>
      <c r="G649" t="s">
        <v>3459</v>
      </c>
      <c r="H649" t="s">
        <v>5535</v>
      </c>
    </row>
    <row r="650" spans="1:8" hidden="1" x14ac:dyDescent="0.2">
      <c r="A650" s="3" t="s">
        <v>15621</v>
      </c>
      <c r="B650" s="3" t="s">
        <v>14359</v>
      </c>
      <c r="C650" s="3" t="s">
        <v>2319</v>
      </c>
      <c r="D650" s="3" t="s">
        <v>15040</v>
      </c>
      <c r="E650" t="s">
        <v>19610</v>
      </c>
      <c r="F650" t="s">
        <v>14112</v>
      </c>
      <c r="G650" t="s">
        <v>3459</v>
      </c>
      <c r="H650" t="s">
        <v>3768</v>
      </c>
    </row>
    <row r="651" spans="1:8" hidden="1" x14ac:dyDescent="0.2">
      <c r="A651" s="3" t="s">
        <v>15622</v>
      </c>
      <c r="B651" s="3" t="s">
        <v>14359</v>
      </c>
      <c r="C651" s="3" t="s">
        <v>2321</v>
      </c>
      <c r="D651" s="3" t="s">
        <v>15623</v>
      </c>
      <c r="E651" t="s">
        <v>10194</v>
      </c>
      <c r="F651" t="s">
        <v>14096</v>
      </c>
      <c r="G651" t="s">
        <v>3436</v>
      </c>
      <c r="H651" t="s">
        <v>3586</v>
      </c>
    </row>
    <row r="652" spans="1:8" hidden="1" x14ac:dyDescent="0.2">
      <c r="A652" s="3" t="s">
        <v>15624</v>
      </c>
      <c r="B652" s="3" t="s">
        <v>14359</v>
      </c>
      <c r="C652" s="3" t="s">
        <v>2323</v>
      </c>
      <c r="D652" s="3" t="s">
        <v>15618</v>
      </c>
      <c r="E652" t="s">
        <v>19611</v>
      </c>
      <c r="F652" t="s">
        <v>14110</v>
      </c>
      <c r="G652" t="s">
        <v>6580</v>
      </c>
      <c r="H652" t="s">
        <v>6580</v>
      </c>
    </row>
    <row r="653" spans="1:8" hidden="1" x14ac:dyDescent="0.2">
      <c r="A653" s="3" t="s">
        <v>15625</v>
      </c>
      <c r="B653" s="3" t="s">
        <v>14359</v>
      </c>
      <c r="C653" s="3" t="s">
        <v>2324</v>
      </c>
      <c r="D653" s="3" t="s">
        <v>15626</v>
      </c>
      <c r="E653" t="s">
        <v>10208</v>
      </c>
      <c r="F653" t="s">
        <v>2325</v>
      </c>
      <c r="G653" t="s">
        <v>3863</v>
      </c>
      <c r="H653" t="s">
        <v>5082</v>
      </c>
    </row>
    <row r="654" spans="1:8" hidden="1" x14ac:dyDescent="0.2">
      <c r="A654" s="3" t="s">
        <v>15627</v>
      </c>
      <c r="B654" s="3" t="s">
        <v>14359</v>
      </c>
      <c r="C654" s="3" t="s">
        <v>2326</v>
      </c>
      <c r="D654" s="3" t="s">
        <v>15618</v>
      </c>
      <c r="E654" t="s">
        <v>19612</v>
      </c>
      <c r="F654" t="s">
        <v>14113</v>
      </c>
      <c r="G654" t="s">
        <v>6580</v>
      </c>
      <c r="H654" t="s">
        <v>6580</v>
      </c>
    </row>
    <row r="655" spans="1:8" hidden="1" x14ac:dyDescent="0.2">
      <c r="A655" s="3" t="s">
        <v>15628</v>
      </c>
      <c r="B655" s="3" t="s">
        <v>14359</v>
      </c>
      <c r="C655" s="3" t="s">
        <v>2327</v>
      </c>
      <c r="D655" s="3" t="s">
        <v>15040</v>
      </c>
      <c r="E655" t="s">
        <v>10231</v>
      </c>
      <c r="F655" t="s">
        <v>14103</v>
      </c>
      <c r="G655" t="s">
        <v>3459</v>
      </c>
      <c r="H655" t="s">
        <v>7998</v>
      </c>
    </row>
    <row r="656" spans="1:8" hidden="1" x14ac:dyDescent="0.2">
      <c r="A656" s="3" t="s">
        <v>15629</v>
      </c>
      <c r="B656" s="3" t="s">
        <v>14359</v>
      </c>
      <c r="C656" s="3" t="s">
        <v>2329</v>
      </c>
      <c r="D656" s="3" t="s">
        <v>15630</v>
      </c>
      <c r="E656" t="s">
        <v>18820</v>
      </c>
      <c r="F656" t="s">
        <v>19139</v>
      </c>
      <c r="G656" t="s">
        <v>3863</v>
      </c>
      <c r="H656" t="s">
        <v>5082</v>
      </c>
    </row>
    <row r="657" spans="1:8" hidden="1" x14ac:dyDescent="0.2">
      <c r="A657" s="3" t="s">
        <v>15631</v>
      </c>
      <c r="B657" s="3" t="s">
        <v>14359</v>
      </c>
      <c r="C657" s="3" t="s">
        <v>2330</v>
      </c>
      <c r="D657" s="3" t="s">
        <v>15040</v>
      </c>
      <c r="E657" t="s">
        <v>19613</v>
      </c>
      <c r="F657" t="s">
        <v>14104</v>
      </c>
      <c r="G657" t="s">
        <v>3459</v>
      </c>
      <c r="H657" t="s">
        <v>4991</v>
      </c>
    </row>
    <row r="658" spans="1:8" hidden="1" x14ac:dyDescent="0.2">
      <c r="A658" s="3" t="s">
        <v>15632</v>
      </c>
      <c r="B658" s="3" t="s">
        <v>14359</v>
      </c>
      <c r="C658" s="3" t="s">
        <v>2332</v>
      </c>
      <c r="D658" s="3" t="s">
        <v>15618</v>
      </c>
      <c r="E658" t="s">
        <v>19614</v>
      </c>
      <c r="F658" t="s">
        <v>14106</v>
      </c>
      <c r="G658" t="s">
        <v>6580</v>
      </c>
      <c r="H658" t="s">
        <v>6580</v>
      </c>
    </row>
    <row r="659" spans="1:8" hidden="1" x14ac:dyDescent="0.2">
      <c r="A659" s="3" t="s">
        <v>15633</v>
      </c>
      <c r="B659" s="3" t="s">
        <v>14359</v>
      </c>
      <c r="C659" s="3" t="s">
        <v>2333</v>
      </c>
      <c r="D659" s="3" t="s">
        <v>15634</v>
      </c>
      <c r="E659" t="s">
        <v>10223</v>
      </c>
      <c r="F659" t="s">
        <v>14101</v>
      </c>
      <c r="G659" t="s">
        <v>3863</v>
      </c>
      <c r="H659" t="s">
        <v>5632</v>
      </c>
    </row>
    <row r="660" spans="1:8" hidden="1" x14ac:dyDescent="0.2">
      <c r="A660" s="3" t="s">
        <v>15635</v>
      </c>
      <c r="B660" s="3" t="s">
        <v>14359</v>
      </c>
      <c r="C660" s="3" t="s">
        <v>2335</v>
      </c>
      <c r="D660" s="3" t="s">
        <v>15618</v>
      </c>
      <c r="E660" t="s">
        <v>19615</v>
      </c>
      <c r="F660" t="s">
        <v>14105</v>
      </c>
      <c r="G660" t="s">
        <v>6580</v>
      </c>
      <c r="H660" t="s">
        <v>6580</v>
      </c>
    </row>
    <row r="661" spans="1:8" hidden="1" x14ac:dyDescent="0.2">
      <c r="A661" s="3" t="s">
        <v>15636</v>
      </c>
      <c r="B661" s="3" t="s">
        <v>14359</v>
      </c>
      <c r="C661" s="3" t="s">
        <v>2336</v>
      </c>
      <c r="D661" s="3" t="s">
        <v>15040</v>
      </c>
      <c r="E661" t="s">
        <v>10232</v>
      </c>
      <c r="F661" t="s">
        <v>2337</v>
      </c>
      <c r="G661" t="s">
        <v>3459</v>
      </c>
      <c r="H661" t="s">
        <v>7998</v>
      </c>
    </row>
    <row r="662" spans="1:8" hidden="1" x14ac:dyDescent="0.2">
      <c r="A662" s="3" t="s">
        <v>15637</v>
      </c>
      <c r="B662" s="3" t="s">
        <v>14359</v>
      </c>
      <c r="C662" s="3" t="s">
        <v>2338</v>
      </c>
      <c r="D662" s="3" t="s">
        <v>15638</v>
      </c>
      <c r="E662" t="s">
        <v>19616</v>
      </c>
      <c r="F662" t="s">
        <v>2339</v>
      </c>
      <c r="G662" t="s">
        <v>3448</v>
      </c>
      <c r="H662" t="s">
        <v>4568</v>
      </c>
    </row>
    <row r="663" spans="1:8" hidden="1" x14ac:dyDescent="0.2">
      <c r="A663" s="3" t="s">
        <v>15639</v>
      </c>
      <c r="B663" s="3" t="s">
        <v>14359</v>
      </c>
      <c r="C663" s="3" t="s">
        <v>2340</v>
      </c>
      <c r="D663" s="3" t="s">
        <v>15640</v>
      </c>
      <c r="E663" t="s">
        <v>4546</v>
      </c>
      <c r="F663" t="s">
        <v>2341</v>
      </c>
      <c r="G663" t="s">
        <v>3436</v>
      </c>
      <c r="H663" t="s">
        <v>3793</v>
      </c>
    </row>
    <row r="664" spans="1:8" hidden="1" x14ac:dyDescent="0.2">
      <c r="A664" s="3" t="s">
        <v>15641</v>
      </c>
      <c r="B664" s="3" t="s">
        <v>14359</v>
      </c>
      <c r="C664" s="3" t="s">
        <v>2342</v>
      </c>
      <c r="D664" s="3" t="s">
        <v>15642</v>
      </c>
      <c r="E664" t="s">
        <v>19617</v>
      </c>
      <c r="F664" t="s">
        <v>2343</v>
      </c>
      <c r="G664" t="s">
        <v>3459</v>
      </c>
      <c r="H664" t="s">
        <v>3758</v>
      </c>
    </row>
    <row r="665" spans="1:8" hidden="1" x14ac:dyDescent="0.2">
      <c r="A665" s="3" t="s">
        <v>15643</v>
      </c>
      <c r="B665" s="3" t="s">
        <v>14359</v>
      </c>
      <c r="C665" s="3" t="s">
        <v>2344</v>
      </c>
      <c r="D665" s="3" t="s">
        <v>15644</v>
      </c>
      <c r="E665" t="s">
        <v>19618</v>
      </c>
      <c r="F665" t="s">
        <v>2345</v>
      </c>
      <c r="G665" t="s">
        <v>3436</v>
      </c>
      <c r="H665" t="s">
        <v>3470</v>
      </c>
    </row>
    <row r="666" spans="1:8" hidden="1" x14ac:dyDescent="0.2">
      <c r="A666" s="3" t="s">
        <v>15645</v>
      </c>
      <c r="B666" s="3" t="s">
        <v>14359</v>
      </c>
      <c r="C666" s="3" t="s">
        <v>2346</v>
      </c>
      <c r="D666" s="3" t="s">
        <v>15646</v>
      </c>
      <c r="E666" t="s">
        <v>4602</v>
      </c>
      <c r="F666" t="s">
        <v>2347</v>
      </c>
      <c r="G666" t="s">
        <v>3533</v>
      </c>
      <c r="H666" t="s">
        <v>3705</v>
      </c>
    </row>
    <row r="667" spans="1:8" hidden="1" x14ac:dyDescent="0.2">
      <c r="A667" s="3" t="s">
        <v>15647</v>
      </c>
      <c r="B667" s="3" t="s">
        <v>14359</v>
      </c>
      <c r="C667" s="3" t="s">
        <v>2348</v>
      </c>
      <c r="D667" s="3" t="s">
        <v>15648</v>
      </c>
      <c r="E667" t="s">
        <v>19619</v>
      </c>
      <c r="F667" t="s">
        <v>2349</v>
      </c>
      <c r="G667" t="s">
        <v>3459</v>
      </c>
      <c r="H667" t="s">
        <v>4059</v>
      </c>
    </row>
    <row r="668" spans="1:8" hidden="1" x14ac:dyDescent="0.2">
      <c r="A668" s="3" t="s">
        <v>15649</v>
      </c>
      <c r="B668" s="3" t="s">
        <v>14359</v>
      </c>
      <c r="C668" s="3" t="s">
        <v>2350</v>
      </c>
      <c r="D668" s="3" t="s">
        <v>15650</v>
      </c>
      <c r="E668" t="s">
        <v>19620</v>
      </c>
      <c r="F668" t="s">
        <v>2351</v>
      </c>
      <c r="G668" t="s">
        <v>3533</v>
      </c>
      <c r="H668" t="s">
        <v>3543</v>
      </c>
    </row>
    <row r="669" spans="1:8" hidden="1" x14ac:dyDescent="0.2">
      <c r="A669" s="3" t="s">
        <v>15651</v>
      </c>
      <c r="B669" s="3" t="s">
        <v>14359</v>
      </c>
      <c r="C669" s="3" t="s">
        <v>2352</v>
      </c>
      <c r="D669" s="3" t="s">
        <v>15652</v>
      </c>
      <c r="E669" t="s">
        <v>19621</v>
      </c>
      <c r="F669" t="s">
        <v>2353</v>
      </c>
      <c r="G669" t="s">
        <v>3533</v>
      </c>
      <c r="H669" t="s">
        <v>3543</v>
      </c>
    </row>
    <row r="670" spans="1:8" hidden="1" x14ac:dyDescent="0.2">
      <c r="A670" s="3" t="s">
        <v>15653</v>
      </c>
      <c r="B670" s="3" t="s">
        <v>14359</v>
      </c>
      <c r="C670" s="3" t="s">
        <v>2354</v>
      </c>
      <c r="D670" s="3" t="s">
        <v>15654</v>
      </c>
      <c r="E670" t="s">
        <v>4626</v>
      </c>
      <c r="F670" t="s">
        <v>2355</v>
      </c>
      <c r="G670" t="s">
        <v>3436</v>
      </c>
      <c r="H670" t="s">
        <v>3498</v>
      </c>
    </row>
    <row r="671" spans="1:8" hidden="1" x14ac:dyDescent="0.2">
      <c r="A671" s="3" t="s">
        <v>15655</v>
      </c>
      <c r="B671" s="3" t="s">
        <v>14359</v>
      </c>
      <c r="C671" s="3" t="s">
        <v>2356</v>
      </c>
      <c r="D671" s="3" t="s">
        <v>15656</v>
      </c>
      <c r="E671" t="s">
        <v>4610</v>
      </c>
      <c r="F671" t="s">
        <v>2357</v>
      </c>
      <c r="G671" t="s">
        <v>3436</v>
      </c>
      <c r="H671" t="s">
        <v>3498</v>
      </c>
    </row>
    <row r="672" spans="1:8" hidden="1" x14ac:dyDescent="0.2">
      <c r="A672" s="3" t="s">
        <v>15657</v>
      </c>
      <c r="B672" s="3" t="s">
        <v>14359</v>
      </c>
      <c r="C672" s="3" t="s">
        <v>2358</v>
      </c>
      <c r="D672" s="3" t="s">
        <v>15658</v>
      </c>
      <c r="E672" t="s">
        <v>4618</v>
      </c>
      <c r="F672" t="s">
        <v>2359</v>
      </c>
      <c r="G672" t="s">
        <v>3436</v>
      </c>
      <c r="H672" t="s">
        <v>3603</v>
      </c>
    </row>
    <row r="673" spans="1:8" hidden="1" x14ac:dyDescent="0.2">
      <c r="A673" s="3" t="s">
        <v>15659</v>
      </c>
      <c r="B673" s="3" t="s">
        <v>14359</v>
      </c>
      <c r="C673" s="3" t="s">
        <v>2360</v>
      </c>
      <c r="D673" s="3" t="s">
        <v>15660</v>
      </c>
      <c r="E673" t="s">
        <v>19622</v>
      </c>
      <c r="F673" t="s">
        <v>2361</v>
      </c>
      <c r="G673" t="s">
        <v>3977</v>
      </c>
      <c r="H673" t="s">
        <v>4084</v>
      </c>
    </row>
    <row r="674" spans="1:8" hidden="1" x14ac:dyDescent="0.2">
      <c r="A674" s="3" t="s">
        <v>15661</v>
      </c>
      <c r="B674" s="3" t="s">
        <v>14359</v>
      </c>
      <c r="C674" s="3" t="s">
        <v>2362</v>
      </c>
      <c r="D674" s="3" t="s">
        <v>15662</v>
      </c>
      <c r="E674" t="s">
        <v>19623</v>
      </c>
      <c r="F674" t="s">
        <v>2363</v>
      </c>
      <c r="G674" t="s">
        <v>3436</v>
      </c>
      <c r="H674" t="s">
        <v>3882</v>
      </c>
    </row>
    <row r="675" spans="1:8" hidden="1" x14ac:dyDescent="0.2">
      <c r="A675" s="3" t="s">
        <v>15663</v>
      </c>
      <c r="B675" s="3" t="s">
        <v>14359</v>
      </c>
      <c r="C675" s="3" t="s">
        <v>2364</v>
      </c>
      <c r="D675" s="3" t="s">
        <v>15664</v>
      </c>
      <c r="E675" t="s">
        <v>19624</v>
      </c>
      <c r="F675" t="s">
        <v>2365</v>
      </c>
      <c r="G675" t="s">
        <v>3436</v>
      </c>
      <c r="H675" t="s">
        <v>3661</v>
      </c>
    </row>
    <row r="676" spans="1:8" hidden="1" x14ac:dyDescent="0.2">
      <c r="A676" s="3" t="s">
        <v>15665</v>
      </c>
      <c r="B676" s="3" t="s">
        <v>14359</v>
      </c>
      <c r="C676" s="3" t="s">
        <v>2366</v>
      </c>
      <c r="D676" s="3" t="s">
        <v>15666</v>
      </c>
      <c r="E676" t="s">
        <v>19625</v>
      </c>
      <c r="F676" t="s">
        <v>2367</v>
      </c>
      <c r="G676" t="s">
        <v>3436</v>
      </c>
      <c r="H676" t="s">
        <v>3687</v>
      </c>
    </row>
    <row r="677" spans="1:8" hidden="1" x14ac:dyDescent="0.2">
      <c r="A677" s="3" t="s">
        <v>15667</v>
      </c>
      <c r="B677" s="3" t="s">
        <v>14359</v>
      </c>
      <c r="C677" s="3" t="s">
        <v>2368</v>
      </c>
      <c r="D677" s="3" t="s">
        <v>15668</v>
      </c>
      <c r="E677" t="s">
        <v>19626</v>
      </c>
      <c r="F677" t="s">
        <v>2369</v>
      </c>
      <c r="G677" t="s">
        <v>3436</v>
      </c>
      <c r="H677" t="s">
        <v>3586</v>
      </c>
    </row>
    <row r="678" spans="1:8" hidden="1" x14ac:dyDescent="0.2">
      <c r="A678" s="3" t="s">
        <v>15669</v>
      </c>
      <c r="B678" s="3" t="s">
        <v>14359</v>
      </c>
      <c r="C678" s="3" t="s">
        <v>2370</v>
      </c>
      <c r="D678" s="3" t="s">
        <v>15670</v>
      </c>
      <c r="E678" t="s">
        <v>19627</v>
      </c>
      <c r="F678" t="s">
        <v>2371</v>
      </c>
      <c r="G678" t="s">
        <v>3853</v>
      </c>
      <c r="H678" t="s">
        <v>3854</v>
      </c>
    </row>
    <row r="679" spans="1:8" hidden="1" x14ac:dyDescent="0.2">
      <c r="A679" s="3" t="s">
        <v>15671</v>
      </c>
      <c r="B679" s="3" t="s">
        <v>14359</v>
      </c>
      <c r="C679" s="3" t="s">
        <v>2372</v>
      </c>
      <c r="D679" s="3" t="s">
        <v>15672</v>
      </c>
      <c r="E679" t="s">
        <v>19628</v>
      </c>
      <c r="F679" t="s">
        <v>2373</v>
      </c>
      <c r="G679" t="s">
        <v>3863</v>
      </c>
      <c r="H679" t="s">
        <v>3864</v>
      </c>
    </row>
    <row r="680" spans="1:8" hidden="1" x14ac:dyDescent="0.2">
      <c r="A680" s="3" t="s">
        <v>15673</v>
      </c>
      <c r="B680" s="3" t="s">
        <v>14359</v>
      </c>
      <c r="C680" s="3" t="s">
        <v>2374</v>
      </c>
      <c r="D680" s="3" t="s">
        <v>15674</v>
      </c>
      <c r="E680" t="s">
        <v>19629</v>
      </c>
      <c r="F680" t="s">
        <v>2375</v>
      </c>
      <c r="G680" t="s">
        <v>3459</v>
      </c>
      <c r="H680" t="s">
        <v>3819</v>
      </c>
    </row>
    <row r="681" spans="1:8" hidden="1" x14ac:dyDescent="0.2">
      <c r="A681" s="3" t="s">
        <v>15675</v>
      </c>
      <c r="B681" s="3" t="s">
        <v>14359</v>
      </c>
      <c r="C681" s="3" t="s">
        <v>2376</v>
      </c>
      <c r="D681" s="3" t="s">
        <v>15676</v>
      </c>
      <c r="E681" t="s">
        <v>3510</v>
      </c>
      <c r="F681" t="s">
        <v>2377</v>
      </c>
      <c r="G681" t="s">
        <v>3459</v>
      </c>
      <c r="H681" t="s">
        <v>3507</v>
      </c>
    </row>
    <row r="682" spans="1:8" hidden="1" x14ac:dyDescent="0.2">
      <c r="A682" s="3" t="s">
        <v>15677</v>
      </c>
      <c r="B682" s="3" t="s">
        <v>14359</v>
      </c>
      <c r="C682" s="3" t="s">
        <v>2378</v>
      </c>
      <c r="D682" s="3" t="s">
        <v>15678</v>
      </c>
      <c r="E682" t="s">
        <v>19630</v>
      </c>
      <c r="F682" t="s">
        <v>2379</v>
      </c>
      <c r="G682" t="s">
        <v>3459</v>
      </c>
      <c r="H682" t="s">
        <v>4774</v>
      </c>
    </row>
    <row r="683" spans="1:8" hidden="1" x14ac:dyDescent="0.2">
      <c r="A683" s="3" t="s">
        <v>15679</v>
      </c>
      <c r="B683" s="3" t="s">
        <v>14359</v>
      </c>
      <c r="C683" s="3" t="s">
        <v>2380</v>
      </c>
      <c r="D683" s="3" t="s">
        <v>15680</v>
      </c>
      <c r="E683" t="s">
        <v>4792</v>
      </c>
      <c r="F683" t="s">
        <v>2381</v>
      </c>
      <c r="G683" t="s">
        <v>3436</v>
      </c>
      <c r="H683" t="s">
        <v>3687</v>
      </c>
    </row>
    <row r="684" spans="1:8" hidden="1" x14ac:dyDescent="0.2">
      <c r="A684" s="3" t="s">
        <v>15681</v>
      </c>
      <c r="B684" s="3" t="s">
        <v>14359</v>
      </c>
      <c r="C684" s="3" t="s">
        <v>2382</v>
      </c>
      <c r="D684" s="3" t="s">
        <v>15682</v>
      </c>
      <c r="E684" t="s">
        <v>19631</v>
      </c>
      <c r="F684" t="s">
        <v>2383</v>
      </c>
      <c r="G684" t="s">
        <v>3853</v>
      </c>
      <c r="H684" t="s">
        <v>3854</v>
      </c>
    </row>
    <row r="685" spans="1:8" hidden="1" x14ac:dyDescent="0.2">
      <c r="A685" s="3" t="s">
        <v>15683</v>
      </c>
      <c r="B685" s="3" t="s">
        <v>14359</v>
      </c>
      <c r="C685" s="3" t="s">
        <v>2384</v>
      </c>
      <c r="D685" s="3" t="s">
        <v>15684</v>
      </c>
      <c r="E685" t="s">
        <v>19632</v>
      </c>
      <c r="F685" t="s">
        <v>2385</v>
      </c>
      <c r="G685" t="s">
        <v>3448</v>
      </c>
      <c r="H685" t="s">
        <v>4679</v>
      </c>
    </row>
    <row r="686" spans="1:8" hidden="1" x14ac:dyDescent="0.2">
      <c r="A686" s="3" t="s">
        <v>15685</v>
      </c>
      <c r="B686" s="3" t="s">
        <v>14359</v>
      </c>
      <c r="C686" s="3" t="s">
        <v>2386</v>
      </c>
      <c r="D686" s="3" t="s">
        <v>15686</v>
      </c>
      <c r="E686" t="s">
        <v>4690</v>
      </c>
      <c r="F686" t="s">
        <v>2387</v>
      </c>
      <c r="G686" t="s">
        <v>3436</v>
      </c>
      <c r="H686" t="s">
        <v>3670</v>
      </c>
    </row>
    <row r="687" spans="1:8" hidden="1" x14ac:dyDescent="0.2">
      <c r="A687" s="3" t="s">
        <v>15687</v>
      </c>
      <c r="B687" s="3" t="s">
        <v>14359</v>
      </c>
      <c r="C687" s="3" t="s">
        <v>339</v>
      </c>
      <c r="D687" s="3" t="s">
        <v>15688</v>
      </c>
      <c r="E687" t="s">
        <v>338</v>
      </c>
      <c r="F687" t="s">
        <v>13788</v>
      </c>
      <c r="G687" t="s">
        <v>3479</v>
      </c>
      <c r="H687" t="s">
        <v>3480</v>
      </c>
    </row>
    <row r="688" spans="1:8" hidden="1" x14ac:dyDescent="0.2">
      <c r="A688" s="3" t="s">
        <v>15689</v>
      </c>
      <c r="B688" s="3" t="s">
        <v>14359</v>
      </c>
      <c r="C688" s="3" t="s">
        <v>2388</v>
      </c>
      <c r="D688" s="3" t="s">
        <v>15690</v>
      </c>
      <c r="E688" t="s">
        <v>4744</v>
      </c>
      <c r="F688" t="s">
        <v>2389</v>
      </c>
      <c r="G688" t="s">
        <v>3436</v>
      </c>
      <c r="H688" t="s">
        <v>3793</v>
      </c>
    </row>
    <row r="689" spans="1:8" hidden="1" x14ac:dyDescent="0.2">
      <c r="A689" s="3" t="s">
        <v>15691</v>
      </c>
      <c r="B689" s="3" t="s">
        <v>14359</v>
      </c>
      <c r="C689" s="3" t="s">
        <v>2390</v>
      </c>
      <c r="D689" s="3" t="s">
        <v>15692</v>
      </c>
      <c r="E689" t="s">
        <v>19633</v>
      </c>
      <c r="F689" t="s">
        <v>13791</v>
      </c>
      <c r="G689" t="s">
        <v>3459</v>
      </c>
      <c r="H689" t="s">
        <v>4765</v>
      </c>
    </row>
    <row r="690" spans="1:8" hidden="1" x14ac:dyDescent="0.2">
      <c r="A690" s="3" t="s">
        <v>15693</v>
      </c>
      <c r="B690" s="3" t="s">
        <v>14359</v>
      </c>
      <c r="C690" s="3" t="s">
        <v>2392</v>
      </c>
      <c r="D690" s="3" t="s">
        <v>15694</v>
      </c>
      <c r="E690" t="s">
        <v>19634</v>
      </c>
      <c r="F690" t="s">
        <v>2393</v>
      </c>
      <c r="G690" t="s">
        <v>3533</v>
      </c>
      <c r="H690" t="s">
        <v>3543</v>
      </c>
    </row>
    <row r="691" spans="1:8" hidden="1" x14ac:dyDescent="0.2">
      <c r="A691" s="3" t="s">
        <v>15695</v>
      </c>
      <c r="B691" s="3" t="s">
        <v>14359</v>
      </c>
      <c r="C691" s="3" t="s">
        <v>2394</v>
      </c>
      <c r="D691" s="3" t="s">
        <v>15696</v>
      </c>
      <c r="E691" t="s">
        <v>3501</v>
      </c>
      <c r="F691" t="s">
        <v>2395</v>
      </c>
      <c r="G691" t="s">
        <v>3436</v>
      </c>
      <c r="H691" t="s">
        <v>3498</v>
      </c>
    </row>
    <row r="692" spans="1:8" hidden="1" x14ac:dyDescent="0.2">
      <c r="A692" s="3" t="s">
        <v>15697</v>
      </c>
      <c r="B692" s="3" t="s">
        <v>14359</v>
      </c>
      <c r="C692" s="3" t="s">
        <v>2396</v>
      </c>
      <c r="D692" s="3" t="s">
        <v>15698</v>
      </c>
      <c r="E692" t="s">
        <v>19635</v>
      </c>
      <c r="F692" t="s">
        <v>2397</v>
      </c>
      <c r="G692" t="s">
        <v>3436</v>
      </c>
      <c r="H692" t="s">
        <v>3687</v>
      </c>
    </row>
    <row r="693" spans="1:8" hidden="1" x14ac:dyDescent="0.2">
      <c r="A693" s="3" t="s">
        <v>15699</v>
      </c>
      <c r="B693" s="3" t="s">
        <v>14359</v>
      </c>
      <c r="C693" s="3" t="s">
        <v>2398</v>
      </c>
      <c r="D693" s="3" t="s">
        <v>15700</v>
      </c>
      <c r="E693" t="s">
        <v>4714</v>
      </c>
      <c r="F693" t="s">
        <v>2399</v>
      </c>
      <c r="G693" t="s">
        <v>3533</v>
      </c>
      <c r="H693" t="s">
        <v>3534</v>
      </c>
    </row>
    <row r="694" spans="1:8" hidden="1" x14ac:dyDescent="0.2">
      <c r="A694" s="3" t="s">
        <v>15701</v>
      </c>
      <c r="B694" s="3" t="s">
        <v>14359</v>
      </c>
      <c r="C694" s="3" t="s">
        <v>2400</v>
      </c>
      <c r="D694" s="3" t="s">
        <v>15702</v>
      </c>
      <c r="E694" t="s">
        <v>4706</v>
      </c>
      <c r="F694" t="s">
        <v>2401</v>
      </c>
      <c r="G694" t="s">
        <v>3436</v>
      </c>
      <c r="H694" t="s">
        <v>3437</v>
      </c>
    </row>
    <row r="695" spans="1:8" hidden="1" x14ac:dyDescent="0.2">
      <c r="A695" s="3" t="s">
        <v>15703</v>
      </c>
      <c r="B695" s="3" t="s">
        <v>14359</v>
      </c>
      <c r="C695" s="3" t="s">
        <v>2402</v>
      </c>
      <c r="D695" s="3" t="s">
        <v>15704</v>
      </c>
      <c r="E695" t="s">
        <v>4872</v>
      </c>
      <c r="F695" t="s">
        <v>2403</v>
      </c>
      <c r="G695" t="s">
        <v>3459</v>
      </c>
      <c r="H695" t="s">
        <v>4869</v>
      </c>
    </row>
    <row r="696" spans="1:8" hidden="1" x14ac:dyDescent="0.2">
      <c r="A696" s="3" t="s">
        <v>15705</v>
      </c>
      <c r="B696" s="3" t="s">
        <v>14359</v>
      </c>
      <c r="C696" s="3" t="s">
        <v>2404</v>
      </c>
      <c r="D696" s="3" t="s">
        <v>15706</v>
      </c>
      <c r="E696" t="s">
        <v>4880</v>
      </c>
      <c r="F696" t="s">
        <v>2405</v>
      </c>
      <c r="G696" t="s">
        <v>3533</v>
      </c>
      <c r="H696" t="s">
        <v>3620</v>
      </c>
    </row>
    <row r="697" spans="1:8" hidden="1" x14ac:dyDescent="0.2">
      <c r="A697" s="3" t="s">
        <v>15707</v>
      </c>
      <c r="B697" s="3" t="s">
        <v>14359</v>
      </c>
      <c r="C697" s="3" t="s">
        <v>2406</v>
      </c>
      <c r="D697" s="3" t="s">
        <v>15708</v>
      </c>
      <c r="E697" t="s">
        <v>4809</v>
      </c>
      <c r="F697" t="s">
        <v>2407</v>
      </c>
      <c r="G697" t="s">
        <v>3977</v>
      </c>
      <c r="H697" t="s">
        <v>4806</v>
      </c>
    </row>
    <row r="698" spans="1:8" hidden="1" x14ac:dyDescent="0.2">
      <c r="A698" s="3" t="s">
        <v>15709</v>
      </c>
      <c r="B698" s="3" t="s">
        <v>14359</v>
      </c>
      <c r="C698" s="3" t="s">
        <v>2408</v>
      </c>
      <c r="D698" s="3" t="s">
        <v>15710</v>
      </c>
      <c r="E698" t="s">
        <v>19636</v>
      </c>
      <c r="F698" t="s">
        <v>2409</v>
      </c>
      <c r="G698" t="s">
        <v>3853</v>
      </c>
      <c r="H698" t="s">
        <v>3854</v>
      </c>
    </row>
    <row r="699" spans="1:8" hidden="1" x14ac:dyDescent="0.2">
      <c r="A699" s="3" t="s">
        <v>15711</v>
      </c>
      <c r="B699" s="3" t="s">
        <v>14359</v>
      </c>
      <c r="C699" s="3" t="s">
        <v>2410</v>
      </c>
      <c r="D699" s="3" t="s">
        <v>15712</v>
      </c>
      <c r="E699" t="s">
        <v>4817</v>
      </c>
      <c r="F699" t="s">
        <v>2411</v>
      </c>
      <c r="G699" t="s">
        <v>3977</v>
      </c>
      <c r="H699" t="s">
        <v>4806</v>
      </c>
    </row>
    <row r="700" spans="1:8" hidden="1" x14ac:dyDescent="0.2">
      <c r="A700" s="3" t="s">
        <v>15713</v>
      </c>
      <c r="B700" s="3" t="s">
        <v>14359</v>
      </c>
      <c r="C700" s="3" t="s">
        <v>2412</v>
      </c>
      <c r="D700" s="3" t="s">
        <v>15714</v>
      </c>
      <c r="E700" t="s">
        <v>19637</v>
      </c>
      <c r="F700" t="s">
        <v>19090</v>
      </c>
      <c r="G700" t="s">
        <v>3436</v>
      </c>
      <c r="H700" t="s">
        <v>3687</v>
      </c>
    </row>
    <row r="701" spans="1:8" hidden="1" x14ac:dyDescent="0.2">
      <c r="A701" s="3" t="s">
        <v>15715</v>
      </c>
      <c r="B701" s="3" t="s">
        <v>14359</v>
      </c>
      <c r="C701" s="3" t="s">
        <v>20</v>
      </c>
      <c r="D701" s="3" t="s">
        <v>15716</v>
      </c>
      <c r="E701" t="s">
        <v>19</v>
      </c>
      <c r="F701" t="s">
        <v>13792</v>
      </c>
      <c r="G701" t="s">
        <v>3459</v>
      </c>
      <c r="H701" t="s">
        <v>3740</v>
      </c>
    </row>
    <row r="702" spans="1:8" hidden="1" x14ac:dyDescent="0.2">
      <c r="A702" s="3" t="s">
        <v>15717</v>
      </c>
      <c r="B702" s="3" t="s">
        <v>14359</v>
      </c>
      <c r="C702" s="3" t="s">
        <v>2413</v>
      </c>
      <c r="D702" s="3" t="s">
        <v>15718</v>
      </c>
      <c r="E702" t="s">
        <v>19638</v>
      </c>
      <c r="F702" t="s">
        <v>2414</v>
      </c>
      <c r="G702" t="s">
        <v>3436</v>
      </c>
      <c r="H702" t="s">
        <v>3793</v>
      </c>
    </row>
    <row r="703" spans="1:8" hidden="1" x14ac:dyDescent="0.2">
      <c r="A703" s="3" t="s">
        <v>15719</v>
      </c>
      <c r="B703" s="3" t="s">
        <v>14359</v>
      </c>
      <c r="C703" s="3" t="s">
        <v>2415</v>
      </c>
      <c r="D703" s="3" t="s">
        <v>15720</v>
      </c>
      <c r="E703" t="s">
        <v>19639</v>
      </c>
      <c r="F703" t="s">
        <v>2416</v>
      </c>
      <c r="G703" t="s">
        <v>3459</v>
      </c>
      <c r="H703" t="s">
        <v>3560</v>
      </c>
    </row>
    <row r="704" spans="1:8" hidden="1" x14ac:dyDescent="0.2">
      <c r="A704" s="3" t="s">
        <v>15721</v>
      </c>
      <c r="B704" s="3" t="s">
        <v>14359</v>
      </c>
      <c r="C704" s="3" t="s">
        <v>2417</v>
      </c>
      <c r="D704" s="3" t="s">
        <v>15722</v>
      </c>
      <c r="E704" t="s">
        <v>19640</v>
      </c>
      <c r="F704" t="s">
        <v>2418</v>
      </c>
      <c r="G704" t="s">
        <v>3459</v>
      </c>
      <c r="H704" t="s">
        <v>3516</v>
      </c>
    </row>
    <row r="705" spans="1:8" hidden="1" x14ac:dyDescent="0.2">
      <c r="A705" s="3" t="s">
        <v>15723</v>
      </c>
      <c r="B705" s="3" t="s">
        <v>14359</v>
      </c>
      <c r="C705" s="3" t="s">
        <v>2419</v>
      </c>
      <c r="D705" s="3" t="s">
        <v>15724</v>
      </c>
      <c r="E705" t="s">
        <v>19641</v>
      </c>
      <c r="F705" t="s">
        <v>2420</v>
      </c>
      <c r="G705" t="s">
        <v>3436</v>
      </c>
      <c r="H705" t="s">
        <v>3498</v>
      </c>
    </row>
    <row r="706" spans="1:8" hidden="1" x14ac:dyDescent="0.2">
      <c r="A706" s="3" t="s">
        <v>15725</v>
      </c>
      <c r="B706" s="3" t="s">
        <v>14359</v>
      </c>
      <c r="C706" s="3" t="s">
        <v>2421</v>
      </c>
      <c r="D706" s="3" t="s">
        <v>15726</v>
      </c>
      <c r="E706" t="s">
        <v>19642</v>
      </c>
      <c r="F706" t="s">
        <v>2422</v>
      </c>
      <c r="G706" t="s">
        <v>3436</v>
      </c>
      <c r="H706" t="s">
        <v>3785</v>
      </c>
    </row>
    <row r="707" spans="1:8" hidden="1" x14ac:dyDescent="0.2">
      <c r="A707" s="3" t="s">
        <v>15727</v>
      </c>
      <c r="B707" s="3" t="s">
        <v>14359</v>
      </c>
      <c r="C707" s="3" t="s">
        <v>2423</v>
      </c>
      <c r="D707" s="3" t="s">
        <v>15728</v>
      </c>
      <c r="E707" t="s">
        <v>19643</v>
      </c>
      <c r="F707" t="s">
        <v>2424</v>
      </c>
      <c r="G707" t="s">
        <v>3436</v>
      </c>
      <c r="H707" t="s">
        <v>3470</v>
      </c>
    </row>
    <row r="708" spans="1:8" hidden="1" x14ac:dyDescent="0.2">
      <c r="A708" s="3" t="s">
        <v>15729</v>
      </c>
      <c r="B708" s="3" t="s">
        <v>14359</v>
      </c>
      <c r="C708" s="3" t="s">
        <v>1083</v>
      </c>
      <c r="D708" s="3" t="s">
        <v>15730</v>
      </c>
      <c r="E708" t="s">
        <v>1085</v>
      </c>
      <c r="F708" t="s">
        <v>13794</v>
      </c>
      <c r="G708" t="s">
        <v>3459</v>
      </c>
      <c r="H708" t="s">
        <v>4887</v>
      </c>
    </row>
    <row r="709" spans="1:8" hidden="1" x14ac:dyDescent="0.2">
      <c r="A709" s="3" t="s">
        <v>15731</v>
      </c>
      <c r="B709" s="3" t="s">
        <v>14359</v>
      </c>
      <c r="C709" s="3" t="s">
        <v>2425</v>
      </c>
      <c r="D709" s="3" t="s">
        <v>15732</v>
      </c>
      <c r="E709" t="s">
        <v>19644</v>
      </c>
      <c r="F709" t="s">
        <v>2426</v>
      </c>
      <c r="G709" t="s">
        <v>3853</v>
      </c>
      <c r="H709" t="s">
        <v>3854</v>
      </c>
    </row>
    <row r="710" spans="1:8" hidden="1" x14ac:dyDescent="0.2">
      <c r="A710" s="3" t="s">
        <v>15733</v>
      </c>
      <c r="B710" s="3" t="s">
        <v>14359</v>
      </c>
      <c r="C710" s="3" t="s">
        <v>2427</v>
      </c>
      <c r="D710" s="3" t="s">
        <v>15734</v>
      </c>
      <c r="E710" t="s">
        <v>19645</v>
      </c>
      <c r="F710" t="s">
        <v>2428</v>
      </c>
      <c r="G710" t="s">
        <v>3459</v>
      </c>
      <c r="H710" t="s">
        <v>3758</v>
      </c>
    </row>
    <row r="711" spans="1:8" hidden="1" x14ac:dyDescent="0.2">
      <c r="A711" s="3" t="s">
        <v>15735</v>
      </c>
      <c r="B711" s="3" t="s">
        <v>14359</v>
      </c>
      <c r="C711" s="3" t="s">
        <v>2429</v>
      </c>
      <c r="D711" s="3" t="s">
        <v>15736</v>
      </c>
      <c r="E711" t="s">
        <v>4928</v>
      </c>
      <c r="F711" t="s">
        <v>2430</v>
      </c>
      <c r="G711" t="s">
        <v>3436</v>
      </c>
      <c r="H711" t="s">
        <v>3687</v>
      </c>
    </row>
    <row r="712" spans="1:8" hidden="1" x14ac:dyDescent="0.2">
      <c r="A712" s="3" t="s">
        <v>15737</v>
      </c>
      <c r="B712" s="3" t="s">
        <v>14359</v>
      </c>
      <c r="C712" s="3" t="s">
        <v>2431</v>
      </c>
      <c r="D712" s="3" t="s">
        <v>15738</v>
      </c>
      <c r="E712" t="s">
        <v>17148</v>
      </c>
      <c r="F712" t="s">
        <v>19091</v>
      </c>
      <c r="G712" t="s">
        <v>3977</v>
      </c>
      <c r="H712" t="s">
        <v>4084</v>
      </c>
    </row>
    <row r="713" spans="1:8" hidden="1" x14ac:dyDescent="0.2">
      <c r="A713" s="3" t="s">
        <v>15739</v>
      </c>
      <c r="B713" s="3" t="s">
        <v>14359</v>
      </c>
      <c r="C713" s="3" t="s">
        <v>2432</v>
      </c>
      <c r="D713" s="3" t="s">
        <v>15740</v>
      </c>
      <c r="E713" t="s">
        <v>5024</v>
      </c>
      <c r="F713" t="s">
        <v>2433</v>
      </c>
      <c r="G713" t="s">
        <v>3459</v>
      </c>
      <c r="H713" t="s">
        <v>5021</v>
      </c>
    </row>
    <row r="714" spans="1:8" hidden="1" x14ac:dyDescent="0.2">
      <c r="A714" s="3" t="s">
        <v>15741</v>
      </c>
      <c r="B714" s="3" t="s">
        <v>14359</v>
      </c>
      <c r="C714" s="3" t="s">
        <v>2434</v>
      </c>
      <c r="D714" s="3" t="s">
        <v>15742</v>
      </c>
      <c r="E714" t="s">
        <v>5009</v>
      </c>
      <c r="F714" t="s">
        <v>2435</v>
      </c>
      <c r="G714" t="s">
        <v>3459</v>
      </c>
      <c r="H714" t="s">
        <v>5006</v>
      </c>
    </row>
    <row r="715" spans="1:8" hidden="1" x14ac:dyDescent="0.2">
      <c r="A715" s="3" t="s">
        <v>15743</v>
      </c>
      <c r="B715" s="3" t="s">
        <v>14359</v>
      </c>
      <c r="C715" s="3" t="s">
        <v>2436</v>
      </c>
      <c r="D715" s="3" t="s">
        <v>15744</v>
      </c>
      <c r="E715" t="s">
        <v>5017</v>
      </c>
      <c r="F715" t="s">
        <v>2437</v>
      </c>
      <c r="G715" t="s">
        <v>3459</v>
      </c>
      <c r="H715" t="s">
        <v>5014</v>
      </c>
    </row>
    <row r="716" spans="1:8" hidden="1" x14ac:dyDescent="0.2">
      <c r="A716" s="3" t="s">
        <v>15745</v>
      </c>
      <c r="B716" s="3" t="s">
        <v>14359</v>
      </c>
      <c r="C716" s="3" t="s">
        <v>2438</v>
      </c>
      <c r="D716" s="3" t="s">
        <v>15746</v>
      </c>
      <c r="E716" t="s">
        <v>19646</v>
      </c>
      <c r="F716" t="s">
        <v>2439</v>
      </c>
      <c r="G716" t="s">
        <v>3459</v>
      </c>
      <c r="H716" t="s">
        <v>3516</v>
      </c>
    </row>
    <row r="717" spans="1:8" hidden="1" x14ac:dyDescent="0.2">
      <c r="A717" s="3" t="s">
        <v>15747</v>
      </c>
      <c r="B717" s="3" t="s">
        <v>14359</v>
      </c>
      <c r="C717" s="3" t="s">
        <v>2440</v>
      </c>
      <c r="D717" s="3" t="s">
        <v>15748</v>
      </c>
      <c r="E717" t="s">
        <v>19647</v>
      </c>
      <c r="F717" t="s">
        <v>2441</v>
      </c>
      <c r="G717" t="s">
        <v>3459</v>
      </c>
      <c r="H717" t="s">
        <v>3819</v>
      </c>
    </row>
    <row r="718" spans="1:8" hidden="1" x14ac:dyDescent="0.2">
      <c r="A718" s="3" t="s">
        <v>15749</v>
      </c>
      <c r="B718" s="3" t="s">
        <v>14359</v>
      </c>
      <c r="C718" s="3" t="s">
        <v>2442</v>
      </c>
      <c r="D718" s="3" t="s">
        <v>15750</v>
      </c>
      <c r="E718" t="s">
        <v>19648</v>
      </c>
      <c r="F718" t="s">
        <v>2443</v>
      </c>
      <c r="G718" t="s">
        <v>3459</v>
      </c>
      <c r="H718" t="s">
        <v>814</v>
      </c>
    </row>
    <row r="719" spans="1:8" hidden="1" x14ac:dyDescent="0.2">
      <c r="A719" s="3" t="s">
        <v>15751</v>
      </c>
      <c r="B719" s="3" t="s">
        <v>14359</v>
      </c>
      <c r="C719" s="3" t="s">
        <v>2444</v>
      </c>
      <c r="D719" s="3" t="s">
        <v>15752</v>
      </c>
      <c r="E719" t="s">
        <v>5001</v>
      </c>
      <c r="F719" t="s">
        <v>2445</v>
      </c>
      <c r="G719" t="s">
        <v>3459</v>
      </c>
      <c r="H719" t="s">
        <v>4998</v>
      </c>
    </row>
    <row r="720" spans="1:8" hidden="1" x14ac:dyDescent="0.2">
      <c r="A720" s="3" t="s">
        <v>15753</v>
      </c>
      <c r="B720" s="3" t="s">
        <v>14359</v>
      </c>
      <c r="C720" s="3" t="s">
        <v>2446</v>
      </c>
      <c r="D720" s="3" t="s">
        <v>15754</v>
      </c>
      <c r="E720" t="s">
        <v>19649</v>
      </c>
      <c r="F720" t="s">
        <v>2447</v>
      </c>
      <c r="G720" t="s">
        <v>3459</v>
      </c>
      <c r="H720" t="s">
        <v>3516</v>
      </c>
    </row>
    <row r="721" spans="1:8" hidden="1" x14ac:dyDescent="0.2">
      <c r="A721" s="3" t="s">
        <v>15755</v>
      </c>
      <c r="B721" s="3" t="s">
        <v>14359</v>
      </c>
      <c r="C721" s="3" t="s">
        <v>2448</v>
      </c>
      <c r="D721" s="3" t="s">
        <v>15756</v>
      </c>
      <c r="E721" t="s">
        <v>3527</v>
      </c>
      <c r="F721" t="s">
        <v>2449</v>
      </c>
      <c r="G721" t="s">
        <v>3436</v>
      </c>
      <c r="H721" t="s">
        <v>3524</v>
      </c>
    </row>
    <row r="722" spans="1:8" hidden="1" x14ac:dyDescent="0.2">
      <c r="A722" s="3" t="s">
        <v>15757</v>
      </c>
      <c r="B722" s="3" t="s">
        <v>14359</v>
      </c>
      <c r="C722" s="3" t="s">
        <v>2450</v>
      </c>
      <c r="D722" s="3" t="s">
        <v>15758</v>
      </c>
      <c r="E722" t="s">
        <v>3537</v>
      </c>
      <c r="F722" t="s">
        <v>2451</v>
      </c>
      <c r="G722" t="s">
        <v>3533</v>
      </c>
      <c r="H722" t="s">
        <v>3534</v>
      </c>
    </row>
    <row r="723" spans="1:8" hidden="1" x14ac:dyDescent="0.2">
      <c r="A723" s="3" t="s">
        <v>15759</v>
      </c>
      <c r="B723" s="3" t="s">
        <v>14359</v>
      </c>
      <c r="C723" s="3" t="s">
        <v>2452</v>
      </c>
      <c r="D723" s="3" t="s">
        <v>15760</v>
      </c>
      <c r="E723" t="s">
        <v>5039</v>
      </c>
      <c r="F723" t="s">
        <v>2453</v>
      </c>
      <c r="G723" t="s">
        <v>3459</v>
      </c>
      <c r="H723" t="s">
        <v>5021</v>
      </c>
    </row>
    <row r="724" spans="1:8" hidden="1" x14ac:dyDescent="0.2">
      <c r="A724" s="3" t="s">
        <v>15761</v>
      </c>
      <c r="B724" s="3" t="s">
        <v>14359</v>
      </c>
      <c r="C724" s="3" t="s">
        <v>2454</v>
      </c>
      <c r="D724" s="3" t="s">
        <v>15762</v>
      </c>
      <c r="E724" t="s">
        <v>19650</v>
      </c>
      <c r="F724" t="s">
        <v>2455</v>
      </c>
      <c r="G724" t="s">
        <v>3459</v>
      </c>
      <c r="H724" t="s">
        <v>4998</v>
      </c>
    </row>
    <row r="725" spans="1:8" hidden="1" x14ac:dyDescent="0.2">
      <c r="A725" s="3" t="s">
        <v>15763</v>
      </c>
      <c r="B725" s="3" t="s">
        <v>14359</v>
      </c>
      <c r="C725" s="3" t="s">
        <v>2456</v>
      </c>
      <c r="D725" s="3" t="s">
        <v>15764</v>
      </c>
      <c r="E725" t="s">
        <v>19651</v>
      </c>
      <c r="F725" t="s">
        <v>2457</v>
      </c>
      <c r="G725" t="s">
        <v>3459</v>
      </c>
      <c r="H725" t="s">
        <v>3516</v>
      </c>
    </row>
    <row r="726" spans="1:8" hidden="1" x14ac:dyDescent="0.2">
      <c r="A726" s="3" t="s">
        <v>15765</v>
      </c>
      <c r="B726" s="3" t="s">
        <v>14359</v>
      </c>
      <c r="C726" s="3" t="s">
        <v>2458</v>
      </c>
      <c r="D726" s="3" t="s">
        <v>15766</v>
      </c>
      <c r="E726" t="s">
        <v>3606</v>
      </c>
      <c r="F726" t="s">
        <v>2459</v>
      </c>
      <c r="G726" t="s">
        <v>3436</v>
      </c>
      <c r="H726" t="s">
        <v>3603</v>
      </c>
    </row>
    <row r="727" spans="1:8" hidden="1" x14ac:dyDescent="0.2">
      <c r="A727" s="3" t="s">
        <v>15767</v>
      </c>
      <c r="B727" s="3" t="s">
        <v>14359</v>
      </c>
      <c r="C727" s="3" t="s">
        <v>2460</v>
      </c>
      <c r="D727" s="3" t="s">
        <v>15768</v>
      </c>
      <c r="E727" t="s">
        <v>19652</v>
      </c>
      <c r="F727" t="s">
        <v>2461</v>
      </c>
      <c r="G727" t="s">
        <v>3436</v>
      </c>
      <c r="H727" t="s">
        <v>3586</v>
      </c>
    </row>
    <row r="728" spans="1:8" hidden="1" x14ac:dyDescent="0.2">
      <c r="A728" s="3" t="s">
        <v>15769</v>
      </c>
      <c r="B728" s="3" t="s">
        <v>14359</v>
      </c>
      <c r="C728" s="3" t="s">
        <v>2462</v>
      </c>
      <c r="D728" s="3" t="s">
        <v>15770</v>
      </c>
      <c r="E728" t="s">
        <v>3614</v>
      </c>
      <c r="F728" t="s">
        <v>2463</v>
      </c>
      <c r="G728" t="s">
        <v>3436</v>
      </c>
      <c r="H728" t="s">
        <v>3603</v>
      </c>
    </row>
    <row r="729" spans="1:8" hidden="1" x14ac:dyDescent="0.2">
      <c r="A729" s="3" t="s">
        <v>15771</v>
      </c>
      <c r="B729" s="3" t="s">
        <v>14359</v>
      </c>
      <c r="C729" s="3" t="s">
        <v>2464</v>
      </c>
      <c r="D729" s="3" t="s">
        <v>15772</v>
      </c>
      <c r="E729" t="s">
        <v>5107</v>
      </c>
      <c r="F729" t="s">
        <v>2465</v>
      </c>
      <c r="G729" t="s">
        <v>3863</v>
      </c>
      <c r="H729" t="s">
        <v>4942</v>
      </c>
    </row>
    <row r="730" spans="1:8" hidden="1" x14ac:dyDescent="0.2">
      <c r="A730" s="3" t="s">
        <v>15773</v>
      </c>
      <c r="B730" s="3" t="s">
        <v>14359</v>
      </c>
      <c r="C730" s="3" t="s">
        <v>2466</v>
      </c>
      <c r="D730" s="3" t="s">
        <v>15774</v>
      </c>
      <c r="E730" t="s">
        <v>5085</v>
      </c>
      <c r="F730" t="s">
        <v>2467</v>
      </c>
      <c r="G730" t="s">
        <v>3863</v>
      </c>
      <c r="H730" t="s">
        <v>5082</v>
      </c>
    </row>
    <row r="731" spans="1:8" hidden="1" x14ac:dyDescent="0.2">
      <c r="A731" s="3" t="s">
        <v>15775</v>
      </c>
      <c r="B731" s="3" t="s">
        <v>14359</v>
      </c>
      <c r="C731" s="3" t="s">
        <v>2468</v>
      </c>
      <c r="D731" s="3" t="s">
        <v>15776</v>
      </c>
      <c r="E731" t="s">
        <v>19653</v>
      </c>
      <c r="F731" t="s">
        <v>2469</v>
      </c>
      <c r="G731" t="s">
        <v>3448</v>
      </c>
      <c r="H731" t="s">
        <v>3449</v>
      </c>
    </row>
    <row r="732" spans="1:8" hidden="1" x14ac:dyDescent="0.2">
      <c r="A732" s="3" t="s">
        <v>15777</v>
      </c>
      <c r="B732" s="3" t="s">
        <v>14359</v>
      </c>
      <c r="C732" s="3" t="s">
        <v>2470</v>
      </c>
      <c r="D732" s="3" t="s">
        <v>15778</v>
      </c>
      <c r="E732" t="s">
        <v>19654</v>
      </c>
      <c r="F732" t="s">
        <v>2471</v>
      </c>
      <c r="G732" t="s">
        <v>3459</v>
      </c>
      <c r="H732" t="s">
        <v>3560</v>
      </c>
    </row>
    <row r="733" spans="1:8" hidden="1" x14ac:dyDescent="0.2">
      <c r="A733" s="3" t="s">
        <v>15779</v>
      </c>
      <c r="B733" s="3" t="s">
        <v>14359</v>
      </c>
      <c r="C733" s="3" t="s">
        <v>2472</v>
      </c>
      <c r="D733" s="3" t="s">
        <v>15780</v>
      </c>
      <c r="E733" t="s">
        <v>19655</v>
      </c>
      <c r="F733" t="s">
        <v>2473</v>
      </c>
      <c r="G733" t="s">
        <v>3459</v>
      </c>
      <c r="H733" t="s">
        <v>3569</v>
      </c>
    </row>
    <row r="734" spans="1:8" hidden="1" x14ac:dyDescent="0.2">
      <c r="A734" s="3" t="s">
        <v>15781</v>
      </c>
      <c r="B734" s="3" t="s">
        <v>14359</v>
      </c>
      <c r="C734" s="3" t="s">
        <v>2474</v>
      </c>
      <c r="D734" s="3" t="s">
        <v>15782</v>
      </c>
      <c r="E734" t="s">
        <v>3597</v>
      </c>
      <c r="F734" t="s">
        <v>2475</v>
      </c>
      <c r="G734" t="s">
        <v>3436</v>
      </c>
      <c r="H734" t="s">
        <v>3437</v>
      </c>
    </row>
    <row r="735" spans="1:8" hidden="1" x14ac:dyDescent="0.2">
      <c r="A735" s="3" t="s">
        <v>15783</v>
      </c>
      <c r="B735" s="3" t="s">
        <v>14359</v>
      </c>
      <c r="C735" s="3" t="s">
        <v>2476</v>
      </c>
      <c r="D735" s="3" t="s">
        <v>15784</v>
      </c>
      <c r="E735" t="s">
        <v>19656</v>
      </c>
      <c r="F735" t="s">
        <v>2477</v>
      </c>
      <c r="G735" t="s">
        <v>3436</v>
      </c>
      <c r="H735" t="s">
        <v>3498</v>
      </c>
    </row>
    <row r="736" spans="1:8" hidden="1" x14ac:dyDescent="0.2">
      <c r="A736" s="3" t="s">
        <v>15785</v>
      </c>
      <c r="B736" s="3" t="s">
        <v>14359</v>
      </c>
      <c r="C736" s="3" t="s">
        <v>2478</v>
      </c>
      <c r="D736" s="3" t="s">
        <v>15786</v>
      </c>
      <c r="E736" t="s">
        <v>3554</v>
      </c>
      <c r="F736" t="s">
        <v>2479</v>
      </c>
      <c r="G736" t="s">
        <v>3459</v>
      </c>
      <c r="H736" t="s">
        <v>3460</v>
      </c>
    </row>
    <row r="737" spans="1:8" hidden="1" x14ac:dyDescent="0.2">
      <c r="A737" s="3" t="s">
        <v>15787</v>
      </c>
      <c r="B737" s="3" t="s">
        <v>14359</v>
      </c>
      <c r="C737" s="3" t="s">
        <v>2480</v>
      </c>
      <c r="D737" s="3" t="s">
        <v>15788</v>
      </c>
      <c r="E737" t="s">
        <v>19657</v>
      </c>
      <c r="F737" t="s">
        <v>2481</v>
      </c>
      <c r="G737" t="s">
        <v>3459</v>
      </c>
      <c r="H737" t="s">
        <v>3560</v>
      </c>
    </row>
    <row r="738" spans="1:8" hidden="1" x14ac:dyDescent="0.2">
      <c r="A738" s="3" t="s">
        <v>15789</v>
      </c>
      <c r="B738" s="3" t="s">
        <v>14359</v>
      </c>
      <c r="C738" s="3" t="s">
        <v>2482</v>
      </c>
      <c r="D738" s="3" t="s">
        <v>15790</v>
      </c>
      <c r="E738" t="s">
        <v>19658</v>
      </c>
      <c r="F738" t="s">
        <v>19093</v>
      </c>
      <c r="G738" t="s">
        <v>3533</v>
      </c>
      <c r="H738" t="s">
        <v>3620</v>
      </c>
    </row>
    <row r="739" spans="1:8" hidden="1" x14ac:dyDescent="0.2">
      <c r="A739" s="3" t="s">
        <v>15791</v>
      </c>
      <c r="B739" s="3" t="s">
        <v>14359</v>
      </c>
      <c r="C739" s="3" t="s">
        <v>2483</v>
      </c>
      <c r="D739" s="3" t="s">
        <v>15792</v>
      </c>
      <c r="E739" t="s">
        <v>19659</v>
      </c>
      <c r="F739" t="s">
        <v>2484</v>
      </c>
      <c r="G739" t="s">
        <v>3533</v>
      </c>
      <c r="H739" t="s">
        <v>3620</v>
      </c>
    </row>
    <row r="740" spans="1:8" hidden="1" x14ac:dyDescent="0.2">
      <c r="A740" s="3" t="s">
        <v>15793</v>
      </c>
      <c r="B740" s="3" t="s">
        <v>14359</v>
      </c>
      <c r="C740" s="3" t="s">
        <v>2485</v>
      </c>
      <c r="D740" s="3" t="s">
        <v>15794</v>
      </c>
      <c r="E740" t="s">
        <v>19660</v>
      </c>
      <c r="F740" t="s">
        <v>19092</v>
      </c>
      <c r="G740" t="s">
        <v>3533</v>
      </c>
      <c r="H740" t="s">
        <v>3620</v>
      </c>
    </row>
    <row r="741" spans="1:8" hidden="1" x14ac:dyDescent="0.2">
      <c r="A741" s="3" t="s">
        <v>15795</v>
      </c>
      <c r="B741" s="3" t="s">
        <v>14359</v>
      </c>
      <c r="C741" s="3" t="s">
        <v>2486</v>
      </c>
      <c r="D741" s="3" t="s">
        <v>15796</v>
      </c>
      <c r="E741" t="s">
        <v>19661</v>
      </c>
      <c r="F741" t="s">
        <v>2487</v>
      </c>
      <c r="G741" t="s">
        <v>3459</v>
      </c>
      <c r="H741" t="s">
        <v>3560</v>
      </c>
    </row>
    <row r="742" spans="1:8" hidden="1" x14ac:dyDescent="0.2">
      <c r="A742" s="3" t="s">
        <v>15797</v>
      </c>
      <c r="B742" s="3" t="s">
        <v>14359</v>
      </c>
      <c r="C742" s="3" t="s">
        <v>2488</v>
      </c>
      <c r="D742" s="3" t="s">
        <v>15798</v>
      </c>
      <c r="E742" t="s">
        <v>19662</v>
      </c>
      <c r="F742" t="s">
        <v>2489</v>
      </c>
      <c r="G742" t="s">
        <v>3436</v>
      </c>
      <c r="H742" t="s">
        <v>3437</v>
      </c>
    </row>
    <row r="743" spans="1:8" hidden="1" x14ac:dyDescent="0.2">
      <c r="A743" s="3" t="s">
        <v>15799</v>
      </c>
      <c r="B743" s="3" t="s">
        <v>14359</v>
      </c>
      <c r="C743" s="3" t="s">
        <v>2490</v>
      </c>
      <c r="D743" s="3" t="s">
        <v>15800</v>
      </c>
      <c r="E743" t="s">
        <v>19663</v>
      </c>
      <c r="F743" t="s">
        <v>2491</v>
      </c>
      <c r="G743" t="s">
        <v>3459</v>
      </c>
      <c r="H743" t="s">
        <v>3768</v>
      </c>
    </row>
    <row r="744" spans="1:8" hidden="1" x14ac:dyDescent="0.2">
      <c r="A744" s="3" t="s">
        <v>15801</v>
      </c>
      <c r="B744" s="3" t="s">
        <v>14359</v>
      </c>
      <c r="C744" s="3" t="s">
        <v>2492</v>
      </c>
      <c r="D744" s="3" t="s">
        <v>15802</v>
      </c>
      <c r="E744" t="s">
        <v>19664</v>
      </c>
      <c r="F744" t="s">
        <v>2493</v>
      </c>
      <c r="G744" t="s">
        <v>3533</v>
      </c>
      <c r="H744" t="s">
        <v>3705</v>
      </c>
    </row>
    <row r="745" spans="1:8" hidden="1" x14ac:dyDescent="0.2">
      <c r="A745" s="3" t="s">
        <v>15803</v>
      </c>
      <c r="B745" s="3" t="s">
        <v>14359</v>
      </c>
      <c r="C745" s="3" t="s">
        <v>2494</v>
      </c>
      <c r="D745" s="3" t="s">
        <v>15804</v>
      </c>
      <c r="E745" t="s">
        <v>19665</v>
      </c>
      <c r="F745" t="s">
        <v>2495</v>
      </c>
      <c r="G745" t="s">
        <v>3479</v>
      </c>
      <c r="H745" t="s">
        <v>3480</v>
      </c>
    </row>
    <row r="746" spans="1:8" hidden="1" x14ac:dyDescent="0.2">
      <c r="A746" s="3" t="s">
        <v>15805</v>
      </c>
      <c r="B746" s="3" t="s">
        <v>14359</v>
      </c>
      <c r="C746" s="3" t="s">
        <v>2496</v>
      </c>
      <c r="D746" s="3" t="s">
        <v>15806</v>
      </c>
      <c r="E746" t="s">
        <v>19666</v>
      </c>
      <c r="F746" t="s">
        <v>2497</v>
      </c>
      <c r="G746" t="s">
        <v>3459</v>
      </c>
      <c r="H746" t="s">
        <v>3758</v>
      </c>
    </row>
    <row r="747" spans="1:8" hidden="1" x14ac:dyDescent="0.2">
      <c r="A747" s="3" t="s">
        <v>15807</v>
      </c>
      <c r="B747" s="3" t="s">
        <v>14359</v>
      </c>
      <c r="C747" s="3" t="s">
        <v>2498</v>
      </c>
      <c r="D747" s="3" t="s">
        <v>15808</v>
      </c>
      <c r="E747" t="s">
        <v>19667</v>
      </c>
      <c r="F747" t="s">
        <v>2499</v>
      </c>
      <c r="G747" t="s">
        <v>3436</v>
      </c>
      <c r="H747" t="s">
        <v>3793</v>
      </c>
    </row>
    <row r="748" spans="1:8" hidden="1" x14ac:dyDescent="0.2">
      <c r="A748" s="3" t="s">
        <v>15809</v>
      </c>
      <c r="B748" s="3" t="s">
        <v>14359</v>
      </c>
      <c r="C748" s="3" t="s">
        <v>2500</v>
      </c>
      <c r="D748" s="3" t="s">
        <v>15810</v>
      </c>
      <c r="E748" t="s">
        <v>19668</v>
      </c>
      <c r="F748" t="s">
        <v>2501</v>
      </c>
      <c r="G748" t="s">
        <v>3436</v>
      </c>
      <c r="H748" t="s">
        <v>3524</v>
      </c>
    </row>
    <row r="749" spans="1:8" hidden="1" x14ac:dyDescent="0.2">
      <c r="A749" s="3" t="s">
        <v>15811</v>
      </c>
      <c r="B749" s="3" t="s">
        <v>14359</v>
      </c>
      <c r="C749" s="3" t="s">
        <v>419</v>
      </c>
      <c r="D749" s="3" t="s">
        <v>15812</v>
      </c>
      <c r="E749" t="s">
        <v>418</v>
      </c>
      <c r="F749" t="s">
        <v>13758</v>
      </c>
      <c r="G749" t="s">
        <v>3436</v>
      </c>
      <c r="H749" t="s">
        <v>3785</v>
      </c>
    </row>
    <row r="750" spans="1:8" hidden="1" x14ac:dyDescent="0.2">
      <c r="A750" s="3" t="s">
        <v>15813</v>
      </c>
      <c r="B750" s="3" t="s">
        <v>14359</v>
      </c>
      <c r="C750" s="3" t="s">
        <v>11</v>
      </c>
      <c r="D750" s="3" t="s">
        <v>15814</v>
      </c>
      <c r="E750" t="s">
        <v>10</v>
      </c>
      <c r="F750" t="s">
        <v>13756</v>
      </c>
      <c r="G750" t="s">
        <v>3459</v>
      </c>
      <c r="H750" t="s">
        <v>3740</v>
      </c>
    </row>
    <row r="751" spans="1:8" hidden="1" x14ac:dyDescent="0.2">
      <c r="A751" s="3" t="s">
        <v>15815</v>
      </c>
      <c r="B751" s="3" t="s">
        <v>14359</v>
      </c>
      <c r="C751" s="3" t="s">
        <v>2502</v>
      </c>
      <c r="D751" s="3" t="s">
        <v>15816</v>
      </c>
      <c r="E751" t="s">
        <v>346</v>
      </c>
      <c r="F751" t="s">
        <v>2503</v>
      </c>
      <c r="G751" t="s">
        <v>3459</v>
      </c>
      <c r="H751" t="s">
        <v>3749</v>
      </c>
    </row>
    <row r="752" spans="1:8" hidden="1" x14ac:dyDescent="0.2">
      <c r="A752" s="3" t="s">
        <v>15817</v>
      </c>
      <c r="B752" s="3" t="s">
        <v>14359</v>
      </c>
      <c r="C752" s="3" t="s">
        <v>2504</v>
      </c>
      <c r="D752" s="3" t="s">
        <v>15818</v>
      </c>
      <c r="E752" t="s">
        <v>3681</v>
      </c>
      <c r="F752" t="s">
        <v>2505</v>
      </c>
      <c r="G752" t="s">
        <v>3436</v>
      </c>
      <c r="H752" t="s">
        <v>3524</v>
      </c>
    </row>
    <row r="753" spans="1:8" hidden="1" x14ac:dyDescent="0.2">
      <c r="A753" s="3" t="s">
        <v>15819</v>
      </c>
      <c r="B753" s="3" t="s">
        <v>14359</v>
      </c>
      <c r="C753" s="3" t="s">
        <v>2506</v>
      </c>
      <c r="D753" s="3" t="s">
        <v>15820</v>
      </c>
      <c r="E753" t="s">
        <v>19669</v>
      </c>
      <c r="F753" t="s">
        <v>2507</v>
      </c>
      <c r="G753" t="s">
        <v>3436</v>
      </c>
      <c r="H753" t="s">
        <v>3670</v>
      </c>
    </row>
    <row r="754" spans="1:8" hidden="1" x14ac:dyDescent="0.2">
      <c r="A754" s="3" t="s">
        <v>15821</v>
      </c>
      <c r="B754" s="3" t="s">
        <v>14359</v>
      </c>
      <c r="C754" s="3" t="s">
        <v>2508</v>
      </c>
      <c r="D754" s="3" t="s">
        <v>15822</v>
      </c>
      <c r="E754" t="s">
        <v>3690</v>
      </c>
      <c r="F754" t="s">
        <v>2509</v>
      </c>
      <c r="G754" t="s">
        <v>3436</v>
      </c>
      <c r="H754" t="s">
        <v>3687</v>
      </c>
    </row>
    <row r="755" spans="1:8" hidden="1" x14ac:dyDescent="0.2">
      <c r="A755" s="3" t="s">
        <v>15823</v>
      </c>
      <c r="B755" s="3" t="s">
        <v>14359</v>
      </c>
      <c r="C755" s="3" t="s">
        <v>2510</v>
      </c>
      <c r="D755" s="3" t="s">
        <v>15824</v>
      </c>
      <c r="E755" t="s">
        <v>19670</v>
      </c>
      <c r="F755" t="s">
        <v>2511</v>
      </c>
      <c r="G755" t="s">
        <v>3436</v>
      </c>
      <c r="H755" t="s">
        <v>3661</v>
      </c>
    </row>
    <row r="756" spans="1:8" hidden="1" x14ac:dyDescent="0.2">
      <c r="A756" s="3" t="s">
        <v>15825</v>
      </c>
      <c r="B756" s="3" t="s">
        <v>14359</v>
      </c>
      <c r="C756" s="3" t="s">
        <v>2512</v>
      </c>
      <c r="D756" s="3" t="s">
        <v>15826</v>
      </c>
      <c r="E756" t="s">
        <v>19671</v>
      </c>
      <c r="F756" t="s">
        <v>2513</v>
      </c>
      <c r="G756" t="s">
        <v>3863</v>
      </c>
      <c r="H756" t="s">
        <v>3864</v>
      </c>
    </row>
    <row r="757" spans="1:8" hidden="1" x14ac:dyDescent="0.2">
      <c r="A757" s="3" t="s">
        <v>15827</v>
      </c>
      <c r="B757" s="3" t="s">
        <v>14359</v>
      </c>
      <c r="C757" s="3" t="s">
        <v>2514</v>
      </c>
      <c r="D757" s="3" t="s">
        <v>15828</v>
      </c>
      <c r="E757" t="s">
        <v>19672</v>
      </c>
      <c r="F757" t="s">
        <v>2515</v>
      </c>
      <c r="G757" t="s">
        <v>3459</v>
      </c>
      <c r="H757" t="s">
        <v>3836</v>
      </c>
    </row>
    <row r="758" spans="1:8" hidden="1" x14ac:dyDescent="0.2">
      <c r="A758" s="3" t="s">
        <v>15829</v>
      </c>
      <c r="B758" s="3" t="s">
        <v>14359</v>
      </c>
      <c r="C758" s="3" t="s">
        <v>2516</v>
      </c>
      <c r="D758" s="3" t="s">
        <v>15830</v>
      </c>
      <c r="E758" t="s">
        <v>19673</v>
      </c>
      <c r="F758" t="s">
        <v>2517</v>
      </c>
      <c r="G758" t="s">
        <v>3853</v>
      </c>
      <c r="H758" t="s">
        <v>3854</v>
      </c>
    </row>
    <row r="759" spans="1:8" hidden="1" x14ac:dyDescent="0.2">
      <c r="A759" s="3" t="s">
        <v>15831</v>
      </c>
      <c r="B759" s="3" t="s">
        <v>14359</v>
      </c>
      <c r="C759" s="3" t="s">
        <v>2518</v>
      </c>
      <c r="D759" s="3" t="s">
        <v>15832</v>
      </c>
      <c r="E759" t="s">
        <v>19674</v>
      </c>
      <c r="F759" t="s">
        <v>19094</v>
      </c>
      <c r="G759" t="s">
        <v>3448</v>
      </c>
      <c r="H759" t="s">
        <v>4133</v>
      </c>
    </row>
    <row r="760" spans="1:8" hidden="1" x14ac:dyDescent="0.2">
      <c r="A760" s="3" t="s">
        <v>15833</v>
      </c>
      <c r="B760" s="3" t="s">
        <v>14359</v>
      </c>
      <c r="C760" s="3" t="s">
        <v>587</v>
      </c>
      <c r="D760" s="3" t="s">
        <v>15834</v>
      </c>
      <c r="E760" t="s">
        <v>586</v>
      </c>
      <c r="F760" t="s">
        <v>13761</v>
      </c>
      <c r="G760" t="s">
        <v>3436</v>
      </c>
      <c r="H760" t="s">
        <v>3906</v>
      </c>
    </row>
    <row r="761" spans="1:8" hidden="1" x14ac:dyDescent="0.2">
      <c r="A761" s="3" t="s">
        <v>15835</v>
      </c>
      <c r="B761" s="3" t="s">
        <v>14359</v>
      </c>
      <c r="C761" s="3" t="s">
        <v>2519</v>
      </c>
      <c r="D761" s="3" t="s">
        <v>15836</v>
      </c>
      <c r="E761" t="s">
        <v>19675</v>
      </c>
      <c r="F761" t="s">
        <v>2520</v>
      </c>
      <c r="G761" t="s">
        <v>3459</v>
      </c>
      <c r="H761" t="s">
        <v>3768</v>
      </c>
    </row>
    <row r="762" spans="1:8" hidden="1" x14ac:dyDescent="0.2">
      <c r="A762" s="3" t="s">
        <v>15837</v>
      </c>
      <c r="B762" s="3" t="s">
        <v>14359</v>
      </c>
      <c r="C762" s="3" t="s">
        <v>2521</v>
      </c>
      <c r="D762" s="3" t="s">
        <v>15838</v>
      </c>
      <c r="E762" t="s">
        <v>19676</v>
      </c>
      <c r="F762" t="s">
        <v>2522</v>
      </c>
      <c r="G762" t="s">
        <v>3436</v>
      </c>
      <c r="H762" t="s">
        <v>3603</v>
      </c>
    </row>
    <row r="763" spans="1:8" hidden="1" x14ac:dyDescent="0.2">
      <c r="A763" s="3" t="s">
        <v>15839</v>
      </c>
      <c r="B763" s="3" t="s">
        <v>14359</v>
      </c>
      <c r="C763" s="3" t="s">
        <v>2523</v>
      </c>
      <c r="D763" s="3" t="s">
        <v>15840</v>
      </c>
      <c r="E763" t="s">
        <v>19677</v>
      </c>
      <c r="F763" t="s">
        <v>2524</v>
      </c>
      <c r="G763" t="s">
        <v>3459</v>
      </c>
      <c r="H763" t="s">
        <v>3873</v>
      </c>
    </row>
    <row r="764" spans="1:8" hidden="1" x14ac:dyDescent="0.2">
      <c r="A764" s="3" t="s">
        <v>15841</v>
      </c>
      <c r="B764" s="3" t="s">
        <v>14359</v>
      </c>
      <c r="C764" s="3" t="s">
        <v>2525</v>
      </c>
      <c r="D764" s="3" t="s">
        <v>15842</v>
      </c>
      <c r="E764" t="s">
        <v>12433</v>
      </c>
      <c r="F764" t="s">
        <v>2526</v>
      </c>
      <c r="G764" t="s">
        <v>3436</v>
      </c>
      <c r="H764" t="s">
        <v>4215</v>
      </c>
    </row>
    <row r="765" spans="1:8" hidden="1" x14ac:dyDescent="0.2">
      <c r="A765" s="3" t="s">
        <v>15843</v>
      </c>
      <c r="B765" s="3" t="s">
        <v>14359</v>
      </c>
      <c r="C765" s="3" t="s">
        <v>2527</v>
      </c>
      <c r="D765" s="3" t="s">
        <v>15844</v>
      </c>
      <c r="E765" t="s">
        <v>19678</v>
      </c>
      <c r="F765" t="s">
        <v>2528</v>
      </c>
      <c r="G765" t="s">
        <v>3436</v>
      </c>
      <c r="H765" t="s">
        <v>3603</v>
      </c>
    </row>
    <row r="766" spans="1:8" hidden="1" x14ac:dyDescent="0.2">
      <c r="A766" s="3" t="s">
        <v>15845</v>
      </c>
      <c r="B766" s="3" t="s">
        <v>14359</v>
      </c>
      <c r="C766" s="3" t="s">
        <v>2529</v>
      </c>
      <c r="D766" s="3" t="s">
        <v>15846</v>
      </c>
      <c r="E766" t="s">
        <v>19679</v>
      </c>
      <c r="F766" t="s">
        <v>2530</v>
      </c>
      <c r="G766" t="s">
        <v>3436</v>
      </c>
      <c r="H766" t="s">
        <v>3603</v>
      </c>
    </row>
    <row r="767" spans="1:8" hidden="1" x14ac:dyDescent="0.2">
      <c r="A767" s="3" t="s">
        <v>15847</v>
      </c>
      <c r="B767" s="3" t="s">
        <v>14359</v>
      </c>
      <c r="C767" s="3" t="s">
        <v>2531</v>
      </c>
      <c r="D767" s="3" t="s">
        <v>15848</v>
      </c>
      <c r="E767" t="s">
        <v>19680</v>
      </c>
      <c r="F767" t="s">
        <v>2532</v>
      </c>
      <c r="G767" t="s">
        <v>3436</v>
      </c>
      <c r="H767" t="s">
        <v>3785</v>
      </c>
    </row>
    <row r="768" spans="1:8" hidden="1" x14ac:dyDescent="0.2">
      <c r="A768" s="3" t="s">
        <v>15849</v>
      </c>
      <c r="B768" s="3" t="s">
        <v>14359</v>
      </c>
      <c r="C768" s="3" t="s">
        <v>2533</v>
      </c>
      <c r="D768" s="3" t="s">
        <v>15850</v>
      </c>
      <c r="E768" t="s">
        <v>19681</v>
      </c>
      <c r="F768" t="s">
        <v>2534</v>
      </c>
      <c r="G768" t="s">
        <v>3459</v>
      </c>
      <c r="H768" t="s">
        <v>3810</v>
      </c>
    </row>
    <row r="769" spans="1:8" hidden="1" x14ac:dyDescent="0.2">
      <c r="A769" s="3" t="s">
        <v>15851</v>
      </c>
      <c r="B769" s="3" t="s">
        <v>14359</v>
      </c>
      <c r="C769" s="3" t="s">
        <v>2535</v>
      </c>
      <c r="D769" s="3" t="s">
        <v>15852</v>
      </c>
      <c r="E769" t="s">
        <v>19682</v>
      </c>
      <c r="F769" t="s">
        <v>2536</v>
      </c>
      <c r="G769" t="s">
        <v>3459</v>
      </c>
      <c r="H769" t="s">
        <v>3819</v>
      </c>
    </row>
    <row r="770" spans="1:8" hidden="1" x14ac:dyDescent="0.2">
      <c r="A770" s="3" t="s">
        <v>15853</v>
      </c>
      <c r="B770" s="3" t="s">
        <v>14359</v>
      </c>
      <c r="C770" s="3" t="s">
        <v>2537</v>
      </c>
      <c r="D770" s="3" t="s">
        <v>15854</v>
      </c>
      <c r="E770" t="s">
        <v>19683</v>
      </c>
      <c r="F770" t="s">
        <v>2538</v>
      </c>
      <c r="G770" t="s">
        <v>3459</v>
      </c>
      <c r="H770" t="s">
        <v>3516</v>
      </c>
    </row>
    <row r="771" spans="1:8" hidden="1" x14ac:dyDescent="0.2">
      <c r="A771" s="3" t="s">
        <v>15855</v>
      </c>
      <c r="B771" s="3" t="s">
        <v>14359</v>
      </c>
      <c r="C771" s="3" t="s">
        <v>2539</v>
      </c>
      <c r="D771" s="3" t="s">
        <v>15856</v>
      </c>
      <c r="E771" t="s">
        <v>19684</v>
      </c>
      <c r="F771" t="s">
        <v>2540</v>
      </c>
      <c r="G771" t="s">
        <v>3459</v>
      </c>
      <c r="H771" t="s">
        <v>4059</v>
      </c>
    </row>
    <row r="772" spans="1:8" hidden="1" x14ac:dyDescent="0.2">
      <c r="A772" s="3" t="s">
        <v>15857</v>
      </c>
      <c r="B772" s="3" t="s">
        <v>14359</v>
      </c>
      <c r="C772" s="3" t="s">
        <v>604</v>
      </c>
      <c r="D772" s="3" t="s">
        <v>15858</v>
      </c>
      <c r="E772" t="s">
        <v>603</v>
      </c>
      <c r="F772" t="s">
        <v>13766</v>
      </c>
      <c r="G772" t="s">
        <v>3436</v>
      </c>
      <c r="H772" t="s">
        <v>3498</v>
      </c>
    </row>
    <row r="773" spans="1:8" hidden="1" x14ac:dyDescent="0.2">
      <c r="A773" s="3" t="s">
        <v>15859</v>
      </c>
      <c r="B773" s="3" t="s">
        <v>14359</v>
      </c>
      <c r="C773" s="3" t="s">
        <v>2541</v>
      </c>
      <c r="D773" s="3" t="s">
        <v>15860</v>
      </c>
      <c r="E773" t="s">
        <v>19685</v>
      </c>
      <c r="F773" t="s">
        <v>2542</v>
      </c>
      <c r="G773" t="s">
        <v>3459</v>
      </c>
      <c r="H773" t="s">
        <v>4017</v>
      </c>
    </row>
    <row r="774" spans="1:8" hidden="1" x14ac:dyDescent="0.2">
      <c r="A774" s="3" t="s">
        <v>15861</v>
      </c>
      <c r="B774" s="3" t="s">
        <v>14359</v>
      </c>
      <c r="C774" s="3" t="s">
        <v>2543</v>
      </c>
      <c r="D774" s="3" t="s">
        <v>15862</v>
      </c>
      <c r="E774" t="s">
        <v>19686</v>
      </c>
      <c r="F774" t="s">
        <v>2544</v>
      </c>
      <c r="G774" t="s">
        <v>3436</v>
      </c>
      <c r="H774" t="s">
        <v>3603</v>
      </c>
    </row>
    <row r="775" spans="1:8" hidden="1" x14ac:dyDescent="0.2">
      <c r="A775" s="3" t="s">
        <v>15863</v>
      </c>
      <c r="B775" s="3" t="s">
        <v>14359</v>
      </c>
      <c r="C775" s="3" t="s">
        <v>2545</v>
      </c>
      <c r="D775" s="3" t="s">
        <v>15864</v>
      </c>
      <c r="E775" t="s">
        <v>19687</v>
      </c>
      <c r="F775" t="s">
        <v>2546</v>
      </c>
      <c r="G775" t="s">
        <v>3533</v>
      </c>
      <c r="H775" t="s">
        <v>4050</v>
      </c>
    </row>
    <row r="776" spans="1:8" hidden="1" x14ac:dyDescent="0.2">
      <c r="A776" s="3" t="s">
        <v>15865</v>
      </c>
      <c r="B776" s="3" t="s">
        <v>14359</v>
      </c>
      <c r="C776" s="3" t="s">
        <v>2547</v>
      </c>
      <c r="D776" s="3" t="s">
        <v>15866</v>
      </c>
      <c r="E776" t="s">
        <v>19688</v>
      </c>
      <c r="F776" t="s">
        <v>2548</v>
      </c>
      <c r="G776" t="s">
        <v>3479</v>
      </c>
      <c r="H776" t="s">
        <v>4075</v>
      </c>
    </row>
    <row r="777" spans="1:8" hidden="1" x14ac:dyDescent="0.2">
      <c r="A777" s="3" t="s">
        <v>15867</v>
      </c>
      <c r="B777" s="3" t="s">
        <v>14359</v>
      </c>
      <c r="C777" s="3" t="s">
        <v>2549</v>
      </c>
      <c r="D777" s="3" t="s">
        <v>15868</v>
      </c>
      <c r="E777" t="s">
        <v>19689</v>
      </c>
      <c r="F777" t="s">
        <v>2550</v>
      </c>
      <c r="G777" t="s">
        <v>3533</v>
      </c>
      <c r="H777" t="s">
        <v>3543</v>
      </c>
    </row>
    <row r="778" spans="1:8" hidden="1" x14ac:dyDescent="0.2">
      <c r="A778" s="3" t="s">
        <v>15869</v>
      </c>
      <c r="B778" s="3" t="s">
        <v>14359</v>
      </c>
      <c r="C778" s="3" t="s">
        <v>2551</v>
      </c>
      <c r="D778" s="3" t="s">
        <v>15870</v>
      </c>
      <c r="E778" t="s">
        <v>19690</v>
      </c>
      <c r="F778" t="s">
        <v>19095</v>
      </c>
      <c r="G778" t="s">
        <v>3533</v>
      </c>
      <c r="H778" t="s">
        <v>3543</v>
      </c>
    </row>
    <row r="779" spans="1:8" hidden="1" x14ac:dyDescent="0.2">
      <c r="A779" s="3" t="s">
        <v>15871</v>
      </c>
      <c r="B779" s="3" t="s">
        <v>14359</v>
      </c>
      <c r="C779" s="3" t="s">
        <v>649</v>
      </c>
      <c r="D779" s="3" t="s">
        <v>15872</v>
      </c>
      <c r="E779" t="s">
        <v>648</v>
      </c>
      <c r="F779" t="s">
        <v>13767</v>
      </c>
      <c r="G779" t="s">
        <v>3436</v>
      </c>
      <c r="H779" t="s">
        <v>3524</v>
      </c>
    </row>
    <row r="780" spans="1:8" hidden="1" x14ac:dyDescent="0.2">
      <c r="A780" s="3" t="s">
        <v>15873</v>
      </c>
      <c r="B780" s="3" t="s">
        <v>14359</v>
      </c>
      <c r="C780" s="3" t="s">
        <v>2552</v>
      </c>
      <c r="D780" s="3" t="s">
        <v>15874</v>
      </c>
      <c r="E780" t="s">
        <v>19691</v>
      </c>
      <c r="F780" t="s">
        <v>2553</v>
      </c>
      <c r="G780" t="s">
        <v>3459</v>
      </c>
      <c r="H780" t="s">
        <v>4017</v>
      </c>
    </row>
    <row r="781" spans="1:8" hidden="1" x14ac:dyDescent="0.2">
      <c r="A781" s="3" t="s">
        <v>15875</v>
      </c>
      <c r="B781" s="3" t="s">
        <v>14359</v>
      </c>
      <c r="C781" s="3" t="s">
        <v>2554</v>
      </c>
      <c r="D781" s="3" t="s">
        <v>15876</v>
      </c>
      <c r="E781" t="s">
        <v>19692</v>
      </c>
      <c r="F781" t="s">
        <v>2555</v>
      </c>
      <c r="G781" t="s">
        <v>3479</v>
      </c>
      <c r="H781" t="s">
        <v>3480</v>
      </c>
    </row>
    <row r="782" spans="1:8" hidden="1" x14ac:dyDescent="0.2">
      <c r="A782" s="3" t="s">
        <v>15877</v>
      </c>
      <c r="B782" s="3" t="s">
        <v>14359</v>
      </c>
      <c r="C782" s="3" t="s">
        <v>591</v>
      </c>
      <c r="D782" s="3" t="s">
        <v>15878</v>
      </c>
      <c r="E782" t="s">
        <v>590</v>
      </c>
      <c r="F782" t="s">
        <v>13762</v>
      </c>
      <c r="G782" t="s">
        <v>3436</v>
      </c>
      <c r="H782" t="s">
        <v>3498</v>
      </c>
    </row>
    <row r="783" spans="1:8" hidden="1" x14ac:dyDescent="0.2">
      <c r="A783" s="3" t="s">
        <v>15879</v>
      </c>
      <c r="B783" s="3" t="s">
        <v>14359</v>
      </c>
      <c r="C783" s="3" t="s">
        <v>2556</v>
      </c>
      <c r="D783" s="3" t="s">
        <v>15880</v>
      </c>
      <c r="E783" t="s">
        <v>19693</v>
      </c>
      <c r="F783" t="s">
        <v>2557</v>
      </c>
      <c r="G783" t="s">
        <v>3448</v>
      </c>
      <c r="H783" t="s">
        <v>3449</v>
      </c>
    </row>
    <row r="784" spans="1:8" hidden="1" x14ac:dyDescent="0.2">
      <c r="A784" s="3" t="s">
        <v>15881</v>
      </c>
      <c r="B784" s="3" t="s">
        <v>14359</v>
      </c>
      <c r="C784" s="3" t="s">
        <v>2558</v>
      </c>
      <c r="D784" s="3" t="s">
        <v>15882</v>
      </c>
      <c r="E784" t="s">
        <v>19694</v>
      </c>
      <c r="F784" t="s">
        <v>2559</v>
      </c>
      <c r="G784" t="s">
        <v>3459</v>
      </c>
      <c r="H784" t="s">
        <v>3937</v>
      </c>
    </row>
    <row r="785" spans="1:8" hidden="1" x14ac:dyDescent="0.2">
      <c r="A785" s="3" t="s">
        <v>15883</v>
      </c>
      <c r="B785" s="3" t="s">
        <v>14359</v>
      </c>
      <c r="C785" s="3" t="s">
        <v>2560</v>
      </c>
      <c r="D785" s="3" t="s">
        <v>15884</v>
      </c>
      <c r="E785" t="s">
        <v>19695</v>
      </c>
      <c r="F785" t="s">
        <v>2561</v>
      </c>
      <c r="G785" t="s">
        <v>3436</v>
      </c>
      <c r="H785" t="s">
        <v>3586</v>
      </c>
    </row>
    <row r="786" spans="1:8" hidden="1" x14ac:dyDescent="0.2">
      <c r="A786" s="3" t="s">
        <v>15885</v>
      </c>
      <c r="B786" s="3" t="s">
        <v>14359</v>
      </c>
      <c r="C786" s="3" t="s">
        <v>2562</v>
      </c>
      <c r="D786" s="3" t="s">
        <v>15886</v>
      </c>
      <c r="E786" t="s">
        <v>19696</v>
      </c>
      <c r="F786" t="s">
        <v>2563</v>
      </c>
      <c r="G786" t="s">
        <v>3436</v>
      </c>
      <c r="H786" t="s">
        <v>3661</v>
      </c>
    </row>
    <row r="787" spans="1:8" hidden="1" x14ac:dyDescent="0.2">
      <c r="A787" s="3" t="s">
        <v>15887</v>
      </c>
      <c r="B787" s="3" t="s">
        <v>14359</v>
      </c>
      <c r="C787" s="3" t="s">
        <v>2564</v>
      </c>
      <c r="D787" s="3" t="s">
        <v>15888</v>
      </c>
      <c r="E787" t="s">
        <v>19697</v>
      </c>
      <c r="F787" t="s">
        <v>2565</v>
      </c>
      <c r="G787" t="s">
        <v>3436</v>
      </c>
      <c r="H787" t="s">
        <v>3661</v>
      </c>
    </row>
    <row r="788" spans="1:8" hidden="1" x14ac:dyDescent="0.2">
      <c r="A788" s="3" t="s">
        <v>15889</v>
      </c>
      <c r="B788" s="3" t="s">
        <v>14359</v>
      </c>
      <c r="C788" s="3" t="s">
        <v>2566</v>
      </c>
      <c r="D788" s="3" t="s">
        <v>15890</v>
      </c>
      <c r="E788" t="s">
        <v>19698</v>
      </c>
      <c r="F788" t="s">
        <v>2567</v>
      </c>
      <c r="G788" t="s">
        <v>3448</v>
      </c>
      <c r="H788" t="s">
        <v>4124</v>
      </c>
    </row>
    <row r="789" spans="1:8" hidden="1" x14ac:dyDescent="0.2">
      <c r="A789" s="3" t="s">
        <v>15891</v>
      </c>
      <c r="B789" s="3" t="s">
        <v>14359</v>
      </c>
      <c r="C789" s="3" t="s">
        <v>2568</v>
      </c>
      <c r="D789" s="3" t="s">
        <v>15892</v>
      </c>
      <c r="E789" t="s">
        <v>3452</v>
      </c>
      <c r="F789" t="s">
        <v>2569</v>
      </c>
      <c r="G789" t="s">
        <v>3448</v>
      </c>
      <c r="H789" t="s">
        <v>3449</v>
      </c>
    </row>
    <row r="790" spans="1:8" hidden="1" x14ac:dyDescent="0.2">
      <c r="A790" s="3" t="s">
        <v>15893</v>
      </c>
      <c r="B790" s="3" t="s">
        <v>14359</v>
      </c>
      <c r="C790" s="3" t="s">
        <v>2570</v>
      </c>
      <c r="D790" s="3" t="s">
        <v>15894</v>
      </c>
      <c r="E790" t="s">
        <v>19699</v>
      </c>
      <c r="F790" t="s">
        <v>2571</v>
      </c>
      <c r="G790" t="s">
        <v>3533</v>
      </c>
      <c r="H790" t="s">
        <v>3705</v>
      </c>
    </row>
    <row r="791" spans="1:8" hidden="1" x14ac:dyDescent="0.2">
      <c r="A791" s="3" t="s">
        <v>15895</v>
      </c>
      <c r="B791" s="3" t="s">
        <v>14359</v>
      </c>
      <c r="C791" s="3" t="s">
        <v>596</v>
      </c>
      <c r="D791" s="3" t="s">
        <v>15896</v>
      </c>
      <c r="E791" t="s">
        <v>595</v>
      </c>
      <c r="F791" t="s">
        <v>13769</v>
      </c>
      <c r="G791" t="s">
        <v>3977</v>
      </c>
      <c r="H791" t="s">
        <v>4084</v>
      </c>
    </row>
    <row r="792" spans="1:8" hidden="1" x14ac:dyDescent="0.2">
      <c r="A792" s="3" t="s">
        <v>15897</v>
      </c>
      <c r="B792" s="3" t="s">
        <v>14359</v>
      </c>
      <c r="C792" s="3" t="s">
        <v>2572</v>
      </c>
      <c r="D792" s="3" t="s">
        <v>15898</v>
      </c>
      <c r="E792" t="s">
        <v>19700</v>
      </c>
      <c r="F792" t="s">
        <v>2573</v>
      </c>
      <c r="G792" t="s">
        <v>3459</v>
      </c>
      <c r="H792" t="s">
        <v>4101</v>
      </c>
    </row>
    <row r="793" spans="1:8" hidden="1" x14ac:dyDescent="0.2">
      <c r="A793" s="3" t="s">
        <v>15899</v>
      </c>
      <c r="B793" s="3" t="s">
        <v>14359</v>
      </c>
      <c r="C793" s="3" t="s">
        <v>2574</v>
      </c>
      <c r="D793" s="3" t="s">
        <v>15900</v>
      </c>
      <c r="E793" t="s">
        <v>19701</v>
      </c>
      <c r="F793" t="s">
        <v>2575</v>
      </c>
      <c r="G793" t="s">
        <v>3863</v>
      </c>
      <c r="H793" t="s">
        <v>3864</v>
      </c>
    </row>
    <row r="794" spans="1:8" hidden="1" x14ac:dyDescent="0.2">
      <c r="A794" s="3" t="s">
        <v>15901</v>
      </c>
      <c r="B794" s="3" t="s">
        <v>14359</v>
      </c>
      <c r="C794" s="3" t="s">
        <v>2576</v>
      </c>
      <c r="D794" s="3" t="s">
        <v>15902</v>
      </c>
      <c r="E794" t="s">
        <v>19702</v>
      </c>
      <c r="F794" t="s">
        <v>2577</v>
      </c>
      <c r="G794" t="s">
        <v>3436</v>
      </c>
      <c r="H794" t="s">
        <v>3661</v>
      </c>
    </row>
    <row r="795" spans="1:8" hidden="1" x14ac:dyDescent="0.2">
      <c r="A795" s="3" t="s">
        <v>15903</v>
      </c>
      <c r="B795" s="3" t="s">
        <v>14359</v>
      </c>
      <c r="C795" s="3" t="s">
        <v>2578</v>
      </c>
      <c r="D795" s="3" t="s">
        <v>15904</v>
      </c>
      <c r="E795" t="s">
        <v>19703</v>
      </c>
      <c r="F795" t="s">
        <v>2579</v>
      </c>
      <c r="G795" t="s">
        <v>3436</v>
      </c>
      <c r="H795" t="s">
        <v>4215</v>
      </c>
    </row>
    <row r="796" spans="1:8" hidden="1" x14ac:dyDescent="0.2">
      <c r="A796" s="3" t="s">
        <v>15905</v>
      </c>
      <c r="B796" s="3" t="s">
        <v>14359</v>
      </c>
      <c r="C796" s="3" t="s">
        <v>2580</v>
      </c>
      <c r="D796" s="3" t="s">
        <v>15906</v>
      </c>
      <c r="E796" t="s">
        <v>4201</v>
      </c>
      <c r="F796" t="s">
        <v>2581</v>
      </c>
      <c r="G796" t="s">
        <v>3533</v>
      </c>
      <c r="H796" t="s">
        <v>3705</v>
      </c>
    </row>
    <row r="797" spans="1:8" hidden="1" x14ac:dyDescent="0.2">
      <c r="A797" s="3" t="s">
        <v>15907</v>
      </c>
      <c r="B797" s="3" t="s">
        <v>14359</v>
      </c>
      <c r="C797" s="3" t="s">
        <v>2582</v>
      </c>
      <c r="D797" s="3" t="s">
        <v>15908</v>
      </c>
      <c r="E797" t="s">
        <v>19704</v>
      </c>
      <c r="F797" t="s">
        <v>2583</v>
      </c>
      <c r="G797" t="s">
        <v>3459</v>
      </c>
      <c r="H797" t="s">
        <v>4017</v>
      </c>
    </row>
    <row r="798" spans="1:8" hidden="1" x14ac:dyDescent="0.2">
      <c r="A798" s="3" t="s">
        <v>15909</v>
      </c>
      <c r="B798" s="3" t="s">
        <v>14359</v>
      </c>
      <c r="C798" s="3" t="s">
        <v>2584</v>
      </c>
      <c r="D798" s="3" t="s">
        <v>15910</v>
      </c>
      <c r="E798" t="s">
        <v>19705</v>
      </c>
      <c r="F798" t="s">
        <v>2585</v>
      </c>
      <c r="G798" t="s">
        <v>3436</v>
      </c>
      <c r="H798" t="s">
        <v>3882</v>
      </c>
    </row>
    <row r="799" spans="1:8" hidden="1" x14ac:dyDescent="0.2">
      <c r="A799" s="3" t="s">
        <v>15911</v>
      </c>
      <c r="B799" s="3" t="s">
        <v>14359</v>
      </c>
      <c r="C799" s="3" t="s">
        <v>2586</v>
      </c>
      <c r="D799" s="3" t="s">
        <v>15912</v>
      </c>
      <c r="E799" t="s">
        <v>19706</v>
      </c>
      <c r="F799" t="s">
        <v>2587</v>
      </c>
      <c r="G799" t="s">
        <v>3436</v>
      </c>
      <c r="H799" t="s">
        <v>3906</v>
      </c>
    </row>
    <row r="800" spans="1:8" hidden="1" x14ac:dyDescent="0.2">
      <c r="A800" s="3" t="s">
        <v>15913</v>
      </c>
      <c r="B800" s="3" t="s">
        <v>14359</v>
      </c>
      <c r="C800" s="3" t="s">
        <v>2588</v>
      </c>
      <c r="D800" s="3" t="s">
        <v>15914</v>
      </c>
      <c r="E800" t="s">
        <v>19707</v>
      </c>
      <c r="F800" t="s">
        <v>2589</v>
      </c>
      <c r="G800" t="s">
        <v>3436</v>
      </c>
      <c r="H800" t="s">
        <v>3661</v>
      </c>
    </row>
    <row r="801" spans="1:8" hidden="1" x14ac:dyDescent="0.2">
      <c r="A801" s="3" t="s">
        <v>15915</v>
      </c>
      <c r="B801" s="3" t="s">
        <v>14359</v>
      </c>
      <c r="C801" s="3" t="s">
        <v>2590</v>
      </c>
      <c r="D801" s="3" t="s">
        <v>15916</v>
      </c>
      <c r="E801" t="s">
        <v>19708</v>
      </c>
      <c r="F801" t="s">
        <v>19096</v>
      </c>
      <c r="G801" t="s">
        <v>3448</v>
      </c>
      <c r="H801" t="s">
        <v>5858</v>
      </c>
    </row>
    <row r="802" spans="1:8" hidden="1" x14ac:dyDescent="0.2">
      <c r="A802" s="3" t="s">
        <v>15917</v>
      </c>
      <c r="B802" s="3" t="s">
        <v>14359</v>
      </c>
      <c r="C802" s="3" t="s">
        <v>569</v>
      </c>
      <c r="D802" s="3" t="s">
        <v>14687</v>
      </c>
      <c r="E802" t="s">
        <v>568</v>
      </c>
      <c r="F802" t="s">
        <v>13771</v>
      </c>
      <c r="G802" t="s">
        <v>3436</v>
      </c>
      <c r="H802" t="s">
        <v>4215</v>
      </c>
    </row>
    <row r="803" spans="1:8" hidden="1" x14ac:dyDescent="0.2">
      <c r="A803" s="3" t="s">
        <v>15918</v>
      </c>
      <c r="B803" s="3" t="s">
        <v>14359</v>
      </c>
      <c r="C803" s="3" t="s">
        <v>2591</v>
      </c>
      <c r="D803" s="3" t="s">
        <v>15919</v>
      </c>
      <c r="E803" t="s">
        <v>19709</v>
      </c>
      <c r="F803" t="s">
        <v>2592</v>
      </c>
      <c r="G803" t="s">
        <v>3436</v>
      </c>
      <c r="H803" t="s">
        <v>3603</v>
      </c>
    </row>
    <row r="804" spans="1:8" hidden="1" x14ac:dyDescent="0.2">
      <c r="A804" s="3" t="s">
        <v>15920</v>
      </c>
      <c r="B804" s="3" t="s">
        <v>14359</v>
      </c>
      <c r="C804" s="3" t="s">
        <v>2593</v>
      </c>
      <c r="D804" s="3" t="s">
        <v>15921</v>
      </c>
      <c r="E804" t="s">
        <v>19710</v>
      </c>
      <c r="F804" t="s">
        <v>2594</v>
      </c>
      <c r="G804" t="s">
        <v>3863</v>
      </c>
      <c r="H804" t="s">
        <v>4142</v>
      </c>
    </row>
    <row r="805" spans="1:8" hidden="1" x14ac:dyDescent="0.2">
      <c r="A805" s="3" t="s">
        <v>15922</v>
      </c>
      <c r="B805" s="3" t="s">
        <v>14359</v>
      </c>
      <c r="C805" s="3" t="s">
        <v>2595</v>
      </c>
      <c r="D805" s="3" t="s">
        <v>15923</v>
      </c>
      <c r="E805" t="s">
        <v>19711</v>
      </c>
      <c r="F805" t="s">
        <v>2596</v>
      </c>
      <c r="G805" t="s">
        <v>3436</v>
      </c>
      <c r="H805" t="s">
        <v>3470</v>
      </c>
    </row>
    <row r="806" spans="1:8" hidden="1" x14ac:dyDescent="0.2">
      <c r="A806" s="3" t="s">
        <v>15924</v>
      </c>
      <c r="B806" s="3" t="s">
        <v>14359</v>
      </c>
      <c r="C806" s="3" t="s">
        <v>2597</v>
      </c>
      <c r="D806" s="3" t="s">
        <v>15925</v>
      </c>
      <c r="E806" t="s">
        <v>19712</v>
      </c>
      <c r="F806" t="s">
        <v>2598</v>
      </c>
      <c r="G806" t="s">
        <v>3436</v>
      </c>
      <c r="H806" t="s">
        <v>3437</v>
      </c>
    </row>
    <row r="807" spans="1:8" hidden="1" x14ac:dyDescent="0.2">
      <c r="A807" s="3" t="s">
        <v>15926</v>
      </c>
      <c r="B807" s="3" t="s">
        <v>14359</v>
      </c>
      <c r="C807" s="3" t="s">
        <v>2599</v>
      </c>
      <c r="D807" s="3" t="s">
        <v>15927</v>
      </c>
      <c r="E807" t="s">
        <v>19713</v>
      </c>
      <c r="F807" t="s">
        <v>2600</v>
      </c>
      <c r="G807" t="s">
        <v>3436</v>
      </c>
      <c r="H807" t="s">
        <v>3882</v>
      </c>
    </row>
    <row r="808" spans="1:8" hidden="1" x14ac:dyDescent="0.2">
      <c r="A808" s="3" t="s">
        <v>15928</v>
      </c>
      <c r="B808" s="3" t="s">
        <v>14359</v>
      </c>
      <c r="C808" s="3" t="s">
        <v>2601</v>
      </c>
      <c r="D808" s="3" t="s">
        <v>15929</v>
      </c>
      <c r="E808" t="s">
        <v>19714</v>
      </c>
      <c r="F808" t="s">
        <v>2602</v>
      </c>
      <c r="G808" t="s">
        <v>3436</v>
      </c>
      <c r="H808" t="s">
        <v>3882</v>
      </c>
    </row>
    <row r="809" spans="1:8" hidden="1" x14ac:dyDescent="0.2">
      <c r="A809" s="3" t="s">
        <v>15930</v>
      </c>
      <c r="B809" s="3" t="s">
        <v>14359</v>
      </c>
      <c r="C809" s="3" t="s">
        <v>2603</v>
      </c>
      <c r="D809" s="3" t="s">
        <v>15931</v>
      </c>
      <c r="E809" t="s">
        <v>19715</v>
      </c>
      <c r="F809" t="s">
        <v>19097</v>
      </c>
      <c r="G809" t="s">
        <v>3977</v>
      </c>
      <c r="H809" t="s">
        <v>4446</v>
      </c>
    </row>
    <row r="810" spans="1:8" hidden="1" x14ac:dyDescent="0.2">
      <c r="A810" s="3" t="s">
        <v>15932</v>
      </c>
      <c r="B810" s="3" t="s">
        <v>14359</v>
      </c>
      <c r="C810" s="3" t="s">
        <v>1070</v>
      </c>
      <c r="D810" s="3" t="s">
        <v>15933</v>
      </c>
      <c r="E810" t="s">
        <v>1069</v>
      </c>
      <c r="F810" t="s">
        <v>13777</v>
      </c>
      <c r="G810" t="s">
        <v>3436</v>
      </c>
      <c r="H810" t="s">
        <v>3687</v>
      </c>
    </row>
    <row r="811" spans="1:8" hidden="1" x14ac:dyDescent="0.2">
      <c r="A811" s="3" t="s">
        <v>15934</v>
      </c>
      <c r="B811" s="3" t="s">
        <v>14359</v>
      </c>
      <c r="C811" s="3" t="s">
        <v>2604</v>
      </c>
      <c r="D811" s="3" t="s">
        <v>15935</v>
      </c>
      <c r="E811" t="s">
        <v>19716</v>
      </c>
      <c r="F811" t="s">
        <v>2605</v>
      </c>
      <c r="G811" t="s">
        <v>3459</v>
      </c>
      <c r="H811" t="s">
        <v>3569</v>
      </c>
    </row>
    <row r="812" spans="1:8" hidden="1" x14ac:dyDescent="0.2">
      <c r="A812" s="3" t="s">
        <v>15936</v>
      </c>
      <c r="B812" s="3" t="s">
        <v>14359</v>
      </c>
      <c r="C812" s="3" t="s">
        <v>2606</v>
      </c>
      <c r="D812" s="3" t="s">
        <v>15937</v>
      </c>
      <c r="E812" t="s">
        <v>19717</v>
      </c>
      <c r="F812" t="s">
        <v>2607</v>
      </c>
      <c r="G812" t="s">
        <v>3533</v>
      </c>
      <c r="H812" t="s">
        <v>4356</v>
      </c>
    </row>
    <row r="813" spans="1:8" hidden="1" x14ac:dyDescent="0.2">
      <c r="A813" s="3" t="s">
        <v>15938</v>
      </c>
      <c r="B813" s="3" t="s">
        <v>14359</v>
      </c>
      <c r="C813" s="3" t="s">
        <v>798</v>
      </c>
      <c r="D813" s="3" t="s">
        <v>15939</v>
      </c>
      <c r="E813" t="s">
        <v>797</v>
      </c>
      <c r="F813" t="s">
        <v>13779</v>
      </c>
      <c r="G813" t="s">
        <v>3977</v>
      </c>
      <c r="H813" t="s">
        <v>4084</v>
      </c>
    </row>
    <row r="814" spans="1:8" hidden="1" x14ac:dyDescent="0.2">
      <c r="A814" s="3" t="s">
        <v>15940</v>
      </c>
      <c r="B814" s="3" t="s">
        <v>14359</v>
      </c>
      <c r="C814" s="3" t="s">
        <v>28</v>
      </c>
      <c r="D814" s="3" t="s">
        <v>15941</v>
      </c>
      <c r="E814" t="s">
        <v>27</v>
      </c>
      <c r="F814" t="s">
        <v>13776</v>
      </c>
      <c r="G814" t="s">
        <v>3436</v>
      </c>
      <c r="H814" t="s">
        <v>3670</v>
      </c>
    </row>
    <row r="815" spans="1:8" hidden="1" x14ac:dyDescent="0.2">
      <c r="A815" s="3" t="s">
        <v>15942</v>
      </c>
      <c r="B815" s="3" t="s">
        <v>14359</v>
      </c>
      <c r="C815" s="3" t="s">
        <v>2608</v>
      </c>
      <c r="D815" s="3" t="s">
        <v>15943</v>
      </c>
      <c r="E815" t="s">
        <v>19718</v>
      </c>
      <c r="F815" t="s">
        <v>2609</v>
      </c>
      <c r="G815" t="s">
        <v>3436</v>
      </c>
      <c r="H815" t="s">
        <v>3882</v>
      </c>
    </row>
    <row r="816" spans="1:8" hidden="1" x14ac:dyDescent="0.2">
      <c r="A816" s="3" t="s">
        <v>15944</v>
      </c>
      <c r="B816" s="3" t="s">
        <v>14359</v>
      </c>
      <c r="C816" s="3" t="s">
        <v>2610</v>
      </c>
      <c r="D816" s="3" t="s">
        <v>15945</v>
      </c>
      <c r="E816" t="s">
        <v>19719</v>
      </c>
      <c r="F816" t="s">
        <v>13783</v>
      </c>
      <c r="G816" t="s">
        <v>3533</v>
      </c>
      <c r="H816" t="s">
        <v>4356</v>
      </c>
    </row>
    <row r="817" spans="1:8" hidden="1" x14ac:dyDescent="0.2">
      <c r="A817" s="3" t="s">
        <v>15946</v>
      </c>
      <c r="B817" s="3" t="s">
        <v>14359</v>
      </c>
      <c r="C817" s="3" t="s">
        <v>2611</v>
      </c>
      <c r="D817" s="3" t="s">
        <v>15786</v>
      </c>
      <c r="E817" t="s">
        <v>3463</v>
      </c>
      <c r="F817" t="s">
        <v>2612</v>
      </c>
      <c r="G817" t="s">
        <v>3459</v>
      </c>
      <c r="H817" t="s">
        <v>3460</v>
      </c>
    </row>
    <row r="818" spans="1:8" hidden="1" x14ac:dyDescent="0.2">
      <c r="A818" s="3" t="s">
        <v>15947</v>
      </c>
      <c r="B818" s="3" t="s">
        <v>14359</v>
      </c>
      <c r="C818" s="3" t="s">
        <v>2613</v>
      </c>
      <c r="D818" s="3" t="s">
        <v>15948</v>
      </c>
      <c r="E818" t="s">
        <v>19720</v>
      </c>
      <c r="F818" t="s">
        <v>2614</v>
      </c>
      <c r="G818" t="s">
        <v>3977</v>
      </c>
      <c r="H818" t="s">
        <v>4293</v>
      </c>
    </row>
    <row r="819" spans="1:8" hidden="1" x14ac:dyDescent="0.2">
      <c r="A819" s="3" t="s">
        <v>15949</v>
      </c>
      <c r="B819" s="3" t="s">
        <v>14359</v>
      </c>
      <c r="C819" s="3" t="s">
        <v>2615</v>
      </c>
      <c r="D819" s="3" t="s">
        <v>15950</v>
      </c>
      <c r="E819" t="s">
        <v>19721</v>
      </c>
      <c r="F819" t="s">
        <v>2616</v>
      </c>
      <c r="G819" t="s">
        <v>3863</v>
      </c>
      <c r="H819" t="s">
        <v>4373</v>
      </c>
    </row>
    <row r="820" spans="1:8" hidden="1" x14ac:dyDescent="0.2">
      <c r="A820" s="3" t="s">
        <v>15951</v>
      </c>
      <c r="B820" s="3" t="s">
        <v>14359</v>
      </c>
      <c r="C820" s="3" t="s">
        <v>2617</v>
      </c>
      <c r="D820" s="3" t="s">
        <v>15952</v>
      </c>
      <c r="E820" t="s">
        <v>19722</v>
      </c>
      <c r="F820" t="s">
        <v>2618</v>
      </c>
      <c r="G820" t="s">
        <v>3977</v>
      </c>
      <c r="H820" t="s">
        <v>4293</v>
      </c>
    </row>
    <row r="821" spans="1:8" hidden="1" x14ac:dyDescent="0.2">
      <c r="A821" s="3" t="s">
        <v>15953</v>
      </c>
      <c r="B821" s="3" t="s">
        <v>14359</v>
      </c>
      <c r="C821" s="3" t="s">
        <v>2619</v>
      </c>
      <c r="D821" s="3" t="s">
        <v>15954</v>
      </c>
      <c r="E821" t="s">
        <v>19723</v>
      </c>
      <c r="F821" t="s">
        <v>13774</v>
      </c>
      <c r="G821" t="s">
        <v>3436</v>
      </c>
      <c r="H821" t="s">
        <v>3603</v>
      </c>
    </row>
    <row r="822" spans="1:8" hidden="1" x14ac:dyDescent="0.2">
      <c r="A822" s="3" t="s">
        <v>15955</v>
      </c>
      <c r="B822" s="3" t="s">
        <v>14359</v>
      </c>
      <c r="C822" s="3" t="s">
        <v>2620</v>
      </c>
      <c r="D822" s="3" t="s">
        <v>15956</v>
      </c>
      <c r="E822" t="s">
        <v>19724</v>
      </c>
      <c r="F822" t="s">
        <v>2621</v>
      </c>
      <c r="G822" t="s">
        <v>3436</v>
      </c>
      <c r="H822" t="s">
        <v>3603</v>
      </c>
    </row>
    <row r="823" spans="1:8" hidden="1" x14ac:dyDescent="0.2">
      <c r="A823" s="3" t="s">
        <v>15957</v>
      </c>
      <c r="B823" s="3" t="s">
        <v>14359</v>
      </c>
      <c r="C823" s="3" t="s">
        <v>565</v>
      </c>
      <c r="D823" s="3" t="s">
        <v>15958</v>
      </c>
      <c r="E823" t="s">
        <v>564</v>
      </c>
      <c r="F823" t="s">
        <v>13773</v>
      </c>
      <c r="G823" t="s">
        <v>3977</v>
      </c>
      <c r="H823" t="s">
        <v>4084</v>
      </c>
    </row>
    <row r="824" spans="1:8" hidden="1" x14ac:dyDescent="0.2">
      <c r="A824" s="3" t="s">
        <v>15959</v>
      </c>
      <c r="B824" s="3" t="s">
        <v>14359</v>
      </c>
      <c r="C824" s="3" t="s">
        <v>2622</v>
      </c>
      <c r="D824" s="3" t="s">
        <v>15960</v>
      </c>
      <c r="E824" t="s">
        <v>19725</v>
      </c>
      <c r="F824" t="s">
        <v>2623</v>
      </c>
      <c r="G824" t="s">
        <v>3436</v>
      </c>
      <c r="H824" t="s">
        <v>3470</v>
      </c>
    </row>
    <row r="825" spans="1:8" hidden="1" x14ac:dyDescent="0.2">
      <c r="A825" s="3" t="s">
        <v>15961</v>
      </c>
      <c r="B825" s="3" t="s">
        <v>14359</v>
      </c>
      <c r="C825" s="3" t="s">
        <v>1074</v>
      </c>
      <c r="D825" s="3" t="s">
        <v>15962</v>
      </c>
      <c r="E825" t="s">
        <v>1073</v>
      </c>
      <c r="F825" t="s">
        <v>13772</v>
      </c>
      <c r="G825" t="s">
        <v>3436</v>
      </c>
      <c r="H825" t="s">
        <v>3498</v>
      </c>
    </row>
    <row r="826" spans="1:8" hidden="1" x14ac:dyDescent="0.2">
      <c r="A826" s="3" t="s">
        <v>15963</v>
      </c>
      <c r="B826" s="3" t="s">
        <v>14359</v>
      </c>
      <c r="C826" s="3" t="s">
        <v>2624</v>
      </c>
      <c r="D826" s="3" t="s">
        <v>15964</v>
      </c>
      <c r="E826" t="s">
        <v>19726</v>
      </c>
      <c r="F826" t="s">
        <v>2625</v>
      </c>
      <c r="G826" t="s">
        <v>3533</v>
      </c>
      <c r="H826" t="s">
        <v>3705</v>
      </c>
    </row>
    <row r="827" spans="1:8" hidden="1" x14ac:dyDescent="0.2">
      <c r="A827" s="3" t="s">
        <v>15965</v>
      </c>
      <c r="B827" s="3" t="s">
        <v>14359</v>
      </c>
      <c r="C827" s="3" t="s">
        <v>2626</v>
      </c>
      <c r="D827" s="3" t="s">
        <v>15966</v>
      </c>
      <c r="E827" t="s">
        <v>19727</v>
      </c>
      <c r="F827" t="s">
        <v>2627</v>
      </c>
      <c r="G827" t="s">
        <v>3533</v>
      </c>
      <c r="H827" t="s">
        <v>4050</v>
      </c>
    </row>
    <row r="828" spans="1:8" hidden="1" x14ac:dyDescent="0.2">
      <c r="A828" s="3" t="s">
        <v>15967</v>
      </c>
      <c r="B828" s="3" t="s">
        <v>14359</v>
      </c>
      <c r="C828" s="3" t="s">
        <v>2628</v>
      </c>
      <c r="D828" s="3" t="s">
        <v>15968</v>
      </c>
      <c r="E828" t="s">
        <v>19728</v>
      </c>
      <c r="F828" t="s">
        <v>2629</v>
      </c>
      <c r="G828" t="s">
        <v>3459</v>
      </c>
      <c r="H828" t="s">
        <v>3569</v>
      </c>
    </row>
    <row r="829" spans="1:8" hidden="1" x14ac:dyDescent="0.2">
      <c r="A829" s="3" t="s">
        <v>15969</v>
      </c>
      <c r="B829" s="3" t="s">
        <v>14359</v>
      </c>
      <c r="C829" s="3" t="s">
        <v>2630</v>
      </c>
      <c r="D829" s="3" t="s">
        <v>15970</v>
      </c>
      <c r="E829" t="s">
        <v>19729</v>
      </c>
      <c r="F829" t="s">
        <v>2631</v>
      </c>
      <c r="G829" t="s">
        <v>3459</v>
      </c>
      <c r="H829" t="s">
        <v>4017</v>
      </c>
    </row>
    <row r="830" spans="1:8" hidden="1" x14ac:dyDescent="0.2">
      <c r="A830" s="3" t="s">
        <v>15971</v>
      </c>
      <c r="B830" s="3" t="s">
        <v>14359</v>
      </c>
      <c r="C830" s="3" t="s">
        <v>2632</v>
      </c>
      <c r="D830" s="3" t="s">
        <v>15972</v>
      </c>
      <c r="E830" t="s">
        <v>19730</v>
      </c>
      <c r="F830" t="s">
        <v>2633</v>
      </c>
      <c r="G830" t="s">
        <v>3977</v>
      </c>
      <c r="H830" t="s">
        <v>4437</v>
      </c>
    </row>
    <row r="831" spans="1:8" hidden="1" x14ac:dyDescent="0.2">
      <c r="A831" s="3" t="s">
        <v>15973</v>
      </c>
      <c r="B831" s="3" t="s">
        <v>14359</v>
      </c>
      <c r="C831" s="3" t="s">
        <v>2634</v>
      </c>
      <c r="D831" s="3" t="s">
        <v>15974</v>
      </c>
      <c r="E831" t="s">
        <v>19731</v>
      </c>
      <c r="F831" t="s">
        <v>2635</v>
      </c>
      <c r="G831" t="s">
        <v>3459</v>
      </c>
      <c r="H831" t="s">
        <v>4463</v>
      </c>
    </row>
    <row r="832" spans="1:8" hidden="1" x14ac:dyDescent="0.2">
      <c r="A832" s="3" t="s">
        <v>15975</v>
      </c>
      <c r="B832" s="3" t="s">
        <v>14359</v>
      </c>
      <c r="C832" s="3" t="s">
        <v>2636</v>
      </c>
      <c r="D832" s="3" t="s">
        <v>15976</v>
      </c>
      <c r="E832" t="s">
        <v>19732</v>
      </c>
      <c r="F832" t="s">
        <v>2637</v>
      </c>
      <c r="G832" t="s">
        <v>3977</v>
      </c>
      <c r="H832" t="s">
        <v>3978</v>
      </c>
    </row>
    <row r="833" spans="1:8" hidden="1" x14ac:dyDescent="0.2">
      <c r="A833" s="3" t="s">
        <v>15977</v>
      </c>
      <c r="B833" s="3" t="s">
        <v>14359</v>
      </c>
      <c r="C833" s="3" t="s">
        <v>2638</v>
      </c>
      <c r="D833" s="3" t="s">
        <v>15978</v>
      </c>
      <c r="E833" t="s">
        <v>19733</v>
      </c>
      <c r="F833" t="s">
        <v>2639</v>
      </c>
      <c r="G833" t="s">
        <v>3459</v>
      </c>
      <c r="H833" t="s">
        <v>3569</v>
      </c>
    </row>
    <row r="834" spans="1:8" hidden="1" x14ac:dyDescent="0.2">
      <c r="A834" s="3" t="s">
        <v>15979</v>
      </c>
      <c r="B834" s="3" t="s">
        <v>14359</v>
      </c>
      <c r="C834" s="3" t="s">
        <v>2640</v>
      </c>
      <c r="D834" s="3" t="s">
        <v>15980</v>
      </c>
      <c r="E834" t="s">
        <v>19734</v>
      </c>
      <c r="F834" t="s">
        <v>2641</v>
      </c>
      <c r="G834" t="s">
        <v>3459</v>
      </c>
      <c r="H834" t="s">
        <v>4017</v>
      </c>
    </row>
    <row r="835" spans="1:8" hidden="1" x14ac:dyDescent="0.2">
      <c r="A835" s="3" t="s">
        <v>15981</v>
      </c>
      <c r="B835" s="3" t="s">
        <v>14359</v>
      </c>
      <c r="C835" s="3" t="s">
        <v>2642</v>
      </c>
      <c r="D835" s="3" t="s">
        <v>15982</v>
      </c>
      <c r="E835" t="s">
        <v>19735</v>
      </c>
      <c r="F835" t="s">
        <v>2643</v>
      </c>
      <c r="G835" t="s">
        <v>3436</v>
      </c>
      <c r="H835" t="s">
        <v>3670</v>
      </c>
    </row>
    <row r="836" spans="1:8" hidden="1" x14ac:dyDescent="0.2">
      <c r="A836" s="3" t="s">
        <v>15983</v>
      </c>
      <c r="B836" s="3" t="s">
        <v>14359</v>
      </c>
      <c r="C836" s="3" t="s">
        <v>2644</v>
      </c>
      <c r="D836" s="3" t="s">
        <v>15984</v>
      </c>
      <c r="E836" t="s">
        <v>10296</v>
      </c>
      <c r="F836" t="s">
        <v>2645</v>
      </c>
      <c r="G836" t="s">
        <v>18840</v>
      </c>
      <c r="H836" t="s">
        <v>18840</v>
      </c>
    </row>
    <row r="837" spans="1:8" hidden="1" x14ac:dyDescent="0.2">
      <c r="A837" s="3" t="s">
        <v>15985</v>
      </c>
      <c r="B837" s="3" t="s">
        <v>14359</v>
      </c>
      <c r="C837" s="3" t="s">
        <v>2646</v>
      </c>
      <c r="D837" s="3" t="s">
        <v>15986</v>
      </c>
      <c r="E837" t="s">
        <v>19736</v>
      </c>
      <c r="F837" t="s">
        <v>2647</v>
      </c>
      <c r="G837" t="s">
        <v>3436</v>
      </c>
      <c r="H837" t="s">
        <v>3470</v>
      </c>
    </row>
    <row r="838" spans="1:8" hidden="1" x14ac:dyDescent="0.2">
      <c r="A838" s="3" t="s">
        <v>15987</v>
      </c>
      <c r="B838" s="3" t="s">
        <v>14359</v>
      </c>
      <c r="C838" s="3" t="s">
        <v>2648</v>
      </c>
      <c r="D838" s="3" t="s">
        <v>15988</v>
      </c>
      <c r="E838" t="s">
        <v>19737</v>
      </c>
      <c r="F838" t="s">
        <v>2649</v>
      </c>
      <c r="G838" t="s">
        <v>3479</v>
      </c>
      <c r="H838" t="s">
        <v>3480</v>
      </c>
    </row>
    <row r="839" spans="1:8" hidden="1" x14ac:dyDescent="0.2">
      <c r="A839" s="3" t="s">
        <v>15989</v>
      </c>
      <c r="B839" s="3" t="s">
        <v>14359</v>
      </c>
      <c r="C839" s="3" t="s">
        <v>2650</v>
      </c>
      <c r="D839" s="3" t="s">
        <v>15990</v>
      </c>
      <c r="E839" t="s">
        <v>10299</v>
      </c>
      <c r="F839" t="s">
        <v>2651</v>
      </c>
      <c r="G839" t="s">
        <v>18840</v>
      </c>
      <c r="H839" t="s">
        <v>18840</v>
      </c>
    </row>
    <row r="840" spans="1:8" hidden="1" x14ac:dyDescent="0.2">
      <c r="A840" s="3" t="s">
        <v>15991</v>
      </c>
      <c r="B840" s="3" t="s">
        <v>14359</v>
      </c>
      <c r="C840" s="3" t="s">
        <v>2652</v>
      </c>
      <c r="D840" s="3" t="s">
        <v>15992</v>
      </c>
      <c r="E840" t="s">
        <v>19738</v>
      </c>
      <c r="F840" t="s">
        <v>2653</v>
      </c>
      <c r="G840" t="s">
        <v>3459</v>
      </c>
      <c r="H840" t="s">
        <v>4017</v>
      </c>
    </row>
    <row r="841" spans="1:8" hidden="1" x14ac:dyDescent="0.2">
      <c r="A841" s="3" t="s">
        <v>15993</v>
      </c>
      <c r="B841" s="3" t="s">
        <v>14359</v>
      </c>
      <c r="C841" s="3" t="s">
        <v>2654</v>
      </c>
      <c r="D841" s="3" t="s">
        <v>15994</v>
      </c>
      <c r="E841" t="s">
        <v>10300</v>
      </c>
      <c r="F841" t="s">
        <v>2655</v>
      </c>
      <c r="G841" t="s">
        <v>18840</v>
      </c>
      <c r="H841" t="s">
        <v>18840</v>
      </c>
    </row>
    <row r="842" spans="1:8" hidden="1" x14ac:dyDescent="0.2">
      <c r="A842" s="3" t="s">
        <v>15995</v>
      </c>
      <c r="B842" s="3" t="s">
        <v>14359</v>
      </c>
      <c r="C842" s="3" t="s">
        <v>2656</v>
      </c>
      <c r="D842" s="3" t="s">
        <v>15996</v>
      </c>
      <c r="E842" t="s">
        <v>19739</v>
      </c>
      <c r="F842" t="s">
        <v>2657</v>
      </c>
      <c r="G842" t="s">
        <v>3459</v>
      </c>
      <c r="H842" t="s">
        <v>4017</v>
      </c>
    </row>
    <row r="843" spans="1:8" hidden="1" x14ac:dyDescent="0.2">
      <c r="A843" s="3" t="s">
        <v>15997</v>
      </c>
      <c r="B843" s="3" t="s">
        <v>14359</v>
      </c>
      <c r="C843" s="3" t="s">
        <v>2658</v>
      </c>
      <c r="D843" s="3" t="s">
        <v>15998</v>
      </c>
      <c r="E843" t="s">
        <v>10301</v>
      </c>
      <c r="F843" t="s">
        <v>2659</v>
      </c>
      <c r="G843" t="s">
        <v>18840</v>
      </c>
      <c r="H843" t="s">
        <v>18840</v>
      </c>
    </row>
    <row r="844" spans="1:8" hidden="1" x14ac:dyDescent="0.2">
      <c r="A844" s="3" t="s">
        <v>15999</v>
      </c>
      <c r="B844" s="3" t="s">
        <v>14359</v>
      </c>
      <c r="C844" s="3" t="s">
        <v>2660</v>
      </c>
      <c r="D844" s="3" t="s">
        <v>16000</v>
      </c>
      <c r="E844" t="s">
        <v>10297</v>
      </c>
      <c r="F844" t="s">
        <v>2661</v>
      </c>
      <c r="G844" t="s">
        <v>18840</v>
      </c>
      <c r="H844" t="s">
        <v>18840</v>
      </c>
    </row>
    <row r="845" spans="1:8" hidden="1" x14ac:dyDescent="0.2">
      <c r="A845" s="3" t="s">
        <v>16001</v>
      </c>
      <c r="B845" s="3" t="s">
        <v>14359</v>
      </c>
      <c r="C845" s="3" t="s">
        <v>2662</v>
      </c>
      <c r="D845" s="3" t="s">
        <v>16002</v>
      </c>
      <c r="E845" t="s">
        <v>10298</v>
      </c>
      <c r="F845" t="s">
        <v>2663</v>
      </c>
      <c r="G845" t="s">
        <v>18840</v>
      </c>
      <c r="H845" t="s">
        <v>18840</v>
      </c>
    </row>
    <row r="846" spans="1:8" hidden="1" x14ac:dyDescent="0.2">
      <c r="A846" s="3" t="s">
        <v>16003</v>
      </c>
      <c r="B846" s="3" t="s">
        <v>14359</v>
      </c>
      <c r="C846" s="3" t="s">
        <v>2664</v>
      </c>
      <c r="D846" s="3" t="s">
        <v>16004</v>
      </c>
      <c r="E846" t="s">
        <v>10307</v>
      </c>
      <c r="F846" t="s">
        <v>2665</v>
      </c>
      <c r="G846" t="s">
        <v>18840</v>
      </c>
      <c r="H846" t="s">
        <v>18840</v>
      </c>
    </row>
    <row r="847" spans="1:8" hidden="1" x14ac:dyDescent="0.2">
      <c r="A847" s="3" t="s">
        <v>16005</v>
      </c>
      <c r="B847" s="3" t="s">
        <v>14359</v>
      </c>
      <c r="C847" s="3" t="s">
        <v>2666</v>
      </c>
      <c r="D847" s="3" t="s">
        <v>16006</v>
      </c>
      <c r="E847" t="s">
        <v>10314</v>
      </c>
      <c r="F847" t="s">
        <v>2667</v>
      </c>
      <c r="G847" t="s">
        <v>18840</v>
      </c>
      <c r="H847" t="s">
        <v>18840</v>
      </c>
    </row>
    <row r="848" spans="1:8" hidden="1" x14ac:dyDescent="0.2">
      <c r="A848" s="3" t="s">
        <v>16007</v>
      </c>
      <c r="B848" s="3" t="s">
        <v>14359</v>
      </c>
      <c r="C848" s="3" t="s">
        <v>2668</v>
      </c>
      <c r="D848" s="3" t="s">
        <v>16008</v>
      </c>
      <c r="E848" t="s">
        <v>10310</v>
      </c>
      <c r="F848" t="s">
        <v>2669</v>
      </c>
      <c r="G848" t="s">
        <v>18840</v>
      </c>
      <c r="H848" t="s">
        <v>18840</v>
      </c>
    </row>
    <row r="849" spans="1:8" hidden="1" x14ac:dyDescent="0.2">
      <c r="A849" s="3" t="s">
        <v>16009</v>
      </c>
      <c r="B849" s="3" t="s">
        <v>14359</v>
      </c>
      <c r="C849" s="3" t="s">
        <v>2670</v>
      </c>
      <c r="D849" s="3" t="s">
        <v>16010</v>
      </c>
      <c r="E849" t="s">
        <v>10309</v>
      </c>
      <c r="F849" t="s">
        <v>2671</v>
      </c>
      <c r="G849" t="s">
        <v>18840</v>
      </c>
      <c r="H849" t="s">
        <v>18840</v>
      </c>
    </row>
    <row r="850" spans="1:8" hidden="1" x14ac:dyDescent="0.2">
      <c r="A850" s="3" t="s">
        <v>16011</v>
      </c>
      <c r="B850" s="3" t="s">
        <v>14359</v>
      </c>
      <c r="C850" s="3" t="s">
        <v>2672</v>
      </c>
      <c r="D850" s="3" t="s">
        <v>16012</v>
      </c>
      <c r="E850" t="s">
        <v>10316</v>
      </c>
      <c r="F850" t="s">
        <v>2673</v>
      </c>
      <c r="G850" t="s">
        <v>18840</v>
      </c>
      <c r="H850" t="s">
        <v>18840</v>
      </c>
    </row>
    <row r="851" spans="1:8" hidden="1" x14ac:dyDescent="0.2">
      <c r="A851" s="3" t="s">
        <v>16013</v>
      </c>
      <c r="B851" s="3" t="s">
        <v>14359</v>
      </c>
      <c r="C851" s="3" t="s">
        <v>2674</v>
      </c>
      <c r="D851" s="3" t="s">
        <v>16014</v>
      </c>
      <c r="E851" t="s">
        <v>10313</v>
      </c>
      <c r="F851" t="s">
        <v>2675</v>
      </c>
      <c r="G851" t="s">
        <v>18840</v>
      </c>
      <c r="H851" t="s">
        <v>18840</v>
      </c>
    </row>
    <row r="852" spans="1:8" hidden="1" x14ac:dyDescent="0.2">
      <c r="A852" s="3" t="s">
        <v>16015</v>
      </c>
      <c r="B852" s="3" t="s">
        <v>14359</v>
      </c>
      <c r="C852" s="3" t="s">
        <v>2676</v>
      </c>
      <c r="D852" s="3" t="s">
        <v>16016</v>
      </c>
      <c r="E852" t="s">
        <v>10308</v>
      </c>
      <c r="F852" t="s">
        <v>2677</v>
      </c>
      <c r="G852" t="s">
        <v>18840</v>
      </c>
      <c r="H852" t="s">
        <v>18840</v>
      </c>
    </row>
    <row r="853" spans="1:8" hidden="1" x14ac:dyDescent="0.2">
      <c r="A853" s="3" t="s">
        <v>16017</v>
      </c>
      <c r="B853" s="3" t="s">
        <v>14359</v>
      </c>
      <c r="C853" s="3" t="s">
        <v>2678</v>
      </c>
      <c r="D853" s="3" t="s">
        <v>16018</v>
      </c>
      <c r="E853" t="s">
        <v>10306</v>
      </c>
      <c r="F853" t="s">
        <v>2679</v>
      </c>
      <c r="G853" t="s">
        <v>18840</v>
      </c>
      <c r="H853" t="s">
        <v>18840</v>
      </c>
    </row>
    <row r="854" spans="1:8" hidden="1" x14ac:dyDescent="0.2">
      <c r="A854" s="3" t="s">
        <v>16019</v>
      </c>
      <c r="B854" s="3" t="s">
        <v>14359</v>
      </c>
      <c r="C854" s="3" t="s">
        <v>2680</v>
      </c>
      <c r="D854" s="3" t="s">
        <v>16020</v>
      </c>
      <c r="E854" t="s">
        <v>10303</v>
      </c>
      <c r="F854" t="s">
        <v>19140</v>
      </c>
      <c r="G854" t="s">
        <v>18840</v>
      </c>
      <c r="H854" t="s">
        <v>18840</v>
      </c>
    </row>
    <row r="855" spans="1:8" hidden="1" x14ac:dyDescent="0.2">
      <c r="A855" s="3" t="s">
        <v>16021</v>
      </c>
      <c r="B855" s="3" t="s">
        <v>14359</v>
      </c>
      <c r="C855" s="3" t="s">
        <v>2682</v>
      </c>
      <c r="D855" s="3" t="s">
        <v>16022</v>
      </c>
      <c r="E855" t="s">
        <v>10315</v>
      </c>
      <c r="F855" t="s">
        <v>2683</v>
      </c>
      <c r="G855" t="s">
        <v>18840</v>
      </c>
      <c r="H855" t="s">
        <v>18840</v>
      </c>
    </row>
    <row r="856" spans="1:8" hidden="1" x14ac:dyDescent="0.2">
      <c r="A856" s="3" t="s">
        <v>16023</v>
      </c>
      <c r="B856" s="3" t="s">
        <v>14359</v>
      </c>
      <c r="C856" s="3" t="s">
        <v>2684</v>
      </c>
      <c r="D856" s="3" t="s">
        <v>16024</v>
      </c>
      <c r="E856" t="s">
        <v>10311</v>
      </c>
      <c r="F856" t="s">
        <v>2685</v>
      </c>
      <c r="G856" t="s">
        <v>18840</v>
      </c>
      <c r="H856" t="s">
        <v>18840</v>
      </c>
    </row>
    <row r="857" spans="1:8" hidden="1" x14ac:dyDescent="0.2">
      <c r="A857" s="3" t="s">
        <v>16025</v>
      </c>
      <c r="B857" s="3" t="s">
        <v>14359</v>
      </c>
      <c r="C857" s="3" t="s">
        <v>2686</v>
      </c>
      <c r="D857" s="3" t="s">
        <v>16026</v>
      </c>
      <c r="E857" t="s">
        <v>10305</v>
      </c>
      <c r="F857" t="s">
        <v>2687</v>
      </c>
      <c r="G857" t="s">
        <v>18840</v>
      </c>
      <c r="H857" t="s">
        <v>18840</v>
      </c>
    </row>
    <row r="858" spans="1:8" hidden="1" x14ac:dyDescent="0.2">
      <c r="A858" s="3" t="s">
        <v>16027</v>
      </c>
      <c r="B858" s="3" t="s">
        <v>14359</v>
      </c>
      <c r="C858" s="3" t="s">
        <v>2688</v>
      </c>
      <c r="D858" s="3" t="s">
        <v>16028</v>
      </c>
      <c r="E858" t="s">
        <v>10317</v>
      </c>
      <c r="F858" t="s">
        <v>2689</v>
      </c>
      <c r="G858" t="s">
        <v>18840</v>
      </c>
      <c r="H858" t="s">
        <v>18840</v>
      </c>
    </row>
    <row r="859" spans="1:8" hidden="1" x14ac:dyDescent="0.2">
      <c r="A859" s="3" t="s">
        <v>16029</v>
      </c>
      <c r="B859" s="3" t="s">
        <v>14359</v>
      </c>
      <c r="C859" s="3" t="s">
        <v>2690</v>
      </c>
      <c r="D859" s="3" t="s">
        <v>16030</v>
      </c>
      <c r="E859" t="s">
        <v>10312</v>
      </c>
      <c r="F859" t="s">
        <v>2691</v>
      </c>
      <c r="G859" t="s">
        <v>18840</v>
      </c>
      <c r="H859" t="s">
        <v>18840</v>
      </c>
    </row>
    <row r="860" spans="1:8" hidden="1" x14ac:dyDescent="0.2">
      <c r="A860" s="3" t="s">
        <v>16031</v>
      </c>
      <c r="B860" s="3" t="s">
        <v>14359</v>
      </c>
      <c r="C860" s="3" t="s">
        <v>2692</v>
      </c>
      <c r="D860" s="3" t="s">
        <v>16032</v>
      </c>
      <c r="E860" t="s">
        <v>17114</v>
      </c>
      <c r="F860" t="s">
        <v>2693</v>
      </c>
      <c r="G860" t="s">
        <v>18840</v>
      </c>
      <c r="H860" t="s">
        <v>18840</v>
      </c>
    </row>
    <row r="861" spans="1:8" hidden="1" x14ac:dyDescent="0.2">
      <c r="A861" s="3" t="s">
        <v>16033</v>
      </c>
      <c r="B861" s="3" t="s">
        <v>14359</v>
      </c>
      <c r="C861" s="3" t="s">
        <v>2694</v>
      </c>
      <c r="D861" s="3" t="s">
        <v>16034</v>
      </c>
      <c r="E861" t="s">
        <v>10327</v>
      </c>
      <c r="F861" t="s">
        <v>2695</v>
      </c>
      <c r="G861" t="s">
        <v>18840</v>
      </c>
      <c r="H861" t="s">
        <v>18840</v>
      </c>
    </row>
    <row r="862" spans="1:8" hidden="1" x14ac:dyDescent="0.2">
      <c r="A862" s="3" t="s">
        <v>16035</v>
      </c>
      <c r="B862" s="3" t="s">
        <v>14359</v>
      </c>
      <c r="C862" s="3" t="s">
        <v>2696</v>
      </c>
      <c r="D862" s="3" t="s">
        <v>16036</v>
      </c>
      <c r="E862" t="s">
        <v>10329</v>
      </c>
      <c r="F862" t="s">
        <v>2697</v>
      </c>
      <c r="G862" t="s">
        <v>18840</v>
      </c>
      <c r="H862" t="s">
        <v>18840</v>
      </c>
    </row>
    <row r="863" spans="1:8" hidden="1" x14ac:dyDescent="0.2">
      <c r="A863" s="3" t="s">
        <v>16037</v>
      </c>
      <c r="B863" s="3" t="s">
        <v>14359</v>
      </c>
      <c r="C863" s="3" t="s">
        <v>2698</v>
      </c>
      <c r="D863" s="3" t="s">
        <v>16038</v>
      </c>
      <c r="E863" t="s">
        <v>10332</v>
      </c>
      <c r="F863" t="s">
        <v>2699</v>
      </c>
      <c r="G863" t="s">
        <v>18840</v>
      </c>
      <c r="H863" t="s">
        <v>18840</v>
      </c>
    </row>
    <row r="864" spans="1:8" hidden="1" x14ac:dyDescent="0.2">
      <c r="A864" s="3" t="s">
        <v>16039</v>
      </c>
      <c r="B864" s="3" t="s">
        <v>14359</v>
      </c>
      <c r="C864" s="3" t="s">
        <v>2700</v>
      </c>
      <c r="D864" s="3" t="s">
        <v>16040</v>
      </c>
      <c r="E864" t="s">
        <v>10324</v>
      </c>
      <c r="F864" t="s">
        <v>19141</v>
      </c>
      <c r="G864" t="s">
        <v>18840</v>
      </c>
      <c r="H864" t="s">
        <v>18840</v>
      </c>
    </row>
    <row r="865" spans="1:8" hidden="1" x14ac:dyDescent="0.2">
      <c r="A865" s="3" t="s">
        <v>16041</v>
      </c>
      <c r="B865" s="3" t="s">
        <v>14359</v>
      </c>
      <c r="C865" s="3" t="s">
        <v>2702</v>
      </c>
      <c r="D865" s="3" t="s">
        <v>16042</v>
      </c>
      <c r="E865" t="s">
        <v>10325</v>
      </c>
      <c r="F865" t="s">
        <v>2703</v>
      </c>
      <c r="G865" t="s">
        <v>18840</v>
      </c>
      <c r="H865" t="s">
        <v>18840</v>
      </c>
    </row>
    <row r="866" spans="1:8" hidden="1" x14ac:dyDescent="0.2">
      <c r="A866" s="3" t="s">
        <v>16043</v>
      </c>
      <c r="B866" s="3" t="s">
        <v>14359</v>
      </c>
      <c r="C866" s="3" t="s">
        <v>2704</v>
      </c>
      <c r="D866" s="3" t="s">
        <v>16044</v>
      </c>
      <c r="E866" t="s">
        <v>10326</v>
      </c>
      <c r="F866" t="s">
        <v>2705</v>
      </c>
      <c r="G866" t="s">
        <v>18840</v>
      </c>
      <c r="H866" t="s">
        <v>18840</v>
      </c>
    </row>
    <row r="867" spans="1:8" hidden="1" x14ac:dyDescent="0.2">
      <c r="A867" s="3" t="s">
        <v>16045</v>
      </c>
      <c r="B867" s="3" t="s">
        <v>14359</v>
      </c>
      <c r="C867" s="3" t="s">
        <v>2706</v>
      </c>
      <c r="D867" s="3" t="s">
        <v>16046</v>
      </c>
      <c r="E867" t="s">
        <v>10330</v>
      </c>
      <c r="F867" t="s">
        <v>2707</v>
      </c>
      <c r="G867" t="s">
        <v>18840</v>
      </c>
      <c r="H867" t="s">
        <v>18840</v>
      </c>
    </row>
    <row r="868" spans="1:8" hidden="1" x14ac:dyDescent="0.2">
      <c r="A868" s="3" t="s">
        <v>16047</v>
      </c>
      <c r="B868" s="3" t="s">
        <v>14359</v>
      </c>
      <c r="C868" s="3" t="s">
        <v>2708</v>
      </c>
      <c r="D868" s="3" t="s">
        <v>16048</v>
      </c>
      <c r="E868" t="s">
        <v>10322</v>
      </c>
      <c r="F868" t="s">
        <v>2709</v>
      </c>
      <c r="G868" t="s">
        <v>18840</v>
      </c>
      <c r="H868" t="s">
        <v>18840</v>
      </c>
    </row>
    <row r="869" spans="1:8" hidden="1" x14ac:dyDescent="0.2">
      <c r="A869" s="3" t="s">
        <v>16049</v>
      </c>
      <c r="B869" s="3" t="s">
        <v>14359</v>
      </c>
      <c r="C869" s="3" t="s">
        <v>2710</v>
      </c>
      <c r="D869" s="3" t="s">
        <v>16050</v>
      </c>
      <c r="E869" t="s">
        <v>10328</v>
      </c>
      <c r="F869" t="s">
        <v>14127</v>
      </c>
      <c r="G869" t="s">
        <v>18840</v>
      </c>
      <c r="H869" t="s">
        <v>18840</v>
      </c>
    </row>
    <row r="870" spans="1:8" hidden="1" x14ac:dyDescent="0.2">
      <c r="A870" s="3" t="s">
        <v>16051</v>
      </c>
      <c r="B870" s="3" t="s">
        <v>14359</v>
      </c>
      <c r="C870" s="3" t="s">
        <v>2711</v>
      </c>
      <c r="D870" s="3" t="s">
        <v>16052</v>
      </c>
      <c r="E870" t="s">
        <v>10318</v>
      </c>
      <c r="F870" t="s">
        <v>2712</v>
      </c>
      <c r="G870" t="s">
        <v>18840</v>
      </c>
      <c r="H870" t="s">
        <v>18840</v>
      </c>
    </row>
    <row r="871" spans="1:8" hidden="1" x14ac:dyDescent="0.2">
      <c r="A871" s="3" t="s">
        <v>16053</v>
      </c>
      <c r="B871" s="3" t="s">
        <v>14359</v>
      </c>
      <c r="C871" s="3" t="s">
        <v>2713</v>
      </c>
      <c r="D871" s="3" t="s">
        <v>16054</v>
      </c>
      <c r="E871" t="s">
        <v>18869</v>
      </c>
      <c r="F871" t="s">
        <v>19143</v>
      </c>
      <c r="G871" t="s">
        <v>18840</v>
      </c>
      <c r="H871" t="s">
        <v>18840</v>
      </c>
    </row>
    <row r="872" spans="1:8" hidden="1" x14ac:dyDescent="0.2">
      <c r="A872" s="3" t="s">
        <v>16055</v>
      </c>
      <c r="B872" s="3" t="s">
        <v>14359</v>
      </c>
      <c r="C872" s="3" t="s">
        <v>2714</v>
      </c>
      <c r="D872" s="3" t="s">
        <v>16056</v>
      </c>
      <c r="E872" t="s">
        <v>10331</v>
      </c>
      <c r="F872" t="s">
        <v>2715</v>
      </c>
      <c r="G872" t="s">
        <v>18840</v>
      </c>
      <c r="H872" t="s">
        <v>18840</v>
      </c>
    </row>
    <row r="873" spans="1:8" hidden="1" x14ac:dyDescent="0.2">
      <c r="A873" s="3" t="s">
        <v>16057</v>
      </c>
      <c r="B873" s="3" t="s">
        <v>14359</v>
      </c>
      <c r="C873" s="3" t="s">
        <v>2716</v>
      </c>
      <c r="D873" s="3" t="s">
        <v>16058</v>
      </c>
      <c r="E873" t="s">
        <v>10323</v>
      </c>
      <c r="F873" t="s">
        <v>2717</v>
      </c>
      <c r="G873" t="s">
        <v>18840</v>
      </c>
      <c r="H873" t="s">
        <v>18840</v>
      </c>
    </row>
    <row r="874" spans="1:8" hidden="1" x14ac:dyDescent="0.2">
      <c r="A874" s="3" t="s">
        <v>16059</v>
      </c>
      <c r="B874" s="3" t="s">
        <v>14359</v>
      </c>
      <c r="C874" s="3" t="s">
        <v>2718</v>
      </c>
      <c r="D874" s="3" t="s">
        <v>16060</v>
      </c>
      <c r="E874" t="s">
        <v>10320</v>
      </c>
      <c r="F874" t="s">
        <v>2719</v>
      </c>
      <c r="G874" t="s">
        <v>18840</v>
      </c>
      <c r="H874" t="s">
        <v>18840</v>
      </c>
    </row>
    <row r="875" spans="1:8" hidden="1" x14ac:dyDescent="0.2">
      <c r="A875" s="3" t="s">
        <v>16061</v>
      </c>
      <c r="B875" s="3" t="s">
        <v>14359</v>
      </c>
      <c r="C875" s="3" t="s">
        <v>2720</v>
      </c>
      <c r="D875" s="3" t="s">
        <v>16062</v>
      </c>
      <c r="E875" t="s">
        <v>10333</v>
      </c>
      <c r="F875" t="s">
        <v>2721</v>
      </c>
      <c r="G875" t="s">
        <v>18840</v>
      </c>
      <c r="H875" t="s">
        <v>18840</v>
      </c>
    </row>
    <row r="876" spans="1:8" hidden="1" x14ac:dyDescent="0.2">
      <c r="A876" s="3" t="s">
        <v>16063</v>
      </c>
      <c r="B876" s="3" t="s">
        <v>14359</v>
      </c>
      <c r="C876" s="3" t="s">
        <v>2722</v>
      </c>
      <c r="D876" s="3" t="s">
        <v>16064</v>
      </c>
      <c r="E876" t="s">
        <v>10319</v>
      </c>
      <c r="F876" t="s">
        <v>2723</v>
      </c>
      <c r="G876" t="s">
        <v>18840</v>
      </c>
      <c r="H876" t="s">
        <v>18840</v>
      </c>
    </row>
    <row r="877" spans="1:8" hidden="1" x14ac:dyDescent="0.2">
      <c r="A877" s="3" t="s">
        <v>16065</v>
      </c>
      <c r="B877" s="3" t="s">
        <v>14359</v>
      </c>
      <c r="C877" s="3" t="s">
        <v>2724</v>
      </c>
      <c r="D877" s="3" t="s">
        <v>16066</v>
      </c>
      <c r="E877" t="s">
        <v>17111</v>
      </c>
      <c r="F877" t="s">
        <v>2725</v>
      </c>
      <c r="G877" t="s">
        <v>18840</v>
      </c>
      <c r="H877" t="s">
        <v>18840</v>
      </c>
    </row>
    <row r="878" spans="1:8" hidden="1" x14ac:dyDescent="0.2">
      <c r="A878" s="3" t="s">
        <v>16067</v>
      </c>
      <c r="B878" s="3" t="s">
        <v>14359</v>
      </c>
      <c r="C878" s="3" t="s">
        <v>2726</v>
      </c>
      <c r="D878" s="3" t="s">
        <v>16068</v>
      </c>
      <c r="E878" t="s">
        <v>10335</v>
      </c>
      <c r="F878" t="s">
        <v>2727</v>
      </c>
      <c r="G878" t="s">
        <v>18840</v>
      </c>
      <c r="H878" t="s">
        <v>18840</v>
      </c>
    </row>
    <row r="879" spans="1:8" hidden="1" x14ac:dyDescent="0.2">
      <c r="A879" s="3" t="s">
        <v>16069</v>
      </c>
      <c r="B879" s="3" t="s">
        <v>14359</v>
      </c>
      <c r="C879" s="3" t="s">
        <v>2728</v>
      </c>
      <c r="D879" s="3" t="s">
        <v>16070</v>
      </c>
      <c r="E879" t="s">
        <v>18886</v>
      </c>
      <c r="F879" t="s">
        <v>19144</v>
      </c>
      <c r="G879" t="s">
        <v>18840</v>
      </c>
      <c r="H879" t="s">
        <v>18840</v>
      </c>
    </row>
    <row r="880" spans="1:8" hidden="1" x14ac:dyDescent="0.2">
      <c r="A880" s="3" t="s">
        <v>16071</v>
      </c>
      <c r="B880" s="3" t="s">
        <v>14359</v>
      </c>
      <c r="C880" s="3" t="s">
        <v>2729</v>
      </c>
      <c r="D880" s="3" t="s">
        <v>16072</v>
      </c>
      <c r="E880" t="s">
        <v>10343</v>
      </c>
      <c r="F880" t="s">
        <v>2730</v>
      </c>
      <c r="G880" t="s">
        <v>18840</v>
      </c>
      <c r="H880" t="s">
        <v>18840</v>
      </c>
    </row>
    <row r="881" spans="1:8" hidden="1" x14ac:dyDescent="0.2">
      <c r="A881" s="3" t="s">
        <v>16073</v>
      </c>
      <c r="B881" s="3" t="s">
        <v>14359</v>
      </c>
      <c r="C881" s="3" t="s">
        <v>2731</v>
      </c>
      <c r="D881" s="3" t="s">
        <v>16074</v>
      </c>
      <c r="E881" t="s">
        <v>10342</v>
      </c>
      <c r="F881" t="s">
        <v>14132</v>
      </c>
      <c r="G881" t="s">
        <v>18840</v>
      </c>
      <c r="H881" t="s">
        <v>18840</v>
      </c>
    </row>
    <row r="882" spans="1:8" hidden="1" x14ac:dyDescent="0.2">
      <c r="A882" s="3" t="s">
        <v>16075</v>
      </c>
      <c r="B882" s="3" t="s">
        <v>14359</v>
      </c>
      <c r="C882" s="3" t="s">
        <v>2732</v>
      </c>
      <c r="D882" s="3" t="s">
        <v>15040</v>
      </c>
      <c r="E882" t="s">
        <v>10339</v>
      </c>
      <c r="F882" t="s">
        <v>14131</v>
      </c>
      <c r="G882" t="s">
        <v>18840</v>
      </c>
      <c r="H882" t="s">
        <v>18840</v>
      </c>
    </row>
    <row r="883" spans="1:8" hidden="1" x14ac:dyDescent="0.2">
      <c r="A883" s="3" t="s">
        <v>16076</v>
      </c>
      <c r="B883" s="3" t="s">
        <v>14359</v>
      </c>
      <c r="C883" s="3" t="s">
        <v>2733</v>
      </c>
      <c r="D883" s="3" t="s">
        <v>16077</v>
      </c>
      <c r="E883" t="s">
        <v>10346</v>
      </c>
      <c r="F883" t="s">
        <v>14133</v>
      </c>
      <c r="G883" t="s">
        <v>18840</v>
      </c>
      <c r="H883" t="s">
        <v>18840</v>
      </c>
    </row>
    <row r="884" spans="1:8" hidden="1" x14ac:dyDescent="0.2">
      <c r="A884" s="3" t="s">
        <v>16078</v>
      </c>
      <c r="B884" s="3" t="s">
        <v>14359</v>
      </c>
      <c r="C884" s="3" t="s">
        <v>2734</v>
      </c>
      <c r="D884" s="3" t="s">
        <v>16079</v>
      </c>
      <c r="E884" t="s">
        <v>18890</v>
      </c>
      <c r="F884" t="s">
        <v>19145</v>
      </c>
      <c r="G884" t="s">
        <v>18840</v>
      </c>
      <c r="H884" t="s">
        <v>18840</v>
      </c>
    </row>
    <row r="885" spans="1:8" hidden="1" x14ac:dyDescent="0.2">
      <c r="A885" s="3" t="s">
        <v>16080</v>
      </c>
      <c r="B885" s="3" t="s">
        <v>14359</v>
      </c>
      <c r="C885" s="3" t="s">
        <v>2735</v>
      </c>
      <c r="D885" s="3" t="s">
        <v>16081</v>
      </c>
      <c r="E885" t="s">
        <v>10340</v>
      </c>
      <c r="F885" t="s">
        <v>2736</v>
      </c>
      <c r="G885" t="s">
        <v>18840</v>
      </c>
      <c r="H885" t="s">
        <v>18840</v>
      </c>
    </row>
    <row r="886" spans="1:8" hidden="1" x14ac:dyDescent="0.2">
      <c r="A886" s="3" t="s">
        <v>16082</v>
      </c>
      <c r="B886" s="3" t="s">
        <v>14359</v>
      </c>
      <c r="C886" s="3" t="s">
        <v>2737</v>
      </c>
      <c r="D886" s="3" t="s">
        <v>16083</v>
      </c>
      <c r="E886" t="s">
        <v>10341</v>
      </c>
      <c r="F886" t="s">
        <v>2738</v>
      </c>
      <c r="G886" t="s">
        <v>18840</v>
      </c>
      <c r="H886" t="s">
        <v>18840</v>
      </c>
    </row>
    <row r="887" spans="1:8" hidden="1" x14ac:dyDescent="0.2">
      <c r="A887" s="3" t="s">
        <v>16084</v>
      </c>
      <c r="B887" s="3" t="s">
        <v>14359</v>
      </c>
      <c r="C887" s="3" t="s">
        <v>2739</v>
      </c>
      <c r="D887" s="3" t="s">
        <v>16085</v>
      </c>
      <c r="E887" t="s">
        <v>10348</v>
      </c>
      <c r="F887" t="s">
        <v>2740</v>
      </c>
      <c r="G887" t="s">
        <v>18840</v>
      </c>
      <c r="H887" t="s">
        <v>18840</v>
      </c>
    </row>
    <row r="888" spans="1:8" hidden="1" x14ac:dyDescent="0.2">
      <c r="A888" s="3" t="s">
        <v>16086</v>
      </c>
      <c r="B888" s="3" t="s">
        <v>14359</v>
      </c>
      <c r="C888" s="3" t="s">
        <v>2741</v>
      </c>
      <c r="D888" s="3" t="s">
        <v>16087</v>
      </c>
      <c r="E888" t="s">
        <v>18898</v>
      </c>
      <c r="F888" t="s">
        <v>19147</v>
      </c>
      <c r="G888" t="s">
        <v>18840</v>
      </c>
      <c r="H888" t="s">
        <v>18840</v>
      </c>
    </row>
    <row r="889" spans="1:8" hidden="1" x14ac:dyDescent="0.2">
      <c r="A889" s="3" t="s">
        <v>16088</v>
      </c>
      <c r="B889" s="3" t="s">
        <v>14359</v>
      </c>
      <c r="C889" s="3" t="s">
        <v>2742</v>
      </c>
      <c r="D889" s="3" t="s">
        <v>16089</v>
      </c>
      <c r="E889" t="s">
        <v>10345</v>
      </c>
      <c r="F889" t="s">
        <v>2743</v>
      </c>
      <c r="G889" t="s">
        <v>18840</v>
      </c>
      <c r="H889" t="s">
        <v>18840</v>
      </c>
    </row>
    <row r="890" spans="1:8" hidden="1" x14ac:dyDescent="0.2">
      <c r="A890" s="3" t="s">
        <v>16090</v>
      </c>
      <c r="B890" s="3" t="s">
        <v>14359</v>
      </c>
      <c r="C890" s="3" t="s">
        <v>2744</v>
      </c>
      <c r="D890" s="3" t="s">
        <v>16091</v>
      </c>
      <c r="E890" t="s">
        <v>10347</v>
      </c>
      <c r="F890" t="s">
        <v>2745</v>
      </c>
      <c r="G890" t="s">
        <v>18840</v>
      </c>
      <c r="H890" t="s">
        <v>18840</v>
      </c>
    </row>
    <row r="891" spans="1:8" hidden="1" x14ac:dyDescent="0.2">
      <c r="A891" s="3" t="s">
        <v>16092</v>
      </c>
      <c r="B891" s="3" t="s">
        <v>14359</v>
      </c>
      <c r="C891" s="3" t="s">
        <v>2746</v>
      </c>
      <c r="D891" s="3" t="s">
        <v>16093</v>
      </c>
      <c r="E891" t="s">
        <v>18892</v>
      </c>
      <c r="F891" t="s">
        <v>19146</v>
      </c>
      <c r="G891" t="s">
        <v>18840</v>
      </c>
      <c r="H891" t="s">
        <v>18840</v>
      </c>
    </row>
    <row r="892" spans="1:8" hidden="1" x14ac:dyDescent="0.2">
      <c r="A892" s="3" t="s">
        <v>16094</v>
      </c>
      <c r="B892" s="3" t="s">
        <v>14359</v>
      </c>
      <c r="C892" s="3" t="s">
        <v>2747</v>
      </c>
      <c r="D892" s="3" t="s">
        <v>16095</v>
      </c>
      <c r="E892" t="s">
        <v>10336</v>
      </c>
      <c r="F892" t="s">
        <v>2748</v>
      </c>
      <c r="G892" t="s">
        <v>18840</v>
      </c>
      <c r="H892" t="s">
        <v>18840</v>
      </c>
    </row>
    <row r="893" spans="1:8" hidden="1" x14ac:dyDescent="0.2">
      <c r="A893" s="3" t="s">
        <v>16096</v>
      </c>
      <c r="B893" s="3" t="s">
        <v>14359</v>
      </c>
      <c r="C893" s="3" t="s">
        <v>2749</v>
      </c>
      <c r="D893" s="3" t="s">
        <v>16097</v>
      </c>
      <c r="E893" t="s">
        <v>10337</v>
      </c>
      <c r="F893" t="s">
        <v>14129</v>
      </c>
      <c r="G893" t="s">
        <v>18840</v>
      </c>
      <c r="H893" t="s">
        <v>18840</v>
      </c>
    </row>
    <row r="894" spans="1:8" hidden="1" x14ac:dyDescent="0.2">
      <c r="A894" s="3" t="s">
        <v>16098</v>
      </c>
      <c r="B894" s="3" t="s">
        <v>14359</v>
      </c>
      <c r="C894" s="3" t="s">
        <v>2751</v>
      </c>
      <c r="D894" s="3" t="s">
        <v>16099</v>
      </c>
      <c r="E894" t="s">
        <v>10353</v>
      </c>
      <c r="F894" t="s">
        <v>2752</v>
      </c>
      <c r="G894" t="s">
        <v>18840</v>
      </c>
      <c r="H894" t="s">
        <v>18840</v>
      </c>
    </row>
    <row r="895" spans="1:8" hidden="1" x14ac:dyDescent="0.2">
      <c r="A895" s="3" t="s">
        <v>16100</v>
      </c>
      <c r="B895" s="3" t="s">
        <v>14359</v>
      </c>
      <c r="C895" s="3" t="s">
        <v>2753</v>
      </c>
      <c r="D895" s="3" t="s">
        <v>16101</v>
      </c>
      <c r="E895" t="s">
        <v>10357</v>
      </c>
      <c r="F895" t="s">
        <v>2754</v>
      </c>
      <c r="G895" t="s">
        <v>18840</v>
      </c>
      <c r="H895" t="s">
        <v>18840</v>
      </c>
    </row>
    <row r="896" spans="1:8" hidden="1" x14ac:dyDescent="0.2">
      <c r="A896" s="3" t="s">
        <v>16102</v>
      </c>
      <c r="B896" s="3" t="s">
        <v>14359</v>
      </c>
      <c r="C896" s="3" t="s">
        <v>2755</v>
      </c>
      <c r="D896" s="3" t="s">
        <v>16103</v>
      </c>
      <c r="E896" t="s">
        <v>10355</v>
      </c>
      <c r="F896" t="s">
        <v>2756</v>
      </c>
      <c r="G896" t="s">
        <v>18840</v>
      </c>
      <c r="H896" t="s">
        <v>18840</v>
      </c>
    </row>
    <row r="897" spans="1:8" hidden="1" x14ac:dyDescent="0.2">
      <c r="A897" s="3" t="s">
        <v>16104</v>
      </c>
      <c r="B897" s="3" t="s">
        <v>14359</v>
      </c>
      <c r="C897" s="3" t="s">
        <v>2757</v>
      </c>
      <c r="D897" s="3" t="s">
        <v>16105</v>
      </c>
      <c r="E897" t="s">
        <v>10352</v>
      </c>
      <c r="F897" t="s">
        <v>2758</v>
      </c>
      <c r="G897" t="s">
        <v>18840</v>
      </c>
      <c r="H897" t="s">
        <v>18840</v>
      </c>
    </row>
    <row r="898" spans="1:8" hidden="1" x14ac:dyDescent="0.2">
      <c r="A898" s="3" t="s">
        <v>16106</v>
      </c>
      <c r="B898" s="3" t="s">
        <v>14359</v>
      </c>
      <c r="C898" s="3" t="s">
        <v>2759</v>
      </c>
      <c r="D898" s="3" t="s">
        <v>16107</v>
      </c>
      <c r="E898" t="s">
        <v>17112</v>
      </c>
      <c r="F898" t="s">
        <v>14271</v>
      </c>
      <c r="G898" t="s">
        <v>18840</v>
      </c>
      <c r="H898" t="s">
        <v>18840</v>
      </c>
    </row>
    <row r="899" spans="1:8" hidden="1" x14ac:dyDescent="0.2">
      <c r="A899" s="3" t="s">
        <v>16108</v>
      </c>
      <c r="B899" s="3" t="s">
        <v>14359</v>
      </c>
      <c r="C899" s="3" t="s">
        <v>2760</v>
      </c>
      <c r="D899" s="3" t="s">
        <v>16109</v>
      </c>
      <c r="E899" t="s">
        <v>10351</v>
      </c>
      <c r="F899" t="s">
        <v>2761</v>
      </c>
      <c r="G899" t="s">
        <v>18840</v>
      </c>
      <c r="H899" t="s">
        <v>18840</v>
      </c>
    </row>
    <row r="900" spans="1:8" hidden="1" x14ac:dyDescent="0.2">
      <c r="A900" s="3" t="s">
        <v>16110</v>
      </c>
      <c r="B900" s="3" t="s">
        <v>14359</v>
      </c>
      <c r="C900" s="3" t="s">
        <v>2762</v>
      </c>
      <c r="D900" s="3" t="s">
        <v>16111</v>
      </c>
      <c r="E900" t="s">
        <v>10356</v>
      </c>
      <c r="F900" t="s">
        <v>2763</v>
      </c>
      <c r="G900" t="s">
        <v>18840</v>
      </c>
      <c r="H900" t="s">
        <v>18840</v>
      </c>
    </row>
    <row r="901" spans="1:8" hidden="1" x14ac:dyDescent="0.2">
      <c r="A901" s="3" t="s">
        <v>16112</v>
      </c>
      <c r="B901" s="3" t="s">
        <v>14359</v>
      </c>
      <c r="C901" s="3" t="s">
        <v>2764</v>
      </c>
      <c r="D901" s="3" t="s">
        <v>16113</v>
      </c>
      <c r="E901" t="s">
        <v>10349</v>
      </c>
      <c r="F901" t="s">
        <v>2765</v>
      </c>
      <c r="G901" t="s">
        <v>18840</v>
      </c>
      <c r="H901" t="s">
        <v>18840</v>
      </c>
    </row>
    <row r="902" spans="1:8" hidden="1" x14ac:dyDescent="0.2">
      <c r="A902" s="3" t="s">
        <v>16114</v>
      </c>
      <c r="B902" s="3" t="s">
        <v>14359</v>
      </c>
      <c r="C902" s="3" t="s">
        <v>2766</v>
      </c>
      <c r="D902" s="3" t="s">
        <v>16115</v>
      </c>
      <c r="E902" t="s">
        <v>17115</v>
      </c>
      <c r="F902" t="s">
        <v>2767</v>
      </c>
      <c r="G902" t="s">
        <v>18840</v>
      </c>
      <c r="H902" t="s">
        <v>18840</v>
      </c>
    </row>
    <row r="903" spans="1:8" hidden="1" x14ac:dyDescent="0.2">
      <c r="A903" s="3" t="s">
        <v>16116</v>
      </c>
      <c r="B903" s="3" t="s">
        <v>14359</v>
      </c>
      <c r="C903" s="3" t="s">
        <v>2768</v>
      </c>
      <c r="D903" s="3" t="s">
        <v>16117</v>
      </c>
      <c r="E903" t="s">
        <v>18908</v>
      </c>
      <c r="F903" t="s">
        <v>19148</v>
      </c>
      <c r="G903" t="s">
        <v>18840</v>
      </c>
      <c r="H903" t="s">
        <v>18840</v>
      </c>
    </row>
    <row r="904" spans="1:8" hidden="1" x14ac:dyDescent="0.2">
      <c r="A904" s="3" t="s">
        <v>16118</v>
      </c>
      <c r="B904" s="3" t="s">
        <v>14359</v>
      </c>
      <c r="C904" s="3" t="s">
        <v>2769</v>
      </c>
      <c r="D904" s="3" t="s">
        <v>16119</v>
      </c>
      <c r="E904" t="s">
        <v>10360</v>
      </c>
      <c r="F904" t="s">
        <v>2770</v>
      </c>
      <c r="G904" t="s">
        <v>18840</v>
      </c>
      <c r="H904" t="s">
        <v>18840</v>
      </c>
    </row>
    <row r="905" spans="1:8" hidden="1" x14ac:dyDescent="0.2">
      <c r="A905" s="3" t="s">
        <v>16120</v>
      </c>
      <c r="B905" s="3" t="s">
        <v>14359</v>
      </c>
      <c r="C905" s="3" t="s">
        <v>2771</v>
      </c>
      <c r="D905" s="3" t="s">
        <v>16121</v>
      </c>
      <c r="E905" t="s">
        <v>10359</v>
      </c>
      <c r="F905" t="s">
        <v>2772</v>
      </c>
      <c r="G905" t="s">
        <v>18840</v>
      </c>
      <c r="H905" t="s">
        <v>18840</v>
      </c>
    </row>
    <row r="906" spans="1:8" hidden="1" x14ac:dyDescent="0.2">
      <c r="A906" s="3" t="s">
        <v>16122</v>
      </c>
      <c r="B906" s="3" t="s">
        <v>14359</v>
      </c>
      <c r="C906" s="3" t="s">
        <v>2773</v>
      </c>
      <c r="D906" s="3" t="s">
        <v>16123</v>
      </c>
      <c r="E906" t="s">
        <v>10350</v>
      </c>
      <c r="F906" t="s">
        <v>2774</v>
      </c>
      <c r="G906" t="s">
        <v>18840</v>
      </c>
      <c r="H906" t="s">
        <v>18840</v>
      </c>
    </row>
    <row r="907" spans="1:8" hidden="1" x14ac:dyDescent="0.2">
      <c r="A907" s="3" t="s">
        <v>16124</v>
      </c>
      <c r="B907" s="3" t="s">
        <v>14359</v>
      </c>
      <c r="C907" s="3" t="s">
        <v>2775</v>
      </c>
      <c r="D907" s="3" t="s">
        <v>16125</v>
      </c>
      <c r="E907" t="s">
        <v>18914</v>
      </c>
      <c r="F907" t="s">
        <v>19149</v>
      </c>
      <c r="G907" t="s">
        <v>18840</v>
      </c>
      <c r="H907" t="s">
        <v>18840</v>
      </c>
    </row>
    <row r="908" spans="1:8" hidden="1" x14ac:dyDescent="0.2">
      <c r="A908" s="3" t="s">
        <v>16126</v>
      </c>
      <c r="B908" s="3" t="s">
        <v>14359</v>
      </c>
      <c r="C908" s="3" t="s">
        <v>2776</v>
      </c>
      <c r="D908" s="3" t="s">
        <v>16127</v>
      </c>
      <c r="E908" t="s">
        <v>18916</v>
      </c>
      <c r="F908" t="s">
        <v>19150</v>
      </c>
      <c r="G908" t="s">
        <v>18840</v>
      </c>
      <c r="H908" t="s">
        <v>18840</v>
      </c>
    </row>
    <row r="909" spans="1:8" hidden="1" x14ac:dyDescent="0.2">
      <c r="A909" s="3" t="s">
        <v>16128</v>
      </c>
      <c r="B909" s="3" t="s">
        <v>14359</v>
      </c>
      <c r="C909" s="3" t="s">
        <v>2777</v>
      </c>
      <c r="D909" s="3" t="s">
        <v>16129</v>
      </c>
      <c r="E909" t="s">
        <v>10362</v>
      </c>
      <c r="F909" t="s">
        <v>2778</v>
      </c>
      <c r="G909" t="s">
        <v>18840</v>
      </c>
      <c r="H909" t="s">
        <v>18840</v>
      </c>
    </row>
    <row r="910" spans="1:8" hidden="1" x14ac:dyDescent="0.2">
      <c r="A910" s="3" t="s">
        <v>16130</v>
      </c>
      <c r="B910" s="3" t="s">
        <v>14359</v>
      </c>
      <c r="C910" s="3" t="s">
        <v>2779</v>
      </c>
      <c r="D910" s="3" t="s">
        <v>16131</v>
      </c>
      <c r="E910" t="s">
        <v>10361</v>
      </c>
      <c r="F910" t="s">
        <v>2780</v>
      </c>
      <c r="G910" t="s">
        <v>18840</v>
      </c>
      <c r="H910" t="s">
        <v>18840</v>
      </c>
    </row>
    <row r="911" spans="1:8" hidden="1" x14ac:dyDescent="0.2">
      <c r="A911" s="3" t="s">
        <v>16132</v>
      </c>
      <c r="B911" s="3" t="s">
        <v>14359</v>
      </c>
      <c r="C911" s="3" t="s">
        <v>2781</v>
      </c>
      <c r="D911" s="3" t="s">
        <v>15040</v>
      </c>
      <c r="E911" t="s">
        <v>10379</v>
      </c>
      <c r="F911" t="s">
        <v>2782</v>
      </c>
      <c r="G911" t="s">
        <v>18840</v>
      </c>
      <c r="H911" t="s">
        <v>18840</v>
      </c>
    </row>
    <row r="912" spans="1:8" hidden="1" x14ac:dyDescent="0.2">
      <c r="A912" s="3" t="s">
        <v>16133</v>
      </c>
      <c r="B912" s="3" t="s">
        <v>14359</v>
      </c>
      <c r="C912" s="3" t="s">
        <v>2783</v>
      </c>
      <c r="D912" s="3" t="s">
        <v>16134</v>
      </c>
      <c r="E912" t="s">
        <v>10372</v>
      </c>
      <c r="F912" t="s">
        <v>2784</v>
      </c>
      <c r="G912" t="s">
        <v>18840</v>
      </c>
      <c r="H912" t="s">
        <v>18840</v>
      </c>
    </row>
    <row r="913" spans="1:8" hidden="1" x14ac:dyDescent="0.2">
      <c r="A913" s="3" t="s">
        <v>16135</v>
      </c>
      <c r="B913" s="3" t="s">
        <v>14359</v>
      </c>
      <c r="C913" s="3" t="s">
        <v>2785</v>
      </c>
      <c r="D913" s="3" t="s">
        <v>16136</v>
      </c>
      <c r="E913" t="s">
        <v>10383</v>
      </c>
      <c r="F913" t="s">
        <v>2786</v>
      </c>
      <c r="G913" t="s">
        <v>18840</v>
      </c>
      <c r="H913" t="s">
        <v>18840</v>
      </c>
    </row>
    <row r="914" spans="1:8" hidden="1" x14ac:dyDescent="0.2">
      <c r="A914" s="3" t="s">
        <v>16137</v>
      </c>
      <c r="B914" s="3" t="s">
        <v>14359</v>
      </c>
      <c r="C914" s="3" t="s">
        <v>2787</v>
      </c>
      <c r="D914" s="3" t="s">
        <v>16138</v>
      </c>
      <c r="E914" t="s">
        <v>10377</v>
      </c>
      <c r="F914" t="s">
        <v>2788</v>
      </c>
      <c r="G914" t="s">
        <v>18840</v>
      </c>
      <c r="H914" t="s">
        <v>18840</v>
      </c>
    </row>
    <row r="915" spans="1:8" hidden="1" x14ac:dyDescent="0.2">
      <c r="A915" s="3" t="s">
        <v>16139</v>
      </c>
      <c r="B915" s="3" t="s">
        <v>14359</v>
      </c>
      <c r="C915" s="3" t="s">
        <v>2789</v>
      </c>
      <c r="D915" s="3" t="s">
        <v>16140</v>
      </c>
      <c r="E915" t="s">
        <v>10376</v>
      </c>
      <c r="F915" t="s">
        <v>2790</v>
      </c>
      <c r="G915" t="s">
        <v>18840</v>
      </c>
      <c r="H915" t="s">
        <v>18840</v>
      </c>
    </row>
    <row r="916" spans="1:8" hidden="1" x14ac:dyDescent="0.2">
      <c r="A916" s="3" t="s">
        <v>16141</v>
      </c>
      <c r="B916" s="3" t="s">
        <v>14359</v>
      </c>
      <c r="C916" s="3" t="s">
        <v>2791</v>
      </c>
      <c r="D916" s="3" t="s">
        <v>16142</v>
      </c>
      <c r="E916" t="s">
        <v>10367</v>
      </c>
      <c r="F916" t="s">
        <v>2792</v>
      </c>
      <c r="G916" t="s">
        <v>18840</v>
      </c>
      <c r="H916" t="s">
        <v>18840</v>
      </c>
    </row>
    <row r="917" spans="1:8" hidden="1" x14ac:dyDescent="0.2">
      <c r="A917" s="3" t="s">
        <v>16143</v>
      </c>
      <c r="B917" s="3" t="s">
        <v>14359</v>
      </c>
      <c r="C917" s="3" t="s">
        <v>2793</v>
      </c>
      <c r="D917" s="3" t="s">
        <v>16144</v>
      </c>
      <c r="E917" t="s">
        <v>10374</v>
      </c>
      <c r="F917" t="s">
        <v>2794</v>
      </c>
      <c r="G917" t="s">
        <v>18840</v>
      </c>
      <c r="H917" t="s">
        <v>18840</v>
      </c>
    </row>
    <row r="918" spans="1:8" hidden="1" x14ac:dyDescent="0.2">
      <c r="A918" s="3" t="s">
        <v>16145</v>
      </c>
      <c r="B918" s="3" t="s">
        <v>14359</v>
      </c>
      <c r="C918" s="3" t="s">
        <v>2795</v>
      </c>
      <c r="D918" s="3" t="s">
        <v>16146</v>
      </c>
      <c r="E918" t="s">
        <v>10381</v>
      </c>
      <c r="F918" t="s">
        <v>2796</v>
      </c>
      <c r="G918" t="s">
        <v>18840</v>
      </c>
      <c r="H918" t="s">
        <v>18840</v>
      </c>
    </row>
    <row r="919" spans="1:8" hidden="1" x14ac:dyDescent="0.2">
      <c r="A919" s="3" t="s">
        <v>16147</v>
      </c>
      <c r="B919" s="3" t="s">
        <v>14359</v>
      </c>
      <c r="C919" s="3" t="s">
        <v>2797</v>
      </c>
      <c r="D919" s="3" t="s">
        <v>15040</v>
      </c>
      <c r="E919" t="s">
        <v>10382</v>
      </c>
      <c r="F919" t="s">
        <v>2798</v>
      </c>
      <c r="G919" t="s">
        <v>18840</v>
      </c>
      <c r="H919" t="s">
        <v>18840</v>
      </c>
    </row>
    <row r="920" spans="1:8" hidden="1" x14ac:dyDescent="0.2">
      <c r="A920" s="3" t="s">
        <v>16148</v>
      </c>
      <c r="B920" s="3" t="s">
        <v>14359</v>
      </c>
      <c r="C920" s="3" t="s">
        <v>2799</v>
      </c>
      <c r="D920" s="3" t="s">
        <v>16149</v>
      </c>
      <c r="E920" t="s">
        <v>10370</v>
      </c>
      <c r="F920" t="s">
        <v>2800</v>
      </c>
      <c r="G920" t="s">
        <v>18840</v>
      </c>
      <c r="H920" t="s">
        <v>18840</v>
      </c>
    </row>
    <row r="921" spans="1:8" hidden="1" x14ac:dyDescent="0.2">
      <c r="A921" s="3" t="s">
        <v>16150</v>
      </c>
      <c r="B921" s="3" t="s">
        <v>14359</v>
      </c>
      <c r="C921" s="3" t="s">
        <v>2801</v>
      </c>
      <c r="D921" s="3" t="s">
        <v>16151</v>
      </c>
      <c r="E921" t="s">
        <v>10378</v>
      </c>
      <c r="F921" t="s">
        <v>2802</v>
      </c>
      <c r="G921" t="s">
        <v>18840</v>
      </c>
      <c r="H921" t="s">
        <v>18840</v>
      </c>
    </row>
    <row r="922" spans="1:8" hidden="1" x14ac:dyDescent="0.2">
      <c r="A922" s="3" t="s">
        <v>16152</v>
      </c>
      <c r="B922" s="3" t="s">
        <v>14359</v>
      </c>
      <c r="C922" s="3" t="s">
        <v>2803</v>
      </c>
      <c r="D922" s="3" t="s">
        <v>16153</v>
      </c>
      <c r="E922" t="s">
        <v>10363</v>
      </c>
      <c r="F922" t="s">
        <v>2804</v>
      </c>
      <c r="G922" t="s">
        <v>18840</v>
      </c>
      <c r="H922" t="s">
        <v>18840</v>
      </c>
    </row>
    <row r="923" spans="1:8" hidden="1" x14ac:dyDescent="0.2">
      <c r="A923" s="3" t="s">
        <v>16154</v>
      </c>
      <c r="B923" s="3" t="s">
        <v>14359</v>
      </c>
      <c r="C923" s="3" t="s">
        <v>2805</v>
      </c>
      <c r="D923" s="3" t="s">
        <v>16155</v>
      </c>
      <c r="E923" t="s">
        <v>10366</v>
      </c>
      <c r="F923" t="s">
        <v>2806</v>
      </c>
      <c r="G923" t="s">
        <v>18840</v>
      </c>
      <c r="H923" t="s">
        <v>18840</v>
      </c>
    </row>
    <row r="924" spans="1:8" hidden="1" x14ac:dyDescent="0.2">
      <c r="A924" s="3" t="s">
        <v>16156</v>
      </c>
      <c r="B924" s="3" t="s">
        <v>14359</v>
      </c>
      <c r="C924" s="3" t="s">
        <v>2807</v>
      </c>
      <c r="D924" s="3" t="s">
        <v>15040</v>
      </c>
      <c r="E924" t="s">
        <v>18927</v>
      </c>
      <c r="F924" t="s">
        <v>19151</v>
      </c>
      <c r="G924" t="s">
        <v>18840</v>
      </c>
      <c r="H924" t="s">
        <v>18840</v>
      </c>
    </row>
    <row r="925" spans="1:8" hidden="1" x14ac:dyDescent="0.2">
      <c r="A925" s="3" t="s">
        <v>16157</v>
      </c>
      <c r="B925" s="3" t="s">
        <v>14359</v>
      </c>
      <c r="C925" s="3" t="s">
        <v>2808</v>
      </c>
      <c r="D925" s="3" t="s">
        <v>16158</v>
      </c>
      <c r="E925" t="s">
        <v>10369</v>
      </c>
      <c r="F925" t="s">
        <v>2809</v>
      </c>
      <c r="G925" t="s">
        <v>18840</v>
      </c>
      <c r="H925" t="s">
        <v>18840</v>
      </c>
    </row>
    <row r="926" spans="1:8" hidden="1" x14ac:dyDescent="0.2">
      <c r="A926" s="3" t="s">
        <v>16159</v>
      </c>
      <c r="B926" s="3" t="s">
        <v>14359</v>
      </c>
      <c r="C926" s="3" t="s">
        <v>2810</v>
      </c>
      <c r="D926" s="3" t="s">
        <v>16160</v>
      </c>
      <c r="E926" t="s">
        <v>10368</v>
      </c>
      <c r="F926" t="s">
        <v>2811</v>
      </c>
      <c r="G926" t="s">
        <v>18840</v>
      </c>
      <c r="H926" t="s">
        <v>18840</v>
      </c>
    </row>
    <row r="927" spans="1:8" hidden="1" x14ac:dyDescent="0.2">
      <c r="A927" s="3" t="s">
        <v>16161</v>
      </c>
      <c r="B927" s="3" t="s">
        <v>14359</v>
      </c>
      <c r="C927" s="3" t="s">
        <v>2812</v>
      </c>
      <c r="D927" s="3" t="s">
        <v>16162</v>
      </c>
      <c r="E927" t="s">
        <v>10371</v>
      </c>
      <c r="F927" t="s">
        <v>2813</v>
      </c>
      <c r="G927" t="s">
        <v>18840</v>
      </c>
      <c r="H927" t="s">
        <v>18840</v>
      </c>
    </row>
    <row r="928" spans="1:8" hidden="1" x14ac:dyDescent="0.2">
      <c r="A928" s="3" t="s">
        <v>16163</v>
      </c>
      <c r="B928" s="3" t="s">
        <v>14359</v>
      </c>
      <c r="C928" s="3" t="s">
        <v>2814</v>
      </c>
      <c r="D928" s="3" t="s">
        <v>16164</v>
      </c>
      <c r="E928" t="s">
        <v>10393</v>
      </c>
      <c r="F928" t="s">
        <v>2815</v>
      </c>
      <c r="G928" t="s">
        <v>18840</v>
      </c>
      <c r="H928" t="s">
        <v>18840</v>
      </c>
    </row>
    <row r="929" spans="1:8" hidden="1" x14ac:dyDescent="0.2">
      <c r="A929" s="3" t="s">
        <v>16165</v>
      </c>
      <c r="B929" s="3" t="s">
        <v>14359</v>
      </c>
      <c r="C929" s="3" t="s">
        <v>2816</v>
      </c>
      <c r="D929" s="3" t="s">
        <v>16166</v>
      </c>
      <c r="E929" t="s">
        <v>18944</v>
      </c>
      <c r="F929" t="s">
        <v>19153</v>
      </c>
      <c r="G929" t="s">
        <v>18840</v>
      </c>
      <c r="H929" t="s">
        <v>18840</v>
      </c>
    </row>
    <row r="930" spans="1:8" hidden="1" x14ac:dyDescent="0.2">
      <c r="A930" s="3" t="s">
        <v>16167</v>
      </c>
      <c r="B930" s="3" t="s">
        <v>14359</v>
      </c>
      <c r="C930" s="3" t="s">
        <v>2817</v>
      </c>
      <c r="D930" s="3" t="s">
        <v>16168</v>
      </c>
      <c r="E930" t="s">
        <v>10396</v>
      </c>
      <c r="F930" t="s">
        <v>2818</v>
      </c>
      <c r="G930" t="s">
        <v>18840</v>
      </c>
      <c r="H930" t="s">
        <v>18840</v>
      </c>
    </row>
    <row r="931" spans="1:8" hidden="1" x14ac:dyDescent="0.2">
      <c r="A931" s="3" t="s">
        <v>16169</v>
      </c>
      <c r="B931" s="3" t="s">
        <v>14359</v>
      </c>
      <c r="C931" s="3" t="s">
        <v>2819</v>
      </c>
      <c r="D931" s="3" t="s">
        <v>16170</v>
      </c>
      <c r="E931" t="s">
        <v>10397</v>
      </c>
      <c r="F931" t="s">
        <v>2820</v>
      </c>
      <c r="G931" t="s">
        <v>18840</v>
      </c>
      <c r="H931" t="s">
        <v>18840</v>
      </c>
    </row>
    <row r="932" spans="1:8" hidden="1" x14ac:dyDescent="0.2">
      <c r="A932" s="3" t="s">
        <v>16171</v>
      </c>
      <c r="B932" s="3" t="s">
        <v>14359</v>
      </c>
      <c r="C932" s="3" t="s">
        <v>2821</v>
      </c>
      <c r="D932" s="3" t="s">
        <v>16172</v>
      </c>
      <c r="E932" t="s">
        <v>10391</v>
      </c>
      <c r="F932" t="s">
        <v>2822</v>
      </c>
      <c r="G932" t="s">
        <v>18840</v>
      </c>
      <c r="H932" t="s">
        <v>18840</v>
      </c>
    </row>
    <row r="933" spans="1:8" hidden="1" x14ac:dyDescent="0.2">
      <c r="A933" s="3" t="s">
        <v>16173</v>
      </c>
      <c r="B933" s="3" t="s">
        <v>14359</v>
      </c>
      <c r="C933" s="3" t="s">
        <v>2823</v>
      </c>
      <c r="D933" s="3" t="s">
        <v>16174</v>
      </c>
      <c r="E933" t="s">
        <v>10389</v>
      </c>
      <c r="F933" t="s">
        <v>2824</v>
      </c>
      <c r="G933" t="s">
        <v>18840</v>
      </c>
      <c r="H933" t="s">
        <v>18840</v>
      </c>
    </row>
    <row r="934" spans="1:8" hidden="1" x14ac:dyDescent="0.2">
      <c r="A934" s="3" t="s">
        <v>16175</v>
      </c>
      <c r="B934" s="3" t="s">
        <v>14359</v>
      </c>
      <c r="C934" s="3" t="s">
        <v>2825</v>
      </c>
      <c r="D934" s="3" t="s">
        <v>16176</v>
      </c>
      <c r="E934" t="s">
        <v>10403</v>
      </c>
      <c r="F934" t="s">
        <v>2826</v>
      </c>
      <c r="G934" t="s">
        <v>18840</v>
      </c>
      <c r="H934" t="s">
        <v>18840</v>
      </c>
    </row>
    <row r="935" spans="1:8" hidden="1" x14ac:dyDescent="0.2">
      <c r="A935" s="3" t="s">
        <v>16177</v>
      </c>
      <c r="B935" s="3" t="s">
        <v>14359</v>
      </c>
      <c r="C935" s="3" t="s">
        <v>2827</v>
      </c>
      <c r="D935" s="3" t="s">
        <v>16178</v>
      </c>
      <c r="E935" t="s">
        <v>10404</v>
      </c>
      <c r="F935" t="s">
        <v>2828</v>
      </c>
      <c r="G935" t="s">
        <v>18840</v>
      </c>
      <c r="H935" t="s">
        <v>18840</v>
      </c>
    </row>
    <row r="936" spans="1:8" hidden="1" x14ac:dyDescent="0.2">
      <c r="A936" s="3" t="s">
        <v>16179</v>
      </c>
      <c r="B936" s="3" t="s">
        <v>14359</v>
      </c>
      <c r="C936" s="3" t="s">
        <v>2829</v>
      </c>
      <c r="D936" s="3" t="s">
        <v>16180</v>
      </c>
      <c r="E936" t="s">
        <v>10395</v>
      </c>
      <c r="F936" t="s">
        <v>2830</v>
      </c>
      <c r="G936" t="s">
        <v>18840</v>
      </c>
      <c r="H936" t="s">
        <v>18840</v>
      </c>
    </row>
    <row r="937" spans="1:8" hidden="1" x14ac:dyDescent="0.2">
      <c r="A937" s="3" t="s">
        <v>16181</v>
      </c>
      <c r="B937" s="3" t="s">
        <v>14359</v>
      </c>
      <c r="C937" s="3" t="s">
        <v>2831</v>
      </c>
      <c r="D937" s="3" t="s">
        <v>15040</v>
      </c>
      <c r="E937" t="s">
        <v>18941</v>
      </c>
      <c r="F937" t="s">
        <v>19152</v>
      </c>
      <c r="G937" t="s">
        <v>18840</v>
      </c>
      <c r="H937" t="s">
        <v>18840</v>
      </c>
    </row>
    <row r="938" spans="1:8" hidden="1" x14ac:dyDescent="0.2">
      <c r="A938" s="3" t="s">
        <v>16182</v>
      </c>
      <c r="B938" s="3" t="s">
        <v>14359</v>
      </c>
      <c r="C938" s="3" t="s">
        <v>2832</v>
      </c>
      <c r="D938" s="3" t="s">
        <v>16183</v>
      </c>
      <c r="E938" t="s">
        <v>10399</v>
      </c>
      <c r="F938" t="s">
        <v>2833</v>
      </c>
      <c r="G938" t="s">
        <v>18840</v>
      </c>
      <c r="H938" t="s">
        <v>18840</v>
      </c>
    </row>
    <row r="939" spans="1:8" hidden="1" x14ac:dyDescent="0.2">
      <c r="A939" s="3" t="s">
        <v>16184</v>
      </c>
      <c r="B939" s="3" t="s">
        <v>14359</v>
      </c>
      <c r="C939" s="3" t="s">
        <v>2834</v>
      </c>
      <c r="D939" s="3" t="s">
        <v>16185</v>
      </c>
      <c r="E939" t="s">
        <v>10401</v>
      </c>
      <c r="F939" t="s">
        <v>2835</v>
      </c>
      <c r="G939" t="s">
        <v>18840</v>
      </c>
      <c r="H939" t="s">
        <v>18840</v>
      </c>
    </row>
    <row r="940" spans="1:8" hidden="1" x14ac:dyDescent="0.2">
      <c r="A940" s="3" t="s">
        <v>16186</v>
      </c>
      <c r="B940" s="3" t="s">
        <v>14359</v>
      </c>
      <c r="C940" s="3" t="s">
        <v>2836</v>
      </c>
      <c r="D940" s="3" t="s">
        <v>16187</v>
      </c>
      <c r="E940" t="s">
        <v>10398</v>
      </c>
      <c r="F940" t="s">
        <v>2837</v>
      </c>
      <c r="G940" t="s">
        <v>18840</v>
      </c>
      <c r="H940" t="s">
        <v>18840</v>
      </c>
    </row>
    <row r="941" spans="1:8" hidden="1" x14ac:dyDescent="0.2">
      <c r="A941" s="3" t="s">
        <v>16188</v>
      </c>
      <c r="B941" s="3" t="s">
        <v>14359</v>
      </c>
      <c r="C941" s="3" t="s">
        <v>2838</v>
      </c>
      <c r="D941" s="3" t="s">
        <v>16189</v>
      </c>
      <c r="E941" t="s">
        <v>10405</v>
      </c>
      <c r="F941" t="s">
        <v>2839</v>
      </c>
      <c r="G941" t="s">
        <v>18840</v>
      </c>
      <c r="H941" t="s">
        <v>18840</v>
      </c>
    </row>
    <row r="942" spans="1:8" hidden="1" x14ac:dyDescent="0.2">
      <c r="A942" s="3" t="s">
        <v>16190</v>
      </c>
      <c r="B942" s="3" t="s">
        <v>14359</v>
      </c>
      <c r="C942" s="3" t="s">
        <v>2840</v>
      </c>
      <c r="D942" s="3" t="s">
        <v>16191</v>
      </c>
      <c r="E942" t="s">
        <v>10406</v>
      </c>
      <c r="F942" t="s">
        <v>2841</v>
      </c>
      <c r="G942" t="s">
        <v>18840</v>
      </c>
      <c r="H942" t="s">
        <v>18840</v>
      </c>
    </row>
    <row r="943" spans="1:8" hidden="1" x14ac:dyDescent="0.2">
      <c r="A943" s="3" t="s">
        <v>16192</v>
      </c>
      <c r="B943" s="3" t="s">
        <v>14359</v>
      </c>
      <c r="C943" s="3" t="s">
        <v>2842</v>
      </c>
      <c r="D943" s="3" t="s">
        <v>16193</v>
      </c>
      <c r="E943" t="s">
        <v>10386</v>
      </c>
      <c r="F943" t="s">
        <v>2843</v>
      </c>
      <c r="G943" t="s">
        <v>18840</v>
      </c>
      <c r="H943" t="s">
        <v>18840</v>
      </c>
    </row>
    <row r="944" spans="1:8" hidden="1" x14ac:dyDescent="0.2">
      <c r="A944" s="3" t="s">
        <v>16194</v>
      </c>
      <c r="B944" s="3" t="s">
        <v>14359</v>
      </c>
      <c r="C944" s="3" t="s">
        <v>2844</v>
      </c>
      <c r="D944" s="3" t="s">
        <v>15040</v>
      </c>
      <c r="E944" t="s">
        <v>10402</v>
      </c>
      <c r="F944" t="s">
        <v>2845</v>
      </c>
      <c r="G944" t="s">
        <v>18840</v>
      </c>
      <c r="H944" t="s">
        <v>18840</v>
      </c>
    </row>
    <row r="945" spans="1:8" hidden="1" x14ac:dyDescent="0.2">
      <c r="A945" s="3" t="s">
        <v>16195</v>
      </c>
      <c r="B945" s="3" t="s">
        <v>14359</v>
      </c>
      <c r="C945" s="3" t="s">
        <v>2846</v>
      </c>
      <c r="D945" s="3" t="s">
        <v>16196</v>
      </c>
      <c r="E945" t="s">
        <v>10417</v>
      </c>
      <c r="F945" t="s">
        <v>2847</v>
      </c>
      <c r="G945" t="s">
        <v>18840</v>
      </c>
      <c r="H945" t="s">
        <v>18840</v>
      </c>
    </row>
    <row r="946" spans="1:8" hidden="1" x14ac:dyDescent="0.2">
      <c r="A946" s="3" t="s">
        <v>16197</v>
      </c>
      <c r="B946" s="3" t="s">
        <v>14359</v>
      </c>
      <c r="C946" s="3" t="s">
        <v>2848</v>
      </c>
      <c r="D946" s="3" t="s">
        <v>16198</v>
      </c>
      <c r="E946" t="s">
        <v>18977</v>
      </c>
      <c r="F946" t="s">
        <v>19155</v>
      </c>
      <c r="G946" t="s">
        <v>18840</v>
      </c>
      <c r="H946" t="s">
        <v>18840</v>
      </c>
    </row>
    <row r="947" spans="1:8" hidden="1" x14ac:dyDescent="0.2">
      <c r="A947" s="3" t="s">
        <v>16199</v>
      </c>
      <c r="B947" s="3" t="s">
        <v>14359</v>
      </c>
      <c r="C947" s="3" t="s">
        <v>2849</v>
      </c>
      <c r="D947" s="3" t="s">
        <v>16200</v>
      </c>
      <c r="E947" t="s">
        <v>10420</v>
      </c>
      <c r="F947" t="s">
        <v>2850</v>
      </c>
      <c r="G947" t="s">
        <v>18840</v>
      </c>
      <c r="H947" t="s">
        <v>18840</v>
      </c>
    </row>
    <row r="948" spans="1:8" hidden="1" x14ac:dyDescent="0.2">
      <c r="A948" s="3" t="s">
        <v>16201</v>
      </c>
      <c r="B948" s="3" t="s">
        <v>14359</v>
      </c>
      <c r="C948" s="3" t="s">
        <v>2851</v>
      </c>
      <c r="D948" s="3" t="s">
        <v>16202</v>
      </c>
      <c r="E948" t="s">
        <v>10414</v>
      </c>
      <c r="F948" t="s">
        <v>2852</v>
      </c>
      <c r="G948" t="s">
        <v>18840</v>
      </c>
      <c r="H948" t="s">
        <v>18840</v>
      </c>
    </row>
    <row r="949" spans="1:8" hidden="1" x14ac:dyDescent="0.2">
      <c r="A949" s="3" t="s">
        <v>16203</v>
      </c>
      <c r="B949" s="3" t="s">
        <v>14359</v>
      </c>
      <c r="C949" s="3" t="s">
        <v>2853</v>
      </c>
      <c r="D949" s="3" t="s">
        <v>16204</v>
      </c>
      <c r="E949" t="s">
        <v>10424</v>
      </c>
      <c r="F949" t="s">
        <v>2854</v>
      </c>
      <c r="G949" t="s">
        <v>18840</v>
      </c>
      <c r="H949" t="s">
        <v>18840</v>
      </c>
    </row>
    <row r="950" spans="1:8" hidden="1" x14ac:dyDescent="0.2">
      <c r="A950" s="3" t="s">
        <v>16205</v>
      </c>
      <c r="B950" s="3" t="s">
        <v>14359</v>
      </c>
      <c r="C950" s="3" t="s">
        <v>2855</v>
      </c>
      <c r="D950" s="3" t="s">
        <v>16206</v>
      </c>
      <c r="E950" t="s">
        <v>10423</v>
      </c>
      <c r="F950" t="s">
        <v>2856</v>
      </c>
      <c r="G950" t="s">
        <v>18840</v>
      </c>
      <c r="H950" t="s">
        <v>18840</v>
      </c>
    </row>
    <row r="951" spans="1:8" hidden="1" x14ac:dyDescent="0.2">
      <c r="A951" s="3" t="s">
        <v>16207</v>
      </c>
      <c r="B951" s="3" t="s">
        <v>14359</v>
      </c>
      <c r="C951" s="3" t="s">
        <v>2857</v>
      </c>
      <c r="D951" s="3" t="s">
        <v>16208</v>
      </c>
      <c r="E951" t="s">
        <v>10413</v>
      </c>
      <c r="F951" t="s">
        <v>2858</v>
      </c>
      <c r="G951" t="s">
        <v>18840</v>
      </c>
      <c r="H951" t="s">
        <v>18840</v>
      </c>
    </row>
    <row r="952" spans="1:8" hidden="1" x14ac:dyDescent="0.2">
      <c r="A952" s="3" t="s">
        <v>16209</v>
      </c>
      <c r="B952" s="3" t="s">
        <v>14359</v>
      </c>
      <c r="C952" s="3" t="s">
        <v>2859</v>
      </c>
      <c r="D952" s="3" t="s">
        <v>16210</v>
      </c>
      <c r="E952" t="s">
        <v>10407</v>
      </c>
      <c r="F952" t="s">
        <v>2860</v>
      </c>
      <c r="G952" t="s">
        <v>18840</v>
      </c>
      <c r="H952" t="s">
        <v>18840</v>
      </c>
    </row>
    <row r="953" spans="1:8" hidden="1" x14ac:dyDescent="0.2">
      <c r="A953" s="3" t="s">
        <v>16211</v>
      </c>
      <c r="B953" s="3" t="s">
        <v>14359</v>
      </c>
      <c r="C953" s="3" t="s">
        <v>2861</v>
      </c>
      <c r="D953" s="3" t="s">
        <v>16212</v>
      </c>
      <c r="E953" t="s">
        <v>10408</v>
      </c>
      <c r="F953" t="s">
        <v>2862</v>
      </c>
      <c r="G953" t="s">
        <v>18840</v>
      </c>
      <c r="H953" t="s">
        <v>18840</v>
      </c>
    </row>
    <row r="954" spans="1:8" hidden="1" x14ac:dyDescent="0.2">
      <c r="A954" s="3" t="s">
        <v>16213</v>
      </c>
      <c r="B954" s="3" t="s">
        <v>14359</v>
      </c>
      <c r="C954" s="3" t="s">
        <v>2863</v>
      </c>
      <c r="D954" s="3" t="s">
        <v>16214</v>
      </c>
      <c r="E954" t="s">
        <v>10421</v>
      </c>
      <c r="F954" t="s">
        <v>2864</v>
      </c>
      <c r="G954" t="s">
        <v>18840</v>
      </c>
      <c r="H954" t="s">
        <v>18840</v>
      </c>
    </row>
    <row r="955" spans="1:8" hidden="1" x14ac:dyDescent="0.2">
      <c r="A955" s="3" t="s">
        <v>16215</v>
      </c>
      <c r="B955" s="3" t="s">
        <v>14359</v>
      </c>
      <c r="C955" s="3" t="s">
        <v>2865</v>
      </c>
      <c r="D955" s="3" t="s">
        <v>15040</v>
      </c>
      <c r="E955" t="s">
        <v>10412</v>
      </c>
      <c r="F955" t="s">
        <v>14149</v>
      </c>
      <c r="G955" t="s">
        <v>18840</v>
      </c>
      <c r="H955" t="s">
        <v>18840</v>
      </c>
    </row>
    <row r="956" spans="1:8" hidden="1" x14ac:dyDescent="0.2">
      <c r="A956" s="3" t="s">
        <v>16216</v>
      </c>
      <c r="B956" s="3" t="s">
        <v>14359</v>
      </c>
      <c r="C956" s="3" t="s">
        <v>2866</v>
      </c>
      <c r="D956" s="3" t="s">
        <v>16217</v>
      </c>
      <c r="E956" t="s">
        <v>18963</v>
      </c>
      <c r="F956" t="s">
        <v>19154</v>
      </c>
      <c r="G956" t="s">
        <v>18840</v>
      </c>
      <c r="H956" t="s">
        <v>18840</v>
      </c>
    </row>
    <row r="957" spans="1:8" hidden="1" x14ac:dyDescent="0.2">
      <c r="A957" s="3" t="s">
        <v>16218</v>
      </c>
      <c r="B957" s="3" t="s">
        <v>14359</v>
      </c>
      <c r="C957" s="3" t="s">
        <v>2867</v>
      </c>
      <c r="D957" s="3" t="s">
        <v>16219</v>
      </c>
      <c r="E957" t="s">
        <v>10418</v>
      </c>
      <c r="F957" t="s">
        <v>2868</v>
      </c>
      <c r="G957" t="s">
        <v>18840</v>
      </c>
      <c r="H957" t="s">
        <v>18840</v>
      </c>
    </row>
    <row r="958" spans="1:8" hidden="1" x14ac:dyDescent="0.2">
      <c r="A958" s="3" t="s">
        <v>16220</v>
      </c>
      <c r="B958" s="3" t="s">
        <v>14359</v>
      </c>
      <c r="C958" s="3" t="s">
        <v>2869</v>
      </c>
      <c r="D958" s="3" t="s">
        <v>15040</v>
      </c>
      <c r="E958" t="s">
        <v>10415</v>
      </c>
      <c r="F958" t="s">
        <v>2870</v>
      </c>
      <c r="G958" t="s">
        <v>18840</v>
      </c>
      <c r="H958" t="s">
        <v>18840</v>
      </c>
    </row>
    <row r="959" spans="1:8" hidden="1" x14ac:dyDescent="0.2">
      <c r="A959" s="3" t="s">
        <v>16221</v>
      </c>
      <c r="B959" s="3" t="s">
        <v>14359</v>
      </c>
      <c r="C959" s="3" t="s">
        <v>2871</v>
      </c>
      <c r="D959" s="3" t="s">
        <v>16222</v>
      </c>
      <c r="E959" t="s">
        <v>10416</v>
      </c>
      <c r="F959" t="s">
        <v>2872</v>
      </c>
      <c r="G959" t="s">
        <v>18840</v>
      </c>
      <c r="H959" t="s">
        <v>18840</v>
      </c>
    </row>
    <row r="960" spans="1:8" hidden="1" x14ac:dyDescent="0.2">
      <c r="A960" s="3" t="s">
        <v>16223</v>
      </c>
      <c r="B960" s="3" t="s">
        <v>14359</v>
      </c>
      <c r="C960" s="3" t="s">
        <v>2873</v>
      </c>
      <c r="D960" s="3" t="s">
        <v>16224</v>
      </c>
      <c r="E960" t="s">
        <v>10419</v>
      </c>
      <c r="F960" t="s">
        <v>2874</v>
      </c>
      <c r="G960" t="s">
        <v>18840</v>
      </c>
      <c r="H960" t="s">
        <v>18840</v>
      </c>
    </row>
    <row r="961" spans="1:8" hidden="1" x14ac:dyDescent="0.2">
      <c r="A961" s="3" t="s">
        <v>16225</v>
      </c>
      <c r="B961" s="3" t="s">
        <v>14359</v>
      </c>
      <c r="C961" s="3" t="s">
        <v>2875</v>
      </c>
      <c r="D961" s="3" t="s">
        <v>16226</v>
      </c>
      <c r="E961" t="s">
        <v>10409</v>
      </c>
      <c r="F961" t="s">
        <v>2876</v>
      </c>
      <c r="G961" t="s">
        <v>18840</v>
      </c>
      <c r="H961" t="s">
        <v>18840</v>
      </c>
    </row>
    <row r="962" spans="1:8" hidden="1" x14ac:dyDescent="0.2">
      <c r="A962" s="3" t="s">
        <v>16227</v>
      </c>
      <c r="B962" s="3" t="s">
        <v>14359</v>
      </c>
      <c r="C962" s="3" t="s">
        <v>2877</v>
      </c>
      <c r="D962" s="3" t="s">
        <v>16228</v>
      </c>
      <c r="E962" t="s">
        <v>10428</v>
      </c>
      <c r="F962" t="s">
        <v>2878</v>
      </c>
      <c r="G962" t="s">
        <v>18840</v>
      </c>
      <c r="H962" t="s">
        <v>18840</v>
      </c>
    </row>
    <row r="963" spans="1:8" hidden="1" x14ac:dyDescent="0.2">
      <c r="A963" s="3" t="s">
        <v>16229</v>
      </c>
      <c r="B963" s="3" t="s">
        <v>14359</v>
      </c>
      <c r="C963" s="3" t="s">
        <v>2879</v>
      </c>
      <c r="D963" s="3" t="s">
        <v>16230</v>
      </c>
      <c r="E963" t="s">
        <v>10438</v>
      </c>
      <c r="F963" t="s">
        <v>2880</v>
      </c>
      <c r="G963" t="s">
        <v>18840</v>
      </c>
      <c r="H963" t="s">
        <v>18840</v>
      </c>
    </row>
    <row r="964" spans="1:8" hidden="1" x14ac:dyDescent="0.2">
      <c r="A964" s="3" t="s">
        <v>16231</v>
      </c>
      <c r="B964" s="3" t="s">
        <v>14359</v>
      </c>
      <c r="C964" s="3" t="s">
        <v>2881</v>
      </c>
      <c r="D964" s="3" t="s">
        <v>16232</v>
      </c>
      <c r="E964" t="s">
        <v>10427</v>
      </c>
      <c r="F964" t="s">
        <v>2882</v>
      </c>
      <c r="G964" t="s">
        <v>18840</v>
      </c>
      <c r="H964" t="s">
        <v>18840</v>
      </c>
    </row>
    <row r="965" spans="1:8" hidden="1" x14ac:dyDescent="0.2">
      <c r="A965" s="3" t="s">
        <v>16233</v>
      </c>
      <c r="B965" s="3" t="s">
        <v>14359</v>
      </c>
      <c r="C965" s="3" t="s">
        <v>2883</v>
      </c>
      <c r="D965" s="3" t="s">
        <v>16234</v>
      </c>
      <c r="E965" t="s">
        <v>10437</v>
      </c>
      <c r="F965" t="s">
        <v>2884</v>
      </c>
      <c r="G965" t="s">
        <v>18840</v>
      </c>
      <c r="H965" t="s">
        <v>18840</v>
      </c>
    </row>
    <row r="966" spans="1:8" hidden="1" x14ac:dyDescent="0.2">
      <c r="A966" s="3" t="s">
        <v>16235</v>
      </c>
      <c r="B966" s="3" t="s">
        <v>14359</v>
      </c>
      <c r="C966" s="3" t="s">
        <v>2885</v>
      </c>
      <c r="D966" s="3" t="s">
        <v>16236</v>
      </c>
      <c r="E966" t="s">
        <v>18992</v>
      </c>
      <c r="F966" t="s">
        <v>19156</v>
      </c>
      <c r="G966" t="s">
        <v>18840</v>
      </c>
      <c r="H966" t="s">
        <v>18840</v>
      </c>
    </row>
    <row r="967" spans="1:8" hidden="1" x14ac:dyDescent="0.2">
      <c r="A967" s="3" t="s">
        <v>16237</v>
      </c>
      <c r="B967" s="3" t="s">
        <v>14359</v>
      </c>
      <c r="C967" s="3" t="s">
        <v>2886</v>
      </c>
      <c r="D967" s="3" t="s">
        <v>16238</v>
      </c>
      <c r="E967" t="s">
        <v>10435</v>
      </c>
      <c r="F967" t="s">
        <v>2887</v>
      </c>
      <c r="G967" t="s">
        <v>18840</v>
      </c>
      <c r="H967" t="s">
        <v>18840</v>
      </c>
    </row>
    <row r="968" spans="1:8" hidden="1" x14ac:dyDescent="0.2">
      <c r="A968" s="3" t="s">
        <v>16239</v>
      </c>
      <c r="B968" s="3" t="s">
        <v>14359</v>
      </c>
      <c r="C968" s="3" t="s">
        <v>2888</v>
      </c>
      <c r="D968" s="3" t="s">
        <v>16240</v>
      </c>
      <c r="E968" t="s">
        <v>17113</v>
      </c>
      <c r="F968" t="s">
        <v>2889</v>
      </c>
      <c r="G968" t="s">
        <v>18840</v>
      </c>
      <c r="H968" t="s">
        <v>18840</v>
      </c>
    </row>
    <row r="969" spans="1:8" hidden="1" x14ac:dyDescent="0.2">
      <c r="A969" s="3" t="s">
        <v>16241</v>
      </c>
      <c r="B969" s="3" t="s">
        <v>14359</v>
      </c>
      <c r="C969" s="3" t="s">
        <v>2890</v>
      </c>
      <c r="D969" s="3" t="s">
        <v>16242</v>
      </c>
      <c r="E969" t="s">
        <v>10431</v>
      </c>
      <c r="F969" t="s">
        <v>2891</v>
      </c>
      <c r="G969" t="s">
        <v>18840</v>
      </c>
      <c r="H969" t="s">
        <v>18840</v>
      </c>
    </row>
    <row r="970" spans="1:8" hidden="1" x14ac:dyDescent="0.2">
      <c r="A970" s="3" t="s">
        <v>16243</v>
      </c>
      <c r="B970" s="3" t="s">
        <v>14359</v>
      </c>
      <c r="C970" s="3" t="s">
        <v>2892</v>
      </c>
      <c r="D970" s="3" t="s">
        <v>16244</v>
      </c>
      <c r="E970" t="s">
        <v>10434</v>
      </c>
      <c r="F970" t="s">
        <v>2893</v>
      </c>
      <c r="G970" t="s">
        <v>18840</v>
      </c>
      <c r="H970" t="s">
        <v>18840</v>
      </c>
    </row>
    <row r="971" spans="1:8" hidden="1" x14ac:dyDescent="0.2">
      <c r="A971" s="3" t="s">
        <v>16245</v>
      </c>
      <c r="B971" s="3" t="s">
        <v>14359</v>
      </c>
      <c r="C971" s="3" t="s">
        <v>2894</v>
      </c>
      <c r="D971" s="3" t="s">
        <v>16246</v>
      </c>
      <c r="E971" t="s">
        <v>10436</v>
      </c>
      <c r="F971" t="s">
        <v>2895</v>
      </c>
      <c r="G971" t="s">
        <v>18840</v>
      </c>
      <c r="H971" t="s">
        <v>18840</v>
      </c>
    </row>
    <row r="972" spans="1:8" hidden="1" x14ac:dyDescent="0.2">
      <c r="A972" s="3" t="s">
        <v>16247</v>
      </c>
      <c r="B972" s="3" t="s">
        <v>14359</v>
      </c>
      <c r="C972" s="3" t="s">
        <v>2896</v>
      </c>
      <c r="D972" s="3" t="s">
        <v>16248</v>
      </c>
      <c r="E972" t="s">
        <v>10441</v>
      </c>
      <c r="F972" t="s">
        <v>2897</v>
      </c>
      <c r="G972" t="s">
        <v>18840</v>
      </c>
      <c r="H972" t="s">
        <v>18840</v>
      </c>
    </row>
    <row r="973" spans="1:8" hidden="1" x14ac:dyDescent="0.2">
      <c r="A973" s="3" t="s">
        <v>16249</v>
      </c>
      <c r="B973" s="3" t="s">
        <v>14359</v>
      </c>
      <c r="C973" s="3" t="s">
        <v>2898</v>
      </c>
      <c r="D973" s="3" t="s">
        <v>16250</v>
      </c>
      <c r="E973" t="s">
        <v>10430</v>
      </c>
      <c r="F973" t="s">
        <v>2899</v>
      </c>
      <c r="G973" t="s">
        <v>18840</v>
      </c>
      <c r="H973" t="s">
        <v>18840</v>
      </c>
    </row>
    <row r="974" spans="1:8" hidden="1" x14ac:dyDescent="0.2">
      <c r="A974" s="3" t="s">
        <v>16251</v>
      </c>
      <c r="B974" s="3" t="s">
        <v>14359</v>
      </c>
      <c r="C974" s="3" t="s">
        <v>2900</v>
      </c>
      <c r="D974" s="3" t="s">
        <v>16252</v>
      </c>
      <c r="E974" t="s">
        <v>10425</v>
      </c>
      <c r="F974" t="s">
        <v>2901</v>
      </c>
      <c r="G974" t="s">
        <v>18840</v>
      </c>
      <c r="H974" t="s">
        <v>18840</v>
      </c>
    </row>
    <row r="975" spans="1:8" hidden="1" x14ac:dyDescent="0.2">
      <c r="A975" s="3" t="s">
        <v>16253</v>
      </c>
      <c r="B975" s="3" t="s">
        <v>14359</v>
      </c>
      <c r="C975" s="3" t="s">
        <v>2902</v>
      </c>
      <c r="D975" s="3" t="s">
        <v>16254</v>
      </c>
      <c r="E975" t="s">
        <v>10432</v>
      </c>
      <c r="F975" t="s">
        <v>2903</v>
      </c>
      <c r="G975" t="s">
        <v>18840</v>
      </c>
      <c r="H975" t="s">
        <v>18840</v>
      </c>
    </row>
    <row r="976" spans="1:8" hidden="1" x14ac:dyDescent="0.2">
      <c r="A976" s="3" t="s">
        <v>16255</v>
      </c>
      <c r="B976" s="3" t="s">
        <v>14359</v>
      </c>
      <c r="C976" s="3" t="s">
        <v>2904</v>
      </c>
      <c r="D976" s="3" t="s">
        <v>16256</v>
      </c>
      <c r="E976" t="s">
        <v>10443</v>
      </c>
      <c r="F976" t="s">
        <v>2905</v>
      </c>
      <c r="G976" t="s">
        <v>18840</v>
      </c>
      <c r="H976" t="s">
        <v>18840</v>
      </c>
    </row>
    <row r="977" spans="1:8" hidden="1" x14ac:dyDescent="0.2">
      <c r="A977" s="3" t="s">
        <v>16257</v>
      </c>
      <c r="B977" s="3" t="s">
        <v>14359</v>
      </c>
      <c r="C977" s="3" t="s">
        <v>2906</v>
      </c>
      <c r="D977" s="3" t="s">
        <v>16258</v>
      </c>
      <c r="E977" t="s">
        <v>10429</v>
      </c>
      <c r="F977" t="s">
        <v>2907</v>
      </c>
      <c r="G977" t="s">
        <v>18840</v>
      </c>
      <c r="H977" t="s">
        <v>18840</v>
      </c>
    </row>
    <row r="978" spans="1:8" hidden="1" x14ac:dyDescent="0.2">
      <c r="A978" s="3" t="s">
        <v>16259</v>
      </c>
      <c r="B978" s="3" t="s">
        <v>14359</v>
      </c>
      <c r="C978" s="3" t="s">
        <v>2908</v>
      </c>
      <c r="D978" s="3" t="s">
        <v>16260</v>
      </c>
      <c r="E978" t="s">
        <v>10452</v>
      </c>
      <c r="F978" t="s">
        <v>2909</v>
      </c>
      <c r="G978" t="s">
        <v>18840</v>
      </c>
      <c r="H978" t="s">
        <v>18840</v>
      </c>
    </row>
    <row r="979" spans="1:8" hidden="1" x14ac:dyDescent="0.2">
      <c r="A979" s="3" t="s">
        <v>16261</v>
      </c>
      <c r="B979" s="3" t="s">
        <v>14359</v>
      </c>
      <c r="C979" s="3" t="s">
        <v>2910</v>
      </c>
      <c r="D979" s="3" t="s">
        <v>16262</v>
      </c>
      <c r="E979" t="s">
        <v>10463</v>
      </c>
      <c r="F979" t="s">
        <v>14163</v>
      </c>
      <c r="G979" t="s">
        <v>18840</v>
      </c>
      <c r="H979" t="s">
        <v>18840</v>
      </c>
    </row>
    <row r="980" spans="1:8" hidden="1" x14ac:dyDescent="0.2">
      <c r="A980" s="3" t="s">
        <v>16263</v>
      </c>
      <c r="B980" s="3" t="s">
        <v>14359</v>
      </c>
      <c r="C980" s="3" t="s">
        <v>2911</v>
      </c>
      <c r="D980" s="3" t="s">
        <v>15040</v>
      </c>
      <c r="E980" t="s">
        <v>10453</v>
      </c>
      <c r="F980" t="s">
        <v>2912</v>
      </c>
      <c r="G980" t="s">
        <v>18840</v>
      </c>
      <c r="H980" t="s">
        <v>18840</v>
      </c>
    </row>
    <row r="981" spans="1:8" hidden="1" x14ac:dyDescent="0.2">
      <c r="A981" s="3" t="s">
        <v>16264</v>
      </c>
      <c r="B981" s="3" t="s">
        <v>14359</v>
      </c>
      <c r="C981" s="3" t="s">
        <v>2913</v>
      </c>
      <c r="D981" s="3" t="s">
        <v>16265</v>
      </c>
      <c r="E981" t="s">
        <v>10451</v>
      </c>
      <c r="F981" t="s">
        <v>2914</v>
      </c>
      <c r="G981" t="s">
        <v>18840</v>
      </c>
      <c r="H981" t="s">
        <v>18840</v>
      </c>
    </row>
    <row r="982" spans="1:8" hidden="1" x14ac:dyDescent="0.2">
      <c r="A982" s="3" t="s">
        <v>16266</v>
      </c>
      <c r="B982" s="3" t="s">
        <v>14359</v>
      </c>
      <c r="C982" s="3" t="s">
        <v>2915</v>
      </c>
      <c r="D982" s="3" t="s">
        <v>16267</v>
      </c>
      <c r="E982" t="s">
        <v>10458</v>
      </c>
      <c r="F982" t="s">
        <v>2916</v>
      </c>
      <c r="G982" t="s">
        <v>18840</v>
      </c>
      <c r="H982" t="s">
        <v>18840</v>
      </c>
    </row>
    <row r="983" spans="1:8" hidden="1" x14ac:dyDescent="0.2">
      <c r="A983" s="3" t="s">
        <v>16268</v>
      </c>
      <c r="B983" s="3" t="s">
        <v>14359</v>
      </c>
      <c r="C983" s="3" t="s">
        <v>2917</v>
      </c>
      <c r="D983" s="3" t="s">
        <v>15040</v>
      </c>
      <c r="E983" t="s">
        <v>10461</v>
      </c>
      <c r="F983" t="s">
        <v>2918</v>
      </c>
      <c r="G983" t="s">
        <v>18840</v>
      </c>
      <c r="H983" t="s">
        <v>18840</v>
      </c>
    </row>
    <row r="984" spans="1:8" hidden="1" x14ac:dyDescent="0.2">
      <c r="A984" s="3" t="s">
        <v>16269</v>
      </c>
      <c r="B984" s="3" t="s">
        <v>14359</v>
      </c>
      <c r="C984" s="3" t="s">
        <v>2919</v>
      </c>
      <c r="D984" s="3" t="s">
        <v>15040</v>
      </c>
      <c r="E984" t="s">
        <v>10462</v>
      </c>
      <c r="F984" t="s">
        <v>2920</v>
      </c>
      <c r="G984" t="s">
        <v>18840</v>
      </c>
      <c r="H984" t="s">
        <v>18840</v>
      </c>
    </row>
    <row r="985" spans="1:8" hidden="1" x14ac:dyDescent="0.2">
      <c r="A985" s="3" t="s">
        <v>16270</v>
      </c>
      <c r="B985" s="3" t="s">
        <v>14359</v>
      </c>
      <c r="C985" s="3" t="s">
        <v>2921</v>
      </c>
      <c r="D985" s="3" t="s">
        <v>16271</v>
      </c>
      <c r="E985" t="s">
        <v>10450</v>
      </c>
      <c r="F985" t="s">
        <v>2922</v>
      </c>
      <c r="G985" t="s">
        <v>18840</v>
      </c>
      <c r="H985" t="s">
        <v>18840</v>
      </c>
    </row>
    <row r="986" spans="1:8" hidden="1" x14ac:dyDescent="0.2">
      <c r="A986" s="3" t="s">
        <v>16272</v>
      </c>
      <c r="B986" s="3" t="s">
        <v>14359</v>
      </c>
      <c r="C986" s="3" t="s">
        <v>2923</v>
      </c>
      <c r="D986" s="3" t="s">
        <v>16273</v>
      </c>
      <c r="E986" t="s">
        <v>10459</v>
      </c>
      <c r="F986" t="s">
        <v>14162</v>
      </c>
      <c r="G986" t="s">
        <v>18840</v>
      </c>
      <c r="H986" t="s">
        <v>18840</v>
      </c>
    </row>
    <row r="987" spans="1:8" hidden="1" x14ac:dyDescent="0.2">
      <c r="A987" s="3" t="s">
        <v>16274</v>
      </c>
      <c r="B987" s="3" t="s">
        <v>14359</v>
      </c>
      <c r="C987" s="3" t="s">
        <v>2924</v>
      </c>
      <c r="D987" s="3" t="s">
        <v>16275</v>
      </c>
      <c r="E987" t="s">
        <v>17116</v>
      </c>
      <c r="F987" t="s">
        <v>2925</v>
      </c>
      <c r="G987" t="s">
        <v>18840</v>
      </c>
      <c r="H987" t="s">
        <v>18840</v>
      </c>
    </row>
    <row r="988" spans="1:8" hidden="1" x14ac:dyDescent="0.2">
      <c r="A988" s="3" t="s">
        <v>16276</v>
      </c>
      <c r="B988" s="3" t="s">
        <v>14359</v>
      </c>
      <c r="C988" s="3" t="s">
        <v>2926</v>
      </c>
      <c r="D988" s="3" t="s">
        <v>16277</v>
      </c>
      <c r="E988" t="s">
        <v>10446</v>
      </c>
      <c r="F988" t="s">
        <v>2927</v>
      </c>
      <c r="G988" t="s">
        <v>18840</v>
      </c>
      <c r="H988" t="s">
        <v>18840</v>
      </c>
    </row>
    <row r="989" spans="1:8" hidden="1" x14ac:dyDescent="0.2">
      <c r="A989" s="3" t="s">
        <v>16278</v>
      </c>
      <c r="B989" s="3" t="s">
        <v>14359</v>
      </c>
      <c r="C989" s="3" t="s">
        <v>2928</v>
      </c>
      <c r="D989" s="3" t="s">
        <v>16279</v>
      </c>
      <c r="E989" t="s">
        <v>18999</v>
      </c>
      <c r="F989" t="s">
        <v>19157</v>
      </c>
      <c r="G989" t="s">
        <v>18840</v>
      </c>
      <c r="H989" t="s">
        <v>18840</v>
      </c>
    </row>
    <row r="990" spans="1:8" hidden="1" x14ac:dyDescent="0.2">
      <c r="A990" s="3" t="s">
        <v>16280</v>
      </c>
      <c r="B990" s="3" t="s">
        <v>14359</v>
      </c>
      <c r="C990" s="3" t="s">
        <v>2929</v>
      </c>
      <c r="D990" s="3" t="s">
        <v>16281</v>
      </c>
      <c r="E990" t="s">
        <v>10460</v>
      </c>
      <c r="F990" t="s">
        <v>2930</v>
      </c>
      <c r="G990" t="s">
        <v>18840</v>
      </c>
      <c r="H990" t="s">
        <v>18840</v>
      </c>
    </row>
    <row r="991" spans="1:8" hidden="1" x14ac:dyDescent="0.2">
      <c r="A991" s="3" t="s">
        <v>16282</v>
      </c>
      <c r="B991" s="3" t="s">
        <v>14359</v>
      </c>
      <c r="C991" s="3" t="s">
        <v>2931</v>
      </c>
      <c r="D991" s="3" t="s">
        <v>16283</v>
      </c>
      <c r="E991" t="s">
        <v>10449</v>
      </c>
      <c r="F991" t="s">
        <v>2932</v>
      </c>
      <c r="G991" t="s">
        <v>18840</v>
      </c>
      <c r="H991" t="s">
        <v>18840</v>
      </c>
    </row>
    <row r="992" spans="1:8" hidden="1" x14ac:dyDescent="0.2">
      <c r="A992" s="3" t="s">
        <v>16284</v>
      </c>
      <c r="B992" s="3" t="s">
        <v>14359</v>
      </c>
      <c r="C992" s="3" t="s">
        <v>2933</v>
      </c>
      <c r="D992" s="3" t="s">
        <v>16285</v>
      </c>
      <c r="E992" t="s">
        <v>10455</v>
      </c>
      <c r="F992" t="s">
        <v>2934</v>
      </c>
      <c r="G992" t="s">
        <v>18840</v>
      </c>
      <c r="H992" t="s">
        <v>18840</v>
      </c>
    </row>
    <row r="993" spans="1:8" hidden="1" x14ac:dyDescent="0.2">
      <c r="A993" s="3" t="s">
        <v>16286</v>
      </c>
      <c r="B993" s="3" t="s">
        <v>14359</v>
      </c>
      <c r="C993" s="3" t="s">
        <v>2935</v>
      </c>
      <c r="D993" s="3" t="s">
        <v>16287</v>
      </c>
      <c r="E993" t="s">
        <v>10456</v>
      </c>
      <c r="F993" t="s">
        <v>2936</v>
      </c>
      <c r="G993" t="s">
        <v>18840</v>
      </c>
      <c r="H993" t="s">
        <v>18840</v>
      </c>
    </row>
    <row r="994" spans="1:8" hidden="1" x14ac:dyDescent="0.2">
      <c r="A994" s="3" t="s">
        <v>16288</v>
      </c>
      <c r="B994" s="3" t="s">
        <v>14359</v>
      </c>
      <c r="C994" s="3" t="s">
        <v>2937</v>
      </c>
      <c r="D994" s="3" t="s">
        <v>16289</v>
      </c>
      <c r="E994" t="s">
        <v>10457</v>
      </c>
      <c r="F994" t="s">
        <v>14161</v>
      </c>
      <c r="G994" t="s">
        <v>18840</v>
      </c>
      <c r="H994" t="s">
        <v>18840</v>
      </c>
    </row>
    <row r="995" spans="1:8" hidden="1" x14ac:dyDescent="0.2">
      <c r="A995" s="3" t="s">
        <v>16290</v>
      </c>
      <c r="B995" s="3" t="s">
        <v>14359</v>
      </c>
      <c r="C995" s="3" t="s">
        <v>2938</v>
      </c>
      <c r="D995" s="3" t="s">
        <v>16291</v>
      </c>
      <c r="E995" t="s">
        <v>19017</v>
      </c>
      <c r="F995" t="s">
        <v>19158</v>
      </c>
      <c r="G995" t="s">
        <v>18840</v>
      </c>
      <c r="H995" t="s">
        <v>18840</v>
      </c>
    </row>
    <row r="996" spans="1:8" hidden="1" x14ac:dyDescent="0.2">
      <c r="A996" s="3" t="s">
        <v>16292</v>
      </c>
      <c r="B996" s="3" t="s">
        <v>14359</v>
      </c>
      <c r="C996" s="3" t="s">
        <v>2939</v>
      </c>
      <c r="D996" s="3" t="s">
        <v>16293</v>
      </c>
      <c r="E996" t="s">
        <v>10468</v>
      </c>
      <c r="F996" t="s">
        <v>2940</v>
      </c>
      <c r="G996" t="s">
        <v>18840</v>
      </c>
      <c r="H996" t="s">
        <v>18840</v>
      </c>
    </row>
    <row r="997" spans="1:8" hidden="1" x14ac:dyDescent="0.2">
      <c r="A997" s="3" t="s">
        <v>16294</v>
      </c>
      <c r="B997" s="3" t="s">
        <v>14359</v>
      </c>
      <c r="C997" s="3" t="s">
        <v>2941</v>
      </c>
      <c r="D997" s="3" t="s">
        <v>16295</v>
      </c>
      <c r="E997" t="s">
        <v>10470</v>
      </c>
      <c r="F997" t="s">
        <v>2942</v>
      </c>
      <c r="G997" t="s">
        <v>18840</v>
      </c>
      <c r="H997" t="s">
        <v>18840</v>
      </c>
    </row>
    <row r="998" spans="1:8" hidden="1" x14ac:dyDescent="0.2">
      <c r="A998" s="3" t="s">
        <v>16296</v>
      </c>
      <c r="B998" s="3" t="s">
        <v>14359</v>
      </c>
      <c r="C998" s="3" t="s">
        <v>2943</v>
      </c>
      <c r="D998" s="3" t="s">
        <v>16297</v>
      </c>
      <c r="E998" t="s">
        <v>10473</v>
      </c>
      <c r="F998" t="s">
        <v>2944</v>
      </c>
      <c r="G998" t="s">
        <v>18840</v>
      </c>
      <c r="H998" t="s">
        <v>18840</v>
      </c>
    </row>
    <row r="999" spans="1:8" hidden="1" x14ac:dyDescent="0.2">
      <c r="A999" s="3" t="s">
        <v>16298</v>
      </c>
      <c r="B999" s="3" t="s">
        <v>14359</v>
      </c>
      <c r="C999" s="3" t="s">
        <v>2945</v>
      </c>
      <c r="D999" s="3" t="s">
        <v>15040</v>
      </c>
      <c r="E999" t="s">
        <v>10464</v>
      </c>
      <c r="F999" t="s">
        <v>2946</v>
      </c>
      <c r="G999" t="s">
        <v>18840</v>
      </c>
      <c r="H999" t="s">
        <v>18840</v>
      </c>
    </row>
    <row r="1000" spans="1:8" hidden="1" x14ac:dyDescent="0.2">
      <c r="A1000" s="3" t="s">
        <v>16299</v>
      </c>
      <c r="B1000" s="3" t="s">
        <v>14359</v>
      </c>
      <c r="C1000" s="3" t="s">
        <v>2947</v>
      </c>
      <c r="D1000" s="3" t="s">
        <v>16300</v>
      </c>
      <c r="E1000" t="s">
        <v>10466</v>
      </c>
      <c r="F1000" t="s">
        <v>2948</v>
      </c>
      <c r="G1000" t="s">
        <v>18840</v>
      </c>
      <c r="H1000" t="s">
        <v>18840</v>
      </c>
    </row>
    <row r="1001" spans="1:8" hidden="1" x14ac:dyDescent="0.2">
      <c r="A1001" s="3" t="s">
        <v>16301</v>
      </c>
      <c r="B1001" s="3" t="s">
        <v>14359</v>
      </c>
      <c r="C1001" s="3" t="s">
        <v>2949</v>
      </c>
      <c r="D1001" s="3" t="s">
        <v>16302</v>
      </c>
      <c r="E1001" t="s">
        <v>10471</v>
      </c>
      <c r="F1001" t="s">
        <v>2950</v>
      </c>
      <c r="G1001" t="s">
        <v>18840</v>
      </c>
      <c r="H1001" t="s">
        <v>18840</v>
      </c>
    </row>
    <row r="1002" spans="1:8" hidden="1" x14ac:dyDescent="0.2">
      <c r="A1002" s="3" t="s">
        <v>16303</v>
      </c>
      <c r="B1002" s="3" t="s">
        <v>14359</v>
      </c>
      <c r="C1002" s="3" t="s">
        <v>2951</v>
      </c>
      <c r="D1002" s="3" t="s">
        <v>16304</v>
      </c>
      <c r="E1002" t="s">
        <v>10477</v>
      </c>
      <c r="F1002" t="s">
        <v>2952</v>
      </c>
      <c r="G1002" t="s">
        <v>18840</v>
      </c>
      <c r="H1002" t="s">
        <v>18840</v>
      </c>
    </row>
    <row r="1003" spans="1:8" hidden="1" x14ac:dyDescent="0.2">
      <c r="A1003" s="3" t="s">
        <v>16305</v>
      </c>
      <c r="B1003" s="3" t="s">
        <v>14359</v>
      </c>
      <c r="C1003" s="3" t="s">
        <v>2953</v>
      </c>
      <c r="D1003" s="3" t="s">
        <v>15040</v>
      </c>
      <c r="E1003" t="s">
        <v>10476</v>
      </c>
      <c r="F1003" t="s">
        <v>2954</v>
      </c>
      <c r="G1003" t="s">
        <v>18840</v>
      </c>
      <c r="H1003" t="s">
        <v>18840</v>
      </c>
    </row>
    <row r="1004" spans="1:8" hidden="1" x14ac:dyDescent="0.2">
      <c r="A1004" s="3" t="s">
        <v>16306</v>
      </c>
      <c r="B1004" s="3" t="s">
        <v>14359</v>
      </c>
      <c r="C1004" s="3" t="s">
        <v>2955</v>
      </c>
      <c r="D1004" s="3" t="s">
        <v>16307</v>
      </c>
      <c r="E1004" t="s">
        <v>10469</v>
      </c>
      <c r="F1004" t="s">
        <v>2956</v>
      </c>
      <c r="G1004" t="s">
        <v>18840</v>
      </c>
      <c r="H1004" t="s">
        <v>18840</v>
      </c>
    </row>
    <row r="1005" spans="1:8" hidden="1" x14ac:dyDescent="0.2">
      <c r="A1005" s="3" t="s">
        <v>16308</v>
      </c>
      <c r="B1005" s="3" t="s">
        <v>14359</v>
      </c>
      <c r="C1005" s="3" t="s">
        <v>2957</v>
      </c>
      <c r="D1005" s="3" t="s">
        <v>16309</v>
      </c>
      <c r="E1005" t="s">
        <v>10474</v>
      </c>
      <c r="F1005" t="s">
        <v>2958</v>
      </c>
      <c r="G1005" t="s">
        <v>18840</v>
      </c>
      <c r="H1005" t="s">
        <v>18840</v>
      </c>
    </row>
    <row r="1006" spans="1:8" hidden="1" x14ac:dyDescent="0.2">
      <c r="A1006" s="3" t="s">
        <v>16310</v>
      </c>
      <c r="B1006" s="3" t="s">
        <v>14359</v>
      </c>
      <c r="C1006" s="3" t="s">
        <v>2959</v>
      </c>
      <c r="D1006" s="3" t="s">
        <v>15040</v>
      </c>
      <c r="E1006" t="s">
        <v>10475</v>
      </c>
      <c r="F1006" t="s">
        <v>2960</v>
      </c>
      <c r="G1006" t="s">
        <v>18840</v>
      </c>
      <c r="H1006" t="s">
        <v>18840</v>
      </c>
    </row>
    <row r="1007" spans="1:8" hidden="1" x14ac:dyDescent="0.2">
      <c r="A1007" s="3" t="s">
        <v>16311</v>
      </c>
      <c r="B1007" s="3" t="s">
        <v>14359</v>
      </c>
      <c r="C1007" s="3" t="s">
        <v>2961</v>
      </c>
      <c r="D1007" s="3" t="s">
        <v>16312</v>
      </c>
      <c r="E1007" t="s">
        <v>10478</v>
      </c>
      <c r="F1007" t="s">
        <v>2962</v>
      </c>
      <c r="G1007" t="s">
        <v>18840</v>
      </c>
      <c r="H1007" t="s">
        <v>18840</v>
      </c>
    </row>
    <row r="1008" spans="1:8" hidden="1" x14ac:dyDescent="0.2">
      <c r="A1008" s="3" t="s">
        <v>16313</v>
      </c>
      <c r="B1008" s="3" t="s">
        <v>14359</v>
      </c>
      <c r="C1008" s="3" t="s">
        <v>2963</v>
      </c>
      <c r="D1008" s="3" t="s">
        <v>16314</v>
      </c>
      <c r="E1008" t="s">
        <v>19038</v>
      </c>
      <c r="F1008" t="s">
        <v>19162</v>
      </c>
      <c r="G1008" t="s">
        <v>18840</v>
      </c>
      <c r="H1008" t="s">
        <v>18840</v>
      </c>
    </row>
    <row r="1009" spans="1:8" hidden="1" x14ac:dyDescent="0.2">
      <c r="A1009" s="3" t="s">
        <v>16315</v>
      </c>
      <c r="B1009" s="3" t="s">
        <v>14359</v>
      </c>
      <c r="C1009" s="3" t="s">
        <v>2964</v>
      </c>
      <c r="D1009" s="3" t="s">
        <v>16316</v>
      </c>
      <c r="E1009" t="s">
        <v>10484</v>
      </c>
      <c r="F1009" t="s">
        <v>2965</v>
      </c>
      <c r="G1009" t="s">
        <v>18840</v>
      </c>
      <c r="H1009" t="s">
        <v>18840</v>
      </c>
    </row>
    <row r="1010" spans="1:8" hidden="1" x14ac:dyDescent="0.2">
      <c r="A1010" s="3" t="s">
        <v>16317</v>
      </c>
      <c r="B1010" s="3" t="s">
        <v>14359</v>
      </c>
      <c r="C1010" s="3" t="s">
        <v>2966</v>
      </c>
      <c r="D1010" s="3" t="s">
        <v>16318</v>
      </c>
      <c r="E1010" t="s">
        <v>19035</v>
      </c>
      <c r="F1010" t="s">
        <v>19161</v>
      </c>
      <c r="G1010" t="s">
        <v>18840</v>
      </c>
      <c r="H1010" t="s">
        <v>18840</v>
      </c>
    </row>
    <row r="1011" spans="1:8" hidden="1" x14ac:dyDescent="0.2">
      <c r="A1011" s="3" t="s">
        <v>16319</v>
      </c>
      <c r="B1011" s="3" t="s">
        <v>14359</v>
      </c>
      <c r="C1011" s="3" t="s">
        <v>2967</v>
      </c>
      <c r="D1011" s="3" t="s">
        <v>16320</v>
      </c>
      <c r="E1011" t="s">
        <v>10493</v>
      </c>
      <c r="F1011" t="s">
        <v>2968</v>
      </c>
      <c r="G1011" t="s">
        <v>18840</v>
      </c>
      <c r="H1011" t="s">
        <v>18840</v>
      </c>
    </row>
    <row r="1012" spans="1:8" hidden="1" x14ac:dyDescent="0.2">
      <c r="A1012" s="3" t="s">
        <v>16321</v>
      </c>
      <c r="B1012" s="3" t="s">
        <v>14359</v>
      </c>
      <c r="C1012" s="3" t="s">
        <v>2969</v>
      </c>
      <c r="D1012" s="3" t="s">
        <v>16322</v>
      </c>
      <c r="E1012" t="s">
        <v>10479</v>
      </c>
      <c r="F1012" t="s">
        <v>2970</v>
      </c>
      <c r="G1012" t="s">
        <v>18840</v>
      </c>
      <c r="H1012" t="s">
        <v>18840</v>
      </c>
    </row>
    <row r="1013" spans="1:8" hidden="1" x14ac:dyDescent="0.2">
      <c r="A1013" s="3" t="s">
        <v>16323</v>
      </c>
      <c r="B1013" s="3" t="s">
        <v>14359</v>
      </c>
      <c r="C1013" s="3" t="s">
        <v>2971</v>
      </c>
      <c r="D1013" s="3" t="s">
        <v>16324</v>
      </c>
      <c r="E1013" t="s">
        <v>10492</v>
      </c>
      <c r="F1013" t="s">
        <v>2972</v>
      </c>
      <c r="G1013" t="s">
        <v>18840</v>
      </c>
      <c r="H1013" t="s">
        <v>18840</v>
      </c>
    </row>
    <row r="1014" spans="1:8" hidden="1" x14ac:dyDescent="0.2">
      <c r="A1014" s="3" t="s">
        <v>16325</v>
      </c>
      <c r="B1014" s="3" t="s">
        <v>14359</v>
      </c>
      <c r="C1014" s="3" t="s">
        <v>2973</v>
      </c>
      <c r="D1014" s="3" t="s">
        <v>16326</v>
      </c>
      <c r="E1014" t="s">
        <v>19028</v>
      </c>
      <c r="F1014" t="s">
        <v>19159</v>
      </c>
      <c r="G1014" t="s">
        <v>18840</v>
      </c>
      <c r="H1014" t="s">
        <v>18840</v>
      </c>
    </row>
    <row r="1015" spans="1:8" hidden="1" x14ac:dyDescent="0.2">
      <c r="A1015" s="3" t="s">
        <v>16327</v>
      </c>
      <c r="B1015" s="3" t="s">
        <v>14359</v>
      </c>
      <c r="C1015" s="3" t="s">
        <v>2974</v>
      </c>
      <c r="D1015" s="3" t="s">
        <v>16328</v>
      </c>
      <c r="E1015" t="s">
        <v>19030</v>
      </c>
      <c r="F1015" t="s">
        <v>19160</v>
      </c>
      <c r="G1015" t="s">
        <v>18840</v>
      </c>
      <c r="H1015" t="s">
        <v>18840</v>
      </c>
    </row>
    <row r="1016" spans="1:8" hidden="1" x14ac:dyDescent="0.2">
      <c r="A1016" s="3" t="s">
        <v>16329</v>
      </c>
      <c r="B1016" s="3" t="s">
        <v>14359</v>
      </c>
      <c r="C1016" s="3" t="s">
        <v>2975</v>
      </c>
      <c r="D1016" s="3" t="s">
        <v>16330</v>
      </c>
      <c r="E1016" t="s">
        <v>17117</v>
      </c>
      <c r="F1016" t="s">
        <v>2976</v>
      </c>
      <c r="G1016" t="s">
        <v>18840</v>
      </c>
      <c r="H1016" t="s">
        <v>18840</v>
      </c>
    </row>
    <row r="1017" spans="1:8" hidden="1" x14ac:dyDescent="0.2">
      <c r="A1017" s="3" t="s">
        <v>16331</v>
      </c>
      <c r="B1017" s="3" t="s">
        <v>14359</v>
      </c>
      <c r="C1017" s="3" t="s">
        <v>2977</v>
      </c>
      <c r="D1017" s="3" t="s">
        <v>16332</v>
      </c>
      <c r="E1017" t="s">
        <v>19041</v>
      </c>
      <c r="F1017" t="s">
        <v>19163</v>
      </c>
      <c r="G1017" t="s">
        <v>18840</v>
      </c>
      <c r="H1017" t="s">
        <v>18840</v>
      </c>
    </row>
    <row r="1018" spans="1:8" hidden="1" x14ac:dyDescent="0.2">
      <c r="A1018" s="3" t="s">
        <v>16333</v>
      </c>
      <c r="B1018" s="3" t="s">
        <v>14359</v>
      </c>
      <c r="C1018" s="3" t="s">
        <v>2978</v>
      </c>
      <c r="D1018" s="3" t="s">
        <v>16334</v>
      </c>
      <c r="E1018" t="s">
        <v>10489</v>
      </c>
      <c r="F1018" t="s">
        <v>2979</v>
      </c>
      <c r="G1018" t="s">
        <v>18840</v>
      </c>
      <c r="H1018" t="s">
        <v>18840</v>
      </c>
    </row>
    <row r="1019" spans="1:8" hidden="1" x14ac:dyDescent="0.2">
      <c r="A1019" s="3" t="s">
        <v>16335</v>
      </c>
      <c r="B1019" s="3" t="s">
        <v>14359</v>
      </c>
      <c r="C1019" s="3" t="s">
        <v>2980</v>
      </c>
      <c r="D1019" s="3" t="s">
        <v>16336</v>
      </c>
      <c r="E1019" t="s">
        <v>10490</v>
      </c>
      <c r="F1019" t="s">
        <v>2981</v>
      </c>
      <c r="G1019" t="s">
        <v>18840</v>
      </c>
      <c r="H1019" t="s">
        <v>18840</v>
      </c>
    </row>
    <row r="1020" spans="1:8" hidden="1" x14ac:dyDescent="0.2">
      <c r="A1020" s="3" t="s">
        <v>16337</v>
      </c>
      <c r="B1020" s="3" t="s">
        <v>14359</v>
      </c>
      <c r="C1020" s="3" t="s">
        <v>2982</v>
      </c>
      <c r="D1020" s="3" t="s">
        <v>15040</v>
      </c>
      <c r="E1020" t="s">
        <v>19043</v>
      </c>
      <c r="F1020" t="s">
        <v>19164</v>
      </c>
      <c r="G1020" t="s">
        <v>18840</v>
      </c>
      <c r="H1020" t="s">
        <v>18840</v>
      </c>
    </row>
    <row r="1021" spans="1:8" hidden="1" x14ac:dyDescent="0.2">
      <c r="A1021" s="3" t="s">
        <v>16338</v>
      </c>
      <c r="B1021" s="3" t="s">
        <v>14359</v>
      </c>
      <c r="C1021" s="3" t="s">
        <v>2983</v>
      </c>
      <c r="D1021" s="3" t="s">
        <v>16339</v>
      </c>
      <c r="E1021" t="s">
        <v>10504</v>
      </c>
      <c r="F1021" t="s">
        <v>2984</v>
      </c>
      <c r="G1021" t="s">
        <v>18840</v>
      </c>
      <c r="H1021" t="s">
        <v>18840</v>
      </c>
    </row>
    <row r="1022" spans="1:8" hidden="1" x14ac:dyDescent="0.2">
      <c r="A1022" s="3" t="s">
        <v>16340</v>
      </c>
      <c r="B1022" s="3" t="s">
        <v>14359</v>
      </c>
      <c r="C1022" s="3" t="s">
        <v>2985</v>
      </c>
      <c r="D1022" s="3" t="s">
        <v>16341</v>
      </c>
      <c r="E1022" t="s">
        <v>10502</v>
      </c>
      <c r="F1022" t="s">
        <v>14182</v>
      </c>
      <c r="G1022" t="s">
        <v>18840</v>
      </c>
      <c r="H1022" t="s">
        <v>18840</v>
      </c>
    </row>
    <row r="1023" spans="1:8" hidden="1" x14ac:dyDescent="0.2">
      <c r="A1023" s="3" t="s">
        <v>16342</v>
      </c>
      <c r="B1023" s="3" t="s">
        <v>14359</v>
      </c>
      <c r="C1023" s="3" t="s">
        <v>2986</v>
      </c>
      <c r="D1023" s="3" t="s">
        <v>15040</v>
      </c>
      <c r="E1023" t="s">
        <v>19065</v>
      </c>
      <c r="F1023" t="s">
        <v>19168</v>
      </c>
      <c r="G1023" t="s">
        <v>18840</v>
      </c>
      <c r="H1023" t="s">
        <v>18840</v>
      </c>
    </row>
    <row r="1024" spans="1:8" hidden="1" x14ac:dyDescent="0.2">
      <c r="A1024" s="3" t="s">
        <v>16343</v>
      </c>
      <c r="B1024" s="3" t="s">
        <v>14359</v>
      </c>
      <c r="C1024" s="3" t="s">
        <v>2987</v>
      </c>
      <c r="D1024" s="3" t="s">
        <v>16344</v>
      </c>
      <c r="E1024" t="s">
        <v>10511</v>
      </c>
      <c r="F1024" t="s">
        <v>14186</v>
      </c>
      <c r="G1024" t="s">
        <v>18840</v>
      </c>
      <c r="H1024" t="s">
        <v>18840</v>
      </c>
    </row>
    <row r="1025" spans="1:8" hidden="1" x14ac:dyDescent="0.2">
      <c r="A1025" s="3" t="s">
        <v>16345</v>
      </c>
      <c r="B1025" s="3" t="s">
        <v>14359</v>
      </c>
      <c r="C1025" s="3" t="s">
        <v>2988</v>
      </c>
      <c r="D1025" s="3" t="s">
        <v>15040</v>
      </c>
      <c r="E1025" t="s">
        <v>10503</v>
      </c>
      <c r="F1025" t="s">
        <v>14183</v>
      </c>
      <c r="G1025" t="s">
        <v>18840</v>
      </c>
      <c r="H1025" t="s">
        <v>18840</v>
      </c>
    </row>
    <row r="1026" spans="1:8" hidden="1" x14ac:dyDescent="0.2">
      <c r="A1026" s="3" t="s">
        <v>16346</v>
      </c>
      <c r="B1026" s="3" t="s">
        <v>14359</v>
      </c>
      <c r="C1026" s="3" t="s">
        <v>2989</v>
      </c>
      <c r="D1026" s="3" t="s">
        <v>16347</v>
      </c>
      <c r="E1026" t="s">
        <v>10508</v>
      </c>
      <c r="F1026" t="s">
        <v>2990</v>
      </c>
      <c r="G1026" t="s">
        <v>18840</v>
      </c>
      <c r="H1026" t="s">
        <v>18840</v>
      </c>
    </row>
    <row r="1027" spans="1:8" hidden="1" x14ac:dyDescent="0.2">
      <c r="A1027" s="3" t="s">
        <v>16348</v>
      </c>
      <c r="B1027" s="3" t="s">
        <v>14359</v>
      </c>
      <c r="C1027" s="3" t="s">
        <v>2991</v>
      </c>
      <c r="D1027" s="3" t="s">
        <v>16349</v>
      </c>
      <c r="E1027" t="s">
        <v>10500</v>
      </c>
      <c r="F1027" t="s">
        <v>2992</v>
      </c>
      <c r="G1027" t="s">
        <v>18840</v>
      </c>
      <c r="H1027" t="s">
        <v>18840</v>
      </c>
    </row>
    <row r="1028" spans="1:8" hidden="1" x14ac:dyDescent="0.2">
      <c r="A1028" s="3" t="s">
        <v>16350</v>
      </c>
      <c r="B1028" s="3" t="s">
        <v>14359</v>
      </c>
      <c r="C1028" s="3" t="s">
        <v>2993</v>
      </c>
      <c r="D1028" s="3" t="s">
        <v>15040</v>
      </c>
      <c r="E1028" t="s">
        <v>19048</v>
      </c>
      <c r="F1028" t="s">
        <v>19165</v>
      </c>
      <c r="G1028" t="s">
        <v>18840</v>
      </c>
      <c r="H1028" t="s">
        <v>18840</v>
      </c>
    </row>
    <row r="1029" spans="1:8" hidden="1" x14ac:dyDescent="0.2">
      <c r="A1029" s="3" t="s">
        <v>16351</v>
      </c>
      <c r="B1029" s="3" t="s">
        <v>14359</v>
      </c>
      <c r="C1029" s="3" t="s">
        <v>2994</v>
      </c>
      <c r="D1029" s="3" t="s">
        <v>15040</v>
      </c>
      <c r="E1029" t="s">
        <v>19057</v>
      </c>
      <c r="F1029" t="s">
        <v>19167</v>
      </c>
      <c r="G1029" t="s">
        <v>18840</v>
      </c>
      <c r="H1029" t="s">
        <v>18840</v>
      </c>
    </row>
    <row r="1030" spans="1:8" hidden="1" x14ac:dyDescent="0.2">
      <c r="A1030" s="3" t="s">
        <v>16352</v>
      </c>
      <c r="B1030" s="3" t="s">
        <v>14359</v>
      </c>
      <c r="C1030" s="3" t="s">
        <v>2995</v>
      </c>
      <c r="D1030" s="3" t="s">
        <v>16353</v>
      </c>
      <c r="E1030" t="s">
        <v>10501</v>
      </c>
      <c r="F1030" t="s">
        <v>14181</v>
      </c>
      <c r="G1030" t="s">
        <v>18840</v>
      </c>
      <c r="H1030" t="s">
        <v>18840</v>
      </c>
    </row>
    <row r="1031" spans="1:8" hidden="1" x14ac:dyDescent="0.2">
      <c r="A1031" s="3" t="s">
        <v>16354</v>
      </c>
      <c r="B1031" s="3" t="s">
        <v>14359</v>
      </c>
      <c r="C1031" s="3" t="s">
        <v>2996</v>
      </c>
      <c r="D1031" s="3" t="s">
        <v>15040</v>
      </c>
      <c r="E1031" t="s">
        <v>19050</v>
      </c>
      <c r="F1031" t="s">
        <v>19166</v>
      </c>
      <c r="G1031" t="s">
        <v>18840</v>
      </c>
      <c r="H1031" t="s">
        <v>18840</v>
      </c>
    </row>
    <row r="1032" spans="1:8" hidden="1" x14ac:dyDescent="0.2">
      <c r="A1032" s="3" t="s">
        <v>16355</v>
      </c>
      <c r="B1032" s="3" t="s">
        <v>14359</v>
      </c>
      <c r="C1032" s="3" t="s">
        <v>2997</v>
      </c>
      <c r="D1032" s="3" t="s">
        <v>16356</v>
      </c>
      <c r="E1032" t="s">
        <v>10498</v>
      </c>
      <c r="F1032" t="s">
        <v>2998</v>
      </c>
      <c r="G1032" t="s">
        <v>18840</v>
      </c>
      <c r="H1032" t="s">
        <v>18840</v>
      </c>
    </row>
    <row r="1033" spans="1:8" hidden="1" x14ac:dyDescent="0.2">
      <c r="A1033" s="3" t="s">
        <v>16357</v>
      </c>
      <c r="B1033" s="3" t="s">
        <v>14359</v>
      </c>
      <c r="C1033" s="3" t="s">
        <v>2999</v>
      </c>
      <c r="D1033" s="3" t="s">
        <v>15040</v>
      </c>
      <c r="E1033" t="s">
        <v>10512</v>
      </c>
      <c r="F1033" t="s">
        <v>3000</v>
      </c>
      <c r="G1033" t="s">
        <v>18840</v>
      </c>
      <c r="H1033" t="s">
        <v>18840</v>
      </c>
    </row>
    <row r="1034" spans="1:8" hidden="1" x14ac:dyDescent="0.2">
      <c r="A1034" s="3" t="s">
        <v>16358</v>
      </c>
      <c r="B1034" s="3" t="s">
        <v>14359</v>
      </c>
      <c r="C1034" s="3" t="s">
        <v>3001</v>
      </c>
      <c r="D1034" s="3" t="s">
        <v>16359</v>
      </c>
      <c r="E1034" t="s">
        <v>10506</v>
      </c>
      <c r="F1034" t="s">
        <v>3002</v>
      </c>
      <c r="G1034" t="s">
        <v>18840</v>
      </c>
      <c r="H1034" t="s">
        <v>18840</v>
      </c>
    </row>
    <row r="1035" spans="1:8" hidden="1" x14ac:dyDescent="0.2">
      <c r="A1035" s="3" t="s">
        <v>16360</v>
      </c>
      <c r="B1035" s="3" t="s">
        <v>14359</v>
      </c>
      <c r="C1035" s="3" t="s">
        <v>3003</v>
      </c>
      <c r="D1035" s="3" t="s">
        <v>16361</v>
      </c>
      <c r="E1035" t="s">
        <v>10507</v>
      </c>
      <c r="F1035" t="s">
        <v>3004</v>
      </c>
      <c r="G1035" t="s">
        <v>18840</v>
      </c>
      <c r="H1035" t="s">
        <v>18840</v>
      </c>
    </row>
    <row r="1036" spans="1:8" hidden="1" x14ac:dyDescent="0.2">
      <c r="A1036" s="3" t="s">
        <v>16362</v>
      </c>
      <c r="B1036" s="3" t="s">
        <v>14359</v>
      </c>
      <c r="C1036" s="3" t="s">
        <v>3005</v>
      </c>
      <c r="D1036" s="3" t="s">
        <v>16363</v>
      </c>
      <c r="E1036" t="s">
        <v>10505</v>
      </c>
      <c r="F1036" t="s">
        <v>3006</v>
      </c>
      <c r="G1036" t="s">
        <v>18840</v>
      </c>
      <c r="H1036" t="s">
        <v>18840</v>
      </c>
    </row>
    <row r="1037" spans="1:8" hidden="1" x14ac:dyDescent="0.2">
      <c r="A1037" s="3" t="s">
        <v>16364</v>
      </c>
      <c r="B1037" s="3" t="s">
        <v>14359</v>
      </c>
      <c r="C1037" s="3" t="s">
        <v>3007</v>
      </c>
      <c r="D1037" s="3" t="s">
        <v>15040</v>
      </c>
      <c r="E1037" t="s">
        <v>10513</v>
      </c>
      <c r="F1037" t="s">
        <v>14187</v>
      </c>
      <c r="G1037" t="s">
        <v>18840</v>
      </c>
      <c r="H1037" t="s">
        <v>18840</v>
      </c>
    </row>
    <row r="1038" spans="1:8" hidden="1" x14ac:dyDescent="0.2">
      <c r="A1038" s="3" t="s">
        <v>16365</v>
      </c>
      <c r="B1038" s="3" t="s">
        <v>14359</v>
      </c>
      <c r="C1038" s="3" t="s">
        <v>3008</v>
      </c>
      <c r="D1038" s="3" t="s">
        <v>16366</v>
      </c>
      <c r="E1038" t="s">
        <v>19083</v>
      </c>
      <c r="F1038" t="s">
        <v>19170</v>
      </c>
      <c r="G1038" t="s">
        <v>18840</v>
      </c>
      <c r="H1038" t="s">
        <v>18840</v>
      </c>
    </row>
    <row r="1039" spans="1:8" hidden="1" x14ac:dyDescent="0.2">
      <c r="A1039" s="3" t="s">
        <v>16367</v>
      </c>
      <c r="B1039" s="3" t="s">
        <v>14359</v>
      </c>
      <c r="C1039" s="3" t="s">
        <v>3009</v>
      </c>
      <c r="D1039" s="3" t="s">
        <v>16368</v>
      </c>
      <c r="E1039" t="s">
        <v>10518</v>
      </c>
      <c r="F1039" t="s">
        <v>3010</v>
      </c>
      <c r="G1039" t="s">
        <v>18840</v>
      </c>
      <c r="H1039" t="s">
        <v>18840</v>
      </c>
    </row>
    <row r="1040" spans="1:8" hidden="1" x14ac:dyDescent="0.2">
      <c r="A1040" s="3" t="s">
        <v>16369</v>
      </c>
      <c r="B1040" s="3" t="s">
        <v>14359</v>
      </c>
      <c r="C1040" s="3" t="s">
        <v>3011</v>
      </c>
      <c r="D1040" s="3" t="s">
        <v>16370</v>
      </c>
      <c r="E1040" t="s">
        <v>10521</v>
      </c>
      <c r="F1040" t="s">
        <v>3012</v>
      </c>
      <c r="G1040" t="s">
        <v>18840</v>
      </c>
      <c r="H1040" t="s">
        <v>18840</v>
      </c>
    </row>
    <row r="1041" spans="1:8" hidden="1" x14ac:dyDescent="0.2">
      <c r="A1041" s="3" t="s">
        <v>16371</v>
      </c>
      <c r="B1041" s="3" t="s">
        <v>14359</v>
      </c>
      <c r="C1041" s="3" t="s">
        <v>3013</v>
      </c>
      <c r="D1041" s="3" t="s">
        <v>16372</v>
      </c>
      <c r="E1041" t="s">
        <v>10514</v>
      </c>
      <c r="F1041" t="s">
        <v>14188</v>
      </c>
      <c r="G1041" t="s">
        <v>18840</v>
      </c>
      <c r="H1041" t="s">
        <v>18840</v>
      </c>
    </row>
    <row r="1042" spans="1:8" hidden="1" x14ac:dyDescent="0.2">
      <c r="A1042" s="3" t="s">
        <v>16373</v>
      </c>
      <c r="B1042" s="3" t="s">
        <v>14359</v>
      </c>
      <c r="C1042" s="3" t="s">
        <v>3014</v>
      </c>
      <c r="D1042" s="3" t="s">
        <v>16374</v>
      </c>
      <c r="E1042" t="s">
        <v>19068</v>
      </c>
      <c r="F1042" t="s">
        <v>19169</v>
      </c>
      <c r="G1042" t="s">
        <v>18840</v>
      </c>
      <c r="H1042" t="s">
        <v>18840</v>
      </c>
    </row>
    <row r="1043" spans="1:8" hidden="1" x14ac:dyDescent="0.2">
      <c r="A1043" s="3" t="s">
        <v>16375</v>
      </c>
      <c r="B1043" s="3" t="s">
        <v>14359</v>
      </c>
      <c r="C1043" s="3" t="s">
        <v>3015</v>
      </c>
      <c r="D1043" s="3" t="s">
        <v>16376</v>
      </c>
      <c r="E1043" t="s">
        <v>10535</v>
      </c>
      <c r="F1043" t="s">
        <v>14198</v>
      </c>
      <c r="G1043" t="s">
        <v>18840</v>
      </c>
      <c r="H1043" t="s">
        <v>18840</v>
      </c>
    </row>
    <row r="1044" spans="1:8" hidden="1" x14ac:dyDescent="0.2">
      <c r="A1044" s="3" t="s">
        <v>16377</v>
      </c>
      <c r="B1044" s="3" t="s">
        <v>14359</v>
      </c>
      <c r="C1044" s="3" t="s">
        <v>3016</v>
      </c>
      <c r="D1044" s="3" t="s">
        <v>16378</v>
      </c>
      <c r="E1044" t="s">
        <v>10523</v>
      </c>
      <c r="F1044" t="s">
        <v>3017</v>
      </c>
      <c r="G1044" t="s">
        <v>18840</v>
      </c>
      <c r="H1044" t="s">
        <v>18840</v>
      </c>
    </row>
    <row r="1045" spans="1:8" hidden="1" x14ac:dyDescent="0.2">
      <c r="A1045" s="3" t="s">
        <v>16379</v>
      </c>
      <c r="B1045" s="3" t="s">
        <v>14359</v>
      </c>
      <c r="C1045" s="3" t="s">
        <v>3018</v>
      </c>
      <c r="D1045" s="3" t="s">
        <v>16380</v>
      </c>
      <c r="E1045" t="s">
        <v>10530</v>
      </c>
      <c r="F1045" t="s">
        <v>3019</v>
      </c>
      <c r="G1045" t="s">
        <v>18840</v>
      </c>
      <c r="H1045" t="s">
        <v>18840</v>
      </c>
    </row>
    <row r="1046" spans="1:8" hidden="1" x14ac:dyDescent="0.2">
      <c r="A1046" s="3" t="s">
        <v>16381</v>
      </c>
      <c r="B1046" s="3" t="s">
        <v>14359</v>
      </c>
      <c r="C1046" s="3" t="s">
        <v>3020</v>
      </c>
      <c r="D1046" s="3" t="s">
        <v>16382</v>
      </c>
      <c r="E1046" t="s">
        <v>10522</v>
      </c>
      <c r="F1046" t="s">
        <v>3021</v>
      </c>
      <c r="G1046" t="s">
        <v>18840</v>
      </c>
      <c r="H1046" t="s">
        <v>18840</v>
      </c>
    </row>
    <row r="1047" spans="1:8" hidden="1" x14ac:dyDescent="0.2">
      <c r="A1047" s="3" t="s">
        <v>16383</v>
      </c>
      <c r="B1047" s="3" t="s">
        <v>14359</v>
      </c>
      <c r="C1047" s="3" t="s">
        <v>3022</v>
      </c>
      <c r="D1047" s="3" t="s">
        <v>15040</v>
      </c>
      <c r="E1047" t="s">
        <v>10531</v>
      </c>
      <c r="F1047" t="s">
        <v>3023</v>
      </c>
      <c r="G1047" t="s">
        <v>18840</v>
      </c>
      <c r="H1047" t="s">
        <v>18840</v>
      </c>
    </row>
    <row r="1048" spans="1:8" hidden="1" x14ac:dyDescent="0.2">
      <c r="A1048" s="3" t="s">
        <v>16384</v>
      </c>
      <c r="B1048" s="3" t="s">
        <v>14359</v>
      </c>
      <c r="C1048" s="3" t="s">
        <v>3024</v>
      </c>
      <c r="D1048" s="3" t="s">
        <v>16385</v>
      </c>
      <c r="E1048" t="s">
        <v>10524</v>
      </c>
      <c r="F1048" t="s">
        <v>3025</v>
      </c>
      <c r="G1048" t="s">
        <v>18840</v>
      </c>
      <c r="H1048" t="s">
        <v>18840</v>
      </c>
    </row>
    <row r="1049" spans="1:8" hidden="1" x14ac:dyDescent="0.2">
      <c r="A1049" s="3" t="s">
        <v>16386</v>
      </c>
      <c r="B1049" s="3" t="s">
        <v>14359</v>
      </c>
      <c r="C1049" s="3" t="s">
        <v>3026</v>
      </c>
      <c r="D1049" s="3" t="s">
        <v>16387</v>
      </c>
      <c r="E1049" t="s">
        <v>10517</v>
      </c>
      <c r="F1049" t="s">
        <v>3027</v>
      </c>
      <c r="G1049" t="s">
        <v>18840</v>
      </c>
      <c r="H1049" t="s">
        <v>18840</v>
      </c>
    </row>
    <row r="1050" spans="1:8" hidden="1" x14ac:dyDescent="0.2">
      <c r="A1050" s="3" t="s">
        <v>16388</v>
      </c>
      <c r="B1050" s="3" t="s">
        <v>14359</v>
      </c>
      <c r="C1050" s="3" t="s">
        <v>3028</v>
      </c>
      <c r="D1050" s="3" t="s">
        <v>16389</v>
      </c>
      <c r="E1050" t="s">
        <v>10515</v>
      </c>
      <c r="F1050" t="s">
        <v>3029</v>
      </c>
      <c r="G1050" t="s">
        <v>18840</v>
      </c>
      <c r="H1050" t="s">
        <v>18840</v>
      </c>
    </row>
    <row r="1051" spans="1:8" hidden="1" x14ac:dyDescent="0.2">
      <c r="A1051" s="3" t="s">
        <v>16390</v>
      </c>
      <c r="B1051" s="3" t="s">
        <v>14359</v>
      </c>
      <c r="C1051" s="3" t="s">
        <v>3030</v>
      </c>
      <c r="D1051" s="3" t="s">
        <v>16391</v>
      </c>
      <c r="E1051" t="s">
        <v>10529</v>
      </c>
      <c r="F1051" t="s">
        <v>3031</v>
      </c>
      <c r="G1051" t="s">
        <v>18840</v>
      </c>
      <c r="H1051" t="s">
        <v>18840</v>
      </c>
    </row>
    <row r="1052" spans="1:8" hidden="1" x14ac:dyDescent="0.2">
      <c r="A1052" s="3" t="s">
        <v>16392</v>
      </c>
      <c r="B1052" s="3" t="s">
        <v>14359</v>
      </c>
      <c r="C1052" s="3" t="s">
        <v>3032</v>
      </c>
      <c r="D1052" s="3" t="s">
        <v>16393</v>
      </c>
      <c r="E1052" t="s">
        <v>10528</v>
      </c>
      <c r="F1052" t="s">
        <v>3033</v>
      </c>
      <c r="G1052" t="s">
        <v>18840</v>
      </c>
      <c r="H1052" t="s">
        <v>18840</v>
      </c>
    </row>
    <row r="1053" spans="1:8" hidden="1" x14ac:dyDescent="0.2">
      <c r="A1053" s="3" t="s">
        <v>16394</v>
      </c>
      <c r="B1053" s="3" t="s">
        <v>14359</v>
      </c>
      <c r="C1053" s="3" t="s">
        <v>3034</v>
      </c>
      <c r="D1053" s="3" t="s">
        <v>15040</v>
      </c>
      <c r="E1053" t="s">
        <v>10543</v>
      </c>
      <c r="F1053" t="s">
        <v>3035</v>
      </c>
      <c r="G1053" t="s">
        <v>18840</v>
      </c>
      <c r="H1053" t="s">
        <v>18840</v>
      </c>
    </row>
    <row r="1054" spans="1:8" hidden="1" x14ac:dyDescent="0.2">
      <c r="A1054" s="3" t="s">
        <v>16395</v>
      </c>
      <c r="B1054" s="3" t="s">
        <v>14359</v>
      </c>
      <c r="C1054" s="3" t="s">
        <v>3036</v>
      </c>
      <c r="D1054" s="3" t="s">
        <v>15040</v>
      </c>
      <c r="E1054" t="s">
        <v>10542</v>
      </c>
      <c r="F1054" t="s">
        <v>3037</v>
      </c>
      <c r="G1054" t="s">
        <v>18840</v>
      </c>
      <c r="H1054" t="s">
        <v>18840</v>
      </c>
    </row>
    <row r="1055" spans="1:8" hidden="1" x14ac:dyDescent="0.2">
      <c r="A1055" s="3" t="s">
        <v>16396</v>
      </c>
      <c r="B1055" s="3" t="s">
        <v>14359</v>
      </c>
      <c r="C1055" s="3" t="s">
        <v>3038</v>
      </c>
      <c r="D1055" s="3" t="s">
        <v>16397</v>
      </c>
      <c r="E1055" t="s">
        <v>19086</v>
      </c>
      <c r="F1055" t="s">
        <v>19171</v>
      </c>
      <c r="G1055" t="s">
        <v>18840</v>
      </c>
      <c r="H1055" t="s">
        <v>18840</v>
      </c>
    </row>
    <row r="1056" spans="1:8" hidden="1" x14ac:dyDescent="0.2">
      <c r="A1056" s="3" t="s">
        <v>16398</v>
      </c>
      <c r="B1056" s="3" t="s">
        <v>14359</v>
      </c>
      <c r="C1056" s="3" t="s">
        <v>3039</v>
      </c>
      <c r="D1056" s="3" t="s">
        <v>16399</v>
      </c>
      <c r="E1056" t="s">
        <v>19740</v>
      </c>
      <c r="F1056" t="s">
        <v>3040</v>
      </c>
      <c r="G1056" t="s">
        <v>3459</v>
      </c>
      <c r="H1056" t="s">
        <v>5754</v>
      </c>
    </row>
    <row r="1057" spans="1:8" hidden="1" x14ac:dyDescent="0.2">
      <c r="A1057" s="3" t="s">
        <v>16400</v>
      </c>
      <c r="B1057" s="3" t="s">
        <v>14359</v>
      </c>
      <c r="C1057" s="3" t="s">
        <v>3041</v>
      </c>
      <c r="D1057" s="3" t="s">
        <v>16401</v>
      </c>
      <c r="E1057" t="s">
        <v>19741</v>
      </c>
      <c r="F1057" t="s">
        <v>3042</v>
      </c>
      <c r="G1057" t="s">
        <v>3459</v>
      </c>
      <c r="H1057" t="s">
        <v>5559</v>
      </c>
    </row>
    <row r="1058" spans="1:8" hidden="1" x14ac:dyDescent="0.2">
      <c r="A1058" s="3" t="s">
        <v>16402</v>
      </c>
      <c r="B1058" s="3" t="s">
        <v>14359</v>
      </c>
      <c r="C1058" s="3" t="s">
        <v>3043</v>
      </c>
      <c r="D1058" s="3" t="s">
        <v>16403</v>
      </c>
      <c r="E1058" t="s">
        <v>5831</v>
      </c>
      <c r="F1058" t="s">
        <v>3044</v>
      </c>
      <c r="G1058" t="s">
        <v>3436</v>
      </c>
      <c r="H1058" t="s">
        <v>3687</v>
      </c>
    </row>
    <row r="1059" spans="1:8" hidden="1" x14ac:dyDescent="0.2">
      <c r="A1059" s="3" t="s">
        <v>16404</v>
      </c>
      <c r="B1059" s="3" t="s">
        <v>14359</v>
      </c>
      <c r="C1059" s="3" t="s">
        <v>3045</v>
      </c>
      <c r="D1059" s="3" t="s">
        <v>16405</v>
      </c>
      <c r="E1059" t="s">
        <v>6029</v>
      </c>
      <c r="F1059" t="s">
        <v>3046</v>
      </c>
      <c r="G1059" t="s">
        <v>3436</v>
      </c>
      <c r="H1059" t="s">
        <v>4215</v>
      </c>
    </row>
    <row r="1060" spans="1:8" hidden="1" x14ac:dyDescent="0.2">
      <c r="A1060" s="3" t="s">
        <v>16406</v>
      </c>
      <c r="B1060" s="3" t="s">
        <v>14359</v>
      </c>
      <c r="C1060" s="3" t="s">
        <v>3047</v>
      </c>
      <c r="D1060" s="3" t="s">
        <v>16407</v>
      </c>
      <c r="E1060" t="s">
        <v>6045</v>
      </c>
      <c r="F1060" t="s">
        <v>3048</v>
      </c>
      <c r="G1060" t="s">
        <v>3436</v>
      </c>
      <c r="H1060" t="s">
        <v>3524</v>
      </c>
    </row>
    <row r="1061" spans="1:8" hidden="1" x14ac:dyDescent="0.2">
      <c r="A1061" s="3" t="s">
        <v>16408</v>
      </c>
      <c r="B1061" s="3" t="s">
        <v>14359</v>
      </c>
      <c r="C1061" s="3" t="s">
        <v>3049</v>
      </c>
      <c r="D1061" s="3" t="s">
        <v>16409</v>
      </c>
      <c r="E1061" t="s">
        <v>6053</v>
      </c>
      <c r="F1061" t="s">
        <v>3050</v>
      </c>
      <c r="G1061" t="s">
        <v>3436</v>
      </c>
      <c r="H1061" t="s">
        <v>3670</v>
      </c>
    </row>
    <row r="1062" spans="1:8" hidden="1" x14ac:dyDescent="0.2">
      <c r="A1062" s="3" t="s">
        <v>16410</v>
      </c>
      <c r="B1062" s="3" t="s">
        <v>14359</v>
      </c>
      <c r="C1062" s="3" t="s">
        <v>3051</v>
      </c>
      <c r="D1062" s="3" t="s">
        <v>16411</v>
      </c>
      <c r="E1062" t="s">
        <v>6068</v>
      </c>
      <c r="F1062" t="s">
        <v>3052</v>
      </c>
      <c r="G1062" t="s">
        <v>3436</v>
      </c>
      <c r="H1062" t="s">
        <v>3661</v>
      </c>
    </row>
    <row r="1063" spans="1:8" hidden="1" x14ac:dyDescent="0.2">
      <c r="A1063" s="3" t="s">
        <v>16412</v>
      </c>
      <c r="B1063" s="3" t="s">
        <v>14359</v>
      </c>
      <c r="C1063" s="3" t="s">
        <v>3053</v>
      </c>
      <c r="D1063" s="3" t="s">
        <v>16413</v>
      </c>
      <c r="E1063" t="s">
        <v>13105</v>
      </c>
      <c r="F1063" t="s">
        <v>3054</v>
      </c>
      <c r="G1063" t="s">
        <v>3863</v>
      </c>
      <c r="H1063" t="s">
        <v>4373</v>
      </c>
    </row>
    <row r="1064" spans="1:8" hidden="1" x14ac:dyDescent="0.2">
      <c r="A1064" s="3" t="s">
        <v>16414</v>
      </c>
      <c r="B1064" s="3" t="s">
        <v>14359</v>
      </c>
      <c r="C1064" s="3" t="s">
        <v>3055</v>
      </c>
      <c r="D1064" s="3" t="s">
        <v>16415</v>
      </c>
      <c r="E1064" t="s">
        <v>19742</v>
      </c>
      <c r="F1064" t="s">
        <v>3056</v>
      </c>
      <c r="G1064" t="s">
        <v>3533</v>
      </c>
      <c r="H1064" t="s">
        <v>4050</v>
      </c>
    </row>
    <row r="1065" spans="1:8" hidden="1" x14ac:dyDescent="0.2">
      <c r="A1065" s="3" t="s">
        <v>16416</v>
      </c>
      <c r="B1065" s="3" t="s">
        <v>14359</v>
      </c>
      <c r="C1065" s="3" t="s">
        <v>3057</v>
      </c>
      <c r="D1065" s="3" t="s">
        <v>16417</v>
      </c>
      <c r="E1065" t="s">
        <v>17914</v>
      </c>
      <c r="F1065" t="s">
        <v>19103</v>
      </c>
      <c r="G1065" t="s">
        <v>3533</v>
      </c>
      <c r="H1065" t="s">
        <v>4356</v>
      </c>
    </row>
    <row r="1066" spans="1:8" hidden="1" x14ac:dyDescent="0.2">
      <c r="A1066" s="3" t="s">
        <v>16418</v>
      </c>
      <c r="B1066" s="3" t="s">
        <v>14359</v>
      </c>
      <c r="C1066" s="3" t="s">
        <v>3058</v>
      </c>
      <c r="D1066" s="3" t="s">
        <v>16419</v>
      </c>
      <c r="E1066" t="s">
        <v>6647</v>
      </c>
      <c r="F1066" t="s">
        <v>3059</v>
      </c>
      <c r="G1066" t="s">
        <v>3436</v>
      </c>
      <c r="H1066" t="s">
        <v>3661</v>
      </c>
    </row>
    <row r="1067" spans="1:8" hidden="1" x14ac:dyDescent="0.2">
      <c r="A1067" s="3" t="s">
        <v>16420</v>
      </c>
      <c r="B1067" s="3" t="s">
        <v>14359</v>
      </c>
      <c r="C1067" s="3" t="s">
        <v>3060</v>
      </c>
      <c r="D1067" s="3" t="s">
        <v>16421</v>
      </c>
      <c r="E1067" t="s">
        <v>19743</v>
      </c>
      <c r="F1067" t="s">
        <v>3061</v>
      </c>
      <c r="G1067" t="s">
        <v>3436</v>
      </c>
      <c r="H1067" t="s">
        <v>4215</v>
      </c>
    </row>
    <row r="1068" spans="1:8" hidden="1" x14ac:dyDescent="0.2">
      <c r="A1068" s="3" t="s">
        <v>16422</v>
      </c>
      <c r="B1068" s="3" t="s">
        <v>14359</v>
      </c>
      <c r="C1068" s="3" t="s">
        <v>3062</v>
      </c>
      <c r="D1068" s="3" t="s">
        <v>16423</v>
      </c>
      <c r="E1068" t="s">
        <v>19744</v>
      </c>
      <c r="F1068" t="s">
        <v>3063</v>
      </c>
      <c r="G1068" t="s">
        <v>3459</v>
      </c>
      <c r="H1068" t="s">
        <v>5021</v>
      </c>
    </row>
    <row r="1069" spans="1:8" hidden="1" x14ac:dyDescent="0.2">
      <c r="A1069" s="3" t="s">
        <v>16424</v>
      </c>
      <c r="B1069" s="3" t="s">
        <v>14359</v>
      </c>
      <c r="C1069" s="3" t="s">
        <v>3064</v>
      </c>
      <c r="D1069" s="3" t="s">
        <v>15618</v>
      </c>
      <c r="E1069" t="s">
        <v>19745</v>
      </c>
      <c r="F1069" t="s">
        <v>3065</v>
      </c>
      <c r="G1069" t="s">
        <v>3448</v>
      </c>
      <c r="H1069" t="s">
        <v>3714</v>
      </c>
    </row>
    <row r="1070" spans="1:8" hidden="1" x14ac:dyDescent="0.2">
      <c r="A1070" s="3" t="s">
        <v>16425</v>
      </c>
      <c r="B1070" s="3" t="s">
        <v>14359</v>
      </c>
      <c r="C1070" s="3" t="s">
        <v>3066</v>
      </c>
      <c r="D1070" s="3" t="s">
        <v>15618</v>
      </c>
      <c r="E1070" t="s">
        <v>19746</v>
      </c>
      <c r="F1070" t="s">
        <v>3067</v>
      </c>
      <c r="G1070" t="s">
        <v>3448</v>
      </c>
      <c r="H1070" t="s">
        <v>3714</v>
      </c>
    </row>
    <row r="1071" spans="1:8" hidden="1" x14ac:dyDescent="0.2">
      <c r="A1071" s="3" t="s">
        <v>16426</v>
      </c>
      <c r="B1071" s="3" t="s">
        <v>14359</v>
      </c>
      <c r="C1071" s="3" t="s">
        <v>3068</v>
      </c>
      <c r="D1071" s="3" t="s">
        <v>16427</v>
      </c>
      <c r="E1071" t="s">
        <v>19747</v>
      </c>
      <c r="F1071" t="s">
        <v>3069</v>
      </c>
      <c r="G1071" t="s">
        <v>3459</v>
      </c>
      <c r="H1071" t="s">
        <v>5559</v>
      </c>
    </row>
    <row r="1072" spans="1:8" hidden="1" x14ac:dyDescent="0.2">
      <c r="A1072" s="3" t="s">
        <v>16428</v>
      </c>
      <c r="B1072" s="3" t="s">
        <v>14359</v>
      </c>
      <c r="C1072" s="3" t="s">
        <v>3070</v>
      </c>
      <c r="D1072" s="3" t="s">
        <v>16429</v>
      </c>
      <c r="E1072" t="s">
        <v>7879</v>
      </c>
      <c r="F1072" t="s">
        <v>13914</v>
      </c>
      <c r="G1072" t="s">
        <v>3436</v>
      </c>
      <c r="H1072" t="s">
        <v>3586</v>
      </c>
    </row>
    <row r="1073" spans="1:8" hidden="1" x14ac:dyDescent="0.2">
      <c r="A1073" s="3" t="s">
        <v>16430</v>
      </c>
      <c r="B1073" s="3" t="s">
        <v>14359</v>
      </c>
      <c r="C1073" s="3" t="s">
        <v>3072</v>
      </c>
      <c r="D1073" s="3" t="s">
        <v>16431</v>
      </c>
      <c r="E1073" t="s">
        <v>19748</v>
      </c>
      <c r="F1073" t="s">
        <v>3073</v>
      </c>
      <c r="G1073" t="s">
        <v>3436</v>
      </c>
      <c r="H1073" t="s">
        <v>3906</v>
      </c>
    </row>
    <row r="1074" spans="1:8" hidden="1" x14ac:dyDescent="0.2">
      <c r="A1074" s="3" t="s">
        <v>16432</v>
      </c>
      <c r="B1074" s="3" t="s">
        <v>14359</v>
      </c>
      <c r="C1074" s="3" t="s">
        <v>3074</v>
      </c>
      <c r="D1074" s="3" t="s">
        <v>16433</v>
      </c>
      <c r="E1074" t="s">
        <v>8231</v>
      </c>
      <c r="F1074" t="s">
        <v>3075</v>
      </c>
      <c r="G1074" t="s">
        <v>3436</v>
      </c>
      <c r="H1074" t="s">
        <v>3661</v>
      </c>
    </row>
    <row r="1075" spans="1:8" hidden="1" x14ac:dyDescent="0.2">
      <c r="A1075" s="3" t="s">
        <v>16434</v>
      </c>
      <c r="B1075" s="3" t="s">
        <v>14359</v>
      </c>
      <c r="C1075" s="3" t="s">
        <v>3076</v>
      </c>
      <c r="D1075" s="3" t="s">
        <v>16435</v>
      </c>
      <c r="E1075" t="s">
        <v>8785</v>
      </c>
      <c r="F1075" t="s">
        <v>3077</v>
      </c>
      <c r="G1075" t="s">
        <v>3459</v>
      </c>
      <c r="H1075" t="s">
        <v>5021</v>
      </c>
    </row>
    <row r="1076" spans="1:8" hidden="1" x14ac:dyDescent="0.2">
      <c r="A1076" s="3" t="s">
        <v>16436</v>
      </c>
      <c r="B1076" s="3" t="s">
        <v>14359</v>
      </c>
      <c r="C1076" s="3" t="s">
        <v>3078</v>
      </c>
      <c r="D1076" s="3" t="s">
        <v>16437</v>
      </c>
      <c r="E1076" t="s">
        <v>19749</v>
      </c>
      <c r="F1076" t="s">
        <v>3079</v>
      </c>
      <c r="G1076" t="s">
        <v>3459</v>
      </c>
      <c r="H1076" t="s">
        <v>3516</v>
      </c>
    </row>
    <row r="1077" spans="1:8" hidden="1" x14ac:dyDescent="0.2">
      <c r="A1077" s="3" t="s">
        <v>16438</v>
      </c>
      <c r="B1077" s="3" t="s">
        <v>14359</v>
      </c>
      <c r="C1077" s="3" t="s">
        <v>3080</v>
      </c>
      <c r="D1077" s="3" t="s">
        <v>16439</v>
      </c>
      <c r="E1077" t="s">
        <v>19750</v>
      </c>
      <c r="F1077" t="s">
        <v>3081</v>
      </c>
      <c r="G1077" t="s">
        <v>3533</v>
      </c>
      <c r="H1077" t="s">
        <v>4356</v>
      </c>
    </row>
    <row r="1078" spans="1:8" hidden="1" x14ac:dyDescent="0.2">
      <c r="A1078" s="3" t="s">
        <v>16440</v>
      </c>
      <c r="B1078" s="3" t="s">
        <v>14359</v>
      </c>
      <c r="C1078" s="3" t="s">
        <v>3082</v>
      </c>
      <c r="D1078" s="3" t="s">
        <v>16441</v>
      </c>
      <c r="E1078" t="s">
        <v>19751</v>
      </c>
      <c r="F1078" t="s">
        <v>3083</v>
      </c>
      <c r="G1078" t="s">
        <v>3533</v>
      </c>
      <c r="H1078" t="s">
        <v>3705</v>
      </c>
    </row>
    <row r="1079" spans="1:8" hidden="1" x14ac:dyDescent="0.2">
      <c r="A1079" s="3" t="s">
        <v>16442</v>
      </c>
      <c r="B1079" s="3" t="s">
        <v>14359</v>
      </c>
      <c r="C1079" s="3" t="s">
        <v>3084</v>
      </c>
      <c r="D1079" s="3" t="s">
        <v>16443</v>
      </c>
      <c r="E1079" t="s">
        <v>9761</v>
      </c>
      <c r="F1079" t="s">
        <v>14024</v>
      </c>
      <c r="G1079" t="s">
        <v>3436</v>
      </c>
      <c r="H1079" t="s">
        <v>3586</v>
      </c>
    </row>
    <row r="1080" spans="1:8" hidden="1" x14ac:dyDescent="0.2">
      <c r="A1080" s="3" t="s">
        <v>16444</v>
      </c>
      <c r="B1080" s="3" t="s">
        <v>14359</v>
      </c>
      <c r="C1080" s="3" t="s">
        <v>3086</v>
      </c>
      <c r="D1080" s="3" t="s">
        <v>15040</v>
      </c>
      <c r="E1080" t="s">
        <v>9809</v>
      </c>
      <c r="F1080" t="s">
        <v>3087</v>
      </c>
      <c r="G1080" t="s">
        <v>3436</v>
      </c>
      <c r="H1080" t="s">
        <v>3586</v>
      </c>
    </row>
    <row r="1081" spans="1:8" hidden="1" x14ac:dyDescent="0.2">
      <c r="A1081" s="3" t="s">
        <v>16445</v>
      </c>
      <c r="B1081" s="3" t="s">
        <v>14359</v>
      </c>
      <c r="C1081" s="3" t="s">
        <v>3088</v>
      </c>
      <c r="D1081" s="3" t="s">
        <v>16446</v>
      </c>
      <c r="E1081" t="s">
        <v>9812</v>
      </c>
      <c r="F1081" t="s">
        <v>3089</v>
      </c>
      <c r="G1081" t="s">
        <v>3436</v>
      </c>
      <c r="H1081" t="s">
        <v>3586</v>
      </c>
    </row>
    <row r="1082" spans="1:8" hidden="1" x14ac:dyDescent="0.2">
      <c r="A1082" s="3" t="s">
        <v>16447</v>
      </c>
      <c r="B1082" s="3" t="s">
        <v>14359</v>
      </c>
      <c r="C1082" s="3" t="s">
        <v>3090</v>
      </c>
      <c r="D1082" s="3" t="s">
        <v>16448</v>
      </c>
      <c r="E1082" t="s">
        <v>19752</v>
      </c>
      <c r="F1082" t="s">
        <v>14028</v>
      </c>
      <c r="G1082" t="s">
        <v>3459</v>
      </c>
      <c r="H1082" t="s">
        <v>3819</v>
      </c>
    </row>
    <row r="1083" spans="1:8" hidden="1" x14ac:dyDescent="0.2">
      <c r="A1083" s="3" t="s">
        <v>16449</v>
      </c>
      <c r="B1083" s="3" t="s">
        <v>14359</v>
      </c>
      <c r="C1083" s="3" t="s">
        <v>3092</v>
      </c>
      <c r="D1083" s="3" t="s">
        <v>16450</v>
      </c>
      <c r="E1083" t="s">
        <v>19753</v>
      </c>
      <c r="F1083" t="s">
        <v>14092</v>
      </c>
      <c r="G1083" t="s">
        <v>3459</v>
      </c>
      <c r="H1083" t="s">
        <v>3873</v>
      </c>
    </row>
    <row r="1084" spans="1:8" hidden="1" x14ac:dyDescent="0.2">
      <c r="A1084" s="3" t="s">
        <v>16451</v>
      </c>
      <c r="B1084" s="3" t="s">
        <v>14359</v>
      </c>
      <c r="C1084" s="3" t="s">
        <v>3093</v>
      </c>
      <c r="D1084" s="3" t="s">
        <v>15618</v>
      </c>
      <c r="E1084" t="s">
        <v>19754</v>
      </c>
      <c r="F1084" t="s">
        <v>14107</v>
      </c>
      <c r="G1084" t="s">
        <v>6580</v>
      </c>
      <c r="H1084" t="s">
        <v>6580</v>
      </c>
    </row>
    <row r="1085" spans="1:8" hidden="1" x14ac:dyDescent="0.2">
      <c r="A1085" s="3" t="s">
        <v>16452</v>
      </c>
      <c r="B1085" s="3" t="s">
        <v>14359</v>
      </c>
      <c r="C1085" s="3" t="s">
        <v>3094</v>
      </c>
      <c r="D1085" s="3" t="s">
        <v>15618</v>
      </c>
      <c r="E1085" t="s">
        <v>19755</v>
      </c>
      <c r="F1085" t="s">
        <v>14108</v>
      </c>
      <c r="G1085" t="s">
        <v>6580</v>
      </c>
      <c r="H1085" t="s">
        <v>6580</v>
      </c>
    </row>
    <row r="1086" spans="1:8" hidden="1" x14ac:dyDescent="0.2">
      <c r="A1086" s="3" t="s">
        <v>16453</v>
      </c>
      <c r="B1086" s="3" t="s">
        <v>14359</v>
      </c>
      <c r="C1086" s="3" t="s">
        <v>3095</v>
      </c>
      <c r="D1086" s="3" t="s">
        <v>15618</v>
      </c>
      <c r="E1086" t="s">
        <v>19756</v>
      </c>
      <c r="F1086" t="s">
        <v>14109</v>
      </c>
      <c r="G1086" t="s">
        <v>6580</v>
      </c>
      <c r="H1086" t="s">
        <v>6580</v>
      </c>
    </row>
    <row r="1087" spans="1:8" hidden="1" x14ac:dyDescent="0.2">
      <c r="A1087" s="3" t="s">
        <v>16454</v>
      </c>
      <c r="B1087" s="3" t="s">
        <v>14359</v>
      </c>
      <c r="C1087" s="3" t="s">
        <v>3096</v>
      </c>
      <c r="D1087" s="3" t="s">
        <v>15618</v>
      </c>
      <c r="E1087" t="s">
        <v>19757</v>
      </c>
      <c r="F1087" t="s">
        <v>3097</v>
      </c>
      <c r="G1087" t="s">
        <v>3448</v>
      </c>
      <c r="H1087" t="s">
        <v>3714</v>
      </c>
    </row>
    <row r="1088" spans="1:8" hidden="1" x14ac:dyDescent="0.2">
      <c r="A1088" s="3" t="s">
        <v>16455</v>
      </c>
      <c r="B1088" s="3" t="s">
        <v>14359</v>
      </c>
      <c r="C1088" s="3" t="s">
        <v>3098</v>
      </c>
      <c r="D1088" s="3" t="s">
        <v>16456</v>
      </c>
      <c r="E1088" t="s">
        <v>19758</v>
      </c>
      <c r="F1088" t="s">
        <v>3099</v>
      </c>
      <c r="G1088" t="s">
        <v>3436</v>
      </c>
      <c r="H1088" t="s">
        <v>3498</v>
      </c>
    </row>
    <row r="1089" spans="1:8" hidden="1" x14ac:dyDescent="0.2">
      <c r="A1089" s="3" t="s">
        <v>16457</v>
      </c>
      <c r="B1089" s="3" t="s">
        <v>14359</v>
      </c>
      <c r="C1089" s="3" t="s">
        <v>3100</v>
      </c>
      <c r="D1089" s="3" t="s">
        <v>16458</v>
      </c>
      <c r="E1089" t="s">
        <v>19759</v>
      </c>
      <c r="F1089" t="s">
        <v>3101</v>
      </c>
      <c r="G1089" t="s">
        <v>3448</v>
      </c>
      <c r="H1089" t="s">
        <v>3714</v>
      </c>
    </row>
    <row r="1090" spans="1:8" hidden="1" x14ac:dyDescent="0.2">
      <c r="A1090" s="3" t="s">
        <v>16459</v>
      </c>
      <c r="B1090" s="3" t="s">
        <v>14359</v>
      </c>
      <c r="C1090" s="3" t="s">
        <v>573</v>
      </c>
      <c r="D1090" s="3" t="s">
        <v>16460</v>
      </c>
      <c r="E1090" t="s">
        <v>572</v>
      </c>
      <c r="F1090" t="s">
        <v>13760</v>
      </c>
      <c r="G1090" t="s">
        <v>3436</v>
      </c>
      <c r="H1090" t="s">
        <v>3882</v>
      </c>
    </row>
    <row r="1091" spans="1:8" hidden="1" x14ac:dyDescent="0.2">
      <c r="A1091" s="3" t="s">
        <v>16461</v>
      </c>
      <c r="B1091" s="3" t="s">
        <v>14359</v>
      </c>
      <c r="C1091" s="3" t="s">
        <v>3102</v>
      </c>
      <c r="D1091" s="3" t="s">
        <v>16462</v>
      </c>
      <c r="E1091" t="s">
        <v>18867</v>
      </c>
      <c r="F1091" t="s">
        <v>19142</v>
      </c>
      <c r="G1091" t="s">
        <v>18840</v>
      </c>
      <c r="H1091" t="s">
        <v>18840</v>
      </c>
    </row>
    <row r="1092" spans="1:8" hidden="1" x14ac:dyDescent="0.2">
      <c r="A1092" s="3" t="s">
        <v>16463</v>
      </c>
      <c r="B1092" s="3" t="s">
        <v>14359</v>
      </c>
      <c r="C1092" s="3" t="s">
        <v>3103</v>
      </c>
      <c r="D1092" s="3" t="s">
        <v>16464</v>
      </c>
      <c r="E1092" t="s">
        <v>10344</v>
      </c>
      <c r="F1092" t="s">
        <v>3104</v>
      </c>
      <c r="G1092" t="s">
        <v>18840</v>
      </c>
      <c r="H1092" t="s">
        <v>18840</v>
      </c>
    </row>
    <row r="1093" spans="1:8" hidden="1" x14ac:dyDescent="0.2">
      <c r="A1093" s="3" t="s">
        <v>16465</v>
      </c>
      <c r="B1093" s="3" t="s">
        <v>14359</v>
      </c>
      <c r="C1093" s="3" t="s">
        <v>3105</v>
      </c>
      <c r="D1093" s="3" t="s">
        <v>16466</v>
      </c>
      <c r="E1093" t="s">
        <v>10354</v>
      </c>
      <c r="F1093" t="s">
        <v>3106</v>
      </c>
      <c r="G1093" t="s">
        <v>18840</v>
      </c>
      <c r="H1093" t="s">
        <v>18840</v>
      </c>
    </row>
    <row r="1094" spans="1:8" hidden="1" x14ac:dyDescent="0.2">
      <c r="A1094" s="3" t="s">
        <v>16467</v>
      </c>
      <c r="B1094" s="3" t="s">
        <v>14359</v>
      </c>
      <c r="C1094" s="3" t="s">
        <v>3107</v>
      </c>
      <c r="D1094" s="3" t="s">
        <v>16468</v>
      </c>
      <c r="E1094" t="s">
        <v>10410</v>
      </c>
      <c r="F1094" t="s">
        <v>3108</v>
      </c>
      <c r="G1094" t="s">
        <v>18840</v>
      </c>
      <c r="H1094" t="s">
        <v>18840</v>
      </c>
    </row>
    <row r="1095" spans="1:8" hidden="1" x14ac:dyDescent="0.2">
      <c r="A1095" s="3" t="s">
        <v>16469</v>
      </c>
      <c r="B1095" s="3" t="s">
        <v>14359</v>
      </c>
      <c r="C1095" s="3" t="s">
        <v>3109</v>
      </c>
      <c r="D1095" s="3" t="s">
        <v>16470</v>
      </c>
      <c r="E1095" t="s">
        <v>3109</v>
      </c>
      <c r="F1095" t="s">
        <v>14360</v>
      </c>
      <c r="G1095" s="3"/>
      <c r="H1095" s="3"/>
    </row>
    <row r="1096" spans="1:8" hidden="1" x14ac:dyDescent="0.2">
      <c r="A1096" s="3" t="s">
        <v>16471</v>
      </c>
      <c r="B1096" s="3" t="s">
        <v>14359</v>
      </c>
      <c r="C1096" s="3" t="s">
        <v>3110</v>
      </c>
      <c r="D1096" s="3" t="s">
        <v>16470</v>
      </c>
      <c r="E1096" t="s">
        <v>3110</v>
      </c>
      <c r="F1096" t="s">
        <v>14360</v>
      </c>
      <c r="G1096" s="3"/>
      <c r="H1096" s="3"/>
    </row>
    <row r="1097" spans="1:8" hidden="1" x14ac:dyDescent="0.2">
      <c r="A1097" s="3" t="s">
        <v>16472</v>
      </c>
      <c r="B1097" s="3" t="s">
        <v>14359</v>
      </c>
      <c r="C1097" s="3" t="s">
        <v>3111</v>
      </c>
      <c r="D1097" s="3" t="s">
        <v>16470</v>
      </c>
      <c r="E1097" t="s">
        <v>3111</v>
      </c>
      <c r="F1097" t="s">
        <v>14360</v>
      </c>
      <c r="G1097" s="3"/>
      <c r="H1097" s="3"/>
    </row>
    <row r="1098" spans="1:8" hidden="1" x14ac:dyDescent="0.2">
      <c r="A1098" s="3" t="s">
        <v>16473</v>
      </c>
      <c r="B1098" s="3" t="s">
        <v>14359</v>
      </c>
      <c r="C1098" s="3" t="s">
        <v>3112</v>
      </c>
      <c r="D1098" s="3" t="s">
        <v>16470</v>
      </c>
      <c r="E1098" t="s">
        <v>3112</v>
      </c>
      <c r="F1098" t="s">
        <v>14360</v>
      </c>
      <c r="G1098" s="3"/>
      <c r="H1098" s="3"/>
    </row>
    <row r="1099" spans="1:8" hidden="1" x14ac:dyDescent="0.2">
      <c r="A1099" s="3" t="s">
        <v>16474</v>
      </c>
      <c r="B1099" s="3" t="s">
        <v>14359</v>
      </c>
      <c r="C1099" s="3" t="s">
        <v>3113</v>
      </c>
      <c r="D1099" s="3" t="s">
        <v>16470</v>
      </c>
      <c r="E1099" t="s">
        <v>3113</v>
      </c>
      <c r="F1099" t="s">
        <v>14360</v>
      </c>
      <c r="G1099" s="3"/>
      <c r="H1099" s="3"/>
    </row>
    <row r="1100" spans="1:8" hidden="1" x14ac:dyDescent="0.2">
      <c r="A1100" s="3" t="s">
        <v>16475</v>
      </c>
      <c r="B1100" s="3" t="s">
        <v>14359</v>
      </c>
      <c r="C1100" s="3" t="s">
        <v>3114</v>
      </c>
      <c r="D1100" s="3" t="s">
        <v>16470</v>
      </c>
      <c r="E1100" t="s">
        <v>3114</v>
      </c>
      <c r="F1100" t="s">
        <v>14360</v>
      </c>
      <c r="G1100" s="3"/>
      <c r="H1100" s="3"/>
    </row>
    <row r="1101" spans="1:8" hidden="1" x14ac:dyDescent="0.2">
      <c r="A1101" s="3" t="s">
        <v>16476</v>
      </c>
      <c r="B1101" s="3" t="s">
        <v>14359</v>
      </c>
      <c r="C1101" s="3" t="s">
        <v>3115</v>
      </c>
      <c r="D1101" s="3" t="s">
        <v>16470</v>
      </c>
      <c r="E1101" t="s">
        <v>3115</v>
      </c>
      <c r="F1101" t="s">
        <v>14360</v>
      </c>
      <c r="G1101" s="3"/>
      <c r="H1101" s="3"/>
    </row>
    <row r="1102" spans="1:8" hidden="1" x14ac:dyDescent="0.2">
      <c r="A1102" s="3" t="s">
        <v>16477</v>
      </c>
      <c r="B1102" s="3" t="s">
        <v>14359</v>
      </c>
      <c r="C1102" s="3" t="s">
        <v>3116</v>
      </c>
      <c r="D1102" s="3" t="s">
        <v>16470</v>
      </c>
      <c r="E1102" t="s">
        <v>3116</v>
      </c>
      <c r="F1102" t="s">
        <v>14360</v>
      </c>
      <c r="G1102" s="3"/>
      <c r="H1102" s="3"/>
    </row>
    <row r="1103" spans="1:8" hidden="1" x14ac:dyDescent="0.2">
      <c r="A1103" s="3" t="s">
        <v>16478</v>
      </c>
      <c r="B1103" s="3" t="s">
        <v>14359</v>
      </c>
      <c r="C1103" s="3" t="s">
        <v>3117</v>
      </c>
      <c r="D1103" s="3" t="s">
        <v>16470</v>
      </c>
      <c r="E1103" t="s">
        <v>3117</v>
      </c>
      <c r="F1103" t="s">
        <v>14360</v>
      </c>
      <c r="G1103" s="3"/>
      <c r="H1103" s="3"/>
    </row>
    <row r="1104" spans="1:8" hidden="1" x14ac:dyDescent="0.2">
      <c r="A1104" s="3" t="s">
        <v>16479</v>
      </c>
      <c r="B1104" s="3" t="s">
        <v>14359</v>
      </c>
      <c r="C1104" s="3" t="s">
        <v>3118</v>
      </c>
      <c r="D1104" s="3" t="s">
        <v>16470</v>
      </c>
      <c r="E1104" t="s">
        <v>3118</v>
      </c>
      <c r="F1104" t="s">
        <v>14360</v>
      </c>
      <c r="G1104" s="3"/>
      <c r="H1104" s="3"/>
    </row>
    <row r="1105" spans="1:8" hidden="1" x14ac:dyDescent="0.2">
      <c r="A1105" s="3" t="s">
        <v>16480</v>
      </c>
      <c r="B1105" s="3" t="s">
        <v>14359</v>
      </c>
      <c r="C1105" s="3" t="s">
        <v>3119</v>
      </c>
      <c r="D1105" s="3" t="s">
        <v>16470</v>
      </c>
      <c r="E1105" t="s">
        <v>3119</v>
      </c>
      <c r="F1105" t="s">
        <v>14360</v>
      </c>
      <c r="G1105" s="3"/>
      <c r="H1105" s="3"/>
    </row>
    <row r="1106" spans="1:8" hidden="1" x14ac:dyDescent="0.2">
      <c r="A1106" s="3" t="s">
        <v>16481</v>
      </c>
      <c r="B1106" s="3" t="s">
        <v>14359</v>
      </c>
      <c r="C1106" s="3" t="s">
        <v>3120</v>
      </c>
      <c r="D1106" s="3" t="s">
        <v>16470</v>
      </c>
      <c r="E1106" t="s">
        <v>3120</v>
      </c>
      <c r="F1106" t="s">
        <v>14360</v>
      </c>
      <c r="G1106" s="3"/>
      <c r="H1106" s="3"/>
    </row>
    <row r="1107" spans="1:8" hidden="1" x14ac:dyDescent="0.2">
      <c r="A1107" s="3" t="s">
        <v>16482</v>
      </c>
      <c r="B1107" s="3" t="s">
        <v>14359</v>
      </c>
      <c r="C1107" s="3" t="s">
        <v>3121</v>
      </c>
      <c r="D1107" s="3" t="s">
        <v>16470</v>
      </c>
      <c r="E1107" t="s">
        <v>3121</v>
      </c>
      <c r="F1107" t="s">
        <v>14360</v>
      </c>
      <c r="G1107" s="3"/>
      <c r="H1107" s="3"/>
    </row>
    <row r="1108" spans="1:8" hidden="1" x14ac:dyDescent="0.2">
      <c r="A1108" s="3" t="s">
        <v>16483</v>
      </c>
      <c r="B1108" s="3" t="s">
        <v>14359</v>
      </c>
      <c r="C1108" s="3" t="s">
        <v>3122</v>
      </c>
      <c r="D1108" s="3" t="s">
        <v>16470</v>
      </c>
      <c r="E1108" t="s">
        <v>3122</v>
      </c>
      <c r="F1108" t="s">
        <v>14360</v>
      </c>
      <c r="G1108" s="3"/>
      <c r="H1108" s="3"/>
    </row>
    <row r="1109" spans="1:8" hidden="1" x14ac:dyDescent="0.2">
      <c r="A1109" s="3" t="s">
        <v>16484</v>
      </c>
      <c r="B1109" s="3" t="s">
        <v>14359</v>
      </c>
      <c r="C1109" s="3" t="s">
        <v>3123</v>
      </c>
      <c r="D1109" s="3" t="s">
        <v>16470</v>
      </c>
      <c r="E1109" t="s">
        <v>3123</v>
      </c>
      <c r="F1109" t="s">
        <v>14360</v>
      </c>
      <c r="G1109" s="3"/>
      <c r="H1109" s="3"/>
    </row>
    <row r="1110" spans="1:8" hidden="1" x14ac:dyDescent="0.2">
      <c r="A1110" s="3" t="s">
        <v>16485</v>
      </c>
      <c r="B1110" s="3" t="s">
        <v>14359</v>
      </c>
      <c r="C1110" s="3" t="s">
        <v>3124</v>
      </c>
      <c r="D1110" s="3" t="s">
        <v>16470</v>
      </c>
      <c r="E1110" t="s">
        <v>3124</v>
      </c>
      <c r="F1110" t="s">
        <v>14360</v>
      </c>
      <c r="G1110" s="3"/>
      <c r="H1110" s="3"/>
    </row>
    <row r="1111" spans="1:8" hidden="1" x14ac:dyDescent="0.2">
      <c r="A1111" s="3" t="s">
        <v>16486</v>
      </c>
      <c r="B1111" s="3" t="s">
        <v>14359</v>
      </c>
      <c r="C1111" s="3" t="s">
        <v>3125</v>
      </c>
      <c r="D1111" s="3" t="s">
        <v>16470</v>
      </c>
      <c r="E1111" t="s">
        <v>3125</v>
      </c>
      <c r="F1111" t="s">
        <v>14360</v>
      </c>
      <c r="G1111" s="3"/>
      <c r="H1111" s="3"/>
    </row>
    <row r="1112" spans="1:8" hidden="1" x14ac:dyDescent="0.2">
      <c r="A1112" s="3" t="s">
        <v>16487</v>
      </c>
      <c r="B1112" s="3" t="s">
        <v>14359</v>
      </c>
      <c r="C1112" s="3" t="s">
        <v>3126</v>
      </c>
      <c r="D1112" s="3" t="s">
        <v>16470</v>
      </c>
      <c r="E1112" t="s">
        <v>3126</v>
      </c>
      <c r="F1112" t="s">
        <v>14360</v>
      </c>
      <c r="G1112" s="3"/>
      <c r="H1112" s="3"/>
    </row>
    <row r="1113" spans="1:8" hidden="1" x14ac:dyDescent="0.2">
      <c r="A1113" s="3" t="s">
        <v>16488</v>
      </c>
      <c r="B1113" s="3" t="s">
        <v>14359</v>
      </c>
      <c r="C1113" s="3" t="s">
        <v>3127</v>
      </c>
      <c r="D1113" s="3" t="s">
        <v>16470</v>
      </c>
      <c r="E1113" t="s">
        <v>3127</v>
      </c>
      <c r="F1113" t="s">
        <v>14360</v>
      </c>
      <c r="G1113" s="3"/>
      <c r="H1113" s="3"/>
    </row>
    <row r="1114" spans="1:8" hidden="1" x14ac:dyDescent="0.2">
      <c r="A1114" s="3" t="s">
        <v>16489</v>
      </c>
      <c r="B1114" s="3" t="s">
        <v>14359</v>
      </c>
      <c r="C1114" s="3" t="s">
        <v>3128</v>
      </c>
      <c r="D1114" s="3" t="s">
        <v>16470</v>
      </c>
      <c r="E1114" t="s">
        <v>3128</v>
      </c>
      <c r="F1114" t="s">
        <v>14360</v>
      </c>
      <c r="G1114" s="3"/>
      <c r="H1114" s="3"/>
    </row>
    <row r="1115" spans="1:8" hidden="1" x14ac:dyDescent="0.2">
      <c r="A1115" s="3" t="s">
        <v>16490</v>
      </c>
      <c r="B1115" s="3" t="s">
        <v>14359</v>
      </c>
      <c r="C1115" s="3" t="s">
        <v>3129</v>
      </c>
      <c r="D1115" s="3" t="s">
        <v>16470</v>
      </c>
      <c r="E1115" t="s">
        <v>3129</v>
      </c>
      <c r="F1115" t="s">
        <v>14360</v>
      </c>
      <c r="G1115" s="3"/>
      <c r="H1115" s="3"/>
    </row>
    <row r="1116" spans="1:8" hidden="1" x14ac:dyDescent="0.2">
      <c r="A1116" s="3" t="s">
        <v>16491</v>
      </c>
      <c r="B1116" s="3" t="s">
        <v>14359</v>
      </c>
      <c r="C1116" s="3" t="s">
        <v>3130</v>
      </c>
      <c r="D1116" s="3" t="s">
        <v>16470</v>
      </c>
      <c r="E1116" t="s">
        <v>3130</v>
      </c>
      <c r="F1116" t="s">
        <v>14360</v>
      </c>
      <c r="G1116" s="3"/>
      <c r="H1116" s="3"/>
    </row>
    <row r="1117" spans="1:8" hidden="1" x14ac:dyDescent="0.2">
      <c r="A1117" s="3" t="s">
        <v>16492</v>
      </c>
      <c r="B1117" s="3" t="s">
        <v>14359</v>
      </c>
      <c r="C1117" s="3" t="s">
        <v>3131</v>
      </c>
      <c r="D1117" s="3" t="s">
        <v>16470</v>
      </c>
      <c r="E1117" t="s">
        <v>3131</v>
      </c>
      <c r="F1117" t="s">
        <v>14360</v>
      </c>
      <c r="G1117" s="3"/>
      <c r="H1117" s="3"/>
    </row>
    <row r="1118" spans="1:8" hidden="1" x14ac:dyDescent="0.2">
      <c r="A1118" s="3" t="s">
        <v>16493</v>
      </c>
      <c r="B1118" s="3" t="s">
        <v>14359</v>
      </c>
      <c r="C1118" s="3" t="s">
        <v>3132</v>
      </c>
      <c r="D1118" s="3" t="s">
        <v>16470</v>
      </c>
      <c r="E1118" t="s">
        <v>3132</v>
      </c>
      <c r="F1118" t="s">
        <v>14360</v>
      </c>
      <c r="G1118" s="3"/>
      <c r="H1118" s="3"/>
    </row>
    <row r="1119" spans="1:8" hidden="1" x14ac:dyDescent="0.2">
      <c r="A1119" s="3" t="s">
        <v>16494</v>
      </c>
      <c r="B1119" s="3" t="s">
        <v>14359</v>
      </c>
      <c r="C1119" s="3" t="s">
        <v>3133</v>
      </c>
      <c r="D1119" s="3" t="s">
        <v>16470</v>
      </c>
      <c r="E1119" t="s">
        <v>3133</v>
      </c>
      <c r="F1119" t="s">
        <v>14360</v>
      </c>
      <c r="G1119" s="3"/>
      <c r="H1119" s="3"/>
    </row>
    <row r="1120" spans="1:8" hidden="1" x14ac:dyDescent="0.2">
      <c r="A1120" s="3" t="s">
        <v>16495</v>
      </c>
      <c r="B1120" s="3" t="s">
        <v>14359</v>
      </c>
      <c r="C1120" s="3" t="s">
        <v>3134</v>
      </c>
      <c r="D1120" s="3" t="s">
        <v>16470</v>
      </c>
      <c r="E1120" t="s">
        <v>3134</v>
      </c>
      <c r="F1120" t="s">
        <v>14360</v>
      </c>
      <c r="G1120" s="3"/>
      <c r="H1120" s="3"/>
    </row>
    <row r="1121" spans="1:8" hidden="1" x14ac:dyDescent="0.2">
      <c r="A1121" s="3" t="s">
        <v>16496</v>
      </c>
      <c r="B1121" s="3" t="s">
        <v>14359</v>
      </c>
      <c r="C1121" s="3" t="s">
        <v>3135</v>
      </c>
      <c r="D1121" s="3" t="s">
        <v>16470</v>
      </c>
      <c r="E1121" t="s">
        <v>3135</v>
      </c>
      <c r="F1121" t="s">
        <v>14360</v>
      </c>
      <c r="G1121" s="3"/>
      <c r="H1121" s="3"/>
    </row>
    <row r="1122" spans="1:8" hidden="1" x14ac:dyDescent="0.2">
      <c r="A1122" s="3" t="s">
        <v>16497</v>
      </c>
      <c r="B1122" s="3" t="s">
        <v>14359</v>
      </c>
      <c r="C1122" s="3" t="s">
        <v>3136</v>
      </c>
      <c r="D1122" s="3" t="s">
        <v>16470</v>
      </c>
      <c r="E1122" t="s">
        <v>3136</v>
      </c>
      <c r="F1122" t="s">
        <v>14360</v>
      </c>
      <c r="G1122" s="3"/>
      <c r="H1122" s="3"/>
    </row>
    <row r="1123" spans="1:8" hidden="1" x14ac:dyDescent="0.2">
      <c r="A1123" s="3" t="s">
        <v>16498</v>
      </c>
      <c r="B1123" s="3" t="s">
        <v>14359</v>
      </c>
      <c r="C1123" s="3" t="s">
        <v>3137</v>
      </c>
      <c r="D1123" s="3" t="s">
        <v>16470</v>
      </c>
      <c r="E1123" t="s">
        <v>3137</v>
      </c>
      <c r="F1123" t="s">
        <v>14360</v>
      </c>
      <c r="G1123" s="3"/>
      <c r="H1123" s="3"/>
    </row>
    <row r="1124" spans="1:8" hidden="1" x14ac:dyDescent="0.2">
      <c r="A1124" s="3" t="s">
        <v>16499</v>
      </c>
      <c r="B1124" s="3" t="s">
        <v>14359</v>
      </c>
      <c r="C1124" s="3" t="s">
        <v>3138</v>
      </c>
      <c r="D1124" s="3" t="s">
        <v>16470</v>
      </c>
      <c r="E1124" t="s">
        <v>3138</v>
      </c>
      <c r="F1124" t="s">
        <v>14360</v>
      </c>
      <c r="G1124" s="3"/>
      <c r="H1124" s="3"/>
    </row>
    <row r="1125" spans="1:8" hidden="1" x14ac:dyDescent="0.2">
      <c r="A1125" s="3" t="s">
        <v>16500</v>
      </c>
      <c r="B1125" s="3" t="s">
        <v>14359</v>
      </c>
      <c r="C1125" s="3" t="s">
        <v>3139</v>
      </c>
      <c r="D1125" s="3" t="s">
        <v>16470</v>
      </c>
      <c r="E1125" t="s">
        <v>3139</v>
      </c>
      <c r="F1125" t="s">
        <v>14360</v>
      </c>
      <c r="G1125" s="3"/>
      <c r="H1125" s="3"/>
    </row>
    <row r="1126" spans="1:8" hidden="1" x14ac:dyDescent="0.2">
      <c r="A1126" s="3" t="s">
        <v>16501</v>
      </c>
      <c r="B1126" s="3" t="s">
        <v>14359</v>
      </c>
      <c r="C1126" s="3" t="s">
        <v>3140</v>
      </c>
      <c r="D1126" s="3" t="s">
        <v>16470</v>
      </c>
      <c r="E1126" t="s">
        <v>3140</v>
      </c>
      <c r="F1126" t="s">
        <v>14360</v>
      </c>
      <c r="G1126" s="3"/>
      <c r="H1126" s="3"/>
    </row>
    <row r="1127" spans="1:8" hidden="1" x14ac:dyDescent="0.2">
      <c r="A1127" s="3" t="s">
        <v>16502</v>
      </c>
      <c r="B1127" s="3" t="s">
        <v>14359</v>
      </c>
      <c r="C1127" s="3" t="s">
        <v>3141</v>
      </c>
      <c r="D1127" s="3" t="s">
        <v>16470</v>
      </c>
      <c r="E1127" t="s">
        <v>3141</v>
      </c>
      <c r="F1127" t="s">
        <v>14360</v>
      </c>
      <c r="G1127" s="3"/>
      <c r="H1127" s="3"/>
    </row>
    <row r="1128" spans="1:8" hidden="1" x14ac:dyDescent="0.2">
      <c r="A1128" s="3" t="s">
        <v>16503</v>
      </c>
      <c r="B1128" s="3" t="s">
        <v>14359</v>
      </c>
      <c r="C1128" s="3" t="s">
        <v>3142</v>
      </c>
      <c r="D1128" s="3" t="s">
        <v>16470</v>
      </c>
      <c r="E1128" t="s">
        <v>3142</v>
      </c>
      <c r="F1128" t="s">
        <v>14360</v>
      </c>
      <c r="G1128" s="3"/>
      <c r="H1128" s="3"/>
    </row>
    <row r="1129" spans="1:8" hidden="1" x14ac:dyDescent="0.2">
      <c r="A1129" s="3" t="s">
        <v>16504</v>
      </c>
      <c r="B1129" s="3" t="s">
        <v>14359</v>
      </c>
      <c r="C1129" s="3" t="s">
        <v>3143</v>
      </c>
      <c r="D1129" s="3" t="s">
        <v>16470</v>
      </c>
      <c r="E1129" t="s">
        <v>3143</v>
      </c>
      <c r="F1129" t="s">
        <v>14360</v>
      </c>
      <c r="G1129" s="3"/>
      <c r="H1129" s="3"/>
    </row>
    <row r="1130" spans="1:8" hidden="1" x14ac:dyDescent="0.2">
      <c r="A1130" s="3" t="s">
        <v>16505</v>
      </c>
      <c r="B1130" s="3" t="s">
        <v>14359</v>
      </c>
      <c r="C1130" s="3" t="s">
        <v>3144</v>
      </c>
      <c r="D1130" s="3" t="s">
        <v>16470</v>
      </c>
      <c r="E1130" t="s">
        <v>3144</v>
      </c>
      <c r="F1130" t="s">
        <v>14360</v>
      </c>
      <c r="G1130" s="3"/>
      <c r="H1130" s="3"/>
    </row>
    <row r="1131" spans="1:8" hidden="1" x14ac:dyDescent="0.2">
      <c r="A1131" s="3" t="s">
        <v>16506</v>
      </c>
      <c r="B1131" s="3" t="s">
        <v>14359</v>
      </c>
      <c r="C1131" s="3" t="s">
        <v>3145</v>
      </c>
      <c r="D1131" s="3" t="s">
        <v>16470</v>
      </c>
      <c r="E1131" t="s">
        <v>3145</v>
      </c>
      <c r="F1131" t="s">
        <v>14360</v>
      </c>
      <c r="G1131" s="3"/>
      <c r="H1131" s="3"/>
    </row>
    <row r="1132" spans="1:8" hidden="1" x14ac:dyDescent="0.2">
      <c r="A1132" s="3" t="s">
        <v>16507</v>
      </c>
      <c r="B1132" s="3" t="s">
        <v>14359</v>
      </c>
      <c r="C1132" s="3" t="s">
        <v>3146</v>
      </c>
      <c r="D1132" s="3" t="s">
        <v>16470</v>
      </c>
      <c r="E1132" t="s">
        <v>3146</v>
      </c>
      <c r="F1132" t="s">
        <v>14360</v>
      </c>
      <c r="G1132" s="3"/>
      <c r="H1132" s="3"/>
    </row>
    <row r="1133" spans="1:8" hidden="1" x14ac:dyDescent="0.2">
      <c r="A1133" s="3" t="s">
        <v>16508</v>
      </c>
      <c r="B1133" s="3" t="s">
        <v>14359</v>
      </c>
      <c r="C1133" s="3" t="s">
        <v>3147</v>
      </c>
      <c r="D1133" s="3" t="s">
        <v>16470</v>
      </c>
      <c r="E1133" t="s">
        <v>3147</v>
      </c>
      <c r="F1133" t="s">
        <v>14360</v>
      </c>
      <c r="G1133" s="3"/>
      <c r="H1133" s="3"/>
    </row>
    <row r="1134" spans="1:8" hidden="1" x14ac:dyDescent="0.2">
      <c r="A1134" s="3" t="s">
        <v>16509</v>
      </c>
      <c r="B1134" s="3" t="s">
        <v>14359</v>
      </c>
      <c r="C1134" s="3" t="s">
        <v>3148</v>
      </c>
      <c r="D1134" s="3" t="s">
        <v>16470</v>
      </c>
      <c r="E1134" t="s">
        <v>3148</v>
      </c>
      <c r="F1134" t="s">
        <v>14360</v>
      </c>
      <c r="G1134" s="3"/>
      <c r="H1134" s="3"/>
    </row>
    <row r="1135" spans="1:8" hidden="1" x14ac:dyDescent="0.2">
      <c r="A1135" s="3" t="s">
        <v>16510</v>
      </c>
      <c r="B1135" s="3" t="s">
        <v>14359</v>
      </c>
      <c r="C1135" s="3" t="s">
        <v>3149</v>
      </c>
      <c r="D1135" s="3" t="s">
        <v>16470</v>
      </c>
      <c r="E1135" t="s">
        <v>3149</v>
      </c>
      <c r="F1135" t="s">
        <v>14360</v>
      </c>
      <c r="G1135" s="3"/>
      <c r="H1135" s="3"/>
    </row>
    <row r="1136" spans="1:8" hidden="1" x14ac:dyDescent="0.2">
      <c r="A1136" s="3" t="s">
        <v>16511</v>
      </c>
      <c r="B1136" s="3" t="s">
        <v>14359</v>
      </c>
      <c r="C1136" s="3" t="s">
        <v>3150</v>
      </c>
      <c r="D1136" s="3" t="s">
        <v>16470</v>
      </c>
      <c r="E1136" t="s">
        <v>3150</v>
      </c>
      <c r="F1136" t="s">
        <v>14360</v>
      </c>
      <c r="G1136" s="3"/>
      <c r="H1136" s="3"/>
    </row>
    <row r="1137" spans="1:8" hidden="1" x14ac:dyDescent="0.2">
      <c r="A1137" s="3" t="s">
        <v>16512</v>
      </c>
      <c r="B1137" s="3" t="s">
        <v>14359</v>
      </c>
      <c r="C1137" s="3" t="s">
        <v>3151</v>
      </c>
      <c r="D1137" s="3" t="s">
        <v>16470</v>
      </c>
      <c r="E1137" t="s">
        <v>3151</v>
      </c>
      <c r="F1137" t="s">
        <v>14360</v>
      </c>
      <c r="G1137" s="3"/>
      <c r="H1137" s="3"/>
    </row>
    <row r="1138" spans="1:8" hidden="1" x14ac:dyDescent="0.2">
      <c r="A1138" s="3" t="s">
        <v>16513</v>
      </c>
      <c r="B1138" s="3" t="s">
        <v>14359</v>
      </c>
      <c r="C1138" s="3" t="s">
        <v>3152</v>
      </c>
      <c r="D1138" s="3" t="s">
        <v>16470</v>
      </c>
      <c r="E1138" t="s">
        <v>3152</v>
      </c>
      <c r="F1138" t="s">
        <v>14360</v>
      </c>
      <c r="G1138" s="3"/>
      <c r="H1138" s="3"/>
    </row>
    <row r="1139" spans="1:8" hidden="1" x14ac:dyDescent="0.2">
      <c r="A1139" s="3" t="s">
        <v>16514</v>
      </c>
      <c r="B1139" s="3" t="s">
        <v>14359</v>
      </c>
      <c r="C1139" s="3" t="s">
        <v>3153</v>
      </c>
      <c r="D1139" s="3" t="s">
        <v>16470</v>
      </c>
      <c r="E1139" t="s">
        <v>3153</v>
      </c>
      <c r="F1139" t="s">
        <v>14360</v>
      </c>
      <c r="G1139" s="3"/>
      <c r="H1139" s="3"/>
    </row>
    <row r="1140" spans="1:8" hidden="1" x14ac:dyDescent="0.2">
      <c r="A1140" s="3" t="s">
        <v>16515</v>
      </c>
      <c r="B1140" s="3" t="s">
        <v>14359</v>
      </c>
      <c r="C1140" s="3" t="s">
        <v>3154</v>
      </c>
      <c r="D1140" s="3" t="s">
        <v>16470</v>
      </c>
      <c r="E1140" t="s">
        <v>3154</v>
      </c>
      <c r="F1140" t="s">
        <v>14360</v>
      </c>
      <c r="G1140" s="3"/>
      <c r="H1140" s="3"/>
    </row>
    <row r="1141" spans="1:8" hidden="1" x14ac:dyDescent="0.2">
      <c r="A1141" s="3" t="s">
        <v>16516</v>
      </c>
      <c r="B1141" s="3" t="s">
        <v>14359</v>
      </c>
      <c r="C1141" s="3" t="s">
        <v>3155</v>
      </c>
      <c r="D1141" s="3" t="s">
        <v>16470</v>
      </c>
      <c r="E1141" t="s">
        <v>3155</v>
      </c>
      <c r="F1141" t="s">
        <v>14360</v>
      </c>
      <c r="G1141" s="3"/>
      <c r="H1141" s="3"/>
    </row>
    <row r="1142" spans="1:8" hidden="1" x14ac:dyDescent="0.2">
      <c r="A1142" s="3" t="s">
        <v>16517</v>
      </c>
      <c r="B1142" s="3" t="s">
        <v>14359</v>
      </c>
      <c r="C1142" s="3" t="s">
        <v>3156</v>
      </c>
      <c r="D1142" s="3" t="s">
        <v>16470</v>
      </c>
      <c r="E1142" t="s">
        <v>3156</v>
      </c>
      <c r="F1142" t="s">
        <v>14360</v>
      </c>
      <c r="G1142" s="3"/>
      <c r="H1142" s="3"/>
    </row>
    <row r="1143" spans="1:8" hidden="1" x14ac:dyDescent="0.2">
      <c r="A1143" s="3" t="s">
        <v>16518</v>
      </c>
      <c r="B1143" s="3" t="s">
        <v>14359</v>
      </c>
      <c r="C1143" s="3" t="s">
        <v>3157</v>
      </c>
      <c r="D1143" s="3" t="s">
        <v>16470</v>
      </c>
      <c r="E1143" t="s">
        <v>3157</v>
      </c>
      <c r="F1143" t="s">
        <v>14360</v>
      </c>
      <c r="G1143" s="3"/>
      <c r="H1143" s="3"/>
    </row>
    <row r="1144" spans="1:8" hidden="1" x14ac:dyDescent="0.2">
      <c r="A1144" s="3" t="s">
        <v>16519</v>
      </c>
      <c r="B1144" s="3" t="s">
        <v>14359</v>
      </c>
      <c r="C1144" s="3" t="s">
        <v>3158</v>
      </c>
      <c r="D1144" s="3" t="s">
        <v>16470</v>
      </c>
      <c r="E1144" t="s">
        <v>3158</v>
      </c>
      <c r="F1144" t="s">
        <v>14360</v>
      </c>
      <c r="G1144" s="3"/>
      <c r="H1144" s="3"/>
    </row>
    <row r="1145" spans="1:8" hidden="1" x14ac:dyDescent="0.2">
      <c r="A1145" s="3" t="s">
        <v>16520</v>
      </c>
      <c r="B1145" s="3" t="s">
        <v>14359</v>
      </c>
      <c r="C1145" s="3" t="s">
        <v>3159</v>
      </c>
      <c r="D1145" s="3" t="s">
        <v>16470</v>
      </c>
      <c r="E1145" t="s">
        <v>3159</v>
      </c>
      <c r="F1145" t="s">
        <v>14360</v>
      </c>
      <c r="G1145" s="3"/>
      <c r="H1145" s="3"/>
    </row>
    <row r="1146" spans="1:8" hidden="1" x14ac:dyDescent="0.2">
      <c r="A1146" s="3" t="s">
        <v>16521</v>
      </c>
      <c r="B1146" s="3" t="s">
        <v>14359</v>
      </c>
      <c r="C1146" s="3" t="s">
        <v>3160</v>
      </c>
      <c r="D1146" s="3" t="s">
        <v>16470</v>
      </c>
      <c r="E1146" t="s">
        <v>3160</v>
      </c>
      <c r="F1146" t="s">
        <v>14360</v>
      </c>
      <c r="G1146" s="3"/>
      <c r="H1146" s="3"/>
    </row>
    <row r="1147" spans="1:8" hidden="1" x14ac:dyDescent="0.2">
      <c r="A1147" s="3" t="s">
        <v>16522</v>
      </c>
      <c r="B1147" s="3" t="s">
        <v>14359</v>
      </c>
      <c r="C1147" s="3" t="s">
        <v>3161</v>
      </c>
      <c r="D1147" s="3" t="s">
        <v>16470</v>
      </c>
      <c r="E1147" t="s">
        <v>3161</v>
      </c>
      <c r="F1147" t="s">
        <v>14360</v>
      </c>
      <c r="G1147" s="3"/>
      <c r="H1147" s="3"/>
    </row>
    <row r="1148" spans="1:8" hidden="1" x14ac:dyDescent="0.2">
      <c r="A1148" s="3" t="s">
        <v>16523</v>
      </c>
      <c r="B1148" s="3" t="s">
        <v>14359</v>
      </c>
      <c r="C1148" s="3" t="s">
        <v>3162</v>
      </c>
      <c r="D1148" s="3" t="s">
        <v>16470</v>
      </c>
      <c r="E1148" t="s">
        <v>3162</v>
      </c>
      <c r="F1148" t="s">
        <v>14360</v>
      </c>
      <c r="G1148" s="3"/>
      <c r="H1148" s="3"/>
    </row>
    <row r="1149" spans="1:8" hidden="1" x14ac:dyDescent="0.2">
      <c r="A1149" s="3" t="s">
        <v>16524</v>
      </c>
      <c r="B1149" s="3" t="s">
        <v>14359</v>
      </c>
      <c r="C1149" s="3" t="s">
        <v>3163</v>
      </c>
      <c r="D1149" s="3" t="s">
        <v>16470</v>
      </c>
      <c r="E1149" t="s">
        <v>3163</v>
      </c>
      <c r="F1149" t="s">
        <v>14360</v>
      </c>
      <c r="G1149" s="3"/>
      <c r="H1149" s="3"/>
    </row>
    <row r="1150" spans="1:8" hidden="1" x14ac:dyDescent="0.2">
      <c r="A1150" s="3" t="s">
        <v>16525</v>
      </c>
      <c r="B1150" s="3" t="s">
        <v>14359</v>
      </c>
      <c r="C1150" s="3" t="s">
        <v>3164</v>
      </c>
      <c r="D1150" s="3" t="s">
        <v>16470</v>
      </c>
      <c r="E1150" t="s">
        <v>3164</v>
      </c>
      <c r="F1150" t="s">
        <v>14360</v>
      </c>
      <c r="G1150" s="3"/>
      <c r="H1150" s="3"/>
    </row>
    <row r="1151" spans="1:8" hidden="1" x14ac:dyDescent="0.2">
      <c r="A1151" s="3" t="s">
        <v>16526</v>
      </c>
      <c r="B1151" s="3" t="s">
        <v>14359</v>
      </c>
      <c r="C1151" s="3" t="s">
        <v>3165</v>
      </c>
      <c r="D1151" s="3" t="s">
        <v>16470</v>
      </c>
      <c r="E1151" t="s">
        <v>3165</v>
      </c>
      <c r="F1151" t="s">
        <v>14360</v>
      </c>
      <c r="G1151" s="3"/>
      <c r="H1151" s="3"/>
    </row>
    <row r="1152" spans="1:8" hidden="1" x14ac:dyDescent="0.2">
      <c r="A1152" s="3" t="s">
        <v>16527</v>
      </c>
      <c r="B1152" s="3" t="s">
        <v>14359</v>
      </c>
      <c r="C1152" s="3" t="s">
        <v>3166</v>
      </c>
      <c r="D1152" s="3" t="s">
        <v>16470</v>
      </c>
      <c r="E1152" t="s">
        <v>3166</v>
      </c>
      <c r="F1152" t="s">
        <v>14360</v>
      </c>
      <c r="G1152" s="3"/>
      <c r="H1152" s="3"/>
    </row>
    <row r="1153" spans="1:8" hidden="1" x14ac:dyDescent="0.2">
      <c r="A1153" s="3" t="s">
        <v>16528</v>
      </c>
      <c r="B1153" s="3" t="s">
        <v>14359</v>
      </c>
      <c r="C1153" s="3" t="s">
        <v>3167</v>
      </c>
      <c r="D1153" s="3" t="s">
        <v>16470</v>
      </c>
      <c r="E1153" t="s">
        <v>3167</v>
      </c>
      <c r="F1153" t="s">
        <v>14360</v>
      </c>
      <c r="G1153" s="3"/>
      <c r="H1153" s="3"/>
    </row>
    <row r="1154" spans="1:8" hidden="1" x14ac:dyDescent="0.2">
      <c r="A1154" s="3" t="s">
        <v>16529</v>
      </c>
      <c r="B1154" s="3" t="s">
        <v>14359</v>
      </c>
      <c r="C1154" s="3" t="s">
        <v>3168</v>
      </c>
      <c r="D1154" s="3" t="s">
        <v>16470</v>
      </c>
      <c r="E1154" t="s">
        <v>3168</v>
      </c>
      <c r="F1154" t="s">
        <v>14360</v>
      </c>
      <c r="G1154" s="3"/>
      <c r="H1154" s="3"/>
    </row>
    <row r="1155" spans="1:8" hidden="1" x14ac:dyDescent="0.2">
      <c r="A1155" s="3" t="s">
        <v>16530</v>
      </c>
      <c r="B1155" s="3" t="s">
        <v>14359</v>
      </c>
      <c r="C1155" s="3" t="s">
        <v>3169</v>
      </c>
      <c r="D1155" s="3" t="s">
        <v>16470</v>
      </c>
      <c r="E1155" t="s">
        <v>3169</v>
      </c>
      <c r="F1155" t="s">
        <v>14360</v>
      </c>
      <c r="G1155" s="3"/>
      <c r="H1155" s="3"/>
    </row>
    <row r="1156" spans="1:8" hidden="1" x14ac:dyDescent="0.2">
      <c r="A1156" s="3" t="s">
        <v>16531</v>
      </c>
      <c r="B1156" s="3" t="s">
        <v>14359</v>
      </c>
      <c r="C1156" s="3" t="s">
        <v>3170</v>
      </c>
      <c r="D1156" s="3" t="s">
        <v>16470</v>
      </c>
      <c r="E1156" t="s">
        <v>3170</v>
      </c>
      <c r="F1156" t="s">
        <v>14360</v>
      </c>
      <c r="G1156" s="3"/>
      <c r="H1156" s="3"/>
    </row>
    <row r="1157" spans="1:8" hidden="1" x14ac:dyDescent="0.2">
      <c r="A1157" s="3" t="s">
        <v>16532</v>
      </c>
      <c r="B1157" s="3" t="s">
        <v>14359</v>
      </c>
      <c r="C1157" s="3" t="s">
        <v>3171</v>
      </c>
      <c r="D1157" s="3" t="s">
        <v>16470</v>
      </c>
      <c r="E1157" t="s">
        <v>3171</v>
      </c>
      <c r="F1157" t="s">
        <v>14360</v>
      </c>
      <c r="G1157" s="3"/>
      <c r="H1157" s="3"/>
    </row>
    <row r="1158" spans="1:8" hidden="1" x14ac:dyDescent="0.2">
      <c r="A1158" s="3" t="s">
        <v>16533</v>
      </c>
      <c r="B1158" s="3" t="s">
        <v>14359</v>
      </c>
      <c r="C1158" s="3" t="s">
        <v>3172</v>
      </c>
      <c r="D1158" s="3" t="s">
        <v>16470</v>
      </c>
      <c r="E1158" t="s">
        <v>3172</v>
      </c>
      <c r="F1158" t="s">
        <v>14360</v>
      </c>
      <c r="G1158" s="3"/>
      <c r="H1158" s="3"/>
    </row>
    <row r="1159" spans="1:8" hidden="1" x14ac:dyDescent="0.2">
      <c r="A1159" s="3" t="s">
        <v>16534</v>
      </c>
      <c r="B1159" s="3" t="s">
        <v>14359</v>
      </c>
      <c r="C1159" s="3" t="s">
        <v>3173</v>
      </c>
      <c r="D1159" s="3" t="s">
        <v>16470</v>
      </c>
      <c r="E1159" t="s">
        <v>3173</v>
      </c>
      <c r="F1159" t="s">
        <v>14360</v>
      </c>
      <c r="G1159" s="3"/>
      <c r="H1159" s="3"/>
    </row>
    <row r="1160" spans="1:8" hidden="1" x14ac:dyDescent="0.2">
      <c r="A1160" s="3" t="s">
        <v>16535</v>
      </c>
      <c r="B1160" s="3" t="s">
        <v>14359</v>
      </c>
      <c r="C1160" s="3" t="s">
        <v>3174</v>
      </c>
      <c r="D1160" s="3" t="s">
        <v>16470</v>
      </c>
      <c r="E1160" t="s">
        <v>3174</v>
      </c>
      <c r="F1160" t="s">
        <v>14360</v>
      </c>
      <c r="G1160" s="3"/>
      <c r="H1160" s="3"/>
    </row>
    <row r="1161" spans="1:8" hidden="1" x14ac:dyDescent="0.2">
      <c r="A1161" s="3" t="s">
        <v>16536</v>
      </c>
      <c r="B1161" s="3" t="s">
        <v>14359</v>
      </c>
      <c r="C1161" s="3" t="s">
        <v>3175</v>
      </c>
      <c r="D1161" s="3" t="s">
        <v>16470</v>
      </c>
      <c r="E1161" t="s">
        <v>3175</v>
      </c>
      <c r="F1161" t="s">
        <v>14360</v>
      </c>
      <c r="G1161" s="3"/>
      <c r="H1161" s="3"/>
    </row>
    <row r="1162" spans="1:8" hidden="1" x14ac:dyDescent="0.2">
      <c r="A1162" s="3" t="s">
        <v>16537</v>
      </c>
      <c r="B1162" s="3" t="s">
        <v>14359</v>
      </c>
      <c r="C1162" s="3" t="s">
        <v>3176</v>
      </c>
      <c r="D1162" s="3" t="s">
        <v>16470</v>
      </c>
      <c r="E1162" t="s">
        <v>3176</v>
      </c>
      <c r="F1162" t="s">
        <v>14360</v>
      </c>
      <c r="G1162" s="3"/>
      <c r="H1162" s="3"/>
    </row>
    <row r="1163" spans="1:8" hidden="1" x14ac:dyDescent="0.2">
      <c r="A1163" s="3" t="s">
        <v>16538</v>
      </c>
      <c r="B1163" s="3" t="s">
        <v>14359</v>
      </c>
      <c r="C1163" s="3" t="s">
        <v>3177</v>
      </c>
      <c r="D1163" s="3" t="s">
        <v>16470</v>
      </c>
      <c r="E1163" t="s">
        <v>3177</v>
      </c>
      <c r="F1163" t="s">
        <v>14360</v>
      </c>
      <c r="G1163" s="3"/>
      <c r="H1163" s="3"/>
    </row>
    <row r="1164" spans="1:8" hidden="1" x14ac:dyDescent="0.2">
      <c r="A1164" s="3" t="s">
        <v>16539</v>
      </c>
      <c r="B1164" s="3" t="s">
        <v>14359</v>
      </c>
      <c r="C1164" s="3" t="s">
        <v>3178</v>
      </c>
      <c r="D1164" s="3" t="s">
        <v>16470</v>
      </c>
      <c r="E1164" t="s">
        <v>3178</v>
      </c>
      <c r="F1164" t="s">
        <v>14360</v>
      </c>
      <c r="G1164" s="3"/>
      <c r="H1164" s="3"/>
    </row>
    <row r="1165" spans="1:8" hidden="1" x14ac:dyDescent="0.2">
      <c r="A1165" s="3" t="s">
        <v>16540</v>
      </c>
      <c r="B1165" s="3" t="s">
        <v>14359</v>
      </c>
      <c r="C1165" s="3" t="s">
        <v>3179</v>
      </c>
      <c r="D1165" s="3" t="s">
        <v>16470</v>
      </c>
      <c r="E1165" t="s">
        <v>3179</v>
      </c>
      <c r="F1165" t="s">
        <v>14360</v>
      </c>
      <c r="G1165" s="3"/>
      <c r="H1165" s="3"/>
    </row>
    <row r="1166" spans="1:8" hidden="1" x14ac:dyDescent="0.2">
      <c r="A1166" s="3" t="s">
        <v>16541</v>
      </c>
      <c r="B1166" s="3" t="s">
        <v>14359</v>
      </c>
      <c r="C1166" s="3" t="s">
        <v>3180</v>
      </c>
      <c r="D1166" s="3" t="s">
        <v>16470</v>
      </c>
      <c r="E1166" t="s">
        <v>3180</v>
      </c>
      <c r="F1166" t="s">
        <v>14360</v>
      </c>
      <c r="G1166" s="3"/>
      <c r="H1166" s="3"/>
    </row>
    <row r="1167" spans="1:8" hidden="1" x14ac:dyDescent="0.2">
      <c r="A1167" s="3" t="s">
        <v>16542</v>
      </c>
      <c r="B1167" s="3" t="s">
        <v>14359</v>
      </c>
      <c r="C1167" s="3" t="s">
        <v>3181</v>
      </c>
      <c r="D1167" s="3" t="s">
        <v>16470</v>
      </c>
      <c r="E1167" t="s">
        <v>3181</v>
      </c>
      <c r="F1167" t="s">
        <v>14360</v>
      </c>
      <c r="G1167" s="3"/>
      <c r="H1167" s="3"/>
    </row>
    <row r="1168" spans="1:8" hidden="1" x14ac:dyDescent="0.2">
      <c r="A1168" s="3" t="s">
        <v>16543</v>
      </c>
      <c r="B1168" s="3" t="s">
        <v>14359</v>
      </c>
      <c r="C1168" s="3" t="s">
        <v>3182</v>
      </c>
      <c r="D1168" s="3" t="s">
        <v>16470</v>
      </c>
      <c r="E1168" t="s">
        <v>3182</v>
      </c>
      <c r="F1168" t="s">
        <v>14360</v>
      </c>
      <c r="G1168" s="3"/>
      <c r="H1168" s="3"/>
    </row>
    <row r="1169" spans="1:8" hidden="1" x14ac:dyDescent="0.2">
      <c r="A1169" s="3" t="s">
        <v>16544</v>
      </c>
      <c r="B1169" s="3" t="s">
        <v>14359</v>
      </c>
      <c r="C1169" s="3" t="s">
        <v>3183</v>
      </c>
      <c r="D1169" s="3" t="s">
        <v>16470</v>
      </c>
      <c r="E1169" t="s">
        <v>3183</v>
      </c>
      <c r="F1169" t="s">
        <v>14360</v>
      </c>
      <c r="G1169" s="3"/>
      <c r="H1169" s="3"/>
    </row>
    <row r="1170" spans="1:8" hidden="1" x14ac:dyDescent="0.2">
      <c r="A1170" s="3" t="s">
        <v>16545</v>
      </c>
      <c r="B1170" s="3" t="s">
        <v>14359</v>
      </c>
      <c r="C1170" s="3" t="s">
        <v>3184</v>
      </c>
      <c r="D1170" s="3" t="s">
        <v>16470</v>
      </c>
      <c r="E1170" t="s">
        <v>3184</v>
      </c>
      <c r="F1170" t="s">
        <v>14360</v>
      </c>
      <c r="G1170" s="3"/>
      <c r="H1170" s="3"/>
    </row>
    <row r="1171" spans="1:8" hidden="1" x14ac:dyDescent="0.2">
      <c r="A1171" s="3" t="s">
        <v>16546</v>
      </c>
      <c r="B1171" s="3" t="s">
        <v>14359</v>
      </c>
      <c r="C1171" s="3" t="s">
        <v>3185</v>
      </c>
      <c r="D1171" s="3" t="s">
        <v>16470</v>
      </c>
      <c r="E1171" t="s">
        <v>3185</v>
      </c>
      <c r="F1171" t="s">
        <v>14360</v>
      </c>
      <c r="G1171" s="3"/>
      <c r="H1171" s="3"/>
    </row>
    <row r="1172" spans="1:8" hidden="1" x14ac:dyDescent="0.2">
      <c r="A1172" s="3" t="s">
        <v>16547</v>
      </c>
      <c r="B1172" s="3" t="s">
        <v>14359</v>
      </c>
      <c r="C1172" s="3" t="s">
        <v>3186</v>
      </c>
      <c r="D1172" s="3" t="s">
        <v>16470</v>
      </c>
      <c r="E1172" t="s">
        <v>3186</v>
      </c>
      <c r="F1172" t="s">
        <v>14360</v>
      </c>
      <c r="G1172" s="3"/>
      <c r="H1172" s="3"/>
    </row>
    <row r="1173" spans="1:8" hidden="1" x14ac:dyDescent="0.2">
      <c r="A1173" s="3" t="s">
        <v>16548</v>
      </c>
      <c r="B1173" s="3" t="s">
        <v>14359</v>
      </c>
      <c r="C1173" s="3" t="s">
        <v>3187</v>
      </c>
      <c r="D1173" s="3" t="s">
        <v>16470</v>
      </c>
      <c r="E1173" t="s">
        <v>3187</v>
      </c>
      <c r="F1173" t="s">
        <v>14360</v>
      </c>
      <c r="G1173" s="3"/>
      <c r="H1173" s="3"/>
    </row>
    <row r="1174" spans="1:8" hidden="1" x14ac:dyDescent="0.2">
      <c r="A1174" s="3" t="s">
        <v>16549</v>
      </c>
      <c r="B1174" s="3" t="s">
        <v>14359</v>
      </c>
      <c r="C1174" s="3" t="s">
        <v>3188</v>
      </c>
      <c r="D1174" s="3" t="s">
        <v>16470</v>
      </c>
      <c r="E1174" t="s">
        <v>3188</v>
      </c>
      <c r="F1174" t="s">
        <v>14360</v>
      </c>
      <c r="G1174" s="3"/>
      <c r="H1174" s="3"/>
    </row>
    <row r="1175" spans="1:8" hidden="1" x14ac:dyDescent="0.2">
      <c r="A1175" s="3" t="s">
        <v>16550</v>
      </c>
      <c r="B1175" s="3" t="s">
        <v>14359</v>
      </c>
      <c r="C1175" s="3" t="s">
        <v>3189</v>
      </c>
      <c r="D1175" s="3" t="s">
        <v>16470</v>
      </c>
      <c r="E1175" t="s">
        <v>3189</v>
      </c>
      <c r="F1175" t="s">
        <v>14360</v>
      </c>
      <c r="G1175" s="3"/>
      <c r="H1175" s="3"/>
    </row>
    <row r="1176" spans="1:8" hidden="1" x14ac:dyDescent="0.2">
      <c r="A1176" s="3" t="s">
        <v>16551</v>
      </c>
      <c r="B1176" s="3" t="s">
        <v>14359</v>
      </c>
      <c r="C1176" s="3" t="s">
        <v>3190</v>
      </c>
      <c r="D1176" s="3" t="s">
        <v>16470</v>
      </c>
      <c r="E1176" t="s">
        <v>3190</v>
      </c>
      <c r="F1176" t="s">
        <v>14360</v>
      </c>
      <c r="G1176" s="3"/>
      <c r="H1176" s="3"/>
    </row>
    <row r="1177" spans="1:8" hidden="1" x14ac:dyDescent="0.2">
      <c r="A1177" s="3" t="s">
        <v>16552</v>
      </c>
      <c r="B1177" s="3" t="s">
        <v>14359</v>
      </c>
      <c r="C1177" s="3" t="s">
        <v>3191</v>
      </c>
      <c r="D1177" s="3" t="s">
        <v>16470</v>
      </c>
      <c r="E1177" t="s">
        <v>3191</v>
      </c>
      <c r="F1177" t="s">
        <v>14360</v>
      </c>
      <c r="G1177" s="3"/>
      <c r="H1177" s="3"/>
    </row>
    <row r="1178" spans="1:8" hidden="1" x14ac:dyDescent="0.2">
      <c r="A1178" s="3" t="s">
        <v>16553</v>
      </c>
      <c r="B1178" s="3" t="s">
        <v>14359</v>
      </c>
      <c r="C1178" s="3" t="s">
        <v>3192</v>
      </c>
      <c r="D1178" s="3" t="s">
        <v>16470</v>
      </c>
      <c r="E1178" t="s">
        <v>3192</v>
      </c>
      <c r="F1178" t="s">
        <v>14360</v>
      </c>
      <c r="G1178" s="3"/>
      <c r="H1178" s="3"/>
    </row>
    <row r="1179" spans="1:8" hidden="1" x14ac:dyDescent="0.2">
      <c r="A1179" s="3" t="s">
        <v>16554</v>
      </c>
      <c r="B1179" s="3" t="s">
        <v>14359</v>
      </c>
      <c r="C1179" s="3" t="s">
        <v>3193</v>
      </c>
      <c r="D1179" s="3" t="s">
        <v>16470</v>
      </c>
      <c r="E1179" t="s">
        <v>3193</v>
      </c>
      <c r="F1179" t="s">
        <v>14360</v>
      </c>
      <c r="G1179" s="3"/>
      <c r="H1179" s="3"/>
    </row>
    <row r="1180" spans="1:8" hidden="1" x14ac:dyDescent="0.2">
      <c r="A1180" s="3" t="s">
        <v>16555</v>
      </c>
      <c r="B1180" s="3" t="s">
        <v>14359</v>
      </c>
      <c r="C1180" s="3" t="s">
        <v>3194</v>
      </c>
      <c r="D1180" s="3" t="s">
        <v>16470</v>
      </c>
      <c r="E1180" t="s">
        <v>3194</v>
      </c>
      <c r="F1180" t="s">
        <v>14360</v>
      </c>
      <c r="G1180" s="3"/>
      <c r="H1180" s="3"/>
    </row>
    <row r="1181" spans="1:8" hidden="1" x14ac:dyDescent="0.2">
      <c r="A1181" s="3" t="s">
        <v>16556</v>
      </c>
      <c r="B1181" s="3" t="s">
        <v>14359</v>
      </c>
      <c r="C1181" s="3" t="s">
        <v>3195</v>
      </c>
      <c r="D1181" s="3" t="s">
        <v>16470</v>
      </c>
      <c r="E1181" t="s">
        <v>3195</v>
      </c>
      <c r="F1181" t="s">
        <v>14360</v>
      </c>
      <c r="G1181" s="3"/>
      <c r="H1181" s="3"/>
    </row>
    <row r="1182" spans="1:8" hidden="1" x14ac:dyDescent="0.2">
      <c r="A1182" s="3" t="s">
        <v>16557</v>
      </c>
      <c r="B1182" s="3" t="s">
        <v>14359</v>
      </c>
      <c r="C1182" s="3" t="s">
        <v>3196</v>
      </c>
      <c r="D1182" s="3" t="s">
        <v>16470</v>
      </c>
      <c r="E1182" t="s">
        <v>3196</v>
      </c>
      <c r="F1182" t="s">
        <v>14360</v>
      </c>
      <c r="G1182" s="3"/>
      <c r="H1182" s="3"/>
    </row>
    <row r="1183" spans="1:8" hidden="1" x14ac:dyDescent="0.2">
      <c r="A1183" s="3" t="s">
        <v>16558</v>
      </c>
      <c r="B1183" s="3" t="s">
        <v>14359</v>
      </c>
      <c r="C1183" s="3" t="s">
        <v>3197</v>
      </c>
      <c r="D1183" s="3" t="s">
        <v>16470</v>
      </c>
      <c r="E1183" t="s">
        <v>3197</v>
      </c>
      <c r="F1183" t="s">
        <v>14360</v>
      </c>
      <c r="G1183" s="3"/>
      <c r="H1183" s="3"/>
    </row>
    <row r="1184" spans="1:8" hidden="1" x14ac:dyDescent="0.2">
      <c r="A1184" s="3" t="s">
        <v>16559</v>
      </c>
      <c r="B1184" s="3" t="s">
        <v>14359</v>
      </c>
      <c r="C1184" s="3" t="s">
        <v>3198</v>
      </c>
      <c r="D1184" s="3" t="s">
        <v>16470</v>
      </c>
      <c r="E1184" t="s">
        <v>3198</v>
      </c>
      <c r="F1184" t="s">
        <v>14360</v>
      </c>
      <c r="G1184" s="3"/>
      <c r="H1184" s="3"/>
    </row>
    <row r="1185" spans="1:8" hidden="1" x14ac:dyDescent="0.2">
      <c r="A1185" s="3" t="s">
        <v>16560</v>
      </c>
      <c r="B1185" s="3" t="s">
        <v>14359</v>
      </c>
      <c r="C1185" s="3" t="s">
        <v>3199</v>
      </c>
      <c r="D1185" s="3" t="s">
        <v>16470</v>
      </c>
      <c r="E1185" t="s">
        <v>3199</v>
      </c>
      <c r="F1185" t="s">
        <v>14360</v>
      </c>
      <c r="G1185" s="3"/>
      <c r="H1185" s="3"/>
    </row>
    <row r="1186" spans="1:8" hidden="1" x14ac:dyDescent="0.2">
      <c r="A1186" s="3" t="s">
        <v>16561</v>
      </c>
      <c r="B1186" s="3" t="s">
        <v>14359</v>
      </c>
      <c r="C1186" s="3" t="s">
        <v>3200</v>
      </c>
      <c r="D1186" s="3" t="s">
        <v>16470</v>
      </c>
      <c r="E1186" t="s">
        <v>3200</v>
      </c>
      <c r="F1186" t="s">
        <v>14360</v>
      </c>
      <c r="G1186" s="3"/>
      <c r="H1186" s="3"/>
    </row>
    <row r="1187" spans="1:8" hidden="1" x14ac:dyDescent="0.2">
      <c r="A1187" s="3" t="s">
        <v>16562</v>
      </c>
      <c r="B1187" s="3" t="s">
        <v>14359</v>
      </c>
      <c r="C1187" s="3" t="s">
        <v>3201</v>
      </c>
      <c r="D1187" s="3" t="s">
        <v>16470</v>
      </c>
      <c r="E1187" t="s">
        <v>3201</v>
      </c>
      <c r="F1187" t="s">
        <v>14360</v>
      </c>
      <c r="G1187" s="3"/>
      <c r="H1187" s="3"/>
    </row>
    <row r="1188" spans="1:8" hidden="1" x14ac:dyDescent="0.2">
      <c r="A1188" s="3" t="s">
        <v>16563</v>
      </c>
      <c r="B1188" s="3" t="s">
        <v>14359</v>
      </c>
      <c r="C1188" s="3" t="s">
        <v>3202</v>
      </c>
      <c r="D1188" s="3" t="s">
        <v>16470</v>
      </c>
      <c r="E1188" t="s">
        <v>3202</v>
      </c>
      <c r="F1188" t="s">
        <v>14360</v>
      </c>
      <c r="G1188" s="3"/>
      <c r="H1188" s="3"/>
    </row>
    <row r="1189" spans="1:8" hidden="1" x14ac:dyDescent="0.2">
      <c r="A1189" s="3" t="s">
        <v>16564</v>
      </c>
      <c r="B1189" s="3" t="s">
        <v>14359</v>
      </c>
      <c r="C1189" s="3" t="s">
        <v>3203</v>
      </c>
      <c r="D1189" s="3" t="s">
        <v>16470</v>
      </c>
      <c r="E1189" t="s">
        <v>3203</v>
      </c>
      <c r="F1189" t="s">
        <v>14360</v>
      </c>
      <c r="G1189" s="3"/>
      <c r="H1189" s="3"/>
    </row>
    <row r="1190" spans="1:8" hidden="1" x14ac:dyDescent="0.2">
      <c r="A1190" s="3" t="s">
        <v>16565</v>
      </c>
      <c r="B1190" s="3" t="s">
        <v>14359</v>
      </c>
      <c r="C1190" s="3" t="s">
        <v>3204</v>
      </c>
      <c r="D1190" s="3" t="s">
        <v>16470</v>
      </c>
      <c r="E1190" t="s">
        <v>3204</v>
      </c>
      <c r="F1190" t="s">
        <v>14360</v>
      </c>
      <c r="G1190" s="3"/>
      <c r="H1190" s="3"/>
    </row>
    <row r="1191" spans="1:8" hidden="1" x14ac:dyDescent="0.2">
      <c r="A1191" s="3" t="s">
        <v>16566</v>
      </c>
      <c r="B1191" s="3" t="s">
        <v>14359</v>
      </c>
      <c r="C1191" s="3" t="s">
        <v>3205</v>
      </c>
      <c r="D1191" s="3" t="s">
        <v>16470</v>
      </c>
      <c r="E1191" t="s">
        <v>3205</v>
      </c>
      <c r="F1191" t="s">
        <v>14360</v>
      </c>
      <c r="G1191" s="3"/>
      <c r="H1191" s="3"/>
    </row>
    <row r="1192" spans="1:8" hidden="1" x14ac:dyDescent="0.2">
      <c r="A1192" s="3" t="s">
        <v>16567</v>
      </c>
      <c r="B1192" s="3" t="s">
        <v>14359</v>
      </c>
      <c r="C1192" s="3" t="s">
        <v>3206</v>
      </c>
      <c r="D1192" s="3" t="s">
        <v>16470</v>
      </c>
      <c r="E1192" t="s">
        <v>3206</v>
      </c>
      <c r="F1192" t="s">
        <v>14360</v>
      </c>
      <c r="G1192" s="3"/>
      <c r="H1192" s="3"/>
    </row>
    <row r="1193" spans="1:8" hidden="1" x14ac:dyDescent="0.2">
      <c r="A1193" s="3" t="s">
        <v>16568</v>
      </c>
      <c r="B1193" s="3" t="s">
        <v>14359</v>
      </c>
      <c r="C1193" s="3" t="s">
        <v>3207</v>
      </c>
      <c r="D1193" s="3" t="s">
        <v>16470</v>
      </c>
      <c r="E1193" t="s">
        <v>3207</v>
      </c>
      <c r="F1193" t="s">
        <v>14360</v>
      </c>
      <c r="G1193" s="3"/>
      <c r="H1193" s="3"/>
    </row>
    <row r="1194" spans="1:8" hidden="1" x14ac:dyDescent="0.2">
      <c r="A1194" s="3" t="s">
        <v>16569</v>
      </c>
      <c r="B1194" s="3" t="s">
        <v>14359</v>
      </c>
      <c r="C1194" s="3" t="s">
        <v>3208</v>
      </c>
      <c r="D1194" s="3" t="s">
        <v>16470</v>
      </c>
      <c r="E1194" t="s">
        <v>3208</v>
      </c>
      <c r="F1194" t="s">
        <v>14360</v>
      </c>
      <c r="G1194" s="3"/>
      <c r="H1194" s="3"/>
    </row>
    <row r="1195" spans="1:8" hidden="1" x14ac:dyDescent="0.2">
      <c r="A1195" s="3" t="s">
        <v>16570</v>
      </c>
      <c r="B1195" s="3" t="s">
        <v>14359</v>
      </c>
      <c r="C1195" s="3" t="s">
        <v>3209</v>
      </c>
      <c r="D1195" s="3" t="s">
        <v>16470</v>
      </c>
      <c r="E1195" t="s">
        <v>3209</v>
      </c>
      <c r="F1195" t="s">
        <v>14360</v>
      </c>
      <c r="G1195" s="3"/>
      <c r="H1195" s="3"/>
    </row>
    <row r="1196" spans="1:8" hidden="1" x14ac:dyDescent="0.2">
      <c r="A1196" s="3" t="s">
        <v>16571</v>
      </c>
      <c r="B1196" s="3" t="s">
        <v>14359</v>
      </c>
      <c r="C1196" s="3" t="s">
        <v>3210</v>
      </c>
      <c r="D1196" s="3" t="s">
        <v>16470</v>
      </c>
      <c r="E1196" t="s">
        <v>3210</v>
      </c>
      <c r="F1196" t="s">
        <v>14360</v>
      </c>
      <c r="G1196" s="3"/>
      <c r="H1196" s="3"/>
    </row>
    <row r="1197" spans="1:8" hidden="1" x14ac:dyDescent="0.2">
      <c r="A1197" s="3" t="s">
        <v>16572</v>
      </c>
      <c r="B1197" s="3" t="s">
        <v>14359</v>
      </c>
      <c r="C1197" s="3" t="s">
        <v>3211</v>
      </c>
      <c r="D1197" s="3" t="s">
        <v>16470</v>
      </c>
      <c r="E1197" t="s">
        <v>3211</v>
      </c>
      <c r="F1197" t="s">
        <v>14360</v>
      </c>
      <c r="G1197" s="3"/>
      <c r="H1197" s="3"/>
    </row>
    <row r="1198" spans="1:8" hidden="1" x14ac:dyDescent="0.2">
      <c r="A1198" s="3" t="s">
        <v>16573</v>
      </c>
      <c r="B1198" s="3" t="s">
        <v>14359</v>
      </c>
      <c r="C1198" s="3" t="s">
        <v>3212</v>
      </c>
      <c r="D1198" s="3" t="s">
        <v>16470</v>
      </c>
      <c r="E1198" t="s">
        <v>3212</v>
      </c>
      <c r="F1198" t="s">
        <v>14360</v>
      </c>
      <c r="G1198" s="3"/>
      <c r="H1198" s="3"/>
    </row>
    <row r="1199" spans="1:8" hidden="1" x14ac:dyDescent="0.2">
      <c r="A1199" s="3" t="s">
        <v>16574</v>
      </c>
      <c r="B1199" s="3" t="s">
        <v>14359</v>
      </c>
      <c r="C1199" s="3" t="s">
        <v>3213</v>
      </c>
      <c r="D1199" s="3" t="s">
        <v>16470</v>
      </c>
      <c r="E1199" t="s">
        <v>3213</v>
      </c>
      <c r="F1199" t="s">
        <v>14360</v>
      </c>
      <c r="G1199" s="3"/>
      <c r="H1199" s="3"/>
    </row>
    <row r="1200" spans="1:8" hidden="1" x14ac:dyDescent="0.2">
      <c r="A1200" s="3" t="s">
        <v>16575</v>
      </c>
      <c r="B1200" s="3" t="s">
        <v>14359</v>
      </c>
      <c r="C1200" s="3" t="s">
        <v>3214</v>
      </c>
      <c r="D1200" s="3" t="s">
        <v>16470</v>
      </c>
      <c r="E1200" t="s">
        <v>3214</v>
      </c>
      <c r="F1200" t="s">
        <v>14360</v>
      </c>
      <c r="G1200" s="3"/>
      <c r="H1200" s="3"/>
    </row>
    <row r="1201" spans="1:8" hidden="1" x14ac:dyDescent="0.2">
      <c r="A1201" s="3" t="s">
        <v>16576</v>
      </c>
      <c r="B1201" s="3" t="s">
        <v>14359</v>
      </c>
      <c r="C1201" s="3" t="s">
        <v>3215</v>
      </c>
      <c r="D1201" s="3" t="s">
        <v>16470</v>
      </c>
      <c r="E1201" t="s">
        <v>3215</v>
      </c>
      <c r="F1201" t="s">
        <v>14360</v>
      </c>
      <c r="G1201" s="3"/>
      <c r="H1201" s="3"/>
    </row>
    <row r="1202" spans="1:8" hidden="1" x14ac:dyDescent="0.2">
      <c r="A1202" s="3" t="s">
        <v>16577</v>
      </c>
      <c r="B1202" s="3" t="s">
        <v>14359</v>
      </c>
      <c r="C1202" s="3" t="s">
        <v>3216</v>
      </c>
      <c r="D1202" s="3" t="s">
        <v>16470</v>
      </c>
      <c r="E1202" t="s">
        <v>3216</v>
      </c>
      <c r="F1202" t="s">
        <v>14360</v>
      </c>
      <c r="G1202" s="3"/>
      <c r="H1202" s="3"/>
    </row>
    <row r="1203" spans="1:8" hidden="1" x14ac:dyDescent="0.2">
      <c r="A1203" s="3" t="s">
        <v>16578</v>
      </c>
      <c r="B1203" s="3" t="s">
        <v>14359</v>
      </c>
      <c r="C1203" s="3" t="s">
        <v>3217</v>
      </c>
      <c r="D1203" s="3" t="s">
        <v>16470</v>
      </c>
      <c r="E1203" t="s">
        <v>3217</v>
      </c>
      <c r="F1203" t="s">
        <v>14360</v>
      </c>
      <c r="G1203" s="3"/>
      <c r="H1203" s="3"/>
    </row>
    <row r="1204" spans="1:8" hidden="1" x14ac:dyDescent="0.2">
      <c r="A1204" s="3" t="s">
        <v>16579</v>
      </c>
      <c r="B1204" s="3" t="s">
        <v>14359</v>
      </c>
      <c r="C1204" s="3" t="s">
        <v>3218</v>
      </c>
      <c r="D1204" s="3" t="s">
        <v>16470</v>
      </c>
      <c r="E1204" t="s">
        <v>3218</v>
      </c>
      <c r="F1204" t="s">
        <v>14360</v>
      </c>
      <c r="G1204" s="3"/>
      <c r="H1204" s="3"/>
    </row>
    <row r="1205" spans="1:8" hidden="1" x14ac:dyDescent="0.2">
      <c r="A1205" s="3" t="s">
        <v>16580</v>
      </c>
      <c r="B1205" s="3" t="s">
        <v>14359</v>
      </c>
      <c r="C1205" s="3" t="s">
        <v>3219</v>
      </c>
      <c r="D1205" s="3" t="s">
        <v>16470</v>
      </c>
      <c r="E1205" t="s">
        <v>3219</v>
      </c>
      <c r="F1205" t="s">
        <v>14360</v>
      </c>
      <c r="G1205" s="3"/>
      <c r="H1205" s="3"/>
    </row>
    <row r="1206" spans="1:8" hidden="1" x14ac:dyDescent="0.2">
      <c r="A1206" s="3" t="s">
        <v>16581</v>
      </c>
      <c r="B1206" s="3" t="s">
        <v>14359</v>
      </c>
      <c r="C1206" s="3" t="s">
        <v>3220</v>
      </c>
      <c r="D1206" s="3" t="s">
        <v>16470</v>
      </c>
      <c r="E1206" t="s">
        <v>3220</v>
      </c>
      <c r="F1206" t="s">
        <v>14360</v>
      </c>
      <c r="G1206" s="3"/>
      <c r="H1206" s="3"/>
    </row>
    <row r="1207" spans="1:8" hidden="1" x14ac:dyDescent="0.2">
      <c r="A1207" s="3" t="s">
        <v>16582</v>
      </c>
      <c r="B1207" s="3" t="s">
        <v>14359</v>
      </c>
      <c r="C1207" s="3" t="s">
        <v>3221</v>
      </c>
      <c r="D1207" s="3" t="s">
        <v>16470</v>
      </c>
      <c r="E1207" t="s">
        <v>3221</v>
      </c>
      <c r="F1207" t="s">
        <v>14360</v>
      </c>
      <c r="G1207" s="3"/>
      <c r="H1207" s="3"/>
    </row>
    <row r="1208" spans="1:8" hidden="1" x14ac:dyDescent="0.2">
      <c r="A1208" s="3" t="s">
        <v>16583</v>
      </c>
      <c r="B1208" s="3" t="s">
        <v>14359</v>
      </c>
      <c r="C1208" s="3" t="s">
        <v>3222</v>
      </c>
      <c r="D1208" s="3" t="s">
        <v>16470</v>
      </c>
      <c r="E1208" t="s">
        <v>3222</v>
      </c>
      <c r="F1208" t="s">
        <v>14360</v>
      </c>
      <c r="G1208" s="3"/>
      <c r="H1208" s="3"/>
    </row>
    <row r="1209" spans="1:8" hidden="1" x14ac:dyDescent="0.2">
      <c r="A1209" s="3" t="s">
        <v>16584</v>
      </c>
      <c r="B1209" s="3" t="s">
        <v>14359</v>
      </c>
      <c r="C1209" s="3" t="s">
        <v>3223</v>
      </c>
      <c r="D1209" s="3" t="s">
        <v>16470</v>
      </c>
      <c r="E1209" t="s">
        <v>3223</v>
      </c>
      <c r="F1209" t="s">
        <v>14360</v>
      </c>
      <c r="G1209" s="3"/>
      <c r="H1209" s="3"/>
    </row>
    <row r="1210" spans="1:8" hidden="1" x14ac:dyDescent="0.2">
      <c r="A1210" s="3" t="s">
        <v>16585</v>
      </c>
      <c r="B1210" s="3" t="s">
        <v>14359</v>
      </c>
      <c r="C1210" s="3" t="s">
        <v>3224</v>
      </c>
      <c r="D1210" s="3" t="s">
        <v>16470</v>
      </c>
      <c r="E1210" t="s">
        <v>3224</v>
      </c>
      <c r="F1210" t="s">
        <v>14360</v>
      </c>
      <c r="G1210" s="3"/>
      <c r="H1210" s="3"/>
    </row>
    <row r="1211" spans="1:8" hidden="1" x14ac:dyDescent="0.2">
      <c r="A1211" s="3" t="s">
        <v>16586</v>
      </c>
      <c r="B1211" s="3" t="s">
        <v>14359</v>
      </c>
      <c r="C1211" s="3" t="s">
        <v>3225</v>
      </c>
      <c r="D1211" s="3" t="s">
        <v>16470</v>
      </c>
      <c r="E1211" t="s">
        <v>3225</v>
      </c>
      <c r="F1211" t="s">
        <v>14360</v>
      </c>
      <c r="G1211" s="3"/>
      <c r="H1211" s="3"/>
    </row>
    <row r="1212" spans="1:8" hidden="1" x14ac:dyDescent="0.2">
      <c r="A1212" s="3" t="s">
        <v>16587</v>
      </c>
      <c r="B1212" s="3" t="s">
        <v>14359</v>
      </c>
      <c r="C1212" s="3" t="s">
        <v>3226</v>
      </c>
      <c r="D1212" s="3" t="s">
        <v>16470</v>
      </c>
      <c r="E1212" t="s">
        <v>3226</v>
      </c>
      <c r="F1212" t="s">
        <v>14360</v>
      </c>
      <c r="G1212" s="3"/>
      <c r="H1212" s="3"/>
    </row>
    <row r="1213" spans="1:8" hidden="1" x14ac:dyDescent="0.2">
      <c r="A1213" s="3" t="s">
        <v>16588</v>
      </c>
      <c r="B1213" s="3" t="s">
        <v>14359</v>
      </c>
      <c r="C1213" s="3" t="s">
        <v>3227</v>
      </c>
      <c r="D1213" s="3" t="s">
        <v>16470</v>
      </c>
      <c r="E1213" t="s">
        <v>3227</v>
      </c>
      <c r="F1213" t="s">
        <v>14360</v>
      </c>
      <c r="G1213" s="3"/>
      <c r="H1213" s="3"/>
    </row>
    <row r="1214" spans="1:8" hidden="1" x14ac:dyDescent="0.2">
      <c r="A1214" s="3" t="s">
        <v>16589</v>
      </c>
      <c r="B1214" s="3" t="s">
        <v>14359</v>
      </c>
      <c r="C1214" s="3" t="s">
        <v>3228</v>
      </c>
      <c r="D1214" s="3" t="s">
        <v>16470</v>
      </c>
      <c r="E1214" t="s">
        <v>3228</v>
      </c>
      <c r="F1214" t="s">
        <v>14360</v>
      </c>
      <c r="G1214" s="3"/>
      <c r="H1214" s="3"/>
    </row>
    <row r="1215" spans="1:8" hidden="1" x14ac:dyDescent="0.2">
      <c r="A1215" s="3" t="s">
        <v>16590</v>
      </c>
      <c r="B1215" s="3" t="s">
        <v>14359</v>
      </c>
      <c r="C1215" s="3" t="s">
        <v>3229</v>
      </c>
      <c r="D1215" s="3" t="s">
        <v>16470</v>
      </c>
      <c r="E1215" t="s">
        <v>3229</v>
      </c>
      <c r="F1215" t="s">
        <v>14360</v>
      </c>
      <c r="G1215" s="3"/>
      <c r="H1215" s="3"/>
    </row>
    <row r="1216" spans="1:8" hidden="1" x14ac:dyDescent="0.2">
      <c r="A1216" s="3" t="s">
        <v>16591</v>
      </c>
      <c r="B1216" s="3" t="s">
        <v>14359</v>
      </c>
      <c r="C1216" s="3" t="s">
        <v>3230</v>
      </c>
      <c r="D1216" s="3" t="s">
        <v>16470</v>
      </c>
      <c r="E1216" t="s">
        <v>3230</v>
      </c>
      <c r="F1216" t="s">
        <v>14360</v>
      </c>
      <c r="G1216" s="3"/>
      <c r="H1216" s="3"/>
    </row>
    <row r="1217" spans="1:8" hidden="1" x14ac:dyDescent="0.2">
      <c r="A1217" s="3" t="s">
        <v>16592</v>
      </c>
      <c r="B1217" s="3" t="s">
        <v>14359</v>
      </c>
      <c r="C1217" s="3" t="s">
        <v>3231</v>
      </c>
      <c r="D1217" s="3" t="s">
        <v>16470</v>
      </c>
      <c r="E1217" t="s">
        <v>3231</v>
      </c>
      <c r="F1217" t="s">
        <v>14360</v>
      </c>
      <c r="G1217" s="3"/>
      <c r="H1217" s="3"/>
    </row>
    <row r="1218" spans="1:8" hidden="1" x14ac:dyDescent="0.2">
      <c r="A1218" s="3" t="s">
        <v>16593</v>
      </c>
      <c r="B1218" s="3" t="s">
        <v>14359</v>
      </c>
      <c r="C1218" s="3" t="s">
        <v>3232</v>
      </c>
      <c r="D1218" s="3" t="s">
        <v>16470</v>
      </c>
      <c r="E1218" t="s">
        <v>3232</v>
      </c>
      <c r="F1218" t="s">
        <v>14360</v>
      </c>
      <c r="G1218" s="3"/>
      <c r="H1218" s="3"/>
    </row>
    <row r="1219" spans="1:8" hidden="1" x14ac:dyDescent="0.2">
      <c r="A1219" s="3" t="s">
        <v>16594</v>
      </c>
      <c r="B1219" s="3" t="s">
        <v>14359</v>
      </c>
      <c r="C1219" s="3" t="s">
        <v>3233</v>
      </c>
      <c r="D1219" s="3" t="s">
        <v>16470</v>
      </c>
      <c r="E1219" t="s">
        <v>3233</v>
      </c>
      <c r="F1219" t="s">
        <v>14360</v>
      </c>
      <c r="G1219" s="3"/>
      <c r="H1219" s="3"/>
    </row>
    <row r="1220" spans="1:8" hidden="1" x14ac:dyDescent="0.2">
      <c r="A1220" s="3" t="s">
        <v>16595</v>
      </c>
      <c r="B1220" s="3" t="s">
        <v>14359</v>
      </c>
      <c r="C1220" s="3" t="s">
        <v>3234</v>
      </c>
      <c r="D1220" s="3" t="s">
        <v>16470</v>
      </c>
      <c r="E1220" t="s">
        <v>3234</v>
      </c>
      <c r="F1220" t="s">
        <v>14360</v>
      </c>
      <c r="G1220" s="3"/>
      <c r="H1220" s="3"/>
    </row>
    <row r="1221" spans="1:8" hidden="1" x14ac:dyDescent="0.2">
      <c r="A1221" s="3" t="s">
        <v>16596</v>
      </c>
      <c r="B1221" s="3" t="s">
        <v>14359</v>
      </c>
      <c r="C1221" s="3" t="s">
        <v>3235</v>
      </c>
      <c r="D1221" s="3" t="s">
        <v>16470</v>
      </c>
      <c r="E1221" t="s">
        <v>3235</v>
      </c>
      <c r="F1221" t="s">
        <v>14360</v>
      </c>
      <c r="G1221" s="3"/>
      <c r="H1221" s="3"/>
    </row>
    <row r="1222" spans="1:8" hidden="1" x14ac:dyDescent="0.2">
      <c r="A1222" s="3" t="s">
        <v>16597</v>
      </c>
      <c r="B1222" s="3" t="s">
        <v>14359</v>
      </c>
      <c r="C1222" s="3" t="s">
        <v>3236</v>
      </c>
      <c r="D1222" s="3" t="s">
        <v>16470</v>
      </c>
      <c r="E1222" t="s">
        <v>3236</v>
      </c>
      <c r="F1222" t="s">
        <v>14360</v>
      </c>
      <c r="G1222" s="3"/>
      <c r="H1222" s="3"/>
    </row>
    <row r="1223" spans="1:8" hidden="1" x14ac:dyDescent="0.2">
      <c r="A1223" s="3" t="s">
        <v>16598</v>
      </c>
      <c r="B1223" s="3" t="s">
        <v>14359</v>
      </c>
      <c r="C1223" s="3" t="s">
        <v>3237</v>
      </c>
      <c r="D1223" s="3" t="s">
        <v>16470</v>
      </c>
      <c r="E1223" t="s">
        <v>3237</v>
      </c>
      <c r="F1223" t="s">
        <v>14360</v>
      </c>
      <c r="G1223" s="3"/>
      <c r="H1223" s="3"/>
    </row>
    <row r="1224" spans="1:8" hidden="1" x14ac:dyDescent="0.2">
      <c r="A1224" s="3" t="s">
        <v>16599</v>
      </c>
      <c r="B1224" s="3" t="s">
        <v>14359</v>
      </c>
      <c r="C1224" s="3" t="s">
        <v>3238</v>
      </c>
      <c r="D1224" s="3" t="s">
        <v>16470</v>
      </c>
      <c r="E1224" t="s">
        <v>3238</v>
      </c>
      <c r="F1224" t="s">
        <v>14360</v>
      </c>
      <c r="G1224" s="3"/>
      <c r="H1224" s="3"/>
    </row>
    <row r="1225" spans="1:8" hidden="1" x14ac:dyDescent="0.2">
      <c r="A1225" s="3" t="s">
        <v>16600</v>
      </c>
      <c r="B1225" s="3" t="s">
        <v>14359</v>
      </c>
      <c r="C1225" s="3" t="s">
        <v>3239</v>
      </c>
      <c r="D1225" s="3" t="s">
        <v>16470</v>
      </c>
      <c r="E1225" t="s">
        <v>3239</v>
      </c>
      <c r="F1225" t="s">
        <v>14360</v>
      </c>
      <c r="G1225" s="3"/>
      <c r="H1225" s="3"/>
    </row>
    <row r="1226" spans="1:8" hidden="1" x14ac:dyDescent="0.2">
      <c r="A1226" s="3" t="s">
        <v>16601</v>
      </c>
      <c r="B1226" s="3" t="s">
        <v>14359</v>
      </c>
      <c r="C1226" s="3" t="s">
        <v>3240</v>
      </c>
      <c r="D1226" s="3" t="s">
        <v>16470</v>
      </c>
      <c r="E1226" t="s">
        <v>3240</v>
      </c>
      <c r="F1226" t="s">
        <v>14360</v>
      </c>
      <c r="G1226" s="3"/>
      <c r="H1226" s="3"/>
    </row>
    <row r="1227" spans="1:8" hidden="1" x14ac:dyDescent="0.2">
      <c r="A1227" s="3" t="s">
        <v>16602</v>
      </c>
      <c r="B1227" s="3" t="s">
        <v>14359</v>
      </c>
      <c r="C1227" s="3" t="s">
        <v>3241</v>
      </c>
      <c r="D1227" s="3" t="s">
        <v>16470</v>
      </c>
      <c r="E1227" t="s">
        <v>3241</v>
      </c>
      <c r="F1227" t="s">
        <v>14360</v>
      </c>
      <c r="G1227" s="3"/>
      <c r="H1227" s="3"/>
    </row>
    <row r="1228" spans="1:8" hidden="1" x14ac:dyDescent="0.2">
      <c r="A1228" s="3" t="s">
        <v>16603</v>
      </c>
      <c r="B1228" s="3" t="s">
        <v>14359</v>
      </c>
      <c r="C1228" s="3" t="s">
        <v>3242</v>
      </c>
      <c r="D1228" s="3" t="s">
        <v>16470</v>
      </c>
      <c r="E1228" t="s">
        <v>3242</v>
      </c>
      <c r="F1228" t="s">
        <v>14360</v>
      </c>
      <c r="G1228" s="3"/>
      <c r="H1228" s="3"/>
    </row>
    <row r="1229" spans="1:8" hidden="1" x14ac:dyDescent="0.2">
      <c r="A1229" s="3" t="s">
        <v>16604</v>
      </c>
      <c r="B1229" s="3" t="s">
        <v>14359</v>
      </c>
      <c r="C1229" s="3" t="s">
        <v>3243</v>
      </c>
      <c r="D1229" s="3" t="s">
        <v>16470</v>
      </c>
      <c r="E1229" t="s">
        <v>3243</v>
      </c>
      <c r="F1229" t="s">
        <v>14360</v>
      </c>
      <c r="G1229" s="3"/>
      <c r="H1229" s="3"/>
    </row>
    <row r="1230" spans="1:8" hidden="1" x14ac:dyDescent="0.2">
      <c r="A1230" s="3" t="s">
        <v>16605</v>
      </c>
      <c r="B1230" s="3" t="s">
        <v>14359</v>
      </c>
      <c r="C1230" s="3" t="s">
        <v>3244</v>
      </c>
      <c r="D1230" s="3" t="s">
        <v>16470</v>
      </c>
      <c r="E1230" t="s">
        <v>3244</v>
      </c>
      <c r="F1230" t="s">
        <v>14360</v>
      </c>
      <c r="G1230" s="3"/>
      <c r="H1230" s="3"/>
    </row>
    <row r="1231" spans="1:8" hidden="1" x14ac:dyDescent="0.2">
      <c r="A1231" s="3" t="s">
        <v>16606</v>
      </c>
      <c r="B1231" s="3" t="s">
        <v>14359</v>
      </c>
      <c r="C1231" s="3" t="s">
        <v>3245</v>
      </c>
      <c r="D1231" s="3" t="s">
        <v>16470</v>
      </c>
      <c r="E1231" t="s">
        <v>3245</v>
      </c>
      <c r="F1231" t="s">
        <v>14360</v>
      </c>
      <c r="G1231" s="3"/>
      <c r="H1231" s="3"/>
    </row>
    <row r="1232" spans="1:8" hidden="1" x14ac:dyDescent="0.2">
      <c r="A1232" s="3" t="s">
        <v>16607</v>
      </c>
      <c r="B1232" s="3" t="s">
        <v>14359</v>
      </c>
      <c r="C1232" s="3" t="s">
        <v>3246</v>
      </c>
      <c r="D1232" s="3" t="s">
        <v>16470</v>
      </c>
      <c r="E1232" t="s">
        <v>3246</v>
      </c>
      <c r="F1232" t="s">
        <v>14360</v>
      </c>
      <c r="G1232" s="3"/>
      <c r="H1232" s="3"/>
    </row>
    <row r="1233" spans="1:8" hidden="1" x14ac:dyDescent="0.2">
      <c r="A1233" s="3" t="s">
        <v>16608</v>
      </c>
      <c r="B1233" s="3" t="s">
        <v>14359</v>
      </c>
      <c r="C1233" s="3" t="s">
        <v>3247</v>
      </c>
      <c r="D1233" s="3" t="s">
        <v>16470</v>
      </c>
      <c r="E1233" t="s">
        <v>3247</v>
      </c>
      <c r="F1233" t="s">
        <v>14360</v>
      </c>
      <c r="G1233" s="3"/>
      <c r="H1233" s="3"/>
    </row>
    <row r="1234" spans="1:8" hidden="1" x14ac:dyDescent="0.2">
      <c r="A1234" s="3" t="s">
        <v>16609</v>
      </c>
      <c r="B1234" s="3" t="s">
        <v>14359</v>
      </c>
      <c r="C1234" s="3" t="s">
        <v>3248</v>
      </c>
      <c r="D1234" s="3" t="s">
        <v>16470</v>
      </c>
      <c r="E1234" t="s">
        <v>3248</v>
      </c>
      <c r="F1234" t="s">
        <v>14360</v>
      </c>
      <c r="G1234" s="3"/>
      <c r="H1234" s="3"/>
    </row>
    <row r="1235" spans="1:8" hidden="1" x14ac:dyDescent="0.2">
      <c r="A1235" s="3" t="s">
        <v>16610</v>
      </c>
      <c r="B1235" s="3" t="s">
        <v>14359</v>
      </c>
      <c r="C1235" s="3" t="s">
        <v>3249</v>
      </c>
      <c r="D1235" s="3" t="s">
        <v>16470</v>
      </c>
      <c r="E1235" t="s">
        <v>3249</v>
      </c>
      <c r="F1235" t="s">
        <v>14360</v>
      </c>
      <c r="G1235" s="3"/>
      <c r="H1235" s="3"/>
    </row>
    <row r="1236" spans="1:8" hidden="1" x14ac:dyDescent="0.2">
      <c r="A1236" s="3" t="s">
        <v>16611</v>
      </c>
      <c r="B1236" s="3" t="s">
        <v>14359</v>
      </c>
      <c r="C1236" s="3" t="s">
        <v>3250</v>
      </c>
      <c r="D1236" s="3" t="s">
        <v>16470</v>
      </c>
      <c r="E1236" t="s">
        <v>3250</v>
      </c>
      <c r="F1236" t="s">
        <v>14360</v>
      </c>
      <c r="G1236" s="3"/>
      <c r="H1236" s="3"/>
    </row>
    <row r="1237" spans="1:8" hidden="1" x14ac:dyDescent="0.2">
      <c r="A1237" s="3" t="s">
        <v>16612</v>
      </c>
      <c r="B1237" s="3" t="s">
        <v>14359</v>
      </c>
      <c r="C1237" s="3" t="s">
        <v>3251</v>
      </c>
      <c r="D1237" s="3" t="s">
        <v>16470</v>
      </c>
      <c r="E1237" t="s">
        <v>3251</v>
      </c>
      <c r="F1237" t="s">
        <v>14360</v>
      </c>
      <c r="G1237" s="3"/>
      <c r="H1237" s="3"/>
    </row>
    <row r="1238" spans="1:8" hidden="1" x14ac:dyDescent="0.2">
      <c r="A1238" s="3" t="s">
        <v>16613</v>
      </c>
      <c r="B1238" s="3" t="s">
        <v>14359</v>
      </c>
      <c r="C1238" s="3" t="s">
        <v>3252</v>
      </c>
      <c r="D1238" s="3" t="s">
        <v>16470</v>
      </c>
      <c r="E1238" t="s">
        <v>3252</v>
      </c>
      <c r="F1238" t="s">
        <v>14360</v>
      </c>
      <c r="G1238" s="3"/>
      <c r="H1238" s="3"/>
    </row>
    <row r="1239" spans="1:8" hidden="1" x14ac:dyDescent="0.2">
      <c r="A1239" s="3" t="s">
        <v>16614</v>
      </c>
      <c r="B1239" s="3" t="s">
        <v>14359</v>
      </c>
      <c r="C1239" s="3" t="s">
        <v>3253</v>
      </c>
      <c r="D1239" s="3" t="s">
        <v>16470</v>
      </c>
      <c r="E1239" t="s">
        <v>3253</v>
      </c>
      <c r="F1239" t="s">
        <v>14360</v>
      </c>
      <c r="G1239" s="3"/>
      <c r="H1239" s="3"/>
    </row>
    <row r="1240" spans="1:8" hidden="1" x14ac:dyDescent="0.2">
      <c r="A1240" s="3" t="s">
        <v>16615</v>
      </c>
      <c r="B1240" s="3" t="s">
        <v>14359</v>
      </c>
      <c r="C1240" s="3" t="s">
        <v>3254</v>
      </c>
      <c r="D1240" s="3" t="s">
        <v>16470</v>
      </c>
      <c r="E1240" t="s">
        <v>3254</v>
      </c>
      <c r="F1240" t="s">
        <v>14360</v>
      </c>
      <c r="G1240" s="3"/>
      <c r="H1240" s="3"/>
    </row>
    <row r="1241" spans="1:8" hidden="1" x14ac:dyDescent="0.2">
      <c r="A1241" s="3" t="s">
        <v>16616</v>
      </c>
      <c r="B1241" s="3" t="s">
        <v>14359</v>
      </c>
      <c r="C1241" s="3" t="s">
        <v>3255</v>
      </c>
      <c r="D1241" s="3" t="s">
        <v>16470</v>
      </c>
      <c r="E1241" t="s">
        <v>3255</v>
      </c>
      <c r="F1241" t="s">
        <v>14360</v>
      </c>
      <c r="G1241" s="3"/>
      <c r="H1241" s="3"/>
    </row>
    <row r="1242" spans="1:8" hidden="1" x14ac:dyDescent="0.2">
      <c r="A1242" s="3" t="s">
        <v>16617</v>
      </c>
      <c r="B1242" s="3" t="s">
        <v>14359</v>
      </c>
      <c r="C1242" s="3" t="s">
        <v>3256</v>
      </c>
      <c r="D1242" s="3" t="s">
        <v>16470</v>
      </c>
      <c r="E1242" t="s">
        <v>3256</v>
      </c>
      <c r="F1242" t="s">
        <v>14360</v>
      </c>
      <c r="G1242" s="3"/>
      <c r="H1242" s="3"/>
    </row>
    <row r="1243" spans="1:8" hidden="1" x14ac:dyDescent="0.2">
      <c r="A1243" s="3" t="s">
        <v>16618</v>
      </c>
      <c r="B1243" s="3" t="s">
        <v>14359</v>
      </c>
      <c r="C1243" s="3" t="s">
        <v>3257</v>
      </c>
      <c r="D1243" s="3" t="s">
        <v>16470</v>
      </c>
      <c r="E1243" t="s">
        <v>3257</v>
      </c>
      <c r="F1243" t="s">
        <v>14360</v>
      </c>
      <c r="G1243" s="3"/>
      <c r="H1243" s="3"/>
    </row>
    <row r="1244" spans="1:8" hidden="1" x14ac:dyDescent="0.2">
      <c r="A1244" s="3" t="s">
        <v>16619</v>
      </c>
      <c r="B1244" s="3" t="s">
        <v>14359</v>
      </c>
      <c r="C1244" s="3" t="s">
        <v>3258</v>
      </c>
      <c r="D1244" s="3" t="s">
        <v>16470</v>
      </c>
      <c r="E1244" t="s">
        <v>3258</v>
      </c>
      <c r="F1244" t="s">
        <v>14360</v>
      </c>
      <c r="G1244" s="3"/>
      <c r="H1244" s="3"/>
    </row>
    <row r="1245" spans="1:8" hidden="1" x14ac:dyDescent="0.2">
      <c r="A1245" s="3" t="s">
        <v>16620</v>
      </c>
      <c r="B1245" s="3" t="s">
        <v>14359</v>
      </c>
      <c r="C1245" s="3" t="s">
        <v>3259</v>
      </c>
      <c r="D1245" s="3" t="s">
        <v>16470</v>
      </c>
      <c r="E1245" t="s">
        <v>3259</v>
      </c>
      <c r="F1245" t="s">
        <v>14360</v>
      </c>
      <c r="G1245" s="3"/>
      <c r="H1245" s="3"/>
    </row>
    <row r="1246" spans="1:8" hidden="1" x14ac:dyDescent="0.2">
      <c r="A1246" s="3" t="s">
        <v>16621</v>
      </c>
      <c r="B1246" s="3" t="s">
        <v>14359</v>
      </c>
      <c r="C1246" s="3" t="s">
        <v>3260</v>
      </c>
      <c r="D1246" s="3" t="s">
        <v>16470</v>
      </c>
      <c r="E1246" t="s">
        <v>3260</v>
      </c>
      <c r="F1246" t="s">
        <v>14360</v>
      </c>
      <c r="G1246" s="3"/>
      <c r="H1246" s="3"/>
    </row>
    <row r="1247" spans="1:8" hidden="1" x14ac:dyDescent="0.2">
      <c r="A1247" s="3" t="s">
        <v>16622</v>
      </c>
      <c r="B1247" s="3" t="s">
        <v>14359</v>
      </c>
      <c r="C1247" s="3" t="s">
        <v>3261</v>
      </c>
      <c r="D1247" s="3" t="s">
        <v>16470</v>
      </c>
      <c r="E1247" t="s">
        <v>3261</v>
      </c>
      <c r="F1247" t="s">
        <v>14360</v>
      </c>
      <c r="G1247" s="3"/>
      <c r="H1247" s="3"/>
    </row>
    <row r="1248" spans="1:8" hidden="1" x14ac:dyDescent="0.2">
      <c r="A1248" s="3" t="s">
        <v>16623</v>
      </c>
      <c r="B1248" s="3" t="s">
        <v>14359</v>
      </c>
      <c r="C1248" s="3" t="s">
        <v>3262</v>
      </c>
      <c r="D1248" s="3" t="s">
        <v>16470</v>
      </c>
      <c r="E1248" t="s">
        <v>3262</v>
      </c>
      <c r="F1248" t="s">
        <v>14360</v>
      </c>
      <c r="G1248" s="3"/>
      <c r="H1248" s="3"/>
    </row>
    <row r="1249" spans="1:8" hidden="1" x14ac:dyDescent="0.2">
      <c r="A1249" s="3" t="s">
        <v>16624</v>
      </c>
      <c r="B1249" s="3" t="s">
        <v>14359</v>
      </c>
      <c r="C1249" s="3" t="s">
        <v>3263</v>
      </c>
      <c r="D1249" s="3" t="s">
        <v>16470</v>
      </c>
      <c r="E1249" t="s">
        <v>3263</v>
      </c>
      <c r="F1249" t="s">
        <v>14360</v>
      </c>
      <c r="G1249" s="3"/>
      <c r="H1249" s="3"/>
    </row>
    <row r="1250" spans="1:8" hidden="1" x14ac:dyDescent="0.2">
      <c r="A1250" s="3" t="s">
        <v>16625</v>
      </c>
      <c r="B1250" s="3" t="s">
        <v>14359</v>
      </c>
      <c r="C1250" s="3" t="s">
        <v>3264</v>
      </c>
      <c r="D1250" s="3" t="s">
        <v>16470</v>
      </c>
      <c r="E1250" t="s">
        <v>3264</v>
      </c>
      <c r="F1250" t="s">
        <v>14360</v>
      </c>
      <c r="G1250" s="3"/>
      <c r="H1250" s="3"/>
    </row>
    <row r="1251" spans="1:8" hidden="1" x14ac:dyDescent="0.2">
      <c r="A1251" s="3" t="s">
        <v>16626</v>
      </c>
      <c r="B1251" s="3" t="s">
        <v>14359</v>
      </c>
      <c r="C1251" s="3" t="s">
        <v>3265</v>
      </c>
      <c r="D1251" s="3" t="s">
        <v>16470</v>
      </c>
      <c r="E1251" t="s">
        <v>3265</v>
      </c>
      <c r="F1251" t="s">
        <v>14360</v>
      </c>
      <c r="G1251" s="3"/>
      <c r="H1251" s="3"/>
    </row>
    <row r="1252" spans="1:8" hidden="1" x14ac:dyDescent="0.2">
      <c r="A1252" s="3" t="s">
        <v>16627</v>
      </c>
      <c r="B1252" s="3" t="s">
        <v>14359</v>
      </c>
      <c r="C1252" s="3" t="s">
        <v>3266</v>
      </c>
      <c r="D1252" s="3" t="s">
        <v>16470</v>
      </c>
      <c r="E1252" t="s">
        <v>3266</v>
      </c>
      <c r="F1252" t="s">
        <v>14360</v>
      </c>
      <c r="G1252" s="3"/>
      <c r="H1252" s="3"/>
    </row>
    <row r="1253" spans="1:8" hidden="1" x14ac:dyDescent="0.2">
      <c r="A1253" s="3" t="s">
        <v>16628</v>
      </c>
      <c r="B1253" s="3" t="s">
        <v>14359</v>
      </c>
      <c r="C1253" s="3" t="s">
        <v>3267</v>
      </c>
      <c r="D1253" s="3" t="s">
        <v>16470</v>
      </c>
      <c r="E1253" t="s">
        <v>3267</v>
      </c>
      <c r="F1253" t="s">
        <v>14360</v>
      </c>
      <c r="G1253" s="3"/>
      <c r="H1253" s="3"/>
    </row>
    <row r="1254" spans="1:8" hidden="1" x14ac:dyDescent="0.2">
      <c r="A1254" s="3" t="s">
        <v>16629</v>
      </c>
      <c r="B1254" s="3" t="s">
        <v>14359</v>
      </c>
      <c r="C1254" s="3" t="s">
        <v>3268</v>
      </c>
      <c r="D1254" s="3" t="s">
        <v>16470</v>
      </c>
      <c r="E1254" t="s">
        <v>3268</v>
      </c>
      <c r="F1254" t="s">
        <v>14360</v>
      </c>
      <c r="G1254" s="3"/>
      <c r="H1254" s="3"/>
    </row>
    <row r="1255" spans="1:8" hidden="1" x14ac:dyDescent="0.2">
      <c r="A1255" s="3" t="s">
        <v>16630</v>
      </c>
      <c r="B1255" s="3" t="s">
        <v>14359</v>
      </c>
      <c r="C1255" s="3" t="s">
        <v>3269</v>
      </c>
      <c r="D1255" s="3" t="s">
        <v>16470</v>
      </c>
      <c r="E1255" t="s">
        <v>3269</v>
      </c>
      <c r="F1255" t="s">
        <v>14360</v>
      </c>
      <c r="G1255" s="3"/>
      <c r="H1255" s="3"/>
    </row>
    <row r="1256" spans="1:8" hidden="1" x14ac:dyDescent="0.2">
      <c r="A1256" s="3" t="s">
        <v>16631</v>
      </c>
      <c r="B1256" s="3" t="s">
        <v>14359</v>
      </c>
      <c r="C1256" s="3" t="s">
        <v>3270</v>
      </c>
      <c r="D1256" s="3" t="s">
        <v>16470</v>
      </c>
      <c r="E1256" t="s">
        <v>3270</v>
      </c>
      <c r="F1256" t="s">
        <v>14360</v>
      </c>
      <c r="G1256" s="3"/>
      <c r="H1256" s="3"/>
    </row>
    <row r="1257" spans="1:8" hidden="1" x14ac:dyDescent="0.2">
      <c r="A1257" s="3" t="s">
        <v>16632</v>
      </c>
      <c r="B1257" s="3" t="s">
        <v>14359</v>
      </c>
      <c r="C1257" s="3" t="s">
        <v>3271</v>
      </c>
      <c r="D1257" s="3" t="s">
        <v>16470</v>
      </c>
      <c r="E1257" t="s">
        <v>3271</v>
      </c>
      <c r="F1257" t="s">
        <v>14360</v>
      </c>
      <c r="G1257" s="3"/>
      <c r="H1257" s="3"/>
    </row>
    <row r="1258" spans="1:8" hidden="1" x14ac:dyDescent="0.2">
      <c r="A1258" s="3" t="s">
        <v>16633</v>
      </c>
      <c r="B1258" s="3" t="s">
        <v>14359</v>
      </c>
      <c r="C1258" s="3" t="s">
        <v>3272</v>
      </c>
      <c r="D1258" s="3" t="s">
        <v>16470</v>
      </c>
      <c r="E1258" t="s">
        <v>3272</v>
      </c>
      <c r="F1258" t="s">
        <v>14360</v>
      </c>
      <c r="G1258" s="3"/>
      <c r="H1258" s="3"/>
    </row>
    <row r="1259" spans="1:8" hidden="1" x14ac:dyDescent="0.2">
      <c r="A1259" s="3" t="s">
        <v>16634</v>
      </c>
      <c r="B1259" s="3" t="s">
        <v>14359</v>
      </c>
      <c r="C1259" s="3" t="s">
        <v>3273</v>
      </c>
      <c r="D1259" s="3" t="s">
        <v>16470</v>
      </c>
      <c r="E1259" t="s">
        <v>3273</v>
      </c>
      <c r="F1259" t="s">
        <v>14360</v>
      </c>
      <c r="G1259" s="3"/>
      <c r="H1259" s="3"/>
    </row>
    <row r="1260" spans="1:8" hidden="1" x14ac:dyDescent="0.2">
      <c r="A1260" s="3" t="s">
        <v>16635</v>
      </c>
      <c r="B1260" s="3" t="s">
        <v>14359</v>
      </c>
      <c r="C1260" s="3" t="s">
        <v>3274</v>
      </c>
      <c r="D1260" s="3" t="s">
        <v>16470</v>
      </c>
      <c r="E1260" t="s">
        <v>3274</v>
      </c>
      <c r="F1260" t="s">
        <v>14360</v>
      </c>
      <c r="G1260" s="3"/>
      <c r="H1260" s="3"/>
    </row>
    <row r="1261" spans="1:8" hidden="1" x14ac:dyDescent="0.2">
      <c r="A1261" s="3" t="s">
        <v>16636</v>
      </c>
      <c r="B1261" s="3" t="s">
        <v>14359</v>
      </c>
      <c r="C1261" s="3" t="s">
        <v>3275</v>
      </c>
      <c r="D1261" s="3" t="s">
        <v>16470</v>
      </c>
      <c r="E1261" t="s">
        <v>3275</v>
      </c>
      <c r="F1261" t="s">
        <v>14360</v>
      </c>
      <c r="G1261" s="3"/>
      <c r="H1261" s="3"/>
    </row>
    <row r="1262" spans="1:8" hidden="1" x14ac:dyDescent="0.2">
      <c r="A1262" s="3" t="s">
        <v>16637</v>
      </c>
      <c r="B1262" s="3" t="s">
        <v>14359</v>
      </c>
      <c r="C1262" s="3" t="s">
        <v>3276</v>
      </c>
      <c r="D1262" s="3" t="s">
        <v>16470</v>
      </c>
      <c r="E1262" t="s">
        <v>3276</v>
      </c>
      <c r="F1262" t="s">
        <v>14360</v>
      </c>
      <c r="G1262" s="3"/>
      <c r="H1262" s="3"/>
    </row>
    <row r="1263" spans="1:8" hidden="1" x14ac:dyDescent="0.2">
      <c r="A1263" s="3" t="s">
        <v>16638</v>
      </c>
      <c r="B1263" s="3" t="s">
        <v>14359</v>
      </c>
      <c r="C1263" s="3" t="s">
        <v>3277</v>
      </c>
      <c r="D1263" s="3" t="s">
        <v>16470</v>
      </c>
      <c r="E1263" t="s">
        <v>3277</v>
      </c>
      <c r="F1263" t="s">
        <v>14360</v>
      </c>
      <c r="G1263" s="3"/>
      <c r="H1263" s="3"/>
    </row>
    <row r="1264" spans="1:8" hidden="1" x14ac:dyDescent="0.2">
      <c r="A1264" s="3" t="s">
        <v>16639</v>
      </c>
      <c r="B1264" s="3" t="s">
        <v>14359</v>
      </c>
      <c r="C1264" s="3" t="s">
        <v>3278</v>
      </c>
      <c r="D1264" s="3" t="s">
        <v>16470</v>
      </c>
      <c r="E1264" t="s">
        <v>3278</v>
      </c>
      <c r="F1264" t="s">
        <v>14360</v>
      </c>
      <c r="G1264" s="3"/>
      <c r="H1264" s="3"/>
    </row>
    <row r="1265" spans="1:8" hidden="1" x14ac:dyDescent="0.2">
      <c r="A1265" s="3" t="s">
        <v>16640</v>
      </c>
      <c r="B1265" s="3" t="s">
        <v>14359</v>
      </c>
      <c r="C1265" s="3" t="s">
        <v>3279</v>
      </c>
      <c r="D1265" s="3" t="s">
        <v>16470</v>
      </c>
      <c r="E1265" t="s">
        <v>3279</v>
      </c>
      <c r="F1265" t="s">
        <v>14360</v>
      </c>
      <c r="G1265" s="3"/>
      <c r="H1265" s="3"/>
    </row>
    <row r="1266" spans="1:8" hidden="1" x14ac:dyDescent="0.2">
      <c r="A1266" s="3" t="s">
        <v>16641</v>
      </c>
      <c r="B1266" s="3" t="s">
        <v>14359</v>
      </c>
      <c r="C1266" s="3" t="s">
        <v>3280</v>
      </c>
      <c r="D1266" s="3" t="s">
        <v>16470</v>
      </c>
      <c r="E1266" t="s">
        <v>3280</v>
      </c>
      <c r="F1266" t="s">
        <v>14360</v>
      </c>
      <c r="G1266" s="3"/>
      <c r="H1266" s="3"/>
    </row>
    <row r="1267" spans="1:8" hidden="1" x14ac:dyDescent="0.2">
      <c r="A1267" s="3" t="s">
        <v>16642</v>
      </c>
      <c r="B1267" s="3" t="s">
        <v>14359</v>
      </c>
      <c r="C1267" s="3" t="s">
        <v>3281</v>
      </c>
      <c r="D1267" s="3" t="s">
        <v>16470</v>
      </c>
      <c r="E1267" t="s">
        <v>3281</v>
      </c>
      <c r="F1267" t="s">
        <v>14360</v>
      </c>
      <c r="G1267" s="3"/>
      <c r="H1267" s="3"/>
    </row>
    <row r="1268" spans="1:8" hidden="1" x14ac:dyDescent="0.2">
      <c r="A1268" s="3" t="s">
        <v>16643</v>
      </c>
      <c r="B1268" s="3" t="s">
        <v>14359</v>
      </c>
      <c r="C1268" s="3" t="s">
        <v>3282</v>
      </c>
      <c r="D1268" s="3" t="s">
        <v>16470</v>
      </c>
      <c r="E1268" t="s">
        <v>3282</v>
      </c>
      <c r="F1268" t="s">
        <v>14360</v>
      </c>
      <c r="G1268" s="3"/>
      <c r="H1268" s="3"/>
    </row>
    <row r="1269" spans="1:8" hidden="1" x14ac:dyDescent="0.2">
      <c r="A1269" s="3" t="s">
        <v>16644</v>
      </c>
      <c r="B1269" s="3" t="s">
        <v>14359</v>
      </c>
      <c r="C1269" s="3" t="s">
        <v>3283</v>
      </c>
      <c r="D1269" s="3" t="s">
        <v>16470</v>
      </c>
      <c r="E1269" t="s">
        <v>3283</v>
      </c>
      <c r="F1269" t="s">
        <v>14360</v>
      </c>
      <c r="G1269" s="3"/>
      <c r="H1269" s="3"/>
    </row>
    <row r="1270" spans="1:8" hidden="1" x14ac:dyDescent="0.2">
      <c r="A1270" s="3" t="s">
        <v>16645</v>
      </c>
      <c r="B1270" s="3" t="s">
        <v>14359</v>
      </c>
      <c r="C1270" s="3" t="s">
        <v>3284</v>
      </c>
      <c r="D1270" s="3" t="s">
        <v>16470</v>
      </c>
      <c r="E1270" t="s">
        <v>3284</v>
      </c>
      <c r="F1270" t="s">
        <v>14360</v>
      </c>
      <c r="G1270" s="3"/>
      <c r="H1270" s="3"/>
    </row>
    <row r="1271" spans="1:8" hidden="1" x14ac:dyDescent="0.2">
      <c r="A1271" s="3" t="s">
        <v>16646</v>
      </c>
      <c r="B1271" s="3" t="s">
        <v>14359</v>
      </c>
      <c r="C1271" s="3" t="s">
        <v>3285</v>
      </c>
      <c r="D1271" s="3" t="s">
        <v>16470</v>
      </c>
      <c r="E1271" t="s">
        <v>3285</v>
      </c>
      <c r="F1271" t="s">
        <v>14360</v>
      </c>
      <c r="G1271" s="3"/>
      <c r="H1271" s="3"/>
    </row>
    <row r="1272" spans="1:8" hidden="1" x14ac:dyDescent="0.2">
      <c r="A1272" s="3" t="s">
        <v>16647</v>
      </c>
      <c r="B1272" s="3" t="s">
        <v>14359</v>
      </c>
      <c r="C1272" s="3" t="s">
        <v>3286</v>
      </c>
      <c r="D1272" s="3" t="s">
        <v>16470</v>
      </c>
      <c r="E1272" t="s">
        <v>3286</v>
      </c>
      <c r="F1272" t="s">
        <v>14360</v>
      </c>
      <c r="G1272" s="3"/>
      <c r="H1272" s="3"/>
    </row>
    <row r="1273" spans="1:8" hidden="1" x14ac:dyDescent="0.2">
      <c r="A1273" s="3" t="s">
        <v>16648</v>
      </c>
      <c r="B1273" s="3" t="s">
        <v>14359</v>
      </c>
      <c r="C1273" s="3" t="s">
        <v>3287</v>
      </c>
      <c r="D1273" s="3" t="s">
        <v>16470</v>
      </c>
      <c r="E1273" t="s">
        <v>3287</v>
      </c>
      <c r="F1273" t="s">
        <v>14360</v>
      </c>
      <c r="G1273" s="3"/>
      <c r="H1273" s="3"/>
    </row>
    <row r="1274" spans="1:8" hidden="1" x14ac:dyDescent="0.2">
      <c r="A1274" s="3" t="s">
        <v>16649</v>
      </c>
      <c r="B1274" s="3" t="s">
        <v>14359</v>
      </c>
      <c r="C1274" s="3" t="s">
        <v>3288</v>
      </c>
      <c r="D1274" s="3" t="s">
        <v>16470</v>
      </c>
      <c r="E1274" t="s">
        <v>3288</v>
      </c>
      <c r="F1274" t="s">
        <v>14360</v>
      </c>
      <c r="G1274" s="3"/>
      <c r="H1274" s="3"/>
    </row>
    <row r="1275" spans="1:8" hidden="1" x14ac:dyDescent="0.2">
      <c r="A1275" s="3" t="s">
        <v>16650</v>
      </c>
      <c r="B1275" s="3" t="s">
        <v>14359</v>
      </c>
      <c r="C1275" s="3" t="s">
        <v>3289</v>
      </c>
      <c r="D1275" s="3" t="s">
        <v>16470</v>
      </c>
      <c r="E1275" t="s">
        <v>3289</v>
      </c>
      <c r="F1275" t="s">
        <v>14360</v>
      </c>
      <c r="G1275" s="3"/>
      <c r="H1275" s="3"/>
    </row>
    <row r="1276" spans="1:8" hidden="1" x14ac:dyDescent="0.2">
      <c r="A1276" s="3" t="s">
        <v>16651</v>
      </c>
      <c r="B1276" s="3" t="s">
        <v>14359</v>
      </c>
      <c r="C1276" s="3" t="s">
        <v>3290</v>
      </c>
      <c r="D1276" s="3" t="s">
        <v>16470</v>
      </c>
      <c r="E1276" t="s">
        <v>3290</v>
      </c>
      <c r="F1276" t="s">
        <v>14360</v>
      </c>
      <c r="G1276" s="3"/>
      <c r="H1276" s="3"/>
    </row>
    <row r="1277" spans="1:8" hidden="1" x14ac:dyDescent="0.2">
      <c r="A1277" s="3" t="s">
        <v>16652</v>
      </c>
      <c r="B1277" s="3" t="s">
        <v>14359</v>
      </c>
      <c r="C1277" s="3" t="s">
        <v>3291</v>
      </c>
      <c r="D1277" s="3" t="s">
        <v>16470</v>
      </c>
      <c r="E1277" t="s">
        <v>3291</v>
      </c>
      <c r="F1277" t="s">
        <v>14360</v>
      </c>
      <c r="G1277" s="3"/>
      <c r="H1277" s="3"/>
    </row>
    <row r="1278" spans="1:8" hidden="1" x14ac:dyDescent="0.2">
      <c r="A1278" s="3" t="s">
        <v>16653</v>
      </c>
      <c r="B1278" s="3" t="s">
        <v>14359</v>
      </c>
      <c r="C1278" s="3" t="s">
        <v>3292</v>
      </c>
      <c r="D1278" s="3" t="s">
        <v>16470</v>
      </c>
      <c r="E1278" t="s">
        <v>3292</v>
      </c>
      <c r="F1278" t="s">
        <v>14360</v>
      </c>
      <c r="G1278" s="3"/>
      <c r="H1278" s="3"/>
    </row>
    <row r="1279" spans="1:8" hidden="1" x14ac:dyDescent="0.2">
      <c r="A1279" s="3" t="s">
        <v>16654</v>
      </c>
      <c r="B1279" s="3" t="s">
        <v>14359</v>
      </c>
      <c r="C1279" s="3" t="s">
        <v>3293</v>
      </c>
      <c r="D1279" s="3" t="s">
        <v>16470</v>
      </c>
      <c r="E1279" t="s">
        <v>3293</v>
      </c>
      <c r="F1279" t="s">
        <v>14360</v>
      </c>
      <c r="G1279" s="3"/>
      <c r="H1279" s="3"/>
    </row>
    <row r="1280" spans="1:8" hidden="1" x14ac:dyDescent="0.2">
      <c r="A1280" s="3" t="s">
        <v>16655</v>
      </c>
      <c r="B1280" s="3" t="s">
        <v>14359</v>
      </c>
      <c r="C1280" s="3" t="s">
        <v>3294</v>
      </c>
      <c r="D1280" s="3" t="s">
        <v>16470</v>
      </c>
      <c r="E1280" t="s">
        <v>3294</v>
      </c>
      <c r="F1280" t="s">
        <v>14360</v>
      </c>
      <c r="G1280" s="3"/>
      <c r="H1280" s="3"/>
    </row>
    <row r="1281" spans="1:8" hidden="1" x14ac:dyDescent="0.2">
      <c r="A1281" s="3" t="s">
        <v>16656</v>
      </c>
      <c r="B1281" s="3" t="s">
        <v>14359</v>
      </c>
      <c r="C1281" s="3" t="s">
        <v>3295</v>
      </c>
      <c r="D1281" s="3" t="s">
        <v>16470</v>
      </c>
      <c r="E1281" t="s">
        <v>3295</v>
      </c>
      <c r="F1281" t="s">
        <v>14360</v>
      </c>
      <c r="G1281" s="3"/>
      <c r="H1281" s="3"/>
    </row>
    <row r="1282" spans="1:8" hidden="1" x14ac:dyDescent="0.2">
      <c r="A1282" s="3" t="s">
        <v>16657</v>
      </c>
      <c r="B1282" s="3" t="s">
        <v>14359</v>
      </c>
      <c r="C1282" s="3" t="s">
        <v>3296</v>
      </c>
      <c r="D1282" s="3" t="s">
        <v>16470</v>
      </c>
      <c r="E1282" t="s">
        <v>3296</v>
      </c>
      <c r="F1282" t="s">
        <v>14360</v>
      </c>
      <c r="G1282" s="3"/>
      <c r="H1282" s="3"/>
    </row>
    <row r="1283" spans="1:8" hidden="1" x14ac:dyDescent="0.2">
      <c r="A1283" s="3" t="s">
        <v>16658</v>
      </c>
      <c r="B1283" s="3" t="s">
        <v>14359</v>
      </c>
      <c r="C1283" s="3" t="s">
        <v>3297</v>
      </c>
      <c r="D1283" s="3" t="s">
        <v>16470</v>
      </c>
      <c r="E1283" t="s">
        <v>3297</v>
      </c>
      <c r="F1283" t="s">
        <v>14360</v>
      </c>
      <c r="G1283" s="3"/>
      <c r="H1283" s="3"/>
    </row>
    <row r="1284" spans="1:8" hidden="1" x14ac:dyDescent="0.2">
      <c r="A1284" s="3" t="s">
        <v>16659</v>
      </c>
      <c r="B1284" s="3" t="s">
        <v>14359</v>
      </c>
      <c r="C1284" s="3" t="s">
        <v>3298</v>
      </c>
      <c r="D1284" s="3" t="s">
        <v>16470</v>
      </c>
      <c r="E1284" t="s">
        <v>3298</v>
      </c>
      <c r="F1284" t="s">
        <v>14360</v>
      </c>
      <c r="G1284" s="3"/>
      <c r="H1284" s="3"/>
    </row>
    <row r="1285" spans="1:8" hidden="1" x14ac:dyDescent="0.2">
      <c r="A1285" s="3" t="s">
        <v>16660</v>
      </c>
      <c r="B1285" s="3" t="s">
        <v>14359</v>
      </c>
      <c r="C1285" s="3" t="s">
        <v>3299</v>
      </c>
      <c r="D1285" s="3" t="s">
        <v>16470</v>
      </c>
      <c r="E1285" t="s">
        <v>3299</v>
      </c>
      <c r="F1285" t="s">
        <v>14360</v>
      </c>
      <c r="G1285" s="3"/>
      <c r="H1285" s="3"/>
    </row>
    <row r="1286" spans="1:8" hidden="1" x14ac:dyDescent="0.2">
      <c r="A1286" s="3" t="s">
        <v>16661</v>
      </c>
      <c r="B1286" s="3" t="s">
        <v>14359</v>
      </c>
      <c r="C1286" s="3" t="s">
        <v>3300</v>
      </c>
      <c r="D1286" s="3" t="s">
        <v>16470</v>
      </c>
      <c r="E1286" t="s">
        <v>3300</v>
      </c>
      <c r="F1286" t="s">
        <v>14360</v>
      </c>
      <c r="G1286" s="3"/>
      <c r="H1286" s="3"/>
    </row>
    <row r="1287" spans="1:8" hidden="1" x14ac:dyDescent="0.2">
      <c r="A1287" s="3" t="s">
        <v>16662</v>
      </c>
      <c r="B1287" s="3" t="s">
        <v>14359</v>
      </c>
      <c r="C1287" s="3" t="s">
        <v>3301</v>
      </c>
      <c r="D1287" s="3" t="s">
        <v>16470</v>
      </c>
      <c r="E1287" t="s">
        <v>3301</v>
      </c>
      <c r="F1287" t="s">
        <v>14360</v>
      </c>
      <c r="G1287" s="3"/>
      <c r="H1287" s="3"/>
    </row>
    <row r="1288" spans="1:8" hidden="1" x14ac:dyDescent="0.2">
      <c r="A1288" s="3" t="s">
        <v>16663</v>
      </c>
      <c r="B1288" s="3" t="s">
        <v>14359</v>
      </c>
      <c r="C1288" s="3" t="s">
        <v>3302</v>
      </c>
      <c r="D1288" s="3" t="s">
        <v>16470</v>
      </c>
      <c r="E1288" t="s">
        <v>3302</v>
      </c>
      <c r="F1288" t="s">
        <v>14360</v>
      </c>
      <c r="G1288" s="3"/>
      <c r="H1288" s="3"/>
    </row>
    <row r="1289" spans="1:8" hidden="1" x14ac:dyDescent="0.2">
      <c r="A1289" s="3" t="s">
        <v>16664</v>
      </c>
      <c r="B1289" s="3" t="s">
        <v>14359</v>
      </c>
      <c r="C1289" s="3" t="s">
        <v>3303</v>
      </c>
      <c r="D1289" s="3" t="s">
        <v>16470</v>
      </c>
      <c r="E1289" t="s">
        <v>3303</v>
      </c>
      <c r="F1289" t="s">
        <v>14360</v>
      </c>
      <c r="G1289" s="3"/>
      <c r="H1289" s="3"/>
    </row>
    <row r="1290" spans="1:8" hidden="1" x14ac:dyDescent="0.2">
      <c r="A1290" s="3" t="s">
        <v>16665</v>
      </c>
      <c r="B1290" s="3" t="s">
        <v>14359</v>
      </c>
      <c r="C1290" s="3" t="s">
        <v>3304</v>
      </c>
      <c r="D1290" s="3" t="s">
        <v>16470</v>
      </c>
      <c r="E1290" t="s">
        <v>3304</v>
      </c>
      <c r="F1290" t="s">
        <v>14360</v>
      </c>
      <c r="G1290" s="3"/>
      <c r="H1290" s="3"/>
    </row>
    <row r="1291" spans="1:8" hidden="1" x14ac:dyDescent="0.2">
      <c r="A1291" s="3" t="s">
        <v>16666</v>
      </c>
      <c r="B1291" s="3" t="s">
        <v>14359</v>
      </c>
      <c r="C1291" s="3" t="s">
        <v>3305</v>
      </c>
      <c r="D1291" s="3" t="s">
        <v>16470</v>
      </c>
      <c r="E1291" t="s">
        <v>3305</v>
      </c>
      <c r="F1291" t="s">
        <v>14360</v>
      </c>
      <c r="G1291" s="3"/>
      <c r="H1291" s="3"/>
    </row>
    <row r="1292" spans="1:8" hidden="1" x14ac:dyDescent="0.2">
      <c r="A1292" s="3" t="s">
        <v>16667</v>
      </c>
      <c r="B1292" s="3" t="s">
        <v>14359</v>
      </c>
      <c r="C1292" s="3" t="s">
        <v>3306</v>
      </c>
      <c r="D1292" s="3" t="s">
        <v>16470</v>
      </c>
      <c r="E1292" t="s">
        <v>3306</v>
      </c>
      <c r="F1292" t="s">
        <v>14360</v>
      </c>
      <c r="G1292" s="3"/>
      <c r="H1292" s="3"/>
    </row>
    <row r="1293" spans="1:8" hidden="1" x14ac:dyDescent="0.2">
      <c r="A1293" s="3" t="s">
        <v>16668</v>
      </c>
      <c r="B1293" s="3" t="s">
        <v>14359</v>
      </c>
      <c r="C1293" s="3" t="s">
        <v>3307</v>
      </c>
      <c r="D1293" s="3" t="s">
        <v>16470</v>
      </c>
      <c r="E1293" t="s">
        <v>3307</v>
      </c>
      <c r="F1293" t="s">
        <v>14360</v>
      </c>
      <c r="G1293" s="3"/>
      <c r="H1293" s="3"/>
    </row>
    <row r="1294" spans="1:8" hidden="1" x14ac:dyDescent="0.2">
      <c r="A1294" s="3" t="s">
        <v>16669</v>
      </c>
      <c r="B1294" s="3" t="s">
        <v>14359</v>
      </c>
      <c r="C1294" s="3" t="s">
        <v>3308</v>
      </c>
      <c r="D1294" s="3" t="s">
        <v>16470</v>
      </c>
      <c r="E1294" t="s">
        <v>3308</v>
      </c>
      <c r="F1294" t="s">
        <v>14360</v>
      </c>
      <c r="G1294" s="3"/>
      <c r="H1294" s="3"/>
    </row>
    <row r="1295" spans="1:8" hidden="1" x14ac:dyDescent="0.2">
      <c r="A1295" s="3" t="s">
        <v>16670</v>
      </c>
      <c r="B1295" s="3" t="s">
        <v>14359</v>
      </c>
      <c r="C1295" s="3" t="s">
        <v>3309</v>
      </c>
      <c r="D1295" s="3" t="s">
        <v>16470</v>
      </c>
      <c r="E1295" t="s">
        <v>3309</v>
      </c>
      <c r="F1295" t="s">
        <v>14360</v>
      </c>
      <c r="G1295" s="3"/>
      <c r="H1295" s="3"/>
    </row>
    <row r="1296" spans="1:8" hidden="1" x14ac:dyDescent="0.2">
      <c r="A1296" s="3" t="s">
        <v>16671</v>
      </c>
      <c r="B1296" s="3" t="s">
        <v>14359</v>
      </c>
      <c r="C1296" s="3" t="s">
        <v>3310</v>
      </c>
      <c r="D1296" s="3" t="s">
        <v>16470</v>
      </c>
      <c r="E1296" t="s">
        <v>3310</v>
      </c>
      <c r="F1296" t="s">
        <v>14360</v>
      </c>
      <c r="G1296" s="3"/>
      <c r="H1296" s="3"/>
    </row>
    <row r="1297" spans="1:8" hidden="1" x14ac:dyDescent="0.2">
      <c r="A1297" s="3" t="s">
        <v>16672</v>
      </c>
      <c r="B1297" s="3" t="s">
        <v>14359</v>
      </c>
      <c r="C1297" s="3" t="s">
        <v>3311</v>
      </c>
      <c r="D1297" s="3" t="s">
        <v>16470</v>
      </c>
      <c r="E1297" t="s">
        <v>3311</v>
      </c>
      <c r="F1297" t="s">
        <v>14360</v>
      </c>
      <c r="G1297" s="3"/>
      <c r="H1297" s="3"/>
    </row>
    <row r="1298" spans="1:8" hidden="1" x14ac:dyDescent="0.2">
      <c r="A1298" s="3" t="s">
        <v>16673</v>
      </c>
      <c r="B1298" s="3" t="s">
        <v>14359</v>
      </c>
      <c r="C1298" s="3" t="s">
        <v>3312</v>
      </c>
      <c r="D1298" s="3" t="s">
        <v>16470</v>
      </c>
      <c r="E1298" t="s">
        <v>3312</v>
      </c>
      <c r="F1298" t="s">
        <v>14360</v>
      </c>
      <c r="G1298" s="3"/>
      <c r="H1298" s="3"/>
    </row>
    <row r="1299" spans="1:8" hidden="1" x14ac:dyDescent="0.2">
      <c r="A1299" s="3" t="s">
        <v>16674</v>
      </c>
      <c r="B1299" s="3" t="s">
        <v>14359</v>
      </c>
      <c r="C1299" s="3" t="s">
        <v>3313</v>
      </c>
      <c r="D1299" s="3" t="s">
        <v>16470</v>
      </c>
      <c r="E1299" t="s">
        <v>3313</v>
      </c>
      <c r="F1299" t="s">
        <v>14360</v>
      </c>
      <c r="G1299" s="3"/>
      <c r="H1299" s="3"/>
    </row>
    <row r="1300" spans="1:8" hidden="1" x14ac:dyDescent="0.2">
      <c r="A1300" s="3" t="s">
        <v>16675</v>
      </c>
      <c r="B1300" s="3" t="s">
        <v>14359</v>
      </c>
      <c r="C1300" s="3" t="s">
        <v>3314</v>
      </c>
      <c r="D1300" s="3" t="s">
        <v>16470</v>
      </c>
      <c r="E1300" t="s">
        <v>3314</v>
      </c>
      <c r="F1300" t="s">
        <v>14360</v>
      </c>
      <c r="G1300" s="3"/>
      <c r="H1300" s="3"/>
    </row>
    <row r="1301" spans="1:8" hidden="1" x14ac:dyDescent="0.2">
      <c r="A1301" s="3" t="s">
        <v>16676</v>
      </c>
      <c r="B1301" s="3" t="s">
        <v>14359</v>
      </c>
      <c r="C1301" s="3" t="s">
        <v>3315</v>
      </c>
      <c r="D1301" s="3" t="s">
        <v>16470</v>
      </c>
      <c r="E1301" t="s">
        <v>3315</v>
      </c>
      <c r="F1301" t="s">
        <v>14360</v>
      </c>
      <c r="G1301" s="3"/>
      <c r="H1301" s="3"/>
    </row>
    <row r="1302" spans="1:8" hidden="1" x14ac:dyDescent="0.2">
      <c r="A1302" s="3" t="s">
        <v>16677</v>
      </c>
      <c r="B1302" s="3" t="s">
        <v>14359</v>
      </c>
      <c r="C1302" s="3" t="s">
        <v>3316</v>
      </c>
      <c r="D1302" s="3" t="s">
        <v>16470</v>
      </c>
      <c r="E1302" t="s">
        <v>3316</v>
      </c>
      <c r="F1302" t="s">
        <v>14360</v>
      </c>
      <c r="G1302" s="3"/>
      <c r="H1302" s="3"/>
    </row>
    <row r="1303" spans="1:8" hidden="1" x14ac:dyDescent="0.2">
      <c r="A1303" s="3" t="s">
        <v>16678</v>
      </c>
      <c r="B1303" s="3" t="s">
        <v>14359</v>
      </c>
      <c r="C1303" s="3" t="s">
        <v>3317</v>
      </c>
      <c r="D1303" s="3" t="s">
        <v>16470</v>
      </c>
      <c r="E1303" t="s">
        <v>3317</v>
      </c>
      <c r="F1303" t="s">
        <v>14360</v>
      </c>
      <c r="G1303" s="3"/>
      <c r="H1303" s="3"/>
    </row>
    <row r="1304" spans="1:8" hidden="1" x14ac:dyDescent="0.2">
      <c r="A1304" s="3" t="s">
        <v>16679</v>
      </c>
      <c r="B1304" s="3" t="s">
        <v>14359</v>
      </c>
      <c r="C1304" s="3" t="s">
        <v>3318</v>
      </c>
      <c r="D1304" s="3" t="s">
        <v>16470</v>
      </c>
      <c r="E1304" t="s">
        <v>3318</v>
      </c>
      <c r="F1304" t="s">
        <v>14360</v>
      </c>
      <c r="G1304" s="3"/>
      <c r="H1304" s="3"/>
    </row>
    <row r="1305" spans="1:8" hidden="1" x14ac:dyDescent="0.2">
      <c r="A1305" s="3" t="s">
        <v>16680</v>
      </c>
      <c r="B1305" s="3" t="s">
        <v>14359</v>
      </c>
      <c r="C1305" s="3" t="s">
        <v>3319</v>
      </c>
      <c r="D1305" s="3" t="s">
        <v>16470</v>
      </c>
      <c r="E1305" t="s">
        <v>3319</v>
      </c>
      <c r="F1305" t="s">
        <v>14360</v>
      </c>
      <c r="G1305" s="3"/>
      <c r="H1305" s="3"/>
    </row>
    <row r="1306" spans="1:8" hidden="1" x14ac:dyDescent="0.2">
      <c r="A1306" s="3" t="s">
        <v>16681</v>
      </c>
      <c r="B1306" s="3" t="s">
        <v>14359</v>
      </c>
      <c r="C1306" s="3" t="s">
        <v>3320</v>
      </c>
      <c r="D1306" s="3" t="s">
        <v>16470</v>
      </c>
      <c r="E1306" t="s">
        <v>3320</v>
      </c>
      <c r="F1306" t="s">
        <v>14360</v>
      </c>
      <c r="G1306" s="3"/>
      <c r="H1306" s="3"/>
    </row>
    <row r="1307" spans="1:8" hidden="1" x14ac:dyDescent="0.2">
      <c r="A1307" s="3" t="s">
        <v>16682</v>
      </c>
      <c r="B1307" s="3" t="s">
        <v>14359</v>
      </c>
      <c r="C1307" s="3" t="s">
        <v>3321</v>
      </c>
      <c r="D1307" s="3" t="s">
        <v>16470</v>
      </c>
      <c r="E1307" t="s">
        <v>3321</v>
      </c>
      <c r="F1307" t="s">
        <v>14360</v>
      </c>
      <c r="G1307" s="3"/>
      <c r="H1307" s="3"/>
    </row>
    <row r="1308" spans="1:8" hidden="1" x14ac:dyDescent="0.2">
      <c r="A1308" s="3" t="s">
        <v>16683</v>
      </c>
      <c r="B1308" s="3" t="s">
        <v>14359</v>
      </c>
      <c r="C1308" s="3" t="s">
        <v>3322</v>
      </c>
      <c r="D1308" s="3" t="s">
        <v>16470</v>
      </c>
      <c r="E1308" t="s">
        <v>3322</v>
      </c>
      <c r="F1308" t="s">
        <v>14360</v>
      </c>
      <c r="G1308" s="3"/>
      <c r="H1308" s="3"/>
    </row>
    <row r="1309" spans="1:8" hidden="1" x14ac:dyDescent="0.2">
      <c r="A1309" s="3" t="s">
        <v>16684</v>
      </c>
      <c r="B1309" s="3" t="s">
        <v>14359</v>
      </c>
      <c r="C1309" s="3" t="s">
        <v>3323</v>
      </c>
      <c r="D1309" s="3" t="s">
        <v>16470</v>
      </c>
      <c r="E1309" t="s">
        <v>3323</v>
      </c>
      <c r="F1309" t="s">
        <v>14360</v>
      </c>
      <c r="G1309" s="3"/>
      <c r="H1309" s="3"/>
    </row>
    <row r="1310" spans="1:8" hidden="1" x14ac:dyDescent="0.2">
      <c r="A1310" s="3" t="s">
        <v>16685</v>
      </c>
      <c r="B1310" s="3" t="s">
        <v>14359</v>
      </c>
      <c r="C1310" s="3" t="s">
        <v>3324</v>
      </c>
      <c r="D1310" s="3" t="s">
        <v>16470</v>
      </c>
      <c r="E1310" t="s">
        <v>3324</v>
      </c>
      <c r="F1310" t="s">
        <v>14360</v>
      </c>
      <c r="G1310" s="3"/>
      <c r="H1310" s="3"/>
    </row>
    <row r="1311" spans="1:8" hidden="1" x14ac:dyDescent="0.2">
      <c r="A1311" s="3" t="s">
        <v>16686</v>
      </c>
      <c r="B1311" s="3" t="s">
        <v>14359</v>
      </c>
      <c r="C1311" s="3" t="s">
        <v>3325</v>
      </c>
      <c r="D1311" s="3" t="s">
        <v>16470</v>
      </c>
      <c r="E1311" t="s">
        <v>3325</v>
      </c>
      <c r="F1311" t="s">
        <v>14360</v>
      </c>
      <c r="G1311" s="3"/>
      <c r="H1311" s="3"/>
    </row>
    <row r="1312" spans="1:8" hidden="1" x14ac:dyDescent="0.2">
      <c r="A1312" s="3" t="s">
        <v>16687</v>
      </c>
      <c r="B1312" s="3" t="s">
        <v>14359</v>
      </c>
      <c r="C1312" s="3" t="s">
        <v>3326</v>
      </c>
      <c r="D1312" s="3" t="s">
        <v>16470</v>
      </c>
      <c r="E1312" t="s">
        <v>3326</v>
      </c>
      <c r="F1312" t="s">
        <v>14360</v>
      </c>
      <c r="G1312" s="3"/>
      <c r="H1312" s="3"/>
    </row>
    <row r="1313" spans="1:8" hidden="1" x14ac:dyDescent="0.2">
      <c r="A1313" s="3" t="s">
        <v>16688</v>
      </c>
      <c r="B1313" s="3" t="s">
        <v>14359</v>
      </c>
      <c r="C1313" s="3" t="s">
        <v>3327</v>
      </c>
      <c r="D1313" s="3" t="s">
        <v>16470</v>
      </c>
      <c r="E1313" t="s">
        <v>3327</v>
      </c>
      <c r="F1313" t="s">
        <v>14360</v>
      </c>
      <c r="G1313" s="3"/>
      <c r="H1313" s="3"/>
    </row>
    <row r="1314" spans="1:8" hidden="1" x14ac:dyDescent="0.2">
      <c r="A1314" s="3" t="s">
        <v>16689</v>
      </c>
      <c r="B1314" s="3" t="s">
        <v>14359</v>
      </c>
      <c r="C1314" s="3" t="s">
        <v>3328</v>
      </c>
      <c r="D1314" s="3" t="s">
        <v>16470</v>
      </c>
      <c r="E1314" t="s">
        <v>3328</v>
      </c>
      <c r="F1314" t="s">
        <v>14360</v>
      </c>
      <c r="G1314" s="3"/>
      <c r="H1314" s="3"/>
    </row>
    <row r="1315" spans="1:8" hidden="1" x14ac:dyDescent="0.2">
      <c r="A1315" s="3" t="s">
        <v>16690</v>
      </c>
      <c r="B1315" s="3" t="s">
        <v>14359</v>
      </c>
      <c r="C1315" s="3" t="s">
        <v>3329</v>
      </c>
      <c r="D1315" s="3" t="s">
        <v>16470</v>
      </c>
      <c r="E1315" t="s">
        <v>3329</v>
      </c>
      <c r="F1315" t="s">
        <v>14360</v>
      </c>
      <c r="G1315" s="3"/>
      <c r="H1315" s="3"/>
    </row>
    <row r="1316" spans="1:8" hidden="1" x14ac:dyDescent="0.2">
      <c r="A1316" s="3" t="s">
        <v>16691</v>
      </c>
      <c r="B1316" s="3" t="s">
        <v>14359</v>
      </c>
      <c r="C1316" s="3" t="s">
        <v>3330</v>
      </c>
      <c r="D1316" s="3" t="s">
        <v>16470</v>
      </c>
      <c r="E1316" t="s">
        <v>3330</v>
      </c>
      <c r="F1316" t="s">
        <v>14360</v>
      </c>
      <c r="G1316" s="3"/>
      <c r="H1316" s="3"/>
    </row>
    <row r="1317" spans="1:8" hidden="1" x14ac:dyDescent="0.2">
      <c r="A1317" s="3" t="s">
        <v>16692</v>
      </c>
      <c r="B1317" s="3" t="s">
        <v>14359</v>
      </c>
      <c r="C1317" s="3" t="s">
        <v>3331</v>
      </c>
      <c r="D1317" s="3" t="s">
        <v>16470</v>
      </c>
      <c r="E1317" t="s">
        <v>3331</v>
      </c>
      <c r="F1317" t="s">
        <v>14360</v>
      </c>
      <c r="G1317" s="3"/>
      <c r="H1317" s="3"/>
    </row>
    <row r="1318" spans="1:8" hidden="1" x14ac:dyDescent="0.2">
      <c r="A1318" s="3" t="s">
        <v>16693</v>
      </c>
      <c r="B1318" s="3" t="s">
        <v>14359</v>
      </c>
      <c r="C1318" s="3" t="s">
        <v>3332</v>
      </c>
      <c r="D1318" s="3" t="s">
        <v>16470</v>
      </c>
      <c r="E1318" t="s">
        <v>3332</v>
      </c>
      <c r="F1318" t="s">
        <v>14360</v>
      </c>
      <c r="G1318" s="3"/>
      <c r="H1318" s="3"/>
    </row>
    <row r="1319" spans="1:8" hidden="1" x14ac:dyDescent="0.2">
      <c r="A1319" s="3" t="s">
        <v>16694</v>
      </c>
      <c r="B1319" s="3" t="s">
        <v>14359</v>
      </c>
      <c r="C1319" s="3" t="s">
        <v>3333</v>
      </c>
      <c r="D1319" s="3" t="s">
        <v>16470</v>
      </c>
      <c r="E1319" t="s">
        <v>3333</v>
      </c>
      <c r="F1319" t="s">
        <v>14360</v>
      </c>
      <c r="G1319" s="3"/>
      <c r="H1319" s="3"/>
    </row>
    <row r="1320" spans="1:8" hidden="1" x14ac:dyDescent="0.2">
      <c r="A1320" s="3" t="s">
        <v>16695</v>
      </c>
      <c r="B1320" s="3" t="s">
        <v>14359</v>
      </c>
      <c r="C1320" s="3" t="s">
        <v>3334</v>
      </c>
      <c r="D1320" s="3" t="s">
        <v>16470</v>
      </c>
      <c r="E1320" t="s">
        <v>3334</v>
      </c>
      <c r="F1320" t="s">
        <v>14360</v>
      </c>
      <c r="G1320" s="3"/>
      <c r="H1320" s="3"/>
    </row>
    <row r="1321" spans="1:8" hidden="1" x14ac:dyDescent="0.2">
      <c r="A1321" s="3" t="s">
        <v>16696</v>
      </c>
      <c r="B1321" s="3" t="s">
        <v>14359</v>
      </c>
      <c r="C1321" s="3" t="s">
        <v>3335</v>
      </c>
      <c r="D1321" s="3" t="s">
        <v>16470</v>
      </c>
      <c r="E1321" t="s">
        <v>3335</v>
      </c>
      <c r="F1321" t="s">
        <v>14360</v>
      </c>
      <c r="G1321" s="3"/>
      <c r="H1321" s="3"/>
    </row>
    <row r="1322" spans="1:8" hidden="1" x14ac:dyDescent="0.2">
      <c r="A1322" s="3" t="s">
        <v>16697</v>
      </c>
      <c r="B1322" s="3" t="s">
        <v>14359</v>
      </c>
      <c r="C1322" s="3" t="s">
        <v>3336</v>
      </c>
      <c r="D1322" s="3" t="s">
        <v>16470</v>
      </c>
      <c r="E1322" t="s">
        <v>3336</v>
      </c>
      <c r="F1322" t="s">
        <v>14360</v>
      </c>
      <c r="G1322" s="3"/>
      <c r="H1322" s="3"/>
    </row>
    <row r="1323" spans="1:8" hidden="1" x14ac:dyDescent="0.2">
      <c r="A1323" s="3" t="s">
        <v>16698</v>
      </c>
      <c r="B1323" s="3" t="s">
        <v>14359</v>
      </c>
      <c r="C1323" s="3" t="s">
        <v>3337</v>
      </c>
      <c r="D1323" s="3" t="s">
        <v>16470</v>
      </c>
      <c r="E1323" t="s">
        <v>3337</v>
      </c>
      <c r="F1323" t="s">
        <v>14360</v>
      </c>
      <c r="G1323" s="3"/>
      <c r="H1323" s="3"/>
    </row>
    <row r="1324" spans="1:8" hidden="1" x14ac:dyDescent="0.2">
      <c r="A1324" s="3" t="s">
        <v>16699</v>
      </c>
      <c r="B1324" s="3" t="s">
        <v>14359</v>
      </c>
      <c r="C1324" s="3" t="s">
        <v>3338</v>
      </c>
      <c r="D1324" s="3" t="s">
        <v>16470</v>
      </c>
      <c r="E1324" t="s">
        <v>3338</v>
      </c>
      <c r="F1324" t="s">
        <v>14360</v>
      </c>
      <c r="G1324" s="3"/>
      <c r="H1324" s="3"/>
    </row>
    <row r="1325" spans="1:8" hidden="1" x14ac:dyDescent="0.2">
      <c r="A1325" s="3" t="s">
        <v>16700</v>
      </c>
      <c r="B1325" s="3" t="s">
        <v>14359</v>
      </c>
      <c r="C1325" s="3" t="s">
        <v>3339</v>
      </c>
      <c r="D1325" s="3" t="s">
        <v>16470</v>
      </c>
      <c r="E1325" t="s">
        <v>3339</v>
      </c>
      <c r="F1325" t="s">
        <v>14360</v>
      </c>
      <c r="G1325" s="3"/>
      <c r="H1325" s="3"/>
    </row>
    <row r="1326" spans="1:8" hidden="1" x14ac:dyDescent="0.2">
      <c r="A1326" s="3" t="s">
        <v>16701</v>
      </c>
      <c r="B1326" s="3" t="s">
        <v>14359</v>
      </c>
      <c r="C1326" s="3" t="s">
        <v>3340</v>
      </c>
      <c r="D1326" s="3" t="s">
        <v>16470</v>
      </c>
      <c r="E1326" t="s">
        <v>3340</v>
      </c>
      <c r="F1326" t="s">
        <v>14360</v>
      </c>
      <c r="G1326" s="3"/>
      <c r="H1326" s="3"/>
    </row>
    <row r="1327" spans="1:8" hidden="1" x14ac:dyDescent="0.2">
      <c r="A1327" s="3" t="s">
        <v>16702</v>
      </c>
      <c r="B1327" s="3" t="s">
        <v>14359</v>
      </c>
      <c r="C1327" s="3" t="s">
        <v>3341</v>
      </c>
      <c r="D1327" s="3" t="s">
        <v>16470</v>
      </c>
      <c r="E1327" t="s">
        <v>3341</v>
      </c>
      <c r="F1327" t="s">
        <v>14360</v>
      </c>
      <c r="G1327" s="3"/>
      <c r="H1327" s="3"/>
    </row>
    <row r="1328" spans="1:8" hidden="1" x14ac:dyDescent="0.2">
      <c r="A1328" s="3" t="s">
        <v>16703</v>
      </c>
      <c r="B1328" s="3" t="s">
        <v>14359</v>
      </c>
      <c r="C1328" s="3" t="s">
        <v>3342</v>
      </c>
      <c r="D1328" s="3" t="s">
        <v>16470</v>
      </c>
      <c r="E1328" t="s">
        <v>3342</v>
      </c>
      <c r="F1328" t="s">
        <v>14360</v>
      </c>
      <c r="G1328" s="3"/>
      <c r="H1328" s="3"/>
    </row>
    <row r="1329" spans="1:8" hidden="1" x14ac:dyDescent="0.2">
      <c r="A1329" s="3" t="s">
        <v>16704</v>
      </c>
      <c r="B1329" s="3" t="s">
        <v>14359</v>
      </c>
      <c r="C1329" s="3" t="s">
        <v>3343</v>
      </c>
      <c r="D1329" s="3" t="s">
        <v>16470</v>
      </c>
      <c r="E1329" t="s">
        <v>3343</v>
      </c>
      <c r="F1329" t="s">
        <v>14360</v>
      </c>
      <c r="G1329" s="3"/>
      <c r="H1329" s="3"/>
    </row>
    <row r="1330" spans="1:8" hidden="1" x14ac:dyDescent="0.2">
      <c r="A1330" s="3" t="s">
        <v>16705</v>
      </c>
      <c r="B1330" s="3" t="s">
        <v>14359</v>
      </c>
      <c r="C1330" s="3" t="s">
        <v>3344</v>
      </c>
      <c r="D1330" s="3" t="s">
        <v>16470</v>
      </c>
      <c r="E1330" t="s">
        <v>3344</v>
      </c>
      <c r="F1330" t="s">
        <v>14360</v>
      </c>
      <c r="G1330" s="3"/>
      <c r="H1330" s="3"/>
    </row>
    <row r="1331" spans="1:8" hidden="1" x14ac:dyDescent="0.2">
      <c r="A1331" s="3" t="s">
        <v>16706</v>
      </c>
      <c r="B1331" s="3" t="s">
        <v>14359</v>
      </c>
      <c r="C1331" s="3" t="s">
        <v>3345</v>
      </c>
      <c r="D1331" s="3" t="s">
        <v>16470</v>
      </c>
      <c r="E1331" t="s">
        <v>3345</v>
      </c>
      <c r="F1331" t="s">
        <v>14360</v>
      </c>
      <c r="G1331" s="3"/>
      <c r="H1331" s="3"/>
    </row>
    <row r="1332" spans="1:8" hidden="1" x14ac:dyDescent="0.2">
      <c r="A1332" s="3" t="s">
        <v>16707</v>
      </c>
      <c r="B1332" s="3" t="s">
        <v>14359</v>
      </c>
      <c r="C1332" s="3" t="s">
        <v>3346</v>
      </c>
      <c r="D1332" s="3" t="s">
        <v>16470</v>
      </c>
      <c r="E1332" t="s">
        <v>3346</v>
      </c>
      <c r="F1332" t="s">
        <v>14360</v>
      </c>
      <c r="G1332" s="3"/>
      <c r="H1332" s="3"/>
    </row>
    <row r="1333" spans="1:8" hidden="1" x14ac:dyDescent="0.2">
      <c r="A1333" s="3" t="s">
        <v>16708</v>
      </c>
      <c r="B1333" s="3" t="s">
        <v>14359</v>
      </c>
      <c r="C1333" s="3" t="s">
        <v>3347</v>
      </c>
      <c r="D1333" s="3" t="s">
        <v>16470</v>
      </c>
      <c r="E1333" t="s">
        <v>3347</v>
      </c>
      <c r="F1333" t="s">
        <v>14360</v>
      </c>
      <c r="G1333" s="3"/>
      <c r="H1333" s="3"/>
    </row>
    <row r="1334" spans="1:8" hidden="1" x14ac:dyDescent="0.2">
      <c r="A1334" s="3" t="s">
        <v>16709</v>
      </c>
      <c r="B1334" s="3" t="s">
        <v>14359</v>
      </c>
      <c r="C1334" s="3" t="s">
        <v>3348</v>
      </c>
      <c r="D1334" s="3" t="s">
        <v>16470</v>
      </c>
      <c r="E1334" t="s">
        <v>3348</v>
      </c>
      <c r="F1334" t="s">
        <v>14360</v>
      </c>
      <c r="G1334" s="3"/>
      <c r="H1334" s="3"/>
    </row>
    <row r="1335" spans="1:8" hidden="1" x14ac:dyDescent="0.2">
      <c r="A1335" s="3" t="s">
        <v>16710</v>
      </c>
      <c r="B1335" s="3" t="s">
        <v>14359</v>
      </c>
      <c r="C1335" s="3" t="s">
        <v>3349</v>
      </c>
      <c r="D1335" s="3" t="s">
        <v>16470</v>
      </c>
      <c r="E1335" t="s">
        <v>3349</v>
      </c>
      <c r="F1335" t="s">
        <v>14360</v>
      </c>
      <c r="G1335" s="3"/>
      <c r="H1335" s="3"/>
    </row>
    <row r="1336" spans="1:8" hidden="1" x14ac:dyDescent="0.2">
      <c r="A1336" s="3" t="s">
        <v>16711</v>
      </c>
      <c r="B1336" s="3" t="s">
        <v>14359</v>
      </c>
      <c r="C1336" s="3" t="s">
        <v>3350</v>
      </c>
      <c r="D1336" s="3" t="s">
        <v>16712</v>
      </c>
      <c r="E1336" t="s">
        <v>3350</v>
      </c>
      <c r="F1336" t="s">
        <v>14360</v>
      </c>
      <c r="G1336" s="3"/>
      <c r="H1336" s="3"/>
    </row>
    <row r="1337" spans="1:8" hidden="1" x14ac:dyDescent="0.2">
      <c r="A1337" s="3" t="s">
        <v>16713</v>
      </c>
      <c r="B1337" s="3" t="s">
        <v>14359</v>
      </c>
      <c r="C1337" s="3" t="s">
        <v>3351</v>
      </c>
      <c r="D1337" s="3" t="s">
        <v>16470</v>
      </c>
      <c r="E1337" t="s">
        <v>3351</v>
      </c>
      <c r="F1337" t="s">
        <v>14360</v>
      </c>
      <c r="G1337" s="3"/>
      <c r="H1337" s="3"/>
    </row>
    <row r="1338" spans="1:8" hidden="1" x14ac:dyDescent="0.2">
      <c r="A1338" s="3" t="s">
        <v>16714</v>
      </c>
      <c r="B1338" s="3" t="s">
        <v>14359</v>
      </c>
      <c r="C1338" s="3" t="s">
        <v>3352</v>
      </c>
      <c r="D1338" s="3" t="s">
        <v>16470</v>
      </c>
      <c r="E1338" t="s">
        <v>3352</v>
      </c>
      <c r="F1338" t="s">
        <v>14360</v>
      </c>
      <c r="G1338" s="3"/>
      <c r="H1338" s="3"/>
    </row>
    <row r="1339" spans="1:8" hidden="1" x14ac:dyDescent="0.2">
      <c r="A1339" s="3" t="s">
        <v>16715</v>
      </c>
      <c r="B1339" s="3" t="s">
        <v>14359</v>
      </c>
      <c r="C1339" s="3" t="s">
        <v>3353</v>
      </c>
      <c r="D1339" s="3" t="s">
        <v>16470</v>
      </c>
      <c r="E1339" t="s">
        <v>3353</v>
      </c>
      <c r="F1339" t="s">
        <v>14360</v>
      </c>
      <c r="G1339" s="3"/>
      <c r="H1339" s="3"/>
    </row>
    <row r="1340" spans="1:8" hidden="1" x14ac:dyDescent="0.2">
      <c r="A1340" s="3" t="s">
        <v>16716</v>
      </c>
      <c r="B1340" s="3" t="s">
        <v>14359</v>
      </c>
      <c r="C1340" s="3" t="s">
        <v>3354</v>
      </c>
      <c r="D1340" s="3" t="s">
        <v>16470</v>
      </c>
      <c r="E1340" t="s">
        <v>3354</v>
      </c>
      <c r="F1340" t="s">
        <v>14360</v>
      </c>
      <c r="G1340" s="3"/>
      <c r="H1340" s="3"/>
    </row>
    <row r="1341" spans="1:8" hidden="1" x14ac:dyDescent="0.2">
      <c r="A1341" s="3" t="s">
        <v>16717</v>
      </c>
      <c r="B1341" s="3" t="s">
        <v>14359</v>
      </c>
      <c r="C1341" s="3" t="s">
        <v>3355</v>
      </c>
      <c r="D1341" s="3" t="s">
        <v>16470</v>
      </c>
      <c r="E1341" t="s">
        <v>3355</v>
      </c>
      <c r="F1341" t="s">
        <v>14360</v>
      </c>
      <c r="G1341" s="3"/>
      <c r="H1341" s="3"/>
    </row>
    <row r="1342" spans="1:8" hidden="1" x14ac:dyDescent="0.2">
      <c r="A1342" s="3" t="s">
        <v>16718</v>
      </c>
      <c r="B1342" s="3" t="s">
        <v>14359</v>
      </c>
      <c r="C1342" s="3" t="s">
        <v>3356</v>
      </c>
      <c r="D1342" s="3" t="s">
        <v>16470</v>
      </c>
      <c r="E1342" t="s">
        <v>3356</v>
      </c>
      <c r="F1342" t="s">
        <v>14360</v>
      </c>
      <c r="G1342" s="3"/>
      <c r="H1342" s="3"/>
    </row>
    <row r="1343" spans="1:8" hidden="1" x14ac:dyDescent="0.2">
      <c r="A1343" s="3" t="s">
        <v>16719</v>
      </c>
      <c r="B1343" s="3" t="s">
        <v>14359</v>
      </c>
      <c r="C1343" s="3" t="s">
        <v>3357</v>
      </c>
      <c r="D1343" s="3" t="s">
        <v>16470</v>
      </c>
      <c r="E1343" t="s">
        <v>3357</v>
      </c>
      <c r="F1343" t="s">
        <v>14360</v>
      </c>
      <c r="G1343" s="3"/>
      <c r="H1343" s="3"/>
    </row>
    <row r="1344" spans="1:8" hidden="1" x14ac:dyDescent="0.2">
      <c r="A1344" s="3" t="s">
        <v>16720</v>
      </c>
      <c r="B1344" s="3" t="s">
        <v>14359</v>
      </c>
      <c r="C1344" s="3" t="s">
        <v>3358</v>
      </c>
      <c r="D1344" s="3" t="s">
        <v>16470</v>
      </c>
      <c r="E1344" t="s">
        <v>3358</v>
      </c>
      <c r="F1344" t="s">
        <v>14360</v>
      </c>
      <c r="G1344" s="3"/>
      <c r="H1344" s="3"/>
    </row>
    <row r="1345" spans="1:8" hidden="1" x14ac:dyDescent="0.2">
      <c r="A1345" s="3" t="s">
        <v>16721</v>
      </c>
      <c r="B1345" s="3" t="s">
        <v>14359</v>
      </c>
      <c r="C1345" s="3" t="s">
        <v>3359</v>
      </c>
      <c r="D1345" s="3" t="s">
        <v>16470</v>
      </c>
      <c r="E1345" t="s">
        <v>3359</v>
      </c>
      <c r="F1345" t="s">
        <v>14360</v>
      </c>
      <c r="G1345" s="3"/>
      <c r="H1345" s="3"/>
    </row>
    <row r="1346" spans="1:8" hidden="1" x14ac:dyDescent="0.2">
      <c r="A1346" s="3" t="s">
        <v>16722</v>
      </c>
      <c r="B1346" s="3" t="s">
        <v>14359</v>
      </c>
      <c r="C1346" s="3" t="s">
        <v>3360</v>
      </c>
      <c r="D1346" s="3" t="s">
        <v>16470</v>
      </c>
      <c r="E1346" t="s">
        <v>3360</v>
      </c>
      <c r="F1346" t="s">
        <v>14360</v>
      </c>
      <c r="G1346" s="3"/>
      <c r="H1346" s="3"/>
    </row>
    <row r="1347" spans="1:8" hidden="1" x14ac:dyDescent="0.2">
      <c r="A1347" s="3" t="s">
        <v>16723</v>
      </c>
      <c r="B1347" s="3" t="s">
        <v>14359</v>
      </c>
      <c r="C1347" s="3" t="s">
        <v>3361</v>
      </c>
      <c r="D1347" s="3" t="s">
        <v>16470</v>
      </c>
      <c r="E1347" t="s">
        <v>3361</v>
      </c>
      <c r="F1347" t="s">
        <v>14360</v>
      </c>
      <c r="G1347" s="3"/>
      <c r="H1347" s="3"/>
    </row>
    <row r="1348" spans="1:8" hidden="1" x14ac:dyDescent="0.2">
      <c r="A1348" s="3" t="s">
        <v>16724</v>
      </c>
      <c r="B1348" s="3" t="s">
        <v>14359</v>
      </c>
      <c r="C1348" s="3" t="s">
        <v>3362</v>
      </c>
      <c r="D1348" s="3" t="s">
        <v>16470</v>
      </c>
      <c r="E1348" t="s">
        <v>3362</v>
      </c>
      <c r="F1348" t="s">
        <v>14360</v>
      </c>
      <c r="G1348" s="3"/>
      <c r="H1348" s="3"/>
    </row>
    <row r="1349" spans="1:8" hidden="1" x14ac:dyDescent="0.2">
      <c r="A1349" s="3" t="s">
        <v>16725</v>
      </c>
      <c r="B1349" s="3" t="s">
        <v>14359</v>
      </c>
      <c r="C1349" s="3" t="s">
        <v>3363</v>
      </c>
      <c r="D1349" s="3" t="s">
        <v>16470</v>
      </c>
      <c r="E1349" t="s">
        <v>3363</v>
      </c>
      <c r="F1349" t="s">
        <v>14360</v>
      </c>
      <c r="G1349" s="3"/>
      <c r="H1349" s="3"/>
    </row>
    <row r="1350" spans="1:8" hidden="1" x14ac:dyDescent="0.2">
      <c r="A1350" s="3" t="s">
        <v>16726</v>
      </c>
      <c r="B1350" s="3" t="s">
        <v>14359</v>
      </c>
      <c r="C1350" s="3" t="s">
        <v>3364</v>
      </c>
      <c r="D1350" s="3" t="s">
        <v>16470</v>
      </c>
      <c r="E1350" t="s">
        <v>3364</v>
      </c>
      <c r="F1350" t="s">
        <v>14360</v>
      </c>
      <c r="G1350" s="3"/>
      <c r="H1350" s="3"/>
    </row>
    <row r="1351" spans="1:8" hidden="1" x14ac:dyDescent="0.2">
      <c r="A1351" s="3" t="s">
        <v>16727</v>
      </c>
      <c r="B1351" s="3" t="s">
        <v>14359</v>
      </c>
      <c r="C1351" s="3" t="s">
        <v>3365</v>
      </c>
      <c r="D1351" s="3" t="s">
        <v>16470</v>
      </c>
      <c r="E1351" t="s">
        <v>3365</v>
      </c>
      <c r="F1351" t="s">
        <v>14360</v>
      </c>
      <c r="G1351" s="3"/>
      <c r="H1351" s="3"/>
    </row>
    <row r="1352" spans="1:8" hidden="1" x14ac:dyDescent="0.2">
      <c r="A1352" s="3" t="s">
        <v>16728</v>
      </c>
      <c r="B1352" s="3" t="s">
        <v>14359</v>
      </c>
      <c r="C1352" s="3" t="s">
        <v>3366</v>
      </c>
      <c r="D1352" s="3" t="s">
        <v>16470</v>
      </c>
      <c r="E1352" t="s">
        <v>3366</v>
      </c>
      <c r="F1352" t="s">
        <v>14360</v>
      </c>
      <c r="G1352" s="3"/>
      <c r="H1352" s="3"/>
    </row>
    <row r="1353" spans="1:8" hidden="1" x14ac:dyDescent="0.2">
      <c r="A1353" s="3" t="s">
        <v>16729</v>
      </c>
      <c r="B1353" s="3" t="s">
        <v>14359</v>
      </c>
      <c r="C1353" s="3" t="s">
        <v>3367</v>
      </c>
      <c r="D1353" s="3" t="s">
        <v>16470</v>
      </c>
      <c r="E1353" t="s">
        <v>3367</v>
      </c>
      <c r="F1353" t="s">
        <v>14360</v>
      </c>
      <c r="G1353" s="3"/>
      <c r="H1353" s="3"/>
    </row>
    <row r="1354" spans="1:8" hidden="1" x14ac:dyDescent="0.2">
      <c r="A1354" s="3" t="s">
        <v>16730</v>
      </c>
      <c r="B1354" s="3" t="s">
        <v>14359</v>
      </c>
      <c r="C1354" s="3" t="s">
        <v>3368</v>
      </c>
      <c r="D1354" s="3" t="s">
        <v>16470</v>
      </c>
      <c r="E1354" t="s">
        <v>3368</v>
      </c>
      <c r="F1354" t="s">
        <v>14360</v>
      </c>
      <c r="G1354" s="3"/>
      <c r="H1354" s="3"/>
    </row>
    <row r="1355" spans="1:8" hidden="1" x14ac:dyDescent="0.2">
      <c r="A1355" s="3" t="s">
        <v>16731</v>
      </c>
      <c r="B1355" s="3" t="s">
        <v>14359</v>
      </c>
      <c r="C1355" s="3" t="s">
        <v>3369</v>
      </c>
      <c r="D1355" s="3" t="s">
        <v>16470</v>
      </c>
      <c r="E1355" t="s">
        <v>3369</v>
      </c>
      <c r="F1355" t="s">
        <v>14360</v>
      </c>
      <c r="G1355" s="3"/>
      <c r="H1355" s="3"/>
    </row>
    <row r="1356" spans="1:8" hidden="1" x14ac:dyDescent="0.2">
      <c r="A1356" s="3" t="s">
        <v>16732</v>
      </c>
      <c r="B1356" s="3" t="s">
        <v>14359</v>
      </c>
      <c r="C1356" s="3" t="s">
        <v>3370</v>
      </c>
      <c r="D1356" s="3" t="s">
        <v>16470</v>
      </c>
      <c r="E1356" t="s">
        <v>3370</v>
      </c>
      <c r="F1356" t="s">
        <v>14360</v>
      </c>
      <c r="G1356" s="3"/>
      <c r="H1356" s="3"/>
    </row>
    <row r="1357" spans="1:8" hidden="1" x14ac:dyDescent="0.2">
      <c r="A1357" s="3" t="s">
        <v>16733</v>
      </c>
      <c r="B1357" s="3" t="s">
        <v>14359</v>
      </c>
      <c r="C1357" s="3" t="s">
        <v>3371</v>
      </c>
      <c r="D1357" s="3" t="s">
        <v>16470</v>
      </c>
      <c r="E1357" t="s">
        <v>3371</v>
      </c>
      <c r="F1357" t="s">
        <v>14360</v>
      </c>
      <c r="G1357" s="3"/>
      <c r="H1357" s="3"/>
    </row>
    <row r="1358" spans="1:8" hidden="1" x14ac:dyDescent="0.2">
      <c r="A1358" s="3" t="s">
        <v>16734</v>
      </c>
      <c r="B1358" s="3" t="s">
        <v>14359</v>
      </c>
      <c r="C1358" s="3" t="s">
        <v>3372</v>
      </c>
      <c r="D1358" s="3" t="s">
        <v>16470</v>
      </c>
      <c r="E1358" t="s">
        <v>3372</v>
      </c>
      <c r="F1358" t="s">
        <v>14360</v>
      </c>
      <c r="G1358" s="3"/>
      <c r="H1358" s="3"/>
    </row>
    <row r="1359" spans="1:8" hidden="1" x14ac:dyDescent="0.2">
      <c r="A1359" s="3" t="s">
        <v>16735</v>
      </c>
      <c r="B1359" s="3" t="s">
        <v>14359</v>
      </c>
      <c r="C1359" s="3" t="s">
        <v>3373</v>
      </c>
      <c r="D1359" s="3" t="s">
        <v>16470</v>
      </c>
      <c r="E1359" t="s">
        <v>3373</v>
      </c>
      <c r="F1359" t="s">
        <v>14360</v>
      </c>
      <c r="G1359" s="3"/>
      <c r="H1359" s="3"/>
    </row>
    <row r="1360" spans="1:8" hidden="1" x14ac:dyDescent="0.2">
      <c r="A1360" s="3" t="s">
        <v>16736</v>
      </c>
      <c r="B1360" s="3" t="s">
        <v>14359</v>
      </c>
      <c r="C1360" s="3" t="s">
        <v>3374</v>
      </c>
      <c r="D1360" s="3" t="s">
        <v>16470</v>
      </c>
      <c r="E1360" t="s">
        <v>3374</v>
      </c>
      <c r="F1360" t="s">
        <v>14360</v>
      </c>
      <c r="G1360" s="3"/>
      <c r="H1360" s="3"/>
    </row>
    <row r="1361" spans="1:8" hidden="1" x14ac:dyDescent="0.2">
      <c r="A1361" s="3" t="s">
        <v>16737</v>
      </c>
      <c r="B1361" s="3" t="s">
        <v>14359</v>
      </c>
      <c r="C1361" s="3" t="s">
        <v>3375</v>
      </c>
      <c r="D1361" s="3" t="s">
        <v>16470</v>
      </c>
      <c r="E1361" t="s">
        <v>3375</v>
      </c>
      <c r="F1361" t="s">
        <v>14360</v>
      </c>
      <c r="G1361" s="3"/>
      <c r="H1361" s="3"/>
    </row>
    <row r="1362" spans="1:8" hidden="1" x14ac:dyDescent="0.2">
      <c r="A1362" s="3" t="s">
        <v>16738</v>
      </c>
      <c r="B1362" s="3" t="s">
        <v>14359</v>
      </c>
      <c r="C1362" s="3" t="s">
        <v>3376</v>
      </c>
      <c r="D1362" s="3" t="s">
        <v>16470</v>
      </c>
      <c r="E1362" t="s">
        <v>3376</v>
      </c>
      <c r="F1362" t="s">
        <v>14360</v>
      </c>
      <c r="G1362" s="3"/>
      <c r="H1362" s="3"/>
    </row>
    <row r="1363" spans="1:8" hidden="1" x14ac:dyDescent="0.2">
      <c r="A1363" s="3" t="s">
        <v>16739</v>
      </c>
      <c r="B1363" s="3" t="s">
        <v>14359</v>
      </c>
      <c r="C1363" s="3" t="s">
        <v>3377</v>
      </c>
      <c r="D1363" s="3" t="s">
        <v>16470</v>
      </c>
      <c r="E1363" t="s">
        <v>3377</v>
      </c>
      <c r="F1363" t="s">
        <v>14360</v>
      </c>
      <c r="G1363" s="3"/>
      <c r="H1363" s="3"/>
    </row>
    <row r="1364" spans="1:8" hidden="1" x14ac:dyDescent="0.2">
      <c r="A1364" s="3" t="s">
        <v>16740</v>
      </c>
      <c r="B1364" s="3" t="s">
        <v>14359</v>
      </c>
      <c r="C1364" s="3" t="s">
        <v>3378</v>
      </c>
      <c r="D1364" s="3" t="s">
        <v>16470</v>
      </c>
      <c r="E1364" t="s">
        <v>3378</v>
      </c>
      <c r="F1364" t="s">
        <v>14360</v>
      </c>
      <c r="G1364" s="3"/>
      <c r="H1364" s="3"/>
    </row>
    <row r="1365" spans="1:8" hidden="1" x14ac:dyDescent="0.2">
      <c r="A1365" s="3" t="s">
        <v>16741</v>
      </c>
      <c r="B1365" s="3" t="s">
        <v>14359</v>
      </c>
      <c r="C1365" s="3" t="s">
        <v>3379</v>
      </c>
      <c r="D1365" s="3" t="s">
        <v>16470</v>
      </c>
      <c r="E1365" t="s">
        <v>3379</v>
      </c>
      <c r="F1365" t="s">
        <v>14360</v>
      </c>
      <c r="G1365" s="3"/>
      <c r="H1365" s="3"/>
    </row>
    <row r="1366" spans="1:8" hidden="1" x14ac:dyDescent="0.2">
      <c r="A1366" s="3" t="s">
        <v>16742</v>
      </c>
      <c r="B1366" s="3" t="s">
        <v>14359</v>
      </c>
      <c r="C1366" s="3" t="s">
        <v>3380</v>
      </c>
      <c r="D1366" s="3" t="s">
        <v>16470</v>
      </c>
      <c r="E1366" t="s">
        <v>3380</v>
      </c>
      <c r="F1366" t="s">
        <v>14360</v>
      </c>
      <c r="G1366" s="3"/>
      <c r="H1366" s="3"/>
    </row>
    <row r="1367" spans="1:8" hidden="1" x14ac:dyDescent="0.2">
      <c r="A1367" s="3" t="s">
        <v>16743</v>
      </c>
      <c r="B1367" s="3" t="s">
        <v>14359</v>
      </c>
      <c r="C1367" s="3" t="s">
        <v>3381</v>
      </c>
      <c r="D1367" s="3" t="s">
        <v>16470</v>
      </c>
      <c r="E1367" t="s">
        <v>3381</v>
      </c>
      <c r="F1367" t="s">
        <v>14360</v>
      </c>
      <c r="G1367" s="3"/>
      <c r="H1367" s="3"/>
    </row>
    <row r="1368" spans="1:8" hidden="1" x14ac:dyDescent="0.2">
      <c r="A1368" s="3" t="s">
        <v>16744</v>
      </c>
      <c r="B1368" s="3" t="s">
        <v>14359</v>
      </c>
      <c r="C1368" s="3" t="s">
        <v>3382</v>
      </c>
      <c r="D1368" s="3" t="s">
        <v>16470</v>
      </c>
      <c r="E1368" t="s">
        <v>3382</v>
      </c>
      <c r="F1368" t="s">
        <v>14360</v>
      </c>
      <c r="G1368" s="3"/>
      <c r="H1368" s="3"/>
    </row>
    <row r="1369" spans="1:8" hidden="1" x14ac:dyDescent="0.2">
      <c r="A1369" s="3" t="s">
        <v>16745</v>
      </c>
      <c r="B1369" s="3" t="s">
        <v>14359</v>
      </c>
      <c r="C1369" s="3" t="s">
        <v>3383</v>
      </c>
      <c r="D1369" s="3" t="s">
        <v>16470</v>
      </c>
      <c r="E1369" t="s">
        <v>3383</v>
      </c>
      <c r="F1369" t="s">
        <v>14360</v>
      </c>
      <c r="G1369" s="3"/>
      <c r="H1369" s="3"/>
    </row>
    <row r="1370" spans="1:8" hidden="1" x14ac:dyDescent="0.2">
      <c r="A1370" s="3" t="s">
        <v>16746</v>
      </c>
      <c r="B1370" s="3" t="s">
        <v>14359</v>
      </c>
      <c r="C1370" s="3" t="s">
        <v>3384</v>
      </c>
      <c r="D1370" s="3" t="s">
        <v>16470</v>
      </c>
      <c r="E1370" t="s">
        <v>3384</v>
      </c>
      <c r="F1370" t="s">
        <v>14360</v>
      </c>
      <c r="G1370" s="3"/>
      <c r="H1370" s="3"/>
    </row>
    <row r="1371" spans="1:8" hidden="1" x14ac:dyDescent="0.2">
      <c r="A1371" s="3" t="s">
        <v>16747</v>
      </c>
      <c r="B1371" s="3" t="s">
        <v>14359</v>
      </c>
      <c r="C1371" s="3" t="s">
        <v>3385</v>
      </c>
      <c r="D1371" s="3" t="s">
        <v>16470</v>
      </c>
      <c r="E1371" t="s">
        <v>3385</v>
      </c>
      <c r="F1371" t="s">
        <v>14360</v>
      </c>
      <c r="G1371" s="3"/>
      <c r="H1371" s="3"/>
    </row>
    <row r="1372" spans="1:8" hidden="1" x14ac:dyDescent="0.2">
      <c r="A1372" s="3" t="s">
        <v>16748</v>
      </c>
      <c r="B1372" s="3" t="s">
        <v>14359</v>
      </c>
      <c r="C1372" s="3" t="s">
        <v>3386</v>
      </c>
      <c r="D1372" s="3" t="s">
        <v>16470</v>
      </c>
      <c r="E1372" t="s">
        <v>3386</v>
      </c>
      <c r="F1372" t="s">
        <v>14360</v>
      </c>
      <c r="G1372" s="3"/>
      <c r="H1372" s="3"/>
    </row>
    <row r="1373" spans="1:8" hidden="1" x14ac:dyDescent="0.2">
      <c r="A1373" s="3" t="s">
        <v>16749</v>
      </c>
      <c r="B1373" s="3" t="s">
        <v>14359</v>
      </c>
      <c r="C1373" s="3" t="s">
        <v>3387</v>
      </c>
      <c r="D1373" s="3" t="s">
        <v>16470</v>
      </c>
      <c r="E1373" t="s">
        <v>3387</v>
      </c>
      <c r="F1373" t="s">
        <v>14360</v>
      </c>
      <c r="G1373" s="3"/>
      <c r="H1373" s="3"/>
    </row>
    <row r="1374" spans="1:8" hidden="1" x14ac:dyDescent="0.2">
      <c r="A1374" s="3" t="s">
        <v>16750</v>
      </c>
      <c r="B1374" s="3" t="s">
        <v>14359</v>
      </c>
      <c r="C1374" s="3" t="s">
        <v>3388</v>
      </c>
      <c r="D1374" s="3" t="s">
        <v>16470</v>
      </c>
      <c r="E1374" t="s">
        <v>3388</v>
      </c>
      <c r="F1374" t="s">
        <v>14360</v>
      </c>
      <c r="G1374" s="3"/>
      <c r="H1374" s="3"/>
    </row>
    <row r="1375" spans="1:8" hidden="1" x14ac:dyDescent="0.2">
      <c r="A1375" s="3" t="s">
        <v>16751</v>
      </c>
      <c r="B1375" s="3" t="s">
        <v>14359</v>
      </c>
      <c r="C1375" s="3" t="s">
        <v>3389</v>
      </c>
      <c r="D1375" s="3" t="s">
        <v>16470</v>
      </c>
      <c r="E1375" t="s">
        <v>3389</v>
      </c>
      <c r="F1375" t="s">
        <v>14360</v>
      </c>
      <c r="G1375" s="3"/>
      <c r="H1375" s="3"/>
    </row>
    <row r="1376" spans="1:8" hidden="1" x14ac:dyDescent="0.2">
      <c r="A1376" s="3" t="s">
        <v>16752</v>
      </c>
      <c r="B1376" s="3" t="s">
        <v>14359</v>
      </c>
      <c r="C1376" s="3" t="s">
        <v>3390</v>
      </c>
      <c r="D1376" s="3" t="s">
        <v>16470</v>
      </c>
      <c r="E1376" t="s">
        <v>3390</v>
      </c>
      <c r="F1376" t="s">
        <v>14360</v>
      </c>
      <c r="G1376" s="3"/>
      <c r="H1376" s="3"/>
    </row>
    <row r="1377" spans="1:8" hidden="1" x14ac:dyDescent="0.2">
      <c r="A1377" s="3" t="s">
        <v>16753</v>
      </c>
      <c r="B1377" s="3" t="s">
        <v>14359</v>
      </c>
      <c r="C1377" s="3" t="s">
        <v>3391</v>
      </c>
      <c r="D1377" s="3" t="s">
        <v>16470</v>
      </c>
      <c r="E1377" t="s">
        <v>3391</v>
      </c>
      <c r="F1377" t="s">
        <v>14360</v>
      </c>
      <c r="G1377" s="3"/>
      <c r="H1377" s="3"/>
    </row>
    <row r="1378" spans="1:8" hidden="1" x14ac:dyDescent="0.2">
      <c r="A1378" s="3" t="s">
        <v>16754</v>
      </c>
      <c r="B1378" s="3" t="s">
        <v>14359</v>
      </c>
      <c r="C1378" s="3" t="s">
        <v>3392</v>
      </c>
      <c r="D1378" s="3" t="s">
        <v>16470</v>
      </c>
      <c r="E1378" t="s">
        <v>3392</v>
      </c>
      <c r="F1378" t="s">
        <v>14360</v>
      </c>
      <c r="G1378" s="3"/>
      <c r="H1378" s="3"/>
    </row>
    <row r="1379" spans="1:8" hidden="1" x14ac:dyDescent="0.2">
      <c r="A1379" s="3" t="s">
        <v>16755</v>
      </c>
      <c r="B1379" s="3" t="s">
        <v>14359</v>
      </c>
      <c r="C1379" s="3" t="s">
        <v>3393</v>
      </c>
      <c r="D1379" s="3" t="s">
        <v>16470</v>
      </c>
      <c r="E1379" t="s">
        <v>3393</v>
      </c>
      <c r="F1379" t="s">
        <v>14360</v>
      </c>
      <c r="G1379" s="3"/>
      <c r="H1379" s="3"/>
    </row>
    <row r="1380" spans="1:8" hidden="1" x14ac:dyDescent="0.2">
      <c r="A1380" s="3" t="s">
        <v>16756</v>
      </c>
      <c r="B1380" s="3" t="s">
        <v>14359</v>
      </c>
      <c r="C1380" s="3" t="s">
        <v>3394</v>
      </c>
      <c r="D1380" s="3" t="s">
        <v>16470</v>
      </c>
      <c r="E1380" t="s">
        <v>3394</v>
      </c>
      <c r="F1380" t="s">
        <v>14360</v>
      </c>
      <c r="G1380" s="3"/>
      <c r="H1380" s="3"/>
    </row>
    <row r="1381" spans="1:8" hidden="1" x14ac:dyDescent="0.2">
      <c r="A1381" s="3" t="s">
        <v>16757</v>
      </c>
      <c r="B1381" s="3" t="s">
        <v>14359</v>
      </c>
      <c r="C1381" s="3" t="s">
        <v>3395</v>
      </c>
      <c r="D1381" s="3" t="s">
        <v>16470</v>
      </c>
      <c r="E1381" t="s">
        <v>3395</v>
      </c>
      <c r="F1381" t="s">
        <v>14360</v>
      </c>
      <c r="G1381" s="3"/>
      <c r="H1381" s="3"/>
    </row>
    <row r="1382" spans="1:8" hidden="1" x14ac:dyDescent="0.2">
      <c r="A1382" s="3" t="s">
        <v>16758</v>
      </c>
      <c r="B1382" s="3" t="s">
        <v>14359</v>
      </c>
      <c r="C1382" s="3" t="s">
        <v>3396</v>
      </c>
      <c r="D1382" s="3" t="s">
        <v>16470</v>
      </c>
      <c r="E1382" t="s">
        <v>3396</v>
      </c>
      <c r="F1382" t="s">
        <v>14360</v>
      </c>
      <c r="G1382" s="3"/>
      <c r="H1382" s="3"/>
    </row>
    <row r="1383" spans="1:8" hidden="1" x14ac:dyDescent="0.2">
      <c r="A1383" s="3" t="s">
        <v>16759</v>
      </c>
      <c r="B1383" s="3" t="s">
        <v>14359</v>
      </c>
      <c r="C1383" s="3" t="s">
        <v>3397</v>
      </c>
      <c r="D1383" s="3" t="s">
        <v>16470</v>
      </c>
      <c r="E1383" t="s">
        <v>3397</v>
      </c>
      <c r="F1383" t="s">
        <v>14360</v>
      </c>
      <c r="G1383" s="3"/>
      <c r="H1383" s="3"/>
    </row>
    <row r="1384" spans="1:8" hidden="1" x14ac:dyDescent="0.2">
      <c r="A1384" s="3" t="s">
        <v>16760</v>
      </c>
      <c r="B1384" s="3" t="s">
        <v>14359</v>
      </c>
      <c r="C1384" s="3" t="s">
        <v>3398</v>
      </c>
      <c r="D1384" s="3" t="s">
        <v>16470</v>
      </c>
      <c r="E1384" t="s">
        <v>3398</v>
      </c>
      <c r="F1384" t="s">
        <v>14360</v>
      </c>
      <c r="G1384" s="3"/>
      <c r="H1384" s="3"/>
    </row>
    <row r="1385" spans="1:8" hidden="1" x14ac:dyDescent="0.2">
      <c r="A1385" s="3" t="s">
        <v>16761</v>
      </c>
      <c r="B1385" s="3" t="s">
        <v>14359</v>
      </c>
      <c r="C1385" s="3" t="s">
        <v>3399</v>
      </c>
      <c r="D1385" s="3" t="s">
        <v>16470</v>
      </c>
      <c r="E1385" t="s">
        <v>3399</v>
      </c>
      <c r="F1385" t="s">
        <v>14360</v>
      </c>
      <c r="G1385" s="3"/>
      <c r="H1385" s="3"/>
    </row>
    <row r="1386" spans="1:8" hidden="1" x14ac:dyDescent="0.2">
      <c r="A1386" s="3" t="s">
        <v>16762</v>
      </c>
      <c r="B1386" s="3" t="s">
        <v>14359</v>
      </c>
      <c r="C1386" s="3" t="s">
        <v>3400</v>
      </c>
      <c r="D1386" s="3" t="s">
        <v>16470</v>
      </c>
      <c r="E1386" t="s">
        <v>3400</v>
      </c>
      <c r="F1386" t="s">
        <v>14360</v>
      </c>
      <c r="G1386" s="3"/>
      <c r="H1386" s="3"/>
    </row>
    <row r="1387" spans="1:8" hidden="1" x14ac:dyDescent="0.2">
      <c r="A1387" s="3" t="s">
        <v>16763</v>
      </c>
      <c r="B1387" s="3" t="s">
        <v>14359</v>
      </c>
      <c r="C1387" s="3" t="s">
        <v>3401</v>
      </c>
      <c r="D1387" s="3" t="s">
        <v>16470</v>
      </c>
      <c r="E1387" t="s">
        <v>3401</v>
      </c>
      <c r="F1387" t="s">
        <v>14360</v>
      </c>
      <c r="G1387" s="3"/>
      <c r="H1387" s="3"/>
    </row>
    <row r="1388" spans="1:8" hidden="1" x14ac:dyDescent="0.2">
      <c r="A1388" s="3" t="s">
        <v>16764</v>
      </c>
      <c r="B1388" s="3" t="s">
        <v>14359</v>
      </c>
      <c r="C1388" s="3" t="s">
        <v>3402</v>
      </c>
      <c r="D1388" s="3" t="s">
        <v>16470</v>
      </c>
      <c r="E1388" t="s">
        <v>3402</v>
      </c>
      <c r="F1388" t="s">
        <v>14360</v>
      </c>
      <c r="G1388" s="3"/>
      <c r="H1388" s="3"/>
    </row>
    <row r="1389" spans="1:8" hidden="1" x14ac:dyDescent="0.2">
      <c r="A1389" s="3" t="s">
        <v>16765</v>
      </c>
      <c r="B1389" s="3" t="s">
        <v>14359</v>
      </c>
      <c r="C1389" s="3" t="s">
        <v>3403</v>
      </c>
      <c r="D1389" s="3" t="s">
        <v>16470</v>
      </c>
      <c r="E1389" t="s">
        <v>3403</v>
      </c>
      <c r="F1389" t="s">
        <v>14360</v>
      </c>
      <c r="G1389" s="3"/>
      <c r="H1389" s="3"/>
    </row>
    <row r="1390" spans="1:8" hidden="1" x14ac:dyDescent="0.2">
      <c r="A1390" s="3" t="s">
        <v>16766</v>
      </c>
      <c r="B1390" s="3" t="s">
        <v>14359</v>
      </c>
      <c r="C1390" s="3" t="s">
        <v>3404</v>
      </c>
      <c r="D1390" s="3" t="s">
        <v>16470</v>
      </c>
      <c r="E1390" t="s">
        <v>3404</v>
      </c>
      <c r="F1390" t="s">
        <v>14360</v>
      </c>
      <c r="G1390" s="3"/>
      <c r="H1390" s="3"/>
    </row>
    <row r="1391" spans="1:8" hidden="1" x14ac:dyDescent="0.2">
      <c r="A1391" s="3" t="s">
        <v>16767</v>
      </c>
      <c r="B1391" s="3" t="s">
        <v>14359</v>
      </c>
      <c r="C1391" s="3" t="s">
        <v>3405</v>
      </c>
      <c r="D1391" s="3" t="s">
        <v>16470</v>
      </c>
      <c r="E1391" t="s">
        <v>3405</v>
      </c>
      <c r="F1391" t="s">
        <v>14360</v>
      </c>
      <c r="G1391" s="3"/>
      <c r="H1391" s="3"/>
    </row>
    <row r="1392" spans="1:8" hidden="1" x14ac:dyDescent="0.2">
      <c r="A1392" s="3" t="s">
        <v>16768</v>
      </c>
      <c r="B1392" s="3" t="s">
        <v>14359</v>
      </c>
      <c r="C1392" s="3" t="s">
        <v>3406</v>
      </c>
      <c r="D1392" s="3" t="s">
        <v>16470</v>
      </c>
      <c r="E1392" t="s">
        <v>3406</v>
      </c>
      <c r="F1392" t="s">
        <v>14360</v>
      </c>
      <c r="G1392" s="3"/>
      <c r="H1392" s="3"/>
    </row>
    <row r="1393" spans="1:8" hidden="1" x14ac:dyDescent="0.2">
      <c r="A1393" s="3" t="s">
        <v>16769</v>
      </c>
      <c r="B1393" s="3" t="s">
        <v>14359</v>
      </c>
      <c r="C1393" s="3" t="s">
        <v>3407</v>
      </c>
      <c r="D1393" s="3" t="s">
        <v>16470</v>
      </c>
      <c r="E1393" t="s">
        <v>3407</v>
      </c>
      <c r="F1393" t="s">
        <v>14360</v>
      </c>
      <c r="G1393" s="3"/>
      <c r="H1393" s="3"/>
    </row>
    <row r="1394" spans="1:8" hidden="1" x14ac:dyDescent="0.2">
      <c r="A1394" s="3" t="s">
        <v>16770</v>
      </c>
      <c r="B1394" s="3" t="s">
        <v>14359</v>
      </c>
      <c r="C1394" s="3" t="s">
        <v>3408</v>
      </c>
      <c r="D1394" s="3" t="s">
        <v>16470</v>
      </c>
      <c r="E1394" t="s">
        <v>3408</v>
      </c>
      <c r="F1394" t="s">
        <v>14360</v>
      </c>
      <c r="G1394" s="3"/>
      <c r="H1394" s="3"/>
    </row>
    <row r="1395" spans="1:8" hidden="1" x14ac:dyDescent="0.2">
      <c r="A1395" s="3" t="s">
        <v>16771</v>
      </c>
      <c r="B1395" s="3" t="s">
        <v>14359</v>
      </c>
      <c r="C1395" s="3" t="s">
        <v>3409</v>
      </c>
      <c r="D1395" s="3" t="s">
        <v>16470</v>
      </c>
      <c r="E1395" t="s">
        <v>3409</v>
      </c>
      <c r="F1395" t="s">
        <v>14360</v>
      </c>
      <c r="G1395" s="3"/>
      <c r="H1395" s="3"/>
    </row>
    <row r="1396" spans="1:8" hidden="1" x14ac:dyDescent="0.2">
      <c r="A1396" s="3" t="s">
        <v>16772</v>
      </c>
      <c r="B1396" s="3" t="s">
        <v>14359</v>
      </c>
      <c r="C1396" s="3" t="s">
        <v>3410</v>
      </c>
      <c r="D1396" s="3" t="s">
        <v>16470</v>
      </c>
      <c r="E1396" t="s">
        <v>3410</v>
      </c>
      <c r="F1396" t="s">
        <v>14360</v>
      </c>
      <c r="G1396" s="3"/>
      <c r="H1396" s="3"/>
    </row>
    <row r="1397" spans="1:8" hidden="1" x14ac:dyDescent="0.2">
      <c r="A1397" s="3" t="s">
        <v>16773</v>
      </c>
      <c r="B1397" s="3" t="s">
        <v>14359</v>
      </c>
      <c r="C1397" s="3" t="s">
        <v>3411</v>
      </c>
      <c r="D1397" s="3" t="s">
        <v>16470</v>
      </c>
      <c r="E1397" t="s">
        <v>3411</v>
      </c>
      <c r="F1397" t="s">
        <v>14360</v>
      </c>
      <c r="G1397" s="3"/>
      <c r="H1397" s="3"/>
    </row>
    <row r="1398" spans="1:8" hidden="1" x14ac:dyDescent="0.2">
      <c r="A1398" s="3" t="s">
        <v>16774</v>
      </c>
      <c r="B1398" s="3" t="s">
        <v>14359</v>
      </c>
      <c r="C1398" s="3" t="s">
        <v>3412</v>
      </c>
      <c r="D1398" s="3" t="s">
        <v>16470</v>
      </c>
      <c r="E1398" t="s">
        <v>3412</v>
      </c>
      <c r="F1398" t="s">
        <v>14360</v>
      </c>
      <c r="G1398" s="3"/>
      <c r="H1398" s="3"/>
    </row>
    <row r="1399" spans="1:8" hidden="1" x14ac:dyDescent="0.2">
      <c r="A1399" s="3" t="s">
        <v>16775</v>
      </c>
      <c r="B1399" s="3" t="s">
        <v>14359</v>
      </c>
      <c r="C1399" s="3" t="s">
        <v>3413</v>
      </c>
      <c r="D1399" s="3" t="s">
        <v>16470</v>
      </c>
      <c r="E1399" t="s">
        <v>3413</v>
      </c>
      <c r="F1399" t="s">
        <v>14360</v>
      </c>
      <c r="G1399" s="3"/>
      <c r="H1399" s="3"/>
    </row>
    <row r="1400" spans="1:8" hidden="1" x14ac:dyDescent="0.2">
      <c r="A1400" s="3" t="s">
        <v>16776</v>
      </c>
      <c r="B1400" s="3" t="s">
        <v>14359</v>
      </c>
      <c r="C1400" s="3" t="s">
        <v>3414</v>
      </c>
      <c r="D1400" s="3" t="s">
        <v>16470</v>
      </c>
      <c r="E1400" t="s">
        <v>3414</v>
      </c>
      <c r="F1400" t="s">
        <v>14360</v>
      </c>
      <c r="G1400" s="3"/>
      <c r="H1400" s="3"/>
    </row>
    <row r="1401" spans="1:8" hidden="1" x14ac:dyDescent="0.2">
      <c r="A1401" s="3" t="s">
        <v>16777</v>
      </c>
      <c r="B1401" s="3" t="s">
        <v>14359</v>
      </c>
      <c r="C1401" s="3" t="s">
        <v>3415</v>
      </c>
      <c r="D1401" s="3" t="s">
        <v>16470</v>
      </c>
      <c r="E1401" t="s">
        <v>3415</v>
      </c>
      <c r="F1401" t="s">
        <v>14360</v>
      </c>
      <c r="G1401" s="3"/>
      <c r="H1401" s="3"/>
    </row>
    <row r="1402" spans="1:8" hidden="1" x14ac:dyDescent="0.2">
      <c r="A1402" s="3" t="s">
        <v>16778</v>
      </c>
      <c r="B1402" s="3" t="s">
        <v>14359</v>
      </c>
      <c r="C1402" s="3" t="s">
        <v>3416</v>
      </c>
      <c r="D1402" s="3" t="s">
        <v>16470</v>
      </c>
      <c r="E1402" t="s">
        <v>3416</v>
      </c>
      <c r="F1402" t="s">
        <v>14360</v>
      </c>
      <c r="G1402" s="3"/>
      <c r="H1402" s="3"/>
    </row>
    <row r="1403" spans="1:8" hidden="1" x14ac:dyDescent="0.2">
      <c r="A1403" s="3" t="s">
        <v>16779</v>
      </c>
      <c r="B1403" s="3" t="s">
        <v>14359</v>
      </c>
      <c r="C1403" s="3" t="s">
        <v>3417</v>
      </c>
      <c r="D1403" s="3" t="s">
        <v>16470</v>
      </c>
      <c r="E1403" t="s">
        <v>3417</v>
      </c>
      <c r="F1403" t="s">
        <v>14360</v>
      </c>
      <c r="G1403" s="3"/>
      <c r="H1403" s="3"/>
    </row>
    <row r="1404" spans="1:8" x14ac:dyDescent="0.2">
      <c r="A1404" s="3" t="s">
        <v>16780</v>
      </c>
      <c r="B1404" s="3" t="s">
        <v>14358</v>
      </c>
      <c r="C1404" s="3" t="s">
        <v>16</v>
      </c>
      <c r="D1404" s="3" t="s">
        <v>16781</v>
      </c>
      <c r="E1404" t="s">
        <v>15</v>
      </c>
      <c r="F1404" t="str">
        <f>_xlfn.XLOOKUP(C1404,gwas_metab_name_map!C:C,gwas_metab_name_map!D:D,"")</f>
        <v>metab_acetate</v>
      </c>
      <c r="G1404" s="3"/>
      <c r="H1404" s="3"/>
    </row>
    <row r="1405" spans="1:8" x14ac:dyDescent="0.2">
      <c r="A1405" s="3" t="s">
        <v>16782</v>
      </c>
      <c r="B1405" s="3" t="s">
        <v>14358</v>
      </c>
      <c r="C1405" s="3" t="s">
        <v>24</v>
      </c>
      <c r="D1405" s="3" t="s">
        <v>16783</v>
      </c>
      <c r="E1405" t="s">
        <v>23</v>
      </c>
      <c r="F1405" t="str">
        <f>_xlfn.XLOOKUP(C1405,gwas_metab_name_map!C:C,gwas_metab_name_map!D:D,"")</f>
        <v>metab_acetone</v>
      </c>
      <c r="G1405" s="3"/>
      <c r="H1405" s="3"/>
    </row>
    <row r="1406" spans="1:8" x14ac:dyDescent="0.2">
      <c r="A1406" s="3" t="s">
        <v>16784</v>
      </c>
      <c r="B1406" s="3" t="s">
        <v>14358</v>
      </c>
      <c r="C1406" s="3" t="s">
        <v>28</v>
      </c>
      <c r="D1406" s="3" t="s">
        <v>15941</v>
      </c>
      <c r="E1406" t="s">
        <v>27</v>
      </c>
      <c r="F1406" t="str">
        <f>_xlfn.XLOOKUP(C1406,gwas_metab_name_map!C:C,gwas_metab_name_map!D:D,"")</f>
        <v>metab_ala</v>
      </c>
      <c r="G1406" s="3"/>
      <c r="H1406" s="3"/>
    </row>
    <row r="1407" spans="1:8" x14ac:dyDescent="0.2">
      <c r="A1407" s="3" t="s">
        <v>16785</v>
      </c>
      <c r="B1407" s="3" t="s">
        <v>14358</v>
      </c>
      <c r="C1407" s="3" t="s">
        <v>33</v>
      </c>
      <c r="D1407" s="3" t="s">
        <v>16786</v>
      </c>
      <c r="E1407" t="s">
        <v>32</v>
      </c>
      <c r="F1407" t="str">
        <f>_xlfn.XLOOKUP(C1407,gwas_metab_name_map!C:C,gwas_metab_name_map!D:D,"")</f>
        <v>metab_albumin</v>
      </c>
      <c r="G1407" s="3"/>
      <c r="H1407" s="3"/>
    </row>
    <row r="1408" spans="1:8" x14ac:dyDescent="0.2">
      <c r="A1408" s="3" t="s">
        <v>16787</v>
      </c>
      <c r="B1408" s="3" t="s">
        <v>14358</v>
      </c>
      <c r="C1408" s="3" t="s">
        <v>38</v>
      </c>
      <c r="D1408" s="3" t="s">
        <v>16788</v>
      </c>
      <c r="E1408" t="s">
        <v>40</v>
      </c>
      <c r="F1408" t="str">
        <f>_xlfn.XLOOKUP(C1408,gwas_metab_name_map!C:C,gwas_metab_name_map!D:D,"")</f>
        <v>metab_apoa1</v>
      </c>
      <c r="G1408" s="3"/>
      <c r="H1408" s="3"/>
    </row>
    <row r="1409" spans="1:8" x14ac:dyDescent="0.2">
      <c r="A1409" s="3" t="s">
        <v>16789</v>
      </c>
      <c r="B1409" s="3" t="s">
        <v>14358</v>
      </c>
      <c r="C1409" s="3" t="s">
        <v>44</v>
      </c>
      <c r="D1409" s="3" t="s">
        <v>16790</v>
      </c>
      <c r="E1409" t="s">
        <v>43</v>
      </c>
      <c r="F1409" t="str">
        <f>_xlfn.XLOOKUP(C1409,gwas_metab_name_map!C:C,gwas_metab_name_map!D:D,"")</f>
        <v>metab_apob</v>
      </c>
      <c r="G1409" s="3"/>
      <c r="H1409" s="3"/>
    </row>
    <row r="1410" spans="1:8" x14ac:dyDescent="0.2">
      <c r="A1410" s="3" t="s">
        <v>16791</v>
      </c>
      <c r="B1410" s="3" t="s">
        <v>14358</v>
      </c>
      <c r="C1410" s="3" t="s">
        <v>48</v>
      </c>
      <c r="D1410" s="3" t="s">
        <v>16790</v>
      </c>
      <c r="E1410" t="s">
        <v>13677</v>
      </c>
      <c r="F1410" t="str">
        <f>_xlfn.XLOOKUP(C1410,gwas_metab_name_map!C:C,gwas_metab_name_map!D:D,"")</f>
        <v>metab_apobapoa1</v>
      </c>
      <c r="G1410" s="3"/>
      <c r="H1410" s="3"/>
    </row>
    <row r="1411" spans="1:8" x14ac:dyDescent="0.2">
      <c r="A1411" s="3" t="s">
        <v>16791</v>
      </c>
      <c r="B1411" s="3" t="s">
        <v>14358</v>
      </c>
      <c r="C1411" s="3" t="s">
        <v>48</v>
      </c>
      <c r="D1411" s="3" t="s">
        <v>16788</v>
      </c>
      <c r="E1411" t="s">
        <v>13677</v>
      </c>
      <c r="F1411" t="str">
        <f>_xlfn.XLOOKUP(C1411,gwas_metab_name_map!C:C,gwas_metab_name_map!D:D,"")</f>
        <v>metab_apobapoa1</v>
      </c>
      <c r="G1411" s="3"/>
      <c r="H1411" s="3"/>
    </row>
    <row r="1412" spans="1:8" x14ac:dyDescent="0.2">
      <c r="A1412" s="3" t="s">
        <v>16792</v>
      </c>
      <c r="B1412" s="3" t="s">
        <v>14358</v>
      </c>
      <c r="C1412" s="3" t="s">
        <v>11</v>
      </c>
      <c r="D1412" s="3" t="s">
        <v>15814</v>
      </c>
      <c r="E1412" t="s">
        <v>10</v>
      </c>
      <c r="F1412" t="str">
        <f>_xlfn.XLOOKUP(C1412,gwas_metab_name_map!C:C,gwas_metab_name_map!D:D,"")</f>
        <v>metab_bohbutyrate</v>
      </c>
      <c r="G1412" s="3"/>
      <c r="H1412" s="3"/>
    </row>
    <row r="1413" spans="1:8" x14ac:dyDescent="0.2">
      <c r="A1413" s="3" t="s">
        <v>16793</v>
      </c>
      <c r="B1413" s="3" t="s">
        <v>14358</v>
      </c>
      <c r="C1413" s="3" t="s">
        <v>339</v>
      </c>
      <c r="D1413" s="3" t="s">
        <v>15688</v>
      </c>
      <c r="E1413" t="s">
        <v>338</v>
      </c>
      <c r="F1413" t="str">
        <f>_xlfn.XLOOKUP(C1413,gwas_metab_name_map!C:C,gwas_metab_name_map!D:D,"")</f>
        <v>metab_citrate</v>
      </c>
      <c r="G1413" s="3"/>
      <c r="H1413" s="3"/>
    </row>
    <row r="1414" spans="1:8" x14ac:dyDescent="0.2">
      <c r="A1414" s="3" t="s">
        <v>16794</v>
      </c>
      <c r="B1414" s="3" t="s">
        <v>14358</v>
      </c>
      <c r="C1414" s="3" t="s">
        <v>1080</v>
      </c>
      <c r="D1414" s="3" t="s">
        <v>16795</v>
      </c>
      <c r="E1414" t="s">
        <v>1080</v>
      </c>
      <c r="G1414" s="3"/>
      <c r="H1414" s="3"/>
    </row>
    <row r="1415" spans="1:8" x14ac:dyDescent="0.2">
      <c r="A1415" s="3" t="s">
        <v>16796</v>
      </c>
      <c r="B1415" s="3" t="s">
        <v>14358</v>
      </c>
      <c r="C1415" s="3" t="s">
        <v>1086</v>
      </c>
      <c r="D1415" s="3" t="s">
        <v>16795</v>
      </c>
      <c r="E1415" t="s">
        <v>1086</v>
      </c>
      <c r="G1415" s="3"/>
      <c r="H1415" s="3"/>
    </row>
    <row r="1416" spans="1:8" x14ac:dyDescent="0.2">
      <c r="A1416" s="3" t="s">
        <v>16796</v>
      </c>
      <c r="B1416" s="3" t="s">
        <v>14358</v>
      </c>
      <c r="C1416" s="3" t="s">
        <v>1086</v>
      </c>
      <c r="D1416" s="3" t="s">
        <v>16797</v>
      </c>
      <c r="E1416" t="s">
        <v>1086</v>
      </c>
      <c r="G1416" s="3"/>
      <c r="H1416" s="3"/>
    </row>
    <row r="1417" spans="1:8" x14ac:dyDescent="0.2">
      <c r="A1417" s="3" t="s">
        <v>16798</v>
      </c>
      <c r="B1417" s="3" t="s">
        <v>14358</v>
      </c>
      <c r="C1417" s="3" t="s">
        <v>419</v>
      </c>
      <c r="D1417" s="3" t="s">
        <v>15812</v>
      </c>
      <c r="E1417" t="s">
        <v>418</v>
      </c>
      <c r="F1417" t="str">
        <f>_xlfn.XLOOKUP(C1417,gwas_metab_name_map!C:C,gwas_metab_name_map!D:D,"")</f>
        <v>metab_creatinine</v>
      </c>
      <c r="G1417" s="3"/>
      <c r="H1417" s="3"/>
    </row>
    <row r="1418" spans="1:8" x14ac:dyDescent="0.2">
      <c r="A1418" s="3" t="s">
        <v>16799</v>
      </c>
      <c r="B1418" s="3" t="s">
        <v>14358</v>
      </c>
      <c r="C1418" s="3" t="s">
        <v>1081</v>
      </c>
      <c r="D1418" s="3" t="s">
        <v>16800</v>
      </c>
      <c r="E1418" t="s">
        <v>7792</v>
      </c>
      <c r="G1418" s="3"/>
      <c r="H1418" s="3"/>
    </row>
    <row r="1419" spans="1:8" x14ac:dyDescent="0.2">
      <c r="A1419" s="3" t="s">
        <v>16801</v>
      </c>
      <c r="B1419" s="3" t="s">
        <v>14358</v>
      </c>
      <c r="C1419" s="3" t="s">
        <v>1087</v>
      </c>
      <c r="D1419" s="3" t="s">
        <v>16800</v>
      </c>
      <c r="E1419" t="s">
        <v>1087</v>
      </c>
      <c r="G1419" s="3"/>
      <c r="H1419" s="3"/>
    </row>
    <row r="1420" spans="1:8" x14ac:dyDescent="0.2">
      <c r="A1420" s="3" t="s">
        <v>16801</v>
      </c>
      <c r="B1420" s="3" t="s">
        <v>14358</v>
      </c>
      <c r="C1420" s="3" t="s">
        <v>1087</v>
      </c>
      <c r="D1420" s="3" t="s">
        <v>16802</v>
      </c>
      <c r="E1420" t="s">
        <v>1087</v>
      </c>
      <c r="G1420" s="3"/>
      <c r="H1420" s="3"/>
    </row>
    <row r="1421" spans="1:8" x14ac:dyDescent="0.2">
      <c r="A1421" s="3" t="s">
        <v>16803</v>
      </c>
      <c r="B1421" s="3" t="s">
        <v>14358</v>
      </c>
      <c r="C1421" s="3" t="s">
        <v>429</v>
      </c>
      <c r="D1421" s="3" t="s">
        <v>16804</v>
      </c>
      <c r="E1421" t="s">
        <v>19760</v>
      </c>
      <c r="F1421" t="str">
        <f>_xlfn.XLOOKUP(C1421,gwas_metab_name_map!C:C,gwas_metab_name_map!D:D,"")</f>
        <v>metab_dha</v>
      </c>
      <c r="G1421" s="3"/>
      <c r="H1421" s="3"/>
    </row>
    <row r="1422" spans="1:8" x14ac:dyDescent="0.2">
      <c r="A1422" s="3" t="s">
        <v>16805</v>
      </c>
      <c r="B1422" s="3" t="s">
        <v>14358</v>
      </c>
      <c r="C1422" s="3" t="s">
        <v>434</v>
      </c>
      <c r="D1422" s="3" t="s">
        <v>16804</v>
      </c>
      <c r="E1422" t="s">
        <v>434</v>
      </c>
      <c r="F1422" t="str">
        <f>_xlfn.XLOOKUP(C1422,gwas_metab_name_map!C:C,gwas_metab_name_map!D:D,"")</f>
        <v>metab_dhapct</v>
      </c>
      <c r="G1422" s="3"/>
      <c r="H1422" s="3"/>
    </row>
    <row r="1423" spans="1:8" x14ac:dyDescent="0.2">
      <c r="A1423" s="3" t="s">
        <v>16805</v>
      </c>
      <c r="B1423" s="3" t="s">
        <v>14358</v>
      </c>
      <c r="C1423" s="3" t="s">
        <v>434</v>
      </c>
      <c r="D1423" s="3" t="s">
        <v>16797</v>
      </c>
      <c r="E1423" t="s">
        <v>434</v>
      </c>
      <c r="F1423" t="str">
        <f>_xlfn.XLOOKUP(C1423,gwas_metab_name_map!C:C,gwas_metab_name_map!D:D,"")</f>
        <v>metab_dhapct</v>
      </c>
      <c r="G1423" s="3"/>
      <c r="H1423" s="3"/>
    </row>
    <row r="1424" spans="1:8" x14ac:dyDescent="0.2">
      <c r="A1424" s="3" t="s">
        <v>16806</v>
      </c>
      <c r="B1424" s="3" t="s">
        <v>14358</v>
      </c>
      <c r="C1424" s="3" t="s">
        <v>841</v>
      </c>
      <c r="D1424" s="3" t="s">
        <v>16807</v>
      </c>
      <c r="E1424" t="s">
        <v>11162</v>
      </c>
      <c r="F1424" t="str">
        <f>_xlfn.XLOOKUP(C1424,gwas_metab_name_map!C:C,gwas_metab_name_map!D:D,"")</f>
        <v>metab_totalce</v>
      </c>
      <c r="G1424" s="3"/>
      <c r="H1424" s="3"/>
    </row>
    <row r="1425" spans="1:8" x14ac:dyDescent="0.2">
      <c r="A1425" s="3" t="s">
        <v>16808</v>
      </c>
      <c r="B1425" s="3" t="s">
        <v>14358</v>
      </c>
      <c r="C1425" s="3" t="s">
        <v>1082</v>
      </c>
      <c r="D1425" s="3" t="s">
        <v>16809</v>
      </c>
      <c r="E1425" t="s">
        <v>1082</v>
      </c>
      <c r="G1425" s="3"/>
      <c r="H1425" s="3"/>
    </row>
    <row r="1426" spans="1:8" x14ac:dyDescent="0.2">
      <c r="A1426" s="3" t="s">
        <v>16810</v>
      </c>
      <c r="B1426" s="3" t="s">
        <v>14358</v>
      </c>
      <c r="C1426" s="3" t="s">
        <v>627</v>
      </c>
      <c r="D1426" s="3" t="s">
        <v>16811</v>
      </c>
      <c r="E1426" t="s">
        <v>629</v>
      </c>
      <c r="F1426" t="str">
        <f>_xlfn.XLOOKUP(C1426,gwas_metab_name_map!C:C,gwas_metab_name_map!D:D,"")</f>
        <v>metab_omega3</v>
      </c>
      <c r="G1426" s="3"/>
      <c r="H1426" s="3"/>
    </row>
    <row r="1427" spans="1:8" x14ac:dyDescent="0.2">
      <c r="A1427" s="3" t="s">
        <v>16812</v>
      </c>
      <c r="B1427" s="3" t="s">
        <v>14358</v>
      </c>
      <c r="C1427" s="3" t="s">
        <v>632</v>
      </c>
      <c r="D1427" s="3" t="s">
        <v>16797</v>
      </c>
      <c r="E1427" t="s">
        <v>632</v>
      </c>
      <c r="F1427" t="str">
        <f>_xlfn.XLOOKUP(C1427,gwas_metab_name_map!C:C,gwas_metab_name_map!D:D,"")</f>
        <v>metab_omega3pct</v>
      </c>
      <c r="G1427" s="3"/>
      <c r="H1427" s="3"/>
    </row>
    <row r="1428" spans="1:8" x14ac:dyDescent="0.2">
      <c r="A1428" s="3" t="s">
        <v>16813</v>
      </c>
      <c r="B1428" s="3" t="s">
        <v>14358</v>
      </c>
      <c r="C1428" s="3" t="s">
        <v>636</v>
      </c>
      <c r="D1428" s="3" t="s">
        <v>16814</v>
      </c>
      <c r="E1428" t="s">
        <v>638</v>
      </c>
      <c r="F1428" t="str">
        <f>_xlfn.XLOOKUP(C1428,gwas_metab_name_map!C:C,gwas_metab_name_map!D:D,"")</f>
        <v>metab_omega6</v>
      </c>
      <c r="G1428" s="3"/>
      <c r="H1428" s="3"/>
    </row>
    <row r="1429" spans="1:8" x14ac:dyDescent="0.2">
      <c r="A1429" s="3" t="s">
        <v>16815</v>
      </c>
      <c r="B1429" s="3" t="s">
        <v>14358</v>
      </c>
      <c r="C1429" s="3" t="s">
        <v>645</v>
      </c>
      <c r="D1429" s="3" t="s">
        <v>16797</v>
      </c>
      <c r="E1429" t="s">
        <v>645</v>
      </c>
      <c r="F1429" t="str">
        <f>_xlfn.XLOOKUP(C1429,gwas_metab_name_map!C:C,gwas_metab_name_map!D:D,"")</f>
        <v>metab_omega6pct</v>
      </c>
      <c r="G1429" s="3"/>
      <c r="H1429" s="3"/>
    </row>
    <row r="1430" spans="1:8" x14ac:dyDescent="0.2">
      <c r="A1430" s="3" t="s">
        <v>16816</v>
      </c>
      <c r="B1430" s="3" t="s">
        <v>14358</v>
      </c>
      <c r="C1430" s="3" t="s">
        <v>850</v>
      </c>
      <c r="D1430" s="3" t="s">
        <v>16817</v>
      </c>
      <c r="E1430" t="s">
        <v>442</v>
      </c>
      <c r="F1430" t="str">
        <f>_xlfn.XLOOKUP(C1430,gwas_metab_name_map!C:C,gwas_metab_name_map!D:D,"")</f>
        <v>metab_totalfc</v>
      </c>
      <c r="G1430" s="3"/>
      <c r="H1430" s="3"/>
    </row>
    <row r="1431" spans="1:8" x14ac:dyDescent="0.2">
      <c r="A1431" s="3" t="s">
        <v>16818</v>
      </c>
      <c r="B1431" s="3" t="s">
        <v>14358</v>
      </c>
      <c r="C1431" s="3" t="s">
        <v>565</v>
      </c>
      <c r="D1431" s="3" t="s">
        <v>15958</v>
      </c>
      <c r="E1431" t="s">
        <v>564</v>
      </c>
      <c r="F1431" t="str">
        <f>_xlfn.XLOOKUP(C1431,gwas_metab_name_map!C:C,gwas_metab_name_map!D:D,"")</f>
        <v>metab_glucose</v>
      </c>
      <c r="G1431" s="3"/>
      <c r="H1431" s="3"/>
    </row>
    <row r="1432" spans="1:8" x14ac:dyDescent="0.2">
      <c r="A1432" s="3" t="s">
        <v>16819</v>
      </c>
      <c r="B1432" s="3" t="s">
        <v>14358</v>
      </c>
      <c r="C1432" s="3" t="s">
        <v>569</v>
      </c>
      <c r="D1432" s="3" t="s">
        <v>14687</v>
      </c>
      <c r="E1432" t="s">
        <v>568</v>
      </c>
      <c r="F1432" t="str">
        <f>_xlfn.XLOOKUP(C1432,gwas_metab_name_map!C:C,gwas_metab_name_map!D:D,"")</f>
        <v>metab_gln</v>
      </c>
      <c r="G1432" s="3"/>
      <c r="H1432" s="3"/>
    </row>
    <row r="1433" spans="1:8" x14ac:dyDescent="0.2">
      <c r="A1433" s="3" t="s">
        <v>16820</v>
      </c>
      <c r="B1433" s="3" t="s">
        <v>14358</v>
      </c>
      <c r="C1433" s="3" t="s">
        <v>1083</v>
      </c>
      <c r="D1433" s="3" t="s">
        <v>15730</v>
      </c>
      <c r="E1433" t="s">
        <v>1085</v>
      </c>
      <c r="F1433" t="str">
        <f>_xlfn.XLOOKUP(C1433,gwas_metab_name_map!C:C,gwas_metab_name_map!D:D,"")</f>
        <v>metab_glycerol</v>
      </c>
      <c r="G1433" s="3"/>
      <c r="H1433" s="3"/>
    </row>
    <row r="1434" spans="1:8" x14ac:dyDescent="0.2">
      <c r="A1434" s="3" t="s">
        <v>16821</v>
      </c>
      <c r="B1434" s="3" t="s">
        <v>14358</v>
      </c>
      <c r="C1434" s="3" t="s">
        <v>573</v>
      </c>
      <c r="D1434" s="3" t="s">
        <v>16460</v>
      </c>
      <c r="E1434" t="s">
        <v>572</v>
      </c>
      <c r="F1434" t="str">
        <f>_xlfn.XLOOKUP(C1434,gwas_metab_name_map!C:C,gwas_metab_name_map!D:D,"")</f>
        <v>metab_gly</v>
      </c>
      <c r="G1434" s="3"/>
      <c r="H1434" s="3"/>
    </row>
    <row r="1435" spans="1:8" x14ac:dyDescent="0.2">
      <c r="A1435" s="3" t="s">
        <v>16822</v>
      </c>
      <c r="B1435" s="3" t="s">
        <v>14358</v>
      </c>
      <c r="C1435" s="3" t="s">
        <v>577</v>
      </c>
      <c r="D1435" s="3" t="s">
        <v>16823</v>
      </c>
      <c r="E1435" t="s">
        <v>577</v>
      </c>
      <c r="F1435" t="str">
        <f>_xlfn.XLOOKUP(C1435,gwas_metab_name_map!C:C,gwas_metab_name_map!D:D,"")</f>
        <v>metab_glyca</v>
      </c>
      <c r="G1435" s="3"/>
      <c r="H1435" s="3"/>
    </row>
    <row r="1436" spans="1:8" x14ac:dyDescent="0.2">
      <c r="A1436" s="3" t="s">
        <v>16824</v>
      </c>
      <c r="B1436" s="3" t="s">
        <v>14358</v>
      </c>
      <c r="C1436" s="3" t="s">
        <v>1088</v>
      </c>
      <c r="D1436" s="3" t="s">
        <v>15816</v>
      </c>
      <c r="E1436" t="s">
        <v>1088</v>
      </c>
      <c r="F1436" t="s">
        <v>1093</v>
      </c>
      <c r="G1436" s="3"/>
      <c r="H1436" s="3"/>
    </row>
    <row r="1437" spans="1:8" x14ac:dyDescent="0.2">
      <c r="A1437" s="3" t="s">
        <v>16826</v>
      </c>
      <c r="B1437" s="3" t="s">
        <v>14358</v>
      </c>
      <c r="C1437" s="3" t="s">
        <v>1089</v>
      </c>
      <c r="D1437" s="3" t="s">
        <v>16825</v>
      </c>
      <c r="E1437" t="s">
        <v>1089</v>
      </c>
      <c r="F1437" t="s">
        <v>1094</v>
      </c>
      <c r="G1437" s="3"/>
      <c r="H1437" s="3"/>
    </row>
    <row r="1438" spans="1:8" x14ac:dyDescent="0.2">
      <c r="A1438" s="3" t="s">
        <v>16827</v>
      </c>
      <c r="B1438" s="3" t="s">
        <v>14358</v>
      </c>
      <c r="C1438" s="3" t="s">
        <v>1090</v>
      </c>
      <c r="D1438" s="3" t="s">
        <v>16825</v>
      </c>
      <c r="E1438" t="s">
        <v>11193</v>
      </c>
      <c r="F1438" t="s">
        <v>583</v>
      </c>
      <c r="G1438" s="3"/>
      <c r="H1438" s="3"/>
    </row>
    <row r="1439" spans="1:8" x14ac:dyDescent="0.2">
      <c r="A1439" s="3" t="s">
        <v>16828</v>
      </c>
      <c r="B1439" s="3" t="s">
        <v>14358</v>
      </c>
      <c r="C1439" s="3" t="s">
        <v>53</v>
      </c>
      <c r="D1439" s="3" t="s">
        <v>16829</v>
      </c>
      <c r="E1439" t="s">
        <v>53</v>
      </c>
      <c r="F1439" t="str">
        <f>_xlfn.XLOOKUP(C1439,gwas_metab_name_map!C:C,gwas_metab_name_map!D:D,"")</f>
        <v>metab_hdlsize</v>
      </c>
      <c r="G1439" s="3"/>
      <c r="H1439" s="3"/>
    </row>
    <row r="1440" spans="1:8" x14ac:dyDescent="0.2">
      <c r="A1440" s="3" t="s">
        <v>16830</v>
      </c>
      <c r="B1440" s="3" t="s">
        <v>14358</v>
      </c>
      <c r="C1440" s="3" t="s">
        <v>942</v>
      </c>
      <c r="D1440" s="3" t="s">
        <v>16825</v>
      </c>
      <c r="E1440" t="s">
        <v>19761</v>
      </c>
      <c r="F1440" t="str">
        <f>_xlfn.XLOOKUP(C1440,gwas_metab_name_map!C:C,gwas_metab_name_map!D:D,"")</f>
        <v>metab_hdltg</v>
      </c>
      <c r="G1440" s="3"/>
      <c r="H1440" s="3"/>
    </row>
    <row r="1441" spans="1:8" x14ac:dyDescent="0.2">
      <c r="A1441" s="3" t="s">
        <v>16830</v>
      </c>
      <c r="B1441" s="3" t="s">
        <v>14358</v>
      </c>
      <c r="C1441" s="3" t="s">
        <v>942</v>
      </c>
      <c r="D1441" s="3" t="s">
        <v>16802</v>
      </c>
      <c r="E1441" t="s">
        <v>19761</v>
      </c>
      <c r="F1441" t="str">
        <f>_xlfn.XLOOKUP(C1441,gwas_metab_name_map!C:C,gwas_metab_name_map!D:D,"")</f>
        <v>metab_hdltg</v>
      </c>
      <c r="G1441" s="3"/>
      <c r="H1441" s="3"/>
    </row>
    <row r="1442" spans="1:8" x14ac:dyDescent="0.2">
      <c r="A1442" s="3" t="s">
        <v>16831</v>
      </c>
      <c r="B1442" s="3" t="s">
        <v>14358</v>
      </c>
      <c r="C1442" s="3" t="s">
        <v>587</v>
      </c>
      <c r="D1442" s="3" t="s">
        <v>15834</v>
      </c>
      <c r="E1442" t="s">
        <v>586</v>
      </c>
      <c r="F1442" t="str">
        <f>_xlfn.XLOOKUP(C1442,gwas_metab_name_map!C:C,gwas_metab_name_map!D:D,"")</f>
        <v>metab_his</v>
      </c>
      <c r="G1442" s="3"/>
      <c r="H1442" s="3"/>
    </row>
    <row r="1443" spans="1:8" x14ac:dyDescent="0.2">
      <c r="A1443" s="3" t="s">
        <v>16832</v>
      </c>
      <c r="B1443" s="3" t="s">
        <v>14358</v>
      </c>
      <c r="C1443" s="3" t="s">
        <v>76</v>
      </c>
      <c r="D1443" s="3" t="s">
        <v>16833</v>
      </c>
      <c r="E1443" t="s">
        <v>76</v>
      </c>
      <c r="F1443" t="str">
        <f>_xlfn.XLOOKUP(C1443,gwas_metab_name_map!C:C,gwas_metab_name_map!D:D,"")</f>
        <v>metab_idlc</v>
      </c>
      <c r="G1443" s="3"/>
      <c r="H1443" s="3"/>
    </row>
    <row r="1444" spans="1:8" x14ac:dyDescent="0.2">
      <c r="A1444" s="3" t="s">
        <v>16834</v>
      </c>
      <c r="B1444" s="3" t="s">
        <v>14358</v>
      </c>
      <c r="C1444" s="3" t="s">
        <v>148</v>
      </c>
      <c r="D1444" s="3" t="s">
        <v>16835</v>
      </c>
      <c r="E1444" t="s">
        <v>148</v>
      </c>
      <c r="F1444" t="str">
        <f>_xlfn.XLOOKUP(C1444,gwas_metab_name_map!C:C,gwas_metab_name_map!D:D,"")</f>
        <v>metab_idlcpct</v>
      </c>
      <c r="G1444" s="3"/>
      <c r="H1444" s="3"/>
    </row>
    <row r="1445" spans="1:8" x14ac:dyDescent="0.2">
      <c r="A1445" s="3" t="s">
        <v>16834</v>
      </c>
      <c r="B1445" s="3" t="s">
        <v>14358</v>
      </c>
      <c r="C1445" s="3" t="s">
        <v>148</v>
      </c>
      <c r="D1445" s="3" t="s">
        <v>16836</v>
      </c>
      <c r="E1445" t="s">
        <v>148</v>
      </c>
      <c r="F1445" t="str">
        <f>_xlfn.XLOOKUP(C1445,gwas_metab_name_map!C:C,gwas_metab_name_map!D:D,"")</f>
        <v>metab_idlcpct</v>
      </c>
      <c r="G1445" s="3"/>
      <c r="H1445" s="3"/>
    </row>
    <row r="1446" spans="1:8" x14ac:dyDescent="0.2">
      <c r="A1446" s="3" t="s">
        <v>16837</v>
      </c>
      <c r="B1446" s="3" t="s">
        <v>14358</v>
      </c>
      <c r="C1446" s="3" t="s">
        <v>223</v>
      </c>
      <c r="D1446" s="3" t="s">
        <v>16835</v>
      </c>
      <c r="E1446" t="s">
        <v>223</v>
      </c>
      <c r="F1446" t="str">
        <f>_xlfn.XLOOKUP(C1446,gwas_metab_name_map!C:C,gwas_metab_name_map!D:D,"")</f>
        <v>metab_idlce</v>
      </c>
      <c r="G1446" s="3"/>
      <c r="H1446" s="3"/>
    </row>
    <row r="1447" spans="1:8" x14ac:dyDescent="0.2">
      <c r="A1447" s="3" t="s">
        <v>16837</v>
      </c>
      <c r="B1447" s="3" t="s">
        <v>14358</v>
      </c>
      <c r="C1447" s="3" t="s">
        <v>223</v>
      </c>
      <c r="D1447" s="3" t="s">
        <v>16807</v>
      </c>
      <c r="E1447" t="s">
        <v>223</v>
      </c>
      <c r="F1447" t="str">
        <f>_xlfn.XLOOKUP(C1447,gwas_metab_name_map!C:C,gwas_metab_name_map!D:D,"")</f>
        <v>metab_idlce</v>
      </c>
      <c r="G1447" s="3"/>
      <c r="H1447" s="3"/>
    </row>
    <row r="1448" spans="1:8" x14ac:dyDescent="0.2">
      <c r="A1448" s="3" t="s">
        <v>16838</v>
      </c>
      <c r="B1448" s="3" t="s">
        <v>14358</v>
      </c>
      <c r="C1448" s="3" t="s">
        <v>287</v>
      </c>
      <c r="D1448" s="3" t="s">
        <v>16835</v>
      </c>
      <c r="E1448" t="s">
        <v>287</v>
      </c>
      <c r="F1448" t="str">
        <f>_xlfn.XLOOKUP(C1448,gwas_metab_name_map!C:C,gwas_metab_name_map!D:D,"")</f>
        <v>metab_idlcepct</v>
      </c>
      <c r="G1448" s="3"/>
      <c r="H1448" s="3"/>
    </row>
    <row r="1449" spans="1:8" x14ac:dyDescent="0.2">
      <c r="A1449" s="3" t="s">
        <v>16838</v>
      </c>
      <c r="B1449" s="3" t="s">
        <v>14358</v>
      </c>
      <c r="C1449" s="3" t="s">
        <v>287</v>
      </c>
      <c r="D1449" s="3" t="s">
        <v>16839</v>
      </c>
      <c r="E1449" t="s">
        <v>287</v>
      </c>
      <c r="F1449" t="str">
        <f>_xlfn.XLOOKUP(C1449,gwas_metab_name_map!C:C,gwas_metab_name_map!D:D,"")</f>
        <v>metab_idlcepct</v>
      </c>
      <c r="G1449" s="3"/>
      <c r="H1449" s="3"/>
    </row>
    <row r="1450" spans="1:8" x14ac:dyDescent="0.2">
      <c r="A1450" s="3" t="s">
        <v>16840</v>
      </c>
      <c r="B1450" s="3" t="s">
        <v>14358</v>
      </c>
      <c r="C1450" s="3" t="s">
        <v>449</v>
      </c>
      <c r="D1450" s="3" t="s">
        <v>16841</v>
      </c>
      <c r="E1450" t="s">
        <v>449</v>
      </c>
      <c r="F1450" t="str">
        <f>_xlfn.XLOOKUP(C1450,gwas_metab_name_map!C:C,gwas_metab_name_map!D:D,"")</f>
        <v>metab_idlfc</v>
      </c>
      <c r="G1450" s="3"/>
      <c r="H1450" s="3"/>
    </row>
    <row r="1451" spans="1:8" x14ac:dyDescent="0.2">
      <c r="A1451" s="3" t="s">
        <v>16842</v>
      </c>
      <c r="B1451" s="3" t="s">
        <v>14358</v>
      </c>
      <c r="C1451" s="3" t="s">
        <v>513</v>
      </c>
      <c r="D1451" s="3" t="s">
        <v>16835</v>
      </c>
      <c r="E1451" t="s">
        <v>513</v>
      </c>
      <c r="F1451" t="str">
        <f>_xlfn.XLOOKUP(C1451,gwas_metab_name_map!C:C,gwas_metab_name_map!D:D,"")</f>
        <v>metab_idlfcpct</v>
      </c>
      <c r="G1451" s="3"/>
      <c r="H1451" s="3"/>
    </row>
    <row r="1452" spans="1:8" x14ac:dyDescent="0.2">
      <c r="A1452" s="3" t="s">
        <v>16842</v>
      </c>
      <c r="B1452" s="3" t="s">
        <v>14358</v>
      </c>
      <c r="C1452" s="3" t="s">
        <v>513</v>
      </c>
      <c r="D1452" s="3" t="s">
        <v>16843</v>
      </c>
      <c r="E1452" t="s">
        <v>513</v>
      </c>
      <c r="F1452" t="str">
        <f>_xlfn.XLOOKUP(C1452,gwas_metab_name_map!C:C,gwas_metab_name_map!D:D,"")</f>
        <v>metab_idlfcpct</v>
      </c>
      <c r="G1452" s="3"/>
      <c r="H1452" s="3"/>
    </row>
    <row r="1453" spans="1:8" x14ac:dyDescent="0.2">
      <c r="A1453" s="3" t="s">
        <v>16844</v>
      </c>
      <c r="B1453" s="3" t="s">
        <v>14358</v>
      </c>
      <c r="C1453" s="3" t="s">
        <v>864</v>
      </c>
      <c r="D1453" s="3" t="s">
        <v>16845</v>
      </c>
      <c r="E1453" t="s">
        <v>864</v>
      </c>
      <c r="F1453" t="str">
        <f>_xlfn.XLOOKUP(C1453,gwas_metab_name_map!C:C,gwas_metab_name_map!D:D,"")</f>
        <v>metab_idll</v>
      </c>
      <c r="G1453" s="3"/>
      <c r="H1453" s="3"/>
    </row>
    <row r="1454" spans="1:8" x14ac:dyDescent="0.2">
      <c r="A1454" s="3" t="s">
        <v>16846</v>
      </c>
      <c r="B1454" s="3" t="s">
        <v>14358</v>
      </c>
      <c r="C1454" s="3" t="s">
        <v>359</v>
      </c>
      <c r="D1454" s="3" t="s">
        <v>16835</v>
      </c>
      <c r="E1454" t="s">
        <v>359</v>
      </c>
      <c r="F1454" t="str">
        <f>_xlfn.XLOOKUP(C1454,gwas_metab_name_map!C:C,gwas_metab_name_map!D:D,"")</f>
        <v>metab_idlp</v>
      </c>
      <c r="G1454" s="3"/>
      <c r="H1454" s="3"/>
    </row>
    <row r="1455" spans="1:8" x14ac:dyDescent="0.2">
      <c r="A1455" s="3" t="s">
        <v>16847</v>
      </c>
      <c r="B1455" s="3" t="s">
        <v>14358</v>
      </c>
      <c r="C1455" s="3" t="s">
        <v>671</v>
      </c>
      <c r="D1455" s="3" t="s">
        <v>16848</v>
      </c>
      <c r="E1455" t="s">
        <v>671</v>
      </c>
      <c r="F1455" t="str">
        <f>_xlfn.XLOOKUP(C1455,gwas_metab_name_map!C:C,gwas_metab_name_map!D:D,"")</f>
        <v>metab_idlpl</v>
      </c>
      <c r="G1455" s="3"/>
      <c r="H1455" s="3"/>
    </row>
    <row r="1456" spans="1:8" x14ac:dyDescent="0.2">
      <c r="A1456" s="3" t="s">
        <v>16849</v>
      </c>
      <c r="B1456" s="3" t="s">
        <v>14358</v>
      </c>
      <c r="C1456" s="3" t="s">
        <v>733</v>
      </c>
      <c r="D1456" s="3" t="s">
        <v>16835</v>
      </c>
      <c r="E1456" t="s">
        <v>733</v>
      </c>
      <c r="F1456" t="str">
        <f>_xlfn.XLOOKUP(C1456,gwas_metab_name_map!C:C,gwas_metab_name_map!D:D,"")</f>
        <v>metab_idlplpct</v>
      </c>
      <c r="G1456" s="3"/>
      <c r="H1456" s="3"/>
    </row>
    <row r="1457" spans="1:8" x14ac:dyDescent="0.2">
      <c r="A1457" s="3" t="s">
        <v>16849</v>
      </c>
      <c r="B1457" s="3" t="s">
        <v>14358</v>
      </c>
      <c r="C1457" s="3" t="s">
        <v>733</v>
      </c>
      <c r="D1457" s="3" t="s">
        <v>16850</v>
      </c>
      <c r="E1457" t="s">
        <v>733</v>
      </c>
      <c r="F1457" t="str">
        <f>_xlfn.XLOOKUP(C1457,gwas_metab_name_map!C:C,gwas_metab_name_map!D:D,"")</f>
        <v>metab_idlplpct</v>
      </c>
      <c r="G1457" s="3"/>
      <c r="H1457" s="3"/>
    </row>
    <row r="1458" spans="1:8" x14ac:dyDescent="0.2">
      <c r="A1458" s="3" t="s">
        <v>16851</v>
      </c>
      <c r="B1458" s="3" t="s">
        <v>14358</v>
      </c>
      <c r="C1458" s="3" t="s">
        <v>947</v>
      </c>
      <c r="D1458" s="3" t="s">
        <v>16852</v>
      </c>
      <c r="E1458" t="s">
        <v>947</v>
      </c>
      <c r="F1458" t="str">
        <f>_xlfn.XLOOKUP(C1458,gwas_metab_name_map!C:C,gwas_metab_name_map!D:D,"")</f>
        <v>metab_idltg</v>
      </c>
      <c r="G1458" s="3"/>
      <c r="H1458" s="3"/>
    </row>
    <row r="1459" spans="1:8" x14ac:dyDescent="0.2">
      <c r="A1459" s="3" t="s">
        <v>16853</v>
      </c>
      <c r="B1459" s="3" t="s">
        <v>14358</v>
      </c>
      <c r="C1459" s="3" t="s">
        <v>1018</v>
      </c>
      <c r="D1459" s="3" t="s">
        <v>16835</v>
      </c>
      <c r="E1459" t="s">
        <v>1018</v>
      </c>
      <c r="F1459" t="str">
        <f>_xlfn.XLOOKUP(C1459,gwas_metab_name_map!C:C,gwas_metab_name_map!D:D,"")</f>
        <v>metab_idltgpct</v>
      </c>
      <c r="G1459" s="3"/>
      <c r="H1459" s="3"/>
    </row>
    <row r="1460" spans="1:8" x14ac:dyDescent="0.2">
      <c r="A1460" s="3" t="s">
        <v>16853</v>
      </c>
      <c r="B1460" s="3" t="s">
        <v>14358</v>
      </c>
      <c r="C1460" s="3" t="s">
        <v>1018</v>
      </c>
      <c r="D1460" s="3" t="s">
        <v>16854</v>
      </c>
      <c r="E1460" t="s">
        <v>1018</v>
      </c>
      <c r="F1460" t="str">
        <f>_xlfn.XLOOKUP(C1460,gwas_metab_name_map!C:C,gwas_metab_name_map!D:D,"")</f>
        <v>metab_idltgpct</v>
      </c>
      <c r="G1460" s="3"/>
      <c r="H1460" s="3"/>
    </row>
    <row r="1461" spans="1:8" x14ac:dyDescent="0.2">
      <c r="A1461" s="3" t="s">
        <v>16855</v>
      </c>
      <c r="B1461" s="3" t="s">
        <v>14358</v>
      </c>
      <c r="C1461" s="3" t="s">
        <v>591</v>
      </c>
      <c r="D1461" s="3" t="s">
        <v>15878</v>
      </c>
      <c r="E1461" t="s">
        <v>590</v>
      </c>
      <c r="F1461" t="str">
        <f>_xlfn.XLOOKUP(C1461,gwas_metab_name_map!C:C,gwas_metab_name_map!D:D,"")</f>
        <v>metab_ile</v>
      </c>
      <c r="G1461" s="3"/>
      <c r="H1461" s="3"/>
    </row>
    <row r="1462" spans="1:8" x14ac:dyDescent="0.2">
      <c r="A1462" s="3" t="s">
        <v>16856</v>
      </c>
      <c r="B1462" s="3" t="s">
        <v>14358</v>
      </c>
      <c r="C1462" s="3" t="s">
        <v>608</v>
      </c>
      <c r="D1462" s="3" t="s">
        <v>16795</v>
      </c>
      <c r="E1462" t="s">
        <v>19762</v>
      </c>
      <c r="F1462" t="str">
        <f>_xlfn.XLOOKUP(C1462,gwas_metab_name_map!C:C,gwas_metab_name_map!D:D,"")</f>
        <v>metab_la</v>
      </c>
      <c r="G1462" s="3"/>
      <c r="H1462" s="3"/>
    </row>
    <row r="1463" spans="1:8" x14ac:dyDescent="0.2">
      <c r="A1463" s="3" t="s">
        <v>16857</v>
      </c>
      <c r="B1463" s="3" t="s">
        <v>14358</v>
      </c>
      <c r="C1463" s="3" t="s">
        <v>613</v>
      </c>
      <c r="D1463" s="3" t="s">
        <v>16795</v>
      </c>
      <c r="E1463" t="s">
        <v>613</v>
      </c>
      <c r="F1463" t="str">
        <f>_xlfn.XLOOKUP(C1463,gwas_metab_name_map!C:C,gwas_metab_name_map!D:D,"")</f>
        <v>metab_lapct</v>
      </c>
      <c r="G1463" s="3"/>
      <c r="H1463" s="3"/>
    </row>
    <row r="1464" spans="1:8" x14ac:dyDescent="0.2">
      <c r="A1464" s="3" t="s">
        <v>16857</v>
      </c>
      <c r="B1464" s="3" t="s">
        <v>14358</v>
      </c>
      <c r="C1464" s="3" t="s">
        <v>613</v>
      </c>
      <c r="D1464" s="3" t="s">
        <v>16797</v>
      </c>
      <c r="E1464" t="s">
        <v>613</v>
      </c>
      <c r="F1464" t="str">
        <f>_xlfn.XLOOKUP(C1464,gwas_metab_name_map!C:C,gwas_metab_name_map!D:D,"")</f>
        <v>metab_lapct</v>
      </c>
      <c r="G1464" s="3"/>
      <c r="H1464" s="3"/>
    </row>
    <row r="1465" spans="1:8" x14ac:dyDescent="0.2">
      <c r="A1465" s="3" t="s">
        <v>16858</v>
      </c>
      <c r="B1465" s="3" t="s">
        <v>14358</v>
      </c>
      <c r="C1465" s="3" t="s">
        <v>596</v>
      </c>
      <c r="D1465" s="3" t="s">
        <v>15896</v>
      </c>
      <c r="E1465" t="s">
        <v>595</v>
      </c>
      <c r="F1465" t="str">
        <f>_xlfn.XLOOKUP(C1465,gwas_metab_name_map!C:C,gwas_metab_name_map!D:D,"")</f>
        <v>metab_lactate</v>
      </c>
      <c r="G1465" s="3"/>
      <c r="H1465" s="3"/>
    </row>
    <row r="1466" spans="1:8" x14ac:dyDescent="0.2">
      <c r="A1466" s="3" t="s">
        <v>16859</v>
      </c>
      <c r="B1466" s="3" t="s">
        <v>14358</v>
      </c>
      <c r="C1466" s="3" t="s">
        <v>1091</v>
      </c>
      <c r="D1466" s="3" t="s">
        <v>16860</v>
      </c>
      <c r="E1466" t="s">
        <v>11158</v>
      </c>
      <c r="F1466" t="s">
        <v>600</v>
      </c>
      <c r="G1466" s="3"/>
      <c r="H1466" s="3"/>
    </row>
    <row r="1467" spans="1:8" x14ac:dyDescent="0.2">
      <c r="A1467" s="3" t="s">
        <v>16861</v>
      </c>
      <c r="B1467" s="3" t="s">
        <v>14358</v>
      </c>
      <c r="C1467" s="3" t="s">
        <v>59</v>
      </c>
      <c r="D1467" s="3" t="s">
        <v>16862</v>
      </c>
      <c r="E1467" t="s">
        <v>59</v>
      </c>
      <c r="F1467" t="str">
        <f>_xlfn.XLOOKUP(C1467,gwas_metab_name_map!C:C,gwas_metab_name_map!D:D,"")</f>
        <v>metab_ldlsize</v>
      </c>
      <c r="G1467" s="3"/>
      <c r="H1467" s="3"/>
    </row>
    <row r="1468" spans="1:8" x14ac:dyDescent="0.2">
      <c r="A1468" s="3" t="s">
        <v>16863</v>
      </c>
      <c r="B1468" s="3" t="s">
        <v>14358</v>
      </c>
      <c r="C1468" s="3" t="s">
        <v>963</v>
      </c>
      <c r="D1468" s="3" t="s">
        <v>16860</v>
      </c>
      <c r="E1468" t="s">
        <v>19763</v>
      </c>
      <c r="F1468" t="str">
        <f>_xlfn.XLOOKUP(C1468,gwas_metab_name_map!C:C,gwas_metab_name_map!D:D,"")</f>
        <v>metab_ldltg</v>
      </c>
      <c r="G1468" s="3"/>
      <c r="H1468" s="3"/>
    </row>
    <row r="1469" spans="1:8" x14ac:dyDescent="0.2">
      <c r="A1469" s="3" t="s">
        <v>16863</v>
      </c>
      <c r="B1469" s="3" t="s">
        <v>14358</v>
      </c>
      <c r="C1469" s="3" t="s">
        <v>963</v>
      </c>
      <c r="D1469" s="3" t="s">
        <v>16802</v>
      </c>
      <c r="E1469" t="s">
        <v>19763</v>
      </c>
      <c r="F1469" t="str">
        <f>_xlfn.XLOOKUP(C1469,gwas_metab_name_map!C:C,gwas_metab_name_map!D:D,"")</f>
        <v>metab_ldltg</v>
      </c>
      <c r="G1469" s="3"/>
      <c r="H1469" s="3"/>
    </row>
    <row r="1470" spans="1:8" x14ac:dyDescent="0.2">
      <c r="A1470" s="3" t="s">
        <v>16864</v>
      </c>
      <c r="B1470" s="3" t="s">
        <v>14358</v>
      </c>
      <c r="C1470" s="3" t="s">
        <v>604</v>
      </c>
      <c r="D1470" s="3" t="s">
        <v>15858</v>
      </c>
      <c r="E1470" t="s">
        <v>603</v>
      </c>
      <c r="F1470" t="str">
        <f>_xlfn.XLOOKUP(C1470,gwas_metab_name_map!C:C,gwas_metab_name_map!D:D,"")</f>
        <v>metab_leu</v>
      </c>
      <c r="G1470" s="3"/>
      <c r="H1470" s="3"/>
    </row>
    <row r="1471" spans="1:8" x14ac:dyDescent="0.2">
      <c r="A1471" s="3" t="s">
        <v>16865</v>
      </c>
      <c r="B1471" s="3" t="s">
        <v>14358</v>
      </c>
      <c r="C1471" s="3" t="s">
        <v>81</v>
      </c>
      <c r="D1471" s="3" t="s">
        <v>16825</v>
      </c>
      <c r="E1471" t="s">
        <v>81</v>
      </c>
      <c r="F1471" t="str">
        <f>_xlfn.XLOOKUP(C1471,gwas_metab_name_map!C:C,gwas_metab_name_map!D:D,"")</f>
        <v>metab_lhdlc</v>
      </c>
      <c r="G1471" s="3"/>
      <c r="H1471" s="3"/>
    </row>
    <row r="1472" spans="1:8" x14ac:dyDescent="0.2">
      <c r="A1472" s="3" t="s">
        <v>16865</v>
      </c>
      <c r="B1472" s="3" t="s">
        <v>14358</v>
      </c>
      <c r="C1472" s="3" t="s">
        <v>81</v>
      </c>
      <c r="D1472" s="3" t="s">
        <v>16866</v>
      </c>
      <c r="E1472" t="s">
        <v>81</v>
      </c>
      <c r="F1472" t="str">
        <f>_xlfn.XLOOKUP(C1472,gwas_metab_name_map!C:C,gwas_metab_name_map!D:D,"")</f>
        <v>metab_lhdlc</v>
      </c>
      <c r="G1472" s="3"/>
      <c r="H1472" s="3"/>
    </row>
    <row r="1473" spans="1:8" x14ac:dyDescent="0.2">
      <c r="A1473" s="3" t="s">
        <v>16867</v>
      </c>
      <c r="B1473" s="3" t="s">
        <v>14358</v>
      </c>
      <c r="C1473" s="3" t="s">
        <v>153</v>
      </c>
      <c r="D1473" s="3" t="s">
        <v>16825</v>
      </c>
      <c r="E1473" t="s">
        <v>153</v>
      </c>
      <c r="F1473" t="str">
        <f>_xlfn.XLOOKUP(C1473,gwas_metab_name_map!C:C,gwas_metab_name_map!D:D,"")</f>
        <v>metab_lhdlcpct</v>
      </c>
      <c r="G1473" s="3"/>
      <c r="H1473" s="3"/>
    </row>
    <row r="1474" spans="1:8" x14ac:dyDescent="0.2">
      <c r="A1474" s="3" t="s">
        <v>16867</v>
      </c>
      <c r="B1474" s="3" t="s">
        <v>14358</v>
      </c>
      <c r="C1474" s="3" t="s">
        <v>153</v>
      </c>
      <c r="D1474" s="3" t="s">
        <v>16836</v>
      </c>
      <c r="E1474" t="s">
        <v>153</v>
      </c>
      <c r="F1474" t="str">
        <f>_xlfn.XLOOKUP(C1474,gwas_metab_name_map!C:C,gwas_metab_name_map!D:D,"")</f>
        <v>metab_lhdlcpct</v>
      </c>
      <c r="G1474" s="3"/>
      <c r="H1474" s="3"/>
    </row>
    <row r="1475" spans="1:8" x14ac:dyDescent="0.2">
      <c r="A1475" s="3" t="s">
        <v>16868</v>
      </c>
      <c r="B1475" s="3" t="s">
        <v>14358</v>
      </c>
      <c r="C1475" s="3" t="s">
        <v>227</v>
      </c>
      <c r="D1475" s="3" t="s">
        <v>16869</v>
      </c>
      <c r="E1475" t="s">
        <v>227</v>
      </c>
      <c r="F1475" t="str">
        <f>_xlfn.XLOOKUP(C1475,gwas_metab_name_map!C:C,gwas_metab_name_map!D:D,"")</f>
        <v>metab_lhdlce</v>
      </c>
      <c r="G1475" s="3"/>
      <c r="H1475" s="3"/>
    </row>
    <row r="1476" spans="1:8" x14ac:dyDescent="0.2">
      <c r="A1476" s="3" t="s">
        <v>16870</v>
      </c>
      <c r="B1476" s="3" t="s">
        <v>14358</v>
      </c>
      <c r="C1476" s="3" t="s">
        <v>291</v>
      </c>
      <c r="D1476" s="3" t="s">
        <v>16825</v>
      </c>
      <c r="E1476" t="s">
        <v>291</v>
      </c>
      <c r="F1476" t="str">
        <f>_xlfn.XLOOKUP(C1476,gwas_metab_name_map!C:C,gwas_metab_name_map!D:D,"")</f>
        <v>metab_lhdlcepct</v>
      </c>
      <c r="G1476" s="3"/>
      <c r="H1476" s="3"/>
    </row>
    <row r="1477" spans="1:8" x14ac:dyDescent="0.2">
      <c r="A1477" s="3" t="s">
        <v>16870</v>
      </c>
      <c r="B1477" s="3" t="s">
        <v>14358</v>
      </c>
      <c r="C1477" s="3" t="s">
        <v>291</v>
      </c>
      <c r="D1477" s="3" t="s">
        <v>16839</v>
      </c>
      <c r="E1477" t="s">
        <v>291</v>
      </c>
      <c r="F1477" t="str">
        <f>_xlfn.XLOOKUP(C1477,gwas_metab_name_map!C:C,gwas_metab_name_map!D:D,"")</f>
        <v>metab_lhdlcepct</v>
      </c>
      <c r="G1477" s="3"/>
      <c r="H1477" s="3"/>
    </row>
    <row r="1478" spans="1:8" x14ac:dyDescent="0.2">
      <c r="A1478" s="3" t="s">
        <v>16871</v>
      </c>
      <c r="B1478" s="3" t="s">
        <v>14358</v>
      </c>
      <c r="C1478" s="3" t="s">
        <v>453</v>
      </c>
      <c r="D1478" s="3" t="s">
        <v>16872</v>
      </c>
      <c r="E1478" t="s">
        <v>453</v>
      </c>
      <c r="F1478" t="str">
        <f>_xlfn.XLOOKUP(C1478,gwas_metab_name_map!C:C,gwas_metab_name_map!D:D,"")</f>
        <v>metab_lhdlfc</v>
      </c>
      <c r="G1478" s="3"/>
      <c r="H1478" s="3"/>
    </row>
    <row r="1479" spans="1:8" x14ac:dyDescent="0.2">
      <c r="A1479" s="3" t="s">
        <v>16873</v>
      </c>
      <c r="B1479" s="3" t="s">
        <v>14358</v>
      </c>
      <c r="C1479" s="3" t="s">
        <v>517</v>
      </c>
      <c r="D1479" s="3" t="s">
        <v>16825</v>
      </c>
      <c r="E1479" t="s">
        <v>517</v>
      </c>
      <c r="F1479" t="str">
        <f>_xlfn.XLOOKUP(C1479,gwas_metab_name_map!C:C,gwas_metab_name_map!D:D,"")</f>
        <v>metab_lhdlfcpct</v>
      </c>
      <c r="G1479" s="3"/>
      <c r="H1479" s="3"/>
    </row>
    <row r="1480" spans="1:8" x14ac:dyDescent="0.2">
      <c r="A1480" s="3" t="s">
        <v>16873</v>
      </c>
      <c r="B1480" s="3" t="s">
        <v>14358</v>
      </c>
      <c r="C1480" s="3" t="s">
        <v>517</v>
      </c>
      <c r="D1480" s="3" t="s">
        <v>16843</v>
      </c>
      <c r="E1480" t="s">
        <v>517</v>
      </c>
      <c r="F1480" t="str">
        <f>_xlfn.XLOOKUP(C1480,gwas_metab_name_map!C:C,gwas_metab_name_map!D:D,"")</f>
        <v>metab_lhdlfcpct</v>
      </c>
      <c r="G1480" s="3"/>
      <c r="H1480" s="3"/>
    </row>
    <row r="1481" spans="1:8" x14ac:dyDescent="0.2">
      <c r="A1481" s="3" t="s">
        <v>16874</v>
      </c>
      <c r="B1481" s="3" t="s">
        <v>14358</v>
      </c>
      <c r="C1481" s="3" t="s">
        <v>868</v>
      </c>
      <c r="D1481" s="3" t="s">
        <v>16875</v>
      </c>
      <c r="E1481" t="s">
        <v>868</v>
      </c>
      <c r="F1481" t="str">
        <f>_xlfn.XLOOKUP(C1481,gwas_metab_name_map!C:C,gwas_metab_name_map!D:D,"")</f>
        <v>metab_lhdll</v>
      </c>
      <c r="G1481" s="3"/>
      <c r="H1481" s="3"/>
    </row>
    <row r="1482" spans="1:8" x14ac:dyDescent="0.2">
      <c r="A1482" s="3" t="s">
        <v>16876</v>
      </c>
      <c r="B1482" s="3" t="s">
        <v>14358</v>
      </c>
      <c r="C1482" s="3" t="s">
        <v>363</v>
      </c>
      <c r="D1482" s="3" t="s">
        <v>16825</v>
      </c>
      <c r="E1482" t="s">
        <v>363</v>
      </c>
      <c r="F1482" t="str">
        <f>_xlfn.XLOOKUP(C1482,gwas_metab_name_map!C:C,gwas_metab_name_map!D:D,"")</f>
        <v>metab_lhdlp</v>
      </c>
      <c r="G1482" s="3"/>
      <c r="H1482" s="3"/>
    </row>
    <row r="1483" spans="1:8" x14ac:dyDescent="0.2">
      <c r="A1483" s="3" t="s">
        <v>16877</v>
      </c>
      <c r="B1483" s="3" t="s">
        <v>14358</v>
      </c>
      <c r="C1483" s="3" t="s">
        <v>675</v>
      </c>
      <c r="D1483" s="3" t="s">
        <v>16878</v>
      </c>
      <c r="E1483" t="s">
        <v>675</v>
      </c>
      <c r="F1483" t="str">
        <f>_xlfn.XLOOKUP(C1483,gwas_metab_name_map!C:C,gwas_metab_name_map!D:D,"")</f>
        <v>metab_lhdlpl</v>
      </c>
      <c r="G1483" s="3"/>
      <c r="H1483" s="3"/>
    </row>
    <row r="1484" spans="1:8" x14ac:dyDescent="0.2">
      <c r="A1484" s="3" t="s">
        <v>16879</v>
      </c>
      <c r="B1484" s="3" t="s">
        <v>14358</v>
      </c>
      <c r="C1484" s="3" t="s">
        <v>737</v>
      </c>
      <c r="D1484" s="3" t="s">
        <v>16825</v>
      </c>
      <c r="E1484" t="s">
        <v>737</v>
      </c>
      <c r="F1484" t="str">
        <f>_xlfn.XLOOKUP(C1484,gwas_metab_name_map!C:C,gwas_metab_name_map!D:D,"")</f>
        <v>metab_lhdlplpct</v>
      </c>
      <c r="G1484" s="3"/>
      <c r="H1484" s="3"/>
    </row>
    <row r="1485" spans="1:8" x14ac:dyDescent="0.2">
      <c r="A1485" s="3" t="s">
        <v>16879</v>
      </c>
      <c r="B1485" s="3" t="s">
        <v>14358</v>
      </c>
      <c r="C1485" s="3" t="s">
        <v>737</v>
      </c>
      <c r="D1485" s="3" t="s">
        <v>16850</v>
      </c>
      <c r="E1485" t="s">
        <v>737</v>
      </c>
      <c r="F1485" t="str">
        <f>_xlfn.XLOOKUP(C1485,gwas_metab_name_map!C:C,gwas_metab_name_map!D:D,"")</f>
        <v>metab_lhdlplpct</v>
      </c>
      <c r="G1485" s="3"/>
      <c r="H1485" s="3"/>
    </row>
    <row r="1486" spans="1:8" x14ac:dyDescent="0.2">
      <c r="A1486" s="3" t="s">
        <v>16880</v>
      </c>
      <c r="B1486" s="3" t="s">
        <v>14358</v>
      </c>
      <c r="C1486" s="3" t="s">
        <v>951</v>
      </c>
      <c r="D1486" s="3" t="s">
        <v>16881</v>
      </c>
      <c r="E1486" t="s">
        <v>951</v>
      </c>
      <c r="F1486" t="str">
        <f>_xlfn.XLOOKUP(C1486,gwas_metab_name_map!C:C,gwas_metab_name_map!D:D,"")</f>
        <v>metab_lhdltg</v>
      </c>
      <c r="G1486" s="3"/>
      <c r="H1486" s="3"/>
    </row>
    <row r="1487" spans="1:8" x14ac:dyDescent="0.2">
      <c r="A1487" s="3" t="s">
        <v>16882</v>
      </c>
      <c r="B1487" s="3" t="s">
        <v>14358</v>
      </c>
      <c r="C1487" s="3" t="s">
        <v>1022</v>
      </c>
      <c r="D1487" s="3" t="s">
        <v>16825</v>
      </c>
      <c r="E1487" t="s">
        <v>1022</v>
      </c>
      <c r="F1487" t="str">
        <f>_xlfn.XLOOKUP(C1487,gwas_metab_name_map!C:C,gwas_metab_name_map!D:D,"")</f>
        <v>metab_lhdltgpct</v>
      </c>
      <c r="G1487" s="3"/>
      <c r="H1487" s="3"/>
    </row>
    <row r="1488" spans="1:8" x14ac:dyDescent="0.2">
      <c r="A1488" s="3" t="s">
        <v>16882</v>
      </c>
      <c r="B1488" s="3" t="s">
        <v>14358</v>
      </c>
      <c r="C1488" s="3" t="s">
        <v>1022</v>
      </c>
      <c r="D1488" s="3" t="s">
        <v>16854</v>
      </c>
      <c r="E1488" t="s">
        <v>1022</v>
      </c>
      <c r="F1488" t="str">
        <f>_xlfn.XLOOKUP(C1488,gwas_metab_name_map!C:C,gwas_metab_name_map!D:D,"")</f>
        <v>metab_lhdltgpct</v>
      </c>
      <c r="G1488" s="3"/>
      <c r="H1488" s="3"/>
    </row>
    <row r="1489" spans="1:8" x14ac:dyDescent="0.2">
      <c r="A1489" s="3" t="s">
        <v>16883</v>
      </c>
      <c r="B1489" s="3" t="s">
        <v>14358</v>
      </c>
      <c r="C1489" s="3" t="s">
        <v>86</v>
      </c>
      <c r="D1489" s="3" t="s">
        <v>16884</v>
      </c>
      <c r="E1489" t="s">
        <v>86</v>
      </c>
      <c r="F1489" t="str">
        <f>_xlfn.XLOOKUP(C1489,gwas_metab_name_map!C:C,gwas_metab_name_map!D:D,"")</f>
        <v>metab_lldlc</v>
      </c>
      <c r="G1489" s="3"/>
      <c r="H1489" s="3"/>
    </row>
    <row r="1490" spans="1:8" x14ac:dyDescent="0.2">
      <c r="A1490" s="3" t="s">
        <v>16885</v>
      </c>
      <c r="B1490" s="3" t="s">
        <v>14358</v>
      </c>
      <c r="C1490" s="3" t="s">
        <v>158</v>
      </c>
      <c r="D1490" s="3" t="s">
        <v>16860</v>
      </c>
      <c r="E1490" t="s">
        <v>158</v>
      </c>
      <c r="F1490" t="str">
        <f>_xlfn.XLOOKUP(C1490,gwas_metab_name_map!C:C,gwas_metab_name_map!D:D,"")</f>
        <v>metab_lldlcpct</v>
      </c>
      <c r="G1490" s="3"/>
      <c r="H1490" s="3"/>
    </row>
    <row r="1491" spans="1:8" x14ac:dyDescent="0.2">
      <c r="A1491" s="3" t="s">
        <v>16885</v>
      </c>
      <c r="B1491" s="3" t="s">
        <v>14358</v>
      </c>
      <c r="C1491" s="3" t="s">
        <v>158</v>
      </c>
      <c r="D1491" s="3" t="s">
        <v>16836</v>
      </c>
      <c r="E1491" t="s">
        <v>158</v>
      </c>
      <c r="F1491" t="str">
        <f>_xlfn.XLOOKUP(C1491,gwas_metab_name_map!C:C,gwas_metab_name_map!D:D,"")</f>
        <v>metab_lldlcpct</v>
      </c>
      <c r="G1491" s="3"/>
      <c r="H1491" s="3"/>
    </row>
    <row r="1492" spans="1:8" x14ac:dyDescent="0.2">
      <c r="A1492" s="3" t="s">
        <v>16886</v>
      </c>
      <c r="B1492" s="3" t="s">
        <v>14358</v>
      </c>
      <c r="C1492" s="3" t="s">
        <v>231</v>
      </c>
      <c r="D1492" s="3" t="s">
        <v>16887</v>
      </c>
      <c r="E1492" t="s">
        <v>231</v>
      </c>
      <c r="F1492" t="str">
        <f>_xlfn.XLOOKUP(C1492,gwas_metab_name_map!C:C,gwas_metab_name_map!D:D,"")</f>
        <v>metab_lldlce</v>
      </c>
      <c r="G1492" s="3"/>
      <c r="H1492" s="3"/>
    </row>
    <row r="1493" spans="1:8" x14ac:dyDescent="0.2">
      <c r="A1493" s="3" t="s">
        <v>16888</v>
      </c>
      <c r="B1493" s="3" t="s">
        <v>14358</v>
      </c>
      <c r="C1493" s="3" t="s">
        <v>295</v>
      </c>
      <c r="D1493" s="3" t="s">
        <v>16860</v>
      </c>
      <c r="E1493" t="s">
        <v>295</v>
      </c>
      <c r="F1493" t="str">
        <f>_xlfn.XLOOKUP(C1493,gwas_metab_name_map!C:C,gwas_metab_name_map!D:D,"")</f>
        <v>metab_lldlcepct</v>
      </c>
      <c r="G1493" s="3"/>
      <c r="H1493" s="3"/>
    </row>
    <row r="1494" spans="1:8" x14ac:dyDescent="0.2">
      <c r="A1494" s="3" t="s">
        <v>16888</v>
      </c>
      <c r="B1494" s="3" t="s">
        <v>14358</v>
      </c>
      <c r="C1494" s="3" t="s">
        <v>295</v>
      </c>
      <c r="D1494" s="3" t="s">
        <v>16839</v>
      </c>
      <c r="E1494" t="s">
        <v>295</v>
      </c>
      <c r="F1494" t="str">
        <f>_xlfn.XLOOKUP(C1494,gwas_metab_name_map!C:C,gwas_metab_name_map!D:D,"")</f>
        <v>metab_lldlcepct</v>
      </c>
      <c r="G1494" s="3"/>
      <c r="H1494" s="3"/>
    </row>
    <row r="1495" spans="1:8" x14ac:dyDescent="0.2">
      <c r="A1495" s="3" t="s">
        <v>16889</v>
      </c>
      <c r="B1495" s="3" t="s">
        <v>14358</v>
      </c>
      <c r="C1495" s="3" t="s">
        <v>457</v>
      </c>
      <c r="D1495" s="3" t="s">
        <v>16890</v>
      </c>
      <c r="E1495" t="s">
        <v>457</v>
      </c>
      <c r="F1495" t="str">
        <f>_xlfn.XLOOKUP(C1495,gwas_metab_name_map!C:C,gwas_metab_name_map!D:D,"")</f>
        <v>metab_lldlfc</v>
      </c>
      <c r="G1495" s="3"/>
      <c r="H1495" s="3"/>
    </row>
    <row r="1496" spans="1:8" x14ac:dyDescent="0.2">
      <c r="A1496" s="3" t="s">
        <v>16891</v>
      </c>
      <c r="B1496" s="3" t="s">
        <v>14358</v>
      </c>
      <c r="C1496" s="3" t="s">
        <v>521</v>
      </c>
      <c r="D1496" s="3" t="s">
        <v>16860</v>
      </c>
      <c r="E1496" t="s">
        <v>521</v>
      </c>
      <c r="F1496" t="str">
        <f>_xlfn.XLOOKUP(C1496,gwas_metab_name_map!C:C,gwas_metab_name_map!D:D,"")</f>
        <v>metab_lldlfcpct</v>
      </c>
      <c r="G1496" s="3"/>
      <c r="H1496" s="3"/>
    </row>
    <row r="1497" spans="1:8" x14ac:dyDescent="0.2">
      <c r="A1497" s="3" t="s">
        <v>16891</v>
      </c>
      <c r="B1497" s="3" t="s">
        <v>14358</v>
      </c>
      <c r="C1497" s="3" t="s">
        <v>521</v>
      </c>
      <c r="D1497" s="3" t="s">
        <v>16843</v>
      </c>
      <c r="E1497" t="s">
        <v>521</v>
      </c>
      <c r="F1497" t="str">
        <f>_xlfn.XLOOKUP(C1497,gwas_metab_name_map!C:C,gwas_metab_name_map!D:D,"")</f>
        <v>metab_lldlfcpct</v>
      </c>
      <c r="G1497" s="3"/>
      <c r="H1497" s="3"/>
    </row>
    <row r="1498" spans="1:8" x14ac:dyDescent="0.2">
      <c r="A1498" s="3" t="s">
        <v>16892</v>
      </c>
      <c r="B1498" s="3" t="s">
        <v>14358</v>
      </c>
      <c r="C1498" s="3" t="s">
        <v>872</v>
      </c>
      <c r="D1498" s="3" t="s">
        <v>16893</v>
      </c>
      <c r="E1498" t="s">
        <v>872</v>
      </c>
      <c r="F1498" t="str">
        <f>_xlfn.XLOOKUP(C1498,gwas_metab_name_map!C:C,gwas_metab_name_map!D:D,"")</f>
        <v>metab_lldll</v>
      </c>
      <c r="G1498" s="3"/>
      <c r="H1498" s="3"/>
    </row>
    <row r="1499" spans="1:8" x14ac:dyDescent="0.2">
      <c r="A1499" s="3" t="s">
        <v>16894</v>
      </c>
      <c r="B1499" s="3" t="s">
        <v>14358</v>
      </c>
      <c r="C1499" s="3" t="s">
        <v>367</v>
      </c>
      <c r="D1499" s="3" t="s">
        <v>16860</v>
      </c>
      <c r="E1499" t="s">
        <v>367</v>
      </c>
      <c r="F1499" t="str">
        <f>_xlfn.XLOOKUP(C1499,gwas_metab_name_map!C:C,gwas_metab_name_map!D:D,"")</f>
        <v>metab_lldlp</v>
      </c>
      <c r="G1499" s="3"/>
      <c r="H1499" s="3"/>
    </row>
    <row r="1500" spans="1:8" x14ac:dyDescent="0.2">
      <c r="A1500" s="3" t="s">
        <v>16895</v>
      </c>
      <c r="B1500" s="3" t="s">
        <v>14358</v>
      </c>
      <c r="C1500" s="3" t="s">
        <v>679</v>
      </c>
      <c r="D1500" s="3" t="s">
        <v>16896</v>
      </c>
      <c r="E1500" t="s">
        <v>679</v>
      </c>
      <c r="F1500" t="str">
        <f>_xlfn.XLOOKUP(C1500,gwas_metab_name_map!C:C,gwas_metab_name_map!D:D,"")</f>
        <v>metab_lldlpl</v>
      </c>
      <c r="G1500" s="3"/>
      <c r="H1500" s="3"/>
    </row>
    <row r="1501" spans="1:8" x14ac:dyDescent="0.2">
      <c r="A1501" s="3" t="s">
        <v>16897</v>
      </c>
      <c r="B1501" s="3" t="s">
        <v>14358</v>
      </c>
      <c r="C1501" s="3" t="s">
        <v>741</v>
      </c>
      <c r="D1501" s="3" t="s">
        <v>16860</v>
      </c>
      <c r="E1501" t="s">
        <v>741</v>
      </c>
      <c r="F1501" t="str">
        <f>_xlfn.XLOOKUP(C1501,gwas_metab_name_map!C:C,gwas_metab_name_map!D:D,"")</f>
        <v>metab_lldlplpct</v>
      </c>
      <c r="G1501" s="3"/>
      <c r="H1501" s="3"/>
    </row>
    <row r="1502" spans="1:8" x14ac:dyDescent="0.2">
      <c r="A1502" s="3" t="s">
        <v>16897</v>
      </c>
      <c r="B1502" s="3" t="s">
        <v>14358</v>
      </c>
      <c r="C1502" s="3" t="s">
        <v>741</v>
      </c>
      <c r="D1502" s="3" t="s">
        <v>16850</v>
      </c>
      <c r="E1502" t="s">
        <v>741</v>
      </c>
      <c r="F1502" t="str">
        <f>_xlfn.XLOOKUP(C1502,gwas_metab_name_map!C:C,gwas_metab_name_map!D:D,"")</f>
        <v>metab_lldlplpct</v>
      </c>
      <c r="G1502" s="3"/>
      <c r="H1502" s="3"/>
    </row>
    <row r="1503" spans="1:8" x14ac:dyDescent="0.2">
      <c r="A1503" s="3" t="s">
        <v>16898</v>
      </c>
      <c r="B1503" s="3" t="s">
        <v>14358</v>
      </c>
      <c r="C1503" s="3" t="s">
        <v>955</v>
      </c>
      <c r="D1503" s="3" t="s">
        <v>16899</v>
      </c>
      <c r="E1503" t="s">
        <v>955</v>
      </c>
      <c r="F1503" t="str">
        <f>_xlfn.XLOOKUP(C1503,gwas_metab_name_map!C:C,gwas_metab_name_map!D:D,"")</f>
        <v>metab_lldltg</v>
      </c>
      <c r="G1503" s="3"/>
      <c r="H1503" s="3"/>
    </row>
    <row r="1504" spans="1:8" x14ac:dyDescent="0.2">
      <c r="A1504" s="3" t="s">
        <v>16900</v>
      </c>
      <c r="B1504" s="3" t="s">
        <v>14358</v>
      </c>
      <c r="C1504" s="3" t="s">
        <v>1026</v>
      </c>
      <c r="D1504" s="3" t="s">
        <v>16860</v>
      </c>
      <c r="E1504" t="s">
        <v>1026</v>
      </c>
      <c r="F1504" t="str">
        <f>_xlfn.XLOOKUP(C1504,gwas_metab_name_map!C:C,gwas_metab_name_map!D:D,"")</f>
        <v>metab_lldltgpct</v>
      </c>
      <c r="G1504" s="3"/>
      <c r="H1504" s="3"/>
    </row>
    <row r="1505" spans="1:8" x14ac:dyDescent="0.2">
      <c r="A1505" s="3" t="s">
        <v>16900</v>
      </c>
      <c r="B1505" s="3" t="s">
        <v>14358</v>
      </c>
      <c r="C1505" s="3" t="s">
        <v>1026</v>
      </c>
      <c r="D1505" s="3" t="s">
        <v>16854</v>
      </c>
      <c r="E1505" t="s">
        <v>1026</v>
      </c>
      <c r="F1505" t="str">
        <f>_xlfn.XLOOKUP(C1505,gwas_metab_name_map!C:C,gwas_metab_name_map!D:D,"")</f>
        <v>metab_lldltgpct</v>
      </c>
      <c r="G1505" s="3"/>
      <c r="H1505" s="3"/>
    </row>
    <row r="1506" spans="1:8" x14ac:dyDescent="0.2">
      <c r="A1506" s="3" t="s">
        <v>16901</v>
      </c>
      <c r="B1506" s="3" t="s">
        <v>14358</v>
      </c>
      <c r="C1506" s="3" t="s">
        <v>91</v>
      </c>
      <c r="D1506" s="3" t="s">
        <v>16902</v>
      </c>
      <c r="E1506" t="s">
        <v>91</v>
      </c>
      <c r="F1506" t="str">
        <f>_xlfn.XLOOKUP(C1506,gwas_metab_name_map!C:C,gwas_metab_name_map!D:D,"")</f>
        <v>metab_lvldlc</v>
      </c>
      <c r="G1506" s="3"/>
      <c r="H1506" s="3"/>
    </row>
    <row r="1507" spans="1:8" x14ac:dyDescent="0.2">
      <c r="A1507" s="3" t="s">
        <v>16903</v>
      </c>
      <c r="B1507" s="3" t="s">
        <v>14358</v>
      </c>
      <c r="C1507" s="3" t="s">
        <v>163</v>
      </c>
      <c r="D1507" s="3" t="s">
        <v>16904</v>
      </c>
      <c r="E1507" t="s">
        <v>163</v>
      </c>
      <c r="F1507" t="str">
        <f>_xlfn.XLOOKUP(C1507,gwas_metab_name_map!C:C,gwas_metab_name_map!D:D,"")</f>
        <v>metab_lvldlcpct</v>
      </c>
      <c r="G1507" s="3"/>
      <c r="H1507" s="3"/>
    </row>
    <row r="1508" spans="1:8" x14ac:dyDescent="0.2">
      <c r="A1508" s="3" t="s">
        <v>16903</v>
      </c>
      <c r="B1508" s="3" t="s">
        <v>14358</v>
      </c>
      <c r="C1508" s="3" t="s">
        <v>163</v>
      </c>
      <c r="D1508" s="3" t="s">
        <v>16836</v>
      </c>
      <c r="E1508" t="s">
        <v>163</v>
      </c>
      <c r="F1508" t="str">
        <f>_xlfn.XLOOKUP(C1508,gwas_metab_name_map!C:C,gwas_metab_name_map!D:D,"")</f>
        <v>metab_lvldlcpct</v>
      </c>
      <c r="G1508" s="3"/>
      <c r="H1508" s="3"/>
    </row>
    <row r="1509" spans="1:8" x14ac:dyDescent="0.2">
      <c r="A1509" s="3" t="s">
        <v>16905</v>
      </c>
      <c r="B1509" s="3" t="s">
        <v>14358</v>
      </c>
      <c r="C1509" s="3" t="s">
        <v>235</v>
      </c>
      <c r="D1509" s="3" t="s">
        <v>16906</v>
      </c>
      <c r="E1509" t="s">
        <v>235</v>
      </c>
      <c r="F1509" t="str">
        <f>_xlfn.XLOOKUP(C1509,gwas_metab_name_map!C:C,gwas_metab_name_map!D:D,"")</f>
        <v>metab_lvldlce</v>
      </c>
      <c r="G1509" s="3"/>
      <c r="H1509" s="3"/>
    </row>
    <row r="1510" spans="1:8" x14ac:dyDescent="0.2">
      <c r="A1510" s="3" t="s">
        <v>16907</v>
      </c>
      <c r="B1510" s="3" t="s">
        <v>14358</v>
      </c>
      <c r="C1510" s="3" t="s">
        <v>299</v>
      </c>
      <c r="D1510" s="3" t="s">
        <v>16839</v>
      </c>
      <c r="E1510" t="s">
        <v>299</v>
      </c>
      <c r="F1510" t="str">
        <f>_xlfn.XLOOKUP(C1510,gwas_metab_name_map!C:C,gwas_metab_name_map!D:D,"")</f>
        <v>metab_lvldlcepct</v>
      </c>
      <c r="G1510" s="3"/>
      <c r="H1510" s="3"/>
    </row>
    <row r="1511" spans="1:8" x14ac:dyDescent="0.2">
      <c r="A1511" s="3" t="s">
        <v>16907</v>
      </c>
      <c r="B1511" s="3" t="s">
        <v>14358</v>
      </c>
      <c r="C1511" s="3" t="s">
        <v>299</v>
      </c>
      <c r="D1511" s="3" t="s">
        <v>16904</v>
      </c>
      <c r="E1511" t="s">
        <v>299</v>
      </c>
      <c r="F1511" t="str">
        <f>_xlfn.XLOOKUP(C1511,gwas_metab_name_map!C:C,gwas_metab_name_map!D:D,"")</f>
        <v>metab_lvldlcepct</v>
      </c>
      <c r="G1511" s="3"/>
      <c r="H1511" s="3"/>
    </row>
    <row r="1512" spans="1:8" x14ac:dyDescent="0.2">
      <c r="A1512" s="3" t="s">
        <v>16908</v>
      </c>
      <c r="B1512" s="3" t="s">
        <v>14358</v>
      </c>
      <c r="C1512" s="3" t="s">
        <v>461</v>
      </c>
      <c r="D1512" s="3" t="s">
        <v>16909</v>
      </c>
      <c r="E1512" t="s">
        <v>461</v>
      </c>
      <c r="F1512" t="str">
        <f>_xlfn.XLOOKUP(C1512,gwas_metab_name_map!C:C,gwas_metab_name_map!D:D,"")</f>
        <v>metab_lvldlfc</v>
      </c>
      <c r="G1512" s="3"/>
      <c r="H1512" s="3"/>
    </row>
    <row r="1513" spans="1:8" x14ac:dyDescent="0.2">
      <c r="A1513" s="3" t="s">
        <v>16910</v>
      </c>
      <c r="B1513" s="3" t="s">
        <v>14358</v>
      </c>
      <c r="C1513" s="3" t="s">
        <v>525</v>
      </c>
      <c r="D1513" s="3" t="s">
        <v>16904</v>
      </c>
      <c r="E1513" t="s">
        <v>525</v>
      </c>
      <c r="F1513" t="str">
        <f>_xlfn.XLOOKUP(C1513,gwas_metab_name_map!C:C,gwas_metab_name_map!D:D,"")</f>
        <v>metab_lvldlfcpct</v>
      </c>
      <c r="G1513" s="3"/>
      <c r="H1513" s="3"/>
    </row>
    <row r="1514" spans="1:8" x14ac:dyDescent="0.2">
      <c r="A1514" s="3" t="s">
        <v>16910</v>
      </c>
      <c r="B1514" s="3" t="s">
        <v>14358</v>
      </c>
      <c r="C1514" s="3" t="s">
        <v>525</v>
      </c>
      <c r="D1514" s="3" t="s">
        <v>16843</v>
      </c>
      <c r="E1514" t="s">
        <v>525</v>
      </c>
      <c r="F1514" t="str">
        <f>_xlfn.XLOOKUP(C1514,gwas_metab_name_map!C:C,gwas_metab_name_map!D:D,"")</f>
        <v>metab_lvldlfcpct</v>
      </c>
      <c r="G1514" s="3"/>
      <c r="H1514" s="3"/>
    </row>
    <row r="1515" spans="1:8" x14ac:dyDescent="0.2">
      <c r="A1515" s="3" t="s">
        <v>16911</v>
      </c>
      <c r="B1515" s="3" t="s">
        <v>14358</v>
      </c>
      <c r="C1515" s="3" t="s">
        <v>876</v>
      </c>
      <c r="D1515" s="3" t="s">
        <v>16912</v>
      </c>
      <c r="E1515" t="s">
        <v>876</v>
      </c>
      <c r="F1515" t="str">
        <f>_xlfn.XLOOKUP(C1515,gwas_metab_name_map!C:C,gwas_metab_name_map!D:D,"")</f>
        <v>metab_lvldll</v>
      </c>
      <c r="G1515" s="3"/>
      <c r="H1515" s="3"/>
    </row>
    <row r="1516" spans="1:8" x14ac:dyDescent="0.2">
      <c r="A1516" s="3" t="s">
        <v>16913</v>
      </c>
      <c r="B1516" s="3" t="s">
        <v>14358</v>
      </c>
      <c r="C1516" s="3" t="s">
        <v>371</v>
      </c>
      <c r="D1516" s="3" t="s">
        <v>16904</v>
      </c>
      <c r="E1516" t="s">
        <v>371</v>
      </c>
      <c r="F1516" t="str">
        <f>_xlfn.XLOOKUP(C1516,gwas_metab_name_map!C:C,gwas_metab_name_map!D:D,"")</f>
        <v>metab_lvldlp</v>
      </c>
      <c r="G1516" s="3"/>
      <c r="H1516" s="3"/>
    </row>
    <row r="1517" spans="1:8" x14ac:dyDescent="0.2">
      <c r="A1517" s="3" t="s">
        <v>16914</v>
      </c>
      <c r="B1517" s="3" t="s">
        <v>14358</v>
      </c>
      <c r="C1517" s="3" t="s">
        <v>683</v>
      </c>
      <c r="D1517" s="3" t="s">
        <v>16915</v>
      </c>
      <c r="E1517" t="s">
        <v>683</v>
      </c>
      <c r="F1517" t="str">
        <f>_xlfn.XLOOKUP(C1517,gwas_metab_name_map!C:C,gwas_metab_name_map!D:D,"")</f>
        <v>metab_lvldlpl</v>
      </c>
      <c r="G1517" s="3"/>
      <c r="H1517" s="3"/>
    </row>
    <row r="1518" spans="1:8" x14ac:dyDescent="0.2">
      <c r="A1518" s="3" t="s">
        <v>16916</v>
      </c>
      <c r="B1518" s="3" t="s">
        <v>14358</v>
      </c>
      <c r="C1518" s="3" t="s">
        <v>745</v>
      </c>
      <c r="D1518" s="3" t="s">
        <v>16904</v>
      </c>
      <c r="E1518" t="s">
        <v>745</v>
      </c>
      <c r="F1518" t="str">
        <f>_xlfn.XLOOKUP(C1518,gwas_metab_name_map!C:C,gwas_metab_name_map!D:D,"")</f>
        <v>metab_lvldlplpct</v>
      </c>
      <c r="G1518" s="3"/>
      <c r="H1518" s="3"/>
    </row>
    <row r="1519" spans="1:8" x14ac:dyDescent="0.2">
      <c r="A1519" s="3" t="s">
        <v>16916</v>
      </c>
      <c r="B1519" s="3" t="s">
        <v>14358</v>
      </c>
      <c r="C1519" s="3" t="s">
        <v>745</v>
      </c>
      <c r="D1519" s="3" t="s">
        <v>16850</v>
      </c>
      <c r="E1519" t="s">
        <v>745</v>
      </c>
      <c r="F1519" t="str">
        <f>_xlfn.XLOOKUP(C1519,gwas_metab_name_map!C:C,gwas_metab_name_map!D:D,"")</f>
        <v>metab_lvldlplpct</v>
      </c>
      <c r="G1519" s="3"/>
      <c r="H1519" s="3"/>
    </row>
    <row r="1520" spans="1:8" x14ac:dyDescent="0.2">
      <c r="A1520" s="3" t="s">
        <v>16917</v>
      </c>
      <c r="B1520" s="3" t="s">
        <v>14358</v>
      </c>
      <c r="C1520" s="3" t="s">
        <v>959</v>
      </c>
      <c r="D1520" s="3" t="s">
        <v>16918</v>
      </c>
      <c r="E1520" t="s">
        <v>959</v>
      </c>
      <c r="F1520" t="str">
        <f>_xlfn.XLOOKUP(C1520,gwas_metab_name_map!C:C,gwas_metab_name_map!D:D,"")</f>
        <v>metab_lvldltg</v>
      </c>
      <c r="G1520" s="3"/>
      <c r="H1520" s="3"/>
    </row>
    <row r="1521" spans="1:8" x14ac:dyDescent="0.2">
      <c r="A1521" s="3" t="s">
        <v>16919</v>
      </c>
      <c r="B1521" s="3" t="s">
        <v>14358</v>
      </c>
      <c r="C1521" s="3" t="s">
        <v>1030</v>
      </c>
      <c r="D1521" s="3" t="s">
        <v>16904</v>
      </c>
      <c r="E1521" t="s">
        <v>1030</v>
      </c>
      <c r="F1521" t="str">
        <f>_xlfn.XLOOKUP(C1521,gwas_metab_name_map!C:C,gwas_metab_name_map!D:D,"")</f>
        <v>metab_lvldltgpct</v>
      </c>
      <c r="G1521" s="3"/>
      <c r="H1521" s="3"/>
    </row>
    <row r="1522" spans="1:8" x14ac:dyDescent="0.2">
      <c r="A1522" s="3" t="s">
        <v>16919</v>
      </c>
      <c r="B1522" s="3" t="s">
        <v>14358</v>
      </c>
      <c r="C1522" s="3" t="s">
        <v>1030</v>
      </c>
      <c r="D1522" s="3" t="s">
        <v>16854</v>
      </c>
      <c r="E1522" t="s">
        <v>1030</v>
      </c>
      <c r="F1522" t="str">
        <f>_xlfn.XLOOKUP(C1522,gwas_metab_name_map!C:C,gwas_metab_name_map!D:D,"")</f>
        <v>metab_lvldltgpct</v>
      </c>
      <c r="G1522" s="3"/>
      <c r="H1522" s="3"/>
    </row>
    <row r="1523" spans="1:8" x14ac:dyDescent="0.2">
      <c r="A1523" s="3" t="s">
        <v>16920</v>
      </c>
      <c r="B1523" s="3" t="s">
        <v>14358</v>
      </c>
      <c r="C1523" s="3" t="s">
        <v>96</v>
      </c>
      <c r="D1523" s="3" t="s">
        <v>16825</v>
      </c>
      <c r="E1523" t="s">
        <v>11302</v>
      </c>
      <c r="F1523" t="str">
        <f>_xlfn.XLOOKUP(C1523,gwas_metab_name_map!C:C,gwas_metab_name_map!D:D,"")</f>
        <v>metab_mhdlc</v>
      </c>
      <c r="G1523" s="3"/>
      <c r="H1523" s="3"/>
    </row>
    <row r="1524" spans="1:8" x14ac:dyDescent="0.2">
      <c r="A1524" s="3" t="s">
        <v>16920</v>
      </c>
      <c r="B1524" s="3" t="s">
        <v>14358</v>
      </c>
      <c r="C1524" s="3" t="s">
        <v>96</v>
      </c>
      <c r="D1524" s="3" t="s">
        <v>15816</v>
      </c>
      <c r="E1524" t="s">
        <v>11302</v>
      </c>
      <c r="F1524" t="str">
        <f>_xlfn.XLOOKUP(C1524,gwas_metab_name_map!C:C,gwas_metab_name_map!D:D,"")</f>
        <v>metab_mhdlc</v>
      </c>
      <c r="G1524" s="3"/>
      <c r="H1524" s="3"/>
    </row>
    <row r="1525" spans="1:8" x14ac:dyDescent="0.2">
      <c r="A1525" s="3" t="s">
        <v>16921</v>
      </c>
      <c r="B1525" s="3" t="s">
        <v>14358</v>
      </c>
      <c r="C1525" s="3" t="s">
        <v>168</v>
      </c>
      <c r="D1525" s="3" t="s">
        <v>16807</v>
      </c>
      <c r="E1525" t="s">
        <v>168</v>
      </c>
      <c r="F1525" t="str">
        <f>_xlfn.XLOOKUP(C1525,gwas_metab_name_map!C:C,gwas_metab_name_map!D:D,"")</f>
        <v>metab_mhdlcpct</v>
      </c>
      <c r="G1525" s="3"/>
      <c r="H1525" s="3"/>
    </row>
    <row r="1526" spans="1:8" x14ac:dyDescent="0.2">
      <c r="A1526" s="3" t="s">
        <v>16921</v>
      </c>
      <c r="B1526" s="3" t="s">
        <v>14358</v>
      </c>
      <c r="C1526" s="3" t="s">
        <v>168</v>
      </c>
      <c r="D1526" s="3" t="s">
        <v>16825</v>
      </c>
      <c r="E1526" t="s">
        <v>168</v>
      </c>
      <c r="F1526" t="str">
        <f>_xlfn.XLOOKUP(C1526,gwas_metab_name_map!C:C,gwas_metab_name_map!D:D,"")</f>
        <v>metab_mhdlcpct</v>
      </c>
      <c r="G1526" s="3"/>
      <c r="H1526" s="3"/>
    </row>
    <row r="1527" spans="1:8" x14ac:dyDescent="0.2">
      <c r="A1527" s="3" t="s">
        <v>16922</v>
      </c>
      <c r="B1527" s="3" t="s">
        <v>14358</v>
      </c>
      <c r="C1527" s="3" t="s">
        <v>243</v>
      </c>
      <c r="D1527" s="3" t="s">
        <v>16807</v>
      </c>
      <c r="E1527" t="s">
        <v>243</v>
      </c>
      <c r="F1527" t="str">
        <f>_xlfn.XLOOKUP(C1527,gwas_metab_name_map!C:C,gwas_metab_name_map!D:D,"")</f>
        <v>metab_mhdlce</v>
      </c>
      <c r="G1527" s="3"/>
      <c r="H1527" s="3"/>
    </row>
    <row r="1528" spans="1:8" x14ac:dyDescent="0.2">
      <c r="A1528" s="3" t="s">
        <v>16922</v>
      </c>
      <c r="B1528" s="3" t="s">
        <v>14358</v>
      </c>
      <c r="C1528" s="3" t="s">
        <v>243</v>
      </c>
      <c r="D1528" s="3" t="s">
        <v>16825</v>
      </c>
      <c r="E1528" t="s">
        <v>243</v>
      </c>
      <c r="F1528" t="str">
        <f>_xlfn.XLOOKUP(C1528,gwas_metab_name_map!C:C,gwas_metab_name_map!D:D,"")</f>
        <v>metab_mhdlce</v>
      </c>
      <c r="G1528" s="3"/>
      <c r="H1528" s="3"/>
    </row>
    <row r="1529" spans="1:8" x14ac:dyDescent="0.2">
      <c r="A1529" s="3" t="s">
        <v>16923</v>
      </c>
      <c r="B1529" s="3" t="s">
        <v>14358</v>
      </c>
      <c r="C1529" s="3" t="s">
        <v>303</v>
      </c>
      <c r="D1529" s="3" t="s">
        <v>16825</v>
      </c>
      <c r="E1529" t="s">
        <v>303</v>
      </c>
      <c r="F1529" t="str">
        <f>_xlfn.XLOOKUP(C1529,gwas_metab_name_map!C:C,gwas_metab_name_map!D:D,"")</f>
        <v>metab_mhdlcepct</v>
      </c>
      <c r="G1529" s="3"/>
      <c r="H1529" s="3"/>
    </row>
    <row r="1530" spans="1:8" x14ac:dyDescent="0.2">
      <c r="A1530" s="3" t="s">
        <v>16923</v>
      </c>
      <c r="B1530" s="3" t="s">
        <v>14358</v>
      </c>
      <c r="C1530" s="3" t="s">
        <v>303</v>
      </c>
      <c r="D1530" s="3" t="s">
        <v>16839</v>
      </c>
      <c r="E1530" t="s">
        <v>303</v>
      </c>
      <c r="F1530" t="str">
        <f>_xlfn.XLOOKUP(C1530,gwas_metab_name_map!C:C,gwas_metab_name_map!D:D,"")</f>
        <v>metab_mhdlcepct</v>
      </c>
      <c r="G1530" s="3"/>
      <c r="H1530" s="3"/>
    </row>
    <row r="1531" spans="1:8" x14ac:dyDescent="0.2">
      <c r="A1531" s="3" t="s">
        <v>16924</v>
      </c>
      <c r="B1531" s="3" t="s">
        <v>14358</v>
      </c>
      <c r="C1531" s="3" t="s">
        <v>469</v>
      </c>
      <c r="D1531" s="3" t="s">
        <v>16925</v>
      </c>
      <c r="E1531" t="s">
        <v>469</v>
      </c>
      <c r="F1531" t="str">
        <f>_xlfn.XLOOKUP(C1531,gwas_metab_name_map!C:C,gwas_metab_name_map!D:D,"")</f>
        <v>metab_mhdlfc</v>
      </c>
      <c r="G1531" s="3"/>
      <c r="H1531" s="3"/>
    </row>
    <row r="1532" spans="1:8" x14ac:dyDescent="0.2">
      <c r="A1532" s="3" t="s">
        <v>16926</v>
      </c>
      <c r="B1532" s="3" t="s">
        <v>14358</v>
      </c>
      <c r="C1532" s="3" t="s">
        <v>529</v>
      </c>
      <c r="D1532" s="3" t="s">
        <v>16825</v>
      </c>
      <c r="E1532" t="s">
        <v>529</v>
      </c>
      <c r="F1532" t="str">
        <f>_xlfn.XLOOKUP(C1532,gwas_metab_name_map!C:C,gwas_metab_name_map!D:D,"")</f>
        <v>metab_mhdlfcpct</v>
      </c>
      <c r="G1532" s="3"/>
      <c r="H1532" s="3"/>
    </row>
    <row r="1533" spans="1:8" x14ac:dyDescent="0.2">
      <c r="A1533" s="3" t="s">
        <v>16926</v>
      </c>
      <c r="B1533" s="3" t="s">
        <v>14358</v>
      </c>
      <c r="C1533" s="3" t="s">
        <v>529</v>
      </c>
      <c r="D1533" s="3" t="s">
        <v>16843</v>
      </c>
      <c r="E1533" t="s">
        <v>529</v>
      </c>
      <c r="F1533" t="str">
        <f>_xlfn.XLOOKUP(C1533,gwas_metab_name_map!C:C,gwas_metab_name_map!D:D,"")</f>
        <v>metab_mhdlfcpct</v>
      </c>
      <c r="G1533" s="3"/>
      <c r="H1533" s="3"/>
    </row>
    <row r="1534" spans="1:8" x14ac:dyDescent="0.2">
      <c r="A1534" s="3" t="s">
        <v>16927</v>
      </c>
      <c r="B1534" s="3" t="s">
        <v>14358</v>
      </c>
      <c r="C1534" s="3" t="s">
        <v>888</v>
      </c>
      <c r="D1534" s="3" t="s">
        <v>16928</v>
      </c>
      <c r="E1534" t="s">
        <v>888</v>
      </c>
      <c r="F1534" t="str">
        <f>_xlfn.XLOOKUP(C1534,gwas_metab_name_map!C:C,gwas_metab_name_map!D:D,"")</f>
        <v>metab_mhdll</v>
      </c>
      <c r="G1534" s="3"/>
      <c r="H1534" s="3"/>
    </row>
    <row r="1535" spans="1:8" x14ac:dyDescent="0.2">
      <c r="A1535" s="3" t="s">
        <v>16929</v>
      </c>
      <c r="B1535" s="3" t="s">
        <v>14358</v>
      </c>
      <c r="C1535" s="3" t="s">
        <v>379</v>
      </c>
      <c r="D1535" s="3" t="s">
        <v>16825</v>
      </c>
      <c r="E1535" t="s">
        <v>379</v>
      </c>
      <c r="F1535" t="str">
        <f>_xlfn.XLOOKUP(C1535,gwas_metab_name_map!C:C,gwas_metab_name_map!D:D,"")</f>
        <v>metab_mhdlp</v>
      </c>
      <c r="G1535" s="3"/>
      <c r="H1535" s="3"/>
    </row>
    <row r="1536" spans="1:8" x14ac:dyDescent="0.2">
      <c r="A1536" s="3" t="s">
        <v>16930</v>
      </c>
      <c r="B1536" s="3" t="s">
        <v>14358</v>
      </c>
      <c r="C1536" s="3" t="s">
        <v>690</v>
      </c>
      <c r="D1536" s="3" t="s">
        <v>16931</v>
      </c>
      <c r="E1536" t="s">
        <v>690</v>
      </c>
      <c r="F1536" t="str">
        <f>_xlfn.XLOOKUP(C1536,gwas_metab_name_map!C:C,gwas_metab_name_map!D:D,"")</f>
        <v>metab_mhdlpl</v>
      </c>
      <c r="G1536" s="3"/>
      <c r="H1536" s="3"/>
    </row>
    <row r="1537" spans="1:8" x14ac:dyDescent="0.2">
      <c r="A1537" s="3" t="s">
        <v>16932</v>
      </c>
      <c r="B1537" s="3" t="s">
        <v>14358</v>
      </c>
      <c r="C1537" s="3" t="s">
        <v>749</v>
      </c>
      <c r="D1537" s="3" t="s">
        <v>16825</v>
      </c>
      <c r="E1537" t="s">
        <v>749</v>
      </c>
      <c r="F1537" t="str">
        <f>_xlfn.XLOOKUP(C1537,gwas_metab_name_map!C:C,gwas_metab_name_map!D:D,"")</f>
        <v>metab_mhdlplpct</v>
      </c>
      <c r="G1537" s="3"/>
      <c r="H1537" s="3"/>
    </row>
    <row r="1538" spans="1:8" x14ac:dyDescent="0.2">
      <c r="A1538" s="3" t="s">
        <v>16932</v>
      </c>
      <c r="B1538" s="3" t="s">
        <v>14358</v>
      </c>
      <c r="C1538" s="3" t="s">
        <v>749</v>
      </c>
      <c r="D1538" s="3" t="s">
        <v>16850</v>
      </c>
      <c r="E1538" t="s">
        <v>749</v>
      </c>
      <c r="F1538" t="str">
        <f>_xlfn.XLOOKUP(C1538,gwas_metab_name_map!C:C,gwas_metab_name_map!D:D,"")</f>
        <v>metab_mhdlplpct</v>
      </c>
      <c r="G1538" s="3"/>
      <c r="H1538" s="3"/>
    </row>
    <row r="1539" spans="1:8" x14ac:dyDescent="0.2">
      <c r="A1539" s="3" t="s">
        <v>16933</v>
      </c>
      <c r="B1539" s="3" t="s">
        <v>14358</v>
      </c>
      <c r="C1539" s="3" t="s">
        <v>968</v>
      </c>
      <c r="D1539" s="3" t="s">
        <v>16934</v>
      </c>
      <c r="E1539" t="s">
        <v>968</v>
      </c>
      <c r="F1539" t="str">
        <f>_xlfn.XLOOKUP(C1539,gwas_metab_name_map!C:C,gwas_metab_name_map!D:D,"")</f>
        <v>metab_mhdltg</v>
      </c>
      <c r="G1539" s="3"/>
      <c r="H1539" s="3"/>
    </row>
    <row r="1540" spans="1:8" x14ac:dyDescent="0.2">
      <c r="A1540" s="3" t="s">
        <v>16935</v>
      </c>
      <c r="B1540" s="3" t="s">
        <v>14358</v>
      </c>
      <c r="C1540" s="3" t="s">
        <v>1034</v>
      </c>
      <c r="D1540" s="3" t="s">
        <v>16825</v>
      </c>
      <c r="E1540" t="s">
        <v>1034</v>
      </c>
      <c r="F1540" t="str">
        <f>_xlfn.XLOOKUP(C1540,gwas_metab_name_map!C:C,gwas_metab_name_map!D:D,"")</f>
        <v>metab_mhdltgpct</v>
      </c>
      <c r="G1540" s="3"/>
      <c r="H1540" s="3"/>
    </row>
    <row r="1541" spans="1:8" x14ac:dyDescent="0.2">
      <c r="A1541" s="3" t="s">
        <v>16935</v>
      </c>
      <c r="B1541" s="3" t="s">
        <v>14358</v>
      </c>
      <c r="C1541" s="3" t="s">
        <v>1034</v>
      </c>
      <c r="D1541" s="3" t="s">
        <v>16854</v>
      </c>
      <c r="E1541" t="s">
        <v>1034</v>
      </c>
      <c r="F1541" t="str">
        <f>_xlfn.XLOOKUP(C1541,gwas_metab_name_map!C:C,gwas_metab_name_map!D:D,"")</f>
        <v>metab_mhdltgpct</v>
      </c>
      <c r="G1541" s="3"/>
      <c r="H1541" s="3"/>
    </row>
    <row r="1542" spans="1:8" x14ac:dyDescent="0.2">
      <c r="A1542" s="3" t="s">
        <v>16936</v>
      </c>
      <c r="B1542" s="3" t="s">
        <v>14358</v>
      </c>
      <c r="C1542" s="3" t="s">
        <v>101</v>
      </c>
      <c r="D1542" s="3" t="s">
        <v>16937</v>
      </c>
      <c r="E1542" t="s">
        <v>101</v>
      </c>
      <c r="F1542" t="str">
        <f>_xlfn.XLOOKUP(C1542,gwas_metab_name_map!C:C,gwas_metab_name_map!D:D,"")</f>
        <v>metab_mldlc</v>
      </c>
      <c r="G1542" s="3"/>
      <c r="H1542" s="3"/>
    </row>
    <row r="1543" spans="1:8" x14ac:dyDescent="0.2">
      <c r="A1543" s="3" t="s">
        <v>16938</v>
      </c>
      <c r="B1543" s="3" t="s">
        <v>14358</v>
      </c>
      <c r="C1543" s="3" t="s">
        <v>173</v>
      </c>
      <c r="D1543" s="3" t="s">
        <v>16860</v>
      </c>
      <c r="E1543" t="s">
        <v>173</v>
      </c>
      <c r="F1543" t="str">
        <f>_xlfn.XLOOKUP(C1543,gwas_metab_name_map!C:C,gwas_metab_name_map!D:D,"")</f>
        <v>metab_mldlcpct</v>
      </c>
      <c r="G1543" s="3"/>
      <c r="H1543" s="3"/>
    </row>
    <row r="1544" spans="1:8" x14ac:dyDescent="0.2">
      <c r="A1544" s="3" t="s">
        <v>16938</v>
      </c>
      <c r="B1544" s="3" t="s">
        <v>14358</v>
      </c>
      <c r="C1544" s="3" t="s">
        <v>173</v>
      </c>
      <c r="D1544" s="3" t="s">
        <v>16836</v>
      </c>
      <c r="E1544" t="s">
        <v>173</v>
      </c>
      <c r="F1544" t="str">
        <f>_xlfn.XLOOKUP(C1544,gwas_metab_name_map!C:C,gwas_metab_name_map!D:D,"")</f>
        <v>metab_mldlcpct</v>
      </c>
      <c r="G1544" s="3"/>
      <c r="H1544" s="3"/>
    </row>
    <row r="1545" spans="1:8" x14ac:dyDescent="0.2">
      <c r="A1545" s="3" t="s">
        <v>16939</v>
      </c>
      <c r="B1545" s="3" t="s">
        <v>14358</v>
      </c>
      <c r="C1545" s="3" t="s">
        <v>247</v>
      </c>
      <c r="D1545" s="3" t="s">
        <v>16940</v>
      </c>
      <c r="E1545" t="s">
        <v>247</v>
      </c>
      <c r="F1545" t="str">
        <f>_xlfn.XLOOKUP(C1545,gwas_metab_name_map!C:C,gwas_metab_name_map!D:D,"")</f>
        <v>metab_mldlce</v>
      </c>
      <c r="G1545" s="3"/>
      <c r="H1545" s="3"/>
    </row>
    <row r="1546" spans="1:8" x14ac:dyDescent="0.2">
      <c r="A1546" s="3" t="s">
        <v>16941</v>
      </c>
      <c r="B1546" s="3" t="s">
        <v>14358</v>
      </c>
      <c r="C1546" s="3" t="s">
        <v>307</v>
      </c>
      <c r="D1546" s="3" t="s">
        <v>16860</v>
      </c>
      <c r="E1546" t="s">
        <v>307</v>
      </c>
      <c r="F1546" t="str">
        <f>_xlfn.XLOOKUP(C1546,gwas_metab_name_map!C:C,gwas_metab_name_map!D:D,"")</f>
        <v>metab_mldlcepct</v>
      </c>
      <c r="G1546" s="3"/>
      <c r="H1546" s="3"/>
    </row>
    <row r="1547" spans="1:8" x14ac:dyDescent="0.2">
      <c r="A1547" s="3" t="s">
        <v>16941</v>
      </c>
      <c r="B1547" s="3" t="s">
        <v>14358</v>
      </c>
      <c r="C1547" s="3" t="s">
        <v>307</v>
      </c>
      <c r="D1547" s="3" t="s">
        <v>16839</v>
      </c>
      <c r="E1547" t="s">
        <v>307</v>
      </c>
      <c r="F1547" t="str">
        <f>_xlfn.XLOOKUP(C1547,gwas_metab_name_map!C:C,gwas_metab_name_map!D:D,"")</f>
        <v>metab_mldlcepct</v>
      </c>
      <c r="G1547" s="3"/>
      <c r="H1547" s="3"/>
    </row>
    <row r="1548" spans="1:8" x14ac:dyDescent="0.2">
      <c r="A1548" s="3" t="s">
        <v>16942</v>
      </c>
      <c r="B1548" s="3" t="s">
        <v>14358</v>
      </c>
      <c r="C1548" s="3" t="s">
        <v>473</v>
      </c>
      <c r="D1548" s="3" t="s">
        <v>16943</v>
      </c>
      <c r="E1548" t="s">
        <v>473</v>
      </c>
      <c r="F1548" t="str">
        <f>_xlfn.XLOOKUP(C1548,gwas_metab_name_map!C:C,gwas_metab_name_map!D:D,"")</f>
        <v>metab_mldlfc</v>
      </c>
      <c r="G1548" s="3"/>
      <c r="H1548" s="3"/>
    </row>
    <row r="1549" spans="1:8" x14ac:dyDescent="0.2">
      <c r="A1549" s="3" t="s">
        <v>16944</v>
      </c>
      <c r="B1549" s="3" t="s">
        <v>14358</v>
      </c>
      <c r="C1549" s="3" t="s">
        <v>533</v>
      </c>
      <c r="D1549" s="3" t="s">
        <v>16860</v>
      </c>
      <c r="E1549" t="s">
        <v>533</v>
      </c>
      <c r="F1549" t="str">
        <f>_xlfn.XLOOKUP(C1549,gwas_metab_name_map!C:C,gwas_metab_name_map!D:D,"")</f>
        <v>metab_mldlfcpct</v>
      </c>
      <c r="G1549" s="3"/>
      <c r="H1549" s="3"/>
    </row>
    <row r="1550" spans="1:8" x14ac:dyDescent="0.2">
      <c r="A1550" s="3" t="s">
        <v>16944</v>
      </c>
      <c r="B1550" s="3" t="s">
        <v>14358</v>
      </c>
      <c r="C1550" s="3" t="s">
        <v>533</v>
      </c>
      <c r="D1550" s="3" t="s">
        <v>16843</v>
      </c>
      <c r="E1550" t="s">
        <v>533</v>
      </c>
      <c r="F1550" t="str">
        <f>_xlfn.XLOOKUP(C1550,gwas_metab_name_map!C:C,gwas_metab_name_map!D:D,"")</f>
        <v>metab_mldlfcpct</v>
      </c>
      <c r="G1550" s="3"/>
      <c r="H1550" s="3"/>
    </row>
    <row r="1551" spans="1:8" x14ac:dyDescent="0.2">
      <c r="A1551" s="3" t="s">
        <v>16945</v>
      </c>
      <c r="B1551" s="3" t="s">
        <v>14358</v>
      </c>
      <c r="C1551" s="3" t="s">
        <v>892</v>
      </c>
      <c r="D1551" s="3" t="s">
        <v>16946</v>
      </c>
      <c r="E1551" t="s">
        <v>19764</v>
      </c>
      <c r="F1551" t="str">
        <f>_xlfn.XLOOKUP(C1551,gwas_metab_name_map!C:C,gwas_metab_name_map!D:D,"")</f>
        <v>metab_mldll</v>
      </c>
      <c r="G1551" s="3"/>
      <c r="H1551" s="3"/>
    </row>
    <row r="1552" spans="1:8" x14ac:dyDescent="0.2">
      <c r="A1552" s="3" t="s">
        <v>16945</v>
      </c>
      <c r="B1552" s="3" t="s">
        <v>14358</v>
      </c>
      <c r="C1552" s="3" t="s">
        <v>892</v>
      </c>
      <c r="D1552" s="3" t="s">
        <v>16860</v>
      </c>
      <c r="E1552" t="s">
        <v>19764</v>
      </c>
      <c r="F1552" t="str">
        <f>_xlfn.XLOOKUP(C1552,gwas_metab_name_map!C:C,gwas_metab_name_map!D:D,"")</f>
        <v>metab_mldll</v>
      </c>
      <c r="G1552" s="3"/>
      <c r="H1552" s="3"/>
    </row>
    <row r="1553" spans="1:8" x14ac:dyDescent="0.2">
      <c r="A1553" s="3" t="s">
        <v>16947</v>
      </c>
      <c r="B1553" s="3" t="s">
        <v>14358</v>
      </c>
      <c r="C1553" s="3" t="s">
        <v>383</v>
      </c>
      <c r="D1553" s="3" t="s">
        <v>16860</v>
      </c>
      <c r="E1553" t="s">
        <v>383</v>
      </c>
      <c r="F1553" t="str">
        <f>_xlfn.XLOOKUP(C1553,gwas_metab_name_map!C:C,gwas_metab_name_map!D:D,"")</f>
        <v>metab_mldlp</v>
      </c>
      <c r="G1553" s="3"/>
      <c r="H1553" s="3"/>
    </row>
    <row r="1554" spans="1:8" x14ac:dyDescent="0.2">
      <c r="A1554" s="3" t="s">
        <v>16948</v>
      </c>
      <c r="B1554" s="3" t="s">
        <v>14358</v>
      </c>
      <c r="C1554" s="3" t="s">
        <v>694</v>
      </c>
      <c r="D1554" s="3" t="s">
        <v>16949</v>
      </c>
      <c r="E1554" t="s">
        <v>694</v>
      </c>
      <c r="F1554" t="str">
        <f>_xlfn.XLOOKUP(C1554,gwas_metab_name_map!C:C,gwas_metab_name_map!D:D,"")</f>
        <v>metab_mldlpl</v>
      </c>
      <c r="G1554" s="3"/>
      <c r="H1554" s="3"/>
    </row>
    <row r="1555" spans="1:8" x14ac:dyDescent="0.2">
      <c r="A1555" s="3" t="s">
        <v>16950</v>
      </c>
      <c r="B1555" s="3" t="s">
        <v>14358</v>
      </c>
      <c r="C1555" s="3" t="s">
        <v>753</v>
      </c>
      <c r="D1555" s="3" t="s">
        <v>16860</v>
      </c>
      <c r="E1555" t="s">
        <v>753</v>
      </c>
      <c r="F1555" t="str">
        <f>_xlfn.XLOOKUP(C1555,gwas_metab_name_map!C:C,gwas_metab_name_map!D:D,"")</f>
        <v>metab_mldlplpct</v>
      </c>
      <c r="G1555" s="3"/>
      <c r="H1555" s="3"/>
    </row>
    <row r="1556" spans="1:8" x14ac:dyDescent="0.2">
      <c r="A1556" s="3" t="s">
        <v>16950</v>
      </c>
      <c r="B1556" s="3" t="s">
        <v>14358</v>
      </c>
      <c r="C1556" s="3" t="s">
        <v>753</v>
      </c>
      <c r="D1556" s="3" t="s">
        <v>16850</v>
      </c>
      <c r="E1556" t="s">
        <v>753</v>
      </c>
      <c r="F1556" t="str">
        <f>_xlfn.XLOOKUP(C1556,gwas_metab_name_map!C:C,gwas_metab_name_map!D:D,"")</f>
        <v>metab_mldlplpct</v>
      </c>
      <c r="G1556" s="3"/>
      <c r="H1556" s="3"/>
    </row>
    <row r="1557" spans="1:8" x14ac:dyDescent="0.2">
      <c r="A1557" s="3" t="s">
        <v>16951</v>
      </c>
      <c r="B1557" s="3" t="s">
        <v>14358</v>
      </c>
      <c r="C1557" s="3" t="s">
        <v>972</v>
      </c>
      <c r="D1557" s="3" t="s">
        <v>16952</v>
      </c>
      <c r="E1557" t="s">
        <v>972</v>
      </c>
      <c r="F1557" t="str">
        <f>_xlfn.XLOOKUP(C1557,gwas_metab_name_map!C:C,gwas_metab_name_map!D:D,"")</f>
        <v>metab_mldltg</v>
      </c>
      <c r="G1557" s="3"/>
      <c r="H1557" s="3"/>
    </row>
    <row r="1558" spans="1:8" x14ac:dyDescent="0.2">
      <c r="A1558" s="3" t="s">
        <v>16953</v>
      </c>
      <c r="B1558" s="3" t="s">
        <v>14358</v>
      </c>
      <c r="C1558" s="3" t="s">
        <v>1038</v>
      </c>
      <c r="D1558" s="3" t="s">
        <v>16860</v>
      </c>
      <c r="E1558" t="s">
        <v>1038</v>
      </c>
      <c r="F1558" t="str">
        <f>_xlfn.XLOOKUP(C1558,gwas_metab_name_map!C:C,gwas_metab_name_map!D:D,"")</f>
        <v>metab_mldltgpct</v>
      </c>
      <c r="G1558" s="3"/>
      <c r="H1558" s="3"/>
    </row>
    <row r="1559" spans="1:8" x14ac:dyDescent="0.2">
      <c r="A1559" s="3" t="s">
        <v>16953</v>
      </c>
      <c r="B1559" s="3" t="s">
        <v>14358</v>
      </c>
      <c r="C1559" s="3" t="s">
        <v>1038</v>
      </c>
      <c r="D1559" s="3" t="s">
        <v>16854</v>
      </c>
      <c r="E1559" t="s">
        <v>1038</v>
      </c>
      <c r="F1559" t="str">
        <f>_xlfn.XLOOKUP(C1559,gwas_metab_name_map!C:C,gwas_metab_name_map!D:D,"")</f>
        <v>metab_mldltgpct</v>
      </c>
      <c r="G1559" s="3"/>
      <c r="H1559" s="3"/>
    </row>
    <row r="1560" spans="1:8" x14ac:dyDescent="0.2">
      <c r="A1560" s="3" t="s">
        <v>16954</v>
      </c>
      <c r="B1560" s="3" t="s">
        <v>14358</v>
      </c>
      <c r="C1560" s="3" t="s">
        <v>618</v>
      </c>
      <c r="D1560" s="3" t="s">
        <v>16797</v>
      </c>
      <c r="E1560" t="s">
        <v>19765</v>
      </c>
      <c r="F1560" t="str">
        <f>_xlfn.XLOOKUP(C1560,gwas_metab_name_map!C:C,gwas_metab_name_map!D:D,"")</f>
        <v>metab_mufa</v>
      </c>
      <c r="G1560" s="3"/>
      <c r="H1560" s="3"/>
    </row>
    <row r="1561" spans="1:8" x14ac:dyDescent="0.2">
      <c r="A1561" s="3" t="s">
        <v>16955</v>
      </c>
      <c r="B1561" s="3" t="s">
        <v>14358</v>
      </c>
      <c r="C1561" s="3" t="s">
        <v>623</v>
      </c>
      <c r="D1561" s="3" t="s">
        <v>16797</v>
      </c>
      <c r="E1561" t="s">
        <v>623</v>
      </c>
      <c r="F1561" t="str">
        <f>_xlfn.XLOOKUP(C1561,gwas_metab_name_map!C:C,gwas_metab_name_map!D:D,"")</f>
        <v>metab_mufapct</v>
      </c>
      <c r="G1561" s="3"/>
      <c r="H1561" s="3"/>
    </row>
    <row r="1562" spans="1:8" x14ac:dyDescent="0.2">
      <c r="A1562" s="3" t="s">
        <v>16956</v>
      </c>
      <c r="B1562" s="3" t="s">
        <v>14358</v>
      </c>
      <c r="C1562" s="3" t="s">
        <v>106</v>
      </c>
      <c r="D1562" s="3" t="s">
        <v>16957</v>
      </c>
      <c r="E1562" t="s">
        <v>106</v>
      </c>
      <c r="F1562" t="str">
        <f>_xlfn.XLOOKUP(C1562,gwas_metab_name_map!C:C,gwas_metab_name_map!D:D,"")</f>
        <v>metab_mvldlc</v>
      </c>
      <c r="G1562" s="3"/>
      <c r="H1562" s="3"/>
    </row>
    <row r="1563" spans="1:8" x14ac:dyDescent="0.2">
      <c r="A1563" s="3" t="s">
        <v>16958</v>
      </c>
      <c r="B1563" s="3" t="s">
        <v>14358</v>
      </c>
      <c r="C1563" s="3" t="s">
        <v>178</v>
      </c>
      <c r="D1563" s="3" t="s">
        <v>16904</v>
      </c>
      <c r="E1563" t="s">
        <v>178</v>
      </c>
      <c r="F1563" t="str">
        <f>_xlfn.XLOOKUP(C1563,gwas_metab_name_map!C:C,gwas_metab_name_map!D:D,"")</f>
        <v>metab_mvldlcpct</v>
      </c>
      <c r="G1563" s="3"/>
      <c r="H1563" s="3"/>
    </row>
    <row r="1564" spans="1:8" x14ac:dyDescent="0.2">
      <c r="A1564" s="3" t="s">
        <v>16958</v>
      </c>
      <c r="B1564" s="3" t="s">
        <v>14358</v>
      </c>
      <c r="C1564" s="3" t="s">
        <v>178</v>
      </c>
      <c r="D1564" s="3" t="s">
        <v>16836</v>
      </c>
      <c r="E1564" t="s">
        <v>178</v>
      </c>
      <c r="F1564" t="str">
        <f>_xlfn.XLOOKUP(C1564,gwas_metab_name_map!C:C,gwas_metab_name_map!D:D,"")</f>
        <v>metab_mvldlcpct</v>
      </c>
      <c r="G1564" s="3"/>
      <c r="H1564" s="3"/>
    </row>
    <row r="1565" spans="1:8" x14ac:dyDescent="0.2">
      <c r="A1565" s="3" t="s">
        <v>16959</v>
      </c>
      <c r="B1565" s="3" t="s">
        <v>14358</v>
      </c>
      <c r="C1565" s="3" t="s">
        <v>251</v>
      </c>
      <c r="D1565" s="3" t="s">
        <v>16960</v>
      </c>
      <c r="E1565" t="s">
        <v>251</v>
      </c>
      <c r="F1565" t="str">
        <f>_xlfn.XLOOKUP(C1565,gwas_metab_name_map!C:C,gwas_metab_name_map!D:D,"")</f>
        <v>metab_mvldlce</v>
      </c>
      <c r="G1565" s="3"/>
      <c r="H1565" s="3"/>
    </row>
    <row r="1566" spans="1:8" x14ac:dyDescent="0.2">
      <c r="A1566" s="3" t="s">
        <v>16961</v>
      </c>
      <c r="B1566" s="3" t="s">
        <v>14358</v>
      </c>
      <c r="C1566" s="3" t="s">
        <v>311</v>
      </c>
      <c r="D1566" s="3" t="s">
        <v>16839</v>
      </c>
      <c r="E1566" t="s">
        <v>311</v>
      </c>
      <c r="F1566" t="str">
        <f>_xlfn.XLOOKUP(C1566,gwas_metab_name_map!C:C,gwas_metab_name_map!D:D,"")</f>
        <v>metab_mvldlcepct</v>
      </c>
      <c r="G1566" s="3"/>
      <c r="H1566" s="3"/>
    </row>
    <row r="1567" spans="1:8" x14ac:dyDescent="0.2">
      <c r="A1567" s="3" t="s">
        <v>16961</v>
      </c>
      <c r="B1567" s="3" t="s">
        <v>14358</v>
      </c>
      <c r="C1567" s="3" t="s">
        <v>311</v>
      </c>
      <c r="D1567" s="3" t="s">
        <v>16904</v>
      </c>
      <c r="E1567" t="s">
        <v>311</v>
      </c>
      <c r="F1567" t="str">
        <f>_xlfn.XLOOKUP(C1567,gwas_metab_name_map!C:C,gwas_metab_name_map!D:D,"")</f>
        <v>metab_mvldlcepct</v>
      </c>
      <c r="G1567" s="3"/>
      <c r="H1567" s="3"/>
    </row>
    <row r="1568" spans="1:8" x14ac:dyDescent="0.2">
      <c r="A1568" s="3" t="s">
        <v>16962</v>
      </c>
      <c r="B1568" s="3" t="s">
        <v>14358</v>
      </c>
      <c r="C1568" s="3" t="s">
        <v>477</v>
      </c>
      <c r="D1568" s="3" t="s">
        <v>16963</v>
      </c>
      <c r="E1568" t="s">
        <v>477</v>
      </c>
      <c r="F1568" t="str">
        <f>_xlfn.XLOOKUP(C1568,gwas_metab_name_map!C:C,gwas_metab_name_map!D:D,"")</f>
        <v>metab_mvldlfc</v>
      </c>
      <c r="G1568" s="3"/>
      <c r="H1568" s="3"/>
    </row>
    <row r="1569" spans="1:8" x14ac:dyDescent="0.2">
      <c r="A1569" s="3" t="s">
        <v>16964</v>
      </c>
      <c r="B1569" s="3" t="s">
        <v>14358</v>
      </c>
      <c r="C1569" s="3" t="s">
        <v>537</v>
      </c>
      <c r="D1569" s="3" t="s">
        <v>16904</v>
      </c>
      <c r="E1569" t="s">
        <v>537</v>
      </c>
      <c r="F1569" t="str">
        <f>_xlfn.XLOOKUP(C1569,gwas_metab_name_map!C:C,gwas_metab_name_map!D:D,"")</f>
        <v>metab_mvldlfcpct</v>
      </c>
      <c r="G1569" s="3"/>
      <c r="H1569" s="3"/>
    </row>
    <row r="1570" spans="1:8" x14ac:dyDescent="0.2">
      <c r="A1570" s="3" t="s">
        <v>16964</v>
      </c>
      <c r="B1570" s="3" t="s">
        <v>14358</v>
      </c>
      <c r="C1570" s="3" t="s">
        <v>537</v>
      </c>
      <c r="D1570" s="3" t="s">
        <v>16843</v>
      </c>
      <c r="E1570" t="s">
        <v>537</v>
      </c>
      <c r="F1570" t="str">
        <f>_xlfn.XLOOKUP(C1570,gwas_metab_name_map!C:C,gwas_metab_name_map!D:D,"")</f>
        <v>metab_mvldlfcpct</v>
      </c>
      <c r="G1570" s="3"/>
      <c r="H1570" s="3"/>
    </row>
    <row r="1571" spans="1:8" x14ac:dyDescent="0.2">
      <c r="A1571" s="3" t="s">
        <v>16965</v>
      </c>
      <c r="B1571" s="3" t="s">
        <v>14358</v>
      </c>
      <c r="C1571" s="3" t="s">
        <v>896</v>
      </c>
      <c r="D1571" s="3" t="s">
        <v>16966</v>
      </c>
      <c r="E1571" t="s">
        <v>896</v>
      </c>
      <c r="F1571" t="str">
        <f>_xlfn.XLOOKUP(C1571,gwas_metab_name_map!C:C,gwas_metab_name_map!D:D,"")</f>
        <v>metab_mvldll</v>
      </c>
      <c r="G1571" s="3"/>
      <c r="H1571" s="3"/>
    </row>
    <row r="1572" spans="1:8" x14ac:dyDescent="0.2">
      <c r="A1572" s="3" t="s">
        <v>16967</v>
      </c>
      <c r="B1572" s="3" t="s">
        <v>14358</v>
      </c>
      <c r="C1572" s="3" t="s">
        <v>387</v>
      </c>
      <c r="D1572" s="3" t="s">
        <v>16904</v>
      </c>
      <c r="E1572" t="s">
        <v>387</v>
      </c>
      <c r="F1572" t="str">
        <f>_xlfn.XLOOKUP(C1572,gwas_metab_name_map!C:C,gwas_metab_name_map!D:D,"")</f>
        <v>metab_mvldlp</v>
      </c>
      <c r="G1572" s="3"/>
      <c r="H1572" s="3"/>
    </row>
    <row r="1573" spans="1:8" x14ac:dyDescent="0.2">
      <c r="A1573" s="3" t="s">
        <v>16968</v>
      </c>
      <c r="B1573" s="3" t="s">
        <v>14358</v>
      </c>
      <c r="C1573" s="3" t="s">
        <v>698</v>
      </c>
      <c r="D1573" s="3" t="s">
        <v>16915</v>
      </c>
      <c r="E1573" t="s">
        <v>698</v>
      </c>
      <c r="F1573" t="str">
        <f>_xlfn.XLOOKUP(C1573,gwas_metab_name_map!C:C,gwas_metab_name_map!D:D,"")</f>
        <v>metab_mvldlpl</v>
      </c>
      <c r="G1573" s="3"/>
      <c r="H1573" s="3"/>
    </row>
    <row r="1574" spans="1:8" x14ac:dyDescent="0.2">
      <c r="A1574" s="3" t="s">
        <v>16969</v>
      </c>
      <c r="B1574" s="3" t="s">
        <v>14358</v>
      </c>
      <c r="C1574" s="3" t="s">
        <v>757</v>
      </c>
      <c r="D1574" s="3" t="s">
        <v>16904</v>
      </c>
      <c r="E1574" t="s">
        <v>757</v>
      </c>
      <c r="F1574" t="str">
        <f>_xlfn.XLOOKUP(C1574,gwas_metab_name_map!C:C,gwas_metab_name_map!D:D,"")</f>
        <v>metab_mvldlplpct</v>
      </c>
      <c r="G1574" s="3"/>
      <c r="H1574" s="3"/>
    </row>
    <row r="1575" spans="1:8" x14ac:dyDescent="0.2">
      <c r="A1575" s="3" t="s">
        <v>16969</v>
      </c>
      <c r="B1575" s="3" t="s">
        <v>14358</v>
      </c>
      <c r="C1575" s="3" t="s">
        <v>757</v>
      </c>
      <c r="D1575" s="3" t="s">
        <v>16850</v>
      </c>
      <c r="E1575" t="s">
        <v>757</v>
      </c>
      <c r="F1575" t="str">
        <f>_xlfn.XLOOKUP(C1575,gwas_metab_name_map!C:C,gwas_metab_name_map!D:D,"")</f>
        <v>metab_mvldlplpct</v>
      </c>
      <c r="G1575" s="3"/>
      <c r="H1575" s="3"/>
    </row>
    <row r="1576" spans="1:8" x14ac:dyDescent="0.2">
      <c r="A1576" s="3" t="s">
        <v>16970</v>
      </c>
      <c r="B1576" s="3" t="s">
        <v>14358</v>
      </c>
      <c r="C1576" s="3" t="s">
        <v>976</v>
      </c>
      <c r="D1576" s="3" t="s">
        <v>16971</v>
      </c>
      <c r="E1576" t="s">
        <v>976</v>
      </c>
      <c r="F1576" t="str">
        <f>_xlfn.XLOOKUP(C1576,gwas_metab_name_map!C:C,gwas_metab_name_map!D:D,"")</f>
        <v>metab_mvldltg</v>
      </c>
      <c r="G1576" s="3"/>
      <c r="H1576" s="3"/>
    </row>
    <row r="1577" spans="1:8" x14ac:dyDescent="0.2">
      <c r="A1577" s="3" t="s">
        <v>16972</v>
      </c>
      <c r="B1577" s="3" t="s">
        <v>14358</v>
      </c>
      <c r="C1577" s="3" t="s">
        <v>1042</v>
      </c>
      <c r="D1577" s="3" t="s">
        <v>16904</v>
      </c>
      <c r="E1577" t="s">
        <v>1042</v>
      </c>
      <c r="F1577" t="str">
        <f>_xlfn.XLOOKUP(C1577,gwas_metab_name_map!C:C,gwas_metab_name_map!D:D,"")</f>
        <v>metab_mvldltgpct</v>
      </c>
      <c r="G1577" s="3"/>
      <c r="H1577" s="3"/>
    </row>
    <row r="1578" spans="1:8" x14ac:dyDescent="0.2">
      <c r="A1578" s="3" t="s">
        <v>16972</v>
      </c>
      <c r="B1578" s="3" t="s">
        <v>14358</v>
      </c>
      <c r="C1578" s="3" t="s">
        <v>1042</v>
      </c>
      <c r="D1578" s="3" t="s">
        <v>16854</v>
      </c>
      <c r="E1578" t="s">
        <v>1042</v>
      </c>
      <c r="F1578" t="str">
        <f>_xlfn.XLOOKUP(C1578,gwas_metab_name_map!C:C,gwas_metab_name_map!D:D,"")</f>
        <v>metab_mvldltgpct</v>
      </c>
      <c r="G1578" s="3"/>
      <c r="H1578" s="3"/>
    </row>
    <row r="1579" spans="1:8" x14ac:dyDescent="0.2">
      <c r="A1579" s="3" t="s">
        <v>16973</v>
      </c>
      <c r="B1579" s="3" t="s">
        <v>14358</v>
      </c>
      <c r="C1579" s="3" t="s">
        <v>654</v>
      </c>
      <c r="D1579" s="3" t="s">
        <v>15734</v>
      </c>
      <c r="E1579" t="s">
        <v>19766</v>
      </c>
      <c r="F1579" t="str">
        <f>_xlfn.XLOOKUP(C1579,gwas_metab_name_map!C:C,gwas_metab_name_map!D:D,"")</f>
        <v>metab_phosphatidylc</v>
      </c>
      <c r="G1579" s="3"/>
      <c r="H1579" s="3"/>
    </row>
    <row r="1580" spans="1:8" x14ac:dyDescent="0.2">
      <c r="A1580" s="3" t="s">
        <v>16974</v>
      </c>
      <c r="B1580" s="3" t="s">
        <v>14358</v>
      </c>
      <c r="C1580" s="3" t="s">
        <v>649</v>
      </c>
      <c r="D1580" s="3" t="s">
        <v>15872</v>
      </c>
      <c r="E1580" t="s">
        <v>648</v>
      </c>
      <c r="F1580" t="str">
        <f>_xlfn.XLOOKUP(C1580,gwas_metab_name_map!C:C,gwas_metab_name_map!D:D,"")</f>
        <v>metab_phe</v>
      </c>
      <c r="G1580" s="3"/>
      <c r="H1580" s="3"/>
    </row>
    <row r="1581" spans="1:8" x14ac:dyDescent="0.2">
      <c r="A1581" s="3" t="s">
        <v>16975</v>
      </c>
      <c r="B1581" s="3" t="s">
        <v>14358</v>
      </c>
      <c r="C1581" s="3" t="s">
        <v>785</v>
      </c>
      <c r="D1581" s="3" t="s">
        <v>16976</v>
      </c>
      <c r="E1581" t="s">
        <v>785</v>
      </c>
      <c r="F1581" t="str">
        <f>_xlfn.XLOOKUP(C1581,gwas_metab_name_map!C:C,gwas_metab_name_map!D:D,"")</f>
        <v>metab_pufa</v>
      </c>
      <c r="G1581" s="3"/>
      <c r="H1581" s="3"/>
    </row>
    <row r="1582" spans="1:8" x14ac:dyDescent="0.2">
      <c r="A1582" s="3" t="s">
        <v>16977</v>
      </c>
      <c r="B1582" s="3" t="s">
        <v>14358</v>
      </c>
      <c r="C1582" s="3" t="s">
        <v>794</v>
      </c>
      <c r="D1582" s="3" t="s">
        <v>16797</v>
      </c>
      <c r="E1582" t="s">
        <v>794</v>
      </c>
      <c r="F1582" t="str">
        <f>_xlfn.XLOOKUP(C1582,gwas_metab_name_map!C:C,gwas_metab_name_map!D:D,"")</f>
        <v>metab_pufapct</v>
      </c>
      <c r="G1582" s="3"/>
      <c r="H1582" s="3"/>
    </row>
    <row r="1583" spans="1:8" x14ac:dyDescent="0.2">
      <c r="A1583" s="3" t="s">
        <v>16978</v>
      </c>
      <c r="B1583" s="3" t="s">
        <v>14358</v>
      </c>
      <c r="C1583" s="3" t="s">
        <v>798</v>
      </c>
      <c r="D1583" s="3" t="s">
        <v>15939</v>
      </c>
      <c r="E1583" t="s">
        <v>797</v>
      </c>
      <c r="F1583" t="str">
        <f>_xlfn.XLOOKUP(C1583,gwas_metab_name_map!C:C,gwas_metab_name_map!D:D,"")</f>
        <v>metab_pyruvate</v>
      </c>
      <c r="G1583" s="3"/>
      <c r="H1583" s="3"/>
    </row>
    <row r="1584" spans="1:8" x14ac:dyDescent="0.2">
      <c r="A1584" s="3" t="s">
        <v>16979</v>
      </c>
      <c r="B1584" s="3" t="s">
        <v>14358</v>
      </c>
      <c r="C1584" s="3" t="s">
        <v>802</v>
      </c>
      <c r="D1584" s="3" t="s">
        <v>16980</v>
      </c>
      <c r="E1584" t="s">
        <v>802</v>
      </c>
      <c r="F1584" t="str">
        <f>_xlfn.XLOOKUP(C1584,gwas_metab_name_map!C:C,gwas_metab_name_map!D:D,"")</f>
        <v>metab_remnantc</v>
      </c>
      <c r="G1584" s="3"/>
      <c r="H1584" s="3"/>
    </row>
    <row r="1585" spans="1:8" x14ac:dyDescent="0.2">
      <c r="A1585" s="3" t="s">
        <v>16981</v>
      </c>
      <c r="B1585" s="3" t="s">
        <v>14358</v>
      </c>
      <c r="C1585" s="3" t="s">
        <v>819</v>
      </c>
      <c r="D1585" s="3" t="s">
        <v>15816</v>
      </c>
      <c r="E1585" t="s">
        <v>11173</v>
      </c>
      <c r="F1585" t="str">
        <f>_xlfn.XLOOKUP(C1585,gwas_metab_name_map!C:C,gwas_metab_name_map!D:D,"")</f>
        <v>metab_totalc</v>
      </c>
      <c r="G1585" s="3"/>
      <c r="H1585" s="3"/>
    </row>
    <row r="1586" spans="1:8" x14ac:dyDescent="0.2">
      <c r="A1586" s="3" t="s">
        <v>16982</v>
      </c>
      <c r="B1586" s="3" t="s">
        <v>14358</v>
      </c>
      <c r="C1586" s="3" t="s">
        <v>932</v>
      </c>
      <c r="D1586" s="3" t="s">
        <v>16802</v>
      </c>
      <c r="E1586" t="s">
        <v>19767</v>
      </c>
      <c r="F1586" t="str">
        <f>_xlfn.XLOOKUP(C1586,gwas_metab_name_map!C:C,gwas_metab_name_map!D:D,"")</f>
        <v>metab_totaltg</v>
      </c>
      <c r="G1586" s="3"/>
      <c r="H1586" s="3"/>
    </row>
    <row r="1587" spans="1:8" x14ac:dyDescent="0.2">
      <c r="A1587" s="3" t="s">
        <v>16983</v>
      </c>
      <c r="B1587" s="3" t="s">
        <v>14358</v>
      </c>
      <c r="C1587" s="3" t="s">
        <v>807</v>
      </c>
      <c r="D1587" s="3" t="s">
        <v>16984</v>
      </c>
      <c r="E1587" t="s">
        <v>807</v>
      </c>
      <c r="F1587" t="str">
        <f>_xlfn.XLOOKUP(C1587,gwas_metab_name_map!C:C,gwas_metab_name_map!D:D,"")</f>
        <v>metab_sfa</v>
      </c>
      <c r="G1587" s="3"/>
      <c r="H1587" s="3"/>
    </row>
    <row r="1588" spans="1:8" x14ac:dyDescent="0.2">
      <c r="A1588" s="3" t="s">
        <v>16985</v>
      </c>
      <c r="B1588" s="3" t="s">
        <v>14358</v>
      </c>
      <c r="C1588" s="3" t="s">
        <v>811</v>
      </c>
      <c r="D1588" s="3" t="s">
        <v>16797</v>
      </c>
      <c r="E1588" t="s">
        <v>811</v>
      </c>
      <c r="F1588" t="str">
        <f>_xlfn.XLOOKUP(C1588,gwas_metab_name_map!C:C,gwas_metab_name_map!D:D,"")</f>
        <v>metab_sfapct</v>
      </c>
      <c r="G1588" s="3"/>
      <c r="H1588" s="3"/>
    </row>
    <row r="1589" spans="1:8" x14ac:dyDescent="0.2">
      <c r="A1589" s="3" t="s">
        <v>16986</v>
      </c>
      <c r="B1589" s="3" t="s">
        <v>14358</v>
      </c>
      <c r="C1589" s="3" t="s">
        <v>111</v>
      </c>
      <c r="D1589" s="3" t="s">
        <v>16825</v>
      </c>
      <c r="E1589" t="s">
        <v>11299</v>
      </c>
      <c r="F1589" t="str">
        <f>_xlfn.XLOOKUP(C1589,gwas_metab_name_map!C:C,gwas_metab_name_map!D:D,"")</f>
        <v>metab_shdlc</v>
      </c>
      <c r="G1589" s="3"/>
      <c r="H1589" s="3"/>
    </row>
    <row r="1590" spans="1:8" x14ac:dyDescent="0.2">
      <c r="A1590" s="3" t="s">
        <v>16986</v>
      </c>
      <c r="B1590" s="3" t="s">
        <v>14358</v>
      </c>
      <c r="C1590" s="3" t="s">
        <v>111</v>
      </c>
      <c r="D1590" s="3" t="s">
        <v>15816</v>
      </c>
      <c r="E1590" t="s">
        <v>11299</v>
      </c>
      <c r="F1590" t="str">
        <f>_xlfn.XLOOKUP(C1590,gwas_metab_name_map!C:C,gwas_metab_name_map!D:D,"")</f>
        <v>metab_shdlc</v>
      </c>
      <c r="G1590" s="3"/>
      <c r="H1590" s="3"/>
    </row>
    <row r="1591" spans="1:8" x14ac:dyDescent="0.2">
      <c r="A1591" s="3" t="s">
        <v>16987</v>
      </c>
      <c r="B1591" s="3" t="s">
        <v>14358</v>
      </c>
      <c r="C1591" s="3" t="s">
        <v>183</v>
      </c>
      <c r="D1591" s="3" t="s">
        <v>16825</v>
      </c>
      <c r="E1591" t="s">
        <v>183</v>
      </c>
      <c r="F1591" t="str">
        <f>_xlfn.XLOOKUP(C1591,gwas_metab_name_map!C:C,gwas_metab_name_map!D:D,"")</f>
        <v>metab_shdlcpct</v>
      </c>
      <c r="G1591" s="3"/>
      <c r="H1591" s="3"/>
    </row>
    <row r="1592" spans="1:8" x14ac:dyDescent="0.2">
      <c r="A1592" s="3" t="s">
        <v>16987</v>
      </c>
      <c r="B1592" s="3" t="s">
        <v>14358</v>
      </c>
      <c r="C1592" s="3" t="s">
        <v>183</v>
      </c>
      <c r="D1592" s="3" t="s">
        <v>16836</v>
      </c>
      <c r="E1592" t="s">
        <v>183</v>
      </c>
      <c r="F1592" t="str">
        <f>_xlfn.XLOOKUP(C1592,gwas_metab_name_map!C:C,gwas_metab_name_map!D:D,"")</f>
        <v>metab_shdlcpct</v>
      </c>
      <c r="G1592" s="3"/>
      <c r="H1592" s="3"/>
    </row>
    <row r="1593" spans="1:8" x14ac:dyDescent="0.2">
      <c r="A1593" s="3" t="s">
        <v>16988</v>
      </c>
      <c r="B1593" s="3" t="s">
        <v>14358</v>
      </c>
      <c r="C1593" s="3" t="s">
        <v>255</v>
      </c>
      <c r="D1593" s="3" t="s">
        <v>16807</v>
      </c>
      <c r="E1593" t="s">
        <v>255</v>
      </c>
      <c r="F1593" t="str">
        <f>_xlfn.XLOOKUP(C1593,gwas_metab_name_map!C:C,gwas_metab_name_map!D:D,"")</f>
        <v>metab_shdlce</v>
      </c>
      <c r="G1593" s="3"/>
      <c r="H1593" s="3"/>
    </row>
    <row r="1594" spans="1:8" x14ac:dyDescent="0.2">
      <c r="A1594" s="3" t="s">
        <v>16988</v>
      </c>
      <c r="B1594" s="3" t="s">
        <v>14358</v>
      </c>
      <c r="C1594" s="3" t="s">
        <v>255</v>
      </c>
      <c r="D1594" s="3" t="s">
        <v>16825</v>
      </c>
      <c r="E1594" t="s">
        <v>255</v>
      </c>
      <c r="F1594" t="str">
        <f>_xlfn.XLOOKUP(C1594,gwas_metab_name_map!C:C,gwas_metab_name_map!D:D,"")</f>
        <v>metab_shdlce</v>
      </c>
      <c r="G1594" s="3"/>
      <c r="H1594" s="3"/>
    </row>
    <row r="1595" spans="1:8" x14ac:dyDescent="0.2">
      <c r="A1595" s="3" t="s">
        <v>16989</v>
      </c>
      <c r="B1595" s="3" t="s">
        <v>14358</v>
      </c>
      <c r="C1595" s="3" t="s">
        <v>315</v>
      </c>
      <c r="D1595" s="3" t="s">
        <v>16825</v>
      </c>
      <c r="E1595" t="s">
        <v>315</v>
      </c>
      <c r="F1595" t="str">
        <f>_xlfn.XLOOKUP(C1595,gwas_metab_name_map!C:C,gwas_metab_name_map!D:D,"")</f>
        <v>metab_shdlcepct</v>
      </c>
      <c r="G1595" s="3"/>
      <c r="H1595" s="3"/>
    </row>
    <row r="1596" spans="1:8" x14ac:dyDescent="0.2">
      <c r="A1596" s="3" t="s">
        <v>16989</v>
      </c>
      <c r="B1596" s="3" t="s">
        <v>14358</v>
      </c>
      <c r="C1596" s="3" t="s">
        <v>315</v>
      </c>
      <c r="D1596" s="3" t="s">
        <v>16839</v>
      </c>
      <c r="E1596" t="s">
        <v>315</v>
      </c>
      <c r="F1596" t="str">
        <f>_xlfn.XLOOKUP(C1596,gwas_metab_name_map!C:C,gwas_metab_name_map!D:D,"")</f>
        <v>metab_shdlcepct</v>
      </c>
      <c r="G1596" s="3"/>
      <c r="H1596" s="3"/>
    </row>
    <row r="1597" spans="1:8" x14ac:dyDescent="0.2">
      <c r="A1597" s="3" t="s">
        <v>16990</v>
      </c>
      <c r="B1597" s="3" t="s">
        <v>14358</v>
      </c>
      <c r="C1597" s="3" t="s">
        <v>481</v>
      </c>
      <c r="D1597" s="3" t="s">
        <v>16991</v>
      </c>
      <c r="E1597" t="s">
        <v>481</v>
      </c>
      <c r="F1597" t="str">
        <f>_xlfn.XLOOKUP(C1597,gwas_metab_name_map!C:C,gwas_metab_name_map!D:D,"")</f>
        <v>metab_shdlfc</v>
      </c>
      <c r="G1597" s="3"/>
      <c r="H1597" s="3"/>
    </row>
    <row r="1598" spans="1:8" x14ac:dyDescent="0.2">
      <c r="A1598" s="3" t="s">
        <v>16992</v>
      </c>
      <c r="B1598" s="3" t="s">
        <v>14358</v>
      </c>
      <c r="C1598" s="3" t="s">
        <v>541</v>
      </c>
      <c r="D1598" s="3" t="s">
        <v>16825</v>
      </c>
      <c r="E1598" t="s">
        <v>541</v>
      </c>
      <c r="F1598" t="str">
        <f>_xlfn.XLOOKUP(C1598,gwas_metab_name_map!C:C,gwas_metab_name_map!D:D,"")</f>
        <v>metab_shdlfcpct</v>
      </c>
      <c r="G1598" s="3"/>
      <c r="H1598" s="3"/>
    </row>
    <row r="1599" spans="1:8" x14ac:dyDescent="0.2">
      <c r="A1599" s="3" t="s">
        <v>16992</v>
      </c>
      <c r="B1599" s="3" t="s">
        <v>14358</v>
      </c>
      <c r="C1599" s="3" t="s">
        <v>541</v>
      </c>
      <c r="D1599" s="3" t="s">
        <v>16843</v>
      </c>
      <c r="E1599" t="s">
        <v>541</v>
      </c>
      <c r="F1599" t="str">
        <f>_xlfn.XLOOKUP(C1599,gwas_metab_name_map!C:C,gwas_metab_name_map!D:D,"")</f>
        <v>metab_shdlfcpct</v>
      </c>
      <c r="G1599" s="3"/>
      <c r="H1599" s="3"/>
    </row>
    <row r="1600" spans="1:8" x14ac:dyDescent="0.2">
      <c r="A1600" s="3" t="s">
        <v>16993</v>
      </c>
      <c r="B1600" s="3" t="s">
        <v>14358</v>
      </c>
      <c r="C1600" s="3" t="s">
        <v>900</v>
      </c>
      <c r="D1600" s="3" t="s">
        <v>16994</v>
      </c>
      <c r="E1600" t="s">
        <v>900</v>
      </c>
      <c r="F1600" t="str">
        <f>_xlfn.XLOOKUP(C1600,gwas_metab_name_map!C:C,gwas_metab_name_map!D:D,"")</f>
        <v>metab_shdll</v>
      </c>
      <c r="G1600" s="3"/>
      <c r="H1600" s="3"/>
    </row>
    <row r="1601" spans="1:8" x14ac:dyDescent="0.2">
      <c r="A1601" s="3" t="s">
        <v>16995</v>
      </c>
      <c r="B1601" s="3" t="s">
        <v>14358</v>
      </c>
      <c r="C1601" s="3" t="s">
        <v>391</v>
      </c>
      <c r="D1601" s="3" t="s">
        <v>16825</v>
      </c>
      <c r="E1601" t="s">
        <v>391</v>
      </c>
      <c r="F1601" t="str">
        <f>_xlfn.XLOOKUP(C1601,gwas_metab_name_map!C:C,gwas_metab_name_map!D:D,"")</f>
        <v>metab_shdlp</v>
      </c>
      <c r="G1601" s="3"/>
      <c r="H1601" s="3"/>
    </row>
    <row r="1602" spans="1:8" x14ac:dyDescent="0.2">
      <c r="A1602" s="3" t="s">
        <v>16996</v>
      </c>
      <c r="B1602" s="3" t="s">
        <v>14358</v>
      </c>
      <c r="C1602" s="3" t="s">
        <v>702</v>
      </c>
      <c r="D1602" s="3" t="s">
        <v>16997</v>
      </c>
      <c r="E1602" t="s">
        <v>702</v>
      </c>
      <c r="F1602" t="str">
        <f>_xlfn.XLOOKUP(C1602,gwas_metab_name_map!C:C,gwas_metab_name_map!D:D,"")</f>
        <v>metab_shdlpl</v>
      </c>
      <c r="G1602" s="3"/>
      <c r="H1602" s="3"/>
    </row>
    <row r="1603" spans="1:8" x14ac:dyDescent="0.2">
      <c r="A1603" s="3" t="s">
        <v>16998</v>
      </c>
      <c r="B1603" s="3" t="s">
        <v>14358</v>
      </c>
      <c r="C1603" s="3" t="s">
        <v>761</v>
      </c>
      <c r="D1603" s="3" t="s">
        <v>16825</v>
      </c>
      <c r="E1603" t="s">
        <v>761</v>
      </c>
      <c r="F1603" t="str">
        <f>_xlfn.XLOOKUP(C1603,gwas_metab_name_map!C:C,gwas_metab_name_map!D:D,"")</f>
        <v>metab_shdlplpct</v>
      </c>
      <c r="G1603" s="3"/>
      <c r="H1603" s="3"/>
    </row>
    <row r="1604" spans="1:8" x14ac:dyDescent="0.2">
      <c r="A1604" s="3" t="s">
        <v>16998</v>
      </c>
      <c r="B1604" s="3" t="s">
        <v>14358</v>
      </c>
      <c r="C1604" s="3" t="s">
        <v>761</v>
      </c>
      <c r="D1604" s="3" t="s">
        <v>16850</v>
      </c>
      <c r="E1604" t="s">
        <v>761</v>
      </c>
      <c r="F1604" t="str">
        <f>_xlfn.XLOOKUP(C1604,gwas_metab_name_map!C:C,gwas_metab_name_map!D:D,"")</f>
        <v>metab_shdlplpct</v>
      </c>
      <c r="G1604" s="3"/>
      <c r="H1604" s="3"/>
    </row>
    <row r="1605" spans="1:8" x14ac:dyDescent="0.2">
      <c r="A1605" s="3" t="s">
        <v>16999</v>
      </c>
      <c r="B1605" s="3" t="s">
        <v>14358</v>
      </c>
      <c r="C1605" s="3" t="s">
        <v>980</v>
      </c>
      <c r="D1605" s="3" t="s">
        <v>17000</v>
      </c>
      <c r="E1605" t="s">
        <v>980</v>
      </c>
      <c r="F1605" t="str">
        <f>_xlfn.XLOOKUP(C1605,gwas_metab_name_map!C:C,gwas_metab_name_map!D:D,"")</f>
        <v>metab_shdltg</v>
      </c>
      <c r="G1605" s="3"/>
      <c r="H1605" s="3"/>
    </row>
    <row r="1606" spans="1:8" x14ac:dyDescent="0.2">
      <c r="A1606" s="3" t="s">
        <v>17001</v>
      </c>
      <c r="B1606" s="3" t="s">
        <v>14358</v>
      </c>
      <c r="C1606" s="3" t="s">
        <v>1046</v>
      </c>
      <c r="D1606" s="3" t="s">
        <v>16825</v>
      </c>
      <c r="E1606" t="s">
        <v>1046</v>
      </c>
      <c r="F1606" t="str">
        <f>_xlfn.XLOOKUP(C1606,gwas_metab_name_map!C:C,gwas_metab_name_map!D:D,"")</f>
        <v>metab_shdltgpct</v>
      </c>
      <c r="G1606" s="3"/>
      <c r="H1606" s="3"/>
    </row>
    <row r="1607" spans="1:8" x14ac:dyDescent="0.2">
      <c r="A1607" s="3" t="s">
        <v>17001</v>
      </c>
      <c r="B1607" s="3" t="s">
        <v>14358</v>
      </c>
      <c r="C1607" s="3" t="s">
        <v>1046</v>
      </c>
      <c r="D1607" s="3" t="s">
        <v>16854</v>
      </c>
      <c r="E1607" t="s">
        <v>1046</v>
      </c>
      <c r="F1607" t="str">
        <f>_xlfn.XLOOKUP(C1607,gwas_metab_name_map!C:C,gwas_metab_name_map!D:D,"")</f>
        <v>metab_shdltgpct</v>
      </c>
      <c r="G1607" s="3"/>
      <c r="H1607" s="3"/>
    </row>
    <row r="1608" spans="1:8" x14ac:dyDescent="0.2">
      <c r="A1608" s="3" t="s">
        <v>17002</v>
      </c>
      <c r="B1608" s="3" t="s">
        <v>14358</v>
      </c>
      <c r="C1608" s="3" t="s">
        <v>116</v>
      </c>
      <c r="D1608" s="3" t="s">
        <v>17003</v>
      </c>
      <c r="E1608" t="s">
        <v>116</v>
      </c>
      <c r="F1608" t="str">
        <f>_xlfn.XLOOKUP(C1608,gwas_metab_name_map!C:C,gwas_metab_name_map!D:D,"")</f>
        <v>metab_sldlc</v>
      </c>
      <c r="G1608" s="3"/>
      <c r="H1608" s="3"/>
    </row>
    <row r="1609" spans="1:8" x14ac:dyDescent="0.2">
      <c r="A1609" s="3" t="s">
        <v>17004</v>
      </c>
      <c r="B1609" s="3" t="s">
        <v>14358</v>
      </c>
      <c r="C1609" s="3" t="s">
        <v>188</v>
      </c>
      <c r="D1609" s="3" t="s">
        <v>16860</v>
      </c>
      <c r="E1609" t="s">
        <v>188</v>
      </c>
      <c r="F1609" t="str">
        <f>_xlfn.XLOOKUP(C1609,gwas_metab_name_map!C:C,gwas_metab_name_map!D:D,"")</f>
        <v>metab_sldlcpct</v>
      </c>
      <c r="G1609" s="3"/>
      <c r="H1609" s="3"/>
    </row>
    <row r="1610" spans="1:8" x14ac:dyDescent="0.2">
      <c r="A1610" s="3" t="s">
        <v>17004</v>
      </c>
      <c r="B1610" s="3" t="s">
        <v>14358</v>
      </c>
      <c r="C1610" s="3" t="s">
        <v>188</v>
      </c>
      <c r="D1610" s="3" t="s">
        <v>16836</v>
      </c>
      <c r="E1610" t="s">
        <v>188</v>
      </c>
      <c r="F1610" t="str">
        <f>_xlfn.XLOOKUP(C1610,gwas_metab_name_map!C:C,gwas_metab_name_map!D:D,"")</f>
        <v>metab_sldlcpct</v>
      </c>
      <c r="G1610" s="3"/>
      <c r="H1610" s="3"/>
    </row>
    <row r="1611" spans="1:8" x14ac:dyDescent="0.2">
      <c r="A1611" s="3" t="s">
        <v>17005</v>
      </c>
      <c r="B1611" s="3" t="s">
        <v>14358</v>
      </c>
      <c r="C1611" s="3" t="s">
        <v>259</v>
      </c>
      <c r="D1611" s="3" t="s">
        <v>16807</v>
      </c>
      <c r="E1611" t="s">
        <v>259</v>
      </c>
      <c r="F1611" t="str">
        <f>_xlfn.XLOOKUP(C1611,gwas_metab_name_map!C:C,gwas_metab_name_map!D:D,"")</f>
        <v>metab_sldlce</v>
      </c>
      <c r="G1611" s="3"/>
      <c r="H1611" s="3"/>
    </row>
    <row r="1612" spans="1:8" x14ac:dyDescent="0.2">
      <c r="A1612" s="3" t="s">
        <v>17005</v>
      </c>
      <c r="B1612" s="3" t="s">
        <v>14358</v>
      </c>
      <c r="C1612" s="3" t="s">
        <v>259</v>
      </c>
      <c r="D1612" s="3" t="s">
        <v>16860</v>
      </c>
      <c r="E1612" t="s">
        <v>259</v>
      </c>
      <c r="F1612" t="str">
        <f>_xlfn.XLOOKUP(C1612,gwas_metab_name_map!C:C,gwas_metab_name_map!D:D,"")</f>
        <v>metab_sldlce</v>
      </c>
      <c r="G1612" s="3"/>
      <c r="H1612" s="3"/>
    </row>
    <row r="1613" spans="1:8" x14ac:dyDescent="0.2">
      <c r="A1613" s="3" t="s">
        <v>17006</v>
      </c>
      <c r="B1613" s="3" t="s">
        <v>14358</v>
      </c>
      <c r="C1613" s="3" t="s">
        <v>319</v>
      </c>
      <c r="D1613" s="3" t="s">
        <v>16839</v>
      </c>
      <c r="E1613" t="s">
        <v>319</v>
      </c>
      <c r="F1613" t="str">
        <f>_xlfn.XLOOKUP(C1613,gwas_metab_name_map!C:C,gwas_metab_name_map!D:D,"")</f>
        <v>metab_sldlcepct</v>
      </c>
      <c r="G1613" s="3"/>
      <c r="H1613" s="3"/>
    </row>
    <row r="1614" spans="1:8" x14ac:dyDescent="0.2">
      <c r="A1614" s="3" t="s">
        <v>17006</v>
      </c>
      <c r="B1614" s="3" t="s">
        <v>14358</v>
      </c>
      <c r="C1614" s="3" t="s">
        <v>319</v>
      </c>
      <c r="D1614" s="3" t="s">
        <v>16836</v>
      </c>
      <c r="E1614" t="s">
        <v>319</v>
      </c>
      <c r="F1614" t="str">
        <f>_xlfn.XLOOKUP(C1614,gwas_metab_name_map!C:C,gwas_metab_name_map!D:D,"")</f>
        <v>metab_sldlcepct</v>
      </c>
      <c r="G1614" s="3"/>
      <c r="H1614" s="3"/>
    </row>
    <row r="1615" spans="1:8" x14ac:dyDescent="0.2">
      <c r="A1615" s="3" t="s">
        <v>17007</v>
      </c>
      <c r="B1615" s="3" t="s">
        <v>14358</v>
      </c>
      <c r="C1615" s="3" t="s">
        <v>485</v>
      </c>
      <c r="D1615" s="3" t="s">
        <v>17008</v>
      </c>
      <c r="E1615" t="s">
        <v>485</v>
      </c>
      <c r="F1615" t="str">
        <f>_xlfn.XLOOKUP(C1615,gwas_metab_name_map!C:C,gwas_metab_name_map!D:D,"")</f>
        <v>metab_sldlfc</v>
      </c>
      <c r="G1615" s="3"/>
      <c r="H1615" s="3"/>
    </row>
    <row r="1616" spans="1:8" x14ac:dyDescent="0.2">
      <c r="A1616" s="3" t="s">
        <v>17009</v>
      </c>
      <c r="B1616" s="3" t="s">
        <v>14358</v>
      </c>
      <c r="C1616" s="3" t="s">
        <v>545</v>
      </c>
      <c r="D1616" s="3" t="s">
        <v>16860</v>
      </c>
      <c r="E1616" t="s">
        <v>545</v>
      </c>
      <c r="F1616" t="str">
        <f>_xlfn.XLOOKUP(C1616,gwas_metab_name_map!C:C,gwas_metab_name_map!D:D,"")</f>
        <v>metab_sldlfcpct</v>
      </c>
      <c r="G1616" s="3"/>
      <c r="H1616" s="3"/>
    </row>
    <row r="1617" spans="1:8" x14ac:dyDescent="0.2">
      <c r="A1617" s="3" t="s">
        <v>17009</v>
      </c>
      <c r="B1617" s="3" t="s">
        <v>14358</v>
      </c>
      <c r="C1617" s="3" t="s">
        <v>545</v>
      </c>
      <c r="D1617" s="3" t="s">
        <v>16843</v>
      </c>
      <c r="E1617" t="s">
        <v>545</v>
      </c>
      <c r="F1617" t="str">
        <f>_xlfn.XLOOKUP(C1617,gwas_metab_name_map!C:C,gwas_metab_name_map!D:D,"")</f>
        <v>metab_sldlfcpct</v>
      </c>
      <c r="G1617" s="3"/>
      <c r="H1617" s="3"/>
    </row>
    <row r="1618" spans="1:8" x14ac:dyDescent="0.2">
      <c r="A1618" s="3" t="s">
        <v>17010</v>
      </c>
      <c r="B1618" s="3" t="s">
        <v>14358</v>
      </c>
      <c r="C1618" s="3" t="s">
        <v>904</v>
      </c>
      <c r="D1618" s="3" t="s">
        <v>17011</v>
      </c>
      <c r="E1618" t="s">
        <v>904</v>
      </c>
      <c r="F1618" t="str">
        <f>_xlfn.XLOOKUP(C1618,gwas_metab_name_map!C:C,gwas_metab_name_map!D:D,"")</f>
        <v>metab_sldll</v>
      </c>
      <c r="G1618" s="3"/>
      <c r="H1618" s="3"/>
    </row>
    <row r="1619" spans="1:8" x14ac:dyDescent="0.2">
      <c r="A1619" s="3" t="s">
        <v>17012</v>
      </c>
      <c r="B1619" s="3" t="s">
        <v>14358</v>
      </c>
      <c r="C1619" s="3" t="s">
        <v>395</v>
      </c>
      <c r="D1619" s="3" t="s">
        <v>16860</v>
      </c>
      <c r="E1619" t="s">
        <v>395</v>
      </c>
      <c r="F1619" t="str">
        <f>_xlfn.XLOOKUP(C1619,gwas_metab_name_map!C:C,gwas_metab_name_map!D:D,"")</f>
        <v>metab_sldlp</v>
      </c>
      <c r="G1619" s="3"/>
      <c r="H1619" s="3"/>
    </row>
    <row r="1620" spans="1:8" x14ac:dyDescent="0.2">
      <c r="A1620" s="3" t="s">
        <v>17013</v>
      </c>
      <c r="B1620" s="3" t="s">
        <v>14358</v>
      </c>
      <c r="C1620" s="3" t="s">
        <v>706</v>
      </c>
      <c r="D1620" s="3" t="s">
        <v>17014</v>
      </c>
      <c r="E1620" t="s">
        <v>706</v>
      </c>
      <c r="F1620" t="str">
        <f>_xlfn.XLOOKUP(C1620,gwas_metab_name_map!C:C,gwas_metab_name_map!D:D,"")</f>
        <v>metab_sldlpl</v>
      </c>
      <c r="G1620" s="3"/>
      <c r="H1620" s="3"/>
    </row>
    <row r="1621" spans="1:8" x14ac:dyDescent="0.2">
      <c r="A1621" s="3" t="s">
        <v>17015</v>
      </c>
      <c r="B1621" s="3" t="s">
        <v>14358</v>
      </c>
      <c r="C1621" s="3" t="s">
        <v>765</v>
      </c>
      <c r="D1621" s="3" t="s">
        <v>16860</v>
      </c>
      <c r="E1621" t="s">
        <v>765</v>
      </c>
      <c r="F1621" t="str">
        <f>_xlfn.XLOOKUP(C1621,gwas_metab_name_map!C:C,gwas_metab_name_map!D:D,"")</f>
        <v>metab_sldlplpct</v>
      </c>
      <c r="G1621" s="3"/>
      <c r="H1621" s="3"/>
    </row>
    <row r="1622" spans="1:8" x14ac:dyDescent="0.2">
      <c r="A1622" s="3" t="s">
        <v>17015</v>
      </c>
      <c r="B1622" s="3" t="s">
        <v>14358</v>
      </c>
      <c r="C1622" s="3" t="s">
        <v>765</v>
      </c>
      <c r="D1622" s="3" t="s">
        <v>16850</v>
      </c>
      <c r="E1622" t="s">
        <v>765</v>
      </c>
      <c r="F1622" t="str">
        <f>_xlfn.XLOOKUP(C1622,gwas_metab_name_map!C:C,gwas_metab_name_map!D:D,"")</f>
        <v>metab_sldlplpct</v>
      </c>
      <c r="G1622" s="3"/>
      <c r="H1622" s="3"/>
    </row>
    <row r="1623" spans="1:8" x14ac:dyDescent="0.2">
      <c r="A1623" s="3" t="s">
        <v>17016</v>
      </c>
      <c r="B1623" s="3" t="s">
        <v>14358</v>
      </c>
      <c r="C1623" s="3" t="s">
        <v>984</v>
      </c>
      <c r="D1623" s="3" t="s">
        <v>17017</v>
      </c>
      <c r="E1623" t="s">
        <v>984</v>
      </c>
      <c r="F1623" t="str">
        <f>_xlfn.XLOOKUP(C1623,gwas_metab_name_map!C:C,gwas_metab_name_map!D:D,"")</f>
        <v>metab_sldltg</v>
      </c>
      <c r="G1623" s="3"/>
      <c r="H1623" s="3"/>
    </row>
    <row r="1624" spans="1:8" x14ac:dyDescent="0.2">
      <c r="A1624" s="3" t="s">
        <v>17018</v>
      </c>
      <c r="B1624" s="3" t="s">
        <v>14358</v>
      </c>
      <c r="C1624" s="3" t="s">
        <v>1050</v>
      </c>
      <c r="D1624" s="3" t="s">
        <v>16860</v>
      </c>
      <c r="E1624" t="s">
        <v>1050</v>
      </c>
      <c r="F1624" t="str">
        <f>_xlfn.XLOOKUP(C1624,gwas_metab_name_map!C:C,gwas_metab_name_map!D:D,"")</f>
        <v>metab_sldltgpct</v>
      </c>
      <c r="G1624" s="3"/>
      <c r="H1624" s="3"/>
    </row>
    <row r="1625" spans="1:8" x14ac:dyDescent="0.2">
      <c r="A1625" s="3" t="s">
        <v>17018</v>
      </c>
      <c r="B1625" s="3" t="s">
        <v>14358</v>
      </c>
      <c r="C1625" s="3" t="s">
        <v>1050</v>
      </c>
      <c r="D1625" s="3" t="s">
        <v>16854</v>
      </c>
      <c r="E1625" t="s">
        <v>1050</v>
      </c>
      <c r="F1625" t="str">
        <f>_xlfn.XLOOKUP(C1625,gwas_metab_name_map!C:C,gwas_metab_name_map!D:D,"")</f>
        <v>metab_sldltgpct</v>
      </c>
      <c r="G1625" s="3"/>
      <c r="H1625" s="3"/>
    </row>
    <row r="1626" spans="1:8" x14ac:dyDescent="0.2">
      <c r="A1626" s="3" t="s">
        <v>17019</v>
      </c>
      <c r="B1626" s="3" t="s">
        <v>14358</v>
      </c>
      <c r="C1626" s="3" t="s">
        <v>815</v>
      </c>
      <c r="D1626" s="3" t="s">
        <v>15112</v>
      </c>
      <c r="E1626" t="s">
        <v>814</v>
      </c>
      <c r="F1626" t="str">
        <f>_xlfn.XLOOKUP(C1626,gwas_metab_name_map!C:C,gwas_metab_name_map!D:D,"")</f>
        <v>metab_sphingomyelins</v>
      </c>
      <c r="G1626" s="3"/>
      <c r="H1626" s="3"/>
    </row>
    <row r="1627" spans="1:8" x14ac:dyDescent="0.2">
      <c r="A1627" s="3" t="s">
        <v>17020</v>
      </c>
      <c r="B1627" s="3" t="s">
        <v>14358</v>
      </c>
      <c r="C1627" s="3" t="s">
        <v>121</v>
      </c>
      <c r="D1627" s="3" t="s">
        <v>17021</v>
      </c>
      <c r="E1627" t="s">
        <v>121</v>
      </c>
      <c r="F1627" t="str">
        <f>_xlfn.XLOOKUP(C1627,gwas_metab_name_map!C:C,gwas_metab_name_map!D:D,"")</f>
        <v>metab_svldlc</v>
      </c>
      <c r="G1627" s="3"/>
      <c r="H1627" s="3"/>
    </row>
    <row r="1628" spans="1:8" x14ac:dyDescent="0.2">
      <c r="A1628" s="3" t="s">
        <v>17022</v>
      </c>
      <c r="B1628" s="3" t="s">
        <v>14358</v>
      </c>
      <c r="C1628" s="3" t="s">
        <v>193</v>
      </c>
      <c r="D1628" s="3" t="s">
        <v>16904</v>
      </c>
      <c r="E1628" t="s">
        <v>193</v>
      </c>
      <c r="F1628" t="str">
        <f>_xlfn.XLOOKUP(C1628,gwas_metab_name_map!C:C,gwas_metab_name_map!D:D,"")</f>
        <v>metab_svldlcpct</v>
      </c>
      <c r="G1628" s="3"/>
      <c r="H1628" s="3"/>
    </row>
    <row r="1629" spans="1:8" x14ac:dyDescent="0.2">
      <c r="A1629" s="3" t="s">
        <v>17022</v>
      </c>
      <c r="B1629" s="3" t="s">
        <v>14358</v>
      </c>
      <c r="C1629" s="3" t="s">
        <v>193</v>
      </c>
      <c r="D1629" s="3" t="s">
        <v>16836</v>
      </c>
      <c r="E1629" t="s">
        <v>193</v>
      </c>
      <c r="F1629" t="str">
        <f>_xlfn.XLOOKUP(C1629,gwas_metab_name_map!C:C,gwas_metab_name_map!D:D,"")</f>
        <v>metab_svldlcpct</v>
      </c>
      <c r="G1629" s="3"/>
      <c r="H1629" s="3"/>
    </row>
    <row r="1630" spans="1:8" x14ac:dyDescent="0.2">
      <c r="A1630" s="3" t="s">
        <v>17023</v>
      </c>
      <c r="B1630" s="3" t="s">
        <v>14358</v>
      </c>
      <c r="C1630" s="3" t="s">
        <v>263</v>
      </c>
      <c r="D1630" s="3" t="s">
        <v>16807</v>
      </c>
      <c r="E1630" t="s">
        <v>263</v>
      </c>
      <c r="F1630" t="str">
        <f>_xlfn.XLOOKUP(C1630,gwas_metab_name_map!C:C,gwas_metab_name_map!D:D,"")</f>
        <v>metab_svldlce</v>
      </c>
      <c r="G1630" s="3"/>
      <c r="H1630" s="3"/>
    </row>
    <row r="1631" spans="1:8" x14ac:dyDescent="0.2">
      <c r="A1631" s="3" t="s">
        <v>17023</v>
      </c>
      <c r="B1631" s="3" t="s">
        <v>14358</v>
      </c>
      <c r="C1631" s="3" t="s">
        <v>263</v>
      </c>
      <c r="D1631" s="3" t="s">
        <v>16904</v>
      </c>
      <c r="E1631" t="s">
        <v>263</v>
      </c>
      <c r="F1631" t="str">
        <f>_xlfn.XLOOKUP(C1631,gwas_metab_name_map!C:C,gwas_metab_name_map!D:D,"")</f>
        <v>metab_svldlce</v>
      </c>
      <c r="G1631" s="3"/>
      <c r="H1631" s="3"/>
    </row>
    <row r="1632" spans="1:8" x14ac:dyDescent="0.2">
      <c r="A1632" s="3" t="s">
        <v>17024</v>
      </c>
      <c r="B1632" s="3" t="s">
        <v>14358</v>
      </c>
      <c r="C1632" s="3" t="s">
        <v>323</v>
      </c>
      <c r="D1632" s="3" t="s">
        <v>16839</v>
      </c>
      <c r="E1632" t="s">
        <v>323</v>
      </c>
      <c r="F1632" t="str">
        <f>_xlfn.XLOOKUP(C1632,gwas_metab_name_map!C:C,gwas_metab_name_map!D:D,"")</f>
        <v>metab_svldlcepct</v>
      </c>
      <c r="G1632" s="3"/>
      <c r="H1632" s="3"/>
    </row>
    <row r="1633" spans="1:8" x14ac:dyDescent="0.2">
      <c r="A1633" s="3" t="s">
        <v>17024</v>
      </c>
      <c r="B1633" s="3" t="s">
        <v>14358</v>
      </c>
      <c r="C1633" s="3" t="s">
        <v>323</v>
      </c>
      <c r="D1633" s="3" t="s">
        <v>16904</v>
      </c>
      <c r="E1633" t="s">
        <v>323</v>
      </c>
      <c r="F1633" t="str">
        <f>_xlfn.XLOOKUP(C1633,gwas_metab_name_map!C:C,gwas_metab_name_map!D:D,"")</f>
        <v>metab_svldlcepct</v>
      </c>
      <c r="G1633" s="3"/>
      <c r="H1633" s="3"/>
    </row>
    <row r="1634" spans="1:8" x14ac:dyDescent="0.2">
      <c r="A1634" s="3" t="s">
        <v>17025</v>
      </c>
      <c r="B1634" s="3" t="s">
        <v>14358</v>
      </c>
      <c r="C1634" s="3" t="s">
        <v>489</v>
      </c>
      <c r="D1634" s="3" t="s">
        <v>17026</v>
      </c>
      <c r="E1634" t="s">
        <v>489</v>
      </c>
      <c r="F1634" t="str">
        <f>_xlfn.XLOOKUP(C1634,gwas_metab_name_map!C:C,gwas_metab_name_map!D:D,"")</f>
        <v>metab_svldlfc</v>
      </c>
      <c r="G1634" s="3"/>
      <c r="H1634" s="3"/>
    </row>
    <row r="1635" spans="1:8" x14ac:dyDescent="0.2">
      <c r="A1635" s="3" t="s">
        <v>17027</v>
      </c>
      <c r="B1635" s="3" t="s">
        <v>14358</v>
      </c>
      <c r="C1635" s="3" t="s">
        <v>549</v>
      </c>
      <c r="D1635" s="3" t="s">
        <v>16904</v>
      </c>
      <c r="E1635" t="s">
        <v>549</v>
      </c>
      <c r="F1635" t="str">
        <f>_xlfn.XLOOKUP(C1635,gwas_metab_name_map!C:C,gwas_metab_name_map!D:D,"")</f>
        <v>metab_svldlfcpct</v>
      </c>
      <c r="G1635" s="3"/>
      <c r="H1635" s="3"/>
    </row>
    <row r="1636" spans="1:8" x14ac:dyDescent="0.2">
      <c r="A1636" s="3" t="s">
        <v>17027</v>
      </c>
      <c r="B1636" s="3" t="s">
        <v>14358</v>
      </c>
      <c r="C1636" s="3" t="s">
        <v>549</v>
      </c>
      <c r="D1636" s="3" t="s">
        <v>16843</v>
      </c>
      <c r="E1636" t="s">
        <v>549</v>
      </c>
      <c r="F1636" t="str">
        <f>_xlfn.XLOOKUP(C1636,gwas_metab_name_map!C:C,gwas_metab_name_map!D:D,"")</f>
        <v>metab_svldlfcpct</v>
      </c>
      <c r="G1636" s="3"/>
      <c r="H1636" s="3"/>
    </row>
    <row r="1637" spans="1:8" x14ac:dyDescent="0.2">
      <c r="A1637" s="3" t="s">
        <v>17028</v>
      </c>
      <c r="B1637" s="3" t="s">
        <v>14358</v>
      </c>
      <c r="C1637" s="3" t="s">
        <v>908</v>
      </c>
      <c r="D1637" s="3" t="s">
        <v>17029</v>
      </c>
      <c r="E1637" t="s">
        <v>908</v>
      </c>
      <c r="F1637" t="str">
        <f>_xlfn.XLOOKUP(C1637,gwas_metab_name_map!C:C,gwas_metab_name_map!D:D,"")</f>
        <v>metab_svldll</v>
      </c>
      <c r="G1637" s="3"/>
      <c r="H1637" s="3"/>
    </row>
    <row r="1638" spans="1:8" x14ac:dyDescent="0.2">
      <c r="A1638" s="3" t="s">
        <v>17030</v>
      </c>
      <c r="B1638" s="3" t="s">
        <v>14358</v>
      </c>
      <c r="C1638" s="3" t="s">
        <v>399</v>
      </c>
      <c r="D1638" s="3" t="s">
        <v>16904</v>
      </c>
      <c r="E1638" t="s">
        <v>399</v>
      </c>
      <c r="F1638" t="str">
        <f>_xlfn.XLOOKUP(C1638,gwas_metab_name_map!C:C,gwas_metab_name_map!D:D,"")</f>
        <v>metab_svldlp</v>
      </c>
      <c r="G1638" s="3"/>
      <c r="H1638" s="3"/>
    </row>
    <row r="1639" spans="1:8" x14ac:dyDescent="0.2">
      <c r="A1639" s="3" t="s">
        <v>17031</v>
      </c>
      <c r="B1639" s="3" t="s">
        <v>14358</v>
      </c>
      <c r="C1639" s="3" t="s">
        <v>710</v>
      </c>
      <c r="D1639" s="3" t="s">
        <v>16915</v>
      </c>
      <c r="E1639" t="s">
        <v>710</v>
      </c>
      <c r="F1639" t="str">
        <f>_xlfn.XLOOKUP(C1639,gwas_metab_name_map!C:C,gwas_metab_name_map!D:D,"")</f>
        <v>metab_svldlpl</v>
      </c>
      <c r="G1639" s="3"/>
      <c r="H1639" s="3"/>
    </row>
    <row r="1640" spans="1:8" x14ac:dyDescent="0.2">
      <c r="A1640" s="3" t="s">
        <v>17032</v>
      </c>
      <c r="B1640" s="3" t="s">
        <v>14358</v>
      </c>
      <c r="C1640" s="3" t="s">
        <v>769</v>
      </c>
      <c r="D1640" s="3" t="s">
        <v>16904</v>
      </c>
      <c r="E1640" t="s">
        <v>769</v>
      </c>
      <c r="F1640" t="str">
        <f>_xlfn.XLOOKUP(C1640,gwas_metab_name_map!C:C,gwas_metab_name_map!D:D,"")</f>
        <v>metab_svldlplpct</v>
      </c>
      <c r="G1640" s="3"/>
      <c r="H1640" s="3"/>
    </row>
    <row r="1641" spans="1:8" x14ac:dyDescent="0.2">
      <c r="A1641" s="3" t="s">
        <v>17032</v>
      </c>
      <c r="B1641" s="3" t="s">
        <v>14358</v>
      </c>
      <c r="C1641" s="3" t="s">
        <v>769</v>
      </c>
      <c r="D1641" s="3" t="s">
        <v>16850</v>
      </c>
      <c r="E1641" t="s">
        <v>769</v>
      </c>
      <c r="F1641" t="str">
        <f>_xlfn.XLOOKUP(C1641,gwas_metab_name_map!C:C,gwas_metab_name_map!D:D,"")</f>
        <v>metab_svldlplpct</v>
      </c>
      <c r="G1641" s="3"/>
      <c r="H1641" s="3"/>
    </row>
    <row r="1642" spans="1:8" x14ac:dyDescent="0.2">
      <c r="A1642" s="3" t="s">
        <v>17033</v>
      </c>
      <c r="B1642" s="3" t="s">
        <v>14358</v>
      </c>
      <c r="C1642" s="3" t="s">
        <v>988</v>
      </c>
      <c r="D1642" s="3" t="s">
        <v>17034</v>
      </c>
      <c r="E1642" t="s">
        <v>988</v>
      </c>
      <c r="F1642" t="str">
        <f>_xlfn.XLOOKUP(C1642,gwas_metab_name_map!C:C,gwas_metab_name_map!D:D,"")</f>
        <v>metab_svldltg</v>
      </c>
      <c r="G1642" s="3"/>
      <c r="H1642" s="3"/>
    </row>
    <row r="1643" spans="1:8" x14ac:dyDescent="0.2">
      <c r="A1643" s="3" t="s">
        <v>17035</v>
      </c>
      <c r="B1643" s="3" t="s">
        <v>14358</v>
      </c>
      <c r="C1643" s="3" t="s">
        <v>1054</v>
      </c>
      <c r="D1643" s="3" t="s">
        <v>16904</v>
      </c>
      <c r="E1643" t="s">
        <v>1054</v>
      </c>
      <c r="F1643" t="str">
        <f>_xlfn.XLOOKUP(C1643,gwas_metab_name_map!C:C,gwas_metab_name_map!D:D,"")</f>
        <v>metab_svldltgpct</v>
      </c>
      <c r="G1643" s="3"/>
      <c r="H1643" s="3"/>
    </row>
    <row r="1644" spans="1:8" x14ac:dyDescent="0.2">
      <c r="A1644" s="3" t="s">
        <v>17035</v>
      </c>
      <c r="B1644" s="3" t="s">
        <v>14358</v>
      </c>
      <c r="C1644" s="3" t="s">
        <v>1054</v>
      </c>
      <c r="D1644" s="3" t="s">
        <v>16854</v>
      </c>
      <c r="E1644" t="s">
        <v>1054</v>
      </c>
      <c r="F1644" t="str">
        <f>_xlfn.XLOOKUP(C1644,gwas_metab_name_map!C:C,gwas_metab_name_map!D:D,"")</f>
        <v>metab_svldltgpct</v>
      </c>
      <c r="G1644" s="3"/>
      <c r="H1644" s="3"/>
    </row>
    <row r="1645" spans="1:8" x14ac:dyDescent="0.2">
      <c r="A1645" s="3" t="s">
        <v>17036</v>
      </c>
      <c r="B1645" s="3" t="s">
        <v>14358</v>
      </c>
      <c r="C1645" s="3" t="s">
        <v>1009</v>
      </c>
      <c r="D1645" s="3" t="s">
        <v>17037</v>
      </c>
      <c r="E1645" t="s">
        <v>1009</v>
      </c>
      <c r="F1645" t="str">
        <f>_xlfn.XLOOKUP(C1645,gwas_metab_name_map!C:C,gwas_metab_name_map!D:D,"")</f>
        <v>metab_tgpg</v>
      </c>
      <c r="G1645" s="3"/>
      <c r="H1645" s="3"/>
    </row>
    <row r="1646" spans="1:8" x14ac:dyDescent="0.2">
      <c r="A1646" s="3" t="s">
        <v>17036</v>
      </c>
      <c r="B1646" s="3" t="s">
        <v>14358</v>
      </c>
      <c r="C1646" s="3" t="s">
        <v>1009</v>
      </c>
      <c r="D1646" s="3" t="s">
        <v>16802</v>
      </c>
      <c r="E1646" t="s">
        <v>1009</v>
      </c>
      <c r="F1646" t="str">
        <f>_xlfn.XLOOKUP(C1646,gwas_metab_name_map!C:C,gwas_metab_name_map!D:D,"")</f>
        <v>metab_tgpg</v>
      </c>
      <c r="G1646" s="3"/>
      <c r="H1646" s="3"/>
    </row>
    <row r="1647" spans="1:8" x14ac:dyDescent="0.2">
      <c r="A1647" s="3" t="s">
        <v>17038</v>
      </c>
      <c r="B1647" s="3" t="s">
        <v>14358</v>
      </c>
      <c r="C1647" s="3" t="s">
        <v>828</v>
      </c>
      <c r="D1647" s="3" t="s">
        <v>15734</v>
      </c>
      <c r="E1647" t="s">
        <v>830</v>
      </c>
      <c r="F1647" t="str">
        <f>_xlfn.XLOOKUP(C1647,gwas_metab_name_map!C:C,gwas_metab_name_map!D:D,"")</f>
        <v>metab_cholines</v>
      </c>
      <c r="G1647" s="3"/>
      <c r="H1647" s="3"/>
    </row>
    <row r="1648" spans="1:8" x14ac:dyDescent="0.2">
      <c r="A1648" s="3" t="s">
        <v>17039</v>
      </c>
      <c r="B1648" s="3" t="s">
        <v>14358</v>
      </c>
      <c r="C1648" s="3" t="s">
        <v>846</v>
      </c>
      <c r="D1648" s="3" t="s">
        <v>16797</v>
      </c>
      <c r="E1648" t="s">
        <v>846</v>
      </c>
      <c r="F1648" t="str">
        <f>_xlfn.XLOOKUP(C1648,gwas_metab_name_map!C:C,gwas_metab_name_map!D:D,"")</f>
        <v>metab_totalfa</v>
      </c>
      <c r="G1648" s="3"/>
      <c r="H1648" s="3"/>
    </row>
    <row r="1649" spans="1:8" x14ac:dyDescent="0.2">
      <c r="A1649" s="3" t="s">
        <v>17040</v>
      </c>
      <c r="B1649" s="3" t="s">
        <v>14358</v>
      </c>
      <c r="C1649" s="3" t="s">
        <v>659</v>
      </c>
      <c r="D1649" s="3" t="s">
        <v>17041</v>
      </c>
      <c r="E1649" t="s">
        <v>11263</v>
      </c>
      <c r="F1649" t="str">
        <f>_xlfn.XLOOKUP(C1649,gwas_metab_name_map!C:C,gwas_metab_name_map!D:D,"")</f>
        <v>metab_phosphoglyc</v>
      </c>
      <c r="G1649" s="3"/>
      <c r="H1649" s="3"/>
    </row>
    <row r="1650" spans="1:8" x14ac:dyDescent="0.2">
      <c r="A1650" s="3" t="s">
        <v>17042</v>
      </c>
      <c r="B1650" s="3" t="s">
        <v>14358</v>
      </c>
      <c r="C1650" s="3" t="s">
        <v>1070</v>
      </c>
      <c r="D1650" s="3" t="s">
        <v>15933</v>
      </c>
      <c r="E1650" t="s">
        <v>1069</v>
      </c>
      <c r="F1650" t="str">
        <f>_xlfn.XLOOKUP(C1650,gwas_metab_name_map!C:C,gwas_metab_name_map!D:D,"")</f>
        <v>metab_tyr</v>
      </c>
      <c r="G1650" s="3"/>
      <c r="H1650" s="3"/>
    </row>
    <row r="1651" spans="1:8" x14ac:dyDescent="0.2">
      <c r="A1651" s="3" t="s">
        <v>17043</v>
      </c>
      <c r="B1651" s="3" t="s">
        <v>14358</v>
      </c>
      <c r="C1651" s="3" t="s">
        <v>423</v>
      </c>
      <c r="D1651" s="3" t="s">
        <v>16797</v>
      </c>
      <c r="E1651" t="s">
        <v>423</v>
      </c>
      <c r="F1651" t="str">
        <f>_xlfn.XLOOKUP(C1651,gwas_metab_name_map!C:C,gwas_metab_name_map!D:D,"")</f>
        <v>metab_unsaturation</v>
      </c>
      <c r="G1651" s="3"/>
      <c r="H1651" s="3"/>
    </row>
    <row r="1652" spans="1:8" x14ac:dyDescent="0.2">
      <c r="A1652" s="3" t="s">
        <v>17044</v>
      </c>
      <c r="B1652" s="3" t="s">
        <v>14358</v>
      </c>
      <c r="C1652" s="3" t="s">
        <v>1074</v>
      </c>
      <c r="D1652" s="3" t="s">
        <v>15962</v>
      </c>
      <c r="E1652" t="s">
        <v>1073</v>
      </c>
      <c r="F1652" t="str">
        <f>_xlfn.XLOOKUP(C1652,gwas_metab_name_map!C:C,gwas_metab_name_map!D:D,"")</f>
        <v>metab_val</v>
      </c>
      <c r="G1652" s="3"/>
      <c r="H1652" s="3"/>
    </row>
    <row r="1653" spans="1:8" x14ac:dyDescent="0.2">
      <c r="A1653" s="3" t="s">
        <v>17045</v>
      </c>
      <c r="B1653" s="3" t="s">
        <v>14358</v>
      </c>
      <c r="C1653" s="3" t="s">
        <v>1092</v>
      </c>
      <c r="D1653" s="3" t="s">
        <v>16904</v>
      </c>
      <c r="E1653" t="s">
        <v>11291</v>
      </c>
      <c r="F1653" t="s">
        <v>1078</v>
      </c>
      <c r="G1653" s="3"/>
      <c r="H1653" s="3"/>
    </row>
    <row r="1654" spans="1:8" x14ac:dyDescent="0.2">
      <c r="A1654" s="3" t="s">
        <v>17046</v>
      </c>
      <c r="B1654" s="3" t="s">
        <v>14358</v>
      </c>
      <c r="C1654" s="3" t="s">
        <v>64</v>
      </c>
      <c r="D1654" s="3" t="s">
        <v>17047</v>
      </c>
      <c r="E1654" t="s">
        <v>64</v>
      </c>
      <c r="F1654" t="str">
        <f>_xlfn.XLOOKUP(C1654,gwas_metab_name_map!C:C,gwas_metab_name_map!D:D,"")</f>
        <v>metab_vldlsize</v>
      </c>
      <c r="G1654" s="3"/>
      <c r="H1654" s="3"/>
    </row>
    <row r="1655" spans="1:8" x14ac:dyDescent="0.2">
      <c r="A1655" s="3" t="s">
        <v>17048</v>
      </c>
      <c r="B1655" s="3" t="s">
        <v>14358</v>
      </c>
      <c r="C1655" s="3" t="s">
        <v>1004</v>
      </c>
      <c r="D1655" s="3" t="s">
        <v>16904</v>
      </c>
      <c r="E1655" t="s">
        <v>19768</v>
      </c>
      <c r="F1655" t="str">
        <f>_xlfn.XLOOKUP(C1655,gwas_metab_name_map!C:C,gwas_metab_name_map!D:D,"")</f>
        <v>metab_vldltg</v>
      </c>
      <c r="G1655" s="3"/>
      <c r="H1655" s="3"/>
    </row>
    <row r="1656" spans="1:8" x14ac:dyDescent="0.2">
      <c r="A1656" s="3" t="s">
        <v>17048</v>
      </c>
      <c r="B1656" s="3" t="s">
        <v>14358</v>
      </c>
      <c r="C1656" s="3" t="s">
        <v>1004</v>
      </c>
      <c r="D1656" s="3" t="s">
        <v>16802</v>
      </c>
      <c r="E1656" t="s">
        <v>19768</v>
      </c>
      <c r="F1656" t="str">
        <f>_xlfn.XLOOKUP(C1656,gwas_metab_name_map!C:C,gwas_metab_name_map!D:D,"")</f>
        <v>metab_vldltg</v>
      </c>
      <c r="G1656" s="3"/>
      <c r="H1656" s="3"/>
    </row>
    <row r="1657" spans="1:8" x14ac:dyDescent="0.2">
      <c r="A1657" s="3" t="s">
        <v>17049</v>
      </c>
      <c r="B1657" s="3" t="s">
        <v>14358</v>
      </c>
      <c r="C1657" s="3" t="s">
        <v>126</v>
      </c>
      <c r="D1657" s="3" t="s">
        <v>16825</v>
      </c>
      <c r="E1657" t="s">
        <v>11136</v>
      </c>
      <c r="F1657" t="str">
        <f>_xlfn.XLOOKUP(C1657,gwas_metab_name_map!C:C,gwas_metab_name_map!D:D,"")</f>
        <v>metab_xlhdlc</v>
      </c>
      <c r="G1657" s="3"/>
      <c r="H1657" s="3"/>
    </row>
    <row r="1658" spans="1:8" x14ac:dyDescent="0.2">
      <c r="A1658" s="3" t="s">
        <v>17049</v>
      </c>
      <c r="B1658" s="3" t="s">
        <v>14358</v>
      </c>
      <c r="C1658" s="3" t="s">
        <v>126</v>
      </c>
      <c r="D1658" s="3" t="s">
        <v>15816</v>
      </c>
      <c r="E1658" t="s">
        <v>11136</v>
      </c>
      <c r="F1658" t="str">
        <f>_xlfn.XLOOKUP(C1658,gwas_metab_name_map!C:C,gwas_metab_name_map!D:D,"")</f>
        <v>metab_xlhdlc</v>
      </c>
      <c r="G1658" s="3"/>
      <c r="H1658" s="3"/>
    </row>
    <row r="1659" spans="1:8" x14ac:dyDescent="0.2">
      <c r="A1659" s="3" t="s">
        <v>17050</v>
      </c>
      <c r="B1659" s="3" t="s">
        <v>14358</v>
      </c>
      <c r="C1659" s="3" t="s">
        <v>198</v>
      </c>
      <c r="D1659" s="3" t="s">
        <v>16825</v>
      </c>
      <c r="E1659" t="s">
        <v>198</v>
      </c>
      <c r="F1659" t="str">
        <f>_xlfn.XLOOKUP(C1659,gwas_metab_name_map!C:C,gwas_metab_name_map!D:D,"")</f>
        <v>metab_xlhdlcpct</v>
      </c>
      <c r="G1659" s="3"/>
      <c r="H1659" s="3"/>
    </row>
    <row r="1660" spans="1:8" x14ac:dyDescent="0.2">
      <c r="A1660" s="3" t="s">
        <v>17050</v>
      </c>
      <c r="B1660" s="3" t="s">
        <v>14358</v>
      </c>
      <c r="C1660" s="3" t="s">
        <v>198</v>
      </c>
      <c r="D1660" s="3" t="s">
        <v>16836</v>
      </c>
      <c r="E1660" t="s">
        <v>198</v>
      </c>
      <c r="F1660" t="str">
        <f>_xlfn.XLOOKUP(C1660,gwas_metab_name_map!C:C,gwas_metab_name_map!D:D,"")</f>
        <v>metab_xlhdlcpct</v>
      </c>
      <c r="G1660" s="3"/>
      <c r="H1660" s="3"/>
    </row>
    <row r="1661" spans="1:8" x14ac:dyDescent="0.2">
      <c r="A1661" s="3" t="s">
        <v>17051</v>
      </c>
      <c r="B1661" s="3" t="s">
        <v>14358</v>
      </c>
      <c r="C1661" s="3" t="s">
        <v>267</v>
      </c>
      <c r="D1661" s="3" t="s">
        <v>16807</v>
      </c>
      <c r="E1661" t="s">
        <v>267</v>
      </c>
      <c r="F1661" t="str">
        <f>_xlfn.XLOOKUP(C1661,gwas_metab_name_map!C:C,gwas_metab_name_map!D:D,"")</f>
        <v>metab_xlhdlce</v>
      </c>
      <c r="G1661" s="3"/>
      <c r="H1661" s="3"/>
    </row>
    <row r="1662" spans="1:8" x14ac:dyDescent="0.2">
      <c r="A1662" s="3" t="s">
        <v>17051</v>
      </c>
      <c r="B1662" s="3" t="s">
        <v>14358</v>
      </c>
      <c r="C1662" s="3" t="s">
        <v>267</v>
      </c>
      <c r="D1662" s="3" t="s">
        <v>16825</v>
      </c>
      <c r="E1662" t="s">
        <v>267</v>
      </c>
      <c r="F1662" t="str">
        <f>_xlfn.XLOOKUP(C1662,gwas_metab_name_map!C:C,gwas_metab_name_map!D:D,"")</f>
        <v>metab_xlhdlce</v>
      </c>
      <c r="G1662" s="3"/>
      <c r="H1662" s="3"/>
    </row>
    <row r="1663" spans="1:8" x14ac:dyDescent="0.2">
      <c r="A1663" s="3" t="s">
        <v>17052</v>
      </c>
      <c r="B1663" s="3" t="s">
        <v>14358</v>
      </c>
      <c r="C1663" s="3" t="s">
        <v>327</v>
      </c>
      <c r="D1663" s="3" t="s">
        <v>16825</v>
      </c>
      <c r="E1663" t="s">
        <v>327</v>
      </c>
      <c r="F1663" t="str">
        <f>_xlfn.XLOOKUP(C1663,gwas_metab_name_map!C:C,gwas_metab_name_map!D:D,"")</f>
        <v>metab_xlhdlcepct</v>
      </c>
      <c r="G1663" s="3"/>
      <c r="H1663" s="3"/>
    </row>
    <row r="1664" spans="1:8" x14ac:dyDescent="0.2">
      <c r="A1664" s="3" t="s">
        <v>17052</v>
      </c>
      <c r="B1664" s="3" t="s">
        <v>14358</v>
      </c>
      <c r="C1664" s="3" t="s">
        <v>327</v>
      </c>
      <c r="D1664" s="3" t="s">
        <v>16839</v>
      </c>
      <c r="E1664" t="s">
        <v>327</v>
      </c>
      <c r="F1664" t="str">
        <f>_xlfn.XLOOKUP(C1664,gwas_metab_name_map!C:C,gwas_metab_name_map!D:D,"")</f>
        <v>metab_xlhdlcepct</v>
      </c>
      <c r="G1664" s="3"/>
      <c r="H1664" s="3"/>
    </row>
    <row r="1665" spans="1:8" x14ac:dyDescent="0.2">
      <c r="A1665" s="3" t="s">
        <v>17053</v>
      </c>
      <c r="B1665" s="3" t="s">
        <v>14358</v>
      </c>
      <c r="C1665" s="3" t="s">
        <v>493</v>
      </c>
      <c r="D1665" s="3" t="s">
        <v>17054</v>
      </c>
      <c r="E1665" t="s">
        <v>493</v>
      </c>
      <c r="F1665" t="str">
        <f>_xlfn.XLOOKUP(C1665,gwas_metab_name_map!C:C,gwas_metab_name_map!D:D,"")</f>
        <v>metab_xlhdlfc</v>
      </c>
      <c r="G1665" s="3"/>
      <c r="H1665" s="3"/>
    </row>
    <row r="1666" spans="1:8" x14ac:dyDescent="0.2">
      <c r="A1666" s="3" t="s">
        <v>17055</v>
      </c>
      <c r="B1666" s="3" t="s">
        <v>14358</v>
      </c>
      <c r="C1666" s="3" t="s">
        <v>553</v>
      </c>
      <c r="D1666" s="3" t="s">
        <v>16825</v>
      </c>
      <c r="E1666" t="s">
        <v>553</v>
      </c>
      <c r="F1666" t="str">
        <f>_xlfn.XLOOKUP(C1666,gwas_metab_name_map!C:C,gwas_metab_name_map!D:D,"")</f>
        <v>metab_xlhdlfcpct</v>
      </c>
      <c r="G1666" s="3"/>
      <c r="H1666" s="3"/>
    </row>
    <row r="1667" spans="1:8" x14ac:dyDescent="0.2">
      <c r="A1667" s="3" t="s">
        <v>17055</v>
      </c>
      <c r="B1667" s="3" t="s">
        <v>14358</v>
      </c>
      <c r="C1667" s="3" t="s">
        <v>553</v>
      </c>
      <c r="D1667" s="3" t="s">
        <v>16843</v>
      </c>
      <c r="E1667" t="s">
        <v>553</v>
      </c>
      <c r="F1667" t="str">
        <f>_xlfn.XLOOKUP(C1667,gwas_metab_name_map!C:C,gwas_metab_name_map!D:D,"")</f>
        <v>metab_xlhdlfcpct</v>
      </c>
      <c r="G1667" s="3"/>
      <c r="H1667" s="3"/>
    </row>
    <row r="1668" spans="1:8" x14ac:dyDescent="0.2">
      <c r="A1668" s="3" t="s">
        <v>17056</v>
      </c>
      <c r="B1668" s="3" t="s">
        <v>14358</v>
      </c>
      <c r="C1668" s="3" t="s">
        <v>912</v>
      </c>
      <c r="D1668" s="3" t="s">
        <v>17057</v>
      </c>
      <c r="E1668" t="s">
        <v>912</v>
      </c>
      <c r="F1668" t="str">
        <f>_xlfn.XLOOKUP(C1668,gwas_metab_name_map!C:C,gwas_metab_name_map!D:D,"")</f>
        <v>metab_xlhdll</v>
      </c>
      <c r="G1668" s="3"/>
      <c r="H1668" s="3"/>
    </row>
    <row r="1669" spans="1:8" x14ac:dyDescent="0.2">
      <c r="A1669" s="3" t="s">
        <v>17058</v>
      </c>
      <c r="B1669" s="3" t="s">
        <v>14358</v>
      </c>
      <c r="C1669" s="3" t="s">
        <v>403</v>
      </c>
      <c r="D1669" s="3" t="s">
        <v>16825</v>
      </c>
      <c r="E1669" t="s">
        <v>403</v>
      </c>
      <c r="F1669" t="str">
        <f>_xlfn.XLOOKUP(C1669,gwas_metab_name_map!C:C,gwas_metab_name_map!D:D,"")</f>
        <v>metab_xlhdlp</v>
      </c>
      <c r="G1669" s="3"/>
      <c r="H1669" s="3"/>
    </row>
    <row r="1670" spans="1:8" x14ac:dyDescent="0.2">
      <c r="A1670" s="3" t="s">
        <v>17059</v>
      </c>
      <c r="B1670" s="3" t="s">
        <v>14358</v>
      </c>
      <c r="C1670" s="3" t="s">
        <v>714</v>
      </c>
      <c r="D1670" s="3" t="s">
        <v>17060</v>
      </c>
      <c r="E1670" t="s">
        <v>714</v>
      </c>
      <c r="F1670" t="str">
        <f>_xlfn.XLOOKUP(C1670,gwas_metab_name_map!C:C,gwas_metab_name_map!D:D,"")</f>
        <v>metab_xlhdlpl</v>
      </c>
      <c r="G1670" s="3"/>
      <c r="H1670" s="3"/>
    </row>
    <row r="1671" spans="1:8" x14ac:dyDescent="0.2">
      <c r="A1671" s="3" t="s">
        <v>17061</v>
      </c>
      <c r="B1671" s="3" t="s">
        <v>14358</v>
      </c>
      <c r="C1671" s="3" t="s">
        <v>773</v>
      </c>
      <c r="D1671" s="3" t="s">
        <v>16825</v>
      </c>
      <c r="E1671" t="s">
        <v>773</v>
      </c>
      <c r="F1671" t="str">
        <f>_xlfn.XLOOKUP(C1671,gwas_metab_name_map!C:C,gwas_metab_name_map!D:D,"")</f>
        <v>metab_xlhdlplpct</v>
      </c>
      <c r="G1671" s="3"/>
      <c r="H1671" s="3"/>
    </row>
    <row r="1672" spans="1:8" x14ac:dyDescent="0.2">
      <c r="A1672" s="3" t="s">
        <v>17061</v>
      </c>
      <c r="B1672" s="3" t="s">
        <v>14358</v>
      </c>
      <c r="C1672" s="3" t="s">
        <v>773</v>
      </c>
      <c r="D1672" s="3" t="s">
        <v>16850</v>
      </c>
      <c r="E1672" t="s">
        <v>773</v>
      </c>
      <c r="F1672" t="str">
        <f>_xlfn.XLOOKUP(C1672,gwas_metab_name_map!C:C,gwas_metab_name_map!D:D,"")</f>
        <v>metab_xlhdlplpct</v>
      </c>
      <c r="G1672" s="3"/>
      <c r="H1672" s="3"/>
    </row>
    <row r="1673" spans="1:8" x14ac:dyDescent="0.2">
      <c r="A1673" s="3" t="s">
        <v>17062</v>
      </c>
      <c r="B1673" s="3" t="s">
        <v>14358</v>
      </c>
      <c r="C1673" s="3" t="s">
        <v>992</v>
      </c>
      <c r="D1673" s="3" t="s">
        <v>17063</v>
      </c>
      <c r="E1673" t="s">
        <v>992</v>
      </c>
      <c r="F1673" t="str">
        <f>_xlfn.XLOOKUP(C1673,gwas_metab_name_map!C:C,gwas_metab_name_map!D:D,"")</f>
        <v>metab_xlhdltg</v>
      </c>
      <c r="G1673" s="3"/>
      <c r="H1673" s="3"/>
    </row>
    <row r="1674" spans="1:8" x14ac:dyDescent="0.2">
      <c r="A1674" s="3" t="s">
        <v>17064</v>
      </c>
      <c r="B1674" s="3" t="s">
        <v>14358</v>
      </c>
      <c r="C1674" s="3" t="s">
        <v>1058</v>
      </c>
      <c r="D1674" s="3" t="s">
        <v>16825</v>
      </c>
      <c r="E1674" t="s">
        <v>1058</v>
      </c>
      <c r="F1674" t="str">
        <f>_xlfn.XLOOKUP(C1674,gwas_metab_name_map!C:C,gwas_metab_name_map!D:D,"")</f>
        <v>metab_xlhdltgpct</v>
      </c>
      <c r="G1674" s="3"/>
      <c r="H1674" s="3"/>
    </row>
    <row r="1675" spans="1:8" x14ac:dyDescent="0.2">
      <c r="A1675" s="3" t="s">
        <v>17064</v>
      </c>
      <c r="B1675" s="3" t="s">
        <v>14358</v>
      </c>
      <c r="C1675" s="3" t="s">
        <v>1058</v>
      </c>
      <c r="D1675" s="3" t="s">
        <v>16854</v>
      </c>
      <c r="E1675" t="s">
        <v>1058</v>
      </c>
      <c r="F1675" t="str">
        <f>_xlfn.XLOOKUP(C1675,gwas_metab_name_map!C:C,gwas_metab_name_map!D:D,"")</f>
        <v>metab_xlhdltgpct</v>
      </c>
      <c r="G1675" s="3"/>
      <c r="H1675" s="3"/>
    </row>
    <row r="1676" spans="1:8" x14ac:dyDescent="0.2">
      <c r="A1676" s="3" t="s">
        <v>17065</v>
      </c>
      <c r="B1676" s="3" t="s">
        <v>14358</v>
      </c>
      <c r="C1676" s="3" t="s">
        <v>131</v>
      </c>
      <c r="D1676" s="3" t="s">
        <v>16904</v>
      </c>
      <c r="E1676" t="s">
        <v>131</v>
      </c>
      <c r="F1676" t="str">
        <f>_xlfn.XLOOKUP(C1676,gwas_metab_name_map!C:C,gwas_metab_name_map!D:D,"")</f>
        <v>metab_xlvldlc</v>
      </c>
      <c r="G1676" s="3"/>
      <c r="H1676" s="3"/>
    </row>
    <row r="1677" spans="1:8" x14ac:dyDescent="0.2">
      <c r="A1677" s="3" t="s">
        <v>17065</v>
      </c>
      <c r="B1677" s="3" t="s">
        <v>14358</v>
      </c>
      <c r="C1677" s="3" t="s">
        <v>131</v>
      </c>
      <c r="D1677" s="3" t="s">
        <v>15816</v>
      </c>
      <c r="E1677" t="s">
        <v>131</v>
      </c>
      <c r="F1677" t="str">
        <f>_xlfn.XLOOKUP(C1677,gwas_metab_name_map!C:C,gwas_metab_name_map!D:D,"")</f>
        <v>metab_xlvldlc</v>
      </c>
      <c r="G1677" s="3"/>
      <c r="H1677" s="3"/>
    </row>
    <row r="1678" spans="1:8" x14ac:dyDescent="0.2">
      <c r="A1678" s="3" t="s">
        <v>17066</v>
      </c>
      <c r="B1678" s="3" t="s">
        <v>14358</v>
      </c>
      <c r="C1678" s="3" t="s">
        <v>203</v>
      </c>
      <c r="D1678" s="3" t="s">
        <v>16904</v>
      </c>
      <c r="E1678" t="s">
        <v>203</v>
      </c>
      <c r="F1678" t="str">
        <f>_xlfn.XLOOKUP(C1678,gwas_metab_name_map!C:C,gwas_metab_name_map!D:D,"")</f>
        <v>metab_xlvldlcpct</v>
      </c>
      <c r="G1678" s="3"/>
      <c r="H1678" s="3"/>
    </row>
    <row r="1679" spans="1:8" x14ac:dyDescent="0.2">
      <c r="A1679" s="3" t="s">
        <v>17066</v>
      </c>
      <c r="B1679" s="3" t="s">
        <v>14358</v>
      </c>
      <c r="C1679" s="3" t="s">
        <v>203</v>
      </c>
      <c r="D1679" s="3" t="s">
        <v>16836</v>
      </c>
      <c r="E1679" t="s">
        <v>203</v>
      </c>
      <c r="F1679" t="str">
        <f>_xlfn.XLOOKUP(C1679,gwas_metab_name_map!C:C,gwas_metab_name_map!D:D,"")</f>
        <v>metab_xlvldlcpct</v>
      </c>
      <c r="G1679" s="3"/>
      <c r="H1679" s="3"/>
    </row>
    <row r="1680" spans="1:8" x14ac:dyDescent="0.2">
      <c r="A1680" s="3" t="s">
        <v>17067</v>
      </c>
      <c r="B1680" s="3" t="s">
        <v>14358</v>
      </c>
      <c r="C1680" s="3" t="s">
        <v>271</v>
      </c>
      <c r="D1680" s="3" t="s">
        <v>16807</v>
      </c>
      <c r="E1680" t="s">
        <v>271</v>
      </c>
      <c r="F1680" t="str">
        <f>_xlfn.XLOOKUP(C1680,gwas_metab_name_map!C:C,gwas_metab_name_map!D:D,"")</f>
        <v>metab_xlvldlce</v>
      </c>
      <c r="G1680" s="3"/>
      <c r="H1680" s="3"/>
    </row>
    <row r="1681" spans="1:8" x14ac:dyDescent="0.2">
      <c r="A1681" s="3" t="s">
        <v>17067</v>
      </c>
      <c r="B1681" s="3" t="s">
        <v>14358</v>
      </c>
      <c r="C1681" s="3" t="s">
        <v>271</v>
      </c>
      <c r="D1681" s="3" t="s">
        <v>16904</v>
      </c>
      <c r="E1681" t="s">
        <v>271</v>
      </c>
      <c r="F1681" t="str">
        <f>_xlfn.XLOOKUP(C1681,gwas_metab_name_map!C:C,gwas_metab_name_map!D:D,"")</f>
        <v>metab_xlvldlce</v>
      </c>
      <c r="G1681" s="3"/>
      <c r="H1681" s="3"/>
    </row>
    <row r="1682" spans="1:8" x14ac:dyDescent="0.2">
      <c r="A1682" s="3" t="s">
        <v>17068</v>
      </c>
      <c r="B1682" s="3" t="s">
        <v>14358</v>
      </c>
      <c r="C1682" s="3" t="s">
        <v>331</v>
      </c>
      <c r="D1682" s="3" t="s">
        <v>16839</v>
      </c>
      <c r="E1682" t="s">
        <v>331</v>
      </c>
      <c r="F1682" t="str">
        <f>_xlfn.XLOOKUP(C1682,gwas_metab_name_map!C:C,gwas_metab_name_map!D:D,"")</f>
        <v>metab_xlvldlcepct</v>
      </c>
      <c r="G1682" s="3"/>
      <c r="H1682" s="3"/>
    </row>
    <row r="1683" spans="1:8" x14ac:dyDescent="0.2">
      <c r="A1683" s="3" t="s">
        <v>17068</v>
      </c>
      <c r="B1683" s="3" t="s">
        <v>14358</v>
      </c>
      <c r="C1683" s="3" t="s">
        <v>331</v>
      </c>
      <c r="D1683" s="3" t="s">
        <v>16904</v>
      </c>
      <c r="E1683" t="s">
        <v>331</v>
      </c>
      <c r="F1683" t="str">
        <f>_xlfn.XLOOKUP(C1683,gwas_metab_name_map!C:C,gwas_metab_name_map!D:D,"")</f>
        <v>metab_xlvldlcepct</v>
      </c>
      <c r="G1683" s="3"/>
      <c r="H1683" s="3"/>
    </row>
    <row r="1684" spans="1:8" x14ac:dyDescent="0.2">
      <c r="A1684" s="3" t="s">
        <v>17069</v>
      </c>
      <c r="B1684" s="3" t="s">
        <v>14358</v>
      </c>
      <c r="C1684" s="3" t="s">
        <v>497</v>
      </c>
      <c r="D1684" s="3" t="s">
        <v>17070</v>
      </c>
      <c r="E1684" t="s">
        <v>497</v>
      </c>
      <c r="F1684" t="str">
        <f>_xlfn.XLOOKUP(C1684,gwas_metab_name_map!C:C,gwas_metab_name_map!D:D,"")</f>
        <v>metab_xlvldlfc</v>
      </c>
      <c r="G1684" s="3"/>
      <c r="H1684" s="3"/>
    </row>
    <row r="1685" spans="1:8" x14ac:dyDescent="0.2">
      <c r="A1685" s="3" t="s">
        <v>17071</v>
      </c>
      <c r="B1685" s="3" t="s">
        <v>14358</v>
      </c>
      <c r="C1685" s="3" t="s">
        <v>557</v>
      </c>
      <c r="D1685" s="3" t="s">
        <v>16904</v>
      </c>
      <c r="E1685" t="s">
        <v>557</v>
      </c>
      <c r="F1685" t="str">
        <f>_xlfn.XLOOKUP(C1685,gwas_metab_name_map!C:C,gwas_metab_name_map!D:D,"")</f>
        <v>metab_xlvldlfcpct</v>
      </c>
      <c r="G1685" s="3"/>
      <c r="H1685" s="3"/>
    </row>
    <row r="1686" spans="1:8" x14ac:dyDescent="0.2">
      <c r="A1686" s="3" t="s">
        <v>17071</v>
      </c>
      <c r="B1686" s="3" t="s">
        <v>14358</v>
      </c>
      <c r="C1686" s="3" t="s">
        <v>557</v>
      </c>
      <c r="D1686" s="3" t="s">
        <v>16843</v>
      </c>
      <c r="E1686" t="s">
        <v>557</v>
      </c>
      <c r="F1686" t="str">
        <f>_xlfn.XLOOKUP(C1686,gwas_metab_name_map!C:C,gwas_metab_name_map!D:D,"")</f>
        <v>metab_xlvldlfcpct</v>
      </c>
      <c r="G1686" s="3"/>
      <c r="H1686" s="3"/>
    </row>
    <row r="1687" spans="1:8" x14ac:dyDescent="0.2">
      <c r="A1687" s="3" t="s">
        <v>17072</v>
      </c>
      <c r="B1687" s="3" t="s">
        <v>14358</v>
      </c>
      <c r="C1687" s="3" t="s">
        <v>916</v>
      </c>
      <c r="D1687" s="3" t="s">
        <v>17073</v>
      </c>
      <c r="E1687" t="s">
        <v>916</v>
      </c>
      <c r="F1687" t="str">
        <f>_xlfn.XLOOKUP(C1687,gwas_metab_name_map!C:C,gwas_metab_name_map!D:D,"")</f>
        <v>metab_xlvldll</v>
      </c>
      <c r="G1687" s="3"/>
      <c r="H1687" s="3"/>
    </row>
    <row r="1688" spans="1:8" x14ac:dyDescent="0.2">
      <c r="A1688" s="3" t="s">
        <v>17074</v>
      </c>
      <c r="B1688" s="3" t="s">
        <v>14358</v>
      </c>
      <c r="C1688" s="3" t="s">
        <v>407</v>
      </c>
      <c r="D1688" s="3" t="s">
        <v>16904</v>
      </c>
      <c r="E1688" t="s">
        <v>407</v>
      </c>
      <c r="F1688" t="str">
        <f>_xlfn.XLOOKUP(C1688,gwas_metab_name_map!C:C,gwas_metab_name_map!D:D,"")</f>
        <v>metab_xlvldlp</v>
      </c>
      <c r="G1688" s="3"/>
      <c r="H1688" s="3"/>
    </row>
    <row r="1689" spans="1:8" x14ac:dyDescent="0.2">
      <c r="A1689" s="3" t="s">
        <v>17075</v>
      </c>
      <c r="B1689" s="3" t="s">
        <v>14358</v>
      </c>
      <c r="C1689" s="3" t="s">
        <v>718</v>
      </c>
      <c r="D1689" s="3" t="s">
        <v>16915</v>
      </c>
      <c r="E1689" t="s">
        <v>718</v>
      </c>
      <c r="F1689" t="str">
        <f>_xlfn.XLOOKUP(C1689,gwas_metab_name_map!C:C,gwas_metab_name_map!D:D,"")</f>
        <v>metab_xlvldlpl</v>
      </c>
      <c r="G1689" s="3"/>
      <c r="H1689" s="3"/>
    </row>
    <row r="1690" spans="1:8" x14ac:dyDescent="0.2">
      <c r="A1690" s="3" t="s">
        <v>17076</v>
      </c>
      <c r="B1690" s="3" t="s">
        <v>14358</v>
      </c>
      <c r="C1690" s="3" t="s">
        <v>777</v>
      </c>
      <c r="D1690" s="3" t="s">
        <v>16904</v>
      </c>
      <c r="E1690" t="s">
        <v>777</v>
      </c>
      <c r="F1690" t="str">
        <f>_xlfn.XLOOKUP(C1690,gwas_metab_name_map!C:C,gwas_metab_name_map!D:D,"")</f>
        <v>metab_xlvldlplpct</v>
      </c>
      <c r="G1690" s="3"/>
      <c r="H1690" s="3"/>
    </row>
    <row r="1691" spans="1:8" x14ac:dyDescent="0.2">
      <c r="A1691" s="3" t="s">
        <v>17076</v>
      </c>
      <c r="B1691" s="3" t="s">
        <v>14358</v>
      </c>
      <c r="C1691" s="3" t="s">
        <v>777</v>
      </c>
      <c r="D1691" s="3" t="s">
        <v>16850</v>
      </c>
      <c r="E1691" t="s">
        <v>777</v>
      </c>
      <c r="F1691" t="str">
        <f>_xlfn.XLOOKUP(C1691,gwas_metab_name_map!C:C,gwas_metab_name_map!D:D,"")</f>
        <v>metab_xlvldlplpct</v>
      </c>
      <c r="G1691" s="3"/>
      <c r="H1691" s="3"/>
    </row>
    <row r="1692" spans="1:8" x14ac:dyDescent="0.2">
      <c r="A1692" s="3" t="s">
        <v>17077</v>
      </c>
      <c r="B1692" s="3" t="s">
        <v>14358</v>
      </c>
      <c r="C1692" s="3" t="s">
        <v>996</v>
      </c>
      <c r="D1692" s="3" t="s">
        <v>17078</v>
      </c>
      <c r="E1692" t="s">
        <v>996</v>
      </c>
      <c r="F1692" t="str">
        <f>_xlfn.XLOOKUP(C1692,gwas_metab_name_map!C:C,gwas_metab_name_map!D:D,"")</f>
        <v>metab_xlvldltg</v>
      </c>
      <c r="G1692" s="3"/>
      <c r="H1692" s="3"/>
    </row>
    <row r="1693" spans="1:8" x14ac:dyDescent="0.2">
      <c r="A1693" s="3" t="s">
        <v>17079</v>
      </c>
      <c r="B1693" s="3" t="s">
        <v>14358</v>
      </c>
      <c r="C1693" s="3" t="s">
        <v>1062</v>
      </c>
      <c r="D1693" s="3" t="s">
        <v>16904</v>
      </c>
      <c r="E1693" t="s">
        <v>1062</v>
      </c>
      <c r="F1693" t="str">
        <f>_xlfn.XLOOKUP(C1693,gwas_metab_name_map!C:C,gwas_metab_name_map!D:D,"")</f>
        <v>metab_xlvldltgpct</v>
      </c>
      <c r="G1693" s="3"/>
      <c r="H1693" s="3"/>
    </row>
    <row r="1694" spans="1:8" x14ac:dyDescent="0.2">
      <c r="A1694" s="3" t="s">
        <v>17079</v>
      </c>
      <c r="B1694" s="3" t="s">
        <v>14358</v>
      </c>
      <c r="C1694" s="3" t="s">
        <v>1062</v>
      </c>
      <c r="D1694" s="3" t="s">
        <v>16854</v>
      </c>
      <c r="E1694" t="s">
        <v>1062</v>
      </c>
      <c r="F1694" t="str">
        <f>_xlfn.XLOOKUP(C1694,gwas_metab_name_map!C:C,gwas_metab_name_map!D:D,"")</f>
        <v>metab_xlvldltgpct</v>
      </c>
      <c r="G1694" s="3"/>
      <c r="H1694" s="3"/>
    </row>
    <row r="1695" spans="1:8" x14ac:dyDescent="0.2">
      <c r="A1695" s="3" t="s">
        <v>17080</v>
      </c>
      <c r="B1695" s="3" t="s">
        <v>14358</v>
      </c>
      <c r="C1695" s="3" t="s">
        <v>136</v>
      </c>
      <c r="D1695" s="3" t="s">
        <v>17081</v>
      </c>
      <c r="E1695" t="s">
        <v>136</v>
      </c>
      <c r="F1695" t="str">
        <f>_xlfn.XLOOKUP(C1695,gwas_metab_name_map!C:C,gwas_metab_name_map!D:D,"")</f>
        <v>metab_xsvldlc</v>
      </c>
      <c r="G1695" s="3"/>
      <c r="H1695" s="3"/>
    </row>
    <row r="1696" spans="1:8" x14ac:dyDescent="0.2">
      <c r="A1696" s="3" t="s">
        <v>17082</v>
      </c>
      <c r="B1696" s="3" t="s">
        <v>14358</v>
      </c>
      <c r="C1696" s="3" t="s">
        <v>208</v>
      </c>
      <c r="D1696" s="3" t="s">
        <v>16904</v>
      </c>
      <c r="E1696" t="s">
        <v>208</v>
      </c>
      <c r="F1696" t="str">
        <f>_xlfn.XLOOKUP(C1696,gwas_metab_name_map!C:C,gwas_metab_name_map!D:D,"")</f>
        <v>metab_xsvldlcpct</v>
      </c>
      <c r="G1696" s="3"/>
      <c r="H1696" s="3"/>
    </row>
    <row r="1697" spans="1:8" x14ac:dyDescent="0.2">
      <c r="A1697" s="3" t="s">
        <v>17082</v>
      </c>
      <c r="B1697" s="3" t="s">
        <v>14358</v>
      </c>
      <c r="C1697" s="3" t="s">
        <v>208</v>
      </c>
      <c r="D1697" s="3" t="s">
        <v>16836</v>
      </c>
      <c r="E1697" t="s">
        <v>208</v>
      </c>
      <c r="F1697" t="str">
        <f>_xlfn.XLOOKUP(C1697,gwas_metab_name_map!C:C,gwas_metab_name_map!D:D,"")</f>
        <v>metab_xsvldlcpct</v>
      </c>
      <c r="G1697" s="3"/>
      <c r="H1697" s="3"/>
    </row>
    <row r="1698" spans="1:8" x14ac:dyDescent="0.2">
      <c r="A1698" s="3" t="s">
        <v>17083</v>
      </c>
      <c r="B1698" s="3" t="s">
        <v>14358</v>
      </c>
      <c r="C1698" s="3" t="s">
        <v>275</v>
      </c>
      <c r="D1698" s="3" t="s">
        <v>16807</v>
      </c>
      <c r="E1698" t="s">
        <v>275</v>
      </c>
      <c r="F1698" t="str">
        <f>_xlfn.XLOOKUP(C1698,gwas_metab_name_map!C:C,gwas_metab_name_map!D:D,"")</f>
        <v>metab_xsvldlce</v>
      </c>
      <c r="G1698" s="3"/>
      <c r="H1698" s="3"/>
    </row>
    <row r="1699" spans="1:8" x14ac:dyDescent="0.2">
      <c r="A1699" s="3" t="s">
        <v>17083</v>
      </c>
      <c r="B1699" s="3" t="s">
        <v>14358</v>
      </c>
      <c r="C1699" s="3" t="s">
        <v>275</v>
      </c>
      <c r="D1699" s="3" t="s">
        <v>16904</v>
      </c>
      <c r="E1699" t="s">
        <v>275</v>
      </c>
      <c r="F1699" t="str">
        <f>_xlfn.XLOOKUP(C1699,gwas_metab_name_map!C:C,gwas_metab_name_map!D:D,"")</f>
        <v>metab_xsvldlce</v>
      </c>
      <c r="G1699" s="3"/>
      <c r="H1699" s="3"/>
    </row>
    <row r="1700" spans="1:8" x14ac:dyDescent="0.2">
      <c r="A1700" s="3" t="s">
        <v>17084</v>
      </c>
      <c r="B1700" s="3" t="s">
        <v>14358</v>
      </c>
      <c r="C1700" s="3" t="s">
        <v>335</v>
      </c>
      <c r="D1700" s="3" t="s">
        <v>16839</v>
      </c>
      <c r="E1700" t="s">
        <v>335</v>
      </c>
      <c r="F1700" t="str">
        <f>_xlfn.XLOOKUP(C1700,gwas_metab_name_map!C:C,gwas_metab_name_map!D:D,"")</f>
        <v>metab_xsvldlcepct</v>
      </c>
      <c r="G1700" s="3"/>
      <c r="H1700" s="3"/>
    </row>
    <row r="1701" spans="1:8" x14ac:dyDescent="0.2">
      <c r="A1701" s="3" t="s">
        <v>17084</v>
      </c>
      <c r="B1701" s="3" t="s">
        <v>14358</v>
      </c>
      <c r="C1701" s="3" t="s">
        <v>335</v>
      </c>
      <c r="D1701" s="3" t="s">
        <v>16904</v>
      </c>
      <c r="E1701" t="s">
        <v>335</v>
      </c>
      <c r="F1701" t="str">
        <f>_xlfn.XLOOKUP(C1701,gwas_metab_name_map!C:C,gwas_metab_name_map!D:D,"")</f>
        <v>metab_xsvldlcepct</v>
      </c>
      <c r="G1701" s="3"/>
      <c r="H1701" s="3"/>
    </row>
    <row r="1702" spans="1:8" x14ac:dyDescent="0.2">
      <c r="A1702" s="3" t="s">
        <v>17085</v>
      </c>
      <c r="B1702" s="3" t="s">
        <v>14358</v>
      </c>
      <c r="C1702" s="3" t="s">
        <v>501</v>
      </c>
      <c r="D1702" s="3" t="s">
        <v>17086</v>
      </c>
      <c r="E1702" t="s">
        <v>501</v>
      </c>
      <c r="F1702" t="str">
        <f>_xlfn.XLOOKUP(C1702,gwas_metab_name_map!C:C,gwas_metab_name_map!D:D,"")</f>
        <v>metab_xsvldlfc</v>
      </c>
      <c r="G1702" s="3"/>
      <c r="H1702" s="3"/>
    </row>
    <row r="1703" spans="1:8" x14ac:dyDescent="0.2">
      <c r="A1703" s="3" t="s">
        <v>17087</v>
      </c>
      <c r="B1703" s="3" t="s">
        <v>14358</v>
      </c>
      <c r="C1703" s="3" t="s">
        <v>561</v>
      </c>
      <c r="D1703" s="3" t="s">
        <v>16904</v>
      </c>
      <c r="E1703" t="s">
        <v>561</v>
      </c>
      <c r="F1703" t="str">
        <f>_xlfn.XLOOKUP(C1703,gwas_metab_name_map!C:C,gwas_metab_name_map!D:D,"")</f>
        <v>metab_xsvldlfcpct</v>
      </c>
      <c r="G1703" s="3"/>
      <c r="H1703" s="3"/>
    </row>
    <row r="1704" spans="1:8" x14ac:dyDescent="0.2">
      <c r="A1704" s="3" t="s">
        <v>17087</v>
      </c>
      <c r="B1704" s="3" t="s">
        <v>14358</v>
      </c>
      <c r="C1704" s="3" t="s">
        <v>561</v>
      </c>
      <c r="D1704" s="3" t="s">
        <v>16843</v>
      </c>
      <c r="E1704" t="s">
        <v>561</v>
      </c>
      <c r="F1704" t="str">
        <f>_xlfn.XLOOKUP(C1704,gwas_metab_name_map!C:C,gwas_metab_name_map!D:D,"")</f>
        <v>metab_xsvldlfcpct</v>
      </c>
      <c r="G1704" s="3"/>
      <c r="H1704" s="3"/>
    </row>
    <row r="1705" spans="1:8" x14ac:dyDescent="0.2">
      <c r="A1705" s="3" t="s">
        <v>17088</v>
      </c>
      <c r="B1705" s="3" t="s">
        <v>14358</v>
      </c>
      <c r="C1705" s="3" t="s">
        <v>920</v>
      </c>
      <c r="D1705" s="3" t="s">
        <v>17089</v>
      </c>
      <c r="E1705" t="s">
        <v>920</v>
      </c>
      <c r="F1705" t="str">
        <f>_xlfn.XLOOKUP(C1705,gwas_metab_name_map!C:C,gwas_metab_name_map!D:D,"")</f>
        <v>metab_xsvldll</v>
      </c>
      <c r="G1705" s="3"/>
      <c r="H1705" s="3"/>
    </row>
    <row r="1706" spans="1:8" x14ac:dyDescent="0.2">
      <c r="A1706" s="3" t="s">
        <v>17090</v>
      </c>
      <c r="B1706" s="3" t="s">
        <v>14358</v>
      </c>
      <c r="C1706" s="3" t="s">
        <v>411</v>
      </c>
      <c r="D1706" s="3" t="s">
        <v>16904</v>
      </c>
      <c r="E1706" t="s">
        <v>411</v>
      </c>
      <c r="F1706" t="str">
        <f>_xlfn.XLOOKUP(C1706,gwas_metab_name_map!C:C,gwas_metab_name_map!D:D,"")</f>
        <v>metab_xsvldlp</v>
      </c>
      <c r="G1706" s="3"/>
      <c r="H1706" s="3"/>
    </row>
    <row r="1707" spans="1:8" x14ac:dyDescent="0.2">
      <c r="A1707" s="3" t="s">
        <v>17091</v>
      </c>
      <c r="B1707" s="3" t="s">
        <v>14358</v>
      </c>
      <c r="C1707" s="3" t="s">
        <v>722</v>
      </c>
      <c r="D1707" s="3" t="s">
        <v>16915</v>
      </c>
      <c r="E1707" t="s">
        <v>722</v>
      </c>
      <c r="F1707" t="str">
        <f>_xlfn.XLOOKUP(C1707,gwas_metab_name_map!C:C,gwas_metab_name_map!D:D,"")</f>
        <v>metab_xsvldlpl</v>
      </c>
      <c r="G1707" s="3"/>
      <c r="H1707" s="3"/>
    </row>
    <row r="1708" spans="1:8" x14ac:dyDescent="0.2">
      <c r="A1708" s="3" t="s">
        <v>17092</v>
      </c>
      <c r="B1708" s="3" t="s">
        <v>14358</v>
      </c>
      <c r="C1708" s="3" t="s">
        <v>781</v>
      </c>
      <c r="D1708" s="3" t="s">
        <v>16904</v>
      </c>
      <c r="E1708" t="s">
        <v>781</v>
      </c>
      <c r="F1708" t="str">
        <f>_xlfn.XLOOKUP(C1708,gwas_metab_name_map!C:C,gwas_metab_name_map!D:D,"")</f>
        <v>metab_xsvldlplpct</v>
      </c>
      <c r="G1708" s="3"/>
      <c r="H1708" s="3"/>
    </row>
    <row r="1709" spans="1:8" x14ac:dyDescent="0.2">
      <c r="A1709" s="3" t="s">
        <v>17092</v>
      </c>
      <c r="B1709" s="3" t="s">
        <v>14358</v>
      </c>
      <c r="C1709" s="3" t="s">
        <v>781</v>
      </c>
      <c r="D1709" s="3" t="s">
        <v>16850</v>
      </c>
      <c r="E1709" t="s">
        <v>781</v>
      </c>
      <c r="F1709" t="str">
        <f>_xlfn.XLOOKUP(C1709,gwas_metab_name_map!C:C,gwas_metab_name_map!D:D,"")</f>
        <v>metab_xsvldlplpct</v>
      </c>
      <c r="G1709" s="3"/>
      <c r="H1709" s="3"/>
    </row>
    <row r="1710" spans="1:8" x14ac:dyDescent="0.2">
      <c r="A1710" s="3" t="s">
        <v>17093</v>
      </c>
      <c r="B1710" s="3" t="s">
        <v>14358</v>
      </c>
      <c r="C1710" s="3" t="s">
        <v>1000</v>
      </c>
      <c r="D1710" s="3" t="s">
        <v>17094</v>
      </c>
      <c r="E1710" t="s">
        <v>1000</v>
      </c>
      <c r="F1710" t="str">
        <f>_xlfn.XLOOKUP(C1710,gwas_metab_name_map!C:C,gwas_metab_name_map!D:D,"")</f>
        <v>metab_xsvldltg</v>
      </c>
      <c r="G1710" s="3"/>
      <c r="H1710" s="3"/>
    </row>
    <row r="1711" spans="1:8" x14ac:dyDescent="0.2">
      <c r="A1711" s="3" t="s">
        <v>17095</v>
      </c>
      <c r="B1711" s="3" t="s">
        <v>14358</v>
      </c>
      <c r="C1711" s="3" t="s">
        <v>1066</v>
      </c>
      <c r="D1711" s="3" t="s">
        <v>16904</v>
      </c>
      <c r="E1711" t="s">
        <v>1066</v>
      </c>
      <c r="F1711" t="str">
        <f>_xlfn.XLOOKUP(C1711,gwas_metab_name_map!C:C,gwas_metab_name_map!D:D,"")</f>
        <v>metab_xsvldltgpct</v>
      </c>
      <c r="G1711" s="3"/>
      <c r="H1711" s="3"/>
    </row>
    <row r="1712" spans="1:8" x14ac:dyDescent="0.2">
      <c r="A1712" s="3" t="s">
        <v>17095</v>
      </c>
      <c r="B1712" s="3" t="s">
        <v>14358</v>
      </c>
      <c r="C1712" s="3" t="s">
        <v>1066</v>
      </c>
      <c r="D1712" s="3" t="s">
        <v>16854</v>
      </c>
      <c r="E1712" t="s">
        <v>1066</v>
      </c>
      <c r="F1712" t="str">
        <f>_xlfn.XLOOKUP(C1712,gwas_metab_name_map!C:C,gwas_metab_name_map!D:D,"")</f>
        <v>metab_xsvldltgpct</v>
      </c>
      <c r="G1712" s="3"/>
      <c r="H1712" s="3"/>
    </row>
    <row r="1713" spans="1:8" x14ac:dyDescent="0.2">
      <c r="A1713" s="3" t="s">
        <v>17096</v>
      </c>
      <c r="B1713" s="3" t="s">
        <v>14358</v>
      </c>
      <c r="C1713" s="3" t="s">
        <v>69</v>
      </c>
      <c r="D1713" s="3" t="s">
        <v>17097</v>
      </c>
      <c r="E1713" t="s">
        <v>11295</v>
      </c>
      <c r="F1713" t="str">
        <f>_xlfn.XLOOKUP(C1713,gwas_metab_name_map!C:C,gwas_metab_name_map!D:D,"")</f>
        <v>metab_xxlvldlc</v>
      </c>
      <c r="G1713" s="3"/>
      <c r="H1713" s="3"/>
    </row>
    <row r="1714" spans="1:8" x14ac:dyDescent="0.2">
      <c r="A1714" s="3" t="s">
        <v>17096</v>
      </c>
      <c r="B1714" s="3" t="s">
        <v>14358</v>
      </c>
      <c r="C1714" s="3" t="s">
        <v>69</v>
      </c>
      <c r="D1714" s="3" t="s">
        <v>16904</v>
      </c>
      <c r="E1714" t="s">
        <v>11295</v>
      </c>
      <c r="F1714" t="str">
        <f>_xlfn.XLOOKUP(C1714,gwas_metab_name_map!C:C,gwas_metab_name_map!D:D,"")</f>
        <v>metab_xxlvldlc</v>
      </c>
      <c r="G1714" s="3"/>
      <c r="H1714" s="3"/>
    </row>
    <row r="1715" spans="1:8" x14ac:dyDescent="0.2">
      <c r="A1715" s="3" t="s">
        <v>17096</v>
      </c>
      <c r="B1715" s="3" t="s">
        <v>14358</v>
      </c>
      <c r="C1715" s="3" t="s">
        <v>69</v>
      </c>
      <c r="D1715" s="3" t="s">
        <v>15816</v>
      </c>
      <c r="E1715" t="s">
        <v>11295</v>
      </c>
      <c r="F1715" t="str">
        <f>_xlfn.XLOOKUP(C1715,gwas_metab_name_map!C:C,gwas_metab_name_map!D:D,"")</f>
        <v>metab_xxlvldlc</v>
      </c>
      <c r="G1715" s="3"/>
      <c r="H1715" s="3"/>
    </row>
    <row r="1716" spans="1:8" x14ac:dyDescent="0.2">
      <c r="A1716" s="3" t="s">
        <v>17098</v>
      </c>
      <c r="B1716" s="3" t="s">
        <v>14358</v>
      </c>
      <c r="C1716" s="3" t="s">
        <v>141</v>
      </c>
      <c r="D1716" s="3" t="s">
        <v>17097</v>
      </c>
      <c r="E1716" t="s">
        <v>141</v>
      </c>
      <c r="F1716" t="str">
        <f>_xlfn.XLOOKUP(C1716,gwas_metab_name_map!C:C,gwas_metab_name_map!D:D,"")</f>
        <v>metab_xxlvldlcpct</v>
      </c>
      <c r="G1716" s="3"/>
      <c r="H1716" s="3"/>
    </row>
    <row r="1717" spans="1:8" x14ac:dyDescent="0.2">
      <c r="A1717" s="3" t="s">
        <v>17098</v>
      </c>
      <c r="B1717" s="3" t="s">
        <v>14358</v>
      </c>
      <c r="C1717" s="3" t="s">
        <v>141</v>
      </c>
      <c r="D1717" s="3" t="s">
        <v>16904</v>
      </c>
      <c r="E1717" t="s">
        <v>141</v>
      </c>
      <c r="F1717" t="str">
        <f>_xlfn.XLOOKUP(C1717,gwas_metab_name_map!C:C,gwas_metab_name_map!D:D,"")</f>
        <v>metab_xxlvldlcpct</v>
      </c>
      <c r="G1717" s="3"/>
      <c r="H1717" s="3"/>
    </row>
    <row r="1718" spans="1:8" x14ac:dyDescent="0.2">
      <c r="A1718" s="3" t="s">
        <v>17098</v>
      </c>
      <c r="B1718" s="3" t="s">
        <v>14358</v>
      </c>
      <c r="C1718" s="3" t="s">
        <v>141</v>
      </c>
      <c r="D1718" s="3" t="s">
        <v>16836</v>
      </c>
      <c r="E1718" t="s">
        <v>141</v>
      </c>
      <c r="F1718" t="str">
        <f>_xlfn.XLOOKUP(C1718,gwas_metab_name_map!C:C,gwas_metab_name_map!D:D,"")</f>
        <v>metab_xxlvldlcpct</v>
      </c>
      <c r="G1718" s="3"/>
      <c r="H1718" s="3"/>
    </row>
    <row r="1719" spans="1:8" x14ac:dyDescent="0.2">
      <c r="A1719" s="3" t="s">
        <v>17099</v>
      </c>
      <c r="B1719" s="3" t="s">
        <v>14358</v>
      </c>
      <c r="C1719" s="3" t="s">
        <v>213</v>
      </c>
      <c r="D1719" s="3" t="s">
        <v>17097</v>
      </c>
      <c r="E1719" t="s">
        <v>19769</v>
      </c>
      <c r="F1719" t="str">
        <f>_xlfn.XLOOKUP(C1719,gwas_metab_name_map!C:C,gwas_metab_name_map!D:D,"")</f>
        <v>metab_xxlvldlce</v>
      </c>
      <c r="G1719" s="3"/>
      <c r="H1719" s="3"/>
    </row>
    <row r="1720" spans="1:8" x14ac:dyDescent="0.2">
      <c r="A1720" s="3" t="s">
        <v>17099</v>
      </c>
      <c r="B1720" s="3" t="s">
        <v>14358</v>
      </c>
      <c r="C1720" s="3" t="s">
        <v>213</v>
      </c>
      <c r="D1720" s="3" t="s">
        <v>16904</v>
      </c>
      <c r="E1720" t="s">
        <v>19769</v>
      </c>
      <c r="F1720" t="str">
        <f>_xlfn.XLOOKUP(C1720,gwas_metab_name_map!C:C,gwas_metab_name_map!D:D,"")</f>
        <v>metab_xxlvldlce</v>
      </c>
      <c r="G1720" s="3"/>
      <c r="H1720" s="3"/>
    </row>
    <row r="1721" spans="1:8" x14ac:dyDescent="0.2">
      <c r="A1721" s="3" t="s">
        <v>17099</v>
      </c>
      <c r="B1721" s="3" t="s">
        <v>14358</v>
      </c>
      <c r="C1721" s="3" t="s">
        <v>213</v>
      </c>
      <c r="D1721" s="3" t="s">
        <v>17100</v>
      </c>
      <c r="E1721" t="s">
        <v>19769</v>
      </c>
      <c r="F1721" t="str">
        <f>_xlfn.XLOOKUP(C1721,gwas_metab_name_map!C:C,gwas_metab_name_map!D:D,"")</f>
        <v>metab_xxlvldlce</v>
      </c>
      <c r="G1721" s="3"/>
      <c r="H1721" s="3"/>
    </row>
    <row r="1722" spans="1:8" x14ac:dyDescent="0.2">
      <c r="A1722" s="3" t="s">
        <v>17101</v>
      </c>
      <c r="B1722" s="3" t="s">
        <v>14358</v>
      </c>
      <c r="C1722" s="3" t="s">
        <v>283</v>
      </c>
      <c r="D1722" s="3" t="s">
        <v>17097</v>
      </c>
      <c r="E1722" t="s">
        <v>283</v>
      </c>
      <c r="F1722" t="str">
        <f>_xlfn.XLOOKUP(C1722,gwas_metab_name_map!C:C,gwas_metab_name_map!D:D,"")</f>
        <v>metab_xxlvldlcepct</v>
      </c>
      <c r="G1722" s="3"/>
      <c r="H1722" s="3"/>
    </row>
    <row r="1723" spans="1:8" x14ac:dyDescent="0.2">
      <c r="A1723" s="3" t="s">
        <v>17101</v>
      </c>
      <c r="B1723" s="3" t="s">
        <v>14358</v>
      </c>
      <c r="C1723" s="3" t="s">
        <v>283</v>
      </c>
      <c r="D1723" s="3" t="s">
        <v>16839</v>
      </c>
      <c r="E1723" t="s">
        <v>283</v>
      </c>
      <c r="F1723" t="str">
        <f>_xlfn.XLOOKUP(C1723,gwas_metab_name_map!C:C,gwas_metab_name_map!D:D,"")</f>
        <v>metab_xxlvldlcepct</v>
      </c>
      <c r="G1723" s="3"/>
      <c r="H1723" s="3"/>
    </row>
    <row r="1724" spans="1:8" x14ac:dyDescent="0.2">
      <c r="A1724" s="3" t="s">
        <v>17101</v>
      </c>
      <c r="B1724" s="3" t="s">
        <v>14358</v>
      </c>
      <c r="C1724" s="3" t="s">
        <v>283</v>
      </c>
      <c r="D1724" s="3" t="s">
        <v>16904</v>
      </c>
      <c r="E1724" t="s">
        <v>283</v>
      </c>
      <c r="F1724" t="str">
        <f>_xlfn.XLOOKUP(C1724,gwas_metab_name_map!C:C,gwas_metab_name_map!D:D,"")</f>
        <v>metab_xxlvldlcepct</v>
      </c>
      <c r="G1724" s="3"/>
      <c r="H1724" s="3"/>
    </row>
    <row r="1725" spans="1:8" x14ac:dyDescent="0.2">
      <c r="A1725" s="3" t="s">
        <v>17102</v>
      </c>
      <c r="B1725" s="3" t="s">
        <v>14358</v>
      </c>
      <c r="C1725" s="3" t="s">
        <v>440</v>
      </c>
      <c r="D1725" s="3" t="s">
        <v>17097</v>
      </c>
      <c r="E1725" t="s">
        <v>11215</v>
      </c>
      <c r="F1725" t="str">
        <f>_xlfn.XLOOKUP(C1725,gwas_metab_name_map!C:C,gwas_metab_name_map!D:D,"")</f>
        <v>metab_xxlvldlfc</v>
      </c>
      <c r="G1725" s="3"/>
      <c r="H1725" s="3"/>
    </row>
    <row r="1726" spans="1:8" x14ac:dyDescent="0.2">
      <c r="A1726" s="3" t="s">
        <v>17102</v>
      </c>
      <c r="B1726" s="3" t="s">
        <v>14358</v>
      </c>
      <c r="C1726" s="3" t="s">
        <v>440</v>
      </c>
      <c r="D1726" s="3" t="s">
        <v>16904</v>
      </c>
      <c r="E1726" t="s">
        <v>11215</v>
      </c>
      <c r="F1726" t="str">
        <f>_xlfn.XLOOKUP(C1726,gwas_metab_name_map!C:C,gwas_metab_name_map!D:D,"")</f>
        <v>metab_xxlvldlfc</v>
      </c>
      <c r="G1726" s="3"/>
      <c r="H1726" s="3"/>
    </row>
    <row r="1727" spans="1:8" x14ac:dyDescent="0.2">
      <c r="A1727" s="3" t="s">
        <v>17102</v>
      </c>
      <c r="B1727" s="3" t="s">
        <v>14358</v>
      </c>
      <c r="C1727" s="3" t="s">
        <v>440</v>
      </c>
      <c r="D1727" s="3" t="s">
        <v>16817</v>
      </c>
      <c r="E1727" t="s">
        <v>11215</v>
      </c>
      <c r="F1727" t="str">
        <f>_xlfn.XLOOKUP(C1727,gwas_metab_name_map!C:C,gwas_metab_name_map!D:D,"")</f>
        <v>metab_xxlvldlfc</v>
      </c>
      <c r="G1727" s="3"/>
      <c r="H1727" s="3"/>
    </row>
    <row r="1728" spans="1:8" x14ac:dyDescent="0.2">
      <c r="A1728" s="3" t="s">
        <v>17103</v>
      </c>
      <c r="B1728" s="3" t="s">
        <v>14358</v>
      </c>
      <c r="C1728" s="3" t="s">
        <v>509</v>
      </c>
      <c r="D1728" s="3" t="s">
        <v>17097</v>
      </c>
      <c r="E1728" t="s">
        <v>509</v>
      </c>
      <c r="F1728" t="str">
        <f>_xlfn.XLOOKUP(C1728,gwas_metab_name_map!C:C,gwas_metab_name_map!D:D,"")</f>
        <v>metab_xxlvldlfcpct</v>
      </c>
      <c r="G1728" s="3"/>
      <c r="H1728" s="3"/>
    </row>
    <row r="1729" spans="1:8" x14ac:dyDescent="0.2">
      <c r="A1729" s="3" t="s">
        <v>17103</v>
      </c>
      <c r="B1729" s="3" t="s">
        <v>14358</v>
      </c>
      <c r="C1729" s="3" t="s">
        <v>509</v>
      </c>
      <c r="D1729" s="3" t="s">
        <v>16904</v>
      </c>
      <c r="E1729" t="s">
        <v>509</v>
      </c>
      <c r="F1729" t="str">
        <f>_xlfn.XLOOKUP(C1729,gwas_metab_name_map!C:C,gwas_metab_name_map!D:D,"")</f>
        <v>metab_xxlvldlfcpct</v>
      </c>
      <c r="G1729" s="3"/>
      <c r="H1729" s="3"/>
    </row>
    <row r="1730" spans="1:8" x14ac:dyDescent="0.2">
      <c r="A1730" s="3" t="s">
        <v>17103</v>
      </c>
      <c r="B1730" s="3" t="s">
        <v>14358</v>
      </c>
      <c r="C1730" s="3" t="s">
        <v>509</v>
      </c>
      <c r="D1730" s="3" t="s">
        <v>16843</v>
      </c>
      <c r="E1730" t="s">
        <v>509</v>
      </c>
      <c r="F1730" t="str">
        <f>_xlfn.XLOOKUP(C1730,gwas_metab_name_map!C:C,gwas_metab_name_map!D:D,"")</f>
        <v>metab_xxlvldlfcpct</v>
      </c>
      <c r="G1730" s="3"/>
      <c r="H1730" s="3"/>
    </row>
    <row r="1731" spans="1:8" x14ac:dyDescent="0.2">
      <c r="A1731" s="3" t="s">
        <v>17104</v>
      </c>
      <c r="B1731" s="3" t="s">
        <v>14358</v>
      </c>
      <c r="C1731" s="3" t="s">
        <v>855</v>
      </c>
      <c r="D1731" s="3" t="s">
        <v>17097</v>
      </c>
      <c r="E1731" t="s">
        <v>19770</v>
      </c>
      <c r="F1731" t="str">
        <f>_xlfn.XLOOKUP(C1731,gwas_metab_name_map!C:C,gwas_metab_name_map!D:D,"")</f>
        <v>metab_xxlvldll</v>
      </c>
      <c r="G1731" s="3"/>
      <c r="H1731" s="3"/>
    </row>
    <row r="1732" spans="1:8" x14ac:dyDescent="0.2">
      <c r="A1732" s="3" t="s">
        <v>17104</v>
      </c>
      <c r="B1732" s="3" t="s">
        <v>14358</v>
      </c>
      <c r="C1732" s="3" t="s">
        <v>855</v>
      </c>
      <c r="D1732" s="3" t="s">
        <v>16946</v>
      </c>
      <c r="E1732" t="s">
        <v>19770</v>
      </c>
      <c r="F1732" t="str">
        <f>_xlfn.XLOOKUP(C1732,gwas_metab_name_map!C:C,gwas_metab_name_map!D:D,"")</f>
        <v>metab_xxlvldll</v>
      </c>
      <c r="G1732" s="3"/>
      <c r="H1732" s="3"/>
    </row>
    <row r="1733" spans="1:8" x14ac:dyDescent="0.2">
      <c r="A1733" s="3" t="s">
        <v>17104</v>
      </c>
      <c r="B1733" s="3" t="s">
        <v>14358</v>
      </c>
      <c r="C1733" s="3" t="s">
        <v>855</v>
      </c>
      <c r="D1733" s="3" t="s">
        <v>16904</v>
      </c>
      <c r="E1733" t="s">
        <v>19770</v>
      </c>
      <c r="F1733" t="str">
        <f>_xlfn.XLOOKUP(C1733,gwas_metab_name_map!C:C,gwas_metab_name_map!D:D,"")</f>
        <v>metab_xxlvldll</v>
      </c>
      <c r="G1733" s="3"/>
      <c r="H1733" s="3"/>
    </row>
    <row r="1734" spans="1:8" x14ac:dyDescent="0.2">
      <c r="A1734" s="3" t="s">
        <v>17105</v>
      </c>
      <c r="B1734" s="3" t="s">
        <v>14358</v>
      </c>
      <c r="C1734" s="3" t="s">
        <v>349</v>
      </c>
      <c r="D1734" s="3" t="s">
        <v>17097</v>
      </c>
      <c r="E1734" t="s">
        <v>349</v>
      </c>
      <c r="F1734" t="str">
        <f>_xlfn.XLOOKUP(C1734,gwas_metab_name_map!C:C,gwas_metab_name_map!D:D,"")</f>
        <v>metab_xxlvldlp</v>
      </c>
      <c r="G1734" s="3"/>
      <c r="H1734" s="3"/>
    </row>
    <row r="1735" spans="1:8" x14ac:dyDescent="0.2">
      <c r="A1735" s="3" t="s">
        <v>17105</v>
      </c>
      <c r="B1735" s="3" t="s">
        <v>14358</v>
      </c>
      <c r="C1735" s="3" t="s">
        <v>349</v>
      </c>
      <c r="D1735" s="3" t="s">
        <v>16904</v>
      </c>
      <c r="E1735" t="s">
        <v>349</v>
      </c>
      <c r="F1735" t="str">
        <f>_xlfn.XLOOKUP(C1735,gwas_metab_name_map!C:C,gwas_metab_name_map!D:D,"")</f>
        <v>metab_xxlvldlp</v>
      </c>
      <c r="G1735" s="3"/>
      <c r="H1735" s="3"/>
    </row>
    <row r="1736" spans="1:8" x14ac:dyDescent="0.2">
      <c r="A1736" s="3" t="s">
        <v>17106</v>
      </c>
      <c r="B1736" s="3" t="s">
        <v>14358</v>
      </c>
      <c r="C1736" s="3" t="s">
        <v>663</v>
      </c>
      <c r="D1736" s="3" t="s">
        <v>17097</v>
      </c>
      <c r="E1736" t="s">
        <v>19771</v>
      </c>
      <c r="F1736" t="str">
        <f>_xlfn.XLOOKUP(C1736,gwas_metab_name_map!C:C,gwas_metab_name_map!D:D,"")</f>
        <v>metab_xxlvldlpl</v>
      </c>
      <c r="G1736" s="3"/>
      <c r="H1736" s="3"/>
    </row>
    <row r="1737" spans="1:8" x14ac:dyDescent="0.2">
      <c r="A1737" s="3" t="s">
        <v>17106</v>
      </c>
      <c r="B1737" s="3" t="s">
        <v>14358</v>
      </c>
      <c r="C1737" s="3" t="s">
        <v>663</v>
      </c>
      <c r="D1737" s="3" t="s">
        <v>17037</v>
      </c>
      <c r="E1737" t="s">
        <v>19771</v>
      </c>
      <c r="F1737" t="str">
        <f>_xlfn.XLOOKUP(C1737,gwas_metab_name_map!C:C,gwas_metab_name_map!D:D,"")</f>
        <v>metab_xxlvldlpl</v>
      </c>
      <c r="G1737" s="3"/>
      <c r="H1737" s="3"/>
    </row>
    <row r="1738" spans="1:8" x14ac:dyDescent="0.2">
      <c r="A1738" s="3" t="s">
        <v>17106</v>
      </c>
      <c r="B1738" s="3" t="s">
        <v>14358</v>
      </c>
      <c r="C1738" s="3" t="s">
        <v>663</v>
      </c>
      <c r="D1738" s="3" t="s">
        <v>16904</v>
      </c>
      <c r="E1738" t="s">
        <v>19771</v>
      </c>
      <c r="F1738" t="str">
        <f>_xlfn.XLOOKUP(C1738,gwas_metab_name_map!C:C,gwas_metab_name_map!D:D,"")</f>
        <v>metab_xxlvldlpl</v>
      </c>
      <c r="G1738" s="3"/>
      <c r="H1738" s="3"/>
    </row>
    <row r="1739" spans="1:8" x14ac:dyDescent="0.2">
      <c r="A1739" s="3" t="s">
        <v>17107</v>
      </c>
      <c r="B1739" s="3" t="s">
        <v>14358</v>
      </c>
      <c r="C1739" s="3" t="s">
        <v>729</v>
      </c>
      <c r="D1739" s="3" t="s">
        <v>17097</v>
      </c>
      <c r="E1739" t="s">
        <v>729</v>
      </c>
      <c r="F1739" t="str">
        <f>_xlfn.XLOOKUP(C1739,gwas_metab_name_map!C:C,gwas_metab_name_map!D:D,"")</f>
        <v>metab_xxlvldlplpct</v>
      </c>
      <c r="G1739" s="3"/>
      <c r="H1739" s="3"/>
    </row>
    <row r="1740" spans="1:8" x14ac:dyDescent="0.2">
      <c r="A1740" s="3" t="s">
        <v>17107</v>
      </c>
      <c r="B1740" s="3" t="s">
        <v>14358</v>
      </c>
      <c r="C1740" s="3" t="s">
        <v>729</v>
      </c>
      <c r="D1740" s="3" t="s">
        <v>16904</v>
      </c>
      <c r="E1740" t="s">
        <v>729</v>
      </c>
      <c r="F1740" t="str">
        <f>_xlfn.XLOOKUP(C1740,gwas_metab_name_map!C:C,gwas_metab_name_map!D:D,"")</f>
        <v>metab_xxlvldlplpct</v>
      </c>
      <c r="G1740" s="3"/>
      <c r="H1740" s="3"/>
    </row>
    <row r="1741" spans="1:8" x14ac:dyDescent="0.2">
      <c r="A1741" s="3" t="s">
        <v>17107</v>
      </c>
      <c r="B1741" s="3" t="s">
        <v>14358</v>
      </c>
      <c r="C1741" s="3" t="s">
        <v>729</v>
      </c>
      <c r="D1741" s="3" t="s">
        <v>16850</v>
      </c>
      <c r="E1741" t="s">
        <v>729</v>
      </c>
      <c r="F1741" t="str">
        <f>_xlfn.XLOOKUP(C1741,gwas_metab_name_map!C:C,gwas_metab_name_map!D:D,"")</f>
        <v>metab_xxlvldlplpct</v>
      </c>
      <c r="G1741" s="3"/>
      <c r="H1741" s="3"/>
    </row>
    <row r="1742" spans="1:8" x14ac:dyDescent="0.2">
      <c r="A1742" s="3" t="s">
        <v>17108</v>
      </c>
      <c r="B1742" s="3" t="s">
        <v>14358</v>
      </c>
      <c r="C1742" s="3" t="s">
        <v>938</v>
      </c>
      <c r="D1742" s="3" t="s">
        <v>17097</v>
      </c>
      <c r="E1742" t="s">
        <v>19772</v>
      </c>
      <c r="F1742" t="str">
        <f>_xlfn.XLOOKUP(C1742,gwas_metab_name_map!C:C,gwas_metab_name_map!D:D,"")</f>
        <v>metab_xxlvldltg</v>
      </c>
      <c r="G1742" s="3"/>
      <c r="H1742" s="3"/>
    </row>
    <row r="1743" spans="1:8" x14ac:dyDescent="0.2">
      <c r="A1743" s="3" t="s">
        <v>17108</v>
      </c>
      <c r="B1743" s="3" t="s">
        <v>14358</v>
      </c>
      <c r="C1743" s="3" t="s">
        <v>938</v>
      </c>
      <c r="D1743" s="3" t="s">
        <v>16904</v>
      </c>
      <c r="E1743" t="s">
        <v>19772</v>
      </c>
      <c r="F1743" t="str">
        <f>_xlfn.XLOOKUP(C1743,gwas_metab_name_map!C:C,gwas_metab_name_map!D:D,"")</f>
        <v>metab_xxlvldltg</v>
      </c>
      <c r="G1743" s="3"/>
      <c r="H1743" s="3"/>
    </row>
    <row r="1744" spans="1:8" x14ac:dyDescent="0.2">
      <c r="A1744" s="3" t="s">
        <v>17108</v>
      </c>
      <c r="B1744" s="3" t="s">
        <v>14358</v>
      </c>
      <c r="C1744" s="3" t="s">
        <v>938</v>
      </c>
      <c r="D1744" s="3" t="s">
        <v>16802</v>
      </c>
      <c r="E1744" t="s">
        <v>19772</v>
      </c>
      <c r="F1744" t="str">
        <f>_xlfn.XLOOKUP(C1744,gwas_metab_name_map!C:C,gwas_metab_name_map!D:D,"")</f>
        <v>metab_xxlvldltg</v>
      </c>
      <c r="G1744" s="3"/>
      <c r="H1744" s="3"/>
    </row>
    <row r="1745" spans="1:8" x14ac:dyDescent="0.2">
      <c r="A1745" s="3" t="s">
        <v>17109</v>
      </c>
      <c r="B1745" s="3" t="s">
        <v>14358</v>
      </c>
      <c r="C1745" s="3" t="s">
        <v>1014</v>
      </c>
      <c r="D1745" s="3" t="s">
        <v>17097</v>
      </c>
      <c r="E1745" t="s">
        <v>1014</v>
      </c>
      <c r="F1745" t="str">
        <f>_xlfn.XLOOKUP(C1745,gwas_metab_name_map!C:C,gwas_metab_name_map!D:D,"")</f>
        <v>metab_xxlvldltgpct</v>
      </c>
      <c r="G1745" s="3"/>
      <c r="H1745" s="3"/>
    </row>
    <row r="1746" spans="1:8" x14ac:dyDescent="0.2">
      <c r="A1746" s="3" t="s">
        <v>17109</v>
      </c>
      <c r="B1746" s="3" t="s">
        <v>14358</v>
      </c>
      <c r="C1746" s="3" t="s">
        <v>1014</v>
      </c>
      <c r="D1746" s="3" t="s">
        <v>16904</v>
      </c>
      <c r="E1746" t="s">
        <v>1014</v>
      </c>
      <c r="F1746" t="str">
        <f>_xlfn.XLOOKUP(C1746,gwas_metab_name_map!C:C,gwas_metab_name_map!D:D,"")</f>
        <v>metab_xxlvldltgpct</v>
      </c>
      <c r="G1746" s="3"/>
      <c r="H1746" s="3"/>
    </row>
    <row r="1747" spans="1:8" x14ac:dyDescent="0.2">
      <c r="A1747" s="3" t="s">
        <v>17109</v>
      </c>
      <c r="B1747" s="3" t="s">
        <v>14358</v>
      </c>
      <c r="C1747" s="3" t="s">
        <v>1014</v>
      </c>
      <c r="D1747" s="3" t="s">
        <v>16854</v>
      </c>
      <c r="E1747" t="s">
        <v>1014</v>
      </c>
      <c r="F1747" t="str">
        <f>_xlfn.XLOOKUP(C1747,gwas_metab_name_map!C:C,gwas_metab_name_map!D:D,"")</f>
        <v>metab_xxlvldltgpct</v>
      </c>
      <c r="G1747" s="3"/>
      <c r="H1747" s="3"/>
    </row>
  </sheetData>
  <autoFilter ref="A1:H1747" xr:uid="{F7AB2A10-2C45-5342-8137-5BC13D6ED759}">
    <filterColumn colId="1">
      <filters>
        <filter val="nightingale"/>
      </filters>
    </filterColumn>
  </autoFilter>
  <conditionalFormatting sqref="F1436:F1438">
    <cfRule type="containsBlanks" dxfId="18" priority="2">
      <formula>LEN(TRIM(F1436))=0</formula>
    </cfRule>
  </conditionalFormatting>
  <conditionalFormatting sqref="F1466">
    <cfRule type="containsBlanks" dxfId="17" priority="1">
      <formula>LEN(TRIM(F1466))=0</formula>
    </cfRule>
  </conditionalFormatting>
  <conditionalFormatting sqref="F1653">
    <cfRule type="containsBlanks" dxfId="16" priority="3">
      <formula>LEN(TRIM(F1653))=0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37698E-7E1B-B646-A281-D1BC3A3018F2}">
  <dimension ref="A1:T1092"/>
  <sheetViews>
    <sheetView workbookViewId="0">
      <pane ySplit="1" topLeftCell="A433" activePane="bottomLeft" state="frozen"/>
      <selection pane="bottomLeft" activeCell="A36" sqref="A36"/>
    </sheetView>
  </sheetViews>
  <sheetFormatPr baseColWidth="10" defaultRowHeight="16" x14ac:dyDescent="0.2"/>
  <cols>
    <col min="1" max="1" width="19.1640625" bestFit="1" customWidth="1"/>
    <col min="2" max="2" width="55" bestFit="1" customWidth="1"/>
  </cols>
  <sheetData>
    <row r="1" spans="1:20" s="2" customFormat="1" x14ac:dyDescent="0.2">
      <c r="A1" s="2" t="s">
        <v>13424</v>
      </c>
      <c r="B1" s="2" t="s">
        <v>17118</v>
      </c>
      <c r="C1" s="2" t="s">
        <v>17119</v>
      </c>
      <c r="D1" s="2" t="s">
        <v>3421</v>
      </c>
      <c r="E1" s="2" t="s">
        <v>3420</v>
      </c>
      <c r="F1" s="2" t="s">
        <v>3419</v>
      </c>
      <c r="G1" s="2" t="s">
        <v>3422</v>
      </c>
      <c r="H1" s="2" t="s">
        <v>3423</v>
      </c>
      <c r="I1" s="2" t="s">
        <v>3424</v>
      </c>
      <c r="J1" s="2" t="s">
        <v>3425</v>
      </c>
      <c r="K1" s="2" t="s">
        <v>3426</v>
      </c>
      <c r="L1" s="2" t="s">
        <v>3427</v>
      </c>
      <c r="M1" s="2" t="s">
        <v>3430</v>
      </c>
      <c r="N1" s="2" t="s">
        <v>3431</v>
      </c>
      <c r="O1" s="2" t="s">
        <v>3432</v>
      </c>
      <c r="P1" s="2" t="s">
        <v>17120</v>
      </c>
      <c r="Q1" s="2" t="s">
        <v>3433</v>
      </c>
      <c r="R1" s="2" t="s">
        <v>3434</v>
      </c>
      <c r="S1" s="2" t="s">
        <v>17121</v>
      </c>
      <c r="T1" s="2" t="s">
        <v>3435</v>
      </c>
    </row>
    <row r="2" spans="1:20" x14ac:dyDescent="0.2">
      <c r="A2" t="s">
        <v>2526</v>
      </c>
      <c r="B2" t="s">
        <v>12433</v>
      </c>
      <c r="C2" t="s">
        <v>17122</v>
      </c>
      <c r="D2">
        <v>166164</v>
      </c>
      <c r="E2">
        <v>42370</v>
      </c>
      <c r="F2">
        <v>400</v>
      </c>
      <c r="G2" t="s">
        <v>3436</v>
      </c>
      <c r="H2" t="s">
        <v>4215</v>
      </c>
      <c r="I2">
        <v>62</v>
      </c>
      <c r="J2" t="s">
        <v>3438</v>
      </c>
      <c r="K2" t="s">
        <v>17123</v>
      </c>
      <c r="L2" t="s">
        <v>17124</v>
      </c>
      <c r="M2" t="s">
        <v>12434</v>
      </c>
      <c r="N2">
        <v>10140206</v>
      </c>
      <c r="O2" t="s">
        <v>17125</v>
      </c>
      <c r="P2" t="s">
        <v>17125</v>
      </c>
      <c r="Q2" t="s">
        <v>12435</v>
      </c>
      <c r="R2">
        <v>11966181</v>
      </c>
      <c r="S2">
        <v>11966181</v>
      </c>
      <c r="T2" t="s">
        <v>3458</v>
      </c>
    </row>
    <row r="3" spans="1:20" x14ac:dyDescent="0.2">
      <c r="A3" t="s">
        <v>2598</v>
      </c>
      <c r="B3" t="s">
        <v>3441</v>
      </c>
      <c r="C3" t="s">
        <v>17126</v>
      </c>
      <c r="D3">
        <v>157851</v>
      </c>
      <c r="E3">
        <v>485</v>
      </c>
      <c r="F3">
        <v>402</v>
      </c>
      <c r="G3" t="s">
        <v>3436</v>
      </c>
      <c r="H3" t="s">
        <v>3437</v>
      </c>
      <c r="I3">
        <v>545</v>
      </c>
      <c r="J3" t="s">
        <v>3438</v>
      </c>
      <c r="K3" t="s">
        <v>17127</v>
      </c>
      <c r="L3" t="s">
        <v>3440</v>
      </c>
      <c r="M3" t="s">
        <v>3442</v>
      </c>
      <c r="N3">
        <v>1071</v>
      </c>
      <c r="O3" t="s">
        <v>3444</v>
      </c>
      <c r="P3" t="s">
        <v>3444</v>
      </c>
      <c r="Q3" t="s">
        <v>3445</v>
      </c>
      <c r="R3">
        <v>1102</v>
      </c>
      <c r="S3">
        <v>1102</v>
      </c>
      <c r="T3" t="s">
        <v>3447</v>
      </c>
    </row>
    <row r="4" spans="1:20" x14ac:dyDescent="0.2">
      <c r="A4" t="s">
        <v>2569</v>
      </c>
      <c r="B4" t="s">
        <v>3452</v>
      </c>
      <c r="C4" t="s">
        <v>17128</v>
      </c>
      <c r="D4">
        <v>155829</v>
      </c>
      <c r="E4">
        <v>27665</v>
      </c>
      <c r="F4">
        <v>400</v>
      </c>
      <c r="G4" t="s">
        <v>3448</v>
      </c>
      <c r="H4" t="s">
        <v>3449</v>
      </c>
      <c r="I4">
        <v>4316</v>
      </c>
      <c r="J4" t="s">
        <v>3438</v>
      </c>
      <c r="K4" t="s">
        <v>17129</v>
      </c>
      <c r="L4" t="s">
        <v>3451</v>
      </c>
      <c r="M4" t="s">
        <v>3453</v>
      </c>
      <c r="N4">
        <v>8305504</v>
      </c>
      <c r="O4" t="s">
        <v>3455</v>
      </c>
      <c r="P4" t="s">
        <v>3455</v>
      </c>
      <c r="Q4" t="s">
        <v>3456</v>
      </c>
      <c r="R4">
        <v>457</v>
      </c>
      <c r="S4">
        <v>457</v>
      </c>
      <c r="T4" t="s">
        <v>3458</v>
      </c>
    </row>
    <row r="5" spans="1:20" x14ac:dyDescent="0.2">
      <c r="A5" t="s">
        <v>2612</v>
      </c>
      <c r="B5" t="s">
        <v>3463</v>
      </c>
      <c r="C5" t="s">
        <v>17130</v>
      </c>
      <c r="D5">
        <v>143675</v>
      </c>
      <c r="E5">
        <v>38395</v>
      </c>
      <c r="F5">
        <v>209</v>
      </c>
      <c r="G5" t="s">
        <v>3459</v>
      </c>
      <c r="H5" t="s">
        <v>3460</v>
      </c>
      <c r="I5">
        <v>2030</v>
      </c>
      <c r="J5" t="s">
        <v>3438</v>
      </c>
      <c r="K5" t="s">
        <v>17131</v>
      </c>
      <c r="L5" t="s">
        <v>3462</v>
      </c>
      <c r="M5" t="s">
        <v>3464</v>
      </c>
      <c r="N5">
        <v>8412123</v>
      </c>
      <c r="O5" t="s">
        <v>3466</v>
      </c>
      <c r="P5" t="s">
        <v>3466</v>
      </c>
      <c r="Q5" t="s">
        <v>3467</v>
      </c>
      <c r="R5">
        <v>10236635</v>
      </c>
      <c r="S5">
        <v>10236635</v>
      </c>
      <c r="T5" t="s">
        <v>3469</v>
      </c>
    </row>
    <row r="6" spans="1:20" x14ac:dyDescent="0.2">
      <c r="A6" t="s">
        <v>2649</v>
      </c>
      <c r="B6" t="s">
        <v>3483</v>
      </c>
      <c r="C6" t="s">
        <v>17132</v>
      </c>
      <c r="D6">
        <v>146398</v>
      </c>
      <c r="E6">
        <v>528</v>
      </c>
      <c r="F6">
        <v>305</v>
      </c>
      <c r="G6" t="s">
        <v>3479</v>
      </c>
      <c r="H6" t="s">
        <v>3480</v>
      </c>
      <c r="I6">
        <v>1445</v>
      </c>
      <c r="J6" t="s">
        <v>3438</v>
      </c>
      <c r="K6" t="s">
        <v>17133</v>
      </c>
      <c r="L6" t="s">
        <v>3482</v>
      </c>
      <c r="M6" t="s">
        <v>3484</v>
      </c>
      <c r="N6">
        <v>50</v>
      </c>
      <c r="O6" t="s">
        <v>3486</v>
      </c>
      <c r="P6" t="s">
        <v>3486</v>
      </c>
      <c r="Q6" t="s">
        <v>3487</v>
      </c>
      <c r="R6">
        <v>51</v>
      </c>
      <c r="S6">
        <v>51</v>
      </c>
      <c r="T6" t="s">
        <v>3489</v>
      </c>
    </row>
    <row r="7" spans="1:20" x14ac:dyDescent="0.2">
      <c r="A7" t="s">
        <v>2647</v>
      </c>
      <c r="B7" t="s">
        <v>3492</v>
      </c>
      <c r="C7" t="s">
        <v>17134</v>
      </c>
      <c r="D7">
        <v>155363</v>
      </c>
      <c r="E7">
        <v>1417</v>
      </c>
      <c r="F7">
        <v>400</v>
      </c>
      <c r="G7" t="s">
        <v>3436</v>
      </c>
      <c r="H7" t="s">
        <v>3470</v>
      </c>
      <c r="I7">
        <v>272</v>
      </c>
      <c r="J7" t="s">
        <v>3438</v>
      </c>
      <c r="K7" t="s">
        <v>17135</v>
      </c>
      <c r="L7" t="s">
        <v>3491</v>
      </c>
      <c r="M7" t="s">
        <v>3493</v>
      </c>
      <c r="N7">
        <v>3712</v>
      </c>
      <c r="O7" t="s">
        <v>3495</v>
      </c>
      <c r="P7" t="s">
        <v>3495</v>
      </c>
      <c r="Q7" t="s">
        <v>3496</v>
      </c>
      <c r="R7">
        <v>3845</v>
      </c>
      <c r="S7">
        <v>3845</v>
      </c>
      <c r="T7" t="s">
        <v>3458</v>
      </c>
    </row>
    <row r="8" spans="1:20" x14ac:dyDescent="0.2">
      <c r="A8" t="s">
        <v>2395</v>
      </c>
      <c r="B8" t="s">
        <v>3501</v>
      </c>
      <c r="C8" t="s">
        <v>17136</v>
      </c>
      <c r="D8">
        <v>147711</v>
      </c>
      <c r="E8">
        <v>1549</v>
      </c>
      <c r="F8">
        <v>305</v>
      </c>
      <c r="G8" t="s">
        <v>3436</v>
      </c>
      <c r="H8" t="s">
        <v>3498</v>
      </c>
      <c r="I8">
        <v>428</v>
      </c>
      <c r="J8" t="s">
        <v>3438</v>
      </c>
      <c r="K8" t="s">
        <v>17137</v>
      </c>
      <c r="L8" t="s">
        <v>3500</v>
      </c>
      <c r="M8" t="s">
        <v>3502</v>
      </c>
      <c r="N8">
        <v>10140307</v>
      </c>
      <c r="O8" t="s">
        <v>3504</v>
      </c>
      <c r="P8" t="s">
        <v>3504</v>
      </c>
      <c r="Q8" t="s">
        <v>3505</v>
      </c>
      <c r="R8">
        <v>11966314</v>
      </c>
      <c r="S8">
        <v>11966314</v>
      </c>
      <c r="T8" t="s">
        <v>3489</v>
      </c>
    </row>
    <row r="9" spans="1:20" x14ac:dyDescent="0.2">
      <c r="A9" t="s">
        <v>2377</v>
      </c>
      <c r="B9" t="s">
        <v>3510</v>
      </c>
      <c r="C9" t="s">
        <v>17138</v>
      </c>
      <c r="D9">
        <v>146400</v>
      </c>
      <c r="E9">
        <v>531</v>
      </c>
      <c r="F9">
        <v>305</v>
      </c>
      <c r="G9" t="s">
        <v>3459</v>
      </c>
      <c r="H9" t="s">
        <v>3507</v>
      </c>
      <c r="I9">
        <v>3175</v>
      </c>
      <c r="J9" t="s">
        <v>3438</v>
      </c>
      <c r="K9" t="s">
        <v>17139</v>
      </c>
      <c r="L9" t="s">
        <v>3509</v>
      </c>
      <c r="M9" t="s">
        <v>3511</v>
      </c>
      <c r="N9">
        <v>4573695</v>
      </c>
      <c r="O9" t="s">
        <v>3513</v>
      </c>
      <c r="P9" t="s">
        <v>3513</v>
      </c>
      <c r="Q9" t="s">
        <v>3514</v>
      </c>
      <c r="R9" s="5">
        <v>16625459993</v>
      </c>
      <c r="S9" t="s">
        <v>17140</v>
      </c>
      <c r="T9" t="s">
        <v>3489</v>
      </c>
    </row>
    <row r="10" spans="1:20" x14ac:dyDescent="0.2">
      <c r="A10" t="s">
        <v>19090</v>
      </c>
      <c r="B10" t="s">
        <v>17141</v>
      </c>
      <c r="C10" t="s">
        <v>17142</v>
      </c>
      <c r="D10">
        <v>124537</v>
      </c>
      <c r="E10">
        <v>1101</v>
      </c>
      <c r="F10">
        <v>209</v>
      </c>
      <c r="G10" t="s">
        <v>3436</v>
      </c>
      <c r="H10" t="s">
        <v>3687</v>
      </c>
      <c r="I10">
        <v>210</v>
      </c>
      <c r="J10" t="s">
        <v>3438</v>
      </c>
      <c r="K10" t="s">
        <v>17143</v>
      </c>
      <c r="L10" t="s">
        <v>17144</v>
      </c>
      <c r="M10" t="s">
        <v>17145</v>
      </c>
      <c r="N10">
        <v>5323114</v>
      </c>
      <c r="O10" t="s">
        <v>17146</v>
      </c>
      <c r="P10" t="s">
        <v>17146</v>
      </c>
      <c r="Q10" t="s">
        <v>17147</v>
      </c>
      <c r="R10">
        <v>1738</v>
      </c>
      <c r="S10">
        <v>1738</v>
      </c>
      <c r="T10" t="s">
        <v>3469</v>
      </c>
    </row>
    <row r="11" spans="1:20" x14ac:dyDescent="0.2">
      <c r="A11" t="s">
        <v>19091</v>
      </c>
      <c r="B11" t="s">
        <v>17148</v>
      </c>
      <c r="C11" t="s">
        <v>17149</v>
      </c>
      <c r="D11">
        <v>155361</v>
      </c>
      <c r="E11">
        <v>1414</v>
      </c>
      <c r="F11">
        <v>400</v>
      </c>
      <c r="G11" t="s">
        <v>3977</v>
      </c>
      <c r="H11" t="s">
        <v>4084</v>
      </c>
      <c r="I11">
        <v>1237</v>
      </c>
      <c r="J11" t="s">
        <v>3438</v>
      </c>
      <c r="K11" t="s">
        <v>17150</v>
      </c>
      <c r="L11" t="s">
        <v>17151</v>
      </c>
      <c r="M11" t="s">
        <v>17152</v>
      </c>
      <c r="N11">
        <v>10669764</v>
      </c>
      <c r="O11" t="s">
        <v>17153</v>
      </c>
      <c r="P11" t="s">
        <v>17153</v>
      </c>
      <c r="Q11" t="s">
        <v>17154</v>
      </c>
      <c r="R11">
        <v>724</v>
      </c>
      <c r="S11">
        <v>724</v>
      </c>
      <c r="T11" t="s">
        <v>3458</v>
      </c>
    </row>
    <row r="12" spans="1:20" x14ac:dyDescent="0.2">
      <c r="A12" t="s">
        <v>2418</v>
      </c>
      <c r="B12" t="s">
        <v>3519</v>
      </c>
      <c r="C12" t="s">
        <v>17155</v>
      </c>
      <c r="D12">
        <v>124689</v>
      </c>
      <c r="E12">
        <v>22842</v>
      </c>
      <c r="F12">
        <v>209</v>
      </c>
      <c r="G12" t="s">
        <v>3459</v>
      </c>
      <c r="H12" t="s">
        <v>3516</v>
      </c>
      <c r="I12">
        <v>3453</v>
      </c>
      <c r="J12" t="s">
        <v>3438</v>
      </c>
      <c r="K12" t="s">
        <v>17156</v>
      </c>
      <c r="L12" t="s">
        <v>3518</v>
      </c>
      <c r="M12" t="s">
        <v>3520</v>
      </c>
      <c r="O12" t="s">
        <v>3521</v>
      </c>
      <c r="P12" t="s">
        <v>3521</v>
      </c>
      <c r="Q12" t="s">
        <v>3522</v>
      </c>
      <c r="R12">
        <v>221493</v>
      </c>
      <c r="S12">
        <v>221493</v>
      </c>
      <c r="T12" t="s">
        <v>3469</v>
      </c>
    </row>
    <row r="13" spans="1:20" x14ac:dyDescent="0.2">
      <c r="A13" t="s">
        <v>2449</v>
      </c>
      <c r="B13" t="s">
        <v>3527</v>
      </c>
      <c r="C13" t="s">
        <v>17157</v>
      </c>
      <c r="D13">
        <v>123169</v>
      </c>
      <c r="E13">
        <v>541</v>
      </c>
      <c r="F13">
        <v>209</v>
      </c>
      <c r="G13" t="s">
        <v>3436</v>
      </c>
      <c r="H13" t="s">
        <v>3524</v>
      </c>
      <c r="I13">
        <v>159</v>
      </c>
      <c r="J13" t="s">
        <v>3438</v>
      </c>
      <c r="K13" t="s">
        <v>17158</v>
      </c>
      <c r="L13" t="s">
        <v>3526</v>
      </c>
      <c r="M13" t="s">
        <v>3528</v>
      </c>
      <c r="N13">
        <v>3881560</v>
      </c>
      <c r="O13" t="s">
        <v>3530</v>
      </c>
      <c r="P13" t="s">
        <v>3530</v>
      </c>
      <c r="Q13" t="s">
        <v>3531</v>
      </c>
      <c r="R13">
        <v>127</v>
      </c>
      <c r="S13">
        <v>127</v>
      </c>
      <c r="T13" t="s">
        <v>3469</v>
      </c>
    </row>
    <row r="14" spans="1:20" x14ac:dyDescent="0.2">
      <c r="A14" t="s">
        <v>2451</v>
      </c>
      <c r="B14" t="s">
        <v>3537</v>
      </c>
      <c r="C14" t="s">
        <v>17159</v>
      </c>
      <c r="D14">
        <v>123205</v>
      </c>
      <c r="E14">
        <v>1418</v>
      </c>
      <c r="F14">
        <v>209</v>
      </c>
      <c r="G14" t="s">
        <v>3533</v>
      </c>
      <c r="H14" t="s">
        <v>3534</v>
      </c>
      <c r="I14">
        <v>4280</v>
      </c>
      <c r="J14" t="s">
        <v>3438</v>
      </c>
      <c r="K14" t="s">
        <v>17160</v>
      </c>
      <c r="L14" t="s">
        <v>3536</v>
      </c>
      <c r="M14" t="s">
        <v>3538</v>
      </c>
      <c r="N14">
        <v>84456</v>
      </c>
      <c r="O14" t="s">
        <v>3540</v>
      </c>
      <c r="P14" t="s">
        <v>3540</v>
      </c>
      <c r="Q14" t="s">
        <v>3541</v>
      </c>
      <c r="R14">
        <v>93556</v>
      </c>
      <c r="S14">
        <v>93556</v>
      </c>
      <c r="T14" t="s">
        <v>3469</v>
      </c>
    </row>
    <row r="15" spans="1:20" x14ac:dyDescent="0.2">
      <c r="A15" t="s">
        <v>2479</v>
      </c>
      <c r="B15" t="s">
        <v>3554</v>
      </c>
      <c r="C15" t="s">
        <v>17161</v>
      </c>
      <c r="D15">
        <v>143740</v>
      </c>
      <c r="E15">
        <v>38399</v>
      </c>
      <c r="F15">
        <v>209</v>
      </c>
      <c r="G15" t="s">
        <v>3459</v>
      </c>
      <c r="H15" t="s">
        <v>3460</v>
      </c>
      <c r="I15">
        <v>2031</v>
      </c>
      <c r="J15" t="s">
        <v>3438</v>
      </c>
      <c r="K15" t="s">
        <v>17162</v>
      </c>
      <c r="L15" t="s">
        <v>3553</v>
      </c>
      <c r="M15" t="s">
        <v>3555</v>
      </c>
      <c r="N15">
        <v>8142232</v>
      </c>
      <c r="O15" t="s">
        <v>3557</v>
      </c>
      <c r="P15" t="s">
        <v>3557</v>
      </c>
      <c r="Q15" t="s">
        <v>3558</v>
      </c>
      <c r="R15">
        <v>9966640</v>
      </c>
      <c r="S15">
        <v>9966640</v>
      </c>
      <c r="T15" t="s">
        <v>3469</v>
      </c>
    </row>
    <row r="16" spans="1:20" x14ac:dyDescent="0.2">
      <c r="A16" t="s">
        <v>2481</v>
      </c>
      <c r="B16" t="s">
        <v>3563</v>
      </c>
      <c r="C16" t="s">
        <v>17163</v>
      </c>
      <c r="D16">
        <v>125969</v>
      </c>
      <c r="E16">
        <v>1105</v>
      </c>
      <c r="F16">
        <v>209</v>
      </c>
      <c r="G16" t="s">
        <v>3459</v>
      </c>
      <c r="H16" t="s">
        <v>3560</v>
      </c>
      <c r="I16">
        <v>1567</v>
      </c>
      <c r="J16" t="s">
        <v>3438</v>
      </c>
      <c r="K16" t="s">
        <v>17164</v>
      </c>
      <c r="L16" t="s">
        <v>3562</v>
      </c>
      <c r="M16" t="s">
        <v>3564</v>
      </c>
      <c r="N16">
        <v>4444105</v>
      </c>
      <c r="O16" t="s">
        <v>3566</v>
      </c>
      <c r="P16" t="s">
        <v>3566</v>
      </c>
      <c r="Q16" t="s">
        <v>3567</v>
      </c>
      <c r="R16">
        <v>5280450</v>
      </c>
      <c r="S16">
        <v>5280450</v>
      </c>
      <c r="T16" t="s">
        <v>3469</v>
      </c>
    </row>
    <row r="17" spans="1:20" x14ac:dyDescent="0.2">
      <c r="A17" t="s">
        <v>2473</v>
      </c>
      <c r="B17" t="s">
        <v>3572</v>
      </c>
      <c r="C17" t="s">
        <v>17165</v>
      </c>
      <c r="D17">
        <v>125740</v>
      </c>
      <c r="E17">
        <v>1645</v>
      </c>
      <c r="F17">
        <v>209</v>
      </c>
      <c r="G17" t="s">
        <v>3459</v>
      </c>
      <c r="H17" t="s">
        <v>3569</v>
      </c>
      <c r="I17">
        <v>1502</v>
      </c>
      <c r="J17" t="s">
        <v>3438</v>
      </c>
      <c r="K17" t="s">
        <v>17166</v>
      </c>
      <c r="L17" t="s">
        <v>3571</v>
      </c>
      <c r="M17" t="s">
        <v>3573</v>
      </c>
      <c r="N17">
        <v>3756</v>
      </c>
      <c r="O17" t="s">
        <v>3575</v>
      </c>
      <c r="P17" t="s">
        <v>3575</v>
      </c>
      <c r="Q17" t="s">
        <v>3576</v>
      </c>
      <c r="R17">
        <v>3893</v>
      </c>
      <c r="S17">
        <v>3893</v>
      </c>
      <c r="T17" t="s">
        <v>3469</v>
      </c>
    </row>
    <row r="18" spans="1:20" x14ac:dyDescent="0.2">
      <c r="A18" t="s">
        <v>2469</v>
      </c>
      <c r="B18" t="s">
        <v>3580</v>
      </c>
      <c r="C18" t="s">
        <v>17167</v>
      </c>
      <c r="D18">
        <v>155456</v>
      </c>
      <c r="E18">
        <v>1899</v>
      </c>
      <c r="F18">
        <v>400</v>
      </c>
      <c r="G18" t="s">
        <v>3448</v>
      </c>
      <c r="H18" t="s">
        <v>3449</v>
      </c>
      <c r="I18">
        <v>4300</v>
      </c>
      <c r="J18" t="s">
        <v>3438</v>
      </c>
      <c r="K18" t="s">
        <v>17168</v>
      </c>
      <c r="L18" t="s">
        <v>3579</v>
      </c>
      <c r="M18" t="s">
        <v>3581</v>
      </c>
      <c r="N18">
        <v>1037</v>
      </c>
      <c r="O18" t="s">
        <v>3583</v>
      </c>
      <c r="P18" t="s">
        <v>3583</v>
      </c>
      <c r="Q18" t="s">
        <v>3584</v>
      </c>
      <c r="R18">
        <v>1066</v>
      </c>
      <c r="S18">
        <v>1066</v>
      </c>
      <c r="T18" t="s">
        <v>3458</v>
      </c>
    </row>
    <row r="19" spans="1:20" x14ac:dyDescent="0.2">
      <c r="A19" t="s">
        <v>2461</v>
      </c>
      <c r="B19" t="s">
        <v>3589</v>
      </c>
      <c r="C19" t="s">
        <v>17169</v>
      </c>
      <c r="D19">
        <v>155380</v>
      </c>
      <c r="E19">
        <v>1498</v>
      </c>
      <c r="F19">
        <v>400</v>
      </c>
      <c r="G19" t="s">
        <v>3436</v>
      </c>
      <c r="H19" t="s">
        <v>3586</v>
      </c>
      <c r="I19">
        <v>116</v>
      </c>
      <c r="J19" t="s">
        <v>3438</v>
      </c>
      <c r="K19" t="s">
        <v>17170</v>
      </c>
      <c r="L19" t="s">
        <v>3588</v>
      </c>
      <c r="M19" t="s">
        <v>3590</v>
      </c>
      <c r="N19">
        <v>140379</v>
      </c>
      <c r="O19" t="s">
        <v>3592</v>
      </c>
      <c r="P19" t="s">
        <v>3592</v>
      </c>
      <c r="Q19" t="s">
        <v>3593</v>
      </c>
      <c r="R19">
        <v>440120</v>
      </c>
      <c r="S19">
        <v>440120</v>
      </c>
      <c r="T19" t="s">
        <v>3458</v>
      </c>
    </row>
    <row r="20" spans="1:20" x14ac:dyDescent="0.2">
      <c r="A20" t="s">
        <v>2475</v>
      </c>
      <c r="B20" t="s">
        <v>3597</v>
      </c>
      <c r="C20" t="s">
        <v>17171</v>
      </c>
      <c r="D20">
        <v>156406</v>
      </c>
      <c r="E20">
        <v>37496</v>
      </c>
      <c r="F20">
        <v>400</v>
      </c>
      <c r="G20" t="s">
        <v>3436</v>
      </c>
      <c r="H20" t="s">
        <v>3437</v>
      </c>
      <c r="I20">
        <v>538</v>
      </c>
      <c r="J20" t="s">
        <v>3438</v>
      </c>
      <c r="K20" t="s">
        <v>17172</v>
      </c>
      <c r="L20" t="s">
        <v>3596</v>
      </c>
      <c r="M20" t="s">
        <v>3598</v>
      </c>
      <c r="N20">
        <v>109095</v>
      </c>
      <c r="O20" t="s">
        <v>3600</v>
      </c>
      <c r="P20" t="s">
        <v>3600</v>
      </c>
      <c r="Q20" t="s">
        <v>3601</v>
      </c>
      <c r="R20">
        <v>122356</v>
      </c>
      <c r="S20">
        <v>122356</v>
      </c>
      <c r="T20" t="s">
        <v>3458</v>
      </c>
    </row>
    <row r="21" spans="1:20" x14ac:dyDescent="0.2">
      <c r="A21" t="s">
        <v>2459</v>
      </c>
      <c r="B21" t="s">
        <v>3606</v>
      </c>
      <c r="C21" t="s">
        <v>17173</v>
      </c>
      <c r="D21">
        <v>124831</v>
      </c>
      <c r="E21">
        <v>2829</v>
      </c>
      <c r="F21">
        <v>209</v>
      </c>
      <c r="G21" t="s">
        <v>3436</v>
      </c>
      <c r="H21" t="s">
        <v>3603</v>
      </c>
      <c r="I21">
        <v>437</v>
      </c>
      <c r="J21" t="s">
        <v>3438</v>
      </c>
      <c r="K21" t="s">
        <v>17174</v>
      </c>
      <c r="L21" t="s">
        <v>3605</v>
      </c>
      <c r="M21" t="s">
        <v>3607</v>
      </c>
      <c r="N21">
        <v>388809</v>
      </c>
      <c r="O21" t="s">
        <v>3609</v>
      </c>
      <c r="P21" t="s">
        <v>3609</v>
      </c>
      <c r="Q21" t="s">
        <v>3610</v>
      </c>
      <c r="R21">
        <v>439750</v>
      </c>
      <c r="S21">
        <v>439750</v>
      </c>
      <c r="T21" t="s">
        <v>3469</v>
      </c>
    </row>
    <row r="22" spans="1:20" x14ac:dyDescent="0.2">
      <c r="A22" t="s">
        <v>2463</v>
      </c>
      <c r="B22" t="s">
        <v>3614</v>
      </c>
      <c r="C22" t="s">
        <v>17175</v>
      </c>
      <c r="D22">
        <v>124939</v>
      </c>
      <c r="E22">
        <v>42382</v>
      </c>
      <c r="F22">
        <v>209</v>
      </c>
      <c r="G22" t="s">
        <v>3436</v>
      </c>
      <c r="H22" t="s">
        <v>3603</v>
      </c>
      <c r="I22">
        <v>446</v>
      </c>
      <c r="J22" t="s">
        <v>3438</v>
      </c>
      <c r="L22" t="s">
        <v>3613</v>
      </c>
      <c r="M22" t="s">
        <v>3615</v>
      </c>
      <c r="N22">
        <v>16788012</v>
      </c>
      <c r="O22" t="s">
        <v>12438</v>
      </c>
      <c r="P22" t="s">
        <v>12438</v>
      </c>
      <c r="Q22" t="s">
        <v>3618</v>
      </c>
      <c r="R22">
        <v>439155</v>
      </c>
      <c r="S22">
        <v>439155</v>
      </c>
      <c r="T22" t="s">
        <v>3469</v>
      </c>
    </row>
    <row r="23" spans="1:20" x14ac:dyDescent="0.2">
      <c r="A23" t="s">
        <v>19092</v>
      </c>
      <c r="B23" t="s">
        <v>17176</v>
      </c>
      <c r="C23" t="s">
        <v>17177</v>
      </c>
      <c r="D23">
        <v>123233</v>
      </c>
      <c r="E23">
        <v>2831</v>
      </c>
      <c r="F23">
        <v>209</v>
      </c>
      <c r="G23" t="s">
        <v>3533</v>
      </c>
      <c r="H23" t="s">
        <v>3620</v>
      </c>
      <c r="I23">
        <v>4142</v>
      </c>
      <c r="J23" t="s">
        <v>3438</v>
      </c>
      <c r="K23" t="s">
        <v>17178</v>
      </c>
      <c r="L23" t="s">
        <v>17179</v>
      </c>
      <c r="M23" t="s">
        <v>17180</v>
      </c>
      <c r="N23">
        <v>268</v>
      </c>
      <c r="O23" t="s">
        <v>17181</v>
      </c>
      <c r="P23" t="s">
        <v>17181</v>
      </c>
      <c r="Q23" t="s">
        <v>17182</v>
      </c>
      <c r="R23">
        <v>6076</v>
      </c>
      <c r="S23">
        <v>6076</v>
      </c>
      <c r="T23" t="s">
        <v>3469</v>
      </c>
    </row>
    <row r="24" spans="1:20" x14ac:dyDescent="0.2">
      <c r="A24" t="s">
        <v>19093</v>
      </c>
      <c r="B24" t="s">
        <v>17183</v>
      </c>
      <c r="C24" t="s">
        <v>17184</v>
      </c>
      <c r="D24">
        <v>155484</v>
      </c>
      <c r="E24">
        <v>3108</v>
      </c>
      <c r="F24">
        <v>400</v>
      </c>
      <c r="G24" t="s">
        <v>3533</v>
      </c>
      <c r="H24" t="s">
        <v>3620</v>
      </c>
      <c r="I24">
        <v>4138</v>
      </c>
      <c r="J24" t="s">
        <v>3438</v>
      </c>
      <c r="K24" t="s">
        <v>17185</v>
      </c>
      <c r="L24" t="s">
        <v>17186</v>
      </c>
      <c r="M24" t="s">
        <v>17187</v>
      </c>
      <c r="N24">
        <v>5800</v>
      </c>
      <c r="O24" t="s">
        <v>17188</v>
      </c>
      <c r="P24" t="s">
        <v>17188</v>
      </c>
      <c r="Q24" t="s">
        <v>17189</v>
      </c>
      <c r="R24">
        <v>6022</v>
      </c>
      <c r="S24">
        <v>6022</v>
      </c>
      <c r="T24" t="s">
        <v>3458</v>
      </c>
    </row>
    <row r="25" spans="1:20" x14ac:dyDescent="0.2">
      <c r="A25" t="s">
        <v>2484</v>
      </c>
      <c r="B25" t="s">
        <v>3623</v>
      </c>
      <c r="C25" t="s">
        <v>17190</v>
      </c>
      <c r="D25">
        <v>155907</v>
      </c>
      <c r="E25">
        <v>32342</v>
      </c>
      <c r="F25">
        <v>400</v>
      </c>
      <c r="G25" t="s">
        <v>3533</v>
      </c>
      <c r="H25" t="s">
        <v>3620</v>
      </c>
      <c r="I25">
        <v>4139</v>
      </c>
      <c r="J25" t="s">
        <v>3438</v>
      </c>
      <c r="K25" t="s">
        <v>17191</v>
      </c>
      <c r="L25" t="s">
        <v>3622</v>
      </c>
      <c r="M25" t="s">
        <v>3625</v>
      </c>
      <c r="N25">
        <v>10239183</v>
      </c>
      <c r="O25" t="s">
        <v>3627</v>
      </c>
      <c r="P25" t="s">
        <v>3627</v>
      </c>
      <c r="Q25" t="s">
        <v>3628</v>
      </c>
      <c r="R25">
        <v>6083</v>
      </c>
      <c r="S25">
        <v>6083</v>
      </c>
      <c r="T25" t="s">
        <v>3458</v>
      </c>
    </row>
    <row r="26" spans="1:20" x14ac:dyDescent="0.2">
      <c r="A26" t="s">
        <v>2489</v>
      </c>
      <c r="B26" t="s">
        <v>3632</v>
      </c>
      <c r="C26" t="s">
        <v>17192</v>
      </c>
      <c r="D26">
        <v>155365</v>
      </c>
      <c r="E26">
        <v>1419</v>
      </c>
      <c r="F26">
        <v>400</v>
      </c>
      <c r="G26" t="s">
        <v>3436</v>
      </c>
      <c r="H26" t="s">
        <v>3437</v>
      </c>
      <c r="I26">
        <v>556</v>
      </c>
      <c r="J26" t="s">
        <v>3438</v>
      </c>
      <c r="K26" t="s">
        <v>17193</v>
      </c>
      <c r="L26" t="s">
        <v>3631</v>
      </c>
      <c r="M26" t="s">
        <v>3633</v>
      </c>
      <c r="N26">
        <v>388321</v>
      </c>
      <c r="O26" t="s">
        <v>3635</v>
      </c>
      <c r="P26" t="s">
        <v>3635</v>
      </c>
      <c r="Q26" t="s">
        <v>3636</v>
      </c>
      <c r="R26">
        <v>439176</v>
      </c>
      <c r="S26">
        <v>439176</v>
      </c>
      <c r="T26" t="s">
        <v>3458</v>
      </c>
    </row>
    <row r="27" spans="1:20" x14ac:dyDescent="0.2">
      <c r="A27" t="s">
        <v>2487</v>
      </c>
      <c r="B27" t="s">
        <v>3655</v>
      </c>
      <c r="C27" t="s">
        <v>17194</v>
      </c>
      <c r="D27">
        <v>125971</v>
      </c>
      <c r="E27">
        <v>1110</v>
      </c>
      <c r="F27">
        <v>209</v>
      </c>
      <c r="G27" t="s">
        <v>3459</v>
      </c>
      <c r="H27" t="s">
        <v>3560</v>
      </c>
      <c r="I27">
        <v>1573</v>
      </c>
      <c r="J27" t="s">
        <v>3438</v>
      </c>
      <c r="K27" t="s">
        <v>17195</v>
      </c>
      <c r="L27" t="s">
        <v>3654</v>
      </c>
      <c r="M27" t="s">
        <v>3656</v>
      </c>
      <c r="N27">
        <v>392692</v>
      </c>
      <c r="O27" t="s">
        <v>3658</v>
      </c>
      <c r="P27" t="s">
        <v>3658</v>
      </c>
      <c r="Q27" t="s">
        <v>3659</v>
      </c>
      <c r="R27">
        <v>444899</v>
      </c>
      <c r="S27">
        <v>444899</v>
      </c>
      <c r="T27" t="s">
        <v>3469</v>
      </c>
    </row>
    <row r="28" spans="1:20" x14ac:dyDescent="0.2">
      <c r="A28" t="s">
        <v>2511</v>
      </c>
      <c r="B28" t="s">
        <v>3664</v>
      </c>
      <c r="C28" t="s">
        <v>17196</v>
      </c>
      <c r="D28">
        <v>155435</v>
      </c>
      <c r="E28">
        <v>1638</v>
      </c>
      <c r="F28">
        <v>400</v>
      </c>
      <c r="G28" t="s">
        <v>3436</v>
      </c>
      <c r="H28" t="s">
        <v>3661</v>
      </c>
      <c r="I28">
        <v>483</v>
      </c>
      <c r="J28" t="s">
        <v>3438</v>
      </c>
      <c r="K28" t="s">
        <v>17197</v>
      </c>
      <c r="L28" t="s">
        <v>3663</v>
      </c>
      <c r="M28" t="s">
        <v>3665</v>
      </c>
      <c r="N28">
        <v>227</v>
      </c>
      <c r="O28" t="s">
        <v>3667</v>
      </c>
      <c r="P28" t="s">
        <v>3667</v>
      </c>
      <c r="Q28" t="s">
        <v>3668</v>
      </c>
      <c r="R28">
        <v>6322</v>
      </c>
      <c r="S28">
        <v>6322</v>
      </c>
      <c r="T28" t="s">
        <v>3458</v>
      </c>
    </row>
    <row r="29" spans="1:20" x14ac:dyDescent="0.2">
      <c r="A29" t="s">
        <v>2507</v>
      </c>
      <c r="B29" t="s">
        <v>3673</v>
      </c>
      <c r="C29" t="s">
        <v>17198</v>
      </c>
      <c r="D29">
        <v>155304</v>
      </c>
      <c r="E29">
        <v>443</v>
      </c>
      <c r="F29">
        <v>400</v>
      </c>
      <c r="G29" t="s">
        <v>3436</v>
      </c>
      <c r="H29" t="s">
        <v>3670</v>
      </c>
      <c r="I29">
        <v>36</v>
      </c>
      <c r="J29" t="s">
        <v>3438</v>
      </c>
      <c r="K29" t="s">
        <v>17199</v>
      </c>
      <c r="L29" t="s">
        <v>3672</v>
      </c>
      <c r="M29" t="s">
        <v>3674</v>
      </c>
      <c r="N29">
        <v>5745</v>
      </c>
      <c r="O29" t="s">
        <v>3676</v>
      </c>
      <c r="P29" t="s">
        <v>3676</v>
      </c>
      <c r="Q29" t="s">
        <v>3677</v>
      </c>
      <c r="R29">
        <v>5960</v>
      </c>
      <c r="S29">
        <v>5960</v>
      </c>
      <c r="T29" t="s">
        <v>3458</v>
      </c>
    </row>
    <row r="30" spans="1:20" x14ac:dyDescent="0.2">
      <c r="A30" t="s">
        <v>2505</v>
      </c>
      <c r="B30" t="s">
        <v>3681</v>
      </c>
      <c r="C30" t="s">
        <v>17200</v>
      </c>
      <c r="D30">
        <v>145724</v>
      </c>
      <c r="E30">
        <v>1432</v>
      </c>
      <c r="F30">
        <v>305</v>
      </c>
      <c r="G30" t="s">
        <v>3436</v>
      </c>
      <c r="H30" t="s">
        <v>3524</v>
      </c>
      <c r="I30">
        <v>156</v>
      </c>
      <c r="J30" t="s">
        <v>3438</v>
      </c>
      <c r="K30" t="s">
        <v>17201</v>
      </c>
      <c r="L30" t="s">
        <v>3680</v>
      </c>
      <c r="M30" t="s">
        <v>3682</v>
      </c>
      <c r="N30">
        <v>11476</v>
      </c>
      <c r="O30" t="s">
        <v>3684</v>
      </c>
      <c r="P30" t="s">
        <v>3684</v>
      </c>
      <c r="Q30" t="s">
        <v>3685</v>
      </c>
      <c r="R30">
        <v>11970</v>
      </c>
      <c r="S30">
        <v>11970</v>
      </c>
      <c r="T30" t="s">
        <v>3489</v>
      </c>
    </row>
    <row r="31" spans="1:20" x14ac:dyDescent="0.2">
      <c r="A31" t="s">
        <v>2509</v>
      </c>
      <c r="B31" t="s">
        <v>3690</v>
      </c>
      <c r="C31" t="s">
        <v>17202</v>
      </c>
      <c r="D31">
        <v>123321</v>
      </c>
      <c r="E31">
        <v>32197</v>
      </c>
      <c r="F31">
        <v>209</v>
      </c>
      <c r="G31" t="s">
        <v>3436</v>
      </c>
      <c r="H31" t="s">
        <v>3687</v>
      </c>
      <c r="I31">
        <v>181</v>
      </c>
      <c r="J31" t="s">
        <v>3438</v>
      </c>
      <c r="K31" t="s">
        <v>17203</v>
      </c>
      <c r="L31" t="s">
        <v>3689</v>
      </c>
      <c r="M31" t="s">
        <v>3692</v>
      </c>
      <c r="N31">
        <v>9010</v>
      </c>
      <c r="O31" t="s">
        <v>3694</v>
      </c>
      <c r="P31" t="s">
        <v>3694</v>
      </c>
      <c r="Q31" t="s">
        <v>3695</v>
      </c>
      <c r="R31">
        <v>9378</v>
      </c>
      <c r="S31">
        <v>9378</v>
      </c>
      <c r="T31" t="s">
        <v>3469</v>
      </c>
    </row>
    <row r="32" spans="1:20" x14ac:dyDescent="0.2">
      <c r="A32" t="s">
        <v>2501</v>
      </c>
      <c r="B32" t="s">
        <v>3699</v>
      </c>
      <c r="C32" t="s">
        <v>17204</v>
      </c>
      <c r="D32">
        <v>124529</v>
      </c>
      <c r="E32">
        <v>566</v>
      </c>
      <c r="F32">
        <v>209</v>
      </c>
      <c r="G32" t="s">
        <v>3436</v>
      </c>
      <c r="H32" t="s">
        <v>3524</v>
      </c>
      <c r="I32">
        <v>150</v>
      </c>
      <c r="J32" t="s">
        <v>3438</v>
      </c>
      <c r="K32" t="s">
        <v>17205</v>
      </c>
      <c r="L32" t="s">
        <v>3698</v>
      </c>
      <c r="M32" t="s">
        <v>3700</v>
      </c>
      <c r="N32">
        <v>972</v>
      </c>
      <c r="O32" t="s">
        <v>3702</v>
      </c>
      <c r="P32" t="s">
        <v>3702</v>
      </c>
      <c r="Q32" t="s">
        <v>3703</v>
      </c>
      <c r="R32">
        <v>997</v>
      </c>
      <c r="S32">
        <v>997</v>
      </c>
      <c r="T32" t="s">
        <v>3469</v>
      </c>
    </row>
    <row r="33" spans="1:20" x14ac:dyDescent="0.2">
      <c r="A33" t="s">
        <v>2493</v>
      </c>
      <c r="B33" t="s">
        <v>3708</v>
      </c>
      <c r="C33" t="s">
        <v>17206</v>
      </c>
      <c r="D33">
        <v>155295</v>
      </c>
      <c r="E33">
        <v>55</v>
      </c>
      <c r="F33">
        <v>400</v>
      </c>
      <c r="G33" t="s">
        <v>3533</v>
      </c>
      <c r="H33" t="s">
        <v>3705</v>
      </c>
      <c r="I33">
        <v>4239</v>
      </c>
      <c r="J33" t="s">
        <v>3438</v>
      </c>
      <c r="K33" t="s">
        <v>17207</v>
      </c>
      <c r="L33" t="s">
        <v>3707</v>
      </c>
      <c r="M33" t="s">
        <v>3709</v>
      </c>
      <c r="N33">
        <v>234</v>
      </c>
      <c r="O33" t="s">
        <v>3711</v>
      </c>
      <c r="P33" t="s">
        <v>3711</v>
      </c>
      <c r="Q33" t="s">
        <v>3712</v>
      </c>
      <c r="R33">
        <v>239</v>
      </c>
      <c r="S33">
        <v>239</v>
      </c>
      <c r="T33" t="s">
        <v>3458</v>
      </c>
    </row>
    <row r="34" spans="1:20" x14ac:dyDescent="0.2">
      <c r="A34" t="s">
        <v>3101</v>
      </c>
      <c r="B34" t="s">
        <v>3717</v>
      </c>
      <c r="C34" t="s">
        <v>17208</v>
      </c>
      <c r="D34">
        <v>158009</v>
      </c>
      <c r="E34">
        <v>2137</v>
      </c>
      <c r="F34">
        <v>402</v>
      </c>
      <c r="G34" t="s">
        <v>3448</v>
      </c>
      <c r="H34" t="s">
        <v>3714</v>
      </c>
      <c r="I34">
        <v>4411</v>
      </c>
      <c r="J34" t="s">
        <v>3438</v>
      </c>
      <c r="K34" t="s">
        <v>17209</v>
      </c>
      <c r="L34" t="s">
        <v>3716</v>
      </c>
      <c r="M34" t="s">
        <v>3718</v>
      </c>
      <c r="N34">
        <v>10628548</v>
      </c>
      <c r="O34" t="s">
        <v>3720</v>
      </c>
      <c r="P34" t="s">
        <v>3720</v>
      </c>
      <c r="Q34" t="s">
        <v>3721</v>
      </c>
      <c r="R34">
        <v>5280353</v>
      </c>
      <c r="S34">
        <v>5280353</v>
      </c>
      <c r="T34" t="s">
        <v>3447</v>
      </c>
    </row>
    <row r="35" spans="1:20" x14ac:dyDescent="0.2">
      <c r="A35" t="s">
        <v>2495</v>
      </c>
      <c r="B35" t="s">
        <v>3734</v>
      </c>
      <c r="C35" t="s">
        <v>17210</v>
      </c>
      <c r="D35">
        <v>147106</v>
      </c>
      <c r="E35">
        <v>1437</v>
      </c>
      <c r="F35">
        <v>305</v>
      </c>
      <c r="G35" t="s">
        <v>3479</v>
      </c>
      <c r="H35" t="s">
        <v>3480</v>
      </c>
      <c r="I35">
        <v>1448</v>
      </c>
      <c r="J35" t="s">
        <v>3438</v>
      </c>
      <c r="K35" t="s">
        <v>17211</v>
      </c>
      <c r="L35" t="s">
        <v>3733</v>
      </c>
      <c r="M35" t="s">
        <v>3735</v>
      </c>
      <c r="N35">
        <v>1078</v>
      </c>
      <c r="O35" t="s">
        <v>3737</v>
      </c>
      <c r="P35" t="s">
        <v>3737</v>
      </c>
      <c r="Q35" t="s">
        <v>3738</v>
      </c>
      <c r="R35">
        <v>1110</v>
      </c>
      <c r="S35">
        <v>1110</v>
      </c>
      <c r="T35" t="s">
        <v>3489</v>
      </c>
    </row>
    <row r="36" spans="1:20" x14ac:dyDescent="0.2">
      <c r="A36" t="s">
        <v>13756</v>
      </c>
      <c r="B36" t="s">
        <v>3743</v>
      </c>
      <c r="C36" t="s">
        <v>17212</v>
      </c>
      <c r="D36">
        <v>145710</v>
      </c>
      <c r="E36">
        <v>542</v>
      </c>
      <c r="F36">
        <v>305</v>
      </c>
      <c r="G36" t="s">
        <v>3459</v>
      </c>
      <c r="H36" t="s">
        <v>3740</v>
      </c>
      <c r="I36">
        <v>1938</v>
      </c>
      <c r="J36" t="s">
        <v>3438</v>
      </c>
      <c r="K36" t="s">
        <v>17213</v>
      </c>
      <c r="L36" t="s">
        <v>3742</v>
      </c>
      <c r="M36" t="s">
        <v>3744</v>
      </c>
      <c r="N36">
        <v>428</v>
      </c>
      <c r="O36" t="s">
        <v>3746</v>
      </c>
      <c r="P36" t="s">
        <v>17214</v>
      </c>
      <c r="Q36" t="s">
        <v>3747</v>
      </c>
      <c r="R36" s="5">
        <v>9431844192135</v>
      </c>
      <c r="S36" t="s">
        <v>17215</v>
      </c>
      <c r="T36" t="s">
        <v>3489</v>
      </c>
    </row>
    <row r="37" spans="1:20" x14ac:dyDescent="0.2">
      <c r="A37" t="s">
        <v>2503</v>
      </c>
      <c r="B37" t="s">
        <v>3752</v>
      </c>
      <c r="C37" t="s">
        <v>17216</v>
      </c>
      <c r="D37">
        <v>164177</v>
      </c>
      <c r="E37">
        <v>63</v>
      </c>
      <c r="F37">
        <v>402</v>
      </c>
      <c r="G37" t="s">
        <v>3459</v>
      </c>
      <c r="H37" t="s">
        <v>3749</v>
      </c>
      <c r="I37">
        <v>3192</v>
      </c>
      <c r="J37" t="s">
        <v>3438</v>
      </c>
      <c r="K37" t="s">
        <v>17217</v>
      </c>
      <c r="L37" t="s">
        <v>3751</v>
      </c>
      <c r="M37" t="s">
        <v>3753</v>
      </c>
      <c r="N37">
        <v>4937803</v>
      </c>
      <c r="O37" t="s">
        <v>3755</v>
      </c>
      <c r="P37" t="s">
        <v>3755</v>
      </c>
      <c r="Q37" t="s">
        <v>3756</v>
      </c>
      <c r="R37" s="5">
        <v>5.9976432564110203E+18</v>
      </c>
      <c r="S37">
        <v>5597</v>
      </c>
      <c r="T37" t="s">
        <v>3447</v>
      </c>
    </row>
    <row r="38" spans="1:20" x14ac:dyDescent="0.2">
      <c r="A38" t="s">
        <v>2497</v>
      </c>
      <c r="B38" t="s">
        <v>3761</v>
      </c>
      <c r="C38" t="s">
        <v>17218</v>
      </c>
      <c r="D38">
        <v>156099</v>
      </c>
      <c r="E38">
        <v>34396</v>
      </c>
      <c r="F38">
        <v>400</v>
      </c>
      <c r="G38" t="s">
        <v>3459</v>
      </c>
      <c r="H38" t="s">
        <v>3758</v>
      </c>
      <c r="I38">
        <v>2233</v>
      </c>
      <c r="J38" t="s">
        <v>3438</v>
      </c>
      <c r="K38" t="s">
        <v>17219</v>
      </c>
      <c r="L38" t="s">
        <v>3760</v>
      </c>
      <c r="M38" t="s">
        <v>3763</v>
      </c>
      <c r="N38">
        <v>119298</v>
      </c>
      <c r="O38" t="s">
        <v>3765</v>
      </c>
      <c r="P38" t="s">
        <v>3765</v>
      </c>
      <c r="Q38" t="s">
        <v>3766</v>
      </c>
      <c r="R38">
        <v>1014</v>
      </c>
      <c r="S38">
        <v>1014</v>
      </c>
      <c r="T38" t="s">
        <v>3458</v>
      </c>
    </row>
    <row r="39" spans="1:20" x14ac:dyDescent="0.2">
      <c r="A39" t="s">
        <v>2491</v>
      </c>
      <c r="B39" t="s">
        <v>3779</v>
      </c>
      <c r="C39" t="s">
        <v>17220</v>
      </c>
      <c r="D39">
        <v>124819</v>
      </c>
      <c r="E39">
        <v>1769</v>
      </c>
      <c r="F39">
        <v>209</v>
      </c>
      <c r="G39" t="s">
        <v>3459</v>
      </c>
      <c r="H39" t="s">
        <v>3768</v>
      </c>
      <c r="I39">
        <v>3315</v>
      </c>
      <c r="J39" t="s">
        <v>3438</v>
      </c>
      <c r="K39" t="s">
        <v>17221</v>
      </c>
      <c r="L39" t="s">
        <v>3778</v>
      </c>
      <c r="M39" s="6">
        <v>19515</v>
      </c>
      <c r="N39">
        <v>361685</v>
      </c>
      <c r="O39" t="s">
        <v>3782</v>
      </c>
      <c r="P39" t="s">
        <v>3782</v>
      </c>
      <c r="Q39" t="s">
        <v>3783</v>
      </c>
      <c r="R39">
        <v>222786</v>
      </c>
      <c r="S39">
        <v>222786</v>
      </c>
      <c r="T39" t="s">
        <v>3469</v>
      </c>
    </row>
    <row r="40" spans="1:20" x14ac:dyDescent="0.2">
      <c r="A40" t="s">
        <v>13758</v>
      </c>
      <c r="B40" t="s">
        <v>417</v>
      </c>
      <c r="C40" t="s">
        <v>17222</v>
      </c>
      <c r="D40">
        <v>155307</v>
      </c>
      <c r="E40">
        <v>513</v>
      </c>
      <c r="F40">
        <v>400</v>
      </c>
      <c r="G40" t="s">
        <v>3436</v>
      </c>
      <c r="H40" t="s">
        <v>3785</v>
      </c>
      <c r="I40">
        <v>529</v>
      </c>
      <c r="J40" t="s">
        <v>3438</v>
      </c>
      <c r="K40" t="s">
        <v>17223</v>
      </c>
      <c r="L40" t="s">
        <v>3787</v>
      </c>
      <c r="M40" t="s">
        <v>3788</v>
      </c>
      <c r="N40">
        <v>568</v>
      </c>
      <c r="O40" t="s">
        <v>3790</v>
      </c>
      <c r="P40" t="s">
        <v>3790</v>
      </c>
      <c r="Q40" t="s">
        <v>3791</v>
      </c>
      <c r="R40">
        <v>588</v>
      </c>
      <c r="S40">
        <v>588</v>
      </c>
      <c r="T40" t="s">
        <v>3458</v>
      </c>
    </row>
    <row r="41" spans="1:20" x14ac:dyDescent="0.2">
      <c r="A41" t="s">
        <v>2499</v>
      </c>
      <c r="B41" t="s">
        <v>3796</v>
      </c>
      <c r="C41" t="s">
        <v>17224</v>
      </c>
      <c r="D41">
        <v>156206</v>
      </c>
      <c r="E41">
        <v>35637</v>
      </c>
      <c r="F41">
        <v>400</v>
      </c>
      <c r="G41" t="s">
        <v>3436</v>
      </c>
      <c r="H41" t="s">
        <v>3793</v>
      </c>
      <c r="I41">
        <v>576</v>
      </c>
      <c r="J41" t="s">
        <v>3438</v>
      </c>
      <c r="K41" t="s">
        <v>17225</v>
      </c>
      <c r="L41" t="s">
        <v>3795</v>
      </c>
      <c r="M41" t="s">
        <v>3797</v>
      </c>
      <c r="N41">
        <v>58762</v>
      </c>
      <c r="O41" t="s">
        <v>3799</v>
      </c>
      <c r="P41" t="s">
        <v>3799</v>
      </c>
      <c r="Q41" t="s">
        <v>3800</v>
      </c>
      <c r="R41">
        <v>439498</v>
      </c>
      <c r="S41">
        <v>439498</v>
      </c>
      <c r="T41" t="s">
        <v>3458</v>
      </c>
    </row>
    <row r="42" spans="1:20" x14ac:dyDescent="0.2">
      <c r="A42" t="s">
        <v>2528</v>
      </c>
      <c r="B42" t="s">
        <v>3804</v>
      </c>
      <c r="C42" t="s">
        <v>17226</v>
      </c>
      <c r="D42">
        <v>155296</v>
      </c>
      <c r="E42">
        <v>56</v>
      </c>
      <c r="F42">
        <v>400</v>
      </c>
      <c r="G42" t="s">
        <v>3436</v>
      </c>
      <c r="H42" t="s">
        <v>3603</v>
      </c>
      <c r="I42">
        <v>462</v>
      </c>
      <c r="J42" t="s">
        <v>3438</v>
      </c>
      <c r="K42" t="s">
        <v>17227</v>
      </c>
      <c r="L42" t="s">
        <v>3803</v>
      </c>
      <c r="M42" t="s">
        <v>3805</v>
      </c>
      <c r="N42">
        <v>575</v>
      </c>
      <c r="O42" t="s">
        <v>3807</v>
      </c>
      <c r="P42" t="s">
        <v>3807</v>
      </c>
      <c r="Q42" t="s">
        <v>3808</v>
      </c>
      <c r="R42">
        <v>67678</v>
      </c>
      <c r="S42">
        <v>67678</v>
      </c>
      <c r="T42" t="s">
        <v>3458</v>
      </c>
    </row>
    <row r="43" spans="1:20" x14ac:dyDescent="0.2">
      <c r="A43" t="s">
        <v>2534</v>
      </c>
      <c r="B43" t="s">
        <v>3813</v>
      </c>
      <c r="C43" t="s">
        <v>17228</v>
      </c>
      <c r="D43">
        <v>158164</v>
      </c>
      <c r="E43">
        <v>17747</v>
      </c>
      <c r="F43">
        <v>402</v>
      </c>
      <c r="G43" t="s">
        <v>3459</v>
      </c>
      <c r="H43" t="s">
        <v>3810</v>
      </c>
      <c r="I43">
        <v>3159</v>
      </c>
      <c r="J43" t="s">
        <v>3438</v>
      </c>
      <c r="K43" t="s">
        <v>17229</v>
      </c>
      <c r="L43" t="s">
        <v>3812</v>
      </c>
      <c r="M43" t="s">
        <v>3814</v>
      </c>
      <c r="N43">
        <v>4510275</v>
      </c>
      <c r="O43" t="s">
        <v>3816</v>
      </c>
      <c r="P43" t="s">
        <v>3816</v>
      </c>
      <c r="Q43" t="s">
        <v>3817</v>
      </c>
      <c r="R43">
        <v>5280335</v>
      </c>
      <c r="S43">
        <v>5280335</v>
      </c>
      <c r="T43" t="s">
        <v>3447</v>
      </c>
    </row>
    <row r="44" spans="1:20" x14ac:dyDescent="0.2">
      <c r="A44" t="s">
        <v>2536</v>
      </c>
      <c r="B44" t="s">
        <v>3822</v>
      </c>
      <c r="C44" t="s">
        <v>17230</v>
      </c>
      <c r="D44">
        <v>125714</v>
      </c>
      <c r="E44">
        <v>1114</v>
      </c>
      <c r="F44">
        <v>209</v>
      </c>
      <c r="G44" t="s">
        <v>3459</v>
      </c>
      <c r="H44" t="s">
        <v>3819</v>
      </c>
      <c r="I44">
        <v>3479</v>
      </c>
      <c r="J44" t="s">
        <v>3438</v>
      </c>
      <c r="K44" t="s">
        <v>17231</v>
      </c>
      <c r="L44" t="s">
        <v>3821</v>
      </c>
      <c r="M44" t="s">
        <v>3823</v>
      </c>
      <c r="N44">
        <v>389318</v>
      </c>
      <c r="O44" t="s">
        <v>3825</v>
      </c>
      <c r="P44" t="s">
        <v>3825</v>
      </c>
      <c r="Q44" t="s">
        <v>3826</v>
      </c>
      <c r="R44" s="5">
        <v>222528440355</v>
      </c>
      <c r="S44">
        <v>222528</v>
      </c>
      <c r="T44" t="s">
        <v>3469</v>
      </c>
    </row>
    <row r="45" spans="1:20" x14ac:dyDescent="0.2">
      <c r="A45" t="s">
        <v>2530</v>
      </c>
      <c r="B45" t="s">
        <v>3830</v>
      </c>
      <c r="C45" t="s">
        <v>17232</v>
      </c>
      <c r="D45">
        <v>155581</v>
      </c>
      <c r="E45">
        <v>15705</v>
      </c>
      <c r="F45">
        <v>400</v>
      </c>
      <c r="G45" t="s">
        <v>3436</v>
      </c>
      <c r="H45" t="s">
        <v>3603</v>
      </c>
      <c r="I45">
        <v>453</v>
      </c>
      <c r="J45" t="s">
        <v>3438</v>
      </c>
      <c r="K45" t="s">
        <v>17233</v>
      </c>
      <c r="L45" t="s">
        <v>3829</v>
      </c>
      <c r="M45" t="s">
        <v>3831</v>
      </c>
      <c r="N45">
        <v>811</v>
      </c>
      <c r="O45" t="s">
        <v>3833</v>
      </c>
      <c r="P45" t="s">
        <v>3833</v>
      </c>
      <c r="Q45" t="s">
        <v>3834</v>
      </c>
      <c r="R45">
        <v>439258</v>
      </c>
      <c r="S45">
        <v>439258</v>
      </c>
      <c r="T45" t="s">
        <v>3458</v>
      </c>
    </row>
    <row r="46" spans="1:20" x14ac:dyDescent="0.2">
      <c r="A46" t="s">
        <v>2515</v>
      </c>
      <c r="B46" t="s">
        <v>3839</v>
      </c>
      <c r="C46" t="s">
        <v>17234</v>
      </c>
      <c r="D46">
        <v>158166</v>
      </c>
      <c r="E46">
        <v>17769</v>
      </c>
      <c r="F46">
        <v>402</v>
      </c>
      <c r="G46" t="s">
        <v>3459</v>
      </c>
      <c r="H46" t="s">
        <v>3836</v>
      </c>
      <c r="I46">
        <v>3000</v>
      </c>
      <c r="J46" t="s">
        <v>3438</v>
      </c>
      <c r="K46" t="s">
        <v>17235</v>
      </c>
      <c r="L46" t="s">
        <v>3838</v>
      </c>
      <c r="M46" t="s">
        <v>3840</v>
      </c>
      <c r="N46">
        <v>3014</v>
      </c>
      <c r="O46" t="s">
        <v>3842</v>
      </c>
      <c r="P46" t="s">
        <v>3842</v>
      </c>
      <c r="Q46" t="s">
        <v>3843</v>
      </c>
      <c r="R46">
        <v>3126</v>
      </c>
      <c r="S46">
        <v>3126</v>
      </c>
      <c r="T46" t="s">
        <v>3447</v>
      </c>
    </row>
    <row r="47" spans="1:20" x14ac:dyDescent="0.2">
      <c r="A47" t="s">
        <v>19094</v>
      </c>
      <c r="B47" t="s">
        <v>17236</v>
      </c>
      <c r="C47" t="s">
        <v>17237</v>
      </c>
      <c r="D47">
        <v>124607</v>
      </c>
      <c r="E47">
        <v>2134</v>
      </c>
      <c r="F47">
        <v>209</v>
      </c>
      <c r="G47" t="s">
        <v>3448</v>
      </c>
      <c r="H47" t="s">
        <v>4133</v>
      </c>
      <c r="I47">
        <v>4333</v>
      </c>
      <c r="J47" t="s">
        <v>3438</v>
      </c>
      <c r="K47" t="s">
        <v>17238</v>
      </c>
      <c r="L47" t="s">
        <v>17239</v>
      </c>
      <c r="M47" t="s">
        <v>17240</v>
      </c>
      <c r="N47">
        <v>559059</v>
      </c>
      <c r="O47" t="s">
        <v>17241</v>
      </c>
      <c r="P47" t="s">
        <v>17241</v>
      </c>
      <c r="Q47" t="s">
        <v>17242</v>
      </c>
      <c r="R47">
        <v>643975</v>
      </c>
      <c r="S47">
        <v>643975</v>
      </c>
      <c r="T47" t="s">
        <v>3469</v>
      </c>
    </row>
    <row r="48" spans="1:20" x14ac:dyDescent="0.2">
      <c r="A48" t="s">
        <v>2517</v>
      </c>
      <c r="B48" t="s">
        <v>3857</v>
      </c>
      <c r="C48" t="s">
        <v>17243</v>
      </c>
      <c r="D48">
        <v>156248</v>
      </c>
      <c r="E48">
        <v>36738</v>
      </c>
      <c r="F48">
        <v>400</v>
      </c>
      <c r="G48" t="s">
        <v>3853</v>
      </c>
      <c r="H48" t="s">
        <v>3854</v>
      </c>
      <c r="I48">
        <v>634</v>
      </c>
      <c r="J48" t="s">
        <v>3438</v>
      </c>
      <c r="K48" t="s">
        <v>17244</v>
      </c>
      <c r="L48" t="s">
        <v>3856</v>
      </c>
      <c r="M48" t="s">
        <v>3858</v>
      </c>
      <c r="N48">
        <v>83831</v>
      </c>
      <c r="O48" t="s">
        <v>3860</v>
      </c>
      <c r="P48" t="s">
        <v>3860</v>
      </c>
      <c r="Q48" t="s">
        <v>3861</v>
      </c>
      <c r="R48">
        <v>92865</v>
      </c>
      <c r="S48">
        <v>92865</v>
      </c>
      <c r="T48" t="s">
        <v>3458</v>
      </c>
    </row>
    <row r="49" spans="1:20" x14ac:dyDescent="0.2">
      <c r="A49" t="s">
        <v>2513</v>
      </c>
      <c r="B49" t="s">
        <v>3867</v>
      </c>
      <c r="C49" t="s">
        <v>17245</v>
      </c>
      <c r="D49">
        <v>147098</v>
      </c>
      <c r="E49">
        <v>587</v>
      </c>
      <c r="F49">
        <v>305</v>
      </c>
      <c r="G49" t="s">
        <v>3863</v>
      </c>
      <c r="H49" t="s">
        <v>3864</v>
      </c>
      <c r="I49">
        <v>4805</v>
      </c>
      <c r="J49" t="s">
        <v>3438</v>
      </c>
      <c r="K49" t="s">
        <v>17246</v>
      </c>
      <c r="L49" t="s">
        <v>3866</v>
      </c>
      <c r="M49" t="s">
        <v>3868</v>
      </c>
      <c r="N49">
        <v>10240</v>
      </c>
      <c r="O49" t="s">
        <v>3870</v>
      </c>
      <c r="P49" t="s">
        <v>3870</v>
      </c>
      <c r="Q49" t="s">
        <v>3871</v>
      </c>
      <c r="R49" s="5">
        <v>106903085666</v>
      </c>
      <c r="S49" t="s">
        <v>17247</v>
      </c>
      <c r="T49" t="s">
        <v>3489</v>
      </c>
    </row>
    <row r="50" spans="1:20" x14ac:dyDescent="0.2">
      <c r="A50" t="s">
        <v>2524</v>
      </c>
      <c r="B50" t="s">
        <v>3876</v>
      </c>
      <c r="C50" t="s">
        <v>17248</v>
      </c>
      <c r="D50">
        <v>146390</v>
      </c>
      <c r="E50">
        <v>396</v>
      </c>
      <c r="F50">
        <v>305</v>
      </c>
      <c r="G50" t="s">
        <v>3459</v>
      </c>
      <c r="H50" t="s">
        <v>3873</v>
      </c>
      <c r="I50">
        <v>1659</v>
      </c>
      <c r="J50" t="s">
        <v>3438</v>
      </c>
      <c r="K50" t="s">
        <v>17249</v>
      </c>
      <c r="L50" t="s">
        <v>3875</v>
      </c>
      <c r="M50" t="s">
        <v>3877</v>
      </c>
      <c r="N50">
        <v>3618533</v>
      </c>
      <c r="O50" t="s">
        <v>3879</v>
      </c>
      <c r="P50" t="s">
        <v>3879</v>
      </c>
      <c r="Q50" t="s">
        <v>3880</v>
      </c>
      <c r="R50" s="5">
        <v>7434418048</v>
      </c>
      <c r="S50" t="s">
        <v>17250</v>
      </c>
      <c r="T50" t="s">
        <v>3489</v>
      </c>
    </row>
    <row r="51" spans="1:20" x14ac:dyDescent="0.2">
      <c r="A51" t="s">
        <v>13760</v>
      </c>
      <c r="B51" t="s">
        <v>571</v>
      </c>
      <c r="C51" t="s">
        <v>17251</v>
      </c>
      <c r="D51">
        <v>160611</v>
      </c>
      <c r="E51">
        <v>58</v>
      </c>
      <c r="F51">
        <v>400</v>
      </c>
      <c r="G51" t="s">
        <v>3436</v>
      </c>
      <c r="H51" t="s">
        <v>3882</v>
      </c>
      <c r="I51">
        <v>1</v>
      </c>
      <c r="J51" t="s">
        <v>3438</v>
      </c>
      <c r="K51" t="s">
        <v>17252</v>
      </c>
      <c r="L51" t="s">
        <v>3884</v>
      </c>
      <c r="M51" t="s">
        <v>3885</v>
      </c>
      <c r="N51">
        <v>730</v>
      </c>
      <c r="O51" t="s">
        <v>3887</v>
      </c>
      <c r="P51" t="s">
        <v>3887</v>
      </c>
      <c r="Q51" t="s">
        <v>3888</v>
      </c>
      <c r="R51">
        <v>750</v>
      </c>
      <c r="S51">
        <v>750</v>
      </c>
      <c r="T51" t="s">
        <v>3458</v>
      </c>
    </row>
    <row r="52" spans="1:20" x14ac:dyDescent="0.2">
      <c r="A52" t="s">
        <v>2538</v>
      </c>
      <c r="B52" t="s">
        <v>3892</v>
      </c>
      <c r="C52" t="s">
        <v>17253</v>
      </c>
      <c r="D52">
        <v>126842</v>
      </c>
      <c r="E52">
        <v>18476</v>
      </c>
      <c r="F52">
        <v>209</v>
      </c>
      <c r="G52" t="s">
        <v>3459</v>
      </c>
      <c r="H52" t="s">
        <v>3516</v>
      </c>
      <c r="I52">
        <v>3454</v>
      </c>
      <c r="J52" t="s">
        <v>3438</v>
      </c>
      <c r="K52" t="s">
        <v>17254</v>
      </c>
      <c r="L52" t="s">
        <v>3891</v>
      </c>
      <c r="M52" t="s">
        <v>3893</v>
      </c>
      <c r="N52">
        <v>9734</v>
      </c>
      <c r="O52" t="s">
        <v>3895</v>
      </c>
      <c r="P52" t="s">
        <v>3895</v>
      </c>
      <c r="Q52" t="s">
        <v>3896</v>
      </c>
      <c r="R52">
        <v>10140</v>
      </c>
      <c r="S52">
        <v>10140</v>
      </c>
      <c r="T52" t="s">
        <v>3469</v>
      </c>
    </row>
    <row r="53" spans="1:20" x14ac:dyDescent="0.2">
      <c r="A53" t="s">
        <v>2532</v>
      </c>
      <c r="B53" t="s">
        <v>3900</v>
      </c>
      <c r="C53" t="s">
        <v>17255</v>
      </c>
      <c r="D53">
        <v>147630</v>
      </c>
      <c r="E53">
        <v>43802</v>
      </c>
      <c r="F53">
        <v>305</v>
      </c>
      <c r="G53" t="s">
        <v>3436</v>
      </c>
      <c r="H53" t="s">
        <v>3785</v>
      </c>
      <c r="I53">
        <v>527</v>
      </c>
      <c r="J53" t="s">
        <v>3438</v>
      </c>
      <c r="K53" t="s">
        <v>17256</v>
      </c>
      <c r="L53" t="s">
        <v>3899</v>
      </c>
      <c r="M53" t="s">
        <v>3901</v>
      </c>
      <c r="N53">
        <v>743</v>
      </c>
      <c r="O53" t="s">
        <v>3903</v>
      </c>
      <c r="P53" t="s">
        <v>3903</v>
      </c>
      <c r="Q53" t="s">
        <v>3904</v>
      </c>
      <c r="R53">
        <v>763</v>
      </c>
      <c r="S53">
        <v>763</v>
      </c>
      <c r="T53" t="s">
        <v>3489</v>
      </c>
    </row>
    <row r="54" spans="1:20" x14ac:dyDescent="0.2">
      <c r="A54" t="s">
        <v>13761</v>
      </c>
      <c r="B54" t="s">
        <v>585</v>
      </c>
      <c r="C54" t="s">
        <v>17257</v>
      </c>
      <c r="D54">
        <v>123153</v>
      </c>
      <c r="E54">
        <v>59</v>
      </c>
      <c r="F54">
        <v>209</v>
      </c>
      <c r="G54" t="s">
        <v>3436</v>
      </c>
      <c r="H54" t="s">
        <v>3906</v>
      </c>
      <c r="I54">
        <v>70</v>
      </c>
      <c r="J54" t="s">
        <v>3438</v>
      </c>
      <c r="K54" t="s">
        <v>17258</v>
      </c>
      <c r="L54" t="s">
        <v>3908</v>
      </c>
      <c r="M54" t="s">
        <v>3909</v>
      </c>
      <c r="N54">
        <v>752</v>
      </c>
      <c r="O54" t="s">
        <v>3911</v>
      </c>
      <c r="P54" t="s">
        <v>3911</v>
      </c>
      <c r="Q54" t="s">
        <v>3912</v>
      </c>
      <c r="R54">
        <v>6274</v>
      </c>
      <c r="S54">
        <v>6274</v>
      </c>
      <c r="T54" t="s">
        <v>3469</v>
      </c>
    </row>
    <row r="55" spans="1:20" x14ac:dyDescent="0.2">
      <c r="A55" t="s">
        <v>2520</v>
      </c>
      <c r="B55" t="s">
        <v>3916</v>
      </c>
      <c r="C55" t="s">
        <v>17259</v>
      </c>
      <c r="D55">
        <v>124815</v>
      </c>
      <c r="E55">
        <v>1712</v>
      </c>
      <c r="F55">
        <v>209</v>
      </c>
      <c r="G55" t="s">
        <v>3459</v>
      </c>
      <c r="H55" t="s">
        <v>3768</v>
      </c>
      <c r="I55">
        <v>3305</v>
      </c>
      <c r="J55" t="s">
        <v>3438</v>
      </c>
      <c r="K55" t="s">
        <v>17260</v>
      </c>
      <c r="L55" t="s">
        <v>3915</v>
      </c>
      <c r="M55" t="s">
        <v>3917</v>
      </c>
      <c r="O55" t="s">
        <v>3918</v>
      </c>
      <c r="P55" t="s">
        <v>3918</v>
      </c>
      <c r="Q55" t="s">
        <v>3919</v>
      </c>
      <c r="R55">
        <v>5754</v>
      </c>
      <c r="S55">
        <v>5754</v>
      </c>
      <c r="T55" t="s">
        <v>3469</v>
      </c>
    </row>
    <row r="56" spans="1:20" x14ac:dyDescent="0.2">
      <c r="A56" t="s">
        <v>2522</v>
      </c>
      <c r="B56" t="s">
        <v>3923</v>
      </c>
      <c r="C56" t="s">
        <v>17261</v>
      </c>
      <c r="D56">
        <v>146416</v>
      </c>
      <c r="E56">
        <v>590</v>
      </c>
      <c r="F56">
        <v>305</v>
      </c>
      <c r="G56" t="s">
        <v>3436</v>
      </c>
      <c r="H56" t="s">
        <v>3603</v>
      </c>
      <c r="I56">
        <v>470</v>
      </c>
      <c r="J56" t="s">
        <v>3438</v>
      </c>
      <c r="K56" t="s">
        <v>17262</v>
      </c>
      <c r="L56" t="s">
        <v>3922</v>
      </c>
      <c r="M56" t="s">
        <v>3924</v>
      </c>
      <c r="N56">
        <v>96959</v>
      </c>
      <c r="O56" t="s">
        <v>3926</v>
      </c>
      <c r="P56" t="s">
        <v>3926</v>
      </c>
      <c r="Q56" t="s">
        <v>3927</v>
      </c>
      <c r="R56">
        <v>107812</v>
      </c>
      <c r="S56">
        <v>107812</v>
      </c>
      <c r="T56" t="s">
        <v>3489</v>
      </c>
    </row>
    <row r="57" spans="1:20" x14ac:dyDescent="0.2">
      <c r="A57" t="s">
        <v>2550</v>
      </c>
      <c r="B57" t="s">
        <v>3931</v>
      </c>
      <c r="C57" t="s">
        <v>17263</v>
      </c>
      <c r="D57">
        <v>123191</v>
      </c>
      <c r="E57">
        <v>1123</v>
      </c>
      <c r="F57">
        <v>209</v>
      </c>
      <c r="G57" t="s">
        <v>3533</v>
      </c>
      <c r="H57" t="s">
        <v>3543</v>
      </c>
      <c r="I57">
        <v>4119</v>
      </c>
      <c r="J57" t="s">
        <v>3438</v>
      </c>
      <c r="K57" t="s">
        <v>17264</v>
      </c>
      <c r="L57" t="s">
        <v>3930</v>
      </c>
      <c r="M57" t="s">
        <v>3932</v>
      </c>
      <c r="N57">
        <v>21241953</v>
      </c>
      <c r="O57" t="s">
        <v>3934</v>
      </c>
      <c r="P57" t="s">
        <v>3934</v>
      </c>
      <c r="Q57" t="s">
        <v>3935</v>
      </c>
      <c r="R57">
        <v>6021</v>
      </c>
      <c r="S57">
        <v>6021</v>
      </c>
      <c r="T57" t="s">
        <v>3469</v>
      </c>
    </row>
    <row r="58" spans="1:20" x14ac:dyDescent="0.2">
      <c r="A58" t="s">
        <v>19095</v>
      </c>
      <c r="B58" t="s">
        <v>17265</v>
      </c>
      <c r="C58" t="s">
        <v>17266</v>
      </c>
      <c r="D58">
        <v>155461</v>
      </c>
      <c r="E58">
        <v>2133</v>
      </c>
      <c r="F58">
        <v>400</v>
      </c>
      <c r="G58" t="s">
        <v>3533</v>
      </c>
      <c r="H58" t="s">
        <v>3543</v>
      </c>
      <c r="I58">
        <v>4118</v>
      </c>
      <c r="J58" t="s">
        <v>3438</v>
      </c>
      <c r="K58" t="s">
        <v>17267</v>
      </c>
      <c r="L58" t="s">
        <v>17268</v>
      </c>
      <c r="M58" t="s">
        <v>17269</v>
      </c>
      <c r="N58">
        <v>5482599</v>
      </c>
      <c r="O58" t="s">
        <v>17270</v>
      </c>
      <c r="P58" t="s">
        <v>17270</v>
      </c>
      <c r="Q58" t="s">
        <v>17271</v>
      </c>
      <c r="R58">
        <v>8582</v>
      </c>
      <c r="S58">
        <v>8582</v>
      </c>
      <c r="T58" t="s">
        <v>3458</v>
      </c>
    </row>
    <row r="59" spans="1:20" x14ac:dyDescent="0.2">
      <c r="A59" t="s">
        <v>2559</v>
      </c>
      <c r="B59" t="s">
        <v>3940</v>
      </c>
      <c r="C59" t="s">
        <v>17272</v>
      </c>
      <c r="D59">
        <v>145716</v>
      </c>
      <c r="E59">
        <v>1124</v>
      </c>
      <c r="F59">
        <v>305</v>
      </c>
      <c r="G59" t="s">
        <v>3459</v>
      </c>
      <c r="H59" t="s">
        <v>3937</v>
      </c>
      <c r="I59">
        <v>2201</v>
      </c>
      <c r="J59" t="s">
        <v>3438</v>
      </c>
      <c r="K59" t="s">
        <v>17273</v>
      </c>
      <c r="L59" t="s">
        <v>3939</v>
      </c>
      <c r="M59" t="s">
        <v>3941</v>
      </c>
      <c r="N59">
        <v>10239179</v>
      </c>
      <c r="O59" t="s">
        <v>3943</v>
      </c>
      <c r="P59" t="s">
        <v>3943</v>
      </c>
      <c r="Q59" t="s">
        <v>3944</v>
      </c>
      <c r="R59">
        <v>892</v>
      </c>
      <c r="S59">
        <v>892</v>
      </c>
      <c r="T59" t="s">
        <v>3489</v>
      </c>
    </row>
    <row r="60" spans="1:20" x14ac:dyDescent="0.2">
      <c r="A60" t="s">
        <v>13762</v>
      </c>
      <c r="B60" t="s">
        <v>589</v>
      </c>
      <c r="C60" t="s">
        <v>17274</v>
      </c>
      <c r="D60">
        <v>155350</v>
      </c>
      <c r="E60">
        <v>1125</v>
      </c>
      <c r="F60">
        <v>400</v>
      </c>
      <c r="G60" t="s">
        <v>3436</v>
      </c>
      <c r="H60" t="s">
        <v>3498</v>
      </c>
      <c r="I60">
        <v>385</v>
      </c>
      <c r="J60" t="s">
        <v>3438</v>
      </c>
      <c r="K60" t="s">
        <v>17275</v>
      </c>
      <c r="L60" t="s">
        <v>3947</v>
      </c>
      <c r="M60" t="s">
        <v>3948</v>
      </c>
      <c r="N60">
        <v>769</v>
      </c>
      <c r="O60" t="s">
        <v>3950</v>
      </c>
      <c r="P60" t="s">
        <v>3950</v>
      </c>
      <c r="Q60" t="s">
        <v>3951</v>
      </c>
      <c r="R60">
        <v>6306</v>
      </c>
      <c r="S60">
        <v>6306</v>
      </c>
      <c r="T60" t="s">
        <v>3458</v>
      </c>
    </row>
    <row r="61" spans="1:20" x14ac:dyDescent="0.2">
      <c r="A61" t="s">
        <v>2563</v>
      </c>
      <c r="B61" t="s">
        <v>3971</v>
      </c>
      <c r="C61" t="s">
        <v>17276</v>
      </c>
      <c r="D61">
        <v>155460</v>
      </c>
      <c r="E61">
        <v>2132</v>
      </c>
      <c r="F61">
        <v>400</v>
      </c>
      <c r="G61" t="s">
        <v>3436</v>
      </c>
      <c r="H61" t="s">
        <v>3661</v>
      </c>
      <c r="I61">
        <v>492</v>
      </c>
      <c r="J61" t="s">
        <v>3438</v>
      </c>
      <c r="K61" t="s">
        <v>17277</v>
      </c>
      <c r="L61" t="s">
        <v>3970</v>
      </c>
      <c r="M61" t="s">
        <v>3972</v>
      </c>
      <c r="N61">
        <v>810</v>
      </c>
      <c r="O61" t="s">
        <v>3974</v>
      </c>
      <c r="P61" t="s">
        <v>3974</v>
      </c>
      <c r="Q61" t="s">
        <v>3975</v>
      </c>
      <c r="R61">
        <v>9750</v>
      </c>
      <c r="S61">
        <v>9750</v>
      </c>
      <c r="T61" t="s">
        <v>3458</v>
      </c>
    </row>
    <row r="62" spans="1:20" x14ac:dyDescent="0.2">
      <c r="A62" t="s">
        <v>13766</v>
      </c>
      <c r="B62" t="s">
        <v>602</v>
      </c>
      <c r="C62" t="s">
        <v>17278</v>
      </c>
      <c r="D62">
        <v>155300</v>
      </c>
      <c r="E62">
        <v>60</v>
      </c>
      <c r="F62">
        <v>400</v>
      </c>
      <c r="G62" t="s">
        <v>3436</v>
      </c>
      <c r="H62" t="s">
        <v>3498</v>
      </c>
      <c r="I62">
        <v>332</v>
      </c>
      <c r="J62" t="s">
        <v>3438</v>
      </c>
      <c r="L62" t="s">
        <v>3988</v>
      </c>
      <c r="M62" t="s">
        <v>3989</v>
      </c>
      <c r="O62" t="s">
        <v>3990</v>
      </c>
      <c r="P62" t="s">
        <v>3990</v>
      </c>
      <c r="Q62" t="s">
        <v>3991</v>
      </c>
      <c r="R62">
        <v>6106</v>
      </c>
      <c r="S62">
        <v>6106</v>
      </c>
      <c r="T62" t="s">
        <v>3458</v>
      </c>
    </row>
    <row r="63" spans="1:20" x14ac:dyDescent="0.2">
      <c r="A63" t="s">
        <v>2561</v>
      </c>
      <c r="B63" t="s">
        <v>3995</v>
      </c>
      <c r="C63" t="s">
        <v>17279</v>
      </c>
      <c r="D63">
        <v>155354</v>
      </c>
      <c r="E63">
        <v>1301</v>
      </c>
      <c r="F63">
        <v>400</v>
      </c>
      <c r="G63" t="s">
        <v>3436</v>
      </c>
      <c r="H63" t="s">
        <v>3586</v>
      </c>
      <c r="I63">
        <v>105</v>
      </c>
      <c r="J63" t="s">
        <v>3438</v>
      </c>
      <c r="K63" t="s">
        <v>17280</v>
      </c>
      <c r="L63" t="s">
        <v>3994</v>
      </c>
      <c r="M63" t="s">
        <v>3996</v>
      </c>
      <c r="N63">
        <v>5747</v>
      </c>
      <c r="O63" t="s">
        <v>3998</v>
      </c>
      <c r="P63" t="s">
        <v>3998</v>
      </c>
      <c r="Q63" t="s">
        <v>3999</v>
      </c>
      <c r="R63">
        <v>5962</v>
      </c>
      <c r="S63">
        <v>5962</v>
      </c>
      <c r="T63" t="s">
        <v>3458</v>
      </c>
    </row>
    <row r="64" spans="1:20" x14ac:dyDescent="0.2">
      <c r="A64" t="s">
        <v>2555</v>
      </c>
      <c r="B64" t="s">
        <v>4003</v>
      </c>
      <c r="C64" t="s">
        <v>17281</v>
      </c>
      <c r="D64">
        <v>123199</v>
      </c>
      <c r="E64">
        <v>1303</v>
      </c>
      <c r="F64">
        <v>209</v>
      </c>
      <c r="G64" t="s">
        <v>3479</v>
      </c>
      <c r="H64" t="s">
        <v>3480</v>
      </c>
      <c r="I64">
        <v>1451</v>
      </c>
      <c r="J64" t="s">
        <v>3438</v>
      </c>
      <c r="K64" t="s">
        <v>17282</v>
      </c>
      <c r="L64" t="s">
        <v>4002</v>
      </c>
      <c r="M64" t="s">
        <v>4004</v>
      </c>
      <c r="N64">
        <v>510</v>
      </c>
      <c r="O64" t="s">
        <v>4006</v>
      </c>
      <c r="P64" t="s">
        <v>4006</v>
      </c>
      <c r="Q64" t="s">
        <v>4007</v>
      </c>
      <c r="R64">
        <v>525</v>
      </c>
      <c r="S64">
        <v>525</v>
      </c>
      <c r="T64" t="s">
        <v>3469</v>
      </c>
    </row>
    <row r="65" spans="1:20" x14ac:dyDescent="0.2">
      <c r="A65" t="s">
        <v>2544</v>
      </c>
      <c r="B65" t="s">
        <v>4011</v>
      </c>
      <c r="C65" t="s">
        <v>17283</v>
      </c>
      <c r="D65">
        <v>155355</v>
      </c>
      <c r="E65">
        <v>1302</v>
      </c>
      <c r="F65">
        <v>400</v>
      </c>
      <c r="G65" t="s">
        <v>3436</v>
      </c>
      <c r="H65" t="s">
        <v>3603</v>
      </c>
      <c r="I65">
        <v>434</v>
      </c>
      <c r="J65" t="s">
        <v>3438</v>
      </c>
      <c r="K65" t="s">
        <v>17284</v>
      </c>
      <c r="L65" t="s">
        <v>4010</v>
      </c>
      <c r="M65" t="s">
        <v>4012</v>
      </c>
      <c r="N65">
        <v>5907</v>
      </c>
      <c r="O65" t="s">
        <v>4014</v>
      </c>
      <c r="P65" t="s">
        <v>4014</v>
      </c>
      <c r="Q65" t="s">
        <v>4015</v>
      </c>
      <c r="R65">
        <v>6137</v>
      </c>
      <c r="S65">
        <v>6137</v>
      </c>
      <c r="T65" t="s">
        <v>3458</v>
      </c>
    </row>
    <row r="66" spans="1:20" x14ac:dyDescent="0.2">
      <c r="A66" t="s">
        <v>2553</v>
      </c>
      <c r="B66" t="s">
        <v>4020</v>
      </c>
      <c r="C66" t="s">
        <v>17285</v>
      </c>
      <c r="D66">
        <v>125720</v>
      </c>
      <c r="E66">
        <v>1336</v>
      </c>
      <c r="F66">
        <v>209</v>
      </c>
      <c r="G66" t="s">
        <v>3459</v>
      </c>
      <c r="H66" t="s">
        <v>4017</v>
      </c>
      <c r="I66">
        <v>1510</v>
      </c>
      <c r="J66" t="s">
        <v>3438</v>
      </c>
      <c r="K66" t="s">
        <v>17286</v>
      </c>
      <c r="L66" t="s">
        <v>4019</v>
      </c>
      <c r="M66" s="6">
        <v>21096</v>
      </c>
      <c r="N66">
        <v>960</v>
      </c>
      <c r="O66" t="s">
        <v>4023</v>
      </c>
      <c r="P66" t="s">
        <v>4023</v>
      </c>
      <c r="Q66" t="s">
        <v>4024</v>
      </c>
      <c r="R66">
        <v>985</v>
      </c>
      <c r="S66">
        <v>985</v>
      </c>
      <c r="T66" t="s">
        <v>3469</v>
      </c>
    </row>
    <row r="67" spans="1:20" x14ac:dyDescent="0.2">
      <c r="A67" t="s">
        <v>2557</v>
      </c>
      <c r="B67" t="s">
        <v>4028</v>
      </c>
      <c r="C67" t="s">
        <v>17287</v>
      </c>
      <c r="D67">
        <v>155332</v>
      </c>
      <c r="E67">
        <v>594</v>
      </c>
      <c r="F67">
        <v>400</v>
      </c>
      <c r="G67" t="s">
        <v>3448</v>
      </c>
      <c r="H67" t="s">
        <v>3449</v>
      </c>
      <c r="I67">
        <v>4304</v>
      </c>
      <c r="J67" t="s">
        <v>3438</v>
      </c>
      <c r="K67" t="s">
        <v>17288</v>
      </c>
      <c r="L67" t="s">
        <v>4027</v>
      </c>
      <c r="M67" t="s">
        <v>4029</v>
      </c>
      <c r="N67">
        <v>911</v>
      </c>
      <c r="O67" t="s">
        <v>4031</v>
      </c>
      <c r="P67" t="s">
        <v>4031</v>
      </c>
      <c r="Q67" t="s">
        <v>4032</v>
      </c>
      <c r="R67">
        <v>936</v>
      </c>
      <c r="S67">
        <v>936</v>
      </c>
      <c r="T67" t="s">
        <v>3458</v>
      </c>
    </row>
    <row r="68" spans="1:20" x14ac:dyDescent="0.2">
      <c r="A68" t="s">
        <v>2542</v>
      </c>
      <c r="B68" t="s">
        <v>4036</v>
      </c>
      <c r="C68" t="s">
        <v>17289</v>
      </c>
      <c r="D68">
        <v>125724</v>
      </c>
      <c r="E68">
        <v>1358</v>
      </c>
      <c r="F68">
        <v>209</v>
      </c>
      <c r="G68" t="s">
        <v>3459</v>
      </c>
      <c r="H68" t="s">
        <v>4017</v>
      </c>
      <c r="I68">
        <v>1514</v>
      </c>
      <c r="J68" t="s">
        <v>3438</v>
      </c>
      <c r="K68" t="s">
        <v>17290</v>
      </c>
      <c r="L68" t="s">
        <v>4035</v>
      </c>
      <c r="M68" s="6">
        <v>21128</v>
      </c>
      <c r="N68">
        <v>5091</v>
      </c>
      <c r="O68" t="s">
        <v>4039</v>
      </c>
      <c r="P68" t="s">
        <v>4039</v>
      </c>
      <c r="Q68" t="s">
        <v>4040</v>
      </c>
      <c r="R68">
        <v>5281</v>
      </c>
      <c r="S68">
        <v>5281</v>
      </c>
      <c r="T68" t="s">
        <v>3469</v>
      </c>
    </row>
    <row r="69" spans="1:20" x14ac:dyDescent="0.2">
      <c r="A69" t="s">
        <v>2565</v>
      </c>
      <c r="B69" t="s">
        <v>4044</v>
      </c>
      <c r="C69" t="s">
        <v>17291</v>
      </c>
      <c r="D69">
        <v>155375</v>
      </c>
      <c r="E69">
        <v>1493</v>
      </c>
      <c r="F69">
        <v>400</v>
      </c>
      <c r="G69" t="s">
        <v>3436</v>
      </c>
      <c r="H69" t="s">
        <v>3661</v>
      </c>
      <c r="I69">
        <v>487</v>
      </c>
      <c r="J69" t="s">
        <v>3438</v>
      </c>
      <c r="K69" t="s">
        <v>17292</v>
      </c>
      <c r="L69" t="s">
        <v>4043</v>
      </c>
      <c r="M69" t="s">
        <v>4045</v>
      </c>
      <c r="N69">
        <v>6026</v>
      </c>
      <c r="O69" t="s">
        <v>4047</v>
      </c>
      <c r="P69" t="s">
        <v>4047</v>
      </c>
      <c r="Q69" t="s">
        <v>4048</v>
      </c>
      <c r="R69">
        <v>6262</v>
      </c>
      <c r="S69">
        <v>6262</v>
      </c>
      <c r="T69" t="s">
        <v>3458</v>
      </c>
    </row>
    <row r="70" spans="1:20" x14ac:dyDescent="0.2">
      <c r="A70" t="s">
        <v>2546</v>
      </c>
      <c r="B70" t="s">
        <v>4053</v>
      </c>
      <c r="C70" t="s">
        <v>17293</v>
      </c>
      <c r="D70">
        <v>146440</v>
      </c>
      <c r="E70">
        <v>1505</v>
      </c>
      <c r="F70">
        <v>305</v>
      </c>
      <c r="G70" t="s">
        <v>3533</v>
      </c>
      <c r="H70" t="s">
        <v>4050</v>
      </c>
      <c r="I70">
        <v>4207</v>
      </c>
      <c r="J70" t="s">
        <v>3438</v>
      </c>
      <c r="K70" t="s">
        <v>17294</v>
      </c>
      <c r="L70" t="s">
        <v>4052</v>
      </c>
      <c r="M70" t="s">
        <v>4054</v>
      </c>
      <c r="N70">
        <v>942</v>
      </c>
      <c r="O70" t="s">
        <v>4056</v>
      </c>
      <c r="P70" t="s">
        <v>4056</v>
      </c>
      <c r="Q70" t="s">
        <v>4057</v>
      </c>
      <c r="R70">
        <v>967</v>
      </c>
      <c r="S70">
        <v>967</v>
      </c>
      <c r="T70" t="s">
        <v>3489</v>
      </c>
    </row>
    <row r="71" spans="1:20" x14ac:dyDescent="0.2">
      <c r="A71" t="s">
        <v>2540</v>
      </c>
      <c r="B71" t="s">
        <v>4062</v>
      </c>
      <c r="C71" t="s">
        <v>17295</v>
      </c>
      <c r="D71">
        <v>126083</v>
      </c>
      <c r="E71">
        <v>33447</v>
      </c>
      <c r="F71">
        <v>209</v>
      </c>
      <c r="G71" t="s">
        <v>3459</v>
      </c>
      <c r="H71" t="s">
        <v>4059</v>
      </c>
      <c r="I71">
        <v>1529</v>
      </c>
      <c r="J71" t="s">
        <v>3438</v>
      </c>
      <c r="K71" t="s">
        <v>17296</v>
      </c>
      <c r="L71" t="s">
        <v>4061</v>
      </c>
      <c r="M71" t="s">
        <v>4063</v>
      </c>
      <c r="N71">
        <v>393216</v>
      </c>
      <c r="O71" t="s">
        <v>4065</v>
      </c>
      <c r="P71" t="s">
        <v>4065</v>
      </c>
      <c r="Q71" t="s">
        <v>4066</v>
      </c>
      <c r="R71">
        <v>445638</v>
      </c>
      <c r="S71">
        <v>445638</v>
      </c>
      <c r="T71" t="s">
        <v>3469</v>
      </c>
    </row>
    <row r="72" spans="1:20" x14ac:dyDescent="0.2">
      <c r="A72" t="s">
        <v>13767</v>
      </c>
      <c r="B72" t="s">
        <v>647</v>
      </c>
      <c r="C72" t="s">
        <v>17297</v>
      </c>
      <c r="D72">
        <v>155301</v>
      </c>
      <c r="E72">
        <v>64</v>
      </c>
      <c r="F72">
        <v>400</v>
      </c>
      <c r="G72" t="s">
        <v>3436</v>
      </c>
      <c r="H72" t="s">
        <v>3524</v>
      </c>
      <c r="I72">
        <v>140</v>
      </c>
      <c r="J72" t="s">
        <v>3438</v>
      </c>
      <c r="K72" t="s">
        <v>17298</v>
      </c>
      <c r="L72" t="s">
        <v>4069</v>
      </c>
      <c r="M72" t="s">
        <v>4070</v>
      </c>
      <c r="N72">
        <v>5910</v>
      </c>
      <c r="O72" t="s">
        <v>4072</v>
      </c>
      <c r="P72" t="s">
        <v>4072</v>
      </c>
      <c r="Q72" t="s">
        <v>4073</v>
      </c>
      <c r="R72">
        <v>6140</v>
      </c>
      <c r="S72">
        <v>6140</v>
      </c>
      <c r="T72" t="s">
        <v>3458</v>
      </c>
    </row>
    <row r="73" spans="1:20" x14ac:dyDescent="0.2">
      <c r="A73" t="s">
        <v>2548</v>
      </c>
      <c r="B73" t="s">
        <v>4078</v>
      </c>
      <c r="C73" t="s">
        <v>17299</v>
      </c>
      <c r="D73">
        <v>156915</v>
      </c>
      <c r="E73">
        <v>42109</v>
      </c>
      <c r="F73">
        <v>400</v>
      </c>
      <c r="G73" t="s">
        <v>3479</v>
      </c>
      <c r="H73" t="s">
        <v>4075</v>
      </c>
      <c r="I73">
        <v>1468</v>
      </c>
      <c r="J73" t="s">
        <v>3438</v>
      </c>
      <c r="K73" t="s">
        <v>17300</v>
      </c>
      <c r="L73" t="s">
        <v>4077</v>
      </c>
      <c r="M73" t="s">
        <v>4079</v>
      </c>
      <c r="N73">
        <v>1032</v>
      </c>
      <c r="O73" t="s">
        <v>4081</v>
      </c>
      <c r="P73" t="s">
        <v>4081</v>
      </c>
      <c r="Q73" t="s">
        <v>4082</v>
      </c>
      <c r="R73">
        <v>1061</v>
      </c>
      <c r="S73">
        <v>1061</v>
      </c>
      <c r="T73" t="s">
        <v>3458</v>
      </c>
    </row>
    <row r="74" spans="1:20" x14ac:dyDescent="0.2">
      <c r="A74" t="s">
        <v>2575</v>
      </c>
      <c r="B74" t="s">
        <v>4095</v>
      </c>
      <c r="C74" t="s">
        <v>17301</v>
      </c>
      <c r="D74">
        <v>143837</v>
      </c>
      <c r="E74">
        <v>598</v>
      </c>
      <c r="F74">
        <v>209</v>
      </c>
      <c r="G74" t="s">
        <v>3863</v>
      </c>
      <c r="H74" t="s">
        <v>3864</v>
      </c>
      <c r="I74">
        <v>4999</v>
      </c>
      <c r="J74" t="s">
        <v>3438</v>
      </c>
      <c r="K74" t="s">
        <v>17302</v>
      </c>
      <c r="L74" t="s">
        <v>4094</v>
      </c>
      <c r="M74" t="s">
        <v>4096</v>
      </c>
      <c r="N74">
        <v>10140204</v>
      </c>
      <c r="O74" t="s">
        <v>4098</v>
      </c>
      <c r="P74" t="s">
        <v>4098</v>
      </c>
      <c r="Q74" t="s">
        <v>4099</v>
      </c>
      <c r="R74">
        <v>26840</v>
      </c>
      <c r="S74">
        <v>26840</v>
      </c>
      <c r="T74" t="s">
        <v>3469</v>
      </c>
    </row>
    <row r="75" spans="1:20" x14ac:dyDescent="0.2">
      <c r="A75" t="s">
        <v>2573</v>
      </c>
      <c r="B75" t="s">
        <v>4104</v>
      </c>
      <c r="C75" t="s">
        <v>17303</v>
      </c>
      <c r="D75">
        <v>151095</v>
      </c>
      <c r="E75">
        <v>38271</v>
      </c>
      <c r="F75">
        <v>209</v>
      </c>
      <c r="G75" t="s">
        <v>3459</v>
      </c>
      <c r="H75" t="s">
        <v>4101</v>
      </c>
      <c r="I75">
        <v>1652</v>
      </c>
      <c r="J75" t="s">
        <v>3438</v>
      </c>
      <c r="K75" t="s">
        <v>17304</v>
      </c>
      <c r="L75" t="s">
        <v>4103</v>
      </c>
      <c r="M75" t="s">
        <v>4105</v>
      </c>
      <c r="N75">
        <v>110458</v>
      </c>
      <c r="O75" t="s">
        <v>4107</v>
      </c>
      <c r="P75" t="s">
        <v>4107</v>
      </c>
      <c r="R75">
        <v>123929</v>
      </c>
      <c r="S75">
        <v>123929</v>
      </c>
      <c r="T75" t="s">
        <v>3469</v>
      </c>
    </row>
    <row r="76" spans="1:20" x14ac:dyDescent="0.2">
      <c r="A76" t="s">
        <v>2577</v>
      </c>
      <c r="B76" t="s">
        <v>4111</v>
      </c>
      <c r="C76" t="s">
        <v>17305</v>
      </c>
      <c r="D76">
        <v>155455</v>
      </c>
      <c r="E76">
        <v>1898</v>
      </c>
      <c r="F76">
        <v>400</v>
      </c>
      <c r="G76" t="s">
        <v>3436</v>
      </c>
      <c r="H76" t="s">
        <v>3661</v>
      </c>
      <c r="I76">
        <v>495</v>
      </c>
      <c r="J76" t="s">
        <v>3438</v>
      </c>
      <c r="K76" t="s">
        <v>17306</v>
      </c>
      <c r="L76" t="s">
        <v>4110</v>
      </c>
      <c r="M76" t="s">
        <v>4112</v>
      </c>
      <c r="N76">
        <v>128566</v>
      </c>
      <c r="O76" t="s">
        <v>4114</v>
      </c>
      <c r="P76" t="s">
        <v>4114</v>
      </c>
      <c r="Q76" t="s">
        <v>4115</v>
      </c>
      <c r="R76" s="5">
        <v>8988145742614</v>
      </c>
      <c r="S76" t="s">
        <v>17307</v>
      </c>
      <c r="T76" t="s">
        <v>3458</v>
      </c>
    </row>
    <row r="77" spans="1:20" x14ac:dyDescent="0.2">
      <c r="A77" t="s">
        <v>13769</v>
      </c>
      <c r="B77" t="s">
        <v>594</v>
      </c>
      <c r="C77" t="s">
        <v>17308</v>
      </c>
      <c r="D77">
        <v>146396</v>
      </c>
      <c r="E77">
        <v>527</v>
      </c>
      <c r="F77">
        <v>305</v>
      </c>
      <c r="G77" t="s">
        <v>3977</v>
      </c>
      <c r="H77" t="s">
        <v>4084</v>
      </c>
      <c r="I77">
        <v>1240</v>
      </c>
      <c r="J77" t="s">
        <v>3438</v>
      </c>
      <c r="K77" t="s">
        <v>17309</v>
      </c>
      <c r="L77" t="s">
        <v>4118</v>
      </c>
      <c r="M77" t="s">
        <v>4119</v>
      </c>
      <c r="N77">
        <v>592</v>
      </c>
      <c r="O77" t="s">
        <v>4121</v>
      </c>
      <c r="P77" t="s">
        <v>4121</v>
      </c>
      <c r="Q77" t="s">
        <v>4122</v>
      </c>
      <c r="R77">
        <v>612</v>
      </c>
      <c r="S77">
        <v>612</v>
      </c>
      <c r="T77" t="s">
        <v>3489</v>
      </c>
    </row>
    <row r="78" spans="1:20" x14ac:dyDescent="0.2">
      <c r="A78" t="s">
        <v>19096</v>
      </c>
      <c r="B78" t="s">
        <v>17310</v>
      </c>
      <c r="C78" t="s">
        <v>17311</v>
      </c>
      <c r="D78">
        <v>155439</v>
      </c>
      <c r="E78">
        <v>1651</v>
      </c>
      <c r="F78">
        <v>400</v>
      </c>
      <c r="G78" t="s">
        <v>3448</v>
      </c>
      <c r="H78" t="s">
        <v>5858</v>
      </c>
      <c r="I78">
        <v>4450</v>
      </c>
      <c r="J78" t="s">
        <v>3438</v>
      </c>
      <c r="K78" t="s">
        <v>17312</v>
      </c>
      <c r="L78" t="s">
        <v>17313</v>
      </c>
      <c r="M78" t="s">
        <v>17314</v>
      </c>
      <c r="N78">
        <v>1021</v>
      </c>
      <c r="O78" t="s">
        <v>17315</v>
      </c>
      <c r="P78" t="s">
        <v>17315</v>
      </c>
      <c r="Q78" t="s">
        <v>17316</v>
      </c>
      <c r="R78">
        <v>1050</v>
      </c>
      <c r="S78">
        <v>1050</v>
      </c>
      <c r="T78" t="s">
        <v>3458</v>
      </c>
    </row>
    <row r="79" spans="1:20" x14ac:dyDescent="0.2">
      <c r="A79" t="s">
        <v>2567</v>
      </c>
      <c r="B79" t="s">
        <v>12420</v>
      </c>
      <c r="C79" t="s">
        <v>17317</v>
      </c>
      <c r="D79">
        <v>165222</v>
      </c>
      <c r="E79">
        <v>1806</v>
      </c>
      <c r="F79">
        <v>402</v>
      </c>
      <c r="G79" t="s">
        <v>3448</v>
      </c>
      <c r="H79" t="s">
        <v>4124</v>
      </c>
      <c r="I79">
        <v>4429</v>
      </c>
      <c r="J79" t="s">
        <v>3438</v>
      </c>
      <c r="K79" t="s">
        <v>17318</v>
      </c>
      <c r="L79" t="s">
        <v>4126</v>
      </c>
      <c r="M79" t="s">
        <v>4128</v>
      </c>
      <c r="N79">
        <v>393012</v>
      </c>
      <c r="O79" t="s">
        <v>4130</v>
      </c>
      <c r="P79" t="s">
        <v>4130</v>
      </c>
      <c r="Q79" t="s">
        <v>4131</v>
      </c>
      <c r="R79">
        <v>445354</v>
      </c>
      <c r="S79">
        <v>445354</v>
      </c>
      <c r="T79" t="s">
        <v>3447</v>
      </c>
    </row>
    <row r="80" spans="1:20" x14ac:dyDescent="0.2">
      <c r="A80" t="s">
        <v>2594</v>
      </c>
      <c r="B80" t="s">
        <v>4145</v>
      </c>
      <c r="C80" t="s">
        <v>17319</v>
      </c>
      <c r="D80">
        <v>164364</v>
      </c>
      <c r="E80">
        <v>1515</v>
      </c>
      <c r="F80">
        <v>305</v>
      </c>
      <c r="G80" t="s">
        <v>3863</v>
      </c>
      <c r="H80" t="s">
        <v>4142</v>
      </c>
      <c r="I80">
        <v>5959</v>
      </c>
      <c r="J80" t="s">
        <v>3438</v>
      </c>
      <c r="K80">
        <v>4000</v>
      </c>
      <c r="L80" t="s">
        <v>4144</v>
      </c>
      <c r="M80" t="s">
        <v>4146</v>
      </c>
      <c r="N80">
        <v>331</v>
      </c>
      <c r="O80" t="s">
        <v>4148</v>
      </c>
      <c r="P80" t="s">
        <v>4148</v>
      </c>
      <c r="Q80" t="s">
        <v>4149</v>
      </c>
      <c r="R80">
        <v>338</v>
      </c>
      <c r="S80">
        <v>338</v>
      </c>
      <c r="T80" t="s">
        <v>3489</v>
      </c>
    </row>
    <row r="81" spans="1:20" x14ac:dyDescent="0.2">
      <c r="A81" t="s">
        <v>2585</v>
      </c>
      <c r="B81" t="s">
        <v>4153</v>
      </c>
      <c r="C81" t="s">
        <v>17320</v>
      </c>
      <c r="D81">
        <v>155437</v>
      </c>
      <c r="E81">
        <v>1648</v>
      </c>
      <c r="F81">
        <v>400</v>
      </c>
      <c r="G81" t="s">
        <v>3436</v>
      </c>
      <c r="H81" t="s">
        <v>3882</v>
      </c>
      <c r="I81">
        <v>10</v>
      </c>
      <c r="J81" t="s">
        <v>3438</v>
      </c>
      <c r="K81" t="s">
        <v>17321</v>
      </c>
      <c r="L81" t="s">
        <v>4152</v>
      </c>
      <c r="M81" t="s">
        <v>4154</v>
      </c>
      <c r="N81">
        <v>5736</v>
      </c>
      <c r="O81" t="s">
        <v>4156</v>
      </c>
      <c r="P81" t="s">
        <v>4156</v>
      </c>
      <c r="Q81" t="s">
        <v>4157</v>
      </c>
      <c r="R81">
        <v>5951</v>
      </c>
      <c r="S81">
        <v>5951</v>
      </c>
      <c r="T81" t="s">
        <v>3458</v>
      </c>
    </row>
    <row r="82" spans="1:20" x14ac:dyDescent="0.2">
      <c r="A82" t="s">
        <v>2596</v>
      </c>
      <c r="B82" t="s">
        <v>4161</v>
      </c>
      <c r="C82" t="s">
        <v>17322</v>
      </c>
      <c r="D82">
        <v>155468</v>
      </c>
      <c r="E82">
        <v>2342</v>
      </c>
      <c r="F82">
        <v>400</v>
      </c>
      <c r="G82" t="s">
        <v>3436</v>
      </c>
      <c r="H82" t="s">
        <v>3470</v>
      </c>
      <c r="I82">
        <v>287</v>
      </c>
      <c r="J82" t="s">
        <v>3438</v>
      </c>
      <c r="K82" t="s">
        <v>17323</v>
      </c>
      <c r="L82" t="s">
        <v>4160</v>
      </c>
      <c r="M82" t="s">
        <v>4162</v>
      </c>
      <c r="N82">
        <v>5013</v>
      </c>
      <c r="O82" t="s">
        <v>4164</v>
      </c>
      <c r="P82" t="s">
        <v>4164</v>
      </c>
      <c r="Q82" t="s">
        <v>4165</v>
      </c>
      <c r="R82">
        <v>5202</v>
      </c>
      <c r="S82">
        <v>5202</v>
      </c>
      <c r="T82" t="s">
        <v>3458</v>
      </c>
    </row>
    <row r="83" spans="1:20" x14ac:dyDescent="0.2">
      <c r="A83" t="s">
        <v>2592</v>
      </c>
      <c r="B83" t="s">
        <v>4169</v>
      </c>
      <c r="C83" t="s">
        <v>17324</v>
      </c>
      <c r="D83">
        <v>155458</v>
      </c>
      <c r="E83">
        <v>2125</v>
      </c>
      <c r="F83">
        <v>400</v>
      </c>
      <c r="G83" t="s">
        <v>3436</v>
      </c>
      <c r="H83" t="s">
        <v>3603</v>
      </c>
      <c r="I83">
        <v>471</v>
      </c>
      <c r="J83" t="s">
        <v>3438</v>
      </c>
      <c r="K83" t="s">
        <v>17325</v>
      </c>
      <c r="L83" t="s">
        <v>4168</v>
      </c>
      <c r="M83" t="s">
        <v>4170</v>
      </c>
      <c r="N83">
        <v>1091</v>
      </c>
      <c r="O83" t="s">
        <v>4172</v>
      </c>
      <c r="P83" t="s">
        <v>4172</v>
      </c>
      <c r="Q83" t="s">
        <v>4173</v>
      </c>
      <c r="R83">
        <v>1123</v>
      </c>
      <c r="S83">
        <v>1123</v>
      </c>
      <c r="T83" t="s">
        <v>3458</v>
      </c>
    </row>
    <row r="84" spans="1:20" x14ac:dyDescent="0.2">
      <c r="A84" t="s">
        <v>2583</v>
      </c>
      <c r="B84" t="s">
        <v>4177</v>
      </c>
      <c r="C84" t="s">
        <v>17326</v>
      </c>
      <c r="D84">
        <v>125728</v>
      </c>
      <c r="E84">
        <v>1365</v>
      </c>
      <c r="F84">
        <v>209</v>
      </c>
      <c r="G84" t="s">
        <v>3459</v>
      </c>
      <c r="H84" t="s">
        <v>4017</v>
      </c>
      <c r="I84">
        <v>1507</v>
      </c>
      <c r="J84" t="s">
        <v>3438</v>
      </c>
      <c r="K84" t="s">
        <v>17327</v>
      </c>
      <c r="L84" t="s">
        <v>4176</v>
      </c>
      <c r="M84" t="s">
        <v>4178</v>
      </c>
      <c r="N84">
        <v>10539</v>
      </c>
      <c r="O84" t="s">
        <v>4180</v>
      </c>
      <c r="P84" t="s">
        <v>4180</v>
      </c>
      <c r="Q84" t="s">
        <v>4181</v>
      </c>
      <c r="R84">
        <v>11005</v>
      </c>
      <c r="S84">
        <v>11005</v>
      </c>
      <c r="T84" t="s">
        <v>3469</v>
      </c>
    </row>
    <row r="85" spans="1:20" x14ac:dyDescent="0.2">
      <c r="A85" t="s">
        <v>2589</v>
      </c>
      <c r="B85" t="s">
        <v>4185</v>
      </c>
      <c r="C85" t="s">
        <v>17328</v>
      </c>
      <c r="D85">
        <v>155443</v>
      </c>
      <c r="E85">
        <v>1670</v>
      </c>
      <c r="F85">
        <v>400</v>
      </c>
      <c r="G85" t="s">
        <v>3436</v>
      </c>
      <c r="H85" t="s">
        <v>3661</v>
      </c>
      <c r="I85">
        <v>485</v>
      </c>
      <c r="J85" t="s">
        <v>3438</v>
      </c>
      <c r="K85" t="s">
        <v>17329</v>
      </c>
      <c r="L85" t="s">
        <v>4184</v>
      </c>
      <c r="M85" t="s">
        <v>4186</v>
      </c>
      <c r="N85">
        <v>1143</v>
      </c>
      <c r="O85" t="s">
        <v>4188</v>
      </c>
      <c r="P85" t="s">
        <v>4188</v>
      </c>
      <c r="Q85" t="s">
        <v>4189</v>
      </c>
      <c r="R85">
        <v>1176</v>
      </c>
      <c r="S85">
        <v>1176</v>
      </c>
      <c r="T85" t="s">
        <v>3458</v>
      </c>
    </row>
    <row r="86" spans="1:20" x14ac:dyDescent="0.2">
      <c r="A86" t="s">
        <v>2571</v>
      </c>
      <c r="B86" t="s">
        <v>4193</v>
      </c>
      <c r="C86" t="s">
        <v>17330</v>
      </c>
      <c r="D86">
        <v>123185</v>
      </c>
      <c r="E86">
        <v>606</v>
      </c>
      <c r="F86">
        <v>209</v>
      </c>
      <c r="G86" t="s">
        <v>3533</v>
      </c>
      <c r="H86" t="s">
        <v>3705</v>
      </c>
      <c r="I86">
        <v>4219</v>
      </c>
      <c r="J86" t="s">
        <v>3438</v>
      </c>
      <c r="K86" t="s">
        <v>17331</v>
      </c>
      <c r="L86" t="s">
        <v>4192</v>
      </c>
      <c r="M86" t="s">
        <v>4194</v>
      </c>
      <c r="N86">
        <v>5807</v>
      </c>
      <c r="O86" t="s">
        <v>4196</v>
      </c>
      <c r="P86" t="s">
        <v>4196</v>
      </c>
      <c r="Q86" t="s">
        <v>4197</v>
      </c>
      <c r="R86">
        <v>6029</v>
      </c>
      <c r="S86">
        <v>6029</v>
      </c>
      <c r="T86" t="s">
        <v>3469</v>
      </c>
    </row>
    <row r="87" spans="1:20" x14ac:dyDescent="0.2">
      <c r="A87" t="s">
        <v>2581</v>
      </c>
      <c r="B87" t="s">
        <v>4201</v>
      </c>
      <c r="C87" t="s">
        <v>17332</v>
      </c>
      <c r="D87">
        <v>165330</v>
      </c>
      <c r="E87">
        <v>52602</v>
      </c>
      <c r="F87">
        <v>209</v>
      </c>
      <c r="G87" t="s">
        <v>3533</v>
      </c>
      <c r="H87" t="s">
        <v>3705</v>
      </c>
      <c r="I87">
        <v>4235</v>
      </c>
      <c r="J87" t="s">
        <v>3438</v>
      </c>
      <c r="K87" t="s">
        <v>17333</v>
      </c>
      <c r="L87" t="s">
        <v>4200</v>
      </c>
      <c r="M87" t="s">
        <v>4202</v>
      </c>
      <c r="N87">
        <v>13118</v>
      </c>
      <c r="O87" t="s">
        <v>4204</v>
      </c>
      <c r="P87" t="s">
        <v>4204</v>
      </c>
      <c r="Q87" t="s">
        <v>4205</v>
      </c>
      <c r="R87">
        <v>13712</v>
      </c>
      <c r="S87">
        <v>13712</v>
      </c>
      <c r="T87" t="s">
        <v>3469</v>
      </c>
    </row>
    <row r="88" spans="1:20" x14ac:dyDescent="0.2">
      <c r="A88" t="s">
        <v>2587</v>
      </c>
      <c r="B88" t="s">
        <v>4209</v>
      </c>
      <c r="C88" t="s">
        <v>17334</v>
      </c>
      <c r="D88">
        <v>145714</v>
      </c>
      <c r="E88">
        <v>607</v>
      </c>
      <c r="F88">
        <v>305</v>
      </c>
      <c r="G88" t="s">
        <v>3436</v>
      </c>
      <c r="H88" t="s">
        <v>3906</v>
      </c>
      <c r="I88">
        <v>78</v>
      </c>
      <c r="J88" t="s">
        <v>3438</v>
      </c>
      <c r="K88" t="s">
        <v>17335</v>
      </c>
      <c r="L88" t="s">
        <v>4208</v>
      </c>
      <c r="M88" t="s">
        <v>4210</v>
      </c>
      <c r="N88">
        <v>643824</v>
      </c>
      <c r="O88" t="s">
        <v>4212</v>
      </c>
      <c r="P88" t="s">
        <v>4212</v>
      </c>
      <c r="Q88" t="s">
        <v>4213</v>
      </c>
      <c r="R88">
        <v>736715</v>
      </c>
      <c r="S88">
        <v>736715</v>
      </c>
      <c r="T88" t="s">
        <v>3489</v>
      </c>
    </row>
    <row r="89" spans="1:20" x14ac:dyDescent="0.2">
      <c r="A89" t="s">
        <v>2579</v>
      </c>
      <c r="B89" t="s">
        <v>4218</v>
      </c>
      <c r="C89" t="s">
        <v>17336</v>
      </c>
      <c r="D89">
        <v>155297</v>
      </c>
      <c r="E89">
        <v>57</v>
      </c>
      <c r="F89">
        <v>400</v>
      </c>
      <c r="G89" t="s">
        <v>3436</v>
      </c>
      <c r="H89" t="s">
        <v>4215</v>
      </c>
      <c r="I89">
        <v>44</v>
      </c>
      <c r="J89" t="s">
        <v>3438</v>
      </c>
      <c r="K89" t="s">
        <v>17337</v>
      </c>
      <c r="L89" t="s">
        <v>4217</v>
      </c>
      <c r="M89" t="s">
        <v>4219</v>
      </c>
      <c r="N89">
        <v>591</v>
      </c>
      <c r="O89" t="s">
        <v>4221</v>
      </c>
      <c r="P89" t="s">
        <v>4221</v>
      </c>
      <c r="Q89" t="s">
        <v>4222</v>
      </c>
      <c r="R89">
        <v>33032</v>
      </c>
      <c r="S89">
        <v>33032</v>
      </c>
      <c r="T89" t="s">
        <v>3458</v>
      </c>
    </row>
    <row r="90" spans="1:20" x14ac:dyDescent="0.2">
      <c r="A90" t="s">
        <v>13771</v>
      </c>
      <c r="B90" t="s">
        <v>567</v>
      </c>
      <c r="C90" t="s">
        <v>17338</v>
      </c>
      <c r="D90">
        <v>155293</v>
      </c>
      <c r="E90">
        <v>53</v>
      </c>
      <c r="F90">
        <v>400</v>
      </c>
      <c r="G90" t="s">
        <v>3436</v>
      </c>
      <c r="H90" t="s">
        <v>4215</v>
      </c>
      <c r="I90">
        <v>45</v>
      </c>
      <c r="J90" t="s">
        <v>3438</v>
      </c>
      <c r="K90" t="s">
        <v>17339</v>
      </c>
      <c r="L90" t="s">
        <v>4225</v>
      </c>
      <c r="M90" t="s">
        <v>4226</v>
      </c>
      <c r="N90">
        <v>5746</v>
      </c>
      <c r="O90" t="s">
        <v>4228</v>
      </c>
      <c r="P90" t="s">
        <v>4228</v>
      </c>
      <c r="Q90" t="s">
        <v>4229</v>
      </c>
      <c r="R90">
        <v>5961</v>
      </c>
      <c r="S90">
        <v>5961</v>
      </c>
      <c r="T90" t="s">
        <v>3458</v>
      </c>
    </row>
    <row r="91" spans="1:20" x14ac:dyDescent="0.2">
      <c r="A91" t="s">
        <v>2609</v>
      </c>
      <c r="B91" t="s">
        <v>4233</v>
      </c>
      <c r="C91" t="s">
        <v>17340</v>
      </c>
      <c r="D91">
        <v>155352</v>
      </c>
      <c r="E91">
        <v>1284</v>
      </c>
      <c r="F91">
        <v>400</v>
      </c>
      <c r="G91" t="s">
        <v>3436</v>
      </c>
      <c r="H91" t="s">
        <v>3882</v>
      </c>
      <c r="I91">
        <v>17</v>
      </c>
      <c r="J91" t="s">
        <v>3438</v>
      </c>
      <c r="K91" t="s">
        <v>17341</v>
      </c>
      <c r="L91" t="s">
        <v>4232</v>
      </c>
      <c r="M91" t="s">
        <v>4234</v>
      </c>
      <c r="N91">
        <v>6051</v>
      </c>
      <c r="O91" t="s">
        <v>4236</v>
      </c>
      <c r="P91" t="s">
        <v>4236</v>
      </c>
      <c r="Q91" t="s">
        <v>4237</v>
      </c>
      <c r="R91">
        <v>6288</v>
      </c>
      <c r="S91">
        <v>6288</v>
      </c>
      <c r="T91" t="s">
        <v>3458</v>
      </c>
    </row>
    <row r="92" spans="1:20" x14ac:dyDescent="0.2">
      <c r="A92" t="s">
        <v>2623</v>
      </c>
      <c r="B92" t="s">
        <v>4241</v>
      </c>
      <c r="C92" t="s">
        <v>17342</v>
      </c>
      <c r="D92">
        <v>155294</v>
      </c>
      <c r="E92">
        <v>54</v>
      </c>
      <c r="F92">
        <v>400</v>
      </c>
      <c r="G92" t="s">
        <v>3436</v>
      </c>
      <c r="H92" t="s">
        <v>3470</v>
      </c>
      <c r="I92">
        <v>254</v>
      </c>
      <c r="J92" t="s">
        <v>3438</v>
      </c>
      <c r="K92" t="s">
        <v>17343</v>
      </c>
      <c r="L92" t="s">
        <v>4240</v>
      </c>
      <c r="M92" t="s">
        <v>4242</v>
      </c>
      <c r="N92">
        <v>6066</v>
      </c>
      <c r="O92" t="s">
        <v>4244</v>
      </c>
      <c r="P92" t="s">
        <v>4244</v>
      </c>
      <c r="Q92" t="s">
        <v>4245</v>
      </c>
      <c r="R92">
        <v>6305</v>
      </c>
      <c r="S92">
        <v>6305</v>
      </c>
      <c r="T92" t="s">
        <v>3458</v>
      </c>
    </row>
    <row r="93" spans="1:20" x14ac:dyDescent="0.2">
      <c r="A93" t="s">
        <v>13772</v>
      </c>
      <c r="B93" t="s">
        <v>1072</v>
      </c>
      <c r="C93" t="s">
        <v>17344</v>
      </c>
      <c r="D93">
        <v>155438</v>
      </c>
      <c r="E93">
        <v>1649</v>
      </c>
      <c r="F93">
        <v>400</v>
      </c>
      <c r="G93" t="s">
        <v>3436</v>
      </c>
      <c r="H93" t="s">
        <v>3498</v>
      </c>
      <c r="I93">
        <v>416</v>
      </c>
      <c r="J93" t="s">
        <v>3438</v>
      </c>
      <c r="K93" t="s">
        <v>17345</v>
      </c>
      <c r="L93" t="s">
        <v>4248</v>
      </c>
      <c r="M93" t="s">
        <v>4249</v>
      </c>
      <c r="N93">
        <v>6050</v>
      </c>
      <c r="O93" t="s">
        <v>4251</v>
      </c>
      <c r="P93" t="s">
        <v>4251</v>
      </c>
      <c r="Q93" t="s">
        <v>4252</v>
      </c>
      <c r="R93">
        <v>6287</v>
      </c>
      <c r="S93">
        <v>6287</v>
      </c>
      <c r="T93" t="s">
        <v>3458</v>
      </c>
    </row>
    <row r="94" spans="1:20" x14ac:dyDescent="0.2">
      <c r="A94" t="s">
        <v>13773</v>
      </c>
      <c r="B94" t="s">
        <v>563</v>
      </c>
      <c r="C94" t="s">
        <v>17346</v>
      </c>
      <c r="D94">
        <v>151982</v>
      </c>
      <c r="E94">
        <v>48152</v>
      </c>
      <c r="F94">
        <v>305</v>
      </c>
      <c r="G94" t="s">
        <v>3977</v>
      </c>
      <c r="H94" t="s">
        <v>4084</v>
      </c>
      <c r="I94">
        <v>1223</v>
      </c>
      <c r="J94" t="s">
        <v>3438</v>
      </c>
      <c r="K94" t="s">
        <v>17347</v>
      </c>
      <c r="L94" t="s">
        <v>4255</v>
      </c>
      <c r="M94" t="s">
        <v>4256</v>
      </c>
      <c r="N94">
        <v>71358</v>
      </c>
      <c r="O94" t="s">
        <v>4258</v>
      </c>
      <c r="P94" t="s">
        <v>4258</v>
      </c>
      <c r="Q94" t="s">
        <v>4259</v>
      </c>
      <c r="R94">
        <v>5793</v>
      </c>
      <c r="S94">
        <v>5793</v>
      </c>
      <c r="T94" t="s">
        <v>3489</v>
      </c>
    </row>
    <row r="95" spans="1:20" x14ac:dyDescent="0.2">
      <c r="A95" t="s">
        <v>13774</v>
      </c>
      <c r="B95" t="s">
        <v>4263</v>
      </c>
      <c r="C95" t="s">
        <v>17348</v>
      </c>
      <c r="D95">
        <v>152126</v>
      </c>
      <c r="E95">
        <v>4968</v>
      </c>
      <c r="F95">
        <v>305</v>
      </c>
      <c r="G95" t="s">
        <v>3436</v>
      </c>
      <c r="H95" t="s">
        <v>3603</v>
      </c>
      <c r="I95">
        <v>454</v>
      </c>
      <c r="J95" t="s">
        <v>3438</v>
      </c>
      <c r="K95" t="s">
        <v>17349</v>
      </c>
      <c r="L95" t="s">
        <v>4262</v>
      </c>
      <c r="M95" t="s">
        <v>4264</v>
      </c>
      <c r="N95">
        <v>2829426</v>
      </c>
      <c r="O95" t="s">
        <v>4266</v>
      </c>
      <c r="P95" t="s">
        <v>4266</v>
      </c>
      <c r="Q95" t="s">
        <v>4267</v>
      </c>
      <c r="R95">
        <v>58</v>
      </c>
      <c r="S95">
        <v>58</v>
      </c>
      <c r="T95" t="s">
        <v>3489</v>
      </c>
    </row>
    <row r="96" spans="1:20" x14ac:dyDescent="0.2">
      <c r="A96" t="s">
        <v>2602</v>
      </c>
      <c r="B96" t="s">
        <v>4279</v>
      </c>
      <c r="C96" t="s">
        <v>17350</v>
      </c>
      <c r="D96">
        <v>155487</v>
      </c>
      <c r="E96">
        <v>3141</v>
      </c>
      <c r="F96">
        <v>400</v>
      </c>
      <c r="G96" t="s">
        <v>3436</v>
      </c>
      <c r="H96" t="s">
        <v>3882</v>
      </c>
      <c r="I96">
        <v>7</v>
      </c>
      <c r="J96" t="s">
        <v>3438</v>
      </c>
      <c r="K96" t="s">
        <v>17351</v>
      </c>
      <c r="L96" t="s">
        <v>4278</v>
      </c>
      <c r="M96" t="s">
        <v>4280</v>
      </c>
      <c r="N96" s="5">
        <v>19951173242</v>
      </c>
      <c r="O96" t="s">
        <v>4282</v>
      </c>
      <c r="P96" t="s">
        <v>4282</v>
      </c>
      <c r="Q96" t="s">
        <v>4283</v>
      </c>
      <c r="R96">
        <v>247</v>
      </c>
      <c r="S96">
        <v>247</v>
      </c>
      <c r="T96" t="s">
        <v>3458</v>
      </c>
    </row>
    <row r="97" spans="1:20" x14ac:dyDescent="0.2">
      <c r="A97" t="s">
        <v>2621</v>
      </c>
      <c r="B97" t="s">
        <v>4287</v>
      </c>
      <c r="C97" t="s">
        <v>17352</v>
      </c>
      <c r="D97">
        <v>155454</v>
      </c>
      <c r="E97">
        <v>1868</v>
      </c>
      <c r="F97">
        <v>400</v>
      </c>
      <c r="G97" t="s">
        <v>3436</v>
      </c>
      <c r="H97" t="s">
        <v>3603</v>
      </c>
      <c r="I97">
        <v>455</v>
      </c>
      <c r="J97" t="s">
        <v>3438</v>
      </c>
      <c r="K97" t="s">
        <v>17353</v>
      </c>
      <c r="L97" t="s">
        <v>4286</v>
      </c>
      <c r="M97" t="s">
        <v>4288</v>
      </c>
      <c r="N97">
        <v>5653</v>
      </c>
      <c r="O97" t="s">
        <v>4290</v>
      </c>
      <c r="P97" t="s">
        <v>4290</v>
      </c>
      <c r="Q97" t="s">
        <v>4291</v>
      </c>
      <c r="R97">
        <v>5862</v>
      </c>
      <c r="S97">
        <v>5862</v>
      </c>
      <c r="T97" t="s">
        <v>3458</v>
      </c>
    </row>
    <row r="98" spans="1:20" x14ac:dyDescent="0.2">
      <c r="A98" t="s">
        <v>2614</v>
      </c>
      <c r="B98" t="s">
        <v>4296</v>
      </c>
      <c r="C98" t="s">
        <v>17354</v>
      </c>
      <c r="D98">
        <v>152039</v>
      </c>
      <c r="E98">
        <v>48153</v>
      </c>
      <c r="F98">
        <v>305</v>
      </c>
      <c r="G98" t="s">
        <v>3977</v>
      </c>
      <c r="H98" t="s">
        <v>4293</v>
      </c>
      <c r="I98">
        <v>1352</v>
      </c>
      <c r="J98" t="s">
        <v>3438</v>
      </c>
      <c r="K98" t="s">
        <v>17355</v>
      </c>
      <c r="L98" t="s">
        <v>4295</v>
      </c>
      <c r="M98" t="s">
        <v>4297</v>
      </c>
      <c r="N98">
        <v>141983</v>
      </c>
      <c r="O98" t="s">
        <v>4299</v>
      </c>
      <c r="P98" t="s">
        <v>4299</v>
      </c>
      <c r="Q98" t="s">
        <v>4300</v>
      </c>
      <c r="R98" s="5">
        <v>8.2308439680185595E+21</v>
      </c>
      <c r="S98" t="s">
        <v>17356</v>
      </c>
      <c r="T98" t="s">
        <v>3489</v>
      </c>
    </row>
    <row r="99" spans="1:20" x14ac:dyDescent="0.2">
      <c r="A99" t="s">
        <v>2600</v>
      </c>
      <c r="B99" t="s">
        <v>4304</v>
      </c>
      <c r="C99" t="s">
        <v>17357</v>
      </c>
      <c r="D99">
        <v>155492</v>
      </c>
      <c r="E99">
        <v>5086</v>
      </c>
      <c r="F99">
        <v>400</v>
      </c>
      <c r="G99" t="s">
        <v>3436</v>
      </c>
      <c r="H99" t="s">
        <v>3882</v>
      </c>
      <c r="I99">
        <v>6</v>
      </c>
      <c r="J99" t="s">
        <v>3438</v>
      </c>
      <c r="K99" t="s">
        <v>17358</v>
      </c>
      <c r="L99" t="s">
        <v>4303</v>
      </c>
      <c r="M99" t="s">
        <v>4305</v>
      </c>
      <c r="N99">
        <v>653</v>
      </c>
      <c r="O99" t="s">
        <v>4307</v>
      </c>
      <c r="P99" t="s">
        <v>4307</v>
      </c>
      <c r="Q99" t="s">
        <v>4308</v>
      </c>
      <c r="R99">
        <v>673</v>
      </c>
      <c r="S99">
        <v>673</v>
      </c>
      <c r="T99" t="s">
        <v>3458</v>
      </c>
    </row>
    <row r="100" spans="1:20" x14ac:dyDescent="0.2">
      <c r="A100" t="s">
        <v>13776</v>
      </c>
      <c r="B100" t="s">
        <v>26</v>
      </c>
      <c r="C100" t="s">
        <v>17359</v>
      </c>
      <c r="D100">
        <v>155351</v>
      </c>
      <c r="E100">
        <v>1126</v>
      </c>
      <c r="F100">
        <v>400</v>
      </c>
      <c r="G100" t="s">
        <v>3436</v>
      </c>
      <c r="H100" t="s">
        <v>3670</v>
      </c>
      <c r="I100">
        <v>29</v>
      </c>
      <c r="J100" t="s">
        <v>3438</v>
      </c>
      <c r="K100" t="s">
        <v>17360</v>
      </c>
      <c r="L100" t="s">
        <v>4311</v>
      </c>
      <c r="M100" t="s">
        <v>4312</v>
      </c>
      <c r="N100">
        <v>5735</v>
      </c>
      <c r="O100" t="s">
        <v>4314</v>
      </c>
      <c r="P100" t="s">
        <v>4314</v>
      </c>
      <c r="Q100" t="s">
        <v>4315</v>
      </c>
      <c r="R100">
        <v>5950</v>
      </c>
      <c r="S100">
        <v>5950</v>
      </c>
      <c r="T100" t="s">
        <v>3458</v>
      </c>
    </row>
    <row r="101" spans="1:20" x14ac:dyDescent="0.2">
      <c r="A101" t="s">
        <v>13777</v>
      </c>
      <c r="B101" t="s">
        <v>1068</v>
      </c>
      <c r="C101" t="s">
        <v>17361</v>
      </c>
      <c r="D101">
        <v>155353</v>
      </c>
      <c r="E101">
        <v>1299</v>
      </c>
      <c r="F101">
        <v>400</v>
      </c>
      <c r="G101" t="s">
        <v>3436</v>
      </c>
      <c r="H101" t="s">
        <v>3687</v>
      </c>
      <c r="I101">
        <v>162</v>
      </c>
      <c r="J101" t="s">
        <v>3438</v>
      </c>
      <c r="K101" t="s">
        <v>17362</v>
      </c>
      <c r="L101" t="s">
        <v>4318</v>
      </c>
      <c r="M101" t="s">
        <v>4319</v>
      </c>
      <c r="N101">
        <v>5833</v>
      </c>
      <c r="O101" t="s">
        <v>4321</v>
      </c>
      <c r="P101" t="s">
        <v>4321</v>
      </c>
      <c r="Q101" t="s">
        <v>4322</v>
      </c>
      <c r="R101">
        <v>6057</v>
      </c>
      <c r="S101">
        <v>6057</v>
      </c>
      <c r="T101" t="s">
        <v>3458</v>
      </c>
    </row>
    <row r="102" spans="1:20" x14ac:dyDescent="0.2">
      <c r="A102" t="s">
        <v>2625</v>
      </c>
      <c r="B102" t="s">
        <v>4335</v>
      </c>
      <c r="C102" t="s">
        <v>17363</v>
      </c>
      <c r="D102">
        <v>125870</v>
      </c>
      <c r="E102">
        <v>33442</v>
      </c>
      <c r="F102">
        <v>209</v>
      </c>
      <c r="G102" t="s">
        <v>3533</v>
      </c>
      <c r="H102" t="s">
        <v>3705</v>
      </c>
      <c r="I102">
        <v>4221</v>
      </c>
      <c r="J102" t="s">
        <v>3438</v>
      </c>
      <c r="K102" t="s">
        <v>17364</v>
      </c>
      <c r="L102" t="s">
        <v>4334</v>
      </c>
      <c r="M102" t="s">
        <v>4336</v>
      </c>
      <c r="N102">
        <v>21403010</v>
      </c>
      <c r="O102" t="s">
        <v>4338</v>
      </c>
      <c r="P102" t="s">
        <v>4338</v>
      </c>
      <c r="Q102" t="s">
        <v>4339</v>
      </c>
      <c r="R102">
        <v>15047</v>
      </c>
      <c r="S102">
        <v>15047</v>
      </c>
      <c r="T102" t="s">
        <v>3469</v>
      </c>
    </row>
    <row r="103" spans="1:20" x14ac:dyDescent="0.2">
      <c r="A103" t="s">
        <v>13779</v>
      </c>
      <c r="B103" t="s">
        <v>796</v>
      </c>
      <c r="C103" t="s">
        <v>17365</v>
      </c>
      <c r="D103">
        <v>160586</v>
      </c>
      <c r="E103">
        <v>48990</v>
      </c>
      <c r="F103">
        <v>305</v>
      </c>
      <c r="G103" t="s">
        <v>3977</v>
      </c>
      <c r="H103" t="s">
        <v>4084</v>
      </c>
      <c r="I103">
        <v>1239</v>
      </c>
      <c r="J103" t="s">
        <v>3438</v>
      </c>
      <c r="K103" t="s">
        <v>17366</v>
      </c>
      <c r="L103" t="s">
        <v>4342</v>
      </c>
      <c r="M103" t="s">
        <v>4343</v>
      </c>
      <c r="N103">
        <v>96901</v>
      </c>
      <c r="O103" t="s">
        <v>4345</v>
      </c>
      <c r="P103" t="s">
        <v>4345</v>
      </c>
      <c r="Q103" t="s">
        <v>4346</v>
      </c>
      <c r="R103">
        <v>1060</v>
      </c>
      <c r="S103">
        <v>1060</v>
      </c>
      <c r="T103" t="s">
        <v>3489</v>
      </c>
    </row>
    <row r="104" spans="1:20" x14ac:dyDescent="0.2">
      <c r="A104" t="s">
        <v>19097</v>
      </c>
      <c r="B104" t="s">
        <v>17367</v>
      </c>
      <c r="C104" t="s">
        <v>17368</v>
      </c>
      <c r="D104">
        <v>146484</v>
      </c>
      <c r="E104">
        <v>15581</v>
      </c>
      <c r="F104">
        <v>305</v>
      </c>
      <c r="G104" t="s">
        <v>3977</v>
      </c>
      <c r="H104" t="s">
        <v>4446</v>
      </c>
      <c r="I104">
        <v>1267</v>
      </c>
      <c r="J104" t="s">
        <v>3438</v>
      </c>
      <c r="K104" t="s">
        <v>17369</v>
      </c>
      <c r="L104" t="s">
        <v>17370</v>
      </c>
      <c r="M104" t="s">
        <v>17371</v>
      </c>
      <c r="N104">
        <v>85957</v>
      </c>
      <c r="O104" t="s">
        <v>17372</v>
      </c>
      <c r="P104" t="s">
        <v>17372</v>
      </c>
      <c r="Q104" t="s">
        <v>17373</v>
      </c>
      <c r="R104">
        <v>135191</v>
      </c>
      <c r="S104">
        <v>135191</v>
      </c>
      <c r="T104" t="s">
        <v>3489</v>
      </c>
    </row>
    <row r="105" spans="1:20" x14ac:dyDescent="0.2">
      <c r="A105" t="s">
        <v>2607</v>
      </c>
      <c r="B105" t="s">
        <v>4359</v>
      </c>
      <c r="C105" t="s">
        <v>17374</v>
      </c>
      <c r="D105">
        <v>155308</v>
      </c>
      <c r="E105">
        <v>514</v>
      </c>
      <c r="F105">
        <v>400</v>
      </c>
      <c r="G105" t="s">
        <v>3533</v>
      </c>
      <c r="H105" t="s">
        <v>4356</v>
      </c>
      <c r="I105">
        <v>4251</v>
      </c>
      <c r="J105" t="s">
        <v>3438</v>
      </c>
      <c r="K105" t="s">
        <v>17375</v>
      </c>
      <c r="L105" t="s">
        <v>4358</v>
      </c>
      <c r="M105" t="s">
        <v>4360</v>
      </c>
      <c r="N105">
        <v>5940</v>
      </c>
      <c r="O105" t="s">
        <v>4362</v>
      </c>
      <c r="P105" t="s">
        <v>4362</v>
      </c>
      <c r="Q105" t="s">
        <v>4363</v>
      </c>
      <c r="R105">
        <v>6175</v>
      </c>
      <c r="S105">
        <v>6175</v>
      </c>
      <c r="T105" t="s">
        <v>3458</v>
      </c>
    </row>
    <row r="106" spans="1:20" x14ac:dyDescent="0.2">
      <c r="A106" t="s">
        <v>2616</v>
      </c>
      <c r="B106" t="s">
        <v>4376</v>
      </c>
      <c r="C106" t="s">
        <v>17376</v>
      </c>
      <c r="D106">
        <v>155325</v>
      </c>
      <c r="E106">
        <v>569</v>
      </c>
      <c r="F106">
        <v>400</v>
      </c>
      <c r="G106" t="s">
        <v>3863</v>
      </c>
      <c r="H106" t="s">
        <v>4373</v>
      </c>
      <c r="I106">
        <v>4590</v>
      </c>
      <c r="J106" t="s">
        <v>3438</v>
      </c>
      <c r="K106" t="s">
        <v>17377</v>
      </c>
      <c r="L106" t="s">
        <v>4375</v>
      </c>
      <c r="M106" s="6">
        <v>21399</v>
      </c>
      <c r="N106">
        <v>2424</v>
      </c>
      <c r="O106" t="s">
        <v>4379</v>
      </c>
      <c r="P106" t="s">
        <v>4379</v>
      </c>
      <c r="Q106" t="s">
        <v>4380</v>
      </c>
      <c r="R106">
        <v>2519</v>
      </c>
      <c r="S106">
        <v>2519</v>
      </c>
      <c r="T106" t="s">
        <v>3458</v>
      </c>
    </row>
    <row r="107" spans="1:20" x14ac:dyDescent="0.2">
      <c r="A107" t="s">
        <v>2618</v>
      </c>
      <c r="B107" t="s">
        <v>4384</v>
      </c>
      <c r="C107" t="s">
        <v>17378</v>
      </c>
      <c r="D107">
        <v>153126</v>
      </c>
      <c r="E107">
        <v>48195</v>
      </c>
      <c r="F107">
        <v>305</v>
      </c>
      <c r="G107" t="s">
        <v>3977</v>
      </c>
      <c r="H107" t="s">
        <v>4293</v>
      </c>
      <c r="I107">
        <v>1346</v>
      </c>
      <c r="J107" t="s">
        <v>3438</v>
      </c>
      <c r="K107" t="s">
        <v>17379</v>
      </c>
      <c r="L107" t="s">
        <v>4383</v>
      </c>
      <c r="M107" t="s">
        <v>4385</v>
      </c>
      <c r="N107">
        <v>5764</v>
      </c>
      <c r="O107" t="s">
        <v>4387</v>
      </c>
      <c r="P107" t="s">
        <v>4387</v>
      </c>
      <c r="Q107" t="s">
        <v>4388</v>
      </c>
      <c r="R107">
        <v>2723872</v>
      </c>
      <c r="S107">
        <v>2723872</v>
      </c>
      <c r="T107" t="s">
        <v>3489</v>
      </c>
    </row>
    <row r="108" spans="1:20" x14ac:dyDescent="0.2">
      <c r="A108" t="s">
        <v>13783</v>
      </c>
      <c r="B108" t="s">
        <v>4400</v>
      </c>
      <c r="C108" t="s">
        <v>17380</v>
      </c>
      <c r="D108">
        <v>155326</v>
      </c>
      <c r="E108">
        <v>573</v>
      </c>
      <c r="F108">
        <v>400</v>
      </c>
      <c r="G108" t="s">
        <v>3533</v>
      </c>
      <c r="H108" t="s">
        <v>4356</v>
      </c>
      <c r="I108">
        <v>4252</v>
      </c>
      <c r="J108" t="s">
        <v>3438</v>
      </c>
      <c r="K108" t="s">
        <v>17381</v>
      </c>
      <c r="L108" t="s">
        <v>4399</v>
      </c>
      <c r="M108" t="s">
        <v>4401</v>
      </c>
      <c r="N108">
        <v>577</v>
      </c>
      <c r="O108" t="s">
        <v>4403</v>
      </c>
      <c r="P108" t="s">
        <v>4403</v>
      </c>
      <c r="Q108" t="s">
        <v>4404</v>
      </c>
      <c r="R108">
        <v>597</v>
      </c>
      <c r="S108">
        <v>597</v>
      </c>
      <c r="T108" t="s">
        <v>3458</v>
      </c>
    </row>
    <row r="109" spans="1:20" x14ac:dyDescent="0.2">
      <c r="A109" t="s">
        <v>2605</v>
      </c>
      <c r="B109" t="s">
        <v>4408</v>
      </c>
      <c r="C109" t="s">
        <v>17382</v>
      </c>
      <c r="D109">
        <v>125736</v>
      </c>
      <c r="E109">
        <v>1642</v>
      </c>
      <c r="F109">
        <v>209</v>
      </c>
      <c r="G109" t="s">
        <v>3459</v>
      </c>
      <c r="H109" t="s">
        <v>3569</v>
      </c>
      <c r="I109">
        <v>1494</v>
      </c>
      <c r="J109" t="s">
        <v>3438</v>
      </c>
      <c r="K109" t="s">
        <v>17383</v>
      </c>
      <c r="L109" t="s">
        <v>4407</v>
      </c>
      <c r="M109" t="s">
        <v>4409</v>
      </c>
      <c r="N109">
        <v>2863</v>
      </c>
      <c r="O109" t="s">
        <v>4411</v>
      </c>
      <c r="P109" t="s">
        <v>4411</v>
      </c>
      <c r="Q109" t="s">
        <v>4412</v>
      </c>
      <c r="R109">
        <v>2969</v>
      </c>
      <c r="S109">
        <v>2969</v>
      </c>
      <c r="T109" t="s">
        <v>3469</v>
      </c>
    </row>
    <row r="110" spans="1:20" x14ac:dyDescent="0.2">
      <c r="A110" t="s">
        <v>2657</v>
      </c>
      <c r="B110" t="s">
        <v>4416</v>
      </c>
      <c r="C110" t="s">
        <v>17384</v>
      </c>
      <c r="D110">
        <v>125718</v>
      </c>
      <c r="E110">
        <v>1121</v>
      </c>
      <c r="F110">
        <v>209</v>
      </c>
      <c r="G110" t="s">
        <v>3459</v>
      </c>
      <c r="H110" t="s">
        <v>4017</v>
      </c>
      <c r="I110">
        <v>1512</v>
      </c>
      <c r="J110" t="s">
        <v>3438</v>
      </c>
      <c r="K110" t="s">
        <v>17385</v>
      </c>
      <c r="L110" t="s">
        <v>4415</v>
      </c>
      <c r="M110" t="s">
        <v>4417</v>
      </c>
      <c r="N110">
        <v>10033</v>
      </c>
      <c r="O110" t="s">
        <v>4419</v>
      </c>
      <c r="P110" t="s">
        <v>4419</v>
      </c>
      <c r="R110">
        <v>10465</v>
      </c>
      <c r="S110">
        <v>10465</v>
      </c>
      <c r="T110" t="s">
        <v>3469</v>
      </c>
    </row>
    <row r="111" spans="1:20" x14ac:dyDescent="0.2">
      <c r="A111" t="s">
        <v>2641</v>
      </c>
      <c r="B111" t="s">
        <v>4423</v>
      </c>
      <c r="C111" t="s">
        <v>17386</v>
      </c>
      <c r="D111">
        <v>125722</v>
      </c>
      <c r="E111">
        <v>1356</v>
      </c>
      <c r="F111">
        <v>209</v>
      </c>
      <c r="G111" t="s">
        <v>3459</v>
      </c>
      <c r="H111" t="s">
        <v>4017</v>
      </c>
      <c r="I111">
        <v>1516</v>
      </c>
      <c r="J111" t="s">
        <v>3438</v>
      </c>
      <c r="K111" t="s">
        <v>17387</v>
      </c>
      <c r="L111" t="s">
        <v>4422</v>
      </c>
      <c r="M111" t="s">
        <v>4424</v>
      </c>
      <c r="N111">
        <v>12071</v>
      </c>
      <c r="O111" t="s">
        <v>4426</v>
      </c>
      <c r="P111" t="s">
        <v>4426</v>
      </c>
      <c r="Q111" t="s">
        <v>4427</v>
      </c>
      <c r="R111">
        <v>12591</v>
      </c>
      <c r="S111">
        <v>12591</v>
      </c>
      <c r="T111" t="s">
        <v>3469</v>
      </c>
    </row>
    <row r="112" spans="1:20" x14ac:dyDescent="0.2">
      <c r="A112" t="s">
        <v>2631</v>
      </c>
      <c r="B112" t="s">
        <v>4431</v>
      </c>
      <c r="C112" t="s">
        <v>17388</v>
      </c>
      <c r="D112">
        <v>125716</v>
      </c>
      <c r="E112">
        <v>1118</v>
      </c>
      <c r="F112">
        <v>209</v>
      </c>
      <c r="G112" t="s">
        <v>3459</v>
      </c>
      <c r="H112" t="s">
        <v>4017</v>
      </c>
      <c r="I112">
        <v>1517</v>
      </c>
      <c r="J112" t="s">
        <v>3438</v>
      </c>
      <c r="K112" t="s">
        <v>17389</v>
      </c>
      <c r="L112" t="s">
        <v>4430</v>
      </c>
      <c r="M112" t="s">
        <v>4432</v>
      </c>
      <c r="N112">
        <v>10035</v>
      </c>
      <c r="O112" t="s">
        <v>4434</v>
      </c>
      <c r="P112" t="s">
        <v>4434</v>
      </c>
      <c r="Q112" t="s">
        <v>4435</v>
      </c>
      <c r="R112">
        <v>10467</v>
      </c>
      <c r="S112">
        <v>10467</v>
      </c>
      <c r="T112" t="s">
        <v>3469</v>
      </c>
    </row>
    <row r="113" spans="1:20" x14ac:dyDescent="0.2">
      <c r="A113" t="s">
        <v>2633</v>
      </c>
      <c r="B113" t="s">
        <v>4440</v>
      </c>
      <c r="C113" t="s">
        <v>17390</v>
      </c>
      <c r="D113">
        <v>146486</v>
      </c>
      <c r="E113">
        <v>15586</v>
      </c>
      <c r="F113">
        <v>305</v>
      </c>
      <c r="G113" t="s">
        <v>3977</v>
      </c>
      <c r="H113" t="s">
        <v>4437</v>
      </c>
      <c r="I113">
        <v>1299</v>
      </c>
      <c r="J113" t="s">
        <v>3438</v>
      </c>
      <c r="K113" t="s">
        <v>17391</v>
      </c>
      <c r="L113" t="s">
        <v>4439</v>
      </c>
      <c r="M113" t="s">
        <v>4441</v>
      </c>
      <c r="N113">
        <v>388469</v>
      </c>
      <c r="O113" t="s">
        <v>4443</v>
      </c>
      <c r="P113" t="s">
        <v>4443</v>
      </c>
      <c r="Q113" t="s">
        <v>4444</v>
      </c>
      <c r="R113">
        <v>10991489</v>
      </c>
      <c r="S113">
        <v>10991489</v>
      </c>
      <c r="T113" t="s">
        <v>3489</v>
      </c>
    </row>
    <row r="114" spans="1:20" x14ac:dyDescent="0.2">
      <c r="A114" t="s">
        <v>2643</v>
      </c>
      <c r="B114" t="s">
        <v>4457</v>
      </c>
      <c r="C114" t="s">
        <v>17392</v>
      </c>
      <c r="D114">
        <v>155306</v>
      </c>
      <c r="E114">
        <v>512</v>
      </c>
      <c r="F114">
        <v>400</v>
      </c>
      <c r="G114" t="s">
        <v>3436</v>
      </c>
      <c r="H114" t="s">
        <v>3670</v>
      </c>
      <c r="I114">
        <v>40</v>
      </c>
      <c r="J114" t="s">
        <v>3438</v>
      </c>
      <c r="K114" t="s">
        <v>17393</v>
      </c>
      <c r="L114" t="s">
        <v>4456</v>
      </c>
      <c r="M114" t="s">
        <v>4458</v>
      </c>
      <c r="N114">
        <v>6031</v>
      </c>
      <c r="O114" t="s">
        <v>4460</v>
      </c>
      <c r="P114" t="s">
        <v>4460</v>
      </c>
      <c r="Q114" t="s">
        <v>4461</v>
      </c>
      <c r="R114">
        <v>6267</v>
      </c>
      <c r="S114">
        <v>6267</v>
      </c>
      <c r="T114" t="s">
        <v>3458</v>
      </c>
    </row>
    <row r="115" spans="1:20" x14ac:dyDescent="0.2">
      <c r="A115" t="s">
        <v>2635</v>
      </c>
      <c r="B115" t="s">
        <v>4466</v>
      </c>
      <c r="C115" t="s">
        <v>17394</v>
      </c>
      <c r="D115">
        <v>211070</v>
      </c>
      <c r="E115">
        <v>1759</v>
      </c>
      <c r="F115">
        <v>402</v>
      </c>
      <c r="G115" t="s">
        <v>3459</v>
      </c>
      <c r="H115" t="s">
        <v>4463</v>
      </c>
      <c r="I115">
        <v>3012</v>
      </c>
      <c r="J115" t="s">
        <v>3438</v>
      </c>
      <c r="K115" t="s">
        <v>17395</v>
      </c>
      <c r="L115" t="s">
        <v>4465</v>
      </c>
      <c r="M115" t="s">
        <v>4467</v>
      </c>
      <c r="N115">
        <v>4446686</v>
      </c>
      <c r="P115" t="s">
        <v>4469</v>
      </c>
      <c r="R115">
        <v>5283573</v>
      </c>
      <c r="S115">
        <v>5283573</v>
      </c>
      <c r="T115" t="s">
        <v>3447</v>
      </c>
    </row>
    <row r="116" spans="1:20" x14ac:dyDescent="0.2">
      <c r="A116" t="s">
        <v>2627</v>
      </c>
      <c r="B116" t="s">
        <v>4473</v>
      </c>
      <c r="C116" t="s">
        <v>17396</v>
      </c>
      <c r="D116">
        <v>145712</v>
      </c>
      <c r="E116">
        <v>601</v>
      </c>
      <c r="F116">
        <v>305</v>
      </c>
      <c r="G116" t="s">
        <v>3533</v>
      </c>
      <c r="H116" t="s">
        <v>4050</v>
      </c>
      <c r="I116">
        <v>4206</v>
      </c>
      <c r="J116" t="s">
        <v>3438</v>
      </c>
      <c r="K116" t="s">
        <v>17397</v>
      </c>
      <c r="L116" t="s">
        <v>4472</v>
      </c>
      <c r="M116" t="s">
        <v>4474</v>
      </c>
      <c r="N116">
        <v>628</v>
      </c>
      <c r="O116" t="s">
        <v>4476</v>
      </c>
      <c r="P116" t="s">
        <v>4476</v>
      </c>
      <c r="Q116" t="s">
        <v>4477</v>
      </c>
      <c r="R116">
        <v>648</v>
      </c>
      <c r="S116">
        <v>648</v>
      </c>
      <c r="T116" t="s">
        <v>3489</v>
      </c>
    </row>
    <row r="117" spans="1:20" x14ac:dyDescent="0.2">
      <c r="A117" t="s">
        <v>2639</v>
      </c>
      <c r="B117" t="s">
        <v>4489</v>
      </c>
      <c r="C117" t="s">
        <v>17398</v>
      </c>
      <c r="D117">
        <v>125850</v>
      </c>
      <c r="E117">
        <v>32489</v>
      </c>
      <c r="F117">
        <v>209</v>
      </c>
      <c r="G117" t="s">
        <v>3459</v>
      </c>
      <c r="H117" t="s">
        <v>3569</v>
      </c>
      <c r="I117">
        <v>1489</v>
      </c>
      <c r="J117" t="s">
        <v>3438</v>
      </c>
      <c r="K117" t="s">
        <v>17399</v>
      </c>
      <c r="L117" t="s">
        <v>4488</v>
      </c>
      <c r="M117" t="s">
        <v>4490</v>
      </c>
      <c r="N117">
        <v>8552</v>
      </c>
      <c r="O117" t="s">
        <v>4492</v>
      </c>
      <c r="P117" t="s">
        <v>4492</v>
      </c>
      <c r="Q117" t="s">
        <v>4493</v>
      </c>
      <c r="R117">
        <v>8892</v>
      </c>
      <c r="S117">
        <v>8892</v>
      </c>
      <c r="T117" t="s">
        <v>3469</v>
      </c>
    </row>
    <row r="118" spans="1:20" x14ac:dyDescent="0.2">
      <c r="A118" t="s">
        <v>2629</v>
      </c>
      <c r="B118" t="s">
        <v>4497</v>
      </c>
      <c r="C118" t="s">
        <v>17400</v>
      </c>
      <c r="D118">
        <v>125852</v>
      </c>
      <c r="E118">
        <v>32492</v>
      </c>
      <c r="F118">
        <v>209</v>
      </c>
      <c r="G118" t="s">
        <v>3459</v>
      </c>
      <c r="H118" t="s">
        <v>3569</v>
      </c>
      <c r="I118">
        <v>1491</v>
      </c>
      <c r="J118" t="s">
        <v>3438</v>
      </c>
      <c r="K118" t="s">
        <v>17401</v>
      </c>
      <c r="L118" t="s">
        <v>4496</v>
      </c>
      <c r="M118" t="s">
        <v>4498</v>
      </c>
      <c r="N118">
        <v>370</v>
      </c>
      <c r="O118" t="s">
        <v>4500</v>
      </c>
      <c r="P118" t="s">
        <v>4500</v>
      </c>
      <c r="Q118" t="s">
        <v>4501</v>
      </c>
      <c r="R118">
        <v>379</v>
      </c>
      <c r="S118">
        <v>379</v>
      </c>
      <c r="T118" t="s">
        <v>3469</v>
      </c>
    </row>
    <row r="119" spans="1:20" x14ac:dyDescent="0.2">
      <c r="A119" t="s">
        <v>2637</v>
      </c>
      <c r="B119" t="s">
        <v>4505</v>
      </c>
      <c r="C119" t="s">
        <v>17402</v>
      </c>
      <c r="D119">
        <v>124565</v>
      </c>
      <c r="E119">
        <v>1519</v>
      </c>
      <c r="F119">
        <v>209</v>
      </c>
      <c r="G119" t="s">
        <v>3977</v>
      </c>
      <c r="H119" t="s">
        <v>3978</v>
      </c>
      <c r="I119">
        <v>1325</v>
      </c>
      <c r="J119" t="s">
        <v>3438</v>
      </c>
      <c r="K119" t="s">
        <v>17403</v>
      </c>
      <c r="L119" t="s">
        <v>4504</v>
      </c>
      <c r="M119" t="s">
        <v>4506</v>
      </c>
      <c r="N119">
        <v>5768</v>
      </c>
      <c r="O119" t="s">
        <v>4508</v>
      </c>
      <c r="P119" t="s">
        <v>4508</v>
      </c>
      <c r="Q119" t="s">
        <v>4509</v>
      </c>
      <c r="R119">
        <v>5988</v>
      </c>
      <c r="S119">
        <v>5988</v>
      </c>
      <c r="T119" t="s">
        <v>3469</v>
      </c>
    </row>
    <row r="120" spans="1:20" x14ac:dyDescent="0.2">
      <c r="A120" t="s">
        <v>2653</v>
      </c>
      <c r="B120" t="s">
        <v>4513</v>
      </c>
      <c r="C120" t="s">
        <v>17404</v>
      </c>
      <c r="D120">
        <v>125726</v>
      </c>
      <c r="E120">
        <v>1361</v>
      </c>
      <c r="F120">
        <v>209</v>
      </c>
      <c r="G120" t="s">
        <v>3459</v>
      </c>
      <c r="H120" t="s">
        <v>4017</v>
      </c>
      <c r="I120">
        <v>1509</v>
      </c>
      <c r="J120" t="s">
        <v>3438</v>
      </c>
      <c r="K120" t="s">
        <v>17405</v>
      </c>
      <c r="L120" t="s">
        <v>4512</v>
      </c>
      <c r="M120" t="s">
        <v>4514</v>
      </c>
      <c r="N120">
        <v>13249</v>
      </c>
      <c r="O120" t="s">
        <v>4516</v>
      </c>
      <c r="P120" t="s">
        <v>4516</v>
      </c>
      <c r="Q120" t="s">
        <v>4517</v>
      </c>
      <c r="R120">
        <v>13849</v>
      </c>
      <c r="S120">
        <v>13849</v>
      </c>
      <c r="T120" t="s">
        <v>3469</v>
      </c>
    </row>
    <row r="121" spans="1:20" x14ac:dyDescent="0.2">
      <c r="A121" t="s">
        <v>2365</v>
      </c>
      <c r="B121" t="s">
        <v>4521</v>
      </c>
      <c r="C121" t="s">
        <v>17406</v>
      </c>
      <c r="D121">
        <v>155905</v>
      </c>
      <c r="E121">
        <v>32306</v>
      </c>
      <c r="F121">
        <v>400</v>
      </c>
      <c r="G121" t="s">
        <v>3436</v>
      </c>
      <c r="H121" t="s">
        <v>3661</v>
      </c>
      <c r="I121">
        <v>513</v>
      </c>
      <c r="J121" t="s">
        <v>3438</v>
      </c>
      <c r="K121" t="s">
        <v>17407</v>
      </c>
      <c r="L121" t="s">
        <v>4520</v>
      </c>
      <c r="M121" t="s">
        <v>4523</v>
      </c>
      <c r="N121">
        <v>5605</v>
      </c>
      <c r="O121" t="s">
        <v>4525</v>
      </c>
      <c r="P121" t="s">
        <v>4525</v>
      </c>
      <c r="Q121" t="s">
        <v>4526</v>
      </c>
      <c r="R121">
        <v>5810</v>
      </c>
      <c r="S121">
        <v>5810</v>
      </c>
      <c r="T121" t="s">
        <v>3458</v>
      </c>
    </row>
    <row r="122" spans="1:20" x14ac:dyDescent="0.2">
      <c r="A122" t="s">
        <v>2353</v>
      </c>
      <c r="B122" t="s">
        <v>4530</v>
      </c>
      <c r="C122" t="s">
        <v>17408</v>
      </c>
      <c r="D122">
        <v>146424</v>
      </c>
      <c r="E122">
        <v>1107</v>
      </c>
      <c r="F122">
        <v>305</v>
      </c>
      <c r="G122" t="s">
        <v>3533</v>
      </c>
      <c r="H122" t="s">
        <v>3543</v>
      </c>
      <c r="I122">
        <v>4133</v>
      </c>
      <c r="J122" t="s">
        <v>3438</v>
      </c>
      <c r="K122" t="s">
        <v>17409</v>
      </c>
      <c r="L122" t="s">
        <v>4529</v>
      </c>
      <c r="M122" t="s">
        <v>4531</v>
      </c>
      <c r="N122">
        <v>199</v>
      </c>
      <c r="O122" t="s">
        <v>4533</v>
      </c>
      <c r="P122" t="s">
        <v>4533</v>
      </c>
      <c r="Q122" t="s">
        <v>4534</v>
      </c>
      <c r="R122" s="5">
        <v>439714204439713</v>
      </c>
      <c r="S122" t="s">
        <v>17410</v>
      </c>
      <c r="T122" t="s">
        <v>3489</v>
      </c>
    </row>
    <row r="123" spans="1:20" x14ac:dyDescent="0.2">
      <c r="A123" t="s">
        <v>2351</v>
      </c>
      <c r="B123" t="s">
        <v>4538</v>
      </c>
      <c r="C123" t="s">
        <v>17411</v>
      </c>
      <c r="D123">
        <v>147146</v>
      </c>
      <c r="E123">
        <v>3147</v>
      </c>
      <c r="F123">
        <v>305</v>
      </c>
      <c r="G123" t="s">
        <v>3533</v>
      </c>
      <c r="H123" t="s">
        <v>3543</v>
      </c>
      <c r="I123">
        <v>4121</v>
      </c>
      <c r="J123" t="s">
        <v>3438</v>
      </c>
      <c r="K123" t="s">
        <v>17412</v>
      </c>
      <c r="L123" t="s">
        <v>4537</v>
      </c>
      <c r="M123" t="s">
        <v>4539</v>
      </c>
      <c r="N123">
        <v>1151</v>
      </c>
      <c r="O123" t="s">
        <v>4541</v>
      </c>
      <c r="P123" t="s">
        <v>4541</v>
      </c>
      <c r="Q123" t="s">
        <v>4542</v>
      </c>
      <c r="R123">
        <v>1188</v>
      </c>
      <c r="S123">
        <v>1188</v>
      </c>
      <c r="T123" t="s">
        <v>3489</v>
      </c>
    </row>
    <row r="124" spans="1:20" x14ac:dyDescent="0.2">
      <c r="A124" t="s">
        <v>2341</v>
      </c>
      <c r="B124" t="s">
        <v>4546</v>
      </c>
      <c r="C124" t="s">
        <v>17413</v>
      </c>
      <c r="D124">
        <v>123209</v>
      </c>
      <c r="E124">
        <v>1494</v>
      </c>
      <c r="F124">
        <v>209</v>
      </c>
      <c r="G124" t="s">
        <v>3436</v>
      </c>
      <c r="H124" t="s">
        <v>3793</v>
      </c>
      <c r="I124">
        <v>579</v>
      </c>
      <c r="J124" t="s">
        <v>3438</v>
      </c>
      <c r="K124" t="s">
        <v>17414</v>
      </c>
      <c r="L124" t="s">
        <v>4545</v>
      </c>
      <c r="M124" t="s">
        <v>4547</v>
      </c>
      <c r="N124">
        <v>7127</v>
      </c>
      <c r="O124" t="s">
        <v>4549</v>
      </c>
      <c r="P124" t="s">
        <v>4549</v>
      </c>
      <c r="Q124" t="s">
        <v>4550</v>
      </c>
      <c r="R124" s="5">
        <v>4396857405</v>
      </c>
      <c r="S124" t="s">
        <v>17415</v>
      </c>
      <c r="T124" t="s">
        <v>3469</v>
      </c>
    </row>
    <row r="125" spans="1:20" x14ac:dyDescent="0.2">
      <c r="A125" t="s">
        <v>2345</v>
      </c>
      <c r="B125" t="s">
        <v>4554</v>
      </c>
      <c r="C125" t="s">
        <v>17416</v>
      </c>
      <c r="D125">
        <v>155387</v>
      </c>
      <c r="E125">
        <v>1512</v>
      </c>
      <c r="F125">
        <v>400</v>
      </c>
      <c r="G125" t="s">
        <v>3436</v>
      </c>
      <c r="H125" t="s">
        <v>3470</v>
      </c>
      <c r="I125">
        <v>282</v>
      </c>
      <c r="J125" t="s">
        <v>3438</v>
      </c>
      <c r="K125" t="s">
        <v>17417</v>
      </c>
      <c r="L125" t="s">
        <v>4553</v>
      </c>
      <c r="M125" t="s">
        <v>4555</v>
      </c>
      <c r="N125">
        <v>993</v>
      </c>
      <c r="O125" t="s">
        <v>4557</v>
      </c>
      <c r="P125" t="s">
        <v>4557</v>
      </c>
      <c r="Q125" t="s">
        <v>4558</v>
      </c>
      <c r="R125">
        <v>1018</v>
      </c>
      <c r="S125">
        <v>1018</v>
      </c>
      <c r="T125" t="s">
        <v>3458</v>
      </c>
    </row>
    <row r="126" spans="1:20" x14ac:dyDescent="0.2">
      <c r="A126" t="s">
        <v>2363</v>
      </c>
      <c r="B126" t="s">
        <v>4562</v>
      </c>
      <c r="C126" t="s">
        <v>17418</v>
      </c>
      <c r="D126">
        <v>155390</v>
      </c>
      <c r="E126">
        <v>1516</v>
      </c>
      <c r="F126">
        <v>400</v>
      </c>
      <c r="G126" t="s">
        <v>3436</v>
      </c>
      <c r="H126" t="s">
        <v>3882</v>
      </c>
      <c r="I126">
        <v>5</v>
      </c>
      <c r="J126" t="s">
        <v>3438</v>
      </c>
      <c r="K126" t="s">
        <v>17419</v>
      </c>
      <c r="L126" t="s">
        <v>4561</v>
      </c>
      <c r="M126" t="s">
        <v>4563</v>
      </c>
      <c r="N126">
        <v>1057</v>
      </c>
      <c r="O126" t="s">
        <v>4565</v>
      </c>
      <c r="P126" t="s">
        <v>4565</v>
      </c>
      <c r="Q126" t="s">
        <v>4566</v>
      </c>
      <c r="R126">
        <v>1088</v>
      </c>
      <c r="S126">
        <v>1088</v>
      </c>
      <c r="T126" t="s">
        <v>3458</v>
      </c>
    </row>
    <row r="127" spans="1:20" x14ac:dyDescent="0.2">
      <c r="A127" t="s">
        <v>2339</v>
      </c>
      <c r="B127" t="s">
        <v>4571</v>
      </c>
      <c r="C127" t="s">
        <v>17420</v>
      </c>
      <c r="D127">
        <v>124797</v>
      </c>
      <c r="E127">
        <v>1508</v>
      </c>
      <c r="F127">
        <v>209</v>
      </c>
      <c r="G127" t="s">
        <v>3448</v>
      </c>
      <c r="H127" t="s">
        <v>4568</v>
      </c>
      <c r="I127">
        <v>4336</v>
      </c>
      <c r="J127" t="s">
        <v>3438</v>
      </c>
      <c r="K127" t="s">
        <v>17421</v>
      </c>
      <c r="L127" t="s">
        <v>4570</v>
      </c>
      <c r="M127" t="s">
        <v>4573</v>
      </c>
      <c r="N127">
        <v>6361</v>
      </c>
      <c r="O127" t="s">
        <v>4575</v>
      </c>
      <c r="P127" t="s">
        <v>4575</v>
      </c>
      <c r="Q127" t="s">
        <v>4576</v>
      </c>
      <c r="R127">
        <v>6613</v>
      </c>
      <c r="S127">
        <v>6613</v>
      </c>
      <c r="T127" t="s">
        <v>3469</v>
      </c>
    </row>
    <row r="128" spans="1:20" x14ac:dyDescent="0.2">
      <c r="A128" t="s">
        <v>2369</v>
      </c>
      <c r="B128" t="s">
        <v>4580</v>
      </c>
      <c r="C128" t="s">
        <v>17422</v>
      </c>
      <c r="D128">
        <v>155369</v>
      </c>
      <c r="E128">
        <v>1444</v>
      </c>
      <c r="F128">
        <v>400</v>
      </c>
      <c r="G128" t="s">
        <v>3436</v>
      </c>
      <c r="H128" t="s">
        <v>3586</v>
      </c>
      <c r="I128">
        <v>131</v>
      </c>
      <c r="J128" t="s">
        <v>3438</v>
      </c>
      <c r="L128" t="s">
        <v>4579</v>
      </c>
      <c r="M128" t="s">
        <v>4581</v>
      </c>
      <c r="P128" t="s">
        <v>17423</v>
      </c>
      <c r="S128">
        <v>849</v>
      </c>
      <c r="T128" t="s">
        <v>3458</v>
      </c>
    </row>
    <row r="129" spans="1:20" x14ac:dyDescent="0.2">
      <c r="A129" t="s">
        <v>2343</v>
      </c>
      <c r="B129" t="s">
        <v>4585</v>
      </c>
      <c r="C129" t="s">
        <v>17424</v>
      </c>
      <c r="D129">
        <v>155428</v>
      </c>
      <c r="E129">
        <v>1600</v>
      </c>
      <c r="F129">
        <v>400</v>
      </c>
      <c r="G129" t="s">
        <v>3459</v>
      </c>
      <c r="H129" t="s">
        <v>3758</v>
      </c>
      <c r="I129">
        <v>2238</v>
      </c>
      <c r="J129" t="s">
        <v>3438</v>
      </c>
      <c r="K129" t="s">
        <v>17425</v>
      </c>
      <c r="L129" t="s">
        <v>4584</v>
      </c>
      <c r="M129" t="s">
        <v>4587</v>
      </c>
      <c r="N129">
        <v>990</v>
      </c>
      <c r="O129" t="s">
        <v>4589</v>
      </c>
      <c r="P129" t="s">
        <v>4589</v>
      </c>
      <c r="Q129" t="s">
        <v>4590</v>
      </c>
      <c r="R129">
        <v>1015</v>
      </c>
      <c r="S129">
        <v>1015</v>
      </c>
      <c r="T129" t="s">
        <v>3458</v>
      </c>
    </row>
    <row r="130" spans="1:20" x14ac:dyDescent="0.2">
      <c r="A130" t="s">
        <v>2361</v>
      </c>
      <c r="B130" t="s">
        <v>4594</v>
      </c>
      <c r="C130" t="s">
        <v>17426</v>
      </c>
      <c r="D130">
        <v>146444</v>
      </c>
      <c r="E130">
        <v>1572</v>
      </c>
      <c r="F130">
        <v>305</v>
      </c>
      <c r="G130" t="s">
        <v>3977</v>
      </c>
      <c r="H130" t="s">
        <v>4084</v>
      </c>
      <c r="I130">
        <v>1243</v>
      </c>
      <c r="J130" t="s">
        <v>3438</v>
      </c>
      <c r="K130" t="s">
        <v>17427</v>
      </c>
      <c r="L130" t="s">
        <v>4593</v>
      </c>
      <c r="M130" t="s">
        <v>4595</v>
      </c>
      <c r="N130">
        <v>732</v>
      </c>
      <c r="O130" t="s">
        <v>4597</v>
      </c>
      <c r="P130" t="s">
        <v>4597</v>
      </c>
      <c r="Q130" t="s">
        <v>4598</v>
      </c>
      <c r="R130" s="5">
        <v>439194752</v>
      </c>
      <c r="S130" t="s">
        <v>17428</v>
      </c>
      <c r="T130" t="s">
        <v>3489</v>
      </c>
    </row>
    <row r="131" spans="1:20" x14ac:dyDescent="0.2">
      <c r="A131" t="s">
        <v>2347</v>
      </c>
      <c r="B131" t="s">
        <v>4602</v>
      </c>
      <c r="C131" t="s">
        <v>17429</v>
      </c>
      <c r="D131">
        <v>155489</v>
      </c>
      <c r="E131">
        <v>3155</v>
      </c>
      <c r="F131">
        <v>400</v>
      </c>
      <c r="G131" t="s">
        <v>3533</v>
      </c>
      <c r="H131" t="s">
        <v>3705</v>
      </c>
      <c r="I131">
        <v>4238</v>
      </c>
      <c r="J131" t="s">
        <v>3438</v>
      </c>
      <c r="K131" t="s">
        <v>17430</v>
      </c>
      <c r="L131" t="s">
        <v>4601</v>
      </c>
      <c r="M131" t="s">
        <v>4603</v>
      </c>
      <c r="N131">
        <v>109</v>
      </c>
      <c r="O131" t="s">
        <v>4605</v>
      </c>
      <c r="P131" t="s">
        <v>4605</v>
      </c>
      <c r="Q131" t="s">
        <v>4606</v>
      </c>
      <c r="R131">
        <v>111</v>
      </c>
      <c r="S131">
        <v>111</v>
      </c>
      <c r="T131" t="s">
        <v>3458</v>
      </c>
    </row>
    <row r="132" spans="1:20" x14ac:dyDescent="0.2">
      <c r="A132" t="s">
        <v>2357</v>
      </c>
      <c r="B132" t="s">
        <v>4610</v>
      </c>
      <c r="C132" t="s">
        <v>17431</v>
      </c>
      <c r="D132">
        <v>126818</v>
      </c>
      <c r="E132">
        <v>1587</v>
      </c>
      <c r="F132">
        <v>209</v>
      </c>
      <c r="G132" t="s">
        <v>3436</v>
      </c>
      <c r="H132" t="s">
        <v>3498</v>
      </c>
      <c r="I132">
        <v>336</v>
      </c>
      <c r="J132" t="s">
        <v>3438</v>
      </c>
      <c r="K132" t="s">
        <v>17432</v>
      </c>
      <c r="L132" t="s">
        <v>4609</v>
      </c>
      <c r="M132" t="s">
        <v>4611</v>
      </c>
      <c r="N132">
        <v>64075</v>
      </c>
      <c r="O132" t="s">
        <v>4613</v>
      </c>
      <c r="P132" t="s">
        <v>4613</v>
      </c>
      <c r="Q132" t="s">
        <v>4614</v>
      </c>
      <c r="R132">
        <v>70912</v>
      </c>
      <c r="S132">
        <v>70912</v>
      </c>
      <c r="T132" t="s">
        <v>3469</v>
      </c>
    </row>
    <row r="133" spans="1:20" x14ac:dyDescent="0.2">
      <c r="A133" t="s">
        <v>2359</v>
      </c>
      <c r="B133" t="s">
        <v>4618</v>
      </c>
      <c r="C133" t="s">
        <v>17433</v>
      </c>
      <c r="D133">
        <v>124587</v>
      </c>
      <c r="E133">
        <v>1589</v>
      </c>
      <c r="F133">
        <v>209</v>
      </c>
      <c r="G133" t="s">
        <v>3436</v>
      </c>
      <c r="H133" t="s">
        <v>3603</v>
      </c>
      <c r="I133">
        <v>435</v>
      </c>
      <c r="J133" t="s">
        <v>3438</v>
      </c>
      <c r="K133" t="s">
        <v>17434</v>
      </c>
      <c r="L133" t="s">
        <v>4617</v>
      </c>
      <c r="M133" t="s">
        <v>4619</v>
      </c>
      <c r="N133">
        <v>395338</v>
      </c>
      <c r="O133" t="s">
        <v>4621</v>
      </c>
      <c r="P133" t="s">
        <v>4621</v>
      </c>
      <c r="Q133" t="s">
        <v>4622</v>
      </c>
      <c r="R133">
        <v>448580</v>
      </c>
      <c r="S133">
        <v>448580</v>
      </c>
      <c r="T133" t="s">
        <v>3469</v>
      </c>
    </row>
    <row r="134" spans="1:20" x14ac:dyDescent="0.2">
      <c r="A134" t="s">
        <v>2355</v>
      </c>
      <c r="B134" t="s">
        <v>4626</v>
      </c>
      <c r="C134" t="s">
        <v>17435</v>
      </c>
      <c r="D134">
        <v>124807</v>
      </c>
      <c r="E134">
        <v>1591</v>
      </c>
      <c r="F134">
        <v>209</v>
      </c>
      <c r="G134" t="s">
        <v>3436</v>
      </c>
      <c r="H134" t="s">
        <v>3498</v>
      </c>
      <c r="I134">
        <v>417</v>
      </c>
      <c r="J134" t="s">
        <v>3438</v>
      </c>
      <c r="K134" t="s">
        <v>17436</v>
      </c>
      <c r="L134" t="s">
        <v>4625</v>
      </c>
      <c r="M134" t="s">
        <v>4627</v>
      </c>
      <c r="N134">
        <v>60154</v>
      </c>
      <c r="O134" t="s">
        <v>4629</v>
      </c>
      <c r="P134" t="s">
        <v>4629</v>
      </c>
      <c r="R134">
        <v>66789</v>
      </c>
      <c r="S134">
        <v>66789</v>
      </c>
      <c r="T134" t="s">
        <v>3469</v>
      </c>
    </row>
    <row r="135" spans="1:20" x14ac:dyDescent="0.2">
      <c r="A135" t="s">
        <v>2349</v>
      </c>
      <c r="B135" t="s">
        <v>4633</v>
      </c>
      <c r="C135" t="s">
        <v>17437</v>
      </c>
      <c r="D135">
        <v>125983</v>
      </c>
      <c r="E135">
        <v>1552</v>
      </c>
      <c r="F135">
        <v>209</v>
      </c>
      <c r="G135" t="s">
        <v>3459</v>
      </c>
      <c r="H135" t="s">
        <v>4059</v>
      </c>
      <c r="I135">
        <v>1547</v>
      </c>
      <c r="J135" t="s">
        <v>3438</v>
      </c>
      <c r="K135" t="s">
        <v>17438</v>
      </c>
      <c r="L135" t="s">
        <v>4632</v>
      </c>
      <c r="M135" t="s">
        <v>4634</v>
      </c>
      <c r="N135">
        <v>7924</v>
      </c>
      <c r="O135" t="s">
        <v>4636</v>
      </c>
      <c r="P135" t="s">
        <v>4636</v>
      </c>
      <c r="Q135" t="s">
        <v>4637</v>
      </c>
      <c r="R135" s="5">
        <v>82165281116</v>
      </c>
      <c r="S135">
        <v>5281116</v>
      </c>
      <c r="T135" t="s">
        <v>3469</v>
      </c>
    </row>
    <row r="136" spans="1:20" x14ac:dyDescent="0.2">
      <c r="A136" t="s">
        <v>3097</v>
      </c>
      <c r="B136" t="s">
        <v>4641</v>
      </c>
      <c r="C136" t="s">
        <v>17439</v>
      </c>
      <c r="D136">
        <v>159596</v>
      </c>
      <c r="E136">
        <v>43807</v>
      </c>
      <c r="F136">
        <v>402</v>
      </c>
      <c r="G136" t="s">
        <v>3448</v>
      </c>
      <c r="H136" t="s">
        <v>3714</v>
      </c>
      <c r="I136">
        <v>4408</v>
      </c>
      <c r="J136" t="s">
        <v>3438</v>
      </c>
      <c r="K136" t="s">
        <v>17440</v>
      </c>
      <c r="L136" t="s">
        <v>4640</v>
      </c>
      <c r="M136" t="s">
        <v>4643</v>
      </c>
      <c r="N136">
        <v>4444055</v>
      </c>
      <c r="O136" t="s">
        <v>4645</v>
      </c>
      <c r="P136" t="s">
        <v>4645</v>
      </c>
      <c r="Q136" t="s">
        <v>4646</v>
      </c>
      <c r="R136">
        <v>5280352</v>
      </c>
      <c r="S136">
        <v>5280352</v>
      </c>
      <c r="T136" t="s">
        <v>3447</v>
      </c>
    </row>
    <row r="137" spans="1:20" x14ac:dyDescent="0.2">
      <c r="A137" t="s">
        <v>2367</v>
      </c>
      <c r="B137" t="s">
        <v>4650</v>
      </c>
      <c r="C137" t="s">
        <v>17441</v>
      </c>
      <c r="D137">
        <v>161549</v>
      </c>
      <c r="E137">
        <v>2761</v>
      </c>
      <c r="F137">
        <v>209</v>
      </c>
      <c r="G137" t="s">
        <v>3436</v>
      </c>
      <c r="H137" t="s">
        <v>3687</v>
      </c>
      <c r="I137">
        <v>245</v>
      </c>
      <c r="J137" t="s">
        <v>3438</v>
      </c>
      <c r="K137" t="s">
        <v>17442</v>
      </c>
      <c r="L137" t="s">
        <v>4649</v>
      </c>
      <c r="M137" t="s">
        <v>4651</v>
      </c>
      <c r="N137">
        <v>5614</v>
      </c>
      <c r="O137" t="s">
        <v>4653</v>
      </c>
      <c r="P137" t="s">
        <v>4653</v>
      </c>
      <c r="Q137" t="s">
        <v>4654</v>
      </c>
      <c r="R137">
        <v>5819</v>
      </c>
      <c r="S137">
        <v>5819</v>
      </c>
      <c r="T137" t="s">
        <v>3469</v>
      </c>
    </row>
    <row r="138" spans="1:20" x14ac:dyDescent="0.2">
      <c r="A138" t="s">
        <v>2371</v>
      </c>
      <c r="B138" t="s">
        <v>4667</v>
      </c>
      <c r="C138" t="s">
        <v>17443</v>
      </c>
      <c r="D138">
        <v>155471</v>
      </c>
      <c r="E138">
        <v>2734</v>
      </c>
      <c r="F138">
        <v>400</v>
      </c>
      <c r="G138" t="s">
        <v>3853</v>
      </c>
      <c r="H138" t="s">
        <v>3854</v>
      </c>
      <c r="I138">
        <v>646</v>
      </c>
      <c r="J138" t="s">
        <v>3438</v>
      </c>
      <c r="K138" t="s">
        <v>17444</v>
      </c>
      <c r="L138" t="s">
        <v>4666</v>
      </c>
      <c r="M138" t="s">
        <v>4668</v>
      </c>
      <c r="N138">
        <v>85142</v>
      </c>
      <c r="O138" t="s">
        <v>4670</v>
      </c>
      <c r="P138" t="s">
        <v>4670</v>
      </c>
      <c r="R138">
        <v>94340</v>
      </c>
      <c r="S138">
        <v>94340</v>
      </c>
      <c r="T138" t="s">
        <v>3458</v>
      </c>
    </row>
    <row r="139" spans="1:20" x14ac:dyDescent="0.2">
      <c r="A139" t="s">
        <v>2373</v>
      </c>
      <c r="B139" t="s">
        <v>4674</v>
      </c>
      <c r="C139" t="s">
        <v>17445</v>
      </c>
      <c r="D139">
        <v>155418</v>
      </c>
      <c r="E139">
        <v>1584</v>
      </c>
      <c r="F139">
        <v>400</v>
      </c>
      <c r="G139" t="s">
        <v>3863</v>
      </c>
      <c r="H139" t="s">
        <v>3864</v>
      </c>
      <c r="I139">
        <v>4963</v>
      </c>
      <c r="J139" t="s">
        <v>3438</v>
      </c>
      <c r="K139" t="s">
        <v>17446</v>
      </c>
      <c r="L139" t="s">
        <v>4673</v>
      </c>
      <c r="M139" t="s">
        <v>4675</v>
      </c>
      <c r="N139">
        <v>67279</v>
      </c>
      <c r="O139" t="s">
        <v>4677</v>
      </c>
      <c r="P139" t="s">
        <v>4677</v>
      </c>
      <c r="R139">
        <v>74706</v>
      </c>
      <c r="S139">
        <v>74706</v>
      </c>
      <c r="T139" t="s">
        <v>3458</v>
      </c>
    </row>
    <row r="140" spans="1:20" x14ac:dyDescent="0.2">
      <c r="A140" t="s">
        <v>2385</v>
      </c>
      <c r="B140" t="s">
        <v>4682</v>
      </c>
      <c r="C140" t="s">
        <v>17447</v>
      </c>
      <c r="D140">
        <v>164189</v>
      </c>
      <c r="E140">
        <v>1561</v>
      </c>
      <c r="F140">
        <v>402</v>
      </c>
      <c r="G140" t="s">
        <v>3448</v>
      </c>
      <c r="H140" t="s">
        <v>4679</v>
      </c>
      <c r="I140">
        <v>4360</v>
      </c>
      <c r="J140" t="s">
        <v>3438</v>
      </c>
      <c r="K140" t="s">
        <v>17448</v>
      </c>
      <c r="L140" t="s">
        <v>4681</v>
      </c>
      <c r="M140" t="s">
        <v>4683</v>
      </c>
      <c r="N140">
        <v>14265</v>
      </c>
      <c r="O140" t="s">
        <v>4685</v>
      </c>
      <c r="P140" t="s">
        <v>4685</v>
      </c>
      <c r="Q140" t="s">
        <v>4686</v>
      </c>
      <c r="R140">
        <v>86472</v>
      </c>
      <c r="S140">
        <v>86472</v>
      </c>
      <c r="T140" t="s">
        <v>3447</v>
      </c>
    </row>
    <row r="141" spans="1:20" x14ac:dyDescent="0.2">
      <c r="A141" t="s">
        <v>2387</v>
      </c>
      <c r="B141" t="s">
        <v>4690</v>
      </c>
      <c r="C141" t="s">
        <v>17449</v>
      </c>
      <c r="D141">
        <v>147717</v>
      </c>
      <c r="E141">
        <v>1585</v>
      </c>
      <c r="F141">
        <v>305</v>
      </c>
      <c r="G141" t="s">
        <v>3436</v>
      </c>
      <c r="H141" t="s">
        <v>3670</v>
      </c>
      <c r="I141">
        <v>31</v>
      </c>
      <c r="J141" t="s">
        <v>3438</v>
      </c>
      <c r="K141" t="s">
        <v>17450</v>
      </c>
      <c r="L141" t="s">
        <v>4689</v>
      </c>
      <c r="M141" t="s">
        <v>4691</v>
      </c>
      <c r="N141">
        <v>79449</v>
      </c>
      <c r="O141" t="s">
        <v>4693</v>
      </c>
      <c r="P141" t="s">
        <v>4693</v>
      </c>
      <c r="Q141" t="s">
        <v>4694</v>
      </c>
      <c r="R141">
        <v>88064</v>
      </c>
      <c r="S141">
        <v>88064</v>
      </c>
      <c r="T141" t="s">
        <v>3489</v>
      </c>
    </row>
    <row r="142" spans="1:20" x14ac:dyDescent="0.2">
      <c r="A142" t="s">
        <v>2397</v>
      </c>
      <c r="B142" t="s">
        <v>4698</v>
      </c>
      <c r="C142" t="s">
        <v>17451</v>
      </c>
      <c r="D142">
        <v>124579</v>
      </c>
      <c r="E142">
        <v>1567</v>
      </c>
      <c r="F142">
        <v>209</v>
      </c>
      <c r="G142" t="s">
        <v>3436</v>
      </c>
      <c r="H142" t="s">
        <v>3687</v>
      </c>
      <c r="I142">
        <v>202</v>
      </c>
      <c r="J142" t="s">
        <v>3438</v>
      </c>
      <c r="K142" t="s">
        <v>17452</v>
      </c>
      <c r="L142" t="s">
        <v>4697</v>
      </c>
      <c r="M142" s="6">
        <v>20369</v>
      </c>
      <c r="N142">
        <v>1207</v>
      </c>
      <c r="O142" t="s">
        <v>4701</v>
      </c>
      <c r="P142" t="s">
        <v>4701</v>
      </c>
      <c r="Q142" t="s">
        <v>4702</v>
      </c>
      <c r="R142">
        <v>1245</v>
      </c>
      <c r="S142">
        <v>1245</v>
      </c>
      <c r="T142" t="s">
        <v>3469</v>
      </c>
    </row>
    <row r="143" spans="1:20" x14ac:dyDescent="0.2">
      <c r="A143" t="s">
        <v>2401</v>
      </c>
      <c r="B143" t="s">
        <v>4706</v>
      </c>
      <c r="C143" t="s">
        <v>17453</v>
      </c>
      <c r="D143">
        <v>155399</v>
      </c>
      <c r="E143">
        <v>1558</v>
      </c>
      <c r="F143">
        <v>400</v>
      </c>
      <c r="G143" t="s">
        <v>3436</v>
      </c>
      <c r="H143" t="s">
        <v>3437</v>
      </c>
      <c r="I143">
        <v>560</v>
      </c>
      <c r="J143" t="s">
        <v>3438</v>
      </c>
      <c r="K143" t="s">
        <v>17454</v>
      </c>
      <c r="L143" t="s">
        <v>4705</v>
      </c>
      <c r="M143" t="s">
        <v>4707</v>
      </c>
      <c r="N143">
        <v>17180</v>
      </c>
      <c r="O143" t="s">
        <v>4709</v>
      </c>
      <c r="P143" t="s">
        <v>4709</v>
      </c>
      <c r="Q143" t="s">
        <v>4710</v>
      </c>
      <c r="R143">
        <v>18189</v>
      </c>
      <c r="S143">
        <v>18189</v>
      </c>
      <c r="T143" t="s">
        <v>3458</v>
      </c>
    </row>
    <row r="144" spans="1:20" x14ac:dyDescent="0.2">
      <c r="A144" t="s">
        <v>2399</v>
      </c>
      <c r="B144" t="s">
        <v>4714</v>
      </c>
      <c r="C144" t="s">
        <v>17455</v>
      </c>
      <c r="D144">
        <v>155405</v>
      </c>
      <c r="E144">
        <v>1566</v>
      </c>
      <c r="F144">
        <v>400</v>
      </c>
      <c r="G144" t="s">
        <v>3533</v>
      </c>
      <c r="H144" t="s">
        <v>3534</v>
      </c>
      <c r="I144">
        <v>4283</v>
      </c>
      <c r="J144" t="s">
        <v>3438</v>
      </c>
      <c r="K144" t="s">
        <v>17456</v>
      </c>
      <c r="L144" t="s">
        <v>4713</v>
      </c>
      <c r="M144" t="s">
        <v>4715</v>
      </c>
      <c r="N144">
        <v>58481</v>
      </c>
      <c r="O144" t="s">
        <v>4717</v>
      </c>
      <c r="P144" t="s">
        <v>4717</v>
      </c>
      <c r="Q144" t="s">
        <v>4718</v>
      </c>
      <c r="R144">
        <v>64956</v>
      </c>
      <c r="S144">
        <v>64956</v>
      </c>
      <c r="T144" t="s">
        <v>3458</v>
      </c>
    </row>
    <row r="145" spans="1:20" x14ac:dyDescent="0.2">
      <c r="A145" t="s">
        <v>13788</v>
      </c>
      <c r="B145" t="s">
        <v>337</v>
      </c>
      <c r="C145" t="s">
        <v>17457</v>
      </c>
      <c r="D145">
        <v>124575</v>
      </c>
      <c r="E145">
        <v>1564</v>
      </c>
      <c r="F145">
        <v>209</v>
      </c>
      <c r="G145" t="s">
        <v>3479</v>
      </c>
      <c r="H145" t="s">
        <v>3480</v>
      </c>
      <c r="I145">
        <v>1439</v>
      </c>
      <c r="J145" t="s">
        <v>3438</v>
      </c>
      <c r="K145" t="s">
        <v>17458</v>
      </c>
      <c r="L145" t="s">
        <v>4728</v>
      </c>
      <c r="M145" t="s">
        <v>4729</v>
      </c>
      <c r="N145">
        <v>305</v>
      </c>
      <c r="O145" t="s">
        <v>4731</v>
      </c>
      <c r="P145" t="s">
        <v>4731</v>
      </c>
      <c r="Q145" t="s">
        <v>4732</v>
      </c>
      <c r="R145">
        <v>311</v>
      </c>
      <c r="S145">
        <v>311</v>
      </c>
      <c r="T145" t="s">
        <v>3469</v>
      </c>
    </row>
    <row r="146" spans="1:20" x14ac:dyDescent="0.2">
      <c r="A146" t="s">
        <v>2389</v>
      </c>
      <c r="B146" t="s">
        <v>4744</v>
      </c>
      <c r="C146" t="s">
        <v>17459</v>
      </c>
      <c r="D146">
        <v>156916</v>
      </c>
      <c r="E146">
        <v>42374</v>
      </c>
      <c r="F146">
        <v>400</v>
      </c>
      <c r="G146" t="s">
        <v>3436</v>
      </c>
      <c r="H146" t="s">
        <v>3793</v>
      </c>
      <c r="I146">
        <v>580</v>
      </c>
      <c r="J146" t="s">
        <v>3438</v>
      </c>
      <c r="K146" t="s">
        <v>17460</v>
      </c>
      <c r="L146" t="s">
        <v>4743</v>
      </c>
      <c r="M146" t="s">
        <v>4745</v>
      </c>
      <c r="N146">
        <v>388757</v>
      </c>
      <c r="O146" t="s">
        <v>4747</v>
      </c>
      <c r="P146" t="s">
        <v>4747</v>
      </c>
      <c r="Q146" t="s">
        <v>4748</v>
      </c>
      <c r="R146">
        <v>80283</v>
      </c>
      <c r="S146">
        <v>80283</v>
      </c>
      <c r="T146" t="s">
        <v>3458</v>
      </c>
    </row>
    <row r="147" spans="1:20" x14ac:dyDescent="0.2">
      <c r="A147" t="s">
        <v>2393</v>
      </c>
      <c r="B147" t="s">
        <v>4752</v>
      </c>
      <c r="C147" t="s">
        <v>17461</v>
      </c>
      <c r="D147">
        <v>124593</v>
      </c>
      <c r="E147">
        <v>1604</v>
      </c>
      <c r="F147">
        <v>209</v>
      </c>
      <c r="G147" t="s">
        <v>3533</v>
      </c>
      <c r="H147" t="s">
        <v>3543</v>
      </c>
      <c r="I147">
        <v>4131</v>
      </c>
      <c r="J147" t="s">
        <v>3438</v>
      </c>
      <c r="K147" t="s">
        <v>17462</v>
      </c>
      <c r="L147" t="s">
        <v>4751</v>
      </c>
      <c r="M147" t="s">
        <v>4753</v>
      </c>
      <c r="O147" t="s">
        <v>4754</v>
      </c>
      <c r="P147" t="s">
        <v>4754</v>
      </c>
      <c r="Q147" t="s">
        <v>4755</v>
      </c>
      <c r="R147">
        <v>1175</v>
      </c>
      <c r="S147">
        <v>1175</v>
      </c>
      <c r="T147" t="s">
        <v>3469</v>
      </c>
    </row>
    <row r="148" spans="1:20" x14ac:dyDescent="0.2">
      <c r="A148" t="s">
        <v>2375</v>
      </c>
      <c r="B148" t="s">
        <v>4759</v>
      </c>
      <c r="C148" t="s">
        <v>17463</v>
      </c>
      <c r="D148">
        <v>125991</v>
      </c>
      <c r="E148">
        <v>1605</v>
      </c>
      <c r="F148">
        <v>209</v>
      </c>
      <c r="G148" t="s">
        <v>3459</v>
      </c>
      <c r="H148" t="s">
        <v>3819</v>
      </c>
      <c r="I148">
        <v>3504</v>
      </c>
      <c r="J148" t="s">
        <v>3438</v>
      </c>
      <c r="K148" t="s">
        <v>17464</v>
      </c>
      <c r="L148" t="s">
        <v>4758</v>
      </c>
      <c r="M148" t="s">
        <v>4760</v>
      </c>
      <c r="N148">
        <v>29131</v>
      </c>
      <c r="O148" t="s">
        <v>4762</v>
      </c>
      <c r="P148" t="s">
        <v>4762</v>
      </c>
      <c r="Q148" t="s">
        <v>4763</v>
      </c>
      <c r="R148">
        <v>31401</v>
      </c>
      <c r="S148">
        <v>31401</v>
      </c>
      <c r="T148" t="s">
        <v>3469</v>
      </c>
    </row>
    <row r="149" spans="1:20" x14ac:dyDescent="0.2">
      <c r="A149" t="s">
        <v>2379</v>
      </c>
      <c r="B149" t="s">
        <v>4777</v>
      </c>
      <c r="C149" t="s">
        <v>17465</v>
      </c>
      <c r="D149">
        <v>127707</v>
      </c>
      <c r="E149">
        <v>38102</v>
      </c>
      <c r="F149">
        <v>209</v>
      </c>
      <c r="G149" t="s">
        <v>3459</v>
      </c>
      <c r="H149" t="s">
        <v>4774</v>
      </c>
      <c r="I149">
        <v>2159</v>
      </c>
      <c r="J149" t="s">
        <v>3438</v>
      </c>
      <c r="K149" t="s">
        <v>17466</v>
      </c>
      <c r="L149" t="s">
        <v>4776</v>
      </c>
      <c r="M149" t="s">
        <v>4778</v>
      </c>
      <c r="N149">
        <v>4446574</v>
      </c>
      <c r="O149" t="s">
        <v>4780</v>
      </c>
      <c r="P149" t="s">
        <v>4780</v>
      </c>
      <c r="R149">
        <v>5283454</v>
      </c>
      <c r="S149">
        <v>5283454</v>
      </c>
      <c r="T149" t="s">
        <v>3469</v>
      </c>
    </row>
    <row r="150" spans="1:20" x14ac:dyDescent="0.2">
      <c r="A150" t="s">
        <v>2383</v>
      </c>
      <c r="B150" t="s">
        <v>4784</v>
      </c>
      <c r="C150" t="s">
        <v>17467</v>
      </c>
      <c r="D150">
        <v>155470</v>
      </c>
      <c r="E150">
        <v>2730</v>
      </c>
      <c r="F150">
        <v>400</v>
      </c>
      <c r="G150" t="s">
        <v>3853</v>
      </c>
      <c r="H150" t="s">
        <v>3854</v>
      </c>
      <c r="I150">
        <v>635</v>
      </c>
      <c r="J150" t="s">
        <v>3438</v>
      </c>
      <c r="K150" t="s">
        <v>17468</v>
      </c>
      <c r="L150" t="s">
        <v>4783</v>
      </c>
      <c r="M150" t="s">
        <v>4785</v>
      </c>
      <c r="N150">
        <v>133013</v>
      </c>
      <c r="O150" t="s">
        <v>4787</v>
      </c>
      <c r="P150" t="s">
        <v>4787</v>
      </c>
      <c r="Q150" t="s">
        <v>4788</v>
      </c>
      <c r="R150">
        <v>150914</v>
      </c>
      <c r="S150">
        <v>150914</v>
      </c>
      <c r="T150" t="s">
        <v>3458</v>
      </c>
    </row>
    <row r="151" spans="1:20" x14ac:dyDescent="0.2">
      <c r="A151" t="s">
        <v>2381</v>
      </c>
      <c r="B151" t="s">
        <v>4792</v>
      </c>
      <c r="C151" t="s">
        <v>17469</v>
      </c>
      <c r="D151">
        <v>124595</v>
      </c>
      <c r="E151">
        <v>1669</v>
      </c>
      <c r="F151">
        <v>209</v>
      </c>
      <c r="G151" t="s">
        <v>3436</v>
      </c>
      <c r="H151" t="s">
        <v>3687</v>
      </c>
      <c r="I151">
        <v>175</v>
      </c>
      <c r="J151" t="s">
        <v>3438</v>
      </c>
      <c r="K151" t="s">
        <v>17470</v>
      </c>
      <c r="L151" t="s">
        <v>4791</v>
      </c>
      <c r="M151" t="s">
        <v>4793</v>
      </c>
      <c r="N151">
        <v>954</v>
      </c>
      <c r="O151" t="s">
        <v>4795</v>
      </c>
      <c r="P151" t="s">
        <v>4795</v>
      </c>
      <c r="Q151" t="s">
        <v>4796</v>
      </c>
      <c r="R151">
        <v>979</v>
      </c>
      <c r="S151">
        <v>979</v>
      </c>
      <c r="T151" t="s">
        <v>3469</v>
      </c>
    </row>
    <row r="152" spans="1:20" x14ac:dyDescent="0.2">
      <c r="A152" t="s">
        <v>13791</v>
      </c>
      <c r="B152" t="s">
        <v>4800</v>
      </c>
      <c r="C152" t="s">
        <v>17471</v>
      </c>
      <c r="D152">
        <v>223227</v>
      </c>
      <c r="E152">
        <v>40605</v>
      </c>
      <c r="F152">
        <v>209</v>
      </c>
      <c r="G152" t="s">
        <v>3459</v>
      </c>
      <c r="H152" t="s">
        <v>4765</v>
      </c>
      <c r="I152">
        <v>1487</v>
      </c>
      <c r="J152" t="s">
        <v>3438</v>
      </c>
      <c r="K152" t="s">
        <v>17472</v>
      </c>
      <c r="L152" t="s">
        <v>4799</v>
      </c>
      <c r="M152" t="s">
        <v>4801</v>
      </c>
      <c r="N152">
        <v>259</v>
      </c>
      <c r="O152" t="s">
        <v>4803</v>
      </c>
      <c r="P152" t="s">
        <v>4803</v>
      </c>
      <c r="Q152" t="s">
        <v>4804</v>
      </c>
      <c r="R152">
        <v>264</v>
      </c>
      <c r="S152">
        <v>264</v>
      </c>
      <c r="T152" t="s">
        <v>3469</v>
      </c>
    </row>
    <row r="153" spans="1:20" x14ac:dyDescent="0.2">
      <c r="A153" t="s">
        <v>2407</v>
      </c>
      <c r="B153" t="s">
        <v>4809</v>
      </c>
      <c r="C153" t="s">
        <v>17473</v>
      </c>
      <c r="D153">
        <v>155919</v>
      </c>
      <c r="E153">
        <v>32377</v>
      </c>
      <c r="F153">
        <v>400</v>
      </c>
      <c r="G153" t="s">
        <v>3977</v>
      </c>
      <c r="H153" t="s">
        <v>4806</v>
      </c>
      <c r="I153">
        <v>1418</v>
      </c>
      <c r="J153" t="s">
        <v>3438</v>
      </c>
      <c r="K153" t="s">
        <v>17474</v>
      </c>
      <c r="L153" t="s">
        <v>4808</v>
      </c>
      <c r="M153" t="s">
        <v>4810</v>
      </c>
      <c r="N153">
        <v>10292217</v>
      </c>
      <c r="O153" t="s">
        <v>4812</v>
      </c>
      <c r="P153" t="s">
        <v>4812</v>
      </c>
      <c r="Q153" t="s">
        <v>4813</v>
      </c>
      <c r="R153">
        <v>439197</v>
      </c>
      <c r="S153">
        <v>439197</v>
      </c>
      <c r="T153" t="s">
        <v>3458</v>
      </c>
    </row>
    <row r="154" spans="1:20" x14ac:dyDescent="0.2">
      <c r="A154" t="s">
        <v>2411</v>
      </c>
      <c r="B154" t="s">
        <v>4817</v>
      </c>
      <c r="C154" t="s">
        <v>17475</v>
      </c>
      <c r="D154">
        <v>157725</v>
      </c>
      <c r="E154">
        <v>48149</v>
      </c>
      <c r="F154">
        <v>400</v>
      </c>
      <c r="G154" t="s">
        <v>3977</v>
      </c>
      <c r="H154" t="s">
        <v>4806</v>
      </c>
      <c r="I154">
        <v>1430</v>
      </c>
      <c r="J154" t="s">
        <v>3438</v>
      </c>
      <c r="K154" t="s">
        <v>17476</v>
      </c>
      <c r="L154" t="s">
        <v>4816</v>
      </c>
      <c r="M154" t="s">
        <v>4818</v>
      </c>
      <c r="N154">
        <v>21403014</v>
      </c>
      <c r="O154" t="s">
        <v>4820</v>
      </c>
      <c r="P154" t="s">
        <v>4820</v>
      </c>
      <c r="Q154" t="s">
        <v>4821</v>
      </c>
      <c r="R154">
        <v>123826</v>
      </c>
      <c r="S154">
        <v>123826</v>
      </c>
      <c r="T154" t="s">
        <v>3458</v>
      </c>
    </row>
    <row r="155" spans="1:20" x14ac:dyDescent="0.2">
      <c r="A155" t="s">
        <v>13792</v>
      </c>
      <c r="B155" t="s">
        <v>18</v>
      </c>
      <c r="C155" t="s">
        <v>17477</v>
      </c>
      <c r="D155">
        <v>156059</v>
      </c>
      <c r="E155">
        <v>33963</v>
      </c>
      <c r="F155">
        <v>400</v>
      </c>
      <c r="G155" t="s">
        <v>3459</v>
      </c>
      <c r="H155" t="s">
        <v>3740</v>
      </c>
      <c r="I155">
        <v>1936</v>
      </c>
      <c r="J155" t="s">
        <v>3438</v>
      </c>
      <c r="K155" t="s">
        <v>17478</v>
      </c>
      <c r="L155" t="s">
        <v>4824</v>
      </c>
      <c r="M155" s="6">
        <v>578222</v>
      </c>
      <c r="N155">
        <v>94</v>
      </c>
      <c r="O155" t="s">
        <v>4827</v>
      </c>
      <c r="P155" t="s">
        <v>4827</v>
      </c>
      <c r="Q155" t="s">
        <v>4828</v>
      </c>
      <c r="R155">
        <v>96</v>
      </c>
      <c r="S155">
        <v>96</v>
      </c>
      <c r="T155" t="s">
        <v>3458</v>
      </c>
    </row>
    <row r="156" spans="1:20" x14ac:dyDescent="0.2">
      <c r="A156" t="s">
        <v>2422</v>
      </c>
      <c r="B156" t="s">
        <v>4832</v>
      </c>
      <c r="C156" t="s">
        <v>17479</v>
      </c>
      <c r="D156">
        <v>155838</v>
      </c>
      <c r="E156">
        <v>27718</v>
      </c>
      <c r="F156">
        <v>400</v>
      </c>
      <c r="G156" t="s">
        <v>3436</v>
      </c>
      <c r="H156" t="s">
        <v>3785</v>
      </c>
      <c r="I156">
        <v>528</v>
      </c>
      <c r="J156" t="s">
        <v>3438</v>
      </c>
      <c r="K156" t="s">
        <v>17480</v>
      </c>
      <c r="L156" t="s">
        <v>4831</v>
      </c>
      <c r="M156" t="s">
        <v>4833</v>
      </c>
      <c r="N156">
        <v>566</v>
      </c>
      <c r="O156" t="s">
        <v>4835</v>
      </c>
      <c r="P156" t="s">
        <v>4835</v>
      </c>
      <c r="Q156" t="s">
        <v>4836</v>
      </c>
      <c r="R156">
        <v>586</v>
      </c>
      <c r="S156">
        <v>586</v>
      </c>
      <c r="T156" t="s">
        <v>3458</v>
      </c>
    </row>
    <row r="157" spans="1:20" x14ac:dyDescent="0.2">
      <c r="A157" t="s">
        <v>2414</v>
      </c>
      <c r="B157" t="s">
        <v>4840</v>
      </c>
      <c r="C157" t="s">
        <v>17481</v>
      </c>
      <c r="D157">
        <v>155661</v>
      </c>
      <c r="E157">
        <v>18368</v>
      </c>
      <c r="F157">
        <v>400</v>
      </c>
      <c r="G157" t="s">
        <v>3436</v>
      </c>
      <c r="H157" t="s">
        <v>3793</v>
      </c>
      <c r="I157">
        <v>578</v>
      </c>
      <c r="J157" t="s">
        <v>3438</v>
      </c>
      <c r="K157" t="s">
        <v>17482</v>
      </c>
      <c r="L157" t="s">
        <v>4839</v>
      </c>
      <c r="M157" t="s">
        <v>4841</v>
      </c>
      <c r="N157">
        <v>295316</v>
      </c>
      <c r="P157" t="s">
        <v>3799</v>
      </c>
      <c r="R157">
        <v>333293</v>
      </c>
      <c r="S157">
        <v>333293</v>
      </c>
      <c r="T157" t="s">
        <v>3458</v>
      </c>
    </row>
    <row r="158" spans="1:20" x14ac:dyDescent="0.2">
      <c r="A158" t="s">
        <v>2416</v>
      </c>
      <c r="B158" t="s">
        <v>4855</v>
      </c>
      <c r="C158" t="s">
        <v>17483</v>
      </c>
      <c r="D158">
        <v>126039</v>
      </c>
      <c r="E158">
        <v>17805</v>
      </c>
      <c r="F158">
        <v>209</v>
      </c>
      <c r="G158" t="s">
        <v>3459</v>
      </c>
      <c r="H158" t="s">
        <v>3560</v>
      </c>
      <c r="I158">
        <v>1570</v>
      </c>
      <c r="J158" t="s">
        <v>3438</v>
      </c>
      <c r="K158" t="s">
        <v>17484</v>
      </c>
      <c r="L158" t="s">
        <v>4854</v>
      </c>
      <c r="M158" t="s">
        <v>4857</v>
      </c>
      <c r="N158">
        <v>4944228</v>
      </c>
      <c r="O158" t="s">
        <v>4859</v>
      </c>
      <c r="P158" t="s">
        <v>4859</v>
      </c>
      <c r="Q158" t="s">
        <v>4860</v>
      </c>
      <c r="R158">
        <v>6439848</v>
      </c>
      <c r="S158">
        <v>6439848</v>
      </c>
      <c r="T158" t="s">
        <v>3469</v>
      </c>
    </row>
    <row r="159" spans="1:20" x14ac:dyDescent="0.2">
      <c r="A159" t="s">
        <v>2409</v>
      </c>
      <c r="B159" t="s">
        <v>4864</v>
      </c>
      <c r="C159" t="s">
        <v>17485</v>
      </c>
      <c r="D159">
        <v>155638</v>
      </c>
      <c r="E159">
        <v>18245</v>
      </c>
      <c r="F159">
        <v>400</v>
      </c>
      <c r="G159" t="s">
        <v>3853</v>
      </c>
      <c r="H159" t="s">
        <v>3854</v>
      </c>
      <c r="I159">
        <v>637</v>
      </c>
      <c r="J159" t="s">
        <v>3438</v>
      </c>
      <c r="K159" t="s">
        <v>17486</v>
      </c>
      <c r="L159" t="s">
        <v>4863</v>
      </c>
      <c r="M159" t="s">
        <v>4865</v>
      </c>
      <c r="N159">
        <v>5380197</v>
      </c>
      <c r="O159" t="s">
        <v>4867</v>
      </c>
      <c r="P159" t="s">
        <v>4867</v>
      </c>
      <c r="R159">
        <v>7017195</v>
      </c>
      <c r="S159">
        <v>7017195</v>
      </c>
      <c r="T159" t="s">
        <v>3458</v>
      </c>
    </row>
    <row r="160" spans="1:20" x14ac:dyDescent="0.2">
      <c r="A160" t="s">
        <v>2403</v>
      </c>
      <c r="B160" t="s">
        <v>4872</v>
      </c>
      <c r="C160" t="s">
        <v>17487</v>
      </c>
      <c r="D160">
        <v>126830</v>
      </c>
      <c r="E160">
        <v>17945</v>
      </c>
      <c r="F160">
        <v>209</v>
      </c>
      <c r="G160" t="s">
        <v>3459</v>
      </c>
      <c r="H160" t="s">
        <v>4869</v>
      </c>
      <c r="I160">
        <v>1971</v>
      </c>
      <c r="J160" t="s">
        <v>3438</v>
      </c>
      <c r="K160" t="s">
        <v>17488</v>
      </c>
      <c r="L160" t="s">
        <v>4871</v>
      </c>
      <c r="M160" t="s">
        <v>4873</v>
      </c>
      <c r="N160">
        <v>62625</v>
      </c>
      <c r="O160" t="s">
        <v>4875</v>
      </c>
      <c r="P160" t="s">
        <v>4875</v>
      </c>
      <c r="Q160" t="s">
        <v>4876</v>
      </c>
      <c r="R160" s="5">
        <v>4.39887439885694E+16</v>
      </c>
      <c r="S160" t="s">
        <v>17489</v>
      </c>
      <c r="T160" t="s">
        <v>3469</v>
      </c>
    </row>
    <row r="161" spans="1:20" x14ac:dyDescent="0.2">
      <c r="A161" t="s">
        <v>2405</v>
      </c>
      <c r="B161" t="s">
        <v>4880</v>
      </c>
      <c r="C161" t="s">
        <v>17490</v>
      </c>
      <c r="D161">
        <v>155564</v>
      </c>
      <c r="E161">
        <v>15650</v>
      </c>
      <c r="F161">
        <v>400</v>
      </c>
      <c r="G161" t="s">
        <v>3533</v>
      </c>
      <c r="H161" t="s">
        <v>3620</v>
      </c>
      <c r="I161">
        <v>4153</v>
      </c>
      <c r="J161" t="s">
        <v>3438</v>
      </c>
      <c r="K161" t="s">
        <v>17491</v>
      </c>
      <c r="L161" t="s">
        <v>4879</v>
      </c>
      <c r="M161" t="s">
        <v>4882</v>
      </c>
      <c r="N161">
        <v>4573813</v>
      </c>
      <c r="O161" t="s">
        <v>4884</v>
      </c>
      <c r="P161" t="s">
        <v>4884</v>
      </c>
      <c r="Q161" t="s">
        <v>4885</v>
      </c>
      <c r="R161">
        <v>27476</v>
      </c>
      <c r="S161">
        <v>27476</v>
      </c>
      <c r="T161" t="s">
        <v>3458</v>
      </c>
    </row>
    <row r="162" spans="1:20" x14ac:dyDescent="0.2">
      <c r="A162" t="s">
        <v>13794</v>
      </c>
      <c r="B162" t="s">
        <v>4890</v>
      </c>
      <c r="C162" t="s">
        <v>17492</v>
      </c>
      <c r="D162">
        <v>126021</v>
      </c>
      <c r="E162">
        <v>15122</v>
      </c>
      <c r="F162">
        <v>209</v>
      </c>
      <c r="G162" t="s">
        <v>3459</v>
      </c>
      <c r="H162" t="s">
        <v>4887</v>
      </c>
      <c r="I162">
        <v>2841</v>
      </c>
      <c r="J162" t="s">
        <v>3438</v>
      </c>
      <c r="K162" t="s">
        <v>17493</v>
      </c>
      <c r="L162" t="s">
        <v>4889</v>
      </c>
      <c r="M162" t="s">
        <v>4891</v>
      </c>
      <c r="N162">
        <v>733</v>
      </c>
      <c r="O162" t="s">
        <v>4893</v>
      </c>
      <c r="P162" t="s">
        <v>4893</v>
      </c>
      <c r="Q162" t="s">
        <v>4894</v>
      </c>
      <c r="R162">
        <v>753</v>
      </c>
      <c r="S162">
        <v>753</v>
      </c>
      <c r="T162" t="s">
        <v>3469</v>
      </c>
    </row>
    <row r="163" spans="1:20" x14ac:dyDescent="0.2">
      <c r="A163" t="s">
        <v>2428</v>
      </c>
      <c r="B163" t="s">
        <v>4898</v>
      </c>
      <c r="C163" t="s">
        <v>17494</v>
      </c>
      <c r="D163">
        <v>155556</v>
      </c>
      <c r="E163">
        <v>15506</v>
      </c>
      <c r="F163">
        <v>400</v>
      </c>
      <c r="G163" t="s">
        <v>3459</v>
      </c>
      <c r="H163" t="s">
        <v>3758</v>
      </c>
      <c r="I163">
        <v>2232</v>
      </c>
      <c r="J163" t="s">
        <v>3438</v>
      </c>
      <c r="K163" t="s">
        <v>17495</v>
      </c>
      <c r="L163" t="s">
        <v>4897</v>
      </c>
      <c r="M163" t="s">
        <v>4899</v>
      </c>
      <c r="N163">
        <v>149278</v>
      </c>
      <c r="O163" t="s">
        <v>4901</v>
      </c>
      <c r="P163" t="s">
        <v>4901</v>
      </c>
      <c r="Q163" t="s">
        <v>4902</v>
      </c>
      <c r="R163">
        <v>305</v>
      </c>
      <c r="S163">
        <v>305</v>
      </c>
      <c r="T163" t="s">
        <v>3458</v>
      </c>
    </row>
    <row r="164" spans="1:20" x14ac:dyDescent="0.2">
      <c r="A164" t="s">
        <v>2424</v>
      </c>
      <c r="B164" t="s">
        <v>4905</v>
      </c>
      <c r="C164" t="s">
        <v>17496</v>
      </c>
      <c r="D164">
        <v>155491</v>
      </c>
      <c r="E164">
        <v>4970</v>
      </c>
      <c r="F164">
        <v>400</v>
      </c>
      <c r="G164" t="s">
        <v>3436</v>
      </c>
      <c r="H164" t="s">
        <v>3470</v>
      </c>
      <c r="I164">
        <v>275</v>
      </c>
      <c r="J164" t="s">
        <v>3438</v>
      </c>
      <c r="K164" t="s">
        <v>17497</v>
      </c>
      <c r="L164" t="s">
        <v>4904</v>
      </c>
      <c r="M164" t="s">
        <v>4906</v>
      </c>
      <c r="N164">
        <v>222</v>
      </c>
      <c r="O164" t="s">
        <v>4908</v>
      </c>
      <c r="P164" t="s">
        <v>4908</v>
      </c>
      <c r="Q164" t="s">
        <v>4909</v>
      </c>
      <c r="R164">
        <v>227</v>
      </c>
      <c r="S164">
        <v>227</v>
      </c>
      <c r="T164" t="s">
        <v>3458</v>
      </c>
    </row>
    <row r="165" spans="1:20" x14ac:dyDescent="0.2">
      <c r="A165" t="s">
        <v>2426</v>
      </c>
      <c r="B165" t="s">
        <v>4921</v>
      </c>
      <c r="C165" t="s">
        <v>17498</v>
      </c>
      <c r="D165">
        <v>155662</v>
      </c>
      <c r="E165">
        <v>18369</v>
      </c>
      <c r="F165">
        <v>400</v>
      </c>
      <c r="G165" t="s">
        <v>3853</v>
      </c>
      <c r="H165" t="s">
        <v>3854</v>
      </c>
      <c r="I165">
        <v>639</v>
      </c>
      <c r="J165" t="s">
        <v>3438</v>
      </c>
      <c r="K165" t="s">
        <v>17499</v>
      </c>
      <c r="L165" t="s">
        <v>4920</v>
      </c>
      <c r="M165" t="s">
        <v>4922</v>
      </c>
      <c r="N165">
        <v>133115</v>
      </c>
      <c r="O165" t="s">
        <v>4924</v>
      </c>
      <c r="P165" t="s">
        <v>4924</v>
      </c>
      <c r="R165">
        <v>151023</v>
      </c>
      <c r="S165">
        <v>151023</v>
      </c>
      <c r="T165" t="s">
        <v>3458</v>
      </c>
    </row>
    <row r="166" spans="1:20" x14ac:dyDescent="0.2">
      <c r="A166" t="s">
        <v>2430</v>
      </c>
      <c r="B166" t="s">
        <v>4928</v>
      </c>
      <c r="C166" t="s">
        <v>17500</v>
      </c>
      <c r="D166">
        <v>155509</v>
      </c>
      <c r="E166">
        <v>12017</v>
      </c>
      <c r="F166">
        <v>400</v>
      </c>
      <c r="G166" t="s">
        <v>3436</v>
      </c>
      <c r="H166" t="s">
        <v>3687</v>
      </c>
      <c r="I166">
        <v>204</v>
      </c>
      <c r="J166" t="s">
        <v>3438</v>
      </c>
      <c r="K166" t="s">
        <v>17501</v>
      </c>
      <c r="L166" t="s">
        <v>4927</v>
      </c>
      <c r="M166" t="s">
        <v>4929</v>
      </c>
      <c r="N166">
        <v>8948</v>
      </c>
      <c r="O166" t="s">
        <v>4931</v>
      </c>
      <c r="P166" t="s">
        <v>4931</v>
      </c>
      <c r="R166">
        <v>9307</v>
      </c>
      <c r="S166">
        <v>9307</v>
      </c>
      <c r="T166" t="s">
        <v>3458</v>
      </c>
    </row>
    <row r="167" spans="1:20" x14ac:dyDescent="0.2">
      <c r="A167" t="s">
        <v>2420</v>
      </c>
      <c r="B167" t="s">
        <v>4970</v>
      </c>
      <c r="C167" t="s">
        <v>17502</v>
      </c>
      <c r="D167">
        <v>126017</v>
      </c>
      <c r="E167">
        <v>12129</v>
      </c>
      <c r="F167">
        <v>209</v>
      </c>
      <c r="G167" t="s">
        <v>3436</v>
      </c>
      <c r="H167" t="s">
        <v>3498</v>
      </c>
      <c r="I167">
        <v>363</v>
      </c>
      <c r="J167" t="s">
        <v>3438</v>
      </c>
      <c r="K167">
        <v>4000</v>
      </c>
      <c r="L167" t="s">
        <v>4969</v>
      </c>
      <c r="M167" t="s">
        <v>4971</v>
      </c>
      <c r="N167">
        <v>62571</v>
      </c>
      <c r="O167" t="s">
        <v>4973</v>
      </c>
      <c r="P167" t="s">
        <v>4973</v>
      </c>
      <c r="R167">
        <v>69362</v>
      </c>
      <c r="S167">
        <v>69362</v>
      </c>
      <c r="T167" t="s">
        <v>3469</v>
      </c>
    </row>
    <row r="168" spans="1:20" x14ac:dyDescent="0.2">
      <c r="A168" t="s">
        <v>2445</v>
      </c>
      <c r="B168" t="s">
        <v>5001</v>
      </c>
      <c r="C168" t="s">
        <v>17503</v>
      </c>
      <c r="D168">
        <v>164219</v>
      </c>
      <c r="E168">
        <v>44877</v>
      </c>
      <c r="F168">
        <v>402</v>
      </c>
      <c r="G168" t="s">
        <v>3459</v>
      </c>
      <c r="H168" t="s">
        <v>4998</v>
      </c>
      <c r="I168">
        <v>3021</v>
      </c>
      <c r="J168" t="s">
        <v>3438</v>
      </c>
      <c r="K168" t="s">
        <v>17504</v>
      </c>
      <c r="L168" t="s">
        <v>5000</v>
      </c>
      <c r="M168" t="s">
        <v>5002</v>
      </c>
      <c r="N168">
        <v>4446677</v>
      </c>
      <c r="O168" t="s">
        <v>5004</v>
      </c>
      <c r="P168" t="s">
        <v>5004</v>
      </c>
      <c r="R168">
        <v>5283564</v>
      </c>
      <c r="S168">
        <v>5283564</v>
      </c>
      <c r="T168" t="s">
        <v>3447</v>
      </c>
    </row>
    <row r="169" spans="1:20" x14ac:dyDescent="0.2">
      <c r="A169" t="s">
        <v>2435</v>
      </c>
      <c r="B169" t="s">
        <v>5009</v>
      </c>
      <c r="C169" t="s">
        <v>17505</v>
      </c>
      <c r="D169">
        <v>164198</v>
      </c>
      <c r="E169">
        <v>19263</v>
      </c>
      <c r="F169">
        <v>402</v>
      </c>
      <c r="G169" t="s">
        <v>3459</v>
      </c>
      <c r="H169" t="s">
        <v>5006</v>
      </c>
      <c r="I169">
        <v>2408</v>
      </c>
      <c r="J169" t="s">
        <v>3438</v>
      </c>
      <c r="K169" t="s">
        <v>17506</v>
      </c>
      <c r="L169" t="s">
        <v>5008</v>
      </c>
      <c r="M169" t="s">
        <v>5010</v>
      </c>
      <c r="N169">
        <v>4446615</v>
      </c>
      <c r="O169" t="s">
        <v>5012</v>
      </c>
      <c r="P169" t="s">
        <v>5012</v>
      </c>
      <c r="R169">
        <v>5283496</v>
      </c>
      <c r="S169">
        <v>5283496</v>
      </c>
      <c r="T169" t="s">
        <v>3447</v>
      </c>
    </row>
    <row r="170" spans="1:20" x14ac:dyDescent="0.2">
      <c r="A170" t="s">
        <v>2437</v>
      </c>
      <c r="B170" t="s">
        <v>5017</v>
      </c>
      <c r="C170" t="s">
        <v>17507</v>
      </c>
      <c r="D170">
        <v>165113</v>
      </c>
      <c r="E170">
        <v>52450</v>
      </c>
      <c r="F170">
        <v>305</v>
      </c>
      <c r="G170" t="s">
        <v>3459</v>
      </c>
      <c r="H170" t="s">
        <v>5014</v>
      </c>
      <c r="I170">
        <v>2536</v>
      </c>
      <c r="J170" t="s">
        <v>3438</v>
      </c>
      <c r="K170" t="s">
        <v>17508</v>
      </c>
      <c r="L170" t="s">
        <v>5016</v>
      </c>
      <c r="N170">
        <v>21403024</v>
      </c>
      <c r="O170" t="s">
        <v>5019</v>
      </c>
      <c r="P170" t="s">
        <v>5019</v>
      </c>
      <c r="R170">
        <v>46891795</v>
      </c>
      <c r="S170" t="s">
        <v>17509</v>
      </c>
      <c r="T170" t="s">
        <v>3489</v>
      </c>
    </row>
    <row r="171" spans="1:20" x14ac:dyDescent="0.2">
      <c r="A171" t="s">
        <v>2433</v>
      </c>
      <c r="B171" t="s">
        <v>5024</v>
      </c>
      <c r="C171" t="s">
        <v>17510</v>
      </c>
      <c r="D171">
        <v>165129</v>
      </c>
      <c r="E171">
        <v>42446</v>
      </c>
      <c r="F171">
        <v>402</v>
      </c>
      <c r="G171" t="s">
        <v>3459</v>
      </c>
      <c r="H171" t="s">
        <v>5021</v>
      </c>
      <c r="I171">
        <v>2286</v>
      </c>
      <c r="J171" t="s">
        <v>3438</v>
      </c>
      <c r="K171" t="s">
        <v>17511</v>
      </c>
      <c r="L171" t="s">
        <v>5023</v>
      </c>
      <c r="M171" t="s">
        <v>5025</v>
      </c>
      <c r="N171">
        <v>4450224</v>
      </c>
      <c r="O171" t="s">
        <v>5027</v>
      </c>
      <c r="P171" t="s">
        <v>5027</v>
      </c>
      <c r="R171">
        <v>5287971</v>
      </c>
      <c r="S171">
        <v>5287971</v>
      </c>
      <c r="T171" t="s">
        <v>3447</v>
      </c>
    </row>
    <row r="172" spans="1:20" x14ac:dyDescent="0.2">
      <c r="A172" t="s">
        <v>2443</v>
      </c>
      <c r="B172" t="s">
        <v>5031</v>
      </c>
      <c r="C172" t="s">
        <v>17512</v>
      </c>
      <c r="D172">
        <v>164530</v>
      </c>
      <c r="E172">
        <v>19503</v>
      </c>
      <c r="F172">
        <v>402</v>
      </c>
      <c r="G172" t="s">
        <v>3459</v>
      </c>
      <c r="H172" t="s">
        <v>814</v>
      </c>
      <c r="I172">
        <v>3105</v>
      </c>
      <c r="J172" t="s">
        <v>3438</v>
      </c>
      <c r="K172" t="s">
        <v>17513</v>
      </c>
      <c r="L172" t="s">
        <v>5030</v>
      </c>
      <c r="M172" t="s">
        <v>5032</v>
      </c>
      <c r="N172">
        <v>4956085</v>
      </c>
      <c r="O172" t="s">
        <v>5034</v>
      </c>
      <c r="P172" t="s">
        <v>5034</v>
      </c>
      <c r="Q172" t="s">
        <v>5035</v>
      </c>
      <c r="R172">
        <v>6453725</v>
      </c>
      <c r="S172">
        <v>6453725</v>
      </c>
      <c r="T172" t="s">
        <v>3447</v>
      </c>
    </row>
    <row r="173" spans="1:20" x14ac:dyDescent="0.2">
      <c r="A173" t="s">
        <v>2453</v>
      </c>
      <c r="B173" t="s">
        <v>5039</v>
      </c>
      <c r="C173" t="s">
        <v>17514</v>
      </c>
      <c r="D173">
        <v>165127</v>
      </c>
      <c r="E173">
        <v>52461</v>
      </c>
      <c r="F173">
        <v>402</v>
      </c>
      <c r="G173" t="s">
        <v>3459</v>
      </c>
      <c r="H173" t="s">
        <v>5021</v>
      </c>
      <c r="I173">
        <v>2283</v>
      </c>
      <c r="J173" t="s">
        <v>3438</v>
      </c>
      <c r="K173" t="s">
        <v>17515</v>
      </c>
      <c r="L173" t="s">
        <v>5038</v>
      </c>
      <c r="M173" t="s">
        <v>5040</v>
      </c>
      <c r="N173">
        <v>4940699</v>
      </c>
      <c r="O173" t="s">
        <v>5042</v>
      </c>
      <c r="P173" t="s">
        <v>5042</v>
      </c>
      <c r="Q173" t="s">
        <v>5043</v>
      </c>
      <c r="R173">
        <v>6436017</v>
      </c>
      <c r="S173">
        <v>6436017</v>
      </c>
      <c r="T173" t="s">
        <v>3447</v>
      </c>
    </row>
    <row r="174" spans="1:20" x14ac:dyDescent="0.2">
      <c r="A174" t="s">
        <v>2455</v>
      </c>
      <c r="B174" t="s">
        <v>5047</v>
      </c>
      <c r="C174" t="s">
        <v>17516</v>
      </c>
      <c r="D174">
        <v>208064</v>
      </c>
      <c r="E174">
        <v>54979</v>
      </c>
      <c r="F174">
        <v>402</v>
      </c>
      <c r="G174" t="s">
        <v>3459</v>
      </c>
      <c r="H174" t="s">
        <v>4998</v>
      </c>
      <c r="I174">
        <v>3025</v>
      </c>
      <c r="J174" t="s">
        <v>3438</v>
      </c>
      <c r="K174" t="s">
        <v>17517</v>
      </c>
      <c r="L174" t="s">
        <v>5046</v>
      </c>
      <c r="M174" t="s">
        <v>5048</v>
      </c>
      <c r="N174">
        <v>4446678</v>
      </c>
      <c r="O174" t="s">
        <v>5050</v>
      </c>
      <c r="P174" t="s">
        <v>5050</v>
      </c>
      <c r="R174">
        <v>5283565</v>
      </c>
      <c r="S174">
        <v>5283565</v>
      </c>
      <c r="T174" t="s">
        <v>3447</v>
      </c>
    </row>
    <row r="175" spans="1:20" x14ac:dyDescent="0.2">
      <c r="A175" t="s">
        <v>2457</v>
      </c>
      <c r="B175" t="s">
        <v>5054</v>
      </c>
      <c r="C175" t="s">
        <v>17518</v>
      </c>
      <c r="D175">
        <v>124921</v>
      </c>
      <c r="E175">
        <v>32346</v>
      </c>
      <c r="F175">
        <v>209</v>
      </c>
      <c r="G175" t="s">
        <v>3459</v>
      </c>
      <c r="H175" t="s">
        <v>3516</v>
      </c>
      <c r="I175">
        <v>3461</v>
      </c>
      <c r="J175" t="s">
        <v>3438</v>
      </c>
      <c r="K175" t="s">
        <v>17519</v>
      </c>
      <c r="L175" t="s">
        <v>5053</v>
      </c>
      <c r="M175" t="s">
        <v>5055</v>
      </c>
      <c r="O175" t="s">
        <v>5056</v>
      </c>
      <c r="P175" t="s">
        <v>5056</v>
      </c>
      <c r="Q175" t="s">
        <v>5057</v>
      </c>
      <c r="R175">
        <v>12544</v>
      </c>
      <c r="S175">
        <v>12544</v>
      </c>
      <c r="T175" t="s">
        <v>3469</v>
      </c>
    </row>
    <row r="176" spans="1:20" x14ac:dyDescent="0.2">
      <c r="A176" t="s">
        <v>2447</v>
      </c>
      <c r="B176" t="s">
        <v>5061</v>
      </c>
      <c r="C176" t="s">
        <v>17520</v>
      </c>
      <c r="D176">
        <v>124667</v>
      </c>
      <c r="E176">
        <v>18494</v>
      </c>
      <c r="F176">
        <v>209</v>
      </c>
      <c r="G176" t="s">
        <v>3459</v>
      </c>
      <c r="H176" t="s">
        <v>3516</v>
      </c>
      <c r="I176">
        <v>3462</v>
      </c>
      <c r="J176" t="s">
        <v>3438</v>
      </c>
      <c r="K176" t="s">
        <v>17521</v>
      </c>
      <c r="L176" t="s">
        <v>5060</v>
      </c>
      <c r="M176" t="s">
        <v>5062</v>
      </c>
      <c r="N176">
        <v>343282</v>
      </c>
      <c r="O176" t="s">
        <v>5064</v>
      </c>
      <c r="P176" t="s">
        <v>5064</v>
      </c>
      <c r="Q176" t="s">
        <v>5065</v>
      </c>
      <c r="R176">
        <v>387316</v>
      </c>
      <c r="S176">
        <v>387316</v>
      </c>
      <c r="T176" t="s">
        <v>3469</v>
      </c>
    </row>
    <row r="177" spans="1:20" x14ac:dyDescent="0.2">
      <c r="A177" t="s">
        <v>2439</v>
      </c>
      <c r="B177" t="s">
        <v>5069</v>
      </c>
      <c r="C177" t="s">
        <v>17522</v>
      </c>
      <c r="D177">
        <v>125762</v>
      </c>
      <c r="E177">
        <v>18497</v>
      </c>
      <c r="F177">
        <v>209</v>
      </c>
      <c r="G177" t="s">
        <v>3459</v>
      </c>
      <c r="H177" t="s">
        <v>3516</v>
      </c>
      <c r="I177">
        <v>3455</v>
      </c>
      <c r="J177" t="s">
        <v>3438</v>
      </c>
      <c r="K177" t="s">
        <v>17523</v>
      </c>
      <c r="L177" t="s">
        <v>5068</v>
      </c>
      <c r="M177" t="s">
        <v>5070</v>
      </c>
      <c r="O177" t="s">
        <v>5071</v>
      </c>
      <c r="P177" t="s">
        <v>5071</v>
      </c>
      <c r="Q177" t="s">
        <v>5072</v>
      </c>
      <c r="R177" s="5">
        <v>667546783527</v>
      </c>
      <c r="S177">
        <v>6675</v>
      </c>
      <c r="T177" t="s">
        <v>3469</v>
      </c>
    </row>
    <row r="178" spans="1:20" x14ac:dyDescent="0.2">
      <c r="A178" t="s">
        <v>2441</v>
      </c>
      <c r="B178" t="s">
        <v>5076</v>
      </c>
      <c r="C178" t="s">
        <v>17524</v>
      </c>
      <c r="D178">
        <v>124839</v>
      </c>
      <c r="E178">
        <v>12261</v>
      </c>
      <c r="F178">
        <v>209</v>
      </c>
      <c r="G178" t="s">
        <v>3459</v>
      </c>
      <c r="H178" t="s">
        <v>3819</v>
      </c>
      <c r="I178">
        <v>3489</v>
      </c>
      <c r="J178" t="s">
        <v>3438</v>
      </c>
      <c r="K178" t="s">
        <v>17525</v>
      </c>
      <c r="L178" t="s">
        <v>5075</v>
      </c>
      <c r="M178" t="s">
        <v>5077</v>
      </c>
      <c r="N178">
        <v>2015539</v>
      </c>
      <c r="O178" t="s">
        <v>5079</v>
      </c>
      <c r="P178" t="s">
        <v>5079</v>
      </c>
      <c r="Q178" t="s">
        <v>5080</v>
      </c>
      <c r="R178">
        <v>2733768</v>
      </c>
      <c r="S178">
        <v>2733768</v>
      </c>
      <c r="T178" t="s">
        <v>3469</v>
      </c>
    </row>
    <row r="179" spans="1:20" x14ac:dyDescent="0.2">
      <c r="A179" t="s">
        <v>2467</v>
      </c>
      <c r="B179" t="s">
        <v>5085</v>
      </c>
      <c r="C179" t="s">
        <v>17526</v>
      </c>
      <c r="D179">
        <v>124655</v>
      </c>
      <c r="E179">
        <v>18281</v>
      </c>
      <c r="F179">
        <v>209</v>
      </c>
      <c r="G179" t="s">
        <v>3863</v>
      </c>
      <c r="H179" t="s">
        <v>5082</v>
      </c>
      <c r="I179">
        <v>4466</v>
      </c>
      <c r="J179" t="s">
        <v>3438</v>
      </c>
      <c r="K179" t="s">
        <v>17527</v>
      </c>
      <c r="L179" t="s">
        <v>5084</v>
      </c>
      <c r="M179" t="s">
        <v>5086</v>
      </c>
      <c r="N179">
        <v>9835</v>
      </c>
      <c r="O179" t="s">
        <v>5088</v>
      </c>
      <c r="P179" t="s">
        <v>5088</v>
      </c>
      <c r="Q179" t="s">
        <v>5089</v>
      </c>
      <c r="R179">
        <v>10253</v>
      </c>
      <c r="S179">
        <v>10253</v>
      </c>
      <c r="T179" t="s">
        <v>3469</v>
      </c>
    </row>
    <row r="180" spans="1:20" x14ac:dyDescent="0.2">
      <c r="A180" t="s">
        <v>2465</v>
      </c>
      <c r="B180" t="s">
        <v>5107</v>
      </c>
      <c r="C180" t="s">
        <v>17528</v>
      </c>
      <c r="D180">
        <v>127693</v>
      </c>
      <c r="E180">
        <v>37475</v>
      </c>
      <c r="F180">
        <v>209</v>
      </c>
      <c r="G180" t="s">
        <v>3863</v>
      </c>
      <c r="H180" t="s">
        <v>4942</v>
      </c>
      <c r="I180">
        <v>5377</v>
      </c>
      <c r="J180" t="s">
        <v>3438</v>
      </c>
      <c r="K180" t="s">
        <v>17529</v>
      </c>
      <c r="L180" t="s">
        <v>5106</v>
      </c>
      <c r="M180" t="s">
        <v>5108</v>
      </c>
      <c r="N180">
        <v>75741</v>
      </c>
      <c r="O180" t="s">
        <v>5110</v>
      </c>
      <c r="P180" t="s">
        <v>5110</v>
      </c>
      <c r="Q180" t="s">
        <v>4949</v>
      </c>
      <c r="R180">
        <v>83939</v>
      </c>
      <c r="S180">
        <v>83939</v>
      </c>
      <c r="T180" t="s">
        <v>3469</v>
      </c>
    </row>
    <row r="181" spans="1:20" x14ac:dyDescent="0.2">
      <c r="A181" t="s">
        <v>2471</v>
      </c>
      <c r="B181" t="s">
        <v>5114</v>
      </c>
      <c r="C181" t="s">
        <v>17530</v>
      </c>
      <c r="D181">
        <v>126840</v>
      </c>
      <c r="E181">
        <v>18467</v>
      </c>
      <c r="F181">
        <v>209</v>
      </c>
      <c r="G181" t="s">
        <v>3459</v>
      </c>
      <c r="H181" t="s">
        <v>3560</v>
      </c>
      <c r="I181">
        <v>1560</v>
      </c>
      <c r="J181" t="s">
        <v>3438</v>
      </c>
      <c r="K181" t="s">
        <v>17531</v>
      </c>
      <c r="L181" t="s">
        <v>5113</v>
      </c>
      <c r="M181" t="s">
        <v>5115</v>
      </c>
      <c r="N181">
        <v>393682</v>
      </c>
      <c r="O181" t="s">
        <v>5117</v>
      </c>
      <c r="P181" t="s">
        <v>5117</v>
      </c>
      <c r="Q181" t="s">
        <v>5118</v>
      </c>
      <c r="R181">
        <v>446284</v>
      </c>
      <c r="S181">
        <v>446284</v>
      </c>
      <c r="T181" t="s">
        <v>3469</v>
      </c>
    </row>
    <row r="182" spans="1:20" x14ac:dyDescent="0.2">
      <c r="A182" t="s">
        <v>2477</v>
      </c>
      <c r="B182" t="s">
        <v>5122</v>
      </c>
      <c r="C182" t="s">
        <v>17532</v>
      </c>
      <c r="D182">
        <v>146490</v>
      </c>
      <c r="E182">
        <v>15745</v>
      </c>
      <c r="F182">
        <v>305</v>
      </c>
      <c r="G182" t="s">
        <v>3436</v>
      </c>
      <c r="H182" t="s">
        <v>3498</v>
      </c>
      <c r="I182">
        <v>410</v>
      </c>
      <c r="J182" t="s">
        <v>3438</v>
      </c>
      <c r="K182" t="s">
        <v>17533</v>
      </c>
      <c r="L182" t="s">
        <v>5121</v>
      </c>
      <c r="M182" t="s">
        <v>5123</v>
      </c>
      <c r="N182">
        <v>9922</v>
      </c>
      <c r="O182" t="s">
        <v>5125</v>
      </c>
      <c r="P182" t="s">
        <v>5125</v>
      </c>
      <c r="R182">
        <v>10349</v>
      </c>
      <c r="S182">
        <v>10349</v>
      </c>
      <c r="T182" t="s">
        <v>3489</v>
      </c>
    </row>
    <row r="183" spans="1:20" x14ac:dyDescent="0.2">
      <c r="A183" t="s">
        <v>3099</v>
      </c>
      <c r="B183" t="s">
        <v>5129</v>
      </c>
      <c r="C183" t="s">
        <v>17534</v>
      </c>
      <c r="D183">
        <v>147158</v>
      </c>
      <c r="E183">
        <v>15765</v>
      </c>
      <c r="F183">
        <v>305</v>
      </c>
      <c r="G183" t="s">
        <v>3436</v>
      </c>
      <c r="H183" t="s">
        <v>3498</v>
      </c>
      <c r="I183">
        <v>407</v>
      </c>
      <c r="J183" t="s">
        <v>3438</v>
      </c>
      <c r="K183" t="s">
        <v>17535</v>
      </c>
      <c r="L183" t="s">
        <v>5128</v>
      </c>
      <c r="M183" t="s">
        <v>5130</v>
      </c>
      <c r="N183">
        <v>11263</v>
      </c>
      <c r="O183" t="s">
        <v>5132</v>
      </c>
      <c r="P183" t="s">
        <v>5132</v>
      </c>
      <c r="R183">
        <v>11756</v>
      </c>
      <c r="S183">
        <v>11756</v>
      </c>
      <c r="T183" t="s">
        <v>3489</v>
      </c>
    </row>
    <row r="184" spans="1:20" x14ac:dyDescent="0.2">
      <c r="A184" t="s">
        <v>1096</v>
      </c>
      <c r="B184" t="s">
        <v>5137</v>
      </c>
      <c r="C184" t="s">
        <v>17536</v>
      </c>
      <c r="D184">
        <v>155554</v>
      </c>
      <c r="E184">
        <v>15500</v>
      </c>
      <c r="F184">
        <v>400</v>
      </c>
      <c r="G184" t="s">
        <v>3459</v>
      </c>
      <c r="H184" t="s">
        <v>5134</v>
      </c>
      <c r="I184">
        <v>1932</v>
      </c>
      <c r="J184" t="s">
        <v>3438</v>
      </c>
      <c r="K184" t="s">
        <v>17537</v>
      </c>
      <c r="L184" t="s">
        <v>5136</v>
      </c>
      <c r="M184" t="s">
        <v>5138</v>
      </c>
      <c r="N184">
        <v>10455</v>
      </c>
      <c r="O184" t="s">
        <v>5140</v>
      </c>
      <c r="P184" t="s">
        <v>5140</v>
      </c>
      <c r="Q184" t="s">
        <v>5141</v>
      </c>
      <c r="R184">
        <v>288</v>
      </c>
      <c r="S184">
        <v>288</v>
      </c>
      <c r="T184" t="s">
        <v>3458</v>
      </c>
    </row>
    <row r="185" spans="1:20" x14ac:dyDescent="0.2">
      <c r="A185" t="s">
        <v>1098</v>
      </c>
      <c r="B185" t="s">
        <v>5145</v>
      </c>
      <c r="C185" t="s">
        <v>17538</v>
      </c>
      <c r="D185">
        <v>124867</v>
      </c>
      <c r="E185">
        <v>15778</v>
      </c>
      <c r="F185">
        <v>209</v>
      </c>
      <c r="G185" t="s">
        <v>3863</v>
      </c>
      <c r="H185" t="s">
        <v>5082</v>
      </c>
      <c r="I185">
        <v>4476</v>
      </c>
      <c r="J185" t="s">
        <v>3438</v>
      </c>
      <c r="K185" t="s">
        <v>17539</v>
      </c>
      <c r="L185" t="s">
        <v>5144</v>
      </c>
      <c r="M185" t="s">
        <v>5146</v>
      </c>
      <c r="N185">
        <v>238</v>
      </c>
      <c r="O185" t="s">
        <v>5148</v>
      </c>
      <c r="P185" t="s">
        <v>5148</v>
      </c>
      <c r="Q185" t="s">
        <v>5149</v>
      </c>
      <c r="R185">
        <v>243</v>
      </c>
      <c r="S185">
        <v>243</v>
      </c>
      <c r="T185" t="s">
        <v>3469</v>
      </c>
    </row>
    <row r="186" spans="1:20" x14ac:dyDescent="0.2">
      <c r="A186" t="s">
        <v>13805</v>
      </c>
      <c r="B186" t="s">
        <v>5153</v>
      </c>
      <c r="C186" t="s">
        <v>17540</v>
      </c>
      <c r="D186">
        <v>126035</v>
      </c>
      <c r="E186">
        <v>15749</v>
      </c>
      <c r="F186">
        <v>209</v>
      </c>
      <c r="G186" t="s">
        <v>3863</v>
      </c>
      <c r="H186" t="s">
        <v>5082</v>
      </c>
      <c r="I186">
        <v>4574</v>
      </c>
      <c r="J186" t="s">
        <v>3438</v>
      </c>
      <c r="K186" t="s">
        <v>17541</v>
      </c>
      <c r="L186" t="s">
        <v>5152</v>
      </c>
      <c r="M186" t="s">
        <v>5154</v>
      </c>
      <c r="N186">
        <v>10181339</v>
      </c>
      <c r="O186" t="s">
        <v>5156</v>
      </c>
      <c r="P186" t="s">
        <v>5156</v>
      </c>
      <c r="Q186" t="s">
        <v>5157</v>
      </c>
      <c r="R186">
        <v>107</v>
      </c>
      <c r="S186">
        <v>107</v>
      </c>
      <c r="T186" t="s">
        <v>3469</v>
      </c>
    </row>
    <row r="187" spans="1:20" x14ac:dyDescent="0.2">
      <c r="A187" t="s">
        <v>1113</v>
      </c>
      <c r="B187" t="s">
        <v>5161</v>
      </c>
      <c r="C187" t="s">
        <v>17542</v>
      </c>
      <c r="D187">
        <v>213340</v>
      </c>
      <c r="E187">
        <v>57745</v>
      </c>
      <c r="F187">
        <v>209</v>
      </c>
      <c r="G187" t="s">
        <v>3436</v>
      </c>
      <c r="H187" t="s">
        <v>3524</v>
      </c>
      <c r="I187">
        <v>155</v>
      </c>
      <c r="J187" t="s">
        <v>3438</v>
      </c>
      <c r="K187" t="s">
        <v>17543</v>
      </c>
      <c r="L187" t="s">
        <v>5160</v>
      </c>
      <c r="M187" t="s">
        <v>5162</v>
      </c>
      <c r="N187">
        <v>10181341</v>
      </c>
      <c r="O187" t="s">
        <v>5164</v>
      </c>
      <c r="P187" t="s">
        <v>5164</v>
      </c>
      <c r="Q187" t="s">
        <v>5165</v>
      </c>
      <c r="R187">
        <v>999</v>
      </c>
      <c r="S187">
        <v>999</v>
      </c>
      <c r="T187" t="s">
        <v>3469</v>
      </c>
    </row>
    <row r="188" spans="1:20" x14ac:dyDescent="0.2">
      <c r="A188" t="s">
        <v>1102</v>
      </c>
      <c r="B188" t="s">
        <v>5169</v>
      </c>
      <c r="C188" t="s">
        <v>17544</v>
      </c>
      <c r="D188">
        <v>124647</v>
      </c>
      <c r="E188">
        <v>15753</v>
      </c>
      <c r="F188">
        <v>209</v>
      </c>
      <c r="G188" t="s">
        <v>3863</v>
      </c>
      <c r="H188" t="s">
        <v>5082</v>
      </c>
      <c r="I188">
        <v>4462</v>
      </c>
      <c r="J188" t="s">
        <v>3438</v>
      </c>
      <c r="K188" t="s">
        <v>17545</v>
      </c>
      <c r="L188" t="s">
        <v>5168</v>
      </c>
      <c r="M188" t="s">
        <v>5170</v>
      </c>
      <c r="N188">
        <v>451</v>
      </c>
      <c r="O188" t="s">
        <v>5172</v>
      </c>
      <c r="P188" t="s">
        <v>5172</v>
      </c>
      <c r="Q188" t="s">
        <v>5173</v>
      </c>
      <c r="R188">
        <v>464</v>
      </c>
      <c r="S188">
        <v>464</v>
      </c>
      <c r="T188" t="s">
        <v>3469</v>
      </c>
    </row>
    <row r="189" spans="1:20" x14ac:dyDescent="0.2">
      <c r="A189" t="s">
        <v>1106</v>
      </c>
      <c r="B189" t="s">
        <v>5177</v>
      </c>
      <c r="C189" t="s">
        <v>17546</v>
      </c>
      <c r="D189">
        <v>155571</v>
      </c>
      <c r="E189">
        <v>15679</v>
      </c>
      <c r="F189">
        <v>400</v>
      </c>
      <c r="G189" t="s">
        <v>3436</v>
      </c>
      <c r="H189" t="s">
        <v>3470</v>
      </c>
      <c r="I189">
        <v>278</v>
      </c>
      <c r="J189" t="s">
        <v>3438</v>
      </c>
      <c r="K189" t="s">
        <v>17547</v>
      </c>
      <c r="L189" t="s">
        <v>5176</v>
      </c>
      <c r="M189" t="s">
        <v>5178</v>
      </c>
      <c r="N189">
        <v>5497</v>
      </c>
      <c r="O189" t="s">
        <v>5180</v>
      </c>
      <c r="P189" t="s">
        <v>5180</v>
      </c>
      <c r="Q189" t="s">
        <v>5181</v>
      </c>
      <c r="R189">
        <v>5699</v>
      </c>
      <c r="S189">
        <v>5699</v>
      </c>
      <c r="T189" t="s">
        <v>3458</v>
      </c>
    </row>
    <row r="190" spans="1:20" x14ac:dyDescent="0.2">
      <c r="A190" t="s">
        <v>1119</v>
      </c>
      <c r="B190" t="s">
        <v>5185</v>
      </c>
      <c r="C190" t="s">
        <v>17548</v>
      </c>
      <c r="D190">
        <v>145770</v>
      </c>
      <c r="E190">
        <v>15730</v>
      </c>
      <c r="F190">
        <v>305</v>
      </c>
      <c r="G190" t="s">
        <v>3459</v>
      </c>
      <c r="H190" t="s">
        <v>3873</v>
      </c>
      <c r="I190">
        <v>1676</v>
      </c>
      <c r="J190" t="s">
        <v>3438</v>
      </c>
      <c r="K190" t="s">
        <v>17549</v>
      </c>
      <c r="L190" t="s">
        <v>5184</v>
      </c>
      <c r="M190" t="s">
        <v>5186</v>
      </c>
      <c r="N190">
        <v>10025</v>
      </c>
      <c r="O190" t="s">
        <v>5188</v>
      </c>
      <c r="P190" t="s">
        <v>5188</v>
      </c>
      <c r="Q190" t="s">
        <v>5189</v>
      </c>
      <c r="R190">
        <v>10457</v>
      </c>
      <c r="S190">
        <v>10457</v>
      </c>
      <c r="T190" t="s">
        <v>3489</v>
      </c>
    </row>
    <row r="191" spans="1:20" x14ac:dyDescent="0.2">
      <c r="A191" t="s">
        <v>1115</v>
      </c>
      <c r="B191" t="s">
        <v>5193</v>
      </c>
      <c r="C191" t="s">
        <v>17550</v>
      </c>
      <c r="D191">
        <v>123263</v>
      </c>
      <c r="E191">
        <v>15676</v>
      </c>
      <c r="F191">
        <v>209</v>
      </c>
      <c r="G191" t="s">
        <v>3436</v>
      </c>
      <c r="H191" t="s">
        <v>3498</v>
      </c>
      <c r="I191">
        <v>394</v>
      </c>
      <c r="J191" t="s">
        <v>3438</v>
      </c>
      <c r="K191" t="s">
        <v>17551</v>
      </c>
      <c r="L191" t="s">
        <v>5192</v>
      </c>
      <c r="M191" t="s">
        <v>5194</v>
      </c>
      <c r="N191">
        <v>46</v>
      </c>
      <c r="O191" t="s">
        <v>5196</v>
      </c>
      <c r="P191" t="s">
        <v>5196</v>
      </c>
      <c r="Q191" t="s">
        <v>5197</v>
      </c>
      <c r="R191" s="5">
        <v>439286440877</v>
      </c>
      <c r="S191" t="s">
        <v>17552</v>
      </c>
      <c r="T191" t="s">
        <v>3469</v>
      </c>
    </row>
    <row r="192" spans="1:20" x14ac:dyDescent="0.2">
      <c r="A192" t="s">
        <v>1104</v>
      </c>
      <c r="B192" t="s">
        <v>5201</v>
      </c>
      <c r="C192" t="s">
        <v>17553</v>
      </c>
      <c r="D192">
        <v>155665</v>
      </c>
      <c r="E192">
        <v>18374</v>
      </c>
      <c r="F192">
        <v>400</v>
      </c>
      <c r="G192" t="s">
        <v>3436</v>
      </c>
      <c r="H192" t="s">
        <v>3603</v>
      </c>
      <c r="I192">
        <v>440</v>
      </c>
      <c r="J192" t="s">
        <v>3438</v>
      </c>
      <c r="K192" t="s">
        <v>17554</v>
      </c>
      <c r="L192" t="s">
        <v>5200</v>
      </c>
      <c r="M192" t="s">
        <v>5202</v>
      </c>
      <c r="N192">
        <v>139840</v>
      </c>
      <c r="O192" t="s">
        <v>5204</v>
      </c>
      <c r="P192" t="s">
        <v>5204</v>
      </c>
      <c r="Q192" t="s">
        <v>5205</v>
      </c>
      <c r="R192">
        <v>158980</v>
      </c>
      <c r="S192">
        <v>158980</v>
      </c>
      <c r="T192" t="s">
        <v>3458</v>
      </c>
    </row>
    <row r="193" spans="1:20" x14ac:dyDescent="0.2">
      <c r="A193" t="s">
        <v>1109</v>
      </c>
      <c r="B193" t="s">
        <v>5209</v>
      </c>
      <c r="C193" t="s">
        <v>17555</v>
      </c>
      <c r="D193">
        <v>123265</v>
      </c>
      <c r="E193">
        <v>15677</v>
      </c>
      <c r="F193">
        <v>209</v>
      </c>
      <c r="G193" t="s">
        <v>3436</v>
      </c>
      <c r="H193" t="s">
        <v>3906</v>
      </c>
      <c r="I193">
        <v>72</v>
      </c>
      <c r="J193" t="s">
        <v>3438</v>
      </c>
      <c r="K193" t="s">
        <v>17556</v>
      </c>
      <c r="L193" t="s">
        <v>5208</v>
      </c>
      <c r="M193" t="s">
        <v>5210</v>
      </c>
      <c r="N193">
        <v>58494</v>
      </c>
      <c r="O193" t="s">
        <v>5212</v>
      </c>
      <c r="P193" t="s">
        <v>5212</v>
      </c>
      <c r="Q193" t="s">
        <v>5213</v>
      </c>
      <c r="R193">
        <v>64969</v>
      </c>
      <c r="S193">
        <v>64969</v>
      </c>
      <c r="T193" t="s">
        <v>3469</v>
      </c>
    </row>
    <row r="194" spans="1:20" x14ac:dyDescent="0.2">
      <c r="A194" t="s">
        <v>1121</v>
      </c>
      <c r="B194" t="s">
        <v>5224</v>
      </c>
      <c r="C194" t="s">
        <v>17557</v>
      </c>
      <c r="D194">
        <v>155573</v>
      </c>
      <c r="E194">
        <v>15685</v>
      </c>
      <c r="F194">
        <v>400</v>
      </c>
      <c r="G194" t="s">
        <v>3436</v>
      </c>
      <c r="H194" t="s">
        <v>3586</v>
      </c>
      <c r="I194">
        <v>119</v>
      </c>
      <c r="J194" t="s">
        <v>3438</v>
      </c>
      <c r="K194" t="s">
        <v>17558</v>
      </c>
      <c r="L194" t="s">
        <v>5223</v>
      </c>
      <c r="M194" t="s">
        <v>5225</v>
      </c>
      <c r="N194">
        <v>1002</v>
      </c>
      <c r="O194" t="s">
        <v>5227</v>
      </c>
      <c r="P194" t="s">
        <v>5227</v>
      </c>
      <c r="Q194" t="s">
        <v>5228</v>
      </c>
      <c r="R194">
        <v>3032849</v>
      </c>
      <c r="S194">
        <v>3032849</v>
      </c>
      <c r="T194" t="s">
        <v>3458</v>
      </c>
    </row>
    <row r="195" spans="1:20" x14ac:dyDescent="0.2">
      <c r="A195" t="s">
        <v>1132</v>
      </c>
      <c r="B195" t="s">
        <v>5233</v>
      </c>
      <c r="C195" t="s">
        <v>17559</v>
      </c>
      <c r="D195">
        <v>155572</v>
      </c>
      <c r="E195">
        <v>15681</v>
      </c>
      <c r="F195">
        <v>400</v>
      </c>
      <c r="G195" t="s">
        <v>3436</v>
      </c>
      <c r="H195" t="s">
        <v>5230</v>
      </c>
      <c r="I195">
        <v>563</v>
      </c>
      <c r="J195" t="s">
        <v>3438</v>
      </c>
      <c r="K195" t="s">
        <v>17560</v>
      </c>
      <c r="L195" t="s">
        <v>5232</v>
      </c>
      <c r="M195" t="s">
        <v>5234</v>
      </c>
      <c r="N195">
        <v>486</v>
      </c>
      <c r="O195" t="s">
        <v>5236</v>
      </c>
      <c r="P195" t="s">
        <v>5236</v>
      </c>
      <c r="Q195" t="s">
        <v>5237</v>
      </c>
      <c r="R195">
        <v>500</v>
      </c>
      <c r="S195">
        <v>500</v>
      </c>
      <c r="T195" t="s">
        <v>3458</v>
      </c>
    </row>
    <row r="196" spans="1:20" x14ac:dyDescent="0.2">
      <c r="A196" t="s">
        <v>1134</v>
      </c>
      <c r="B196" t="s">
        <v>5249</v>
      </c>
      <c r="C196" t="s">
        <v>17561</v>
      </c>
      <c r="D196">
        <v>146478</v>
      </c>
      <c r="E196">
        <v>15443</v>
      </c>
      <c r="F196">
        <v>305</v>
      </c>
      <c r="G196" t="s">
        <v>3977</v>
      </c>
      <c r="H196" t="s">
        <v>4806</v>
      </c>
      <c r="I196">
        <v>1406</v>
      </c>
      <c r="J196" t="s">
        <v>3438</v>
      </c>
      <c r="K196" t="s">
        <v>17562</v>
      </c>
      <c r="L196" t="s">
        <v>5248</v>
      </c>
      <c r="M196" t="s">
        <v>5250</v>
      </c>
      <c r="N196">
        <v>58552</v>
      </c>
      <c r="O196" t="s">
        <v>5252</v>
      </c>
      <c r="P196" t="s">
        <v>5252</v>
      </c>
      <c r="Q196" t="s">
        <v>5253</v>
      </c>
      <c r="R196" s="1">
        <v>4.4100000000000003E+29</v>
      </c>
      <c r="S196">
        <v>444791</v>
      </c>
      <c r="T196" t="s">
        <v>3489</v>
      </c>
    </row>
    <row r="197" spans="1:20" x14ac:dyDescent="0.2">
      <c r="A197" t="s">
        <v>1128</v>
      </c>
      <c r="B197" t="s">
        <v>5257</v>
      </c>
      <c r="C197" t="s">
        <v>17563</v>
      </c>
      <c r="D197">
        <v>157058</v>
      </c>
      <c r="E197">
        <v>43847</v>
      </c>
      <c r="F197">
        <v>400</v>
      </c>
      <c r="G197" t="s">
        <v>3459</v>
      </c>
      <c r="H197" t="s">
        <v>4887</v>
      </c>
      <c r="I197">
        <v>2842</v>
      </c>
      <c r="J197" t="s">
        <v>3438</v>
      </c>
      <c r="K197" t="s">
        <v>17564</v>
      </c>
      <c r="L197" t="s">
        <v>5256</v>
      </c>
      <c r="M197" t="s">
        <v>5258</v>
      </c>
      <c r="N197">
        <v>734</v>
      </c>
      <c r="O197" t="s">
        <v>5260</v>
      </c>
      <c r="P197" t="s">
        <v>5260</v>
      </c>
      <c r="Q197" t="s">
        <v>5261</v>
      </c>
      <c r="R197">
        <v>754</v>
      </c>
      <c r="S197">
        <v>754</v>
      </c>
      <c r="T197" t="s">
        <v>3458</v>
      </c>
    </row>
    <row r="198" spans="1:20" x14ac:dyDescent="0.2">
      <c r="A198" t="s">
        <v>1130</v>
      </c>
      <c r="B198" t="s">
        <v>5265</v>
      </c>
      <c r="C198" t="s">
        <v>17565</v>
      </c>
      <c r="D198">
        <v>155583</v>
      </c>
      <c r="E198">
        <v>15716</v>
      </c>
      <c r="F198">
        <v>400</v>
      </c>
      <c r="G198" t="s">
        <v>3436</v>
      </c>
      <c r="H198" t="s">
        <v>3906</v>
      </c>
      <c r="I198">
        <v>83</v>
      </c>
      <c r="J198" t="s">
        <v>3438</v>
      </c>
      <c r="K198" t="s">
        <v>17566</v>
      </c>
      <c r="L198" t="s">
        <v>5264</v>
      </c>
      <c r="M198" t="s">
        <v>5266</v>
      </c>
      <c r="N198">
        <v>389128</v>
      </c>
      <c r="O198" t="s">
        <v>5268</v>
      </c>
      <c r="P198" t="s">
        <v>5268</v>
      </c>
      <c r="Q198" t="s">
        <v>5269</v>
      </c>
      <c r="R198">
        <v>793</v>
      </c>
      <c r="S198">
        <v>793</v>
      </c>
      <c r="T198" t="s">
        <v>3458</v>
      </c>
    </row>
    <row r="199" spans="1:20" x14ac:dyDescent="0.2">
      <c r="A199" t="s">
        <v>1124</v>
      </c>
      <c r="B199" t="s">
        <v>5273</v>
      </c>
      <c r="C199" t="s">
        <v>17567</v>
      </c>
      <c r="D199">
        <v>155539</v>
      </c>
      <c r="E199">
        <v>15140</v>
      </c>
      <c r="F199">
        <v>400</v>
      </c>
      <c r="G199" t="s">
        <v>3436</v>
      </c>
      <c r="H199" t="s">
        <v>3470</v>
      </c>
      <c r="I199">
        <v>267</v>
      </c>
      <c r="J199" t="s">
        <v>3438</v>
      </c>
      <c r="K199" t="s">
        <v>17568</v>
      </c>
      <c r="L199" t="s">
        <v>5272</v>
      </c>
      <c r="M199" t="s">
        <v>5274</v>
      </c>
      <c r="N199">
        <v>141580</v>
      </c>
      <c r="O199" t="s">
        <v>5276</v>
      </c>
      <c r="P199" t="s">
        <v>5276</v>
      </c>
      <c r="Q199" t="s">
        <v>5277</v>
      </c>
      <c r="R199">
        <v>161166</v>
      </c>
      <c r="S199">
        <v>161166</v>
      </c>
      <c r="T199" t="s">
        <v>3458</v>
      </c>
    </row>
    <row r="200" spans="1:20" x14ac:dyDescent="0.2">
      <c r="A200" t="s">
        <v>1111</v>
      </c>
      <c r="B200" t="s">
        <v>5281</v>
      </c>
      <c r="C200" t="s">
        <v>17569</v>
      </c>
      <c r="D200">
        <v>155613</v>
      </c>
      <c r="E200">
        <v>15990</v>
      </c>
      <c r="F200">
        <v>400</v>
      </c>
      <c r="G200" t="s">
        <v>3459</v>
      </c>
      <c r="H200" t="s">
        <v>3758</v>
      </c>
      <c r="I200">
        <v>2236</v>
      </c>
      <c r="J200" t="s">
        <v>3438</v>
      </c>
      <c r="K200" t="s">
        <v>17570</v>
      </c>
      <c r="L200" t="s">
        <v>5280</v>
      </c>
      <c r="M200" t="s">
        <v>5282</v>
      </c>
      <c r="N200">
        <v>571409</v>
      </c>
      <c r="O200" t="s">
        <v>5284</v>
      </c>
      <c r="P200" t="s">
        <v>5284</v>
      </c>
      <c r="Q200" t="s">
        <v>5285</v>
      </c>
      <c r="R200">
        <v>71920</v>
      </c>
      <c r="S200">
        <v>71920</v>
      </c>
      <c r="T200" t="s">
        <v>3458</v>
      </c>
    </row>
    <row r="201" spans="1:20" x14ac:dyDescent="0.2">
      <c r="A201" t="s">
        <v>1100</v>
      </c>
      <c r="B201" t="s">
        <v>12137</v>
      </c>
      <c r="C201" t="s">
        <v>17571</v>
      </c>
      <c r="D201">
        <v>126149</v>
      </c>
      <c r="E201">
        <v>44688</v>
      </c>
      <c r="F201">
        <v>209</v>
      </c>
      <c r="G201" t="s">
        <v>3977</v>
      </c>
      <c r="H201" t="s">
        <v>4437</v>
      </c>
      <c r="I201">
        <v>1296</v>
      </c>
      <c r="J201" t="s">
        <v>3438</v>
      </c>
      <c r="K201" t="s">
        <v>17572</v>
      </c>
      <c r="L201" t="s">
        <v>17573</v>
      </c>
      <c r="M201" t="s">
        <v>12138</v>
      </c>
      <c r="N201">
        <v>388669</v>
      </c>
      <c r="O201" t="s">
        <v>17574</v>
      </c>
      <c r="P201" t="s">
        <v>17574</v>
      </c>
      <c r="Q201" t="s">
        <v>12139</v>
      </c>
      <c r="R201">
        <v>439586</v>
      </c>
      <c r="S201">
        <v>439586</v>
      </c>
      <c r="T201" t="s">
        <v>3469</v>
      </c>
    </row>
    <row r="202" spans="1:20" x14ac:dyDescent="0.2">
      <c r="A202" t="s">
        <v>1126</v>
      </c>
      <c r="B202" t="s">
        <v>5289</v>
      </c>
      <c r="C202" t="s">
        <v>17575</v>
      </c>
      <c r="D202">
        <v>164302</v>
      </c>
      <c r="E202">
        <v>15720</v>
      </c>
      <c r="F202">
        <v>305</v>
      </c>
      <c r="G202" t="s">
        <v>3436</v>
      </c>
      <c r="H202" t="s">
        <v>4215</v>
      </c>
      <c r="I202">
        <v>47</v>
      </c>
      <c r="J202" t="s">
        <v>3438</v>
      </c>
      <c r="K202" t="s">
        <v>17576</v>
      </c>
      <c r="L202" t="s">
        <v>5288</v>
      </c>
      <c r="M202" s="6">
        <v>1430723</v>
      </c>
      <c r="N202">
        <v>1266066</v>
      </c>
      <c r="O202" t="s">
        <v>5292</v>
      </c>
      <c r="P202" t="s">
        <v>5292</v>
      </c>
      <c r="Q202" t="s">
        <v>5293</v>
      </c>
      <c r="R202">
        <v>70914</v>
      </c>
      <c r="S202">
        <v>70914</v>
      </c>
      <c r="T202" t="s">
        <v>3489</v>
      </c>
    </row>
    <row r="203" spans="1:20" x14ac:dyDescent="0.2">
      <c r="A203" t="s">
        <v>19098</v>
      </c>
      <c r="B203" t="s">
        <v>17577</v>
      </c>
      <c r="C203" t="s">
        <v>17578</v>
      </c>
      <c r="D203">
        <v>155994</v>
      </c>
      <c r="E203">
        <v>32984</v>
      </c>
      <c r="F203">
        <v>400</v>
      </c>
      <c r="G203" t="s">
        <v>3436</v>
      </c>
      <c r="H203" t="s">
        <v>3661</v>
      </c>
      <c r="I203">
        <v>509</v>
      </c>
      <c r="J203" t="s">
        <v>3438</v>
      </c>
      <c r="K203" t="s">
        <v>17579</v>
      </c>
      <c r="L203" t="s">
        <v>17580</v>
      </c>
      <c r="M203" s="6">
        <v>1572621</v>
      </c>
      <c r="N203">
        <v>388369</v>
      </c>
      <c r="O203" t="s">
        <v>8233</v>
      </c>
      <c r="P203" t="s">
        <v>8233</v>
      </c>
      <c r="Q203" t="s">
        <v>8234</v>
      </c>
      <c r="R203">
        <v>439232</v>
      </c>
      <c r="S203">
        <v>439232</v>
      </c>
      <c r="T203" t="s">
        <v>3458</v>
      </c>
    </row>
    <row r="204" spans="1:20" x14ac:dyDescent="0.2">
      <c r="A204" t="s">
        <v>1117</v>
      </c>
      <c r="B204" t="s">
        <v>5297</v>
      </c>
      <c r="C204" t="s">
        <v>17581</v>
      </c>
      <c r="D204">
        <v>123251</v>
      </c>
      <c r="E204">
        <v>15336</v>
      </c>
      <c r="F204">
        <v>209</v>
      </c>
      <c r="G204" t="s">
        <v>3863</v>
      </c>
      <c r="H204" t="s">
        <v>3864</v>
      </c>
      <c r="I204">
        <v>5073</v>
      </c>
      <c r="J204" t="s">
        <v>3438</v>
      </c>
      <c r="K204" t="s">
        <v>17582</v>
      </c>
      <c r="L204" t="s">
        <v>5296</v>
      </c>
      <c r="M204" t="s">
        <v>5298</v>
      </c>
      <c r="N204">
        <v>852</v>
      </c>
      <c r="O204" t="s">
        <v>5300</v>
      </c>
      <c r="P204" t="s">
        <v>5300</v>
      </c>
      <c r="Q204" t="s">
        <v>5301</v>
      </c>
      <c r="R204" s="5">
        <v>444305875</v>
      </c>
      <c r="S204" t="s">
        <v>17583</v>
      </c>
      <c r="T204" t="s">
        <v>3469</v>
      </c>
    </row>
    <row r="205" spans="1:20" x14ac:dyDescent="0.2">
      <c r="A205" t="s">
        <v>1136</v>
      </c>
      <c r="B205" t="s">
        <v>5305</v>
      </c>
      <c r="C205" t="s">
        <v>17584</v>
      </c>
      <c r="D205">
        <v>146492</v>
      </c>
      <c r="E205">
        <v>15772</v>
      </c>
      <c r="F205">
        <v>305</v>
      </c>
      <c r="G205" t="s">
        <v>3977</v>
      </c>
      <c r="H205" t="s">
        <v>4446</v>
      </c>
      <c r="I205">
        <v>1262</v>
      </c>
      <c r="J205" t="s">
        <v>3438</v>
      </c>
      <c r="K205" t="s">
        <v>17585</v>
      </c>
      <c r="L205" t="s">
        <v>5304</v>
      </c>
      <c r="M205" t="s">
        <v>5306</v>
      </c>
      <c r="N205">
        <v>10254628</v>
      </c>
      <c r="O205" t="s">
        <v>5308</v>
      </c>
      <c r="P205" t="s">
        <v>17586</v>
      </c>
      <c r="Q205" t="s">
        <v>5309</v>
      </c>
      <c r="R205">
        <v>6912</v>
      </c>
      <c r="S205">
        <v>6912</v>
      </c>
      <c r="T205" t="s">
        <v>3489</v>
      </c>
    </row>
    <row r="206" spans="1:20" x14ac:dyDescent="0.2">
      <c r="A206" t="s">
        <v>1138</v>
      </c>
      <c r="B206" t="s">
        <v>5321</v>
      </c>
      <c r="C206" t="s">
        <v>17587</v>
      </c>
      <c r="D206">
        <v>123291</v>
      </c>
      <c r="E206">
        <v>18477</v>
      </c>
      <c r="F206">
        <v>209</v>
      </c>
      <c r="G206" t="s">
        <v>3459</v>
      </c>
      <c r="H206" t="s">
        <v>3819</v>
      </c>
      <c r="I206">
        <v>3487</v>
      </c>
      <c r="J206" t="s">
        <v>3438</v>
      </c>
      <c r="K206" t="s">
        <v>17588</v>
      </c>
      <c r="L206" t="s">
        <v>5320</v>
      </c>
      <c r="M206" t="s">
        <v>5322</v>
      </c>
      <c r="O206" t="s">
        <v>5323</v>
      </c>
      <c r="P206" t="s">
        <v>5323</v>
      </c>
      <c r="Q206" t="s">
        <v>5324</v>
      </c>
      <c r="R206">
        <v>3035026</v>
      </c>
      <c r="S206">
        <v>3035026</v>
      </c>
      <c r="T206" t="s">
        <v>3469</v>
      </c>
    </row>
    <row r="207" spans="1:20" x14ac:dyDescent="0.2">
      <c r="A207" t="s">
        <v>1146</v>
      </c>
      <c r="B207" t="s">
        <v>5328</v>
      </c>
      <c r="C207" t="s">
        <v>17589</v>
      </c>
      <c r="D207">
        <v>155669</v>
      </c>
      <c r="E207">
        <v>18394</v>
      </c>
      <c r="F207">
        <v>400</v>
      </c>
      <c r="G207" t="s">
        <v>3863</v>
      </c>
      <c r="H207" t="s">
        <v>4373</v>
      </c>
      <c r="I207">
        <v>4593</v>
      </c>
      <c r="J207" t="s">
        <v>3438</v>
      </c>
      <c r="K207" t="s">
        <v>17590</v>
      </c>
      <c r="L207" t="s">
        <v>5327</v>
      </c>
      <c r="M207" t="s">
        <v>5329</v>
      </c>
      <c r="N207">
        <v>2068</v>
      </c>
      <c r="O207" t="s">
        <v>5331</v>
      </c>
      <c r="P207" t="s">
        <v>5331</v>
      </c>
      <c r="Q207" t="s">
        <v>5332</v>
      </c>
      <c r="R207">
        <v>2153</v>
      </c>
      <c r="S207">
        <v>2153</v>
      </c>
      <c r="T207" t="s">
        <v>3458</v>
      </c>
    </row>
    <row r="208" spans="1:20" x14ac:dyDescent="0.2">
      <c r="A208" t="s">
        <v>1142</v>
      </c>
      <c r="B208" t="s">
        <v>5336</v>
      </c>
      <c r="C208" t="s">
        <v>17591</v>
      </c>
      <c r="D208">
        <v>146498</v>
      </c>
      <c r="E208">
        <v>18335</v>
      </c>
      <c r="F208">
        <v>305</v>
      </c>
      <c r="G208" t="s">
        <v>3863</v>
      </c>
      <c r="H208" t="s">
        <v>3864</v>
      </c>
      <c r="I208">
        <v>4905</v>
      </c>
      <c r="J208" t="s">
        <v>3438</v>
      </c>
      <c r="K208" t="s">
        <v>17592</v>
      </c>
      <c r="L208" t="s">
        <v>5335</v>
      </c>
      <c r="M208" t="s">
        <v>5337</v>
      </c>
      <c r="N208">
        <v>10246715</v>
      </c>
      <c r="O208" t="s">
        <v>5339</v>
      </c>
      <c r="P208" t="s">
        <v>5339</v>
      </c>
      <c r="Q208" t="s">
        <v>5340</v>
      </c>
      <c r="R208">
        <v>6508</v>
      </c>
      <c r="S208">
        <v>6508</v>
      </c>
      <c r="T208" t="s">
        <v>3489</v>
      </c>
    </row>
    <row r="209" spans="1:20" x14ac:dyDescent="0.2">
      <c r="A209" t="s">
        <v>1140</v>
      </c>
      <c r="B209" t="s">
        <v>5344</v>
      </c>
      <c r="C209" t="s">
        <v>17593</v>
      </c>
      <c r="D209">
        <v>155668</v>
      </c>
      <c r="E209">
        <v>18392</v>
      </c>
      <c r="F209">
        <v>400</v>
      </c>
      <c r="G209" t="s">
        <v>3863</v>
      </c>
      <c r="H209" t="s">
        <v>4373</v>
      </c>
      <c r="I209">
        <v>4592</v>
      </c>
      <c r="J209" t="s">
        <v>3438</v>
      </c>
      <c r="K209" t="s">
        <v>17594</v>
      </c>
      <c r="L209" t="s">
        <v>5343</v>
      </c>
      <c r="M209" t="s">
        <v>5345</v>
      </c>
      <c r="N209">
        <v>5236</v>
      </c>
      <c r="O209" t="s">
        <v>5347</v>
      </c>
      <c r="P209" t="s">
        <v>5347</v>
      </c>
      <c r="Q209" t="s">
        <v>5348</v>
      </c>
      <c r="R209">
        <v>5429</v>
      </c>
      <c r="S209">
        <v>5429</v>
      </c>
      <c r="T209" t="s">
        <v>3458</v>
      </c>
    </row>
    <row r="210" spans="1:20" x14ac:dyDescent="0.2">
      <c r="A210" t="s">
        <v>1144</v>
      </c>
      <c r="B210" t="s">
        <v>5352</v>
      </c>
      <c r="C210" t="s">
        <v>17595</v>
      </c>
      <c r="D210">
        <v>152144</v>
      </c>
      <c r="E210">
        <v>18280</v>
      </c>
      <c r="F210">
        <v>305</v>
      </c>
      <c r="G210" t="s">
        <v>3436</v>
      </c>
      <c r="H210" t="s">
        <v>3687</v>
      </c>
      <c r="I210">
        <v>219</v>
      </c>
      <c r="J210" t="s">
        <v>3438</v>
      </c>
      <c r="K210" t="s">
        <v>17596</v>
      </c>
      <c r="L210" t="s">
        <v>5351</v>
      </c>
      <c r="M210" t="s">
        <v>5353</v>
      </c>
      <c r="N210">
        <v>3350</v>
      </c>
      <c r="O210" t="s">
        <v>5355</v>
      </c>
      <c r="P210" t="s">
        <v>5355</v>
      </c>
      <c r="Q210" t="s">
        <v>5356</v>
      </c>
      <c r="R210">
        <v>3469</v>
      </c>
      <c r="S210">
        <v>3469</v>
      </c>
      <c r="T210" t="s">
        <v>3489</v>
      </c>
    </row>
    <row r="211" spans="1:20" x14ac:dyDescent="0.2">
      <c r="A211" t="s">
        <v>1159</v>
      </c>
      <c r="B211" t="s">
        <v>5360</v>
      </c>
      <c r="C211" t="s">
        <v>17597</v>
      </c>
      <c r="D211">
        <v>124653</v>
      </c>
      <c r="E211">
        <v>18254</v>
      </c>
      <c r="F211">
        <v>209</v>
      </c>
      <c r="G211" t="s">
        <v>3863</v>
      </c>
      <c r="H211" t="s">
        <v>4373</v>
      </c>
      <c r="I211">
        <v>4591</v>
      </c>
      <c r="J211" t="s">
        <v>3438</v>
      </c>
      <c r="K211" t="s">
        <v>17598</v>
      </c>
      <c r="L211" t="s">
        <v>5359</v>
      </c>
      <c r="M211" t="s">
        <v>5361</v>
      </c>
      <c r="N211">
        <v>4525</v>
      </c>
      <c r="O211" t="s">
        <v>5363</v>
      </c>
      <c r="P211" t="s">
        <v>5363</v>
      </c>
      <c r="Q211" t="s">
        <v>5364</v>
      </c>
      <c r="R211">
        <v>4687</v>
      </c>
      <c r="S211">
        <v>4687</v>
      </c>
      <c r="T211" t="s">
        <v>3469</v>
      </c>
    </row>
    <row r="212" spans="1:20" x14ac:dyDescent="0.2">
      <c r="A212" t="s">
        <v>1152</v>
      </c>
      <c r="B212" t="s">
        <v>5368</v>
      </c>
      <c r="C212" t="s">
        <v>17599</v>
      </c>
      <c r="D212">
        <v>124659</v>
      </c>
      <c r="E212">
        <v>18349</v>
      </c>
      <c r="F212">
        <v>209</v>
      </c>
      <c r="G212" t="s">
        <v>3436</v>
      </c>
      <c r="H212" t="s">
        <v>3470</v>
      </c>
      <c r="I212">
        <v>298</v>
      </c>
      <c r="J212" t="s">
        <v>3438</v>
      </c>
      <c r="K212" t="s">
        <v>17600</v>
      </c>
      <c r="L212" t="s">
        <v>5367</v>
      </c>
      <c r="M212" t="s">
        <v>5369</v>
      </c>
      <c r="N212">
        <v>83867</v>
      </c>
      <c r="O212" t="s">
        <v>5371</v>
      </c>
      <c r="P212" t="s">
        <v>5371</v>
      </c>
      <c r="Q212" t="s">
        <v>5372</v>
      </c>
      <c r="R212">
        <v>92904</v>
      </c>
      <c r="S212">
        <v>92904</v>
      </c>
      <c r="T212" t="s">
        <v>3469</v>
      </c>
    </row>
    <row r="213" spans="1:20" x14ac:dyDescent="0.2">
      <c r="A213" t="s">
        <v>1163</v>
      </c>
      <c r="B213" t="s">
        <v>5376</v>
      </c>
      <c r="C213" t="s">
        <v>17601</v>
      </c>
      <c r="D213">
        <v>123315</v>
      </c>
      <c r="E213">
        <v>27672</v>
      </c>
      <c r="F213">
        <v>209</v>
      </c>
      <c r="G213" t="s">
        <v>3436</v>
      </c>
      <c r="H213" t="s">
        <v>3470</v>
      </c>
      <c r="I213">
        <v>322</v>
      </c>
      <c r="J213" t="s">
        <v>3438</v>
      </c>
      <c r="K213" t="s">
        <v>17602</v>
      </c>
      <c r="L213" t="s">
        <v>5375</v>
      </c>
      <c r="M213" t="s">
        <v>5377</v>
      </c>
      <c r="N213">
        <v>9840</v>
      </c>
      <c r="O213" t="s">
        <v>5379</v>
      </c>
      <c r="P213" t="s">
        <v>5379</v>
      </c>
      <c r="R213">
        <v>10258</v>
      </c>
      <c r="S213">
        <v>10258</v>
      </c>
      <c r="T213" t="s">
        <v>3469</v>
      </c>
    </row>
    <row r="214" spans="1:20" x14ac:dyDescent="0.2">
      <c r="A214" t="s">
        <v>1161</v>
      </c>
      <c r="B214" t="s">
        <v>5398</v>
      </c>
      <c r="C214" t="s">
        <v>17603</v>
      </c>
      <c r="D214">
        <v>124905</v>
      </c>
      <c r="E214">
        <v>22116</v>
      </c>
      <c r="F214">
        <v>209</v>
      </c>
      <c r="G214" t="s">
        <v>3436</v>
      </c>
      <c r="H214" t="s">
        <v>3498</v>
      </c>
      <c r="I214">
        <v>343</v>
      </c>
      <c r="J214" t="s">
        <v>3438</v>
      </c>
      <c r="K214" t="s">
        <v>17604</v>
      </c>
      <c r="L214" t="s">
        <v>5397</v>
      </c>
      <c r="M214" t="s">
        <v>5399</v>
      </c>
      <c r="N214">
        <v>69</v>
      </c>
      <c r="O214" t="s">
        <v>5401</v>
      </c>
      <c r="P214" t="s">
        <v>5401</v>
      </c>
      <c r="Q214" t="s">
        <v>5402</v>
      </c>
      <c r="R214">
        <v>70</v>
      </c>
      <c r="S214">
        <v>70</v>
      </c>
      <c r="T214" t="s">
        <v>3469</v>
      </c>
    </row>
    <row r="215" spans="1:20" x14ac:dyDescent="0.2">
      <c r="A215" t="s">
        <v>1148</v>
      </c>
      <c r="B215" t="s">
        <v>5413</v>
      </c>
      <c r="C215" t="s">
        <v>17605</v>
      </c>
      <c r="D215">
        <v>123293</v>
      </c>
      <c r="E215">
        <v>20675</v>
      </c>
      <c r="F215">
        <v>209</v>
      </c>
      <c r="G215" t="s">
        <v>3977</v>
      </c>
      <c r="H215" t="s">
        <v>4084</v>
      </c>
      <c r="I215">
        <v>1220</v>
      </c>
      <c r="J215" t="s">
        <v>3438</v>
      </c>
      <c r="K215" t="s">
        <v>17606</v>
      </c>
      <c r="L215" t="s">
        <v>5412</v>
      </c>
      <c r="M215" t="s">
        <v>5414</v>
      </c>
      <c r="O215" t="s">
        <v>5415</v>
      </c>
      <c r="P215" t="s">
        <v>5415</v>
      </c>
      <c r="Q215" t="s">
        <v>5416</v>
      </c>
      <c r="R215">
        <v>64960</v>
      </c>
      <c r="S215">
        <v>64960</v>
      </c>
      <c r="T215" t="s">
        <v>3469</v>
      </c>
    </row>
    <row r="216" spans="1:20" x14ac:dyDescent="0.2">
      <c r="A216" t="s">
        <v>1150</v>
      </c>
      <c r="B216" t="s">
        <v>5429</v>
      </c>
      <c r="C216" t="s">
        <v>17607</v>
      </c>
      <c r="D216">
        <v>208070</v>
      </c>
      <c r="E216">
        <v>52449</v>
      </c>
      <c r="F216">
        <v>402</v>
      </c>
      <c r="G216" t="s">
        <v>3459</v>
      </c>
      <c r="H216" t="s">
        <v>5014</v>
      </c>
      <c r="I216">
        <v>2556</v>
      </c>
      <c r="J216" t="s">
        <v>3438</v>
      </c>
      <c r="K216" t="s">
        <v>17608</v>
      </c>
      <c r="L216" t="s">
        <v>5428</v>
      </c>
      <c r="M216" t="s">
        <v>5430</v>
      </c>
      <c r="N216">
        <v>21403055</v>
      </c>
      <c r="O216" t="s">
        <v>5432</v>
      </c>
      <c r="P216" t="s">
        <v>5432</v>
      </c>
      <c r="S216">
        <v>0</v>
      </c>
      <c r="T216" t="s">
        <v>3447</v>
      </c>
    </row>
    <row r="217" spans="1:20" x14ac:dyDescent="0.2">
      <c r="A217" t="s">
        <v>1165</v>
      </c>
      <c r="B217" t="s">
        <v>5435</v>
      </c>
      <c r="C217" t="s">
        <v>17609</v>
      </c>
      <c r="D217">
        <v>158668</v>
      </c>
      <c r="E217">
        <v>34445</v>
      </c>
      <c r="F217">
        <v>402</v>
      </c>
      <c r="G217" t="s">
        <v>3459</v>
      </c>
      <c r="H217" t="s">
        <v>3810</v>
      </c>
      <c r="I217">
        <v>3161</v>
      </c>
      <c r="J217" t="s">
        <v>3438</v>
      </c>
      <c r="K217" t="s">
        <v>17610</v>
      </c>
      <c r="L217" t="s">
        <v>5434</v>
      </c>
      <c r="M217" t="s">
        <v>5436</v>
      </c>
      <c r="N217">
        <v>4446673</v>
      </c>
      <c r="O217" t="s">
        <v>5438</v>
      </c>
      <c r="P217" t="s">
        <v>5438</v>
      </c>
      <c r="Q217" t="s">
        <v>5439</v>
      </c>
      <c r="R217">
        <v>5283560</v>
      </c>
      <c r="S217">
        <v>5283560</v>
      </c>
      <c r="T217" t="s">
        <v>3447</v>
      </c>
    </row>
    <row r="218" spans="1:20" x14ac:dyDescent="0.2">
      <c r="A218" t="s">
        <v>1155</v>
      </c>
      <c r="B218" t="s">
        <v>11491</v>
      </c>
      <c r="C218" t="s">
        <v>17611</v>
      </c>
      <c r="D218">
        <v>180966</v>
      </c>
      <c r="E218">
        <v>19265</v>
      </c>
      <c r="F218">
        <v>402</v>
      </c>
      <c r="G218" t="s">
        <v>3459</v>
      </c>
      <c r="H218" t="s">
        <v>11492</v>
      </c>
      <c r="I218">
        <v>2505</v>
      </c>
      <c r="J218" t="s">
        <v>3438</v>
      </c>
      <c r="K218" t="s">
        <v>17612</v>
      </c>
      <c r="L218" t="s">
        <v>17613</v>
      </c>
      <c r="N218">
        <v>7826037</v>
      </c>
      <c r="O218" t="s">
        <v>17614</v>
      </c>
      <c r="P218" t="s">
        <v>17614</v>
      </c>
      <c r="R218">
        <v>9547087</v>
      </c>
      <c r="S218">
        <v>9547087</v>
      </c>
      <c r="T218" t="s">
        <v>3447</v>
      </c>
    </row>
    <row r="219" spans="1:20" x14ac:dyDescent="0.2">
      <c r="A219" t="s">
        <v>1169</v>
      </c>
      <c r="B219" t="s">
        <v>5444</v>
      </c>
      <c r="C219" t="s">
        <v>17615</v>
      </c>
      <c r="D219">
        <v>128173</v>
      </c>
      <c r="E219">
        <v>19324</v>
      </c>
      <c r="F219">
        <v>209</v>
      </c>
      <c r="G219" t="s">
        <v>3459</v>
      </c>
      <c r="H219" t="s">
        <v>5441</v>
      </c>
      <c r="I219">
        <v>2721</v>
      </c>
      <c r="J219" t="s">
        <v>3438</v>
      </c>
      <c r="K219" t="s">
        <v>17616</v>
      </c>
      <c r="L219" t="s">
        <v>5443</v>
      </c>
      <c r="M219" t="s">
        <v>5445</v>
      </c>
      <c r="N219">
        <v>21403067</v>
      </c>
      <c r="O219" t="s">
        <v>5447</v>
      </c>
      <c r="P219" t="s">
        <v>5447</v>
      </c>
      <c r="R219" s="5">
        <v>7158113542607490</v>
      </c>
      <c r="S219" t="s">
        <v>17617</v>
      </c>
      <c r="T219" t="s">
        <v>3469</v>
      </c>
    </row>
    <row r="220" spans="1:20" x14ac:dyDescent="0.2">
      <c r="A220" t="s">
        <v>1171</v>
      </c>
      <c r="B220" t="s">
        <v>5451</v>
      </c>
      <c r="C220" t="s">
        <v>17618</v>
      </c>
      <c r="D220">
        <v>164201</v>
      </c>
      <c r="E220">
        <v>19130</v>
      </c>
      <c r="F220">
        <v>402</v>
      </c>
      <c r="G220" t="s">
        <v>3459</v>
      </c>
      <c r="H220" t="s">
        <v>5021</v>
      </c>
      <c r="I220">
        <v>2278</v>
      </c>
      <c r="J220" t="s">
        <v>3438</v>
      </c>
      <c r="K220" t="s">
        <v>17619</v>
      </c>
      <c r="L220" t="s">
        <v>5450</v>
      </c>
      <c r="M220" t="s">
        <v>5452</v>
      </c>
      <c r="N220">
        <v>398235</v>
      </c>
      <c r="O220" t="s">
        <v>5454</v>
      </c>
      <c r="P220" t="s">
        <v>5454</v>
      </c>
      <c r="Q220" t="s">
        <v>5455</v>
      </c>
      <c r="R220">
        <v>452110</v>
      </c>
      <c r="S220">
        <v>452110</v>
      </c>
      <c r="T220" t="s">
        <v>3447</v>
      </c>
    </row>
    <row r="221" spans="1:20" x14ac:dyDescent="0.2">
      <c r="A221" t="s">
        <v>13813</v>
      </c>
      <c r="B221" t="s">
        <v>5459</v>
      </c>
      <c r="C221" t="s">
        <v>17620</v>
      </c>
      <c r="D221">
        <v>126139</v>
      </c>
      <c r="E221">
        <v>44675</v>
      </c>
      <c r="F221">
        <v>209</v>
      </c>
      <c r="G221" t="s">
        <v>3459</v>
      </c>
      <c r="H221" t="s">
        <v>3560</v>
      </c>
      <c r="I221">
        <v>1563</v>
      </c>
      <c r="J221" t="s">
        <v>3438</v>
      </c>
      <c r="K221" t="s">
        <v>17621</v>
      </c>
      <c r="L221" t="s">
        <v>5458</v>
      </c>
      <c r="M221" t="s">
        <v>5460</v>
      </c>
      <c r="N221">
        <v>393183</v>
      </c>
      <c r="O221" t="s">
        <v>5462</v>
      </c>
      <c r="P221" t="s">
        <v>5462</v>
      </c>
      <c r="Q221" t="s">
        <v>5463</v>
      </c>
      <c r="R221">
        <v>445580</v>
      </c>
      <c r="S221">
        <v>445580</v>
      </c>
      <c r="T221" t="s">
        <v>3469</v>
      </c>
    </row>
    <row r="222" spans="1:20" x14ac:dyDescent="0.2">
      <c r="A222" t="s">
        <v>1157</v>
      </c>
      <c r="B222" t="s">
        <v>5467</v>
      </c>
      <c r="C222" t="s">
        <v>17622</v>
      </c>
      <c r="D222">
        <v>164196</v>
      </c>
      <c r="E222">
        <v>19258</v>
      </c>
      <c r="F222">
        <v>402</v>
      </c>
      <c r="G222" t="s">
        <v>3459</v>
      </c>
      <c r="H222" t="s">
        <v>5021</v>
      </c>
      <c r="I222">
        <v>2262</v>
      </c>
      <c r="J222" t="s">
        <v>3438</v>
      </c>
      <c r="K222" t="s">
        <v>17623</v>
      </c>
      <c r="L222" t="s">
        <v>5466</v>
      </c>
      <c r="M222" t="s">
        <v>5468</v>
      </c>
      <c r="N222">
        <v>114798</v>
      </c>
      <c r="O222" t="s">
        <v>5470</v>
      </c>
      <c r="P222" t="s">
        <v>5470</v>
      </c>
      <c r="R222">
        <v>129657</v>
      </c>
      <c r="S222">
        <v>129657</v>
      </c>
      <c r="T222" t="s">
        <v>3447</v>
      </c>
    </row>
    <row r="223" spans="1:20" x14ac:dyDescent="0.2">
      <c r="A223" t="s">
        <v>1167</v>
      </c>
      <c r="B223" t="s">
        <v>5474</v>
      </c>
      <c r="C223" t="s">
        <v>17624</v>
      </c>
      <c r="D223">
        <v>124683</v>
      </c>
      <c r="E223">
        <v>22132</v>
      </c>
      <c r="F223">
        <v>209</v>
      </c>
      <c r="G223" t="s">
        <v>3436</v>
      </c>
      <c r="H223" t="s">
        <v>3498</v>
      </c>
      <c r="I223">
        <v>347</v>
      </c>
      <c r="J223" t="s">
        <v>3438</v>
      </c>
      <c r="K223" t="s">
        <v>17625</v>
      </c>
      <c r="L223" t="s">
        <v>5473</v>
      </c>
      <c r="M223" t="s">
        <v>5475</v>
      </c>
      <c r="N223">
        <v>75520</v>
      </c>
      <c r="O223" t="s">
        <v>5477</v>
      </c>
      <c r="P223" t="s">
        <v>17626</v>
      </c>
      <c r="Q223" t="s">
        <v>5478</v>
      </c>
      <c r="R223" s="5">
        <v>8369792779439960</v>
      </c>
      <c r="S223" t="s">
        <v>17627</v>
      </c>
      <c r="T223" t="s">
        <v>3469</v>
      </c>
    </row>
    <row r="224" spans="1:20" x14ac:dyDescent="0.2">
      <c r="A224" t="s">
        <v>1173</v>
      </c>
      <c r="B224" t="s">
        <v>5482</v>
      </c>
      <c r="C224" t="s">
        <v>17628</v>
      </c>
      <c r="D224">
        <v>147767</v>
      </c>
      <c r="E224">
        <v>20676</v>
      </c>
      <c r="F224">
        <v>305</v>
      </c>
      <c r="G224" t="s">
        <v>3459</v>
      </c>
      <c r="H224" t="s">
        <v>3873</v>
      </c>
      <c r="I224">
        <v>1671</v>
      </c>
      <c r="J224" t="s">
        <v>3438</v>
      </c>
      <c r="K224" t="s">
        <v>17629</v>
      </c>
      <c r="L224" t="s">
        <v>5481</v>
      </c>
      <c r="M224" t="s">
        <v>5483</v>
      </c>
      <c r="N224">
        <v>392248</v>
      </c>
      <c r="O224" t="s">
        <v>5485</v>
      </c>
      <c r="P224" t="s">
        <v>5485</v>
      </c>
      <c r="Q224" t="s">
        <v>5486</v>
      </c>
      <c r="R224">
        <v>444266</v>
      </c>
      <c r="S224">
        <v>444266</v>
      </c>
      <c r="T224" t="s">
        <v>3489</v>
      </c>
    </row>
    <row r="225" spans="1:20" x14ac:dyDescent="0.2">
      <c r="A225" t="s">
        <v>1175</v>
      </c>
      <c r="B225" t="s">
        <v>5490</v>
      </c>
      <c r="C225" t="s">
        <v>17630</v>
      </c>
      <c r="D225">
        <v>126996</v>
      </c>
      <c r="E225">
        <v>44656</v>
      </c>
      <c r="F225">
        <v>209</v>
      </c>
      <c r="G225" t="s">
        <v>3436</v>
      </c>
      <c r="H225" t="s">
        <v>3498</v>
      </c>
      <c r="I225">
        <v>351</v>
      </c>
      <c r="J225" t="s">
        <v>3438</v>
      </c>
      <c r="K225" t="s">
        <v>17631</v>
      </c>
      <c r="L225" t="s">
        <v>5489</v>
      </c>
      <c r="M225" t="s">
        <v>5492</v>
      </c>
      <c r="N225">
        <v>10001</v>
      </c>
      <c r="O225" t="s">
        <v>5494</v>
      </c>
      <c r="P225" t="s">
        <v>5494</v>
      </c>
      <c r="Q225" t="s">
        <v>5495</v>
      </c>
      <c r="R225">
        <v>10430</v>
      </c>
      <c r="S225">
        <v>10430</v>
      </c>
      <c r="T225" t="s">
        <v>3469</v>
      </c>
    </row>
    <row r="226" spans="1:20" x14ac:dyDescent="0.2">
      <c r="A226" t="s">
        <v>1177</v>
      </c>
      <c r="B226" t="s">
        <v>5499</v>
      </c>
      <c r="C226" t="s">
        <v>17632</v>
      </c>
      <c r="D226">
        <v>126992</v>
      </c>
      <c r="E226">
        <v>44620</v>
      </c>
      <c r="F226">
        <v>209</v>
      </c>
      <c r="G226" t="s">
        <v>3863</v>
      </c>
      <c r="H226" t="s">
        <v>5082</v>
      </c>
      <c r="I226">
        <v>4517</v>
      </c>
      <c r="J226" t="s">
        <v>3438</v>
      </c>
      <c r="K226" t="s">
        <v>17633</v>
      </c>
      <c r="L226" t="s">
        <v>5498</v>
      </c>
      <c r="N226">
        <v>3872009</v>
      </c>
      <c r="P226">
        <v>0</v>
      </c>
      <c r="R226">
        <v>4684006</v>
      </c>
      <c r="S226">
        <v>4684006</v>
      </c>
      <c r="T226" t="s">
        <v>3469</v>
      </c>
    </row>
    <row r="227" spans="1:20" x14ac:dyDescent="0.2">
      <c r="A227" t="s">
        <v>1209</v>
      </c>
      <c r="B227" t="s">
        <v>5505</v>
      </c>
      <c r="C227" t="s">
        <v>17634</v>
      </c>
      <c r="D227">
        <v>126061</v>
      </c>
      <c r="E227">
        <v>22036</v>
      </c>
      <c r="F227">
        <v>209</v>
      </c>
      <c r="G227" t="s">
        <v>3459</v>
      </c>
      <c r="H227" t="s">
        <v>4869</v>
      </c>
      <c r="I227">
        <v>1960</v>
      </c>
      <c r="J227" t="s">
        <v>3438</v>
      </c>
      <c r="K227" t="s">
        <v>17635</v>
      </c>
      <c r="L227" t="s">
        <v>5504</v>
      </c>
      <c r="M227" t="s">
        <v>5506</v>
      </c>
      <c r="N227">
        <v>84994</v>
      </c>
      <c r="O227" t="s">
        <v>5508</v>
      </c>
      <c r="P227" t="s">
        <v>5508</v>
      </c>
      <c r="R227" s="5">
        <v>9.4180699501353103E+18</v>
      </c>
      <c r="S227" t="s">
        <v>17636</v>
      </c>
      <c r="T227" t="s">
        <v>3469</v>
      </c>
    </row>
    <row r="228" spans="1:20" x14ac:dyDescent="0.2">
      <c r="A228" t="s">
        <v>1207</v>
      </c>
      <c r="B228" t="s">
        <v>5512</v>
      </c>
      <c r="C228" t="s">
        <v>17637</v>
      </c>
      <c r="D228">
        <v>126860</v>
      </c>
      <c r="E228">
        <v>22001</v>
      </c>
      <c r="F228">
        <v>209</v>
      </c>
      <c r="G228" t="s">
        <v>3459</v>
      </c>
      <c r="H228" t="s">
        <v>4869</v>
      </c>
      <c r="I228">
        <v>1980</v>
      </c>
      <c r="J228" t="s">
        <v>3438</v>
      </c>
      <c r="K228" t="s">
        <v>17638</v>
      </c>
      <c r="L228" t="s">
        <v>5511</v>
      </c>
      <c r="M228" t="s">
        <v>5513</v>
      </c>
      <c r="N228">
        <v>24791</v>
      </c>
      <c r="O228" t="s">
        <v>5515</v>
      </c>
      <c r="P228" t="s">
        <v>5515</v>
      </c>
      <c r="Q228" t="s">
        <v>5516</v>
      </c>
      <c r="R228">
        <v>26613</v>
      </c>
      <c r="S228">
        <v>26613</v>
      </c>
      <c r="T228" t="s">
        <v>3469</v>
      </c>
    </row>
    <row r="229" spans="1:20" x14ac:dyDescent="0.2">
      <c r="A229" t="s">
        <v>1179</v>
      </c>
      <c r="B229" t="s">
        <v>5520</v>
      </c>
      <c r="C229" t="s">
        <v>17639</v>
      </c>
      <c r="D229">
        <v>124681</v>
      </c>
      <c r="E229">
        <v>22130</v>
      </c>
      <c r="F229">
        <v>209</v>
      </c>
      <c r="G229" t="s">
        <v>3436</v>
      </c>
      <c r="H229" t="s">
        <v>3524</v>
      </c>
      <c r="I229">
        <v>151</v>
      </c>
      <c r="J229" t="s">
        <v>3438</v>
      </c>
      <c r="K229" t="s">
        <v>17640</v>
      </c>
      <c r="L229" t="s">
        <v>5519</v>
      </c>
      <c r="M229" t="s">
        <v>5521</v>
      </c>
      <c r="N229">
        <v>3715</v>
      </c>
      <c r="O229" t="s">
        <v>5523</v>
      </c>
      <c r="P229" t="s">
        <v>5523</v>
      </c>
      <c r="Q229" t="s">
        <v>5524</v>
      </c>
      <c r="R229">
        <v>3848</v>
      </c>
      <c r="S229">
        <v>3848</v>
      </c>
      <c r="T229" t="s">
        <v>3469</v>
      </c>
    </row>
    <row r="230" spans="1:20" x14ac:dyDescent="0.2">
      <c r="A230" t="s">
        <v>1183</v>
      </c>
      <c r="B230" t="s">
        <v>5529</v>
      </c>
      <c r="C230" t="s">
        <v>17641</v>
      </c>
      <c r="D230">
        <v>159624</v>
      </c>
      <c r="E230">
        <v>44681</v>
      </c>
      <c r="F230">
        <v>402</v>
      </c>
      <c r="G230" t="s">
        <v>3459</v>
      </c>
      <c r="H230" t="s">
        <v>5526</v>
      </c>
      <c r="I230">
        <v>1864</v>
      </c>
      <c r="J230" t="s">
        <v>3438</v>
      </c>
      <c r="K230" t="s">
        <v>17642</v>
      </c>
      <c r="L230" t="s">
        <v>5528</v>
      </c>
      <c r="M230" t="s">
        <v>5530</v>
      </c>
      <c r="N230">
        <v>448</v>
      </c>
      <c r="O230" t="s">
        <v>5532</v>
      </c>
      <c r="P230" t="s">
        <v>5532</v>
      </c>
      <c r="Q230" t="s">
        <v>5533</v>
      </c>
      <c r="R230">
        <v>461</v>
      </c>
      <c r="S230">
        <v>461</v>
      </c>
      <c r="T230" t="s">
        <v>3447</v>
      </c>
    </row>
    <row r="231" spans="1:20" x14ac:dyDescent="0.2">
      <c r="A231" t="s">
        <v>13814</v>
      </c>
      <c r="B231" t="s">
        <v>5538</v>
      </c>
      <c r="C231" t="s">
        <v>17643</v>
      </c>
      <c r="D231">
        <v>155906</v>
      </c>
      <c r="E231">
        <v>32328</v>
      </c>
      <c r="F231">
        <v>400</v>
      </c>
      <c r="G231" t="s">
        <v>3459</v>
      </c>
      <c r="H231" t="s">
        <v>5535</v>
      </c>
      <c r="I231">
        <v>1844</v>
      </c>
      <c r="J231" t="s">
        <v>3438</v>
      </c>
      <c r="K231" t="s">
        <v>17644</v>
      </c>
      <c r="L231" t="s">
        <v>5537</v>
      </c>
      <c r="M231" t="s">
        <v>5539</v>
      </c>
      <c r="N231">
        <v>4932273</v>
      </c>
      <c r="O231" t="s">
        <v>5541</v>
      </c>
      <c r="P231" t="s">
        <v>5541</v>
      </c>
      <c r="R231">
        <v>6426853</v>
      </c>
      <c r="S231">
        <v>6426853</v>
      </c>
      <c r="T231" t="s">
        <v>3458</v>
      </c>
    </row>
    <row r="232" spans="1:20" x14ac:dyDescent="0.2">
      <c r="A232" t="s">
        <v>1181</v>
      </c>
      <c r="B232" t="s">
        <v>5553</v>
      </c>
      <c r="C232" t="s">
        <v>17645</v>
      </c>
      <c r="D232">
        <v>123313</v>
      </c>
      <c r="E232">
        <v>22185</v>
      </c>
      <c r="F232">
        <v>209</v>
      </c>
      <c r="G232" t="s">
        <v>3436</v>
      </c>
      <c r="H232" t="s">
        <v>3670</v>
      </c>
      <c r="I232">
        <v>37</v>
      </c>
      <c r="J232" t="s">
        <v>3438</v>
      </c>
      <c r="K232" t="s">
        <v>17646</v>
      </c>
      <c r="L232" t="s">
        <v>5552</v>
      </c>
      <c r="M232" t="s">
        <v>5554</v>
      </c>
      <c r="N232">
        <v>58576</v>
      </c>
      <c r="O232" t="s">
        <v>5556</v>
      </c>
      <c r="P232" t="s">
        <v>5556</v>
      </c>
      <c r="Q232" t="s">
        <v>5557</v>
      </c>
      <c r="R232">
        <v>65065</v>
      </c>
      <c r="S232">
        <v>65065</v>
      </c>
      <c r="T232" t="s">
        <v>3469</v>
      </c>
    </row>
    <row r="233" spans="1:20" x14ac:dyDescent="0.2">
      <c r="A233" t="s">
        <v>13816</v>
      </c>
      <c r="B233" t="s">
        <v>5562</v>
      </c>
      <c r="C233" t="s">
        <v>17647</v>
      </c>
      <c r="D233">
        <v>124935</v>
      </c>
      <c r="E233">
        <v>32425</v>
      </c>
      <c r="F233">
        <v>209</v>
      </c>
      <c r="G233" t="s">
        <v>3459</v>
      </c>
      <c r="H233" t="s">
        <v>5559</v>
      </c>
      <c r="I233">
        <v>3337</v>
      </c>
      <c r="J233" t="s">
        <v>3438</v>
      </c>
      <c r="K233" t="s">
        <v>17648</v>
      </c>
      <c r="L233" t="s">
        <v>5561</v>
      </c>
      <c r="M233" t="s">
        <v>5563</v>
      </c>
      <c r="N233">
        <v>12074</v>
      </c>
      <c r="O233" t="s">
        <v>5565</v>
      </c>
      <c r="P233" t="s">
        <v>5565</v>
      </c>
      <c r="Q233" t="s">
        <v>5566</v>
      </c>
      <c r="R233">
        <v>12594</v>
      </c>
      <c r="S233">
        <v>12594</v>
      </c>
      <c r="T233" t="s">
        <v>3469</v>
      </c>
    </row>
    <row r="234" spans="1:20" x14ac:dyDescent="0.2">
      <c r="A234" t="s">
        <v>1188</v>
      </c>
      <c r="B234" t="s">
        <v>5571</v>
      </c>
      <c r="C234" t="s">
        <v>17649</v>
      </c>
      <c r="D234">
        <v>155890</v>
      </c>
      <c r="E234">
        <v>32198</v>
      </c>
      <c r="F234">
        <v>400</v>
      </c>
      <c r="G234" t="s">
        <v>3459</v>
      </c>
      <c r="H234" t="s">
        <v>5568</v>
      </c>
      <c r="I234">
        <v>1840</v>
      </c>
      <c r="J234" t="s">
        <v>3438</v>
      </c>
      <c r="K234" t="s">
        <v>17650</v>
      </c>
      <c r="L234" t="s">
        <v>5570</v>
      </c>
      <c r="M234" t="s">
        <v>5572</v>
      </c>
      <c r="N234">
        <v>5406074</v>
      </c>
      <c r="O234" t="s">
        <v>5574</v>
      </c>
      <c r="P234" t="s">
        <v>5574</v>
      </c>
      <c r="Q234" t="s">
        <v>5575</v>
      </c>
      <c r="R234">
        <v>7045767</v>
      </c>
      <c r="S234">
        <v>7045767</v>
      </c>
      <c r="T234" t="s">
        <v>3458</v>
      </c>
    </row>
    <row r="235" spans="1:20" x14ac:dyDescent="0.2">
      <c r="A235" t="s">
        <v>1191</v>
      </c>
      <c r="B235" t="s">
        <v>5579</v>
      </c>
      <c r="C235" t="s">
        <v>17651</v>
      </c>
      <c r="D235">
        <v>155804</v>
      </c>
      <c r="E235">
        <v>22176</v>
      </c>
      <c r="F235">
        <v>400</v>
      </c>
      <c r="G235" t="s">
        <v>3436</v>
      </c>
      <c r="H235" t="s">
        <v>3603</v>
      </c>
      <c r="I235">
        <v>461</v>
      </c>
      <c r="J235" t="s">
        <v>3438</v>
      </c>
      <c r="K235" t="s">
        <v>17652</v>
      </c>
      <c r="L235" t="s">
        <v>5578</v>
      </c>
      <c r="M235" t="s">
        <v>5580</v>
      </c>
      <c r="N235">
        <v>102939</v>
      </c>
      <c r="O235" t="s">
        <v>5582</v>
      </c>
      <c r="P235" t="s">
        <v>5582</v>
      </c>
      <c r="Q235" t="s">
        <v>5583</v>
      </c>
      <c r="R235">
        <v>115015</v>
      </c>
      <c r="S235">
        <v>115015</v>
      </c>
      <c r="T235" t="s">
        <v>3458</v>
      </c>
    </row>
    <row r="236" spans="1:20" x14ac:dyDescent="0.2">
      <c r="A236" t="s">
        <v>1204</v>
      </c>
      <c r="B236" t="s">
        <v>5594</v>
      </c>
      <c r="C236" t="s">
        <v>17653</v>
      </c>
      <c r="D236">
        <v>143841</v>
      </c>
      <c r="E236">
        <v>20693</v>
      </c>
      <c r="F236">
        <v>209</v>
      </c>
      <c r="G236" t="s">
        <v>3863</v>
      </c>
      <c r="H236" t="s">
        <v>3864</v>
      </c>
      <c r="I236">
        <v>5206</v>
      </c>
      <c r="J236" t="s">
        <v>3438</v>
      </c>
      <c r="K236" t="s">
        <v>17654</v>
      </c>
      <c r="L236" t="s">
        <v>5593</v>
      </c>
      <c r="M236" t="s">
        <v>5595</v>
      </c>
      <c r="N236">
        <v>44</v>
      </c>
      <c r="O236" t="s">
        <v>5597</v>
      </c>
      <c r="P236" t="s">
        <v>5597</v>
      </c>
      <c r="Q236" t="s">
        <v>5598</v>
      </c>
      <c r="R236">
        <v>45</v>
      </c>
      <c r="S236">
        <v>45</v>
      </c>
      <c r="T236" t="s">
        <v>3469</v>
      </c>
    </row>
    <row r="237" spans="1:20" x14ac:dyDescent="0.2">
      <c r="A237" t="s">
        <v>1193</v>
      </c>
      <c r="B237" t="s">
        <v>5603</v>
      </c>
      <c r="C237" t="s">
        <v>17655</v>
      </c>
      <c r="D237">
        <v>143843</v>
      </c>
      <c r="E237">
        <v>20694</v>
      </c>
      <c r="F237">
        <v>209</v>
      </c>
      <c r="G237" t="s">
        <v>3448</v>
      </c>
      <c r="H237" t="s">
        <v>5600</v>
      </c>
      <c r="I237">
        <v>4356</v>
      </c>
      <c r="J237" t="s">
        <v>3438</v>
      </c>
      <c r="K237" t="s">
        <v>17656</v>
      </c>
      <c r="L237" t="s">
        <v>5602</v>
      </c>
      <c r="M237" t="s">
        <v>5604</v>
      </c>
      <c r="N237">
        <v>946</v>
      </c>
      <c r="O237" t="s">
        <v>5606</v>
      </c>
      <c r="P237" t="s">
        <v>5606</v>
      </c>
      <c r="Q237" t="s">
        <v>5607</v>
      </c>
      <c r="R237">
        <v>971</v>
      </c>
      <c r="S237">
        <v>971</v>
      </c>
      <c r="T237" t="s">
        <v>3469</v>
      </c>
    </row>
    <row r="238" spans="1:20" x14ac:dyDescent="0.2">
      <c r="A238" t="s">
        <v>1185</v>
      </c>
      <c r="B238" t="s">
        <v>5611</v>
      </c>
      <c r="C238" t="s">
        <v>17657</v>
      </c>
      <c r="D238">
        <v>146508</v>
      </c>
      <c r="E238">
        <v>20699</v>
      </c>
      <c r="F238">
        <v>305</v>
      </c>
      <c r="G238" t="s">
        <v>3863</v>
      </c>
      <c r="H238" t="s">
        <v>3864</v>
      </c>
      <c r="I238">
        <v>4895</v>
      </c>
      <c r="J238" t="s">
        <v>3438</v>
      </c>
      <c r="K238" t="s">
        <v>17658</v>
      </c>
      <c r="L238" t="s">
        <v>5610</v>
      </c>
      <c r="M238" t="s">
        <v>5612</v>
      </c>
      <c r="N238">
        <v>13835932</v>
      </c>
      <c r="O238" t="s">
        <v>5614</v>
      </c>
      <c r="P238" t="s">
        <v>5614</v>
      </c>
      <c r="Q238" t="s">
        <v>5615</v>
      </c>
      <c r="R238">
        <v>222285</v>
      </c>
      <c r="S238">
        <v>222285</v>
      </c>
      <c r="T238" t="s">
        <v>3489</v>
      </c>
    </row>
    <row r="239" spans="1:20" x14ac:dyDescent="0.2">
      <c r="A239" t="s">
        <v>19099</v>
      </c>
      <c r="B239" t="s">
        <v>17659</v>
      </c>
      <c r="C239" t="s">
        <v>17660</v>
      </c>
      <c r="D239">
        <v>155745</v>
      </c>
      <c r="E239">
        <v>21132</v>
      </c>
      <c r="F239">
        <v>400</v>
      </c>
      <c r="G239" t="s">
        <v>3863</v>
      </c>
      <c r="H239" t="s">
        <v>3864</v>
      </c>
      <c r="I239">
        <v>4773</v>
      </c>
      <c r="J239" t="s">
        <v>3438</v>
      </c>
      <c r="K239" t="s">
        <v>17661</v>
      </c>
      <c r="L239" t="s">
        <v>17662</v>
      </c>
      <c r="M239" t="s">
        <v>17663</v>
      </c>
      <c r="N239">
        <v>26153</v>
      </c>
      <c r="P239">
        <v>0</v>
      </c>
      <c r="R239">
        <v>28115</v>
      </c>
      <c r="S239">
        <v>28115</v>
      </c>
      <c r="T239" t="s">
        <v>3458</v>
      </c>
    </row>
    <row r="240" spans="1:20" x14ac:dyDescent="0.2">
      <c r="A240" t="s">
        <v>1196</v>
      </c>
      <c r="B240" t="s">
        <v>5627</v>
      </c>
      <c r="C240" t="s">
        <v>17664</v>
      </c>
      <c r="D240">
        <v>152464</v>
      </c>
      <c r="E240">
        <v>21158</v>
      </c>
      <c r="F240">
        <v>209</v>
      </c>
      <c r="G240" t="s">
        <v>3459</v>
      </c>
      <c r="H240" t="s">
        <v>4869</v>
      </c>
      <c r="I240">
        <v>1986</v>
      </c>
      <c r="J240" t="s">
        <v>3438</v>
      </c>
      <c r="K240" t="s">
        <v>17665</v>
      </c>
      <c r="L240" t="s">
        <v>5626</v>
      </c>
      <c r="M240" t="s">
        <v>5628</v>
      </c>
      <c r="N240">
        <v>15252</v>
      </c>
      <c r="P240" t="s">
        <v>17666</v>
      </c>
      <c r="R240">
        <v>16064</v>
      </c>
      <c r="S240">
        <v>16064</v>
      </c>
      <c r="T240" t="s">
        <v>3469</v>
      </c>
    </row>
    <row r="241" spans="1:20" x14ac:dyDescent="0.2">
      <c r="A241" t="s">
        <v>13819</v>
      </c>
      <c r="B241" t="s">
        <v>5635</v>
      </c>
      <c r="C241" t="s">
        <v>17667</v>
      </c>
      <c r="D241">
        <v>155725</v>
      </c>
      <c r="E241">
        <v>21025</v>
      </c>
      <c r="F241">
        <v>400</v>
      </c>
      <c r="G241" t="s">
        <v>3863</v>
      </c>
      <c r="H241" t="s">
        <v>5632</v>
      </c>
      <c r="I241">
        <v>6164</v>
      </c>
      <c r="J241" t="s">
        <v>3438</v>
      </c>
      <c r="K241" t="s">
        <v>17668</v>
      </c>
      <c r="L241" t="s">
        <v>5634</v>
      </c>
      <c r="M241" t="s">
        <v>5636</v>
      </c>
      <c r="N241">
        <v>8557</v>
      </c>
      <c r="O241" t="s">
        <v>5638</v>
      </c>
      <c r="P241" t="s">
        <v>5638</v>
      </c>
      <c r="Q241" t="s">
        <v>5639</v>
      </c>
      <c r="R241">
        <v>8897</v>
      </c>
      <c r="S241">
        <v>8897</v>
      </c>
      <c r="T241" t="s">
        <v>3458</v>
      </c>
    </row>
    <row r="242" spans="1:20" x14ac:dyDescent="0.2">
      <c r="A242" t="s">
        <v>1200</v>
      </c>
      <c r="B242" t="s">
        <v>5643</v>
      </c>
      <c r="C242" t="s">
        <v>17669</v>
      </c>
      <c r="D242">
        <v>126057</v>
      </c>
      <c r="E242">
        <v>21184</v>
      </c>
      <c r="F242">
        <v>209</v>
      </c>
      <c r="G242" t="s">
        <v>3459</v>
      </c>
      <c r="H242" t="s">
        <v>5418</v>
      </c>
      <c r="I242">
        <v>2855</v>
      </c>
      <c r="J242" t="s">
        <v>3438</v>
      </c>
      <c r="K242" t="s">
        <v>17670</v>
      </c>
      <c r="L242" t="s">
        <v>5642</v>
      </c>
      <c r="M242" t="s">
        <v>5644</v>
      </c>
      <c r="N242">
        <v>4446588</v>
      </c>
      <c r="O242" t="s">
        <v>5646</v>
      </c>
      <c r="P242" t="s">
        <v>5646</v>
      </c>
      <c r="R242">
        <v>5283468</v>
      </c>
      <c r="S242">
        <v>5283468</v>
      </c>
      <c r="T242" t="s">
        <v>3469</v>
      </c>
    </row>
    <row r="243" spans="1:20" x14ac:dyDescent="0.2">
      <c r="A243" t="s">
        <v>1202</v>
      </c>
      <c r="B243" t="s">
        <v>5650</v>
      </c>
      <c r="C243" t="s">
        <v>17671</v>
      </c>
      <c r="D243">
        <v>124713</v>
      </c>
      <c r="E243">
        <v>44526</v>
      </c>
      <c r="F243">
        <v>209</v>
      </c>
      <c r="G243" t="s">
        <v>3436</v>
      </c>
      <c r="H243" t="s">
        <v>3498</v>
      </c>
      <c r="I243">
        <v>423</v>
      </c>
      <c r="J243" t="s">
        <v>3438</v>
      </c>
      <c r="K243" t="s">
        <v>17672</v>
      </c>
      <c r="L243" t="s">
        <v>5649</v>
      </c>
      <c r="M243" t="s">
        <v>5651</v>
      </c>
      <c r="N243">
        <v>48</v>
      </c>
      <c r="O243" t="s">
        <v>5653</v>
      </c>
      <c r="P243" t="s">
        <v>5653</v>
      </c>
      <c r="Q243" t="s">
        <v>5654</v>
      </c>
      <c r="R243">
        <v>49</v>
      </c>
      <c r="S243">
        <v>49</v>
      </c>
      <c r="T243" t="s">
        <v>3469</v>
      </c>
    </row>
    <row r="244" spans="1:20" x14ac:dyDescent="0.2">
      <c r="A244" t="s">
        <v>1198</v>
      </c>
      <c r="B244" t="s">
        <v>5665</v>
      </c>
      <c r="C244" t="s">
        <v>17673</v>
      </c>
      <c r="D244">
        <v>155792</v>
      </c>
      <c r="E244">
        <v>22137</v>
      </c>
      <c r="F244">
        <v>400</v>
      </c>
      <c r="G244" t="s">
        <v>3436</v>
      </c>
      <c r="H244" t="s">
        <v>3661</v>
      </c>
      <c r="I244">
        <v>493</v>
      </c>
      <c r="J244" t="s">
        <v>3438</v>
      </c>
      <c r="K244" t="s">
        <v>17674</v>
      </c>
      <c r="L244" t="s">
        <v>5664</v>
      </c>
      <c r="M244" t="s">
        <v>5666</v>
      </c>
      <c r="N244">
        <v>8732</v>
      </c>
      <c r="O244" t="s">
        <v>5668</v>
      </c>
      <c r="P244" t="s">
        <v>5668</v>
      </c>
      <c r="Q244" t="s">
        <v>5669</v>
      </c>
      <c r="R244">
        <v>9085</v>
      </c>
      <c r="S244">
        <v>9085</v>
      </c>
      <c r="T244" t="s">
        <v>3458</v>
      </c>
    </row>
    <row r="245" spans="1:20" x14ac:dyDescent="0.2">
      <c r="A245" t="s">
        <v>1211</v>
      </c>
      <c r="B245" t="s">
        <v>5673</v>
      </c>
      <c r="C245" t="s">
        <v>17675</v>
      </c>
      <c r="D245">
        <v>123305</v>
      </c>
      <c r="E245">
        <v>22138</v>
      </c>
      <c r="F245">
        <v>209</v>
      </c>
      <c r="G245" t="s">
        <v>3436</v>
      </c>
      <c r="H245" t="s">
        <v>3661</v>
      </c>
      <c r="I245">
        <v>494</v>
      </c>
      <c r="J245" t="s">
        <v>3438</v>
      </c>
      <c r="K245" t="s">
        <v>17676</v>
      </c>
      <c r="L245" t="s">
        <v>5672</v>
      </c>
      <c r="M245" t="s">
        <v>5674</v>
      </c>
      <c r="N245">
        <v>58582</v>
      </c>
      <c r="O245" t="s">
        <v>5676</v>
      </c>
      <c r="P245" t="s">
        <v>5676</v>
      </c>
      <c r="Q245" t="s">
        <v>5677</v>
      </c>
      <c r="R245">
        <v>65072</v>
      </c>
      <c r="S245">
        <v>65072</v>
      </c>
      <c r="T245" t="s">
        <v>3469</v>
      </c>
    </row>
    <row r="246" spans="1:20" x14ac:dyDescent="0.2">
      <c r="A246" t="s">
        <v>1217</v>
      </c>
      <c r="B246" t="s">
        <v>5681</v>
      </c>
      <c r="C246" t="s">
        <v>17677</v>
      </c>
      <c r="D246">
        <v>125864</v>
      </c>
      <c r="E246">
        <v>32506</v>
      </c>
      <c r="F246">
        <v>209</v>
      </c>
      <c r="G246" t="s">
        <v>3459</v>
      </c>
      <c r="H246" t="s">
        <v>5418</v>
      </c>
      <c r="I246">
        <v>2872</v>
      </c>
      <c r="J246" t="s">
        <v>3438</v>
      </c>
      <c r="K246" t="s">
        <v>17678</v>
      </c>
      <c r="L246" t="s">
        <v>5680</v>
      </c>
      <c r="M246" t="s">
        <v>5682</v>
      </c>
      <c r="N246">
        <v>4517636</v>
      </c>
      <c r="O246" t="s">
        <v>5684</v>
      </c>
      <c r="P246" t="s">
        <v>5684</v>
      </c>
      <c r="R246">
        <v>5365676</v>
      </c>
      <c r="S246">
        <v>5365676</v>
      </c>
      <c r="T246" t="s">
        <v>3469</v>
      </c>
    </row>
    <row r="247" spans="1:20" x14ac:dyDescent="0.2">
      <c r="A247" t="s">
        <v>1232</v>
      </c>
      <c r="B247" t="s">
        <v>5688</v>
      </c>
      <c r="C247" t="s">
        <v>17679</v>
      </c>
      <c r="D247">
        <v>123301</v>
      </c>
      <c r="E247">
        <v>22053</v>
      </c>
      <c r="F247">
        <v>209</v>
      </c>
      <c r="G247" t="s">
        <v>3459</v>
      </c>
      <c r="H247" t="s">
        <v>4869</v>
      </c>
      <c r="I247">
        <v>1982</v>
      </c>
      <c r="J247" t="s">
        <v>3438</v>
      </c>
      <c r="K247" t="s">
        <v>17680</v>
      </c>
      <c r="L247" t="s">
        <v>5687</v>
      </c>
      <c r="M247" t="s">
        <v>5689</v>
      </c>
      <c r="N247">
        <v>24790</v>
      </c>
      <c r="O247" t="s">
        <v>5691</v>
      </c>
      <c r="P247" t="s">
        <v>5691</v>
      </c>
      <c r="R247">
        <v>26612</v>
      </c>
      <c r="S247">
        <v>26612</v>
      </c>
      <c r="T247" t="s">
        <v>3469</v>
      </c>
    </row>
    <row r="248" spans="1:20" x14ac:dyDescent="0.2">
      <c r="A248" t="s">
        <v>19100</v>
      </c>
      <c r="B248" t="s">
        <v>17681</v>
      </c>
      <c r="C248" t="s">
        <v>17682</v>
      </c>
      <c r="D248">
        <v>155797</v>
      </c>
      <c r="E248">
        <v>22158</v>
      </c>
      <c r="F248">
        <v>400</v>
      </c>
      <c r="G248" t="s">
        <v>3436</v>
      </c>
      <c r="H248" t="s">
        <v>4215</v>
      </c>
      <c r="I248">
        <v>63</v>
      </c>
      <c r="J248" t="s">
        <v>3438</v>
      </c>
      <c r="K248" t="s">
        <v>17683</v>
      </c>
      <c r="L248" t="s">
        <v>17684</v>
      </c>
      <c r="M248" s="6">
        <v>1583915</v>
      </c>
      <c r="N248">
        <v>1051</v>
      </c>
      <c r="O248" t="s">
        <v>17685</v>
      </c>
      <c r="P248" t="s">
        <v>17685</v>
      </c>
      <c r="Q248" t="s">
        <v>17686</v>
      </c>
      <c r="R248">
        <v>1081</v>
      </c>
      <c r="S248">
        <v>1081</v>
      </c>
      <c r="T248" t="s">
        <v>3458</v>
      </c>
    </row>
    <row r="249" spans="1:20" x14ac:dyDescent="0.2">
      <c r="A249" t="s">
        <v>1227</v>
      </c>
      <c r="B249" t="s">
        <v>5695</v>
      </c>
      <c r="C249" t="s">
        <v>17687</v>
      </c>
      <c r="D249">
        <v>124685</v>
      </c>
      <c r="E249">
        <v>22163</v>
      </c>
      <c r="F249">
        <v>209</v>
      </c>
      <c r="G249" t="s">
        <v>3863</v>
      </c>
      <c r="H249" t="s">
        <v>5632</v>
      </c>
      <c r="I249">
        <v>6155</v>
      </c>
      <c r="J249" t="s">
        <v>3438</v>
      </c>
      <c r="K249" t="s">
        <v>17688</v>
      </c>
      <c r="L249" t="s">
        <v>5694</v>
      </c>
      <c r="M249" t="s">
        <v>5696</v>
      </c>
      <c r="N249">
        <v>5826</v>
      </c>
      <c r="O249" t="s">
        <v>5698</v>
      </c>
      <c r="P249" t="s">
        <v>5698</v>
      </c>
      <c r="Q249" t="s">
        <v>5699</v>
      </c>
      <c r="R249">
        <v>6049</v>
      </c>
      <c r="S249">
        <v>6049</v>
      </c>
      <c r="T249" t="s">
        <v>3469</v>
      </c>
    </row>
    <row r="250" spans="1:20" x14ac:dyDescent="0.2">
      <c r="A250" t="s">
        <v>1223</v>
      </c>
      <c r="B250" t="s">
        <v>5703</v>
      </c>
      <c r="C250" t="s">
        <v>17689</v>
      </c>
      <c r="D250">
        <v>155837</v>
      </c>
      <c r="E250">
        <v>27710</v>
      </c>
      <c r="F250">
        <v>400</v>
      </c>
      <c r="G250" t="s">
        <v>3436</v>
      </c>
      <c r="H250" t="s">
        <v>3882</v>
      </c>
      <c r="I250">
        <v>2</v>
      </c>
      <c r="J250" t="s">
        <v>3438</v>
      </c>
      <c r="K250" t="s">
        <v>17690</v>
      </c>
      <c r="L250" t="s">
        <v>5702</v>
      </c>
      <c r="M250" t="s">
        <v>5704</v>
      </c>
      <c r="N250">
        <v>10507</v>
      </c>
      <c r="O250" t="s">
        <v>5706</v>
      </c>
      <c r="P250" t="s">
        <v>5706</v>
      </c>
      <c r="R250">
        <v>10972</v>
      </c>
      <c r="S250">
        <v>10972</v>
      </c>
      <c r="T250" t="s">
        <v>3458</v>
      </c>
    </row>
    <row r="251" spans="1:20" x14ac:dyDescent="0.2">
      <c r="A251" t="s">
        <v>1221</v>
      </c>
      <c r="B251" t="s">
        <v>5718</v>
      </c>
      <c r="C251" t="s">
        <v>17691</v>
      </c>
      <c r="D251">
        <v>146524</v>
      </c>
      <c r="E251">
        <v>27738</v>
      </c>
      <c r="F251">
        <v>305</v>
      </c>
      <c r="G251" t="s">
        <v>3448</v>
      </c>
      <c r="H251" t="s">
        <v>5600</v>
      </c>
      <c r="I251">
        <v>4353</v>
      </c>
      <c r="J251" t="s">
        <v>3438</v>
      </c>
      <c r="K251" t="s">
        <v>17692</v>
      </c>
      <c r="L251" t="s">
        <v>5717</v>
      </c>
      <c r="M251" t="s">
        <v>5719</v>
      </c>
      <c r="N251">
        <v>133224</v>
      </c>
      <c r="O251" t="s">
        <v>5721</v>
      </c>
      <c r="P251" t="s">
        <v>17693</v>
      </c>
      <c r="Q251" t="s">
        <v>5722</v>
      </c>
      <c r="R251" s="5">
        <v>1511525460407</v>
      </c>
      <c r="S251" t="s">
        <v>17694</v>
      </c>
      <c r="T251" t="s">
        <v>3489</v>
      </c>
    </row>
    <row r="252" spans="1:20" x14ac:dyDescent="0.2">
      <c r="A252" t="s">
        <v>1236</v>
      </c>
      <c r="B252" t="s">
        <v>5726</v>
      </c>
      <c r="C252" t="s">
        <v>17695</v>
      </c>
      <c r="D252">
        <v>152158</v>
      </c>
      <c r="E252">
        <v>27719</v>
      </c>
      <c r="F252">
        <v>305</v>
      </c>
      <c r="G252" t="s">
        <v>3977</v>
      </c>
      <c r="H252" t="s">
        <v>4293</v>
      </c>
      <c r="I252">
        <v>1372</v>
      </c>
      <c r="J252" t="s">
        <v>3438</v>
      </c>
      <c r="K252" t="s">
        <v>17246</v>
      </c>
      <c r="L252" t="s">
        <v>5725</v>
      </c>
      <c r="M252" t="s">
        <v>5727</v>
      </c>
      <c r="N252">
        <v>114198</v>
      </c>
      <c r="O252" t="s">
        <v>5729</v>
      </c>
      <c r="P252" t="s">
        <v>5729</v>
      </c>
      <c r="Q252" t="s">
        <v>5730</v>
      </c>
      <c r="R252" s="5">
        <v>12310779128869</v>
      </c>
      <c r="S252" t="s">
        <v>17696</v>
      </c>
      <c r="T252" t="s">
        <v>3489</v>
      </c>
    </row>
    <row r="253" spans="1:20" x14ac:dyDescent="0.2">
      <c r="A253" t="s">
        <v>1213</v>
      </c>
      <c r="B253" t="s">
        <v>5734</v>
      </c>
      <c r="C253" t="s">
        <v>17697</v>
      </c>
      <c r="D253">
        <v>126866</v>
      </c>
      <c r="E253">
        <v>27513</v>
      </c>
      <c r="F253">
        <v>209</v>
      </c>
      <c r="G253" t="s">
        <v>3436</v>
      </c>
      <c r="H253" t="s">
        <v>3470</v>
      </c>
      <c r="I253">
        <v>299</v>
      </c>
      <c r="J253" t="s">
        <v>3438</v>
      </c>
      <c r="K253" t="s">
        <v>17698</v>
      </c>
      <c r="L253" t="s">
        <v>5733</v>
      </c>
      <c r="M253" t="s">
        <v>12053</v>
      </c>
      <c r="N253">
        <v>780</v>
      </c>
      <c r="O253" t="s">
        <v>5737</v>
      </c>
      <c r="P253" t="s">
        <v>5737</v>
      </c>
      <c r="Q253" t="s">
        <v>5738</v>
      </c>
      <c r="R253">
        <v>802</v>
      </c>
      <c r="S253">
        <v>802</v>
      </c>
      <c r="T253" t="s">
        <v>3469</v>
      </c>
    </row>
    <row r="254" spans="1:20" x14ac:dyDescent="0.2">
      <c r="A254" t="s">
        <v>1215</v>
      </c>
      <c r="B254" t="s">
        <v>5742</v>
      </c>
      <c r="C254" t="s">
        <v>17699</v>
      </c>
      <c r="D254">
        <v>126071</v>
      </c>
      <c r="E254">
        <v>27447</v>
      </c>
      <c r="F254">
        <v>209</v>
      </c>
      <c r="G254" t="s">
        <v>3459</v>
      </c>
      <c r="H254" t="s">
        <v>5418</v>
      </c>
      <c r="I254">
        <v>2856</v>
      </c>
      <c r="J254" t="s">
        <v>3438</v>
      </c>
      <c r="K254" t="s">
        <v>17700</v>
      </c>
      <c r="L254" t="s">
        <v>5741</v>
      </c>
      <c r="M254" t="s">
        <v>5743</v>
      </c>
      <c r="N254">
        <v>4446589</v>
      </c>
      <c r="O254" t="s">
        <v>5745</v>
      </c>
      <c r="P254" t="s">
        <v>5745</v>
      </c>
      <c r="R254">
        <v>5283469</v>
      </c>
      <c r="S254">
        <v>5283469</v>
      </c>
      <c r="T254" t="s">
        <v>3469</v>
      </c>
    </row>
    <row r="255" spans="1:20" x14ac:dyDescent="0.2">
      <c r="A255" t="s">
        <v>1229</v>
      </c>
      <c r="B255" t="s">
        <v>5749</v>
      </c>
      <c r="C255" t="s">
        <v>17701</v>
      </c>
      <c r="D255">
        <v>124693</v>
      </c>
      <c r="E255">
        <v>30460</v>
      </c>
      <c r="F255">
        <v>209</v>
      </c>
      <c r="G255" t="s">
        <v>3436</v>
      </c>
      <c r="H255" t="s">
        <v>3906</v>
      </c>
      <c r="I255">
        <v>71</v>
      </c>
      <c r="J255" t="s">
        <v>3438</v>
      </c>
      <c r="K255" t="s">
        <v>17702</v>
      </c>
      <c r="L255" t="s">
        <v>5748</v>
      </c>
      <c r="M255" t="s">
        <v>5750</v>
      </c>
      <c r="N255">
        <v>83153</v>
      </c>
      <c r="O255" t="s">
        <v>5752</v>
      </c>
      <c r="P255" t="s">
        <v>5752</v>
      </c>
      <c r="Q255" t="s">
        <v>5213</v>
      </c>
      <c r="R255">
        <v>92105</v>
      </c>
      <c r="S255">
        <v>92105</v>
      </c>
      <c r="T255" t="s">
        <v>3469</v>
      </c>
    </row>
    <row r="256" spans="1:20" x14ac:dyDescent="0.2">
      <c r="A256" t="s">
        <v>3040</v>
      </c>
      <c r="B256" t="s">
        <v>5757</v>
      </c>
      <c r="C256" t="s">
        <v>17703</v>
      </c>
      <c r="D256">
        <v>155935</v>
      </c>
      <c r="E256">
        <v>32412</v>
      </c>
      <c r="F256">
        <v>400</v>
      </c>
      <c r="G256" t="s">
        <v>3459</v>
      </c>
      <c r="H256" t="s">
        <v>5754</v>
      </c>
      <c r="I256">
        <v>1768</v>
      </c>
      <c r="J256" t="s">
        <v>3438</v>
      </c>
      <c r="K256" t="s">
        <v>17704</v>
      </c>
      <c r="L256" t="s">
        <v>5756</v>
      </c>
      <c r="M256" t="s">
        <v>5758</v>
      </c>
      <c r="N256">
        <v>184820</v>
      </c>
      <c r="O256" t="s">
        <v>5760</v>
      </c>
      <c r="P256" t="s">
        <v>5760</v>
      </c>
      <c r="Q256" t="s">
        <v>5761</v>
      </c>
      <c r="R256">
        <v>439829</v>
      </c>
      <c r="S256">
        <v>439829</v>
      </c>
      <c r="T256" t="s">
        <v>3458</v>
      </c>
    </row>
    <row r="257" spans="1:20" x14ac:dyDescent="0.2">
      <c r="A257" t="s">
        <v>1242</v>
      </c>
      <c r="B257" t="s">
        <v>5765</v>
      </c>
      <c r="C257" t="s">
        <v>17705</v>
      </c>
      <c r="D257">
        <v>156017</v>
      </c>
      <c r="E257">
        <v>33441</v>
      </c>
      <c r="F257">
        <v>400</v>
      </c>
      <c r="G257" t="s">
        <v>3436</v>
      </c>
      <c r="H257" t="s">
        <v>3498</v>
      </c>
      <c r="I257">
        <v>426</v>
      </c>
      <c r="J257" t="s">
        <v>3438</v>
      </c>
      <c r="L257" t="s">
        <v>5764</v>
      </c>
      <c r="M257" t="s">
        <v>5766</v>
      </c>
      <c r="O257" t="s">
        <v>5767</v>
      </c>
      <c r="P257" t="s">
        <v>5767</v>
      </c>
      <c r="R257">
        <v>168379</v>
      </c>
      <c r="S257">
        <v>168379</v>
      </c>
      <c r="T257" t="s">
        <v>3458</v>
      </c>
    </row>
    <row r="258" spans="1:20" x14ac:dyDescent="0.2">
      <c r="A258" t="s">
        <v>1225</v>
      </c>
      <c r="B258" t="s">
        <v>5778</v>
      </c>
      <c r="C258" t="s">
        <v>17706</v>
      </c>
      <c r="D258">
        <v>151471</v>
      </c>
      <c r="E258">
        <v>31912</v>
      </c>
      <c r="F258">
        <v>209</v>
      </c>
      <c r="G258" t="s">
        <v>3459</v>
      </c>
      <c r="H258" t="s">
        <v>3819</v>
      </c>
      <c r="I258">
        <v>3499</v>
      </c>
      <c r="J258" t="s">
        <v>3438</v>
      </c>
      <c r="K258" t="s">
        <v>17707</v>
      </c>
      <c r="L258" t="s">
        <v>5777</v>
      </c>
      <c r="M258" t="s">
        <v>5779</v>
      </c>
      <c r="N258">
        <v>103116</v>
      </c>
      <c r="O258" t="s">
        <v>11999</v>
      </c>
      <c r="P258" t="s">
        <v>11999</v>
      </c>
      <c r="Q258" t="s">
        <v>5782</v>
      </c>
      <c r="R258">
        <v>115245</v>
      </c>
      <c r="S258">
        <v>115245</v>
      </c>
      <c r="T258" t="s">
        <v>3469</v>
      </c>
    </row>
    <row r="259" spans="1:20" x14ac:dyDescent="0.2">
      <c r="A259" t="s">
        <v>3042</v>
      </c>
      <c r="B259" t="s">
        <v>5786</v>
      </c>
      <c r="C259" t="s">
        <v>17708</v>
      </c>
      <c r="D259">
        <v>126075</v>
      </c>
      <c r="E259">
        <v>31591</v>
      </c>
      <c r="F259">
        <v>209</v>
      </c>
      <c r="G259" t="s">
        <v>3459</v>
      </c>
      <c r="H259" t="s">
        <v>5559</v>
      </c>
      <c r="I259">
        <v>3350</v>
      </c>
      <c r="J259" t="s">
        <v>3438</v>
      </c>
      <c r="K259" t="s">
        <v>17709</v>
      </c>
      <c r="L259" t="s">
        <v>5785</v>
      </c>
      <c r="M259" t="s">
        <v>5787</v>
      </c>
      <c r="N259">
        <v>19988780</v>
      </c>
      <c r="O259" t="s">
        <v>5789</v>
      </c>
      <c r="P259" t="s">
        <v>5789</v>
      </c>
      <c r="R259">
        <v>159663</v>
      </c>
      <c r="S259">
        <v>159663</v>
      </c>
      <c r="T259" t="s">
        <v>3469</v>
      </c>
    </row>
    <row r="260" spans="1:20" x14ac:dyDescent="0.2">
      <c r="A260" t="s">
        <v>1219</v>
      </c>
      <c r="B260" t="s">
        <v>5800</v>
      </c>
      <c r="C260" t="s">
        <v>17710</v>
      </c>
      <c r="D260">
        <v>125818</v>
      </c>
      <c r="E260">
        <v>32405</v>
      </c>
      <c r="F260">
        <v>209</v>
      </c>
      <c r="G260" t="s">
        <v>3436</v>
      </c>
      <c r="H260" t="s">
        <v>3470</v>
      </c>
      <c r="I260">
        <v>305</v>
      </c>
      <c r="J260" t="s">
        <v>3438</v>
      </c>
      <c r="K260" t="s">
        <v>17711</v>
      </c>
      <c r="L260" t="s">
        <v>5799</v>
      </c>
      <c r="M260" t="s">
        <v>5801</v>
      </c>
      <c r="N260">
        <v>3613</v>
      </c>
      <c r="O260" t="s">
        <v>5803</v>
      </c>
      <c r="P260" t="s">
        <v>5803</v>
      </c>
      <c r="R260">
        <v>3744</v>
      </c>
      <c r="S260">
        <v>3744</v>
      </c>
      <c r="T260" t="s">
        <v>3469</v>
      </c>
    </row>
    <row r="261" spans="1:20" x14ac:dyDescent="0.2">
      <c r="A261" t="s">
        <v>1238</v>
      </c>
      <c r="B261" t="s">
        <v>5814</v>
      </c>
      <c r="C261" t="s">
        <v>17712</v>
      </c>
      <c r="D261">
        <v>155930</v>
      </c>
      <c r="E261">
        <v>32401</v>
      </c>
      <c r="F261">
        <v>400</v>
      </c>
      <c r="G261" t="s">
        <v>3448</v>
      </c>
      <c r="H261" t="s">
        <v>3449</v>
      </c>
      <c r="I261">
        <v>4322</v>
      </c>
      <c r="J261" t="s">
        <v>3438</v>
      </c>
      <c r="K261" t="s">
        <v>17713</v>
      </c>
      <c r="L261" t="s">
        <v>5813</v>
      </c>
      <c r="M261" t="s">
        <v>5815</v>
      </c>
      <c r="N261">
        <v>5369</v>
      </c>
      <c r="O261" t="s">
        <v>5817</v>
      </c>
      <c r="P261" t="s">
        <v>5817</v>
      </c>
      <c r="Q261" t="s">
        <v>5818</v>
      </c>
      <c r="R261">
        <v>5570</v>
      </c>
      <c r="S261">
        <v>5570</v>
      </c>
      <c r="T261" t="s">
        <v>3458</v>
      </c>
    </row>
    <row r="262" spans="1:20" x14ac:dyDescent="0.2">
      <c r="A262" t="s">
        <v>1240</v>
      </c>
      <c r="B262" t="s">
        <v>5822</v>
      </c>
      <c r="C262" t="s">
        <v>17714</v>
      </c>
      <c r="D262">
        <v>125800</v>
      </c>
      <c r="E262">
        <v>32388</v>
      </c>
      <c r="F262">
        <v>209</v>
      </c>
      <c r="G262" t="s">
        <v>3459</v>
      </c>
      <c r="H262" t="s">
        <v>3873</v>
      </c>
      <c r="I262">
        <v>1686</v>
      </c>
      <c r="J262" t="s">
        <v>3438</v>
      </c>
      <c r="K262" t="s">
        <v>17715</v>
      </c>
      <c r="L262" t="s">
        <v>5821</v>
      </c>
      <c r="M262" t="s">
        <v>5824</v>
      </c>
      <c r="N262">
        <v>12213</v>
      </c>
      <c r="O262" t="s">
        <v>5826</v>
      </c>
      <c r="P262" t="s">
        <v>5826</v>
      </c>
      <c r="Q262" t="s">
        <v>5827</v>
      </c>
      <c r="R262">
        <v>12736</v>
      </c>
      <c r="S262">
        <v>12736</v>
      </c>
      <c r="T262" t="s">
        <v>3469</v>
      </c>
    </row>
    <row r="263" spans="1:20" x14ac:dyDescent="0.2">
      <c r="A263" t="s">
        <v>3044</v>
      </c>
      <c r="B263" t="s">
        <v>5831</v>
      </c>
      <c r="C263" t="s">
        <v>17716</v>
      </c>
      <c r="D263">
        <v>125802</v>
      </c>
      <c r="E263">
        <v>32390</v>
      </c>
      <c r="F263">
        <v>209</v>
      </c>
      <c r="G263" t="s">
        <v>3436</v>
      </c>
      <c r="H263" t="s">
        <v>3687</v>
      </c>
      <c r="I263">
        <v>163</v>
      </c>
      <c r="J263" t="s">
        <v>3438</v>
      </c>
      <c r="K263" t="s">
        <v>17717</v>
      </c>
      <c r="L263" t="s">
        <v>5830</v>
      </c>
      <c r="M263" t="s">
        <v>5832</v>
      </c>
      <c r="N263">
        <v>61606</v>
      </c>
      <c r="O263" t="s">
        <v>5834</v>
      </c>
      <c r="P263" t="s">
        <v>5834</v>
      </c>
      <c r="R263">
        <v>68310</v>
      </c>
      <c r="S263">
        <v>68310</v>
      </c>
      <c r="T263" t="s">
        <v>3469</v>
      </c>
    </row>
    <row r="264" spans="1:20" x14ac:dyDescent="0.2">
      <c r="A264" t="s">
        <v>1234</v>
      </c>
      <c r="B264" t="s">
        <v>5838</v>
      </c>
      <c r="C264" t="s">
        <v>17718</v>
      </c>
      <c r="D264">
        <v>125804</v>
      </c>
      <c r="E264">
        <v>32391</v>
      </c>
      <c r="F264">
        <v>209</v>
      </c>
      <c r="G264" t="s">
        <v>3863</v>
      </c>
      <c r="H264" t="s">
        <v>4373</v>
      </c>
      <c r="I264">
        <v>4596</v>
      </c>
      <c r="J264" t="s">
        <v>3438</v>
      </c>
      <c r="K264" t="s">
        <v>17719</v>
      </c>
      <c r="L264" t="s">
        <v>5837</v>
      </c>
      <c r="M264" t="s">
        <v>5839</v>
      </c>
      <c r="N264">
        <v>63527</v>
      </c>
      <c r="O264" t="s">
        <v>5841</v>
      </c>
      <c r="P264" t="s">
        <v>5841</v>
      </c>
      <c r="R264">
        <v>70346</v>
      </c>
      <c r="S264">
        <v>70346</v>
      </c>
      <c r="T264" t="s">
        <v>3469</v>
      </c>
    </row>
    <row r="265" spans="1:20" x14ac:dyDescent="0.2">
      <c r="A265" t="s">
        <v>1244</v>
      </c>
      <c r="B265" t="s">
        <v>5845</v>
      </c>
      <c r="C265" t="s">
        <v>17720</v>
      </c>
      <c r="D265">
        <v>125834</v>
      </c>
      <c r="E265">
        <v>32445</v>
      </c>
      <c r="F265">
        <v>209</v>
      </c>
      <c r="G265" t="s">
        <v>3863</v>
      </c>
      <c r="H265" t="s">
        <v>4373</v>
      </c>
      <c r="I265">
        <v>4601</v>
      </c>
      <c r="J265" t="s">
        <v>3438</v>
      </c>
      <c r="K265" t="s">
        <v>17721</v>
      </c>
      <c r="L265" t="s">
        <v>5844</v>
      </c>
      <c r="M265" t="s">
        <v>5846</v>
      </c>
      <c r="N265">
        <v>63805</v>
      </c>
      <c r="O265" t="s">
        <v>5848</v>
      </c>
      <c r="P265" t="s">
        <v>5848</v>
      </c>
      <c r="Q265" t="s">
        <v>5849</v>
      </c>
      <c r="R265">
        <v>70639</v>
      </c>
      <c r="S265">
        <v>70639</v>
      </c>
      <c r="T265" t="s">
        <v>3469</v>
      </c>
    </row>
    <row r="266" spans="1:20" x14ac:dyDescent="0.2">
      <c r="A266" t="s">
        <v>1246</v>
      </c>
      <c r="B266" t="s">
        <v>5853</v>
      </c>
      <c r="C266" t="s">
        <v>17722</v>
      </c>
      <c r="D266">
        <v>151499</v>
      </c>
      <c r="E266">
        <v>32457</v>
      </c>
      <c r="F266">
        <v>209</v>
      </c>
      <c r="G266" t="s">
        <v>3459</v>
      </c>
      <c r="H266" t="s">
        <v>4869</v>
      </c>
      <c r="I266">
        <v>1985</v>
      </c>
      <c r="J266" t="s">
        <v>3438</v>
      </c>
      <c r="K266" t="s">
        <v>17723</v>
      </c>
      <c r="L266" t="s">
        <v>5852</v>
      </c>
      <c r="M266" t="s">
        <v>5854</v>
      </c>
      <c r="N266">
        <v>85026</v>
      </c>
      <c r="O266" t="s">
        <v>5856</v>
      </c>
      <c r="P266" t="s">
        <v>5856</v>
      </c>
      <c r="R266">
        <v>94216</v>
      </c>
      <c r="S266">
        <v>94216</v>
      </c>
      <c r="T266" t="s">
        <v>3469</v>
      </c>
    </row>
    <row r="267" spans="1:20" x14ac:dyDescent="0.2">
      <c r="A267" t="s">
        <v>1248</v>
      </c>
      <c r="B267" t="s">
        <v>5861</v>
      </c>
      <c r="C267" t="s">
        <v>17724</v>
      </c>
      <c r="D267">
        <v>124697</v>
      </c>
      <c r="E267">
        <v>31555</v>
      </c>
      <c r="F267">
        <v>209</v>
      </c>
      <c r="G267" t="s">
        <v>3448</v>
      </c>
      <c r="H267" t="s">
        <v>5858</v>
      </c>
      <c r="I267">
        <v>4451</v>
      </c>
      <c r="J267" t="s">
        <v>3438</v>
      </c>
      <c r="K267" t="s">
        <v>17725</v>
      </c>
      <c r="L267" t="s">
        <v>5860</v>
      </c>
      <c r="M267" t="s">
        <v>5862</v>
      </c>
      <c r="N267">
        <v>6467</v>
      </c>
      <c r="O267" t="s">
        <v>5864</v>
      </c>
      <c r="P267" t="s">
        <v>5864</v>
      </c>
      <c r="Q267" t="s">
        <v>5865</v>
      </c>
      <c r="R267">
        <v>6723</v>
      </c>
      <c r="S267">
        <v>6723</v>
      </c>
      <c r="T267" t="s">
        <v>3469</v>
      </c>
    </row>
    <row r="268" spans="1:20" x14ac:dyDescent="0.2">
      <c r="A268" t="s">
        <v>1252</v>
      </c>
      <c r="B268" t="s">
        <v>5876</v>
      </c>
      <c r="C268" t="s">
        <v>17726</v>
      </c>
      <c r="D268">
        <v>157051</v>
      </c>
      <c r="E268">
        <v>43829</v>
      </c>
      <c r="F268">
        <v>400</v>
      </c>
      <c r="G268" t="s">
        <v>3853</v>
      </c>
      <c r="H268" t="s">
        <v>3854</v>
      </c>
      <c r="I268">
        <v>647</v>
      </c>
      <c r="J268" t="s">
        <v>3438</v>
      </c>
      <c r="K268" t="s">
        <v>17727</v>
      </c>
      <c r="L268" t="s">
        <v>5875</v>
      </c>
      <c r="M268" t="s">
        <v>5877</v>
      </c>
      <c r="O268" t="s">
        <v>5878</v>
      </c>
      <c r="P268" t="s">
        <v>5878</v>
      </c>
      <c r="R268">
        <v>7015683</v>
      </c>
      <c r="S268">
        <v>7015683</v>
      </c>
      <c r="T268" t="s">
        <v>3458</v>
      </c>
    </row>
    <row r="269" spans="1:20" x14ac:dyDescent="0.2">
      <c r="A269" t="s">
        <v>1254</v>
      </c>
      <c r="B269" t="s">
        <v>11613</v>
      </c>
      <c r="C269" t="s">
        <v>17728</v>
      </c>
      <c r="D269">
        <v>125798</v>
      </c>
      <c r="E269">
        <v>31943</v>
      </c>
      <c r="F269">
        <v>209</v>
      </c>
      <c r="G269" t="s">
        <v>3459</v>
      </c>
      <c r="H269" t="s">
        <v>4869</v>
      </c>
      <c r="I269">
        <v>1984</v>
      </c>
      <c r="J269" t="s">
        <v>3438</v>
      </c>
      <c r="K269" t="s">
        <v>17729</v>
      </c>
      <c r="L269" t="s">
        <v>17730</v>
      </c>
      <c r="M269" t="s">
        <v>11614</v>
      </c>
      <c r="N269">
        <v>2285525</v>
      </c>
      <c r="O269" t="s">
        <v>17731</v>
      </c>
      <c r="P269" t="s">
        <v>17731</v>
      </c>
      <c r="R269">
        <v>3017884</v>
      </c>
      <c r="S269">
        <v>3017884</v>
      </c>
      <c r="T269" t="s">
        <v>3469</v>
      </c>
    </row>
    <row r="270" spans="1:20" x14ac:dyDescent="0.2">
      <c r="A270" t="s">
        <v>1250</v>
      </c>
      <c r="B270" t="s">
        <v>11660</v>
      </c>
      <c r="C270" t="s">
        <v>17732</v>
      </c>
      <c r="D270">
        <v>125792</v>
      </c>
      <c r="E270">
        <v>31938</v>
      </c>
      <c r="F270">
        <v>209</v>
      </c>
      <c r="G270" t="s">
        <v>3459</v>
      </c>
      <c r="H270" t="s">
        <v>4869</v>
      </c>
      <c r="I270">
        <v>1995</v>
      </c>
      <c r="J270" t="s">
        <v>3438</v>
      </c>
      <c r="K270" t="s">
        <v>17733</v>
      </c>
      <c r="L270" t="s">
        <v>17734</v>
      </c>
      <c r="M270" t="s">
        <v>11661</v>
      </c>
      <c r="N270">
        <v>149280</v>
      </c>
      <c r="O270" t="s">
        <v>17735</v>
      </c>
      <c r="P270" t="s">
        <v>17735</v>
      </c>
      <c r="R270">
        <v>170748</v>
      </c>
      <c r="S270">
        <v>170748</v>
      </c>
      <c r="T270" t="s">
        <v>3469</v>
      </c>
    </row>
    <row r="271" spans="1:20" x14ac:dyDescent="0.2">
      <c r="A271" t="s">
        <v>1256</v>
      </c>
      <c r="B271" t="s">
        <v>5882</v>
      </c>
      <c r="C271" t="s">
        <v>17736</v>
      </c>
      <c r="D271">
        <v>143851</v>
      </c>
      <c r="E271">
        <v>31932</v>
      </c>
      <c r="F271">
        <v>209</v>
      </c>
      <c r="G271" t="s">
        <v>3459</v>
      </c>
      <c r="H271" t="s">
        <v>5754</v>
      </c>
      <c r="I271">
        <v>1772</v>
      </c>
      <c r="J271" t="s">
        <v>3438</v>
      </c>
      <c r="K271" t="s">
        <v>17737</v>
      </c>
      <c r="L271" t="s">
        <v>5881</v>
      </c>
      <c r="M271" t="s">
        <v>5884</v>
      </c>
      <c r="N271">
        <v>89122</v>
      </c>
      <c r="O271" t="s">
        <v>5886</v>
      </c>
      <c r="P271" t="s">
        <v>5886</v>
      </c>
      <c r="R271">
        <v>98681</v>
      </c>
      <c r="S271">
        <v>98681</v>
      </c>
      <c r="T271" t="s">
        <v>3469</v>
      </c>
    </row>
    <row r="272" spans="1:20" x14ac:dyDescent="0.2">
      <c r="A272" t="s">
        <v>1258</v>
      </c>
      <c r="B272" t="s">
        <v>5890</v>
      </c>
      <c r="C272" t="s">
        <v>17738</v>
      </c>
      <c r="D272">
        <v>125782</v>
      </c>
      <c r="E272">
        <v>31850</v>
      </c>
      <c r="F272">
        <v>209</v>
      </c>
      <c r="G272" t="s">
        <v>3459</v>
      </c>
      <c r="H272" t="s">
        <v>5754</v>
      </c>
      <c r="I272">
        <v>1769</v>
      </c>
      <c r="J272" t="s">
        <v>3438</v>
      </c>
      <c r="K272" t="s">
        <v>17739</v>
      </c>
      <c r="L272" t="s">
        <v>5889</v>
      </c>
      <c r="M272" t="s">
        <v>5892</v>
      </c>
      <c r="N272">
        <v>79766</v>
      </c>
      <c r="O272" t="s">
        <v>5894</v>
      </c>
      <c r="P272" t="s">
        <v>5894</v>
      </c>
      <c r="R272">
        <v>88412</v>
      </c>
      <c r="S272">
        <v>88412</v>
      </c>
      <c r="T272" t="s">
        <v>3469</v>
      </c>
    </row>
    <row r="273" spans="1:20" x14ac:dyDescent="0.2">
      <c r="A273" t="s">
        <v>1262</v>
      </c>
      <c r="B273" t="s">
        <v>5898</v>
      </c>
      <c r="C273" t="s">
        <v>17740</v>
      </c>
      <c r="D273">
        <v>155955</v>
      </c>
      <c r="E273">
        <v>32452</v>
      </c>
      <c r="F273">
        <v>400</v>
      </c>
      <c r="G273" t="s">
        <v>3459</v>
      </c>
      <c r="H273" t="s">
        <v>5754</v>
      </c>
      <c r="I273">
        <v>1771</v>
      </c>
      <c r="J273" t="s">
        <v>3438</v>
      </c>
      <c r="K273" t="s">
        <v>17741</v>
      </c>
      <c r="L273" t="s">
        <v>5897</v>
      </c>
      <c r="M273" t="s">
        <v>5899</v>
      </c>
      <c r="N273">
        <v>96904</v>
      </c>
      <c r="O273" t="s">
        <v>5901</v>
      </c>
      <c r="P273" t="s">
        <v>5901</v>
      </c>
      <c r="Q273" t="s">
        <v>5902</v>
      </c>
      <c r="R273">
        <v>107738</v>
      </c>
      <c r="S273">
        <v>107738</v>
      </c>
      <c r="T273" t="s">
        <v>3458</v>
      </c>
    </row>
    <row r="274" spans="1:20" x14ac:dyDescent="0.2">
      <c r="A274" t="s">
        <v>1260</v>
      </c>
      <c r="B274" t="s">
        <v>5906</v>
      </c>
      <c r="C274" t="s">
        <v>17742</v>
      </c>
      <c r="D274">
        <v>156146</v>
      </c>
      <c r="E274">
        <v>35127</v>
      </c>
      <c r="F274">
        <v>400</v>
      </c>
      <c r="G274" t="s">
        <v>3436</v>
      </c>
      <c r="H274" t="s">
        <v>3661</v>
      </c>
      <c r="I274">
        <v>515</v>
      </c>
      <c r="J274" t="s">
        <v>3438</v>
      </c>
      <c r="K274" t="s">
        <v>17743</v>
      </c>
      <c r="L274" t="s">
        <v>5905</v>
      </c>
      <c r="M274" t="s">
        <v>5908</v>
      </c>
      <c r="N274">
        <v>9847785</v>
      </c>
      <c r="O274" t="s">
        <v>5910</v>
      </c>
      <c r="P274" t="s">
        <v>5910</v>
      </c>
      <c r="R274">
        <v>11902893</v>
      </c>
      <c r="S274">
        <v>11902893</v>
      </c>
      <c r="T274" t="s">
        <v>3458</v>
      </c>
    </row>
    <row r="275" spans="1:20" x14ac:dyDescent="0.2">
      <c r="A275" t="s">
        <v>1272</v>
      </c>
      <c r="B275" t="s">
        <v>5914</v>
      </c>
      <c r="C275" t="s">
        <v>17744</v>
      </c>
      <c r="D275">
        <v>125810</v>
      </c>
      <c r="E275">
        <v>32397</v>
      </c>
      <c r="F275">
        <v>209</v>
      </c>
      <c r="G275" t="s">
        <v>3436</v>
      </c>
      <c r="H275" t="s">
        <v>3498</v>
      </c>
      <c r="I275">
        <v>405</v>
      </c>
      <c r="J275" t="s">
        <v>3438</v>
      </c>
      <c r="K275" t="s">
        <v>17745</v>
      </c>
      <c r="L275" t="s">
        <v>5913</v>
      </c>
      <c r="M275" t="s">
        <v>5915</v>
      </c>
      <c r="N275">
        <v>164207</v>
      </c>
      <c r="O275" t="s">
        <v>5917</v>
      </c>
      <c r="P275" t="s">
        <v>5917</v>
      </c>
      <c r="R275">
        <v>188979</v>
      </c>
      <c r="S275">
        <v>188979</v>
      </c>
      <c r="T275" t="s">
        <v>3469</v>
      </c>
    </row>
    <row r="276" spans="1:20" x14ac:dyDescent="0.2">
      <c r="A276" t="s">
        <v>1269</v>
      </c>
      <c r="B276" t="s">
        <v>5921</v>
      </c>
      <c r="C276" t="s">
        <v>17746</v>
      </c>
      <c r="D276">
        <v>142911</v>
      </c>
      <c r="E276">
        <v>31787</v>
      </c>
      <c r="F276">
        <v>209</v>
      </c>
      <c r="G276" t="s">
        <v>3459</v>
      </c>
      <c r="H276" t="s">
        <v>3873</v>
      </c>
      <c r="I276">
        <v>1705</v>
      </c>
      <c r="J276" t="s">
        <v>3438</v>
      </c>
      <c r="K276" t="s">
        <v>17747</v>
      </c>
      <c r="L276" t="s">
        <v>5920</v>
      </c>
      <c r="M276" t="s">
        <v>5922</v>
      </c>
      <c r="N276">
        <v>110498</v>
      </c>
      <c r="O276" t="s">
        <v>5924</v>
      </c>
      <c r="P276" t="s">
        <v>5924</v>
      </c>
      <c r="R276">
        <v>123979</v>
      </c>
      <c r="S276">
        <v>123979</v>
      </c>
      <c r="T276" t="s">
        <v>3469</v>
      </c>
    </row>
    <row r="277" spans="1:20" x14ac:dyDescent="0.2">
      <c r="A277" t="s">
        <v>13826</v>
      </c>
      <c r="B277" t="s">
        <v>5928</v>
      </c>
      <c r="C277" t="s">
        <v>17748</v>
      </c>
      <c r="D277">
        <v>125862</v>
      </c>
      <c r="E277">
        <v>32504</v>
      </c>
      <c r="F277">
        <v>209</v>
      </c>
      <c r="G277" t="s">
        <v>3459</v>
      </c>
      <c r="H277" t="s">
        <v>3560</v>
      </c>
      <c r="I277">
        <v>1562</v>
      </c>
      <c r="J277" t="s">
        <v>3438</v>
      </c>
      <c r="K277" t="s">
        <v>17749</v>
      </c>
      <c r="L277" t="s">
        <v>5927</v>
      </c>
      <c r="M277" t="s">
        <v>5930</v>
      </c>
      <c r="O277" t="s">
        <v>5931</v>
      </c>
      <c r="P277" t="s">
        <v>17750</v>
      </c>
      <c r="Q277" t="s">
        <v>5932</v>
      </c>
      <c r="R277">
        <v>6441454</v>
      </c>
      <c r="S277">
        <v>6441454</v>
      </c>
      <c r="T277" t="s">
        <v>3469</v>
      </c>
    </row>
    <row r="278" spans="1:20" x14ac:dyDescent="0.2">
      <c r="A278" t="s">
        <v>1267</v>
      </c>
      <c r="B278" t="s">
        <v>5936</v>
      </c>
      <c r="C278" t="s">
        <v>17751</v>
      </c>
      <c r="D278">
        <v>125824</v>
      </c>
      <c r="E278">
        <v>32415</v>
      </c>
      <c r="F278">
        <v>209</v>
      </c>
      <c r="G278" t="s">
        <v>3459</v>
      </c>
      <c r="H278" t="s">
        <v>3560</v>
      </c>
      <c r="I278">
        <v>1577</v>
      </c>
      <c r="J278" t="s">
        <v>3438</v>
      </c>
      <c r="K278" t="s">
        <v>17752</v>
      </c>
      <c r="L278" t="s">
        <v>5935</v>
      </c>
      <c r="M278" t="s">
        <v>5937</v>
      </c>
      <c r="N278">
        <v>4445934</v>
      </c>
      <c r="O278" t="s">
        <v>5939</v>
      </c>
      <c r="P278" t="s">
        <v>5939</v>
      </c>
      <c r="Q278" t="s">
        <v>5940</v>
      </c>
      <c r="R278">
        <v>5282807</v>
      </c>
      <c r="S278">
        <v>5282807</v>
      </c>
      <c r="T278" t="s">
        <v>3469</v>
      </c>
    </row>
    <row r="279" spans="1:20" x14ac:dyDescent="0.2">
      <c r="A279" t="s">
        <v>1264</v>
      </c>
      <c r="B279" t="s">
        <v>5944</v>
      </c>
      <c r="C279" t="s">
        <v>17753</v>
      </c>
      <c r="D279">
        <v>125866</v>
      </c>
      <c r="E279">
        <v>32980</v>
      </c>
      <c r="F279">
        <v>209</v>
      </c>
      <c r="G279" t="s">
        <v>3459</v>
      </c>
      <c r="H279" t="s">
        <v>3560</v>
      </c>
      <c r="I279">
        <v>1575</v>
      </c>
      <c r="J279" t="s">
        <v>3438</v>
      </c>
      <c r="K279" t="s">
        <v>17754</v>
      </c>
      <c r="L279" t="s">
        <v>5943</v>
      </c>
      <c r="M279" t="s">
        <v>5945</v>
      </c>
      <c r="N279">
        <v>4445971</v>
      </c>
      <c r="O279" t="s">
        <v>5947</v>
      </c>
      <c r="P279" t="s">
        <v>5947</v>
      </c>
      <c r="Q279" t="s">
        <v>5948</v>
      </c>
      <c r="R279" s="5">
        <v>52828445497181</v>
      </c>
      <c r="S279" t="s">
        <v>17755</v>
      </c>
      <c r="T279" t="s">
        <v>3469</v>
      </c>
    </row>
    <row r="280" spans="1:20" x14ac:dyDescent="0.2">
      <c r="A280" t="s">
        <v>19101</v>
      </c>
      <c r="B280" t="s">
        <v>17756</v>
      </c>
      <c r="C280" t="s">
        <v>17757</v>
      </c>
      <c r="D280">
        <v>125826</v>
      </c>
      <c r="E280">
        <v>32417</v>
      </c>
      <c r="F280">
        <v>209</v>
      </c>
      <c r="G280" t="s">
        <v>3459</v>
      </c>
      <c r="H280" t="s">
        <v>3560</v>
      </c>
      <c r="I280">
        <v>1564</v>
      </c>
      <c r="J280" t="s">
        <v>3438</v>
      </c>
      <c r="K280" t="s">
        <v>17758</v>
      </c>
      <c r="L280" t="s">
        <v>17759</v>
      </c>
      <c r="M280" t="s">
        <v>17760</v>
      </c>
      <c r="N280">
        <v>4471981</v>
      </c>
      <c r="O280" t="s">
        <v>17761</v>
      </c>
      <c r="P280" t="s">
        <v>17761</v>
      </c>
      <c r="Q280" t="s">
        <v>17762</v>
      </c>
      <c r="R280">
        <v>5312556</v>
      </c>
      <c r="S280">
        <v>5312556</v>
      </c>
      <c r="T280" t="s">
        <v>3469</v>
      </c>
    </row>
    <row r="281" spans="1:20" x14ac:dyDescent="0.2">
      <c r="A281" t="s">
        <v>1276</v>
      </c>
      <c r="B281" t="s">
        <v>5952</v>
      </c>
      <c r="C281" t="s">
        <v>17763</v>
      </c>
      <c r="D281">
        <v>125854</v>
      </c>
      <c r="E281">
        <v>32497</v>
      </c>
      <c r="F281">
        <v>209</v>
      </c>
      <c r="G281" t="s">
        <v>3459</v>
      </c>
      <c r="H281" t="s">
        <v>3569</v>
      </c>
      <c r="I281">
        <v>1500</v>
      </c>
      <c r="J281" t="s">
        <v>3438</v>
      </c>
      <c r="K281" t="s">
        <v>17764</v>
      </c>
      <c r="L281" t="s">
        <v>5951</v>
      </c>
      <c r="M281" t="s">
        <v>5953</v>
      </c>
      <c r="N281">
        <v>10771160</v>
      </c>
      <c r="O281" t="s">
        <v>5955</v>
      </c>
      <c r="P281" t="s">
        <v>5955</v>
      </c>
      <c r="Q281" t="s">
        <v>5956</v>
      </c>
      <c r="R281">
        <v>14891</v>
      </c>
      <c r="S281">
        <v>14891</v>
      </c>
      <c r="T281" t="s">
        <v>3469</v>
      </c>
    </row>
    <row r="282" spans="1:20" x14ac:dyDescent="0.2">
      <c r="A282" t="s">
        <v>1274</v>
      </c>
      <c r="B282" t="s">
        <v>5960</v>
      </c>
      <c r="C282" t="s">
        <v>17765</v>
      </c>
      <c r="D282">
        <v>125828</v>
      </c>
      <c r="E282">
        <v>32418</v>
      </c>
      <c r="F282">
        <v>209</v>
      </c>
      <c r="G282" t="s">
        <v>3459</v>
      </c>
      <c r="H282" t="s">
        <v>4059</v>
      </c>
      <c r="I282">
        <v>1526</v>
      </c>
      <c r="J282" t="s">
        <v>3438</v>
      </c>
      <c r="K282" t="s">
        <v>17766</v>
      </c>
      <c r="L282" t="s">
        <v>5959</v>
      </c>
      <c r="M282" t="s">
        <v>5961</v>
      </c>
      <c r="N282">
        <v>4444564</v>
      </c>
      <c r="O282" t="s">
        <v>5963</v>
      </c>
      <c r="P282" t="s">
        <v>5963</v>
      </c>
      <c r="Q282" t="s">
        <v>5964</v>
      </c>
      <c r="R282">
        <v>5281119</v>
      </c>
      <c r="S282">
        <v>5281119</v>
      </c>
      <c r="T282" t="s">
        <v>3469</v>
      </c>
    </row>
    <row r="283" spans="1:20" x14ac:dyDescent="0.2">
      <c r="A283" t="s">
        <v>1278</v>
      </c>
      <c r="B283" t="s">
        <v>5968</v>
      </c>
      <c r="C283" t="s">
        <v>17767</v>
      </c>
      <c r="D283">
        <v>155911</v>
      </c>
      <c r="E283">
        <v>32350</v>
      </c>
      <c r="F283">
        <v>400</v>
      </c>
      <c r="G283" t="s">
        <v>3436</v>
      </c>
      <c r="H283" t="s">
        <v>3906</v>
      </c>
      <c r="I283">
        <v>91</v>
      </c>
      <c r="J283" t="s">
        <v>3438</v>
      </c>
      <c r="K283" t="s">
        <v>17768</v>
      </c>
      <c r="L283" t="s">
        <v>5967</v>
      </c>
      <c r="M283" t="s">
        <v>5969</v>
      </c>
      <c r="N283">
        <v>68319</v>
      </c>
      <c r="O283" t="s">
        <v>5971</v>
      </c>
      <c r="P283" t="s">
        <v>5971</v>
      </c>
      <c r="Q283" t="s">
        <v>5972</v>
      </c>
      <c r="R283">
        <v>75810</v>
      </c>
      <c r="S283">
        <v>75810</v>
      </c>
      <c r="T283" t="s">
        <v>3458</v>
      </c>
    </row>
    <row r="284" spans="1:20" x14ac:dyDescent="0.2">
      <c r="A284" t="s">
        <v>1280</v>
      </c>
      <c r="B284" t="s">
        <v>5976</v>
      </c>
      <c r="C284" t="s">
        <v>17769</v>
      </c>
      <c r="D284">
        <v>165423</v>
      </c>
      <c r="E284">
        <v>32398</v>
      </c>
      <c r="F284">
        <v>305</v>
      </c>
      <c r="G284" t="s">
        <v>3459</v>
      </c>
      <c r="H284" t="s">
        <v>3873</v>
      </c>
      <c r="I284">
        <v>1681</v>
      </c>
      <c r="J284" t="s">
        <v>3438</v>
      </c>
      <c r="K284" t="s">
        <v>17770</v>
      </c>
      <c r="L284" t="s">
        <v>5975</v>
      </c>
      <c r="M284" t="s">
        <v>5977</v>
      </c>
      <c r="N284">
        <v>5004</v>
      </c>
      <c r="O284" t="s">
        <v>5979</v>
      </c>
      <c r="P284" t="s">
        <v>5979</v>
      </c>
      <c r="Q284" t="s">
        <v>5980</v>
      </c>
      <c r="R284">
        <v>5192</v>
      </c>
      <c r="S284">
        <v>5192</v>
      </c>
      <c r="T284" t="s">
        <v>3489</v>
      </c>
    </row>
    <row r="285" spans="1:20" x14ac:dyDescent="0.2">
      <c r="A285" t="s">
        <v>1286</v>
      </c>
      <c r="B285" t="s">
        <v>5992</v>
      </c>
      <c r="C285" t="s">
        <v>17771</v>
      </c>
      <c r="D285">
        <v>126890</v>
      </c>
      <c r="E285">
        <v>33969</v>
      </c>
      <c r="F285">
        <v>209</v>
      </c>
      <c r="G285" t="s">
        <v>3459</v>
      </c>
      <c r="H285" t="s">
        <v>3560</v>
      </c>
      <c r="I285">
        <v>1557</v>
      </c>
      <c r="J285" t="s">
        <v>3438</v>
      </c>
      <c r="K285" t="s">
        <v>17772</v>
      </c>
      <c r="L285" t="s">
        <v>5991</v>
      </c>
      <c r="M285" t="s">
        <v>5993</v>
      </c>
      <c r="N285">
        <v>4471933</v>
      </c>
      <c r="O285" t="s">
        <v>5995</v>
      </c>
      <c r="P285" t="s">
        <v>5995</v>
      </c>
      <c r="Q285" t="s">
        <v>5996</v>
      </c>
      <c r="R285">
        <v>5312508</v>
      </c>
      <c r="S285">
        <v>5312508</v>
      </c>
      <c r="T285" t="s">
        <v>3469</v>
      </c>
    </row>
    <row r="286" spans="1:20" x14ac:dyDescent="0.2">
      <c r="A286" t="s">
        <v>1290</v>
      </c>
      <c r="B286" t="s">
        <v>6000</v>
      </c>
      <c r="C286" t="s">
        <v>17773</v>
      </c>
      <c r="D286">
        <v>126127</v>
      </c>
      <c r="E286">
        <v>33968</v>
      </c>
      <c r="F286">
        <v>209</v>
      </c>
      <c r="G286" t="s">
        <v>3459</v>
      </c>
      <c r="H286" t="s">
        <v>3569</v>
      </c>
      <c r="I286">
        <v>1504</v>
      </c>
      <c r="J286" t="s">
        <v>3438</v>
      </c>
      <c r="K286" t="s">
        <v>17774</v>
      </c>
      <c r="L286" t="s">
        <v>5999</v>
      </c>
      <c r="M286" t="s">
        <v>6001</v>
      </c>
      <c r="N286">
        <v>4471803</v>
      </c>
      <c r="O286" t="s">
        <v>6003</v>
      </c>
      <c r="P286" t="s">
        <v>6003</v>
      </c>
      <c r="R286">
        <v>5312378</v>
      </c>
      <c r="S286">
        <v>5312378</v>
      </c>
      <c r="T286" t="s">
        <v>3469</v>
      </c>
    </row>
    <row r="287" spans="1:20" x14ac:dyDescent="0.2">
      <c r="A287" t="s">
        <v>1284</v>
      </c>
      <c r="B287" t="s">
        <v>6007</v>
      </c>
      <c r="C287" t="s">
        <v>17775</v>
      </c>
      <c r="D287">
        <v>158581</v>
      </c>
      <c r="E287">
        <v>33936</v>
      </c>
      <c r="F287">
        <v>402</v>
      </c>
      <c r="G287" t="s">
        <v>3459</v>
      </c>
      <c r="H287" t="s">
        <v>5535</v>
      </c>
      <c r="I287">
        <v>1852</v>
      </c>
      <c r="J287" t="s">
        <v>3438</v>
      </c>
      <c r="K287" t="s">
        <v>17776</v>
      </c>
      <c r="L287" t="s">
        <v>6006</v>
      </c>
      <c r="M287" t="s">
        <v>6008</v>
      </c>
      <c r="N287">
        <v>110274</v>
      </c>
      <c r="O287" t="s">
        <v>6010</v>
      </c>
      <c r="P287" t="s">
        <v>6010</v>
      </c>
      <c r="Q287" t="s">
        <v>6011</v>
      </c>
      <c r="R287" s="5">
        <v>12370111953814</v>
      </c>
      <c r="S287" t="s">
        <v>17777</v>
      </c>
      <c r="T287" t="s">
        <v>3447</v>
      </c>
    </row>
    <row r="288" spans="1:20" x14ac:dyDescent="0.2">
      <c r="A288" t="s">
        <v>1282</v>
      </c>
      <c r="B288" t="s">
        <v>6015</v>
      </c>
      <c r="C288" t="s">
        <v>17778</v>
      </c>
      <c r="D288">
        <v>126892</v>
      </c>
      <c r="E288">
        <v>33983</v>
      </c>
      <c r="F288">
        <v>209</v>
      </c>
      <c r="G288" t="s">
        <v>3459</v>
      </c>
      <c r="H288" t="s">
        <v>3516</v>
      </c>
      <c r="I288">
        <v>3466</v>
      </c>
      <c r="J288" t="s">
        <v>3438</v>
      </c>
      <c r="K288" t="s">
        <v>17779</v>
      </c>
      <c r="L288" t="s">
        <v>6014</v>
      </c>
      <c r="M288" t="s">
        <v>6016</v>
      </c>
      <c r="N288">
        <v>147312</v>
      </c>
      <c r="O288" t="s">
        <v>6018</v>
      </c>
      <c r="P288" t="s">
        <v>6018</v>
      </c>
      <c r="R288" s="5">
        <v>1.21596216211247E+22</v>
      </c>
      <c r="S288" t="s">
        <v>17780</v>
      </c>
      <c r="T288" t="s">
        <v>3469</v>
      </c>
    </row>
    <row r="289" spans="1:20" x14ac:dyDescent="0.2">
      <c r="A289" t="s">
        <v>1288</v>
      </c>
      <c r="B289" t="s">
        <v>6022</v>
      </c>
      <c r="C289" t="s">
        <v>17781</v>
      </c>
      <c r="D289">
        <v>158585</v>
      </c>
      <c r="E289">
        <v>33941</v>
      </c>
      <c r="F289">
        <v>402</v>
      </c>
      <c r="G289" t="s">
        <v>3459</v>
      </c>
      <c r="H289" t="s">
        <v>5535</v>
      </c>
      <c r="I289">
        <v>1860</v>
      </c>
      <c r="J289" t="s">
        <v>3438</v>
      </c>
      <c r="K289" t="s">
        <v>17782</v>
      </c>
      <c r="L289" t="s">
        <v>6021</v>
      </c>
      <c r="M289" t="s">
        <v>6023</v>
      </c>
      <c r="N289">
        <v>8420677</v>
      </c>
      <c r="O289" t="s">
        <v>6025</v>
      </c>
      <c r="P289" t="s">
        <v>6025</v>
      </c>
      <c r="R289">
        <v>10245190</v>
      </c>
      <c r="S289">
        <v>10245190</v>
      </c>
      <c r="T289" t="s">
        <v>3447</v>
      </c>
    </row>
    <row r="290" spans="1:20" x14ac:dyDescent="0.2">
      <c r="A290" t="s">
        <v>3046</v>
      </c>
      <c r="B290" t="s">
        <v>6029</v>
      </c>
      <c r="C290" t="s">
        <v>17783</v>
      </c>
      <c r="D290">
        <v>146952</v>
      </c>
      <c r="E290">
        <v>33943</v>
      </c>
      <c r="F290">
        <v>305</v>
      </c>
      <c r="G290" t="s">
        <v>3436</v>
      </c>
      <c r="H290" t="s">
        <v>4215</v>
      </c>
      <c r="I290">
        <v>48</v>
      </c>
      <c r="J290" t="s">
        <v>3438</v>
      </c>
      <c r="K290" t="s">
        <v>17784</v>
      </c>
      <c r="L290" t="s">
        <v>6028</v>
      </c>
      <c r="M290" t="s">
        <v>6030</v>
      </c>
      <c r="N290">
        <v>158492</v>
      </c>
      <c r="O290" t="s">
        <v>6032</v>
      </c>
      <c r="P290" t="s">
        <v>6032</v>
      </c>
      <c r="Q290" t="s">
        <v>6033</v>
      </c>
      <c r="R290">
        <v>182230</v>
      </c>
      <c r="S290">
        <v>182230</v>
      </c>
      <c r="T290" t="s">
        <v>3489</v>
      </c>
    </row>
    <row r="291" spans="1:20" x14ac:dyDescent="0.2">
      <c r="A291" t="s">
        <v>3048</v>
      </c>
      <c r="B291" t="s">
        <v>6045</v>
      </c>
      <c r="C291" t="s">
        <v>17785</v>
      </c>
      <c r="D291">
        <v>126109</v>
      </c>
      <c r="E291">
        <v>33950</v>
      </c>
      <c r="F291">
        <v>209</v>
      </c>
      <c r="G291" t="s">
        <v>3436</v>
      </c>
      <c r="H291" t="s">
        <v>3524</v>
      </c>
      <c r="I291">
        <v>141</v>
      </c>
      <c r="J291" t="s">
        <v>3438</v>
      </c>
      <c r="K291" t="s">
        <v>17786</v>
      </c>
      <c r="L291" t="s">
        <v>6044</v>
      </c>
      <c r="M291" t="s">
        <v>6046</v>
      </c>
      <c r="N291">
        <v>67404</v>
      </c>
      <c r="O291" t="s">
        <v>6048</v>
      </c>
      <c r="P291" t="s">
        <v>6048</v>
      </c>
      <c r="Q291" t="s">
        <v>6049</v>
      </c>
      <c r="R291">
        <v>74839</v>
      </c>
      <c r="S291">
        <v>74839</v>
      </c>
      <c r="T291" t="s">
        <v>3469</v>
      </c>
    </row>
    <row r="292" spans="1:20" x14ac:dyDescent="0.2">
      <c r="A292" t="s">
        <v>3050</v>
      </c>
      <c r="B292" t="s">
        <v>6053</v>
      </c>
      <c r="C292" t="s">
        <v>17787</v>
      </c>
      <c r="D292">
        <v>147568</v>
      </c>
      <c r="E292">
        <v>33942</v>
      </c>
      <c r="F292">
        <v>305</v>
      </c>
      <c r="G292" t="s">
        <v>3436</v>
      </c>
      <c r="H292" t="s">
        <v>3670</v>
      </c>
      <c r="I292">
        <v>42</v>
      </c>
      <c r="J292" t="s">
        <v>3438</v>
      </c>
      <c r="K292" t="s">
        <v>17788</v>
      </c>
      <c r="L292" t="s">
        <v>6052</v>
      </c>
      <c r="M292" t="s">
        <v>6054</v>
      </c>
      <c r="N292">
        <v>90090</v>
      </c>
      <c r="O292" t="s">
        <v>6056</v>
      </c>
      <c r="P292" t="s">
        <v>6056</v>
      </c>
      <c r="R292">
        <v>99715</v>
      </c>
      <c r="S292">
        <v>99715</v>
      </c>
      <c r="T292" t="s">
        <v>3489</v>
      </c>
    </row>
    <row r="293" spans="1:20" x14ac:dyDescent="0.2">
      <c r="A293" t="s">
        <v>1310</v>
      </c>
      <c r="B293" t="s">
        <v>6060</v>
      </c>
      <c r="C293" t="s">
        <v>17789</v>
      </c>
      <c r="D293">
        <v>158599</v>
      </c>
      <c r="E293">
        <v>33955</v>
      </c>
      <c r="F293">
        <v>402</v>
      </c>
      <c r="G293" t="s">
        <v>3459</v>
      </c>
      <c r="H293" t="s">
        <v>5441</v>
      </c>
      <c r="I293">
        <v>2600</v>
      </c>
      <c r="J293" t="s">
        <v>3438</v>
      </c>
      <c r="K293" t="s">
        <v>17790</v>
      </c>
      <c r="L293" t="s">
        <v>6059</v>
      </c>
      <c r="M293" t="s">
        <v>6061</v>
      </c>
      <c r="N293">
        <v>78064</v>
      </c>
      <c r="O293" t="s">
        <v>6063</v>
      </c>
      <c r="P293" t="s">
        <v>6063</v>
      </c>
      <c r="Q293" t="s">
        <v>6064</v>
      </c>
      <c r="R293">
        <v>86554</v>
      </c>
      <c r="S293">
        <v>86554</v>
      </c>
      <c r="T293" t="s">
        <v>3447</v>
      </c>
    </row>
    <row r="294" spans="1:20" x14ac:dyDescent="0.2">
      <c r="A294" t="s">
        <v>3052</v>
      </c>
      <c r="B294" t="s">
        <v>6068</v>
      </c>
      <c r="C294" t="s">
        <v>17791</v>
      </c>
      <c r="D294">
        <v>156051</v>
      </c>
      <c r="E294">
        <v>33953</v>
      </c>
      <c r="F294">
        <v>400</v>
      </c>
      <c r="G294" t="s">
        <v>3436</v>
      </c>
      <c r="H294" t="s">
        <v>3661</v>
      </c>
      <c r="I294">
        <v>499</v>
      </c>
      <c r="J294" t="s">
        <v>3438</v>
      </c>
      <c r="K294" t="s">
        <v>17792</v>
      </c>
      <c r="L294" t="s">
        <v>6067</v>
      </c>
      <c r="M294" t="s">
        <v>6069</v>
      </c>
      <c r="N294">
        <v>60752</v>
      </c>
      <c r="O294" t="s">
        <v>6071</v>
      </c>
      <c r="P294" t="s">
        <v>6071</v>
      </c>
      <c r="Q294" t="s">
        <v>6072</v>
      </c>
      <c r="R294">
        <v>67427</v>
      </c>
      <c r="S294">
        <v>67427</v>
      </c>
      <c r="T294" t="s">
        <v>3458</v>
      </c>
    </row>
    <row r="295" spans="1:20" x14ac:dyDescent="0.2">
      <c r="A295" t="s">
        <v>1302</v>
      </c>
      <c r="B295" t="s">
        <v>6076</v>
      </c>
      <c r="C295" t="s">
        <v>17793</v>
      </c>
      <c r="D295">
        <v>158580</v>
      </c>
      <c r="E295">
        <v>33935</v>
      </c>
      <c r="F295">
        <v>402</v>
      </c>
      <c r="G295" t="s">
        <v>3863</v>
      </c>
      <c r="H295" t="s">
        <v>3864</v>
      </c>
      <c r="I295">
        <v>5005</v>
      </c>
      <c r="J295" t="s">
        <v>3438</v>
      </c>
      <c r="K295" t="s">
        <v>17794</v>
      </c>
      <c r="L295" t="s">
        <v>6075</v>
      </c>
      <c r="M295" t="s">
        <v>6077</v>
      </c>
      <c r="N295">
        <v>553590</v>
      </c>
      <c r="O295" t="s">
        <v>6079</v>
      </c>
      <c r="P295" t="s">
        <v>6079</v>
      </c>
      <c r="Q295" t="s">
        <v>6080</v>
      </c>
      <c r="R295">
        <v>638024</v>
      </c>
      <c r="S295">
        <v>638024</v>
      </c>
      <c r="T295" t="s">
        <v>3447</v>
      </c>
    </row>
    <row r="296" spans="1:20" x14ac:dyDescent="0.2">
      <c r="A296" t="s">
        <v>1294</v>
      </c>
      <c r="B296" t="s">
        <v>11790</v>
      </c>
      <c r="C296" t="s">
        <v>17795</v>
      </c>
      <c r="D296">
        <v>164179</v>
      </c>
      <c r="E296">
        <v>33997</v>
      </c>
      <c r="F296">
        <v>402</v>
      </c>
      <c r="G296" t="s">
        <v>3459</v>
      </c>
      <c r="H296" t="s">
        <v>3749</v>
      </c>
      <c r="I296">
        <v>3224</v>
      </c>
      <c r="J296" t="s">
        <v>3438</v>
      </c>
      <c r="K296" t="s">
        <v>17796</v>
      </c>
      <c r="L296" t="s">
        <v>17797</v>
      </c>
      <c r="M296" t="s">
        <v>11791</v>
      </c>
      <c r="N296">
        <v>151215</v>
      </c>
      <c r="O296" t="s">
        <v>17798</v>
      </c>
      <c r="P296" t="s">
        <v>17798</v>
      </c>
      <c r="Q296" t="s">
        <v>11792</v>
      </c>
      <c r="R296">
        <v>173183</v>
      </c>
      <c r="S296">
        <v>173183</v>
      </c>
      <c r="T296" t="s">
        <v>3447</v>
      </c>
    </row>
    <row r="297" spans="1:20" x14ac:dyDescent="0.2">
      <c r="A297" t="s">
        <v>1304</v>
      </c>
      <c r="B297" t="s">
        <v>6084</v>
      </c>
      <c r="C297" t="s">
        <v>17799</v>
      </c>
      <c r="D297">
        <v>158596</v>
      </c>
      <c r="E297">
        <v>33952</v>
      </c>
      <c r="F297">
        <v>402</v>
      </c>
      <c r="G297" t="s">
        <v>3459</v>
      </c>
      <c r="H297" t="s">
        <v>5526</v>
      </c>
      <c r="I297">
        <v>1862</v>
      </c>
      <c r="J297" t="s">
        <v>3438</v>
      </c>
      <c r="K297" t="s">
        <v>17800</v>
      </c>
      <c r="L297" t="s">
        <v>6083</v>
      </c>
      <c r="M297" t="s">
        <v>6085</v>
      </c>
      <c r="N297">
        <v>4932274</v>
      </c>
      <c r="O297" t="s">
        <v>17801</v>
      </c>
      <c r="P297" t="s">
        <v>17801</v>
      </c>
      <c r="R297">
        <v>6426854</v>
      </c>
      <c r="S297">
        <v>6426854</v>
      </c>
      <c r="T297" t="s">
        <v>3447</v>
      </c>
    </row>
    <row r="298" spans="1:20" x14ac:dyDescent="0.2">
      <c r="A298" t="s">
        <v>1308</v>
      </c>
      <c r="B298" t="s">
        <v>6091</v>
      </c>
      <c r="C298" t="s">
        <v>17802</v>
      </c>
      <c r="D298">
        <v>158603</v>
      </c>
      <c r="E298">
        <v>33961</v>
      </c>
      <c r="F298">
        <v>402</v>
      </c>
      <c r="G298" t="s">
        <v>3459</v>
      </c>
      <c r="H298" t="s">
        <v>5441</v>
      </c>
      <c r="I298">
        <v>2611</v>
      </c>
      <c r="J298" t="s">
        <v>3438</v>
      </c>
      <c r="K298" t="s">
        <v>17803</v>
      </c>
      <c r="L298" t="s">
        <v>6090</v>
      </c>
      <c r="M298" t="s">
        <v>6092</v>
      </c>
      <c r="N298">
        <v>435389</v>
      </c>
      <c r="O298" t="s">
        <v>6094</v>
      </c>
      <c r="P298" t="s">
        <v>6094</v>
      </c>
      <c r="R298">
        <v>497300</v>
      </c>
      <c r="S298">
        <v>497300</v>
      </c>
      <c r="T298" t="s">
        <v>3447</v>
      </c>
    </row>
    <row r="299" spans="1:20" x14ac:dyDescent="0.2">
      <c r="A299" t="s">
        <v>1298</v>
      </c>
      <c r="B299" t="s">
        <v>6098</v>
      </c>
      <c r="C299" t="s">
        <v>17804</v>
      </c>
      <c r="D299">
        <v>160285</v>
      </c>
      <c r="E299">
        <v>48258</v>
      </c>
      <c r="F299">
        <v>402</v>
      </c>
      <c r="G299" t="s">
        <v>3459</v>
      </c>
      <c r="H299" t="s">
        <v>5441</v>
      </c>
      <c r="I299">
        <v>2613</v>
      </c>
      <c r="J299" t="s">
        <v>3438</v>
      </c>
      <c r="K299" t="s">
        <v>17805</v>
      </c>
      <c r="L299" t="s">
        <v>6097</v>
      </c>
      <c r="M299" t="s">
        <v>6099</v>
      </c>
      <c r="N299">
        <v>17240641</v>
      </c>
      <c r="O299" t="s">
        <v>6101</v>
      </c>
      <c r="P299" t="s">
        <v>6101</v>
      </c>
      <c r="Q299" t="s">
        <v>6102</v>
      </c>
      <c r="R299">
        <v>16081932</v>
      </c>
      <c r="S299">
        <v>16081932</v>
      </c>
      <c r="T299" t="s">
        <v>3447</v>
      </c>
    </row>
    <row r="300" spans="1:20" x14ac:dyDescent="0.2">
      <c r="A300" t="s">
        <v>1296</v>
      </c>
      <c r="B300" t="s">
        <v>6106</v>
      </c>
      <c r="C300" t="s">
        <v>17806</v>
      </c>
      <c r="D300">
        <v>126095</v>
      </c>
      <c r="E300">
        <v>33939</v>
      </c>
      <c r="F300">
        <v>209</v>
      </c>
      <c r="G300" t="s">
        <v>3436</v>
      </c>
      <c r="H300" t="s">
        <v>3882</v>
      </c>
      <c r="I300">
        <v>18</v>
      </c>
      <c r="J300" t="s">
        <v>3438</v>
      </c>
      <c r="K300" t="s">
        <v>17807</v>
      </c>
      <c r="L300" t="s">
        <v>6105</v>
      </c>
      <c r="M300" t="s">
        <v>6107</v>
      </c>
      <c r="N300">
        <v>3841173</v>
      </c>
      <c r="O300" t="s">
        <v>6109</v>
      </c>
      <c r="P300" t="s">
        <v>6109</v>
      </c>
      <c r="R300">
        <v>152204</v>
      </c>
      <c r="S300">
        <v>152204</v>
      </c>
      <c r="T300" t="s">
        <v>3469</v>
      </c>
    </row>
    <row r="301" spans="1:20" x14ac:dyDescent="0.2">
      <c r="A301" t="s">
        <v>1292</v>
      </c>
      <c r="B301" t="s">
        <v>6113</v>
      </c>
      <c r="C301" t="s">
        <v>17808</v>
      </c>
      <c r="D301">
        <v>156061</v>
      </c>
      <c r="E301">
        <v>33967</v>
      </c>
      <c r="F301">
        <v>400</v>
      </c>
      <c r="G301" t="s">
        <v>3436</v>
      </c>
      <c r="H301" t="s">
        <v>3498</v>
      </c>
      <c r="I301">
        <v>387</v>
      </c>
      <c r="J301" t="s">
        <v>3438</v>
      </c>
      <c r="K301" t="s">
        <v>17809</v>
      </c>
      <c r="L301" t="s">
        <v>6112</v>
      </c>
      <c r="M301" t="s">
        <v>6114</v>
      </c>
      <c r="N301">
        <v>2081100</v>
      </c>
      <c r="O301" t="s">
        <v>6116</v>
      </c>
      <c r="P301" t="s">
        <v>6116</v>
      </c>
      <c r="R301">
        <v>306109</v>
      </c>
      <c r="S301">
        <v>306109</v>
      </c>
      <c r="T301" t="s">
        <v>3458</v>
      </c>
    </row>
    <row r="302" spans="1:20" x14ac:dyDescent="0.2">
      <c r="A302" t="s">
        <v>1300</v>
      </c>
      <c r="B302" t="s">
        <v>6120</v>
      </c>
      <c r="C302" t="s">
        <v>17810</v>
      </c>
      <c r="D302">
        <v>126131</v>
      </c>
      <c r="E302">
        <v>33972</v>
      </c>
      <c r="F302">
        <v>209</v>
      </c>
      <c r="G302" t="s">
        <v>3459</v>
      </c>
      <c r="H302" t="s">
        <v>4059</v>
      </c>
      <c r="I302">
        <v>1540</v>
      </c>
      <c r="J302" t="s">
        <v>3438</v>
      </c>
      <c r="K302" t="s">
        <v>17811</v>
      </c>
      <c r="L302" t="s">
        <v>6119</v>
      </c>
      <c r="M302" t="s">
        <v>6121</v>
      </c>
      <c r="N302">
        <v>4471938</v>
      </c>
      <c r="O302" t="s">
        <v>6123</v>
      </c>
      <c r="P302" t="s">
        <v>6123</v>
      </c>
      <c r="R302">
        <v>5312513</v>
      </c>
      <c r="S302">
        <v>5312513</v>
      </c>
      <c r="T302" t="s">
        <v>3469</v>
      </c>
    </row>
    <row r="303" spans="1:20" x14ac:dyDescent="0.2">
      <c r="A303" t="s">
        <v>1306</v>
      </c>
      <c r="B303" t="s">
        <v>6127</v>
      </c>
      <c r="C303" t="s">
        <v>17812</v>
      </c>
      <c r="D303">
        <v>126129</v>
      </c>
      <c r="E303">
        <v>33971</v>
      </c>
      <c r="F303">
        <v>209</v>
      </c>
      <c r="G303" t="s">
        <v>3459</v>
      </c>
      <c r="H303" t="s">
        <v>4059</v>
      </c>
      <c r="I303">
        <v>1531</v>
      </c>
      <c r="J303" t="s">
        <v>3438</v>
      </c>
      <c r="K303" t="s">
        <v>17813</v>
      </c>
      <c r="L303" t="s">
        <v>6126</v>
      </c>
      <c r="M303" t="s">
        <v>6128</v>
      </c>
      <c r="N303">
        <v>4471860</v>
      </c>
      <c r="O303" t="s">
        <v>6130</v>
      </c>
      <c r="P303" t="s">
        <v>6130</v>
      </c>
      <c r="R303">
        <v>5312435</v>
      </c>
      <c r="S303">
        <v>5312435</v>
      </c>
      <c r="T303" t="s">
        <v>3469</v>
      </c>
    </row>
    <row r="304" spans="1:20" x14ac:dyDescent="0.2">
      <c r="A304" t="s">
        <v>1312</v>
      </c>
      <c r="B304" t="s">
        <v>6134</v>
      </c>
      <c r="C304" t="s">
        <v>17814</v>
      </c>
      <c r="D304">
        <v>126896</v>
      </c>
      <c r="E304">
        <v>34093</v>
      </c>
      <c r="F304">
        <v>209</v>
      </c>
      <c r="G304" t="s">
        <v>3459</v>
      </c>
      <c r="H304" t="s">
        <v>3819</v>
      </c>
      <c r="I304">
        <v>3525</v>
      </c>
      <c r="J304" t="s">
        <v>3438</v>
      </c>
      <c r="K304" t="s">
        <v>17815</v>
      </c>
      <c r="L304" t="s">
        <v>6133</v>
      </c>
      <c r="M304" t="s">
        <v>6135</v>
      </c>
      <c r="N304">
        <v>21403098</v>
      </c>
      <c r="O304" t="s">
        <v>6137</v>
      </c>
      <c r="P304" t="s">
        <v>6137</v>
      </c>
      <c r="Q304" t="s">
        <v>6138</v>
      </c>
      <c r="R304">
        <v>92805</v>
      </c>
      <c r="S304">
        <v>92805</v>
      </c>
      <c r="T304" t="s">
        <v>3469</v>
      </c>
    </row>
    <row r="305" spans="1:20" x14ac:dyDescent="0.2">
      <c r="A305" t="s">
        <v>1347</v>
      </c>
      <c r="B305" t="s">
        <v>6142</v>
      </c>
      <c r="C305" t="s">
        <v>17816</v>
      </c>
      <c r="D305">
        <v>126133</v>
      </c>
      <c r="E305">
        <v>33973</v>
      </c>
      <c r="F305">
        <v>209</v>
      </c>
      <c r="G305" t="s">
        <v>3459</v>
      </c>
      <c r="H305" t="s">
        <v>5559</v>
      </c>
      <c r="I305">
        <v>3342</v>
      </c>
      <c r="J305" t="s">
        <v>3438</v>
      </c>
      <c r="K305" t="s">
        <v>17817</v>
      </c>
      <c r="L305" t="s">
        <v>6141</v>
      </c>
      <c r="M305" t="s">
        <v>6143</v>
      </c>
      <c r="N305">
        <v>21403101</v>
      </c>
      <c r="O305" t="s">
        <v>6145</v>
      </c>
      <c r="P305" t="s">
        <v>6145</v>
      </c>
      <c r="Q305" t="s">
        <v>5566</v>
      </c>
      <c r="R305">
        <v>9929317</v>
      </c>
      <c r="S305">
        <v>9929317</v>
      </c>
      <c r="T305" t="s">
        <v>3469</v>
      </c>
    </row>
    <row r="306" spans="1:20" x14ac:dyDescent="0.2">
      <c r="A306" t="s">
        <v>1314</v>
      </c>
      <c r="B306" t="s">
        <v>6158</v>
      </c>
      <c r="C306" t="s">
        <v>17818</v>
      </c>
      <c r="D306">
        <v>126105</v>
      </c>
      <c r="E306">
        <v>33946</v>
      </c>
      <c r="F306">
        <v>209</v>
      </c>
      <c r="G306" t="s">
        <v>3436</v>
      </c>
      <c r="H306" t="s">
        <v>3906</v>
      </c>
      <c r="I306">
        <v>73</v>
      </c>
      <c r="J306" t="s">
        <v>3438</v>
      </c>
      <c r="K306" t="s">
        <v>17819</v>
      </c>
      <c r="L306" t="s">
        <v>6157</v>
      </c>
      <c r="M306" t="s">
        <v>6159</v>
      </c>
      <c r="N306">
        <v>68142</v>
      </c>
      <c r="O306" t="s">
        <v>6161</v>
      </c>
      <c r="P306" t="s">
        <v>6161</v>
      </c>
      <c r="Q306" t="s">
        <v>6162</v>
      </c>
      <c r="R306">
        <v>75619</v>
      </c>
      <c r="S306">
        <v>75619</v>
      </c>
      <c r="T306" t="s">
        <v>3469</v>
      </c>
    </row>
    <row r="307" spans="1:20" x14ac:dyDescent="0.2">
      <c r="A307" t="s">
        <v>1326</v>
      </c>
      <c r="B307" t="s">
        <v>6166</v>
      </c>
      <c r="C307" t="s">
        <v>17820</v>
      </c>
      <c r="D307">
        <v>156047</v>
      </c>
      <c r="E307">
        <v>33949</v>
      </c>
      <c r="F307">
        <v>400</v>
      </c>
      <c r="G307" t="s">
        <v>3853</v>
      </c>
      <c r="H307" t="s">
        <v>3854</v>
      </c>
      <c r="I307">
        <v>636</v>
      </c>
      <c r="J307" t="s">
        <v>3438</v>
      </c>
      <c r="K307" t="s">
        <v>17821</v>
      </c>
      <c r="L307" t="s">
        <v>6165</v>
      </c>
      <c r="M307" t="s">
        <v>6167</v>
      </c>
      <c r="N307">
        <v>145071</v>
      </c>
      <c r="O307" t="s">
        <v>6169</v>
      </c>
      <c r="P307" t="s">
        <v>6169</v>
      </c>
      <c r="R307">
        <v>100099</v>
      </c>
      <c r="S307">
        <v>100099</v>
      </c>
      <c r="T307" t="s">
        <v>3458</v>
      </c>
    </row>
    <row r="308" spans="1:20" x14ac:dyDescent="0.2">
      <c r="A308" t="s">
        <v>1349</v>
      </c>
      <c r="B308" t="s">
        <v>6173</v>
      </c>
      <c r="C308" t="s">
        <v>17822</v>
      </c>
      <c r="D308">
        <v>126107</v>
      </c>
      <c r="E308">
        <v>33947</v>
      </c>
      <c r="F308">
        <v>209</v>
      </c>
      <c r="G308" t="s">
        <v>3853</v>
      </c>
      <c r="H308" t="s">
        <v>3854</v>
      </c>
      <c r="I308">
        <v>645</v>
      </c>
      <c r="J308" t="s">
        <v>3438</v>
      </c>
      <c r="K308" t="s">
        <v>17823</v>
      </c>
      <c r="L308" t="s">
        <v>6172</v>
      </c>
      <c r="M308" t="s">
        <v>6174</v>
      </c>
      <c r="N308">
        <v>2302065</v>
      </c>
      <c r="O308" t="s">
        <v>6176</v>
      </c>
      <c r="P308" t="s">
        <v>6176</v>
      </c>
      <c r="R308">
        <v>3989307</v>
      </c>
      <c r="S308">
        <v>3989307</v>
      </c>
      <c r="T308" t="s">
        <v>3469</v>
      </c>
    </row>
    <row r="309" spans="1:20" x14ac:dyDescent="0.2">
      <c r="A309" t="s">
        <v>1320</v>
      </c>
      <c r="B309" t="s">
        <v>6180</v>
      </c>
      <c r="C309" t="s">
        <v>17824</v>
      </c>
      <c r="D309">
        <v>156088</v>
      </c>
      <c r="E309">
        <v>34384</v>
      </c>
      <c r="F309">
        <v>400</v>
      </c>
      <c r="G309" t="s">
        <v>3863</v>
      </c>
      <c r="H309" t="s">
        <v>3864</v>
      </c>
      <c r="I309">
        <v>5063</v>
      </c>
      <c r="J309" t="s">
        <v>3438</v>
      </c>
      <c r="K309" t="s">
        <v>17825</v>
      </c>
      <c r="L309" t="s">
        <v>6179</v>
      </c>
      <c r="M309" t="s">
        <v>6181</v>
      </c>
      <c r="N309">
        <v>103115</v>
      </c>
      <c r="O309" t="s">
        <v>6183</v>
      </c>
      <c r="P309" t="s">
        <v>6183</v>
      </c>
      <c r="Q309" t="s">
        <v>6184</v>
      </c>
      <c r="R309">
        <v>115244</v>
      </c>
      <c r="S309">
        <v>115244</v>
      </c>
      <c r="T309" t="s">
        <v>3458</v>
      </c>
    </row>
    <row r="310" spans="1:20" x14ac:dyDescent="0.2">
      <c r="A310" t="s">
        <v>13830</v>
      </c>
      <c r="B310" t="s">
        <v>6188</v>
      </c>
      <c r="C310" t="s">
        <v>17826</v>
      </c>
      <c r="D310">
        <v>126093</v>
      </c>
      <c r="E310">
        <v>33937</v>
      </c>
      <c r="F310">
        <v>209</v>
      </c>
      <c r="G310" t="s">
        <v>3436</v>
      </c>
      <c r="H310" t="s">
        <v>3498</v>
      </c>
      <c r="I310">
        <v>424</v>
      </c>
      <c r="J310" t="s">
        <v>3438</v>
      </c>
      <c r="K310" t="s">
        <v>17827</v>
      </c>
      <c r="L310" t="s">
        <v>6187</v>
      </c>
      <c r="M310" t="s">
        <v>6189</v>
      </c>
      <c r="N310">
        <v>90190</v>
      </c>
      <c r="O310" t="s">
        <v>6191</v>
      </c>
      <c r="P310" t="s">
        <v>6191</v>
      </c>
      <c r="R310">
        <v>99823</v>
      </c>
      <c r="S310">
        <v>99823</v>
      </c>
      <c r="T310" t="s">
        <v>3469</v>
      </c>
    </row>
    <row r="311" spans="1:20" x14ac:dyDescent="0.2">
      <c r="A311" t="s">
        <v>1345</v>
      </c>
      <c r="B311" t="s">
        <v>6201</v>
      </c>
      <c r="C311" t="s">
        <v>17828</v>
      </c>
      <c r="D311">
        <v>157084</v>
      </c>
      <c r="E311">
        <v>44872</v>
      </c>
      <c r="F311">
        <v>400</v>
      </c>
      <c r="G311" t="s">
        <v>3853</v>
      </c>
      <c r="H311" t="s">
        <v>3854</v>
      </c>
      <c r="I311">
        <v>642</v>
      </c>
      <c r="J311" t="s">
        <v>3438</v>
      </c>
      <c r="K311" t="s">
        <v>17829</v>
      </c>
      <c r="L311" t="s">
        <v>6200</v>
      </c>
      <c r="M311" t="s">
        <v>6202</v>
      </c>
      <c r="N311">
        <v>5373147</v>
      </c>
      <c r="O311" t="s">
        <v>6204</v>
      </c>
      <c r="P311" t="s">
        <v>6204</v>
      </c>
      <c r="R311">
        <v>7009567</v>
      </c>
      <c r="S311">
        <v>7009567</v>
      </c>
      <c r="T311" t="s">
        <v>3458</v>
      </c>
    </row>
    <row r="312" spans="1:20" x14ac:dyDescent="0.2">
      <c r="A312" t="s">
        <v>1342</v>
      </c>
      <c r="B312" t="s">
        <v>6208</v>
      </c>
      <c r="C312" t="s">
        <v>17830</v>
      </c>
      <c r="D312">
        <v>156009</v>
      </c>
      <c r="E312">
        <v>33364</v>
      </c>
      <c r="F312">
        <v>400</v>
      </c>
      <c r="G312" t="s">
        <v>3853</v>
      </c>
      <c r="H312" t="s">
        <v>3854</v>
      </c>
      <c r="I312">
        <v>644</v>
      </c>
      <c r="J312" t="s">
        <v>3438</v>
      </c>
      <c r="K312" t="s">
        <v>17831</v>
      </c>
      <c r="L312" t="s">
        <v>6207</v>
      </c>
      <c r="M312" t="s">
        <v>6209</v>
      </c>
      <c r="N312">
        <v>21403107</v>
      </c>
      <c r="O312" t="s">
        <v>6211</v>
      </c>
      <c r="P312" t="s">
        <v>6211</v>
      </c>
      <c r="R312">
        <v>76078708</v>
      </c>
      <c r="S312">
        <v>76078708</v>
      </c>
      <c r="T312" t="s">
        <v>3458</v>
      </c>
    </row>
    <row r="313" spans="1:20" x14ac:dyDescent="0.2">
      <c r="A313" t="s">
        <v>1324</v>
      </c>
      <c r="B313" t="s">
        <v>6215</v>
      </c>
      <c r="C313" t="s">
        <v>17832</v>
      </c>
      <c r="D313">
        <v>143727</v>
      </c>
      <c r="E313">
        <v>36103</v>
      </c>
      <c r="F313">
        <v>209</v>
      </c>
      <c r="G313" t="s">
        <v>3863</v>
      </c>
      <c r="H313" t="s">
        <v>5082</v>
      </c>
      <c r="I313">
        <v>4552</v>
      </c>
      <c r="J313" t="s">
        <v>3438</v>
      </c>
      <c r="K313" t="s">
        <v>17833</v>
      </c>
      <c r="L313" t="s">
        <v>6214</v>
      </c>
      <c r="M313" t="s">
        <v>6216</v>
      </c>
      <c r="N313">
        <v>3806480</v>
      </c>
      <c r="O313" t="s">
        <v>6218</v>
      </c>
      <c r="P313" t="s">
        <v>6218</v>
      </c>
      <c r="R313">
        <v>4615423</v>
      </c>
      <c r="S313">
        <v>4615423</v>
      </c>
      <c r="T313" t="s">
        <v>3469</v>
      </c>
    </row>
    <row r="314" spans="1:20" x14ac:dyDescent="0.2">
      <c r="A314" t="s">
        <v>1336</v>
      </c>
      <c r="B314" t="s">
        <v>6231</v>
      </c>
      <c r="C314" t="s">
        <v>17834</v>
      </c>
      <c r="D314">
        <v>148204</v>
      </c>
      <c r="E314">
        <v>42420</v>
      </c>
      <c r="F314">
        <v>305</v>
      </c>
      <c r="G314" t="s">
        <v>3977</v>
      </c>
      <c r="H314" t="s">
        <v>4806</v>
      </c>
      <c r="I314">
        <v>1431</v>
      </c>
      <c r="J314" t="s">
        <v>3438</v>
      </c>
      <c r="K314" t="s">
        <v>17835</v>
      </c>
      <c r="L314" t="s">
        <v>6230</v>
      </c>
      <c r="M314" t="s">
        <v>6232</v>
      </c>
      <c r="N314">
        <v>2061231</v>
      </c>
      <c r="O314" t="s">
        <v>6234</v>
      </c>
      <c r="P314" t="s">
        <v>6234</v>
      </c>
      <c r="R314">
        <v>2781043</v>
      </c>
      <c r="S314">
        <v>2781043</v>
      </c>
      <c r="T314" t="s">
        <v>3489</v>
      </c>
    </row>
    <row r="315" spans="1:20" x14ac:dyDescent="0.2">
      <c r="A315" t="s">
        <v>1322</v>
      </c>
      <c r="B315" t="s">
        <v>6256</v>
      </c>
      <c r="C315" t="s">
        <v>17836</v>
      </c>
      <c r="D315">
        <v>144296</v>
      </c>
      <c r="E315">
        <v>33384</v>
      </c>
      <c r="F315">
        <v>209</v>
      </c>
      <c r="G315" t="s">
        <v>3863</v>
      </c>
      <c r="H315" t="s">
        <v>4942</v>
      </c>
      <c r="I315">
        <v>5404</v>
      </c>
      <c r="J315" t="s">
        <v>3438</v>
      </c>
      <c r="K315" t="s">
        <v>17837</v>
      </c>
      <c r="L315" t="s">
        <v>6255</v>
      </c>
      <c r="N315">
        <v>21403117</v>
      </c>
      <c r="O315" t="s">
        <v>6258</v>
      </c>
      <c r="P315" t="s">
        <v>6258</v>
      </c>
      <c r="R315">
        <v>121596205</v>
      </c>
      <c r="S315">
        <v>121596205</v>
      </c>
      <c r="T315" t="s">
        <v>3469</v>
      </c>
    </row>
    <row r="316" spans="1:20" x14ac:dyDescent="0.2">
      <c r="A316" t="s">
        <v>1318</v>
      </c>
      <c r="B316" t="s">
        <v>6262</v>
      </c>
      <c r="C316" t="s">
        <v>17838</v>
      </c>
      <c r="D316">
        <v>156090</v>
      </c>
      <c r="E316">
        <v>34387</v>
      </c>
      <c r="F316">
        <v>400</v>
      </c>
      <c r="G316" t="s">
        <v>3436</v>
      </c>
      <c r="H316" t="s">
        <v>3661</v>
      </c>
      <c r="I316">
        <v>505</v>
      </c>
      <c r="J316" t="s">
        <v>3438</v>
      </c>
      <c r="K316" t="s">
        <v>17839</v>
      </c>
      <c r="L316" t="s">
        <v>6261</v>
      </c>
      <c r="M316" t="s">
        <v>6263</v>
      </c>
      <c r="N316">
        <v>285677</v>
      </c>
      <c r="O316" t="s">
        <v>6265</v>
      </c>
      <c r="P316" t="s">
        <v>6265</v>
      </c>
      <c r="R316">
        <v>322640</v>
      </c>
      <c r="S316">
        <v>322640</v>
      </c>
      <c r="T316" t="s">
        <v>3458</v>
      </c>
    </row>
    <row r="317" spans="1:20" x14ac:dyDescent="0.2">
      <c r="A317" t="s">
        <v>1332</v>
      </c>
      <c r="B317" t="s">
        <v>6269</v>
      </c>
      <c r="C317" t="s">
        <v>17840</v>
      </c>
      <c r="D317">
        <v>143715</v>
      </c>
      <c r="E317">
        <v>33587</v>
      </c>
      <c r="F317">
        <v>209</v>
      </c>
      <c r="G317" t="s">
        <v>3459</v>
      </c>
      <c r="H317" t="s">
        <v>4059</v>
      </c>
      <c r="I317">
        <v>1543</v>
      </c>
      <c r="J317" t="s">
        <v>3438</v>
      </c>
      <c r="K317" t="s">
        <v>17841</v>
      </c>
      <c r="L317" t="s">
        <v>6268</v>
      </c>
      <c r="N317">
        <v>4445895</v>
      </c>
      <c r="O317" t="s">
        <v>6272</v>
      </c>
      <c r="P317" t="s">
        <v>6272</v>
      </c>
      <c r="Q317" t="s">
        <v>6273</v>
      </c>
      <c r="R317" s="5">
        <v>5.28276852827699E+18</v>
      </c>
      <c r="S317" t="s">
        <v>17842</v>
      </c>
      <c r="T317" t="s">
        <v>3469</v>
      </c>
    </row>
    <row r="318" spans="1:20" x14ac:dyDescent="0.2">
      <c r="A318" t="s">
        <v>1340</v>
      </c>
      <c r="B318" t="s">
        <v>6277</v>
      </c>
      <c r="C318" t="s">
        <v>17843</v>
      </c>
      <c r="D318">
        <v>143703</v>
      </c>
      <c r="E318">
        <v>34035</v>
      </c>
      <c r="F318">
        <v>209</v>
      </c>
      <c r="G318" t="s">
        <v>3459</v>
      </c>
      <c r="H318" t="s">
        <v>3560</v>
      </c>
      <c r="I318">
        <v>1569</v>
      </c>
      <c r="J318" t="s">
        <v>3438</v>
      </c>
      <c r="K318" t="s">
        <v>17844</v>
      </c>
      <c r="L318" t="s">
        <v>6276</v>
      </c>
      <c r="N318">
        <v>4444437</v>
      </c>
      <c r="O318" t="s">
        <v>6280</v>
      </c>
      <c r="P318" t="s">
        <v>6280</v>
      </c>
      <c r="Q318" t="s">
        <v>6281</v>
      </c>
      <c r="R318" s="5">
        <v>52809335280934</v>
      </c>
      <c r="S318" t="s">
        <v>17845</v>
      </c>
      <c r="T318" t="s">
        <v>3469</v>
      </c>
    </row>
    <row r="319" spans="1:20" x14ac:dyDescent="0.2">
      <c r="A319" t="s">
        <v>1334</v>
      </c>
      <c r="B319" t="s">
        <v>6283</v>
      </c>
      <c r="C319" t="s">
        <v>17846</v>
      </c>
      <c r="D319">
        <v>144239</v>
      </c>
      <c r="E319">
        <v>46173</v>
      </c>
      <c r="F319">
        <v>209</v>
      </c>
      <c r="G319" t="s">
        <v>3479</v>
      </c>
      <c r="H319" t="s">
        <v>3480</v>
      </c>
      <c r="I319">
        <v>1441</v>
      </c>
      <c r="J319" t="s">
        <v>3438</v>
      </c>
      <c r="O319" t="s">
        <v>6284</v>
      </c>
      <c r="P319" t="s">
        <v>6284</v>
      </c>
      <c r="Q319" t="s">
        <v>6285</v>
      </c>
      <c r="R319" s="5">
        <v>444212643757</v>
      </c>
      <c r="S319" t="s">
        <v>17847</v>
      </c>
      <c r="T319" t="s">
        <v>3469</v>
      </c>
    </row>
    <row r="320" spans="1:20" x14ac:dyDescent="0.2">
      <c r="A320" t="s">
        <v>1330</v>
      </c>
      <c r="B320" t="s">
        <v>6296</v>
      </c>
      <c r="C320" t="s">
        <v>17848</v>
      </c>
      <c r="D320">
        <v>158657</v>
      </c>
      <c r="E320">
        <v>34409</v>
      </c>
      <c r="F320">
        <v>402</v>
      </c>
      <c r="G320" t="s">
        <v>3459</v>
      </c>
      <c r="H320" t="s">
        <v>5526</v>
      </c>
      <c r="I320">
        <v>1866</v>
      </c>
      <c r="J320" t="s">
        <v>3438</v>
      </c>
      <c r="K320" t="s">
        <v>17849</v>
      </c>
      <c r="L320" t="s">
        <v>6295</v>
      </c>
      <c r="M320" t="s">
        <v>6297</v>
      </c>
      <c r="N320">
        <v>21233653</v>
      </c>
      <c r="O320" t="s">
        <v>6299</v>
      </c>
      <c r="P320" t="s">
        <v>6299</v>
      </c>
      <c r="R320">
        <v>3006797</v>
      </c>
      <c r="S320">
        <v>3006797</v>
      </c>
      <c r="T320" t="s">
        <v>3447</v>
      </c>
    </row>
    <row r="321" spans="1:20" x14ac:dyDescent="0.2">
      <c r="A321" t="s">
        <v>13837</v>
      </c>
      <c r="B321" t="s">
        <v>6303</v>
      </c>
      <c r="C321" t="s">
        <v>17850</v>
      </c>
      <c r="D321">
        <v>158670</v>
      </c>
      <c r="E321">
        <v>34534</v>
      </c>
      <c r="F321">
        <v>402</v>
      </c>
      <c r="G321" t="s">
        <v>3459</v>
      </c>
      <c r="H321" t="s">
        <v>5535</v>
      </c>
      <c r="I321">
        <v>1861</v>
      </c>
      <c r="J321" t="s">
        <v>3438</v>
      </c>
      <c r="K321" t="s">
        <v>17851</v>
      </c>
      <c r="L321" t="s">
        <v>6302</v>
      </c>
      <c r="M321" t="s">
        <v>6304</v>
      </c>
      <c r="N321">
        <v>8602997</v>
      </c>
      <c r="O321" t="s">
        <v>6306</v>
      </c>
      <c r="P321" t="s">
        <v>6306</v>
      </c>
      <c r="R321">
        <v>168381</v>
      </c>
      <c r="S321">
        <v>168381</v>
      </c>
      <c r="T321" t="s">
        <v>3447</v>
      </c>
    </row>
    <row r="322" spans="1:20" x14ac:dyDescent="0.2">
      <c r="A322" t="s">
        <v>1338</v>
      </c>
      <c r="B322" t="s">
        <v>6310</v>
      </c>
      <c r="C322" t="s">
        <v>17852</v>
      </c>
      <c r="D322">
        <v>156109</v>
      </c>
      <c r="E322">
        <v>34407</v>
      </c>
      <c r="F322">
        <v>400</v>
      </c>
      <c r="G322" t="s">
        <v>3436</v>
      </c>
      <c r="H322" t="s">
        <v>3498</v>
      </c>
      <c r="I322">
        <v>354</v>
      </c>
      <c r="J322" t="s">
        <v>3438</v>
      </c>
      <c r="K322" t="s">
        <v>17853</v>
      </c>
      <c r="L322" t="s">
        <v>6309</v>
      </c>
      <c r="M322" t="s">
        <v>6311</v>
      </c>
      <c r="N322">
        <v>4932271</v>
      </c>
      <c r="O322" t="s">
        <v>6313</v>
      </c>
      <c r="P322" t="s">
        <v>6313</v>
      </c>
      <c r="Q322" t="s">
        <v>6314</v>
      </c>
      <c r="R322">
        <v>169235</v>
      </c>
      <c r="S322">
        <v>169235</v>
      </c>
      <c r="T322" t="s">
        <v>3458</v>
      </c>
    </row>
    <row r="323" spans="1:20" x14ac:dyDescent="0.2">
      <c r="A323" t="s">
        <v>1328</v>
      </c>
      <c r="B323" t="s">
        <v>6318</v>
      </c>
      <c r="C323" t="s">
        <v>17854</v>
      </c>
      <c r="D323">
        <v>158662</v>
      </c>
      <c r="E323">
        <v>34419</v>
      </c>
      <c r="F323">
        <v>402</v>
      </c>
      <c r="G323" t="s">
        <v>3459</v>
      </c>
      <c r="H323" t="s">
        <v>5441</v>
      </c>
      <c r="I323">
        <v>2616</v>
      </c>
      <c r="J323" t="s">
        <v>3438</v>
      </c>
      <c r="K323" t="s">
        <v>17855</v>
      </c>
      <c r="L323" t="s">
        <v>6317</v>
      </c>
      <c r="N323">
        <v>10160888</v>
      </c>
      <c r="O323" t="s">
        <v>6320</v>
      </c>
      <c r="P323" t="s">
        <v>6320</v>
      </c>
      <c r="Q323" t="s">
        <v>6321</v>
      </c>
      <c r="R323">
        <v>11988421</v>
      </c>
      <c r="S323">
        <v>11988421</v>
      </c>
      <c r="T323" t="s">
        <v>3447</v>
      </c>
    </row>
    <row r="324" spans="1:20" x14ac:dyDescent="0.2">
      <c r="A324" t="s">
        <v>1351</v>
      </c>
      <c r="B324" t="s">
        <v>6325</v>
      </c>
      <c r="C324" t="s">
        <v>17856</v>
      </c>
      <c r="D324">
        <v>156093</v>
      </c>
      <c r="E324">
        <v>34390</v>
      </c>
      <c r="F324">
        <v>400</v>
      </c>
      <c r="G324" t="s">
        <v>3863</v>
      </c>
      <c r="H324" t="s">
        <v>4373</v>
      </c>
      <c r="I324">
        <v>4602</v>
      </c>
      <c r="J324" t="s">
        <v>3438</v>
      </c>
      <c r="K324" t="s">
        <v>17857</v>
      </c>
      <c r="L324" t="s">
        <v>6324</v>
      </c>
      <c r="M324" t="s">
        <v>6326</v>
      </c>
      <c r="N324">
        <v>61660</v>
      </c>
      <c r="O324" t="s">
        <v>6328</v>
      </c>
      <c r="P324" t="s">
        <v>6328</v>
      </c>
      <c r="Q324" t="s">
        <v>6329</v>
      </c>
      <c r="R324">
        <v>68374</v>
      </c>
      <c r="S324">
        <v>68374</v>
      </c>
      <c r="T324" t="s">
        <v>3458</v>
      </c>
    </row>
    <row r="325" spans="1:20" x14ac:dyDescent="0.2">
      <c r="A325" t="s">
        <v>1356</v>
      </c>
      <c r="B325" t="s">
        <v>6333</v>
      </c>
      <c r="C325" t="s">
        <v>17858</v>
      </c>
      <c r="D325">
        <v>126930</v>
      </c>
      <c r="E325">
        <v>34404</v>
      </c>
      <c r="F325">
        <v>209</v>
      </c>
      <c r="G325" t="s">
        <v>3863</v>
      </c>
      <c r="H325" t="s">
        <v>4373</v>
      </c>
      <c r="I325">
        <v>4599</v>
      </c>
      <c r="J325" t="s">
        <v>3438</v>
      </c>
      <c r="K325" t="s">
        <v>17859</v>
      </c>
      <c r="L325" t="s">
        <v>6332</v>
      </c>
      <c r="M325" t="s">
        <v>6334</v>
      </c>
      <c r="N325">
        <v>71754</v>
      </c>
      <c r="O325" t="s">
        <v>6336</v>
      </c>
      <c r="P325" t="s">
        <v>6336</v>
      </c>
      <c r="Q325" t="s">
        <v>6337</v>
      </c>
      <c r="R325">
        <v>79437</v>
      </c>
      <c r="S325">
        <v>79437</v>
      </c>
      <c r="T325" t="s">
        <v>3469</v>
      </c>
    </row>
    <row r="326" spans="1:20" x14ac:dyDescent="0.2">
      <c r="A326" t="s">
        <v>1353</v>
      </c>
      <c r="B326" t="s">
        <v>6341</v>
      </c>
      <c r="C326" t="s">
        <v>17860</v>
      </c>
      <c r="D326">
        <v>126922</v>
      </c>
      <c r="E326">
        <v>34399</v>
      </c>
      <c r="F326">
        <v>209</v>
      </c>
      <c r="G326" t="s">
        <v>3863</v>
      </c>
      <c r="H326" t="s">
        <v>4373</v>
      </c>
      <c r="I326">
        <v>4598</v>
      </c>
      <c r="J326" t="s">
        <v>3438</v>
      </c>
      <c r="K326" t="s">
        <v>17861</v>
      </c>
      <c r="L326" t="s">
        <v>6340</v>
      </c>
      <c r="M326" t="s">
        <v>6342</v>
      </c>
      <c r="N326">
        <v>74994</v>
      </c>
      <c r="O326" t="s">
        <v>6344</v>
      </c>
      <c r="P326" t="s">
        <v>6344</v>
      </c>
      <c r="Q326" t="s">
        <v>6345</v>
      </c>
      <c r="R326">
        <v>83126</v>
      </c>
      <c r="S326">
        <v>83126</v>
      </c>
      <c r="T326" t="s">
        <v>3469</v>
      </c>
    </row>
    <row r="327" spans="1:20" x14ac:dyDescent="0.2">
      <c r="A327" t="s">
        <v>13838</v>
      </c>
      <c r="B327" t="s">
        <v>6349</v>
      </c>
      <c r="C327" t="s">
        <v>17862</v>
      </c>
      <c r="D327">
        <v>126924</v>
      </c>
      <c r="E327">
        <v>34400</v>
      </c>
      <c r="F327">
        <v>209</v>
      </c>
      <c r="G327" t="s">
        <v>3863</v>
      </c>
      <c r="H327" t="s">
        <v>4373</v>
      </c>
      <c r="I327">
        <v>4597</v>
      </c>
      <c r="J327" t="s">
        <v>3438</v>
      </c>
      <c r="K327" t="s">
        <v>17863</v>
      </c>
      <c r="L327" t="s">
        <v>6348</v>
      </c>
      <c r="M327" t="s">
        <v>6350</v>
      </c>
      <c r="N327">
        <v>82720</v>
      </c>
      <c r="O327" t="s">
        <v>6352</v>
      </c>
      <c r="P327" t="s">
        <v>6352</v>
      </c>
      <c r="Q327" t="s">
        <v>6353</v>
      </c>
      <c r="R327">
        <v>91611</v>
      </c>
      <c r="S327">
        <v>91611</v>
      </c>
      <c r="T327" t="s">
        <v>3469</v>
      </c>
    </row>
    <row r="328" spans="1:20" x14ac:dyDescent="0.2">
      <c r="A328" t="s">
        <v>3054</v>
      </c>
      <c r="B328" t="s">
        <v>13105</v>
      </c>
      <c r="C328" t="s">
        <v>17864</v>
      </c>
      <c r="D328">
        <v>165248</v>
      </c>
      <c r="E328">
        <v>34401</v>
      </c>
      <c r="F328">
        <v>305</v>
      </c>
      <c r="G328" t="s">
        <v>3863</v>
      </c>
      <c r="H328" t="s">
        <v>4373</v>
      </c>
      <c r="I328">
        <v>4604</v>
      </c>
      <c r="J328" t="s">
        <v>3438</v>
      </c>
      <c r="K328" t="s">
        <v>17865</v>
      </c>
      <c r="L328" t="s">
        <v>17866</v>
      </c>
      <c r="M328" t="s">
        <v>13106</v>
      </c>
      <c r="N328">
        <v>97287</v>
      </c>
      <c r="O328" t="s">
        <v>17867</v>
      </c>
      <c r="P328" t="s">
        <v>17867</v>
      </c>
      <c r="Q328" t="s">
        <v>13107</v>
      </c>
      <c r="R328">
        <v>108214</v>
      </c>
      <c r="S328">
        <v>108214</v>
      </c>
      <c r="T328" t="s">
        <v>3489</v>
      </c>
    </row>
    <row r="329" spans="1:20" x14ac:dyDescent="0.2">
      <c r="A329" t="s">
        <v>1362</v>
      </c>
      <c r="B329" t="s">
        <v>6365</v>
      </c>
      <c r="C329" t="s">
        <v>17868</v>
      </c>
      <c r="D329">
        <v>165245</v>
      </c>
      <c r="E329">
        <v>34424</v>
      </c>
      <c r="F329">
        <v>305</v>
      </c>
      <c r="G329" t="s">
        <v>3863</v>
      </c>
      <c r="H329" t="s">
        <v>4373</v>
      </c>
      <c r="I329">
        <v>4603</v>
      </c>
      <c r="J329" t="s">
        <v>3438</v>
      </c>
      <c r="K329" t="s">
        <v>17869</v>
      </c>
      <c r="L329" t="s">
        <v>6364</v>
      </c>
      <c r="M329" t="s">
        <v>6366</v>
      </c>
      <c r="N329">
        <v>79659</v>
      </c>
      <c r="O329" t="s">
        <v>6368</v>
      </c>
      <c r="P329" t="s">
        <v>6368</v>
      </c>
      <c r="Q329" t="s">
        <v>6369</v>
      </c>
      <c r="R329">
        <v>88299</v>
      </c>
      <c r="S329">
        <v>88299</v>
      </c>
      <c r="T329" t="s">
        <v>3489</v>
      </c>
    </row>
    <row r="330" spans="1:20" x14ac:dyDescent="0.2">
      <c r="A330" t="s">
        <v>1360</v>
      </c>
      <c r="B330" t="s">
        <v>6373</v>
      </c>
      <c r="C330" t="s">
        <v>17870</v>
      </c>
      <c r="D330">
        <v>150358</v>
      </c>
      <c r="E330">
        <v>34402</v>
      </c>
      <c r="F330">
        <v>209</v>
      </c>
      <c r="G330" t="s">
        <v>3436</v>
      </c>
      <c r="H330" t="s">
        <v>3470</v>
      </c>
      <c r="I330">
        <v>317</v>
      </c>
      <c r="J330" t="s">
        <v>3438</v>
      </c>
      <c r="K330" t="s">
        <v>17871</v>
      </c>
      <c r="L330" t="s">
        <v>6372</v>
      </c>
      <c r="M330" t="s">
        <v>6374</v>
      </c>
      <c r="N330">
        <v>8298</v>
      </c>
      <c r="O330" t="s">
        <v>6376</v>
      </c>
      <c r="P330" t="s">
        <v>6376</v>
      </c>
      <c r="Q330" t="s">
        <v>6377</v>
      </c>
      <c r="R330">
        <v>8617</v>
      </c>
      <c r="S330">
        <v>8617</v>
      </c>
      <c r="T330" t="s">
        <v>3469</v>
      </c>
    </row>
    <row r="331" spans="1:20" x14ac:dyDescent="0.2">
      <c r="A331" t="s">
        <v>1368</v>
      </c>
      <c r="B331" t="s">
        <v>6381</v>
      </c>
      <c r="C331" t="s">
        <v>17872</v>
      </c>
      <c r="D331">
        <v>126906</v>
      </c>
      <c r="E331">
        <v>34389</v>
      </c>
      <c r="F331">
        <v>209</v>
      </c>
      <c r="G331" t="s">
        <v>3863</v>
      </c>
      <c r="H331" t="s">
        <v>4373</v>
      </c>
      <c r="I331">
        <v>4600</v>
      </c>
      <c r="J331" t="s">
        <v>3438</v>
      </c>
      <c r="K331" t="s">
        <v>17873</v>
      </c>
      <c r="L331" t="s">
        <v>6380</v>
      </c>
      <c r="M331" t="s">
        <v>6382</v>
      </c>
      <c r="N331">
        <v>72464</v>
      </c>
      <c r="O331" t="s">
        <v>6384</v>
      </c>
      <c r="P331" t="s">
        <v>6384</v>
      </c>
      <c r="Q331" t="s">
        <v>6385</v>
      </c>
      <c r="R331">
        <v>80220</v>
      </c>
      <c r="S331">
        <v>80220</v>
      </c>
      <c r="T331" t="s">
        <v>3469</v>
      </c>
    </row>
    <row r="332" spans="1:20" x14ac:dyDescent="0.2">
      <c r="A332" t="s">
        <v>1364</v>
      </c>
      <c r="B332" t="s">
        <v>6389</v>
      </c>
      <c r="C332" t="s">
        <v>17874</v>
      </c>
      <c r="D332">
        <v>179271</v>
      </c>
      <c r="E332">
        <v>48351</v>
      </c>
      <c r="F332">
        <v>400</v>
      </c>
      <c r="G332" t="s">
        <v>3533</v>
      </c>
      <c r="H332" t="s">
        <v>3543</v>
      </c>
      <c r="I332">
        <v>4126</v>
      </c>
      <c r="J332" t="s">
        <v>3438</v>
      </c>
      <c r="K332" t="s">
        <v>17875</v>
      </c>
      <c r="L332" t="s">
        <v>6388</v>
      </c>
      <c r="M332" t="s">
        <v>6390</v>
      </c>
      <c r="N332">
        <v>513976</v>
      </c>
      <c r="O332" t="s">
        <v>6392</v>
      </c>
      <c r="P332" t="s">
        <v>6392</v>
      </c>
      <c r="R332">
        <v>650095</v>
      </c>
      <c r="S332">
        <v>650095</v>
      </c>
      <c r="T332" t="s">
        <v>3458</v>
      </c>
    </row>
    <row r="333" spans="1:20" x14ac:dyDescent="0.2">
      <c r="A333" t="s">
        <v>1370</v>
      </c>
      <c r="B333" t="s">
        <v>6396</v>
      </c>
      <c r="C333" t="s">
        <v>17876</v>
      </c>
      <c r="D333">
        <v>156155</v>
      </c>
      <c r="E333">
        <v>35137</v>
      </c>
      <c r="F333">
        <v>400</v>
      </c>
      <c r="G333" t="s">
        <v>3533</v>
      </c>
      <c r="H333" t="s">
        <v>4656</v>
      </c>
      <c r="I333">
        <v>4192</v>
      </c>
      <c r="J333" t="s">
        <v>3438</v>
      </c>
      <c r="K333" t="s">
        <v>17877</v>
      </c>
      <c r="L333" t="s">
        <v>6395</v>
      </c>
      <c r="M333" t="s">
        <v>6397</v>
      </c>
      <c r="N333">
        <v>83878</v>
      </c>
      <c r="O333" t="s">
        <v>6399</v>
      </c>
      <c r="P333" t="s">
        <v>6399</v>
      </c>
      <c r="R333">
        <v>135501639</v>
      </c>
      <c r="S333">
        <v>135501639</v>
      </c>
      <c r="T333" t="s">
        <v>3458</v>
      </c>
    </row>
    <row r="334" spans="1:20" x14ac:dyDescent="0.2">
      <c r="A334" t="s">
        <v>1358</v>
      </c>
      <c r="B334" t="s">
        <v>6403</v>
      </c>
      <c r="C334" t="s">
        <v>17878</v>
      </c>
      <c r="D334">
        <v>126964</v>
      </c>
      <c r="E334">
        <v>35130</v>
      </c>
      <c r="F334">
        <v>209</v>
      </c>
      <c r="G334" t="s">
        <v>3533</v>
      </c>
      <c r="H334" t="s">
        <v>4356</v>
      </c>
      <c r="I334">
        <v>4256</v>
      </c>
      <c r="J334" t="s">
        <v>3438</v>
      </c>
      <c r="K334" t="s">
        <v>17879</v>
      </c>
      <c r="L334" t="s">
        <v>6402</v>
      </c>
      <c r="M334" t="s">
        <v>6404</v>
      </c>
      <c r="N334">
        <v>96702</v>
      </c>
      <c r="O334" t="s">
        <v>6406</v>
      </c>
      <c r="P334" t="s">
        <v>6406</v>
      </c>
      <c r="R334">
        <v>107461</v>
      </c>
      <c r="S334">
        <v>107461</v>
      </c>
      <c r="T334" t="s">
        <v>3469</v>
      </c>
    </row>
    <row r="335" spans="1:20" x14ac:dyDescent="0.2">
      <c r="A335" t="s">
        <v>1366</v>
      </c>
      <c r="B335" t="s">
        <v>6410</v>
      </c>
      <c r="C335" t="s">
        <v>17880</v>
      </c>
      <c r="D335">
        <v>126974</v>
      </c>
      <c r="E335">
        <v>35157</v>
      </c>
      <c r="F335">
        <v>209</v>
      </c>
      <c r="G335" t="s">
        <v>3533</v>
      </c>
      <c r="H335" t="s">
        <v>3620</v>
      </c>
      <c r="I335">
        <v>4164</v>
      </c>
      <c r="J335" t="s">
        <v>3438</v>
      </c>
      <c r="K335" t="s">
        <v>17881</v>
      </c>
      <c r="L335" t="s">
        <v>6409</v>
      </c>
      <c r="M335" t="s">
        <v>6411</v>
      </c>
      <c r="N335">
        <v>141829</v>
      </c>
      <c r="O335" t="s">
        <v>6413</v>
      </c>
      <c r="P335" t="s">
        <v>6413</v>
      </c>
      <c r="R335">
        <v>161466</v>
      </c>
      <c r="S335">
        <v>161466</v>
      </c>
      <c r="T335" t="s">
        <v>3469</v>
      </c>
    </row>
    <row r="336" spans="1:20" x14ac:dyDescent="0.2">
      <c r="A336" t="s">
        <v>3056</v>
      </c>
      <c r="B336" t="s">
        <v>6417</v>
      </c>
      <c r="C336" t="s">
        <v>17882</v>
      </c>
      <c r="D336">
        <v>147813</v>
      </c>
      <c r="E336">
        <v>35172</v>
      </c>
      <c r="F336">
        <v>305</v>
      </c>
      <c r="G336" t="s">
        <v>3533</v>
      </c>
      <c r="H336" t="s">
        <v>4050</v>
      </c>
      <c r="I336">
        <v>4209</v>
      </c>
      <c r="J336" t="s">
        <v>3438</v>
      </c>
      <c r="K336" t="s">
        <v>17883</v>
      </c>
      <c r="L336" t="s">
        <v>6416</v>
      </c>
      <c r="M336" t="s">
        <v>6418</v>
      </c>
      <c r="N336">
        <v>83729</v>
      </c>
      <c r="O336" t="s">
        <v>6420</v>
      </c>
      <c r="P336" t="s">
        <v>6420</v>
      </c>
      <c r="R336">
        <v>92751</v>
      </c>
      <c r="S336">
        <v>92751</v>
      </c>
      <c r="T336" t="s">
        <v>3489</v>
      </c>
    </row>
    <row r="337" spans="1:20" x14ac:dyDescent="0.2">
      <c r="A337" t="s">
        <v>1378</v>
      </c>
      <c r="B337" t="s">
        <v>6425</v>
      </c>
      <c r="C337" t="s">
        <v>17884</v>
      </c>
      <c r="D337">
        <v>126960</v>
      </c>
      <c r="E337">
        <v>35126</v>
      </c>
      <c r="F337">
        <v>209</v>
      </c>
      <c r="G337" t="s">
        <v>3853</v>
      </c>
      <c r="H337" t="s">
        <v>6422</v>
      </c>
      <c r="I337">
        <v>1187</v>
      </c>
      <c r="J337" t="s">
        <v>3438</v>
      </c>
      <c r="K337" t="s">
        <v>17885</v>
      </c>
      <c r="L337" t="s">
        <v>6424</v>
      </c>
      <c r="M337" t="s">
        <v>6426</v>
      </c>
      <c r="N337">
        <v>270643</v>
      </c>
      <c r="O337" t="s">
        <v>6428</v>
      </c>
      <c r="P337" t="s">
        <v>6428</v>
      </c>
      <c r="Q337" t="s">
        <v>6429</v>
      </c>
      <c r="R337">
        <v>92258</v>
      </c>
      <c r="S337">
        <v>92258</v>
      </c>
      <c r="T337" t="s">
        <v>3469</v>
      </c>
    </row>
    <row r="338" spans="1:20" x14ac:dyDescent="0.2">
      <c r="A338" t="s">
        <v>1372</v>
      </c>
      <c r="B338" t="s">
        <v>6433</v>
      </c>
      <c r="C338" t="s">
        <v>17886</v>
      </c>
      <c r="D338">
        <v>127577</v>
      </c>
      <c r="E338">
        <v>35527</v>
      </c>
      <c r="F338">
        <v>209</v>
      </c>
      <c r="G338" t="s">
        <v>3863</v>
      </c>
      <c r="H338" t="s">
        <v>5082</v>
      </c>
      <c r="I338">
        <v>4470</v>
      </c>
      <c r="J338" t="s">
        <v>3438</v>
      </c>
      <c r="K338" t="s">
        <v>17887</v>
      </c>
      <c r="L338" t="s">
        <v>6432</v>
      </c>
      <c r="M338" t="s">
        <v>6434</v>
      </c>
      <c r="N338">
        <v>133104</v>
      </c>
      <c r="O338" t="s">
        <v>6436</v>
      </c>
      <c r="P338" t="s">
        <v>6436</v>
      </c>
      <c r="R338">
        <v>151012</v>
      </c>
      <c r="S338">
        <v>151012</v>
      </c>
      <c r="T338" t="s">
        <v>3469</v>
      </c>
    </row>
    <row r="339" spans="1:20" x14ac:dyDescent="0.2">
      <c r="A339" t="s">
        <v>1376</v>
      </c>
      <c r="B339" t="s">
        <v>6440</v>
      </c>
      <c r="C339" t="s">
        <v>17888</v>
      </c>
      <c r="D339">
        <v>218435</v>
      </c>
      <c r="E339">
        <v>61833</v>
      </c>
      <c r="F339">
        <v>209</v>
      </c>
      <c r="G339" t="s">
        <v>3533</v>
      </c>
      <c r="H339" t="s">
        <v>3705</v>
      </c>
      <c r="I339">
        <v>4222</v>
      </c>
      <c r="J339" t="s">
        <v>3438</v>
      </c>
      <c r="K339" t="s">
        <v>17889</v>
      </c>
      <c r="L339" t="s">
        <v>6439</v>
      </c>
      <c r="M339" s="6">
        <v>1361355</v>
      </c>
      <c r="N339">
        <v>85115</v>
      </c>
      <c r="O339" t="s">
        <v>6443</v>
      </c>
      <c r="P339" t="s">
        <v>6443</v>
      </c>
      <c r="R339">
        <v>94312</v>
      </c>
      <c r="S339">
        <v>94312</v>
      </c>
      <c r="T339" t="s">
        <v>3469</v>
      </c>
    </row>
    <row r="340" spans="1:20" x14ac:dyDescent="0.2">
      <c r="A340" t="s">
        <v>13840</v>
      </c>
      <c r="B340" t="s">
        <v>6447</v>
      </c>
      <c r="C340" t="s">
        <v>17890</v>
      </c>
      <c r="D340">
        <v>220780</v>
      </c>
      <c r="E340">
        <v>62924</v>
      </c>
      <c r="F340">
        <v>209</v>
      </c>
      <c r="G340" t="s">
        <v>3533</v>
      </c>
      <c r="H340" t="s">
        <v>3705</v>
      </c>
      <c r="I340">
        <v>4244</v>
      </c>
      <c r="J340" t="s">
        <v>3438</v>
      </c>
      <c r="K340" t="s">
        <v>17891</v>
      </c>
      <c r="L340" t="s">
        <v>6446</v>
      </c>
      <c r="M340" t="s">
        <v>6448</v>
      </c>
      <c r="N340">
        <v>149669</v>
      </c>
      <c r="P340">
        <v>0</v>
      </c>
      <c r="R340">
        <v>171198</v>
      </c>
      <c r="S340">
        <v>171198</v>
      </c>
      <c r="T340" t="s">
        <v>3469</v>
      </c>
    </row>
    <row r="341" spans="1:20" x14ac:dyDescent="0.2">
      <c r="A341" t="s">
        <v>1382</v>
      </c>
      <c r="B341" t="s">
        <v>6453</v>
      </c>
      <c r="C341" t="s">
        <v>17892</v>
      </c>
      <c r="D341">
        <v>126918</v>
      </c>
      <c r="E341">
        <v>34397</v>
      </c>
      <c r="F341">
        <v>209</v>
      </c>
      <c r="G341" t="s">
        <v>3459</v>
      </c>
      <c r="H341" t="s">
        <v>5418</v>
      </c>
      <c r="I341">
        <v>2862</v>
      </c>
      <c r="J341" t="s">
        <v>3438</v>
      </c>
      <c r="K341" t="s">
        <v>17893</v>
      </c>
      <c r="L341" t="s">
        <v>6452</v>
      </c>
      <c r="M341" t="s">
        <v>6454</v>
      </c>
      <c r="N341">
        <v>4445452</v>
      </c>
      <c r="O341" t="s">
        <v>6456</v>
      </c>
      <c r="P341" t="s">
        <v>17894</v>
      </c>
      <c r="Q341" t="s">
        <v>6457</v>
      </c>
      <c r="R341" s="5">
        <v>160199805282281</v>
      </c>
      <c r="S341" t="s">
        <v>17895</v>
      </c>
      <c r="T341" t="s">
        <v>3469</v>
      </c>
    </row>
    <row r="342" spans="1:20" x14ac:dyDescent="0.2">
      <c r="A342" t="s">
        <v>1406</v>
      </c>
      <c r="B342" t="s">
        <v>6468</v>
      </c>
      <c r="C342" t="s">
        <v>17896</v>
      </c>
      <c r="D342">
        <v>161190</v>
      </c>
      <c r="E342">
        <v>35159</v>
      </c>
      <c r="F342">
        <v>400</v>
      </c>
      <c r="G342" t="s">
        <v>3436</v>
      </c>
      <c r="H342" t="s">
        <v>3793</v>
      </c>
      <c r="I342">
        <v>573</v>
      </c>
      <c r="J342" t="s">
        <v>3438</v>
      </c>
      <c r="K342" t="s">
        <v>17897</v>
      </c>
      <c r="L342" t="s">
        <v>6467</v>
      </c>
      <c r="M342" t="s">
        <v>6469</v>
      </c>
      <c r="N342">
        <v>3455404</v>
      </c>
      <c r="O342" t="s">
        <v>6471</v>
      </c>
      <c r="P342" t="s">
        <v>6471</v>
      </c>
      <c r="Q342" t="s">
        <v>6472</v>
      </c>
      <c r="R342">
        <v>3080690</v>
      </c>
      <c r="S342">
        <v>3080690</v>
      </c>
      <c r="T342" t="s">
        <v>3458</v>
      </c>
    </row>
    <row r="343" spans="1:20" x14ac:dyDescent="0.2">
      <c r="A343" t="s">
        <v>1404</v>
      </c>
      <c r="B343" t="s">
        <v>6484</v>
      </c>
      <c r="C343" t="s">
        <v>17898</v>
      </c>
      <c r="D343">
        <v>128207</v>
      </c>
      <c r="E343">
        <v>35136</v>
      </c>
      <c r="F343">
        <v>209</v>
      </c>
      <c r="G343" t="s">
        <v>3533</v>
      </c>
      <c r="H343" t="s">
        <v>3705</v>
      </c>
      <c r="I343">
        <v>4224</v>
      </c>
      <c r="J343" t="s">
        <v>3438</v>
      </c>
      <c r="K343" t="s">
        <v>17899</v>
      </c>
      <c r="L343" t="s">
        <v>6483</v>
      </c>
      <c r="M343" t="s">
        <v>6485</v>
      </c>
      <c r="N343">
        <v>393058</v>
      </c>
      <c r="O343" t="s">
        <v>6487</v>
      </c>
      <c r="P343" t="s">
        <v>6487</v>
      </c>
      <c r="R343">
        <v>445408</v>
      </c>
      <c r="S343">
        <v>445408</v>
      </c>
      <c r="T343" t="s">
        <v>3469</v>
      </c>
    </row>
    <row r="344" spans="1:20" x14ac:dyDescent="0.2">
      <c r="A344" t="s">
        <v>19102</v>
      </c>
      <c r="B344" t="s">
        <v>17900</v>
      </c>
      <c r="C344" t="s">
        <v>17901</v>
      </c>
      <c r="D344">
        <v>126956</v>
      </c>
      <c r="E344">
        <v>35107</v>
      </c>
      <c r="F344">
        <v>209</v>
      </c>
      <c r="G344" t="s">
        <v>3436</v>
      </c>
      <c r="H344" t="s">
        <v>3498</v>
      </c>
      <c r="I344">
        <v>353</v>
      </c>
      <c r="J344" t="s">
        <v>3438</v>
      </c>
      <c r="K344" t="s">
        <v>17902</v>
      </c>
      <c r="L344" t="s">
        <v>17903</v>
      </c>
      <c r="M344" t="s">
        <v>17904</v>
      </c>
      <c r="N344">
        <v>475516</v>
      </c>
      <c r="O344" t="s">
        <v>17905</v>
      </c>
      <c r="P344" t="s">
        <v>17905</v>
      </c>
      <c r="R344">
        <v>546304</v>
      </c>
      <c r="S344">
        <v>546304</v>
      </c>
      <c r="T344" t="s">
        <v>3469</v>
      </c>
    </row>
    <row r="345" spans="1:20" x14ac:dyDescent="0.2">
      <c r="A345" t="s">
        <v>1380</v>
      </c>
      <c r="B345" t="s">
        <v>6491</v>
      </c>
      <c r="C345" t="s">
        <v>17906</v>
      </c>
      <c r="D345">
        <v>220767</v>
      </c>
      <c r="E345">
        <v>62915</v>
      </c>
      <c r="F345">
        <v>209</v>
      </c>
      <c r="G345" t="s">
        <v>3459</v>
      </c>
      <c r="H345" t="s">
        <v>3873</v>
      </c>
      <c r="I345">
        <v>1687</v>
      </c>
      <c r="J345" t="s">
        <v>3438</v>
      </c>
      <c r="K345" t="s">
        <v>17907</v>
      </c>
      <c r="L345" t="s">
        <v>6490</v>
      </c>
      <c r="M345" t="s">
        <v>6492</v>
      </c>
      <c r="N345">
        <v>13628081</v>
      </c>
      <c r="O345" t="s">
        <v>6494</v>
      </c>
      <c r="P345" t="s">
        <v>6494</v>
      </c>
      <c r="R345">
        <v>16663321</v>
      </c>
      <c r="S345">
        <v>16663321</v>
      </c>
      <c r="T345" t="s">
        <v>3469</v>
      </c>
    </row>
    <row r="346" spans="1:20" x14ac:dyDescent="0.2">
      <c r="A346" t="s">
        <v>1384</v>
      </c>
      <c r="B346" t="s">
        <v>6498</v>
      </c>
      <c r="C346" t="s">
        <v>17908</v>
      </c>
      <c r="D346">
        <v>156140</v>
      </c>
      <c r="E346">
        <v>35114</v>
      </c>
      <c r="F346">
        <v>400</v>
      </c>
      <c r="G346" t="s">
        <v>3533</v>
      </c>
      <c r="H346" t="s">
        <v>4656</v>
      </c>
      <c r="I346">
        <v>4186</v>
      </c>
      <c r="J346" t="s">
        <v>3438</v>
      </c>
      <c r="K346" t="s">
        <v>17909</v>
      </c>
      <c r="L346" t="s">
        <v>6497</v>
      </c>
      <c r="M346" t="s">
        <v>6499</v>
      </c>
      <c r="N346">
        <v>10883</v>
      </c>
      <c r="O346" t="s">
        <v>6501</v>
      </c>
      <c r="P346" t="s">
        <v>6501</v>
      </c>
      <c r="Q346" t="s">
        <v>6502</v>
      </c>
      <c r="R346">
        <v>135398679</v>
      </c>
      <c r="S346">
        <v>135398679</v>
      </c>
      <c r="T346" t="s">
        <v>3458</v>
      </c>
    </row>
    <row r="347" spans="1:20" x14ac:dyDescent="0.2">
      <c r="A347" t="s">
        <v>1386</v>
      </c>
      <c r="B347" t="s">
        <v>6506</v>
      </c>
      <c r="C347" t="s">
        <v>17910</v>
      </c>
      <c r="D347">
        <v>159466</v>
      </c>
      <c r="E347">
        <v>42398</v>
      </c>
      <c r="F347">
        <v>402</v>
      </c>
      <c r="G347" t="s">
        <v>3459</v>
      </c>
      <c r="H347" t="s">
        <v>5441</v>
      </c>
      <c r="I347">
        <v>2669</v>
      </c>
      <c r="J347" t="s">
        <v>3438</v>
      </c>
      <c r="K347" t="s">
        <v>17911</v>
      </c>
      <c r="L347" t="s">
        <v>6505</v>
      </c>
      <c r="M347" t="s">
        <v>6507</v>
      </c>
      <c r="N347">
        <v>7826018</v>
      </c>
      <c r="O347" t="s">
        <v>6509</v>
      </c>
      <c r="P347" t="s">
        <v>6509</v>
      </c>
      <c r="R347">
        <v>9547068</v>
      </c>
      <c r="S347">
        <v>9547068</v>
      </c>
      <c r="T347" t="s">
        <v>3447</v>
      </c>
    </row>
    <row r="348" spans="1:20" x14ac:dyDescent="0.2">
      <c r="A348" t="s">
        <v>1400</v>
      </c>
      <c r="B348" t="s">
        <v>6513</v>
      </c>
      <c r="C348" t="s">
        <v>17912</v>
      </c>
      <c r="D348">
        <v>126952</v>
      </c>
      <c r="E348">
        <v>34437</v>
      </c>
      <c r="F348">
        <v>209</v>
      </c>
      <c r="G348" t="s">
        <v>3459</v>
      </c>
      <c r="H348" t="s">
        <v>5441</v>
      </c>
      <c r="I348">
        <v>2711</v>
      </c>
      <c r="J348" t="s">
        <v>3438</v>
      </c>
      <c r="K348" t="s">
        <v>17913</v>
      </c>
      <c r="L348" t="s">
        <v>6512</v>
      </c>
      <c r="N348">
        <v>21403138</v>
      </c>
      <c r="P348">
        <v>0</v>
      </c>
      <c r="S348">
        <v>0</v>
      </c>
      <c r="T348" t="s">
        <v>3469</v>
      </c>
    </row>
    <row r="349" spans="1:20" x14ac:dyDescent="0.2">
      <c r="A349" t="s">
        <v>19103</v>
      </c>
      <c r="B349" t="s">
        <v>17914</v>
      </c>
      <c r="C349" t="s">
        <v>17915</v>
      </c>
      <c r="D349">
        <v>156151</v>
      </c>
      <c r="E349">
        <v>35132</v>
      </c>
      <c r="F349">
        <v>400</v>
      </c>
      <c r="G349" t="s">
        <v>3533</v>
      </c>
      <c r="H349" t="s">
        <v>4356</v>
      </c>
      <c r="I349">
        <v>4254</v>
      </c>
      <c r="J349" t="s">
        <v>3438</v>
      </c>
      <c r="K349" t="s">
        <v>17916</v>
      </c>
      <c r="L349" t="s">
        <v>17917</v>
      </c>
      <c r="M349" t="s">
        <v>17918</v>
      </c>
      <c r="N349">
        <v>9164190</v>
      </c>
      <c r="O349" t="s">
        <v>17919</v>
      </c>
      <c r="P349" t="s">
        <v>17919</v>
      </c>
      <c r="R349">
        <v>14237477</v>
      </c>
      <c r="S349">
        <v>14237477</v>
      </c>
      <c r="T349" t="s">
        <v>3458</v>
      </c>
    </row>
    <row r="350" spans="1:20" x14ac:dyDescent="0.2">
      <c r="A350" t="s">
        <v>1397</v>
      </c>
      <c r="B350" t="s">
        <v>12250</v>
      </c>
      <c r="C350" t="s">
        <v>17920</v>
      </c>
      <c r="D350">
        <v>143005</v>
      </c>
      <c r="E350">
        <v>40469</v>
      </c>
      <c r="F350">
        <v>209</v>
      </c>
      <c r="G350" t="s">
        <v>3448</v>
      </c>
      <c r="H350" t="s">
        <v>3449</v>
      </c>
      <c r="I350">
        <v>4324</v>
      </c>
      <c r="J350" t="s">
        <v>3438</v>
      </c>
      <c r="K350" t="s">
        <v>17921</v>
      </c>
      <c r="L350" t="s">
        <v>6516</v>
      </c>
      <c r="M350" t="s">
        <v>6518</v>
      </c>
      <c r="N350">
        <v>62899</v>
      </c>
      <c r="O350" t="s">
        <v>6520</v>
      </c>
      <c r="P350" t="s">
        <v>6520</v>
      </c>
      <c r="Q350" t="s">
        <v>6521</v>
      </c>
      <c r="R350">
        <v>69698</v>
      </c>
      <c r="S350">
        <v>69698</v>
      </c>
      <c r="T350" t="s">
        <v>3469</v>
      </c>
    </row>
    <row r="351" spans="1:20" x14ac:dyDescent="0.2">
      <c r="A351" t="s">
        <v>1392</v>
      </c>
      <c r="B351" t="s">
        <v>6531</v>
      </c>
      <c r="C351" t="s">
        <v>17922</v>
      </c>
      <c r="D351">
        <v>156123</v>
      </c>
      <c r="E351">
        <v>34456</v>
      </c>
      <c r="F351">
        <v>400</v>
      </c>
      <c r="G351" t="s">
        <v>3853</v>
      </c>
      <c r="H351" t="s">
        <v>3854</v>
      </c>
      <c r="I351">
        <v>638</v>
      </c>
      <c r="J351" t="s">
        <v>3438</v>
      </c>
      <c r="K351" t="s">
        <v>17923</v>
      </c>
      <c r="L351" t="s">
        <v>6530</v>
      </c>
      <c r="N351">
        <v>21403145</v>
      </c>
      <c r="O351" t="s">
        <v>6533</v>
      </c>
      <c r="P351" t="s">
        <v>6533</v>
      </c>
      <c r="R351">
        <v>22885096</v>
      </c>
      <c r="S351">
        <v>22885096</v>
      </c>
      <c r="T351" t="s">
        <v>3458</v>
      </c>
    </row>
    <row r="352" spans="1:20" x14ac:dyDescent="0.2">
      <c r="A352" t="s">
        <v>1390</v>
      </c>
      <c r="B352" t="s">
        <v>6538</v>
      </c>
      <c r="C352" t="s">
        <v>17924</v>
      </c>
      <c r="D352">
        <v>158710</v>
      </c>
      <c r="E352">
        <v>35160</v>
      </c>
      <c r="F352">
        <v>402</v>
      </c>
      <c r="G352" t="s">
        <v>3459</v>
      </c>
      <c r="H352" t="s">
        <v>6535</v>
      </c>
      <c r="I352">
        <v>1886</v>
      </c>
      <c r="J352" t="s">
        <v>3438</v>
      </c>
      <c r="K352" t="s">
        <v>17925</v>
      </c>
      <c r="L352" t="s">
        <v>6537</v>
      </c>
      <c r="M352" t="s">
        <v>6539</v>
      </c>
      <c r="N352">
        <v>21403150</v>
      </c>
      <c r="O352" t="s">
        <v>6541</v>
      </c>
      <c r="P352" t="s">
        <v>6541</v>
      </c>
      <c r="R352">
        <v>6441392</v>
      </c>
      <c r="S352">
        <v>6441392</v>
      </c>
      <c r="T352" t="s">
        <v>3447</v>
      </c>
    </row>
    <row r="353" spans="1:20" x14ac:dyDescent="0.2">
      <c r="A353" t="s">
        <v>19104</v>
      </c>
      <c r="B353" t="s">
        <v>17926</v>
      </c>
      <c r="C353" t="s">
        <v>17927</v>
      </c>
      <c r="D353">
        <v>156314</v>
      </c>
      <c r="E353">
        <v>37092</v>
      </c>
      <c r="F353">
        <v>400</v>
      </c>
      <c r="G353" t="s">
        <v>3853</v>
      </c>
      <c r="H353" t="s">
        <v>3854</v>
      </c>
      <c r="I353">
        <v>650</v>
      </c>
      <c r="J353" t="s">
        <v>3438</v>
      </c>
      <c r="K353" t="s">
        <v>17928</v>
      </c>
      <c r="L353" t="s">
        <v>17929</v>
      </c>
      <c r="M353" t="s">
        <v>17930</v>
      </c>
      <c r="N353">
        <v>21403151</v>
      </c>
      <c r="P353" t="s">
        <v>17931</v>
      </c>
      <c r="S353">
        <v>0</v>
      </c>
      <c r="T353" t="s">
        <v>3458</v>
      </c>
    </row>
    <row r="354" spans="1:20" x14ac:dyDescent="0.2">
      <c r="A354" t="s">
        <v>1388</v>
      </c>
      <c r="B354" t="s">
        <v>6552</v>
      </c>
      <c r="C354" t="s">
        <v>17932</v>
      </c>
      <c r="D354">
        <v>143728</v>
      </c>
      <c r="E354">
        <v>32553</v>
      </c>
      <c r="F354">
        <v>209</v>
      </c>
      <c r="G354" t="s">
        <v>3436</v>
      </c>
      <c r="H354" t="s">
        <v>3687</v>
      </c>
      <c r="I354">
        <v>190</v>
      </c>
      <c r="J354" t="s">
        <v>3438</v>
      </c>
      <c r="K354" t="s">
        <v>17933</v>
      </c>
      <c r="L354" t="s">
        <v>6551</v>
      </c>
      <c r="M354" t="s">
        <v>6553</v>
      </c>
      <c r="N354">
        <v>67018</v>
      </c>
      <c r="O354" t="s">
        <v>6555</v>
      </c>
      <c r="P354" t="s">
        <v>6555</v>
      </c>
      <c r="Q354" t="s">
        <v>6556</v>
      </c>
      <c r="R354">
        <v>74426</v>
      </c>
      <c r="S354">
        <v>74426</v>
      </c>
      <c r="T354" t="s">
        <v>3469</v>
      </c>
    </row>
    <row r="355" spans="1:20" x14ac:dyDescent="0.2">
      <c r="A355" t="s">
        <v>1395</v>
      </c>
      <c r="B355" t="s">
        <v>6560</v>
      </c>
      <c r="C355" t="s">
        <v>17934</v>
      </c>
      <c r="D355">
        <v>158553</v>
      </c>
      <c r="E355">
        <v>33230</v>
      </c>
      <c r="F355">
        <v>402</v>
      </c>
      <c r="G355" t="s">
        <v>3459</v>
      </c>
      <c r="H355" t="s">
        <v>5441</v>
      </c>
      <c r="I355">
        <v>2602</v>
      </c>
      <c r="J355" t="s">
        <v>3438</v>
      </c>
      <c r="K355" t="s">
        <v>17935</v>
      </c>
      <c r="L355" t="s">
        <v>6559</v>
      </c>
      <c r="N355">
        <v>21403152</v>
      </c>
      <c r="O355" t="s">
        <v>6562</v>
      </c>
      <c r="P355" t="s">
        <v>6562</v>
      </c>
      <c r="R355">
        <v>24779461</v>
      </c>
      <c r="S355">
        <v>24779461</v>
      </c>
      <c r="T355" t="s">
        <v>3447</v>
      </c>
    </row>
    <row r="356" spans="1:20" x14ac:dyDescent="0.2">
      <c r="A356" t="s">
        <v>19105</v>
      </c>
      <c r="B356" t="s">
        <v>17936</v>
      </c>
      <c r="C356" t="s">
        <v>17937</v>
      </c>
      <c r="D356">
        <v>156288</v>
      </c>
      <c r="E356">
        <v>37059</v>
      </c>
      <c r="F356">
        <v>400</v>
      </c>
      <c r="G356" t="s">
        <v>3459</v>
      </c>
      <c r="H356" t="s">
        <v>4324</v>
      </c>
      <c r="I356">
        <v>1471</v>
      </c>
      <c r="J356" t="s">
        <v>3438</v>
      </c>
      <c r="K356" t="s">
        <v>17938</v>
      </c>
      <c r="L356" t="s">
        <v>17939</v>
      </c>
      <c r="M356" t="s">
        <v>17940</v>
      </c>
      <c r="N356">
        <v>21403153</v>
      </c>
      <c r="O356" t="s">
        <v>17941</v>
      </c>
      <c r="P356" t="s">
        <v>17941</v>
      </c>
      <c r="R356">
        <v>22833583</v>
      </c>
      <c r="S356">
        <v>22833583</v>
      </c>
      <c r="T356" t="s">
        <v>3458</v>
      </c>
    </row>
    <row r="357" spans="1:20" x14ac:dyDescent="0.2">
      <c r="A357" t="s">
        <v>13845</v>
      </c>
      <c r="B357" t="s">
        <v>6566</v>
      </c>
      <c r="C357" t="s">
        <v>17942</v>
      </c>
      <c r="D357">
        <v>128227</v>
      </c>
      <c r="E357">
        <v>35436</v>
      </c>
      <c r="F357">
        <v>209</v>
      </c>
      <c r="G357" t="s">
        <v>3459</v>
      </c>
      <c r="H357" t="s">
        <v>4991</v>
      </c>
      <c r="I357">
        <v>1805</v>
      </c>
      <c r="J357" t="s">
        <v>3438</v>
      </c>
      <c r="K357" t="s">
        <v>17943</v>
      </c>
      <c r="L357" t="s">
        <v>6565</v>
      </c>
      <c r="M357" t="s">
        <v>6568</v>
      </c>
      <c r="N357">
        <v>89859</v>
      </c>
      <c r="O357" t="s">
        <v>6570</v>
      </c>
      <c r="P357" t="s">
        <v>6570</v>
      </c>
      <c r="R357">
        <v>99463</v>
      </c>
      <c r="S357">
        <v>99463</v>
      </c>
      <c r="T357" t="s">
        <v>3469</v>
      </c>
    </row>
    <row r="358" spans="1:20" x14ac:dyDescent="0.2">
      <c r="A358" t="s">
        <v>13847</v>
      </c>
      <c r="B358" t="s">
        <v>6583</v>
      </c>
      <c r="C358" t="s">
        <v>17944</v>
      </c>
      <c r="D358">
        <v>157124</v>
      </c>
      <c r="E358">
        <v>46225</v>
      </c>
      <c r="F358">
        <v>400</v>
      </c>
      <c r="G358" t="s">
        <v>6580</v>
      </c>
      <c r="H358" t="s">
        <v>6580</v>
      </c>
      <c r="I358">
        <v>6452</v>
      </c>
      <c r="J358" t="s">
        <v>3438</v>
      </c>
      <c r="K358" t="s">
        <v>17945</v>
      </c>
      <c r="L358" t="s">
        <v>6582</v>
      </c>
      <c r="M358" t="s">
        <v>6584</v>
      </c>
      <c r="P358">
        <v>0</v>
      </c>
      <c r="S358">
        <v>0</v>
      </c>
      <c r="T358" t="s">
        <v>3458</v>
      </c>
    </row>
    <row r="359" spans="1:20" x14ac:dyDescent="0.2">
      <c r="A359" t="s">
        <v>1409</v>
      </c>
      <c r="B359" t="s">
        <v>6587</v>
      </c>
      <c r="C359" t="s">
        <v>17946</v>
      </c>
      <c r="D359">
        <v>128281</v>
      </c>
      <c r="E359">
        <v>36746</v>
      </c>
      <c r="F359">
        <v>209</v>
      </c>
      <c r="G359" t="s">
        <v>3436</v>
      </c>
      <c r="H359" t="s">
        <v>3498</v>
      </c>
      <c r="I359">
        <v>395</v>
      </c>
      <c r="J359" t="s">
        <v>3438</v>
      </c>
      <c r="K359" t="s">
        <v>17947</v>
      </c>
      <c r="L359" t="s">
        <v>6586</v>
      </c>
      <c r="M359" t="s">
        <v>6588</v>
      </c>
      <c r="N359">
        <v>144317</v>
      </c>
      <c r="O359" t="s">
        <v>6590</v>
      </c>
      <c r="P359" t="s">
        <v>6590</v>
      </c>
      <c r="R359">
        <v>164623</v>
      </c>
      <c r="S359">
        <v>164623</v>
      </c>
      <c r="T359" t="s">
        <v>3469</v>
      </c>
    </row>
    <row r="360" spans="1:20" x14ac:dyDescent="0.2">
      <c r="A360" t="s">
        <v>1411</v>
      </c>
      <c r="B360" t="s">
        <v>6594</v>
      </c>
      <c r="C360" t="s">
        <v>17948</v>
      </c>
      <c r="D360">
        <v>155996</v>
      </c>
      <c r="E360">
        <v>33009</v>
      </c>
      <c r="F360">
        <v>400</v>
      </c>
      <c r="G360" t="s">
        <v>3863</v>
      </c>
      <c r="H360" t="s">
        <v>3864</v>
      </c>
      <c r="I360">
        <v>4933</v>
      </c>
      <c r="J360" t="s">
        <v>3438</v>
      </c>
      <c r="K360" t="s">
        <v>17949</v>
      </c>
      <c r="L360" t="s">
        <v>6593</v>
      </c>
      <c r="M360" t="s">
        <v>6595</v>
      </c>
      <c r="N360">
        <v>390180</v>
      </c>
      <c r="O360" t="s">
        <v>6597</v>
      </c>
      <c r="P360" t="s">
        <v>6597</v>
      </c>
      <c r="Q360" t="s">
        <v>6598</v>
      </c>
      <c r="R360">
        <v>441447</v>
      </c>
      <c r="S360">
        <v>441447</v>
      </c>
      <c r="T360" t="s">
        <v>3458</v>
      </c>
    </row>
    <row r="361" spans="1:20" x14ac:dyDescent="0.2">
      <c r="A361" t="s">
        <v>1413</v>
      </c>
      <c r="B361" t="s">
        <v>6602</v>
      </c>
      <c r="C361" t="s">
        <v>17950</v>
      </c>
      <c r="D361">
        <v>158552</v>
      </c>
      <c r="E361">
        <v>33228</v>
      </c>
      <c r="F361">
        <v>402</v>
      </c>
      <c r="G361" t="s">
        <v>3459</v>
      </c>
      <c r="H361" t="s">
        <v>5441</v>
      </c>
      <c r="I361">
        <v>2635</v>
      </c>
      <c r="J361" t="s">
        <v>3438</v>
      </c>
      <c r="K361" t="s">
        <v>17951</v>
      </c>
      <c r="L361" t="s">
        <v>6601</v>
      </c>
      <c r="N361">
        <v>21403155</v>
      </c>
      <c r="O361" t="s">
        <v>6604</v>
      </c>
      <c r="P361" t="s">
        <v>6604</v>
      </c>
      <c r="Q361" t="s">
        <v>6605</v>
      </c>
      <c r="R361">
        <v>24779476</v>
      </c>
      <c r="S361">
        <v>24779476</v>
      </c>
      <c r="T361" t="s">
        <v>3447</v>
      </c>
    </row>
    <row r="362" spans="1:20" x14ac:dyDescent="0.2">
      <c r="A362" t="s">
        <v>1417</v>
      </c>
      <c r="B362" t="s">
        <v>6609</v>
      </c>
      <c r="C362" t="s">
        <v>17952</v>
      </c>
      <c r="D362">
        <v>148450</v>
      </c>
      <c r="E362">
        <v>47118</v>
      </c>
      <c r="F362">
        <v>209</v>
      </c>
      <c r="G362" t="s">
        <v>3459</v>
      </c>
      <c r="H362" t="s">
        <v>5441</v>
      </c>
      <c r="I362">
        <v>2603</v>
      </c>
      <c r="J362" t="s">
        <v>3438</v>
      </c>
      <c r="K362" t="s">
        <v>17953</v>
      </c>
      <c r="L362" t="s">
        <v>6608</v>
      </c>
      <c r="N362">
        <v>21403164</v>
      </c>
      <c r="O362" t="s">
        <v>6611</v>
      </c>
      <c r="P362" t="s">
        <v>6611</v>
      </c>
      <c r="R362">
        <v>122164832</v>
      </c>
      <c r="S362">
        <v>122164832</v>
      </c>
      <c r="T362" t="s">
        <v>3469</v>
      </c>
    </row>
    <row r="363" spans="1:20" x14ac:dyDescent="0.2">
      <c r="A363" t="s">
        <v>1415</v>
      </c>
      <c r="B363" t="s">
        <v>6615</v>
      </c>
      <c r="C363" t="s">
        <v>17954</v>
      </c>
      <c r="D363">
        <v>126137</v>
      </c>
      <c r="E363">
        <v>35253</v>
      </c>
      <c r="F363">
        <v>209</v>
      </c>
      <c r="G363" t="s">
        <v>3459</v>
      </c>
      <c r="H363" t="s">
        <v>5441</v>
      </c>
      <c r="I363">
        <v>2601</v>
      </c>
      <c r="J363" t="s">
        <v>3438</v>
      </c>
      <c r="K363" t="s">
        <v>17955</v>
      </c>
      <c r="L363" t="s">
        <v>6614</v>
      </c>
      <c r="N363">
        <v>21403165</v>
      </c>
      <c r="O363" t="s">
        <v>6617</v>
      </c>
      <c r="P363" t="s">
        <v>6617</v>
      </c>
      <c r="R363">
        <v>15061532</v>
      </c>
      <c r="S363">
        <v>15061532</v>
      </c>
      <c r="T363" t="s">
        <v>3469</v>
      </c>
    </row>
    <row r="364" spans="1:20" x14ac:dyDescent="0.2">
      <c r="A364" t="s">
        <v>1421</v>
      </c>
      <c r="B364" t="s">
        <v>6621</v>
      </c>
      <c r="C364" t="s">
        <v>17956</v>
      </c>
      <c r="D364">
        <v>158748</v>
      </c>
      <c r="E364">
        <v>35631</v>
      </c>
      <c r="F364">
        <v>402</v>
      </c>
      <c r="G364" t="s">
        <v>3459</v>
      </c>
      <c r="H364" t="s">
        <v>5441</v>
      </c>
      <c r="I364">
        <v>2662</v>
      </c>
      <c r="J364" t="s">
        <v>3438</v>
      </c>
      <c r="K364" t="s">
        <v>17957</v>
      </c>
      <c r="L364" t="s">
        <v>6620</v>
      </c>
      <c r="M364" t="s">
        <v>6622</v>
      </c>
      <c r="N364">
        <v>7826019</v>
      </c>
      <c r="O364" t="s">
        <v>6624</v>
      </c>
      <c r="P364" t="s">
        <v>6624</v>
      </c>
      <c r="R364">
        <v>9547069</v>
      </c>
      <c r="S364">
        <v>9547069</v>
      </c>
      <c r="T364" t="s">
        <v>3447</v>
      </c>
    </row>
    <row r="365" spans="1:20" x14ac:dyDescent="0.2">
      <c r="A365" t="s">
        <v>1425</v>
      </c>
      <c r="B365" t="s">
        <v>6628</v>
      </c>
      <c r="C365" t="s">
        <v>17958</v>
      </c>
      <c r="D365">
        <v>158745</v>
      </c>
      <c r="E365">
        <v>35628</v>
      </c>
      <c r="F365">
        <v>402</v>
      </c>
      <c r="G365" t="s">
        <v>3459</v>
      </c>
      <c r="H365" t="s">
        <v>5441</v>
      </c>
      <c r="I365">
        <v>2671</v>
      </c>
      <c r="J365" t="s">
        <v>3438</v>
      </c>
      <c r="K365" t="s">
        <v>17959</v>
      </c>
      <c r="L365" t="s">
        <v>6627</v>
      </c>
      <c r="M365" t="s">
        <v>6629</v>
      </c>
      <c r="N365">
        <v>7826021</v>
      </c>
      <c r="O365" t="s">
        <v>6631</v>
      </c>
      <c r="P365" t="s">
        <v>6631</v>
      </c>
      <c r="R365">
        <v>9547071</v>
      </c>
      <c r="S365">
        <v>9547071</v>
      </c>
      <c r="T365" t="s">
        <v>3447</v>
      </c>
    </row>
    <row r="366" spans="1:20" x14ac:dyDescent="0.2">
      <c r="A366" t="s">
        <v>1423</v>
      </c>
      <c r="B366" t="s">
        <v>6635</v>
      </c>
      <c r="C366" t="s">
        <v>17960</v>
      </c>
      <c r="D366">
        <v>158788</v>
      </c>
      <c r="E366">
        <v>36600</v>
      </c>
      <c r="F366">
        <v>402</v>
      </c>
      <c r="G366" t="s">
        <v>3459</v>
      </c>
      <c r="H366" t="s">
        <v>5441</v>
      </c>
      <c r="I366">
        <v>2673</v>
      </c>
      <c r="J366" t="s">
        <v>3438</v>
      </c>
      <c r="K366" t="s">
        <v>17961</v>
      </c>
      <c r="L366" t="s">
        <v>6634</v>
      </c>
      <c r="N366">
        <v>21403170</v>
      </c>
      <c r="O366" t="s">
        <v>6637</v>
      </c>
      <c r="P366" t="s">
        <v>6637</v>
      </c>
      <c r="R366">
        <v>52925130</v>
      </c>
      <c r="S366">
        <v>52925130</v>
      </c>
      <c r="T366" t="s">
        <v>3447</v>
      </c>
    </row>
    <row r="367" spans="1:20" x14ac:dyDescent="0.2">
      <c r="A367" t="s">
        <v>1419</v>
      </c>
      <c r="B367" t="s">
        <v>6641</v>
      </c>
      <c r="C367" t="s">
        <v>17962</v>
      </c>
      <c r="D367">
        <v>158719</v>
      </c>
      <c r="E367">
        <v>35186</v>
      </c>
      <c r="F367">
        <v>402</v>
      </c>
      <c r="G367" t="s">
        <v>3459</v>
      </c>
      <c r="H367" t="s">
        <v>5441</v>
      </c>
      <c r="I367">
        <v>2686</v>
      </c>
      <c r="J367" t="s">
        <v>3438</v>
      </c>
      <c r="K367" t="s">
        <v>17963</v>
      </c>
      <c r="L367" t="s">
        <v>6640</v>
      </c>
      <c r="N367">
        <v>21403171</v>
      </c>
      <c r="O367" t="s">
        <v>6643</v>
      </c>
      <c r="P367" t="s">
        <v>6643</v>
      </c>
      <c r="R367">
        <v>42607465</v>
      </c>
      <c r="S367">
        <v>42607465</v>
      </c>
      <c r="T367" t="s">
        <v>3447</v>
      </c>
    </row>
    <row r="368" spans="1:20" x14ac:dyDescent="0.2">
      <c r="A368" t="s">
        <v>3059</v>
      </c>
      <c r="B368" t="s">
        <v>6647</v>
      </c>
      <c r="C368" t="s">
        <v>17964</v>
      </c>
      <c r="D368">
        <v>155079</v>
      </c>
      <c r="E368">
        <v>48434</v>
      </c>
      <c r="F368">
        <v>209</v>
      </c>
      <c r="G368" t="s">
        <v>3436</v>
      </c>
      <c r="H368" t="s">
        <v>3661</v>
      </c>
      <c r="I368">
        <v>504</v>
      </c>
      <c r="J368" t="s">
        <v>3438</v>
      </c>
      <c r="K368" t="s">
        <v>17965</v>
      </c>
      <c r="L368" t="s">
        <v>6646</v>
      </c>
      <c r="M368" t="s">
        <v>6648</v>
      </c>
      <c r="N368">
        <v>571213</v>
      </c>
      <c r="O368" t="s">
        <v>6650</v>
      </c>
      <c r="P368" t="s">
        <v>6650</v>
      </c>
      <c r="Q368" t="s">
        <v>6651</v>
      </c>
      <c r="R368">
        <v>656979</v>
      </c>
      <c r="S368">
        <v>656979</v>
      </c>
      <c r="T368" t="s">
        <v>3469</v>
      </c>
    </row>
    <row r="369" spans="1:20" x14ac:dyDescent="0.2">
      <c r="A369" t="s">
        <v>1427</v>
      </c>
      <c r="B369" t="s">
        <v>6655</v>
      </c>
      <c r="C369" t="s">
        <v>17966</v>
      </c>
      <c r="D369">
        <v>128275</v>
      </c>
      <c r="E369">
        <v>35675</v>
      </c>
      <c r="F369">
        <v>209</v>
      </c>
      <c r="G369" t="s">
        <v>3459</v>
      </c>
      <c r="H369" t="s">
        <v>4869</v>
      </c>
      <c r="I369">
        <v>1968</v>
      </c>
      <c r="J369" t="s">
        <v>3438</v>
      </c>
      <c r="K369" t="s">
        <v>17967</v>
      </c>
      <c r="L369" t="s">
        <v>6654</v>
      </c>
      <c r="M369" t="s">
        <v>6656</v>
      </c>
      <c r="N369">
        <v>83805</v>
      </c>
      <c r="O369" t="s">
        <v>6658</v>
      </c>
      <c r="P369" t="s">
        <v>6658</v>
      </c>
      <c r="R369" s="5">
        <v>1.25759649283611E+20</v>
      </c>
      <c r="S369" t="s">
        <v>17968</v>
      </c>
      <c r="T369" t="s">
        <v>3469</v>
      </c>
    </row>
    <row r="370" spans="1:20" x14ac:dyDescent="0.2">
      <c r="A370" t="s">
        <v>1429</v>
      </c>
      <c r="B370" t="s">
        <v>6662</v>
      </c>
      <c r="C370" t="s">
        <v>17969</v>
      </c>
      <c r="D370">
        <v>127695</v>
      </c>
      <c r="E370">
        <v>37478</v>
      </c>
      <c r="F370">
        <v>209</v>
      </c>
      <c r="G370" t="s">
        <v>3459</v>
      </c>
      <c r="H370" t="s">
        <v>3560</v>
      </c>
      <c r="I370">
        <v>1576</v>
      </c>
      <c r="J370" t="s">
        <v>3438</v>
      </c>
      <c r="K370" t="s">
        <v>17970</v>
      </c>
      <c r="L370" t="s">
        <v>6661</v>
      </c>
      <c r="M370" t="s">
        <v>6663</v>
      </c>
      <c r="N370">
        <v>4945614</v>
      </c>
      <c r="O370" t="s">
        <v>6665</v>
      </c>
      <c r="P370" t="s">
        <v>6665</v>
      </c>
      <c r="Q370" t="s">
        <v>5932</v>
      </c>
      <c r="R370">
        <v>6441454</v>
      </c>
      <c r="S370">
        <v>6441454</v>
      </c>
      <c r="T370" t="s">
        <v>3469</v>
      </c>
    </row>
    <row r="371" spans="1:20" x14ac:dyDescent="0.2">
      <c r="A371" t="s">
        <v>1431</v>
      </c>
      <c r="B371" t="s">
        <v>6668</v>
      </c>
      <c r="C371" t="s">
        <v>17971</v>
      </c>
      <c r="D371">
        <v>148205</v>
      </c>
      <c r="E371">
        <v>46957</v>
      </c>
      <c r="F371">
        <v>305</v>
      </c>
      <c r="G371" t="s">
        <v>3448</v>
      </c>
      <c r="H371" t="s">
        <v>5600</v>
      </c>
      <c r="I371">
        <v>4357</v>
      </c>
      <c r="J371" t="s">
        <v>3438</v>
      </c>
      <c r="K371" t="s">
        <v>17972</v>
      </c>
      <c r="L371" t="s">
        <v>6667</v>
      </c>
      <c r="M371" t="s">
        <v>6669</v>
      </c>
      <c r="N371">
        <v>7969943</v>
      </c>
      <c r="O371" t="s">
        <v>6671</v>
      </c>
      <c r="P371" t="s">
        <v>6671</v>
      </c>
      <c r="Q371" t="s">
        <v>6672</v>
      </c>
      <c r="R371">
        <v>152304</v>
      </c>
      <c r="S371">
        <v>152304</v>
      </c>
      <c r="T371" t="s">
        <v>3489</v>
      </c>
    </row>
    <row r="372" spans="1:20" x14ac:dyDescent="0.2">
      <c r="A372" t="s">
        <v>1433</v>
      </c>
      <c r="B372" t="s">
        <v>6676</v>
      </c>
      <c r="C372" t="s">
        <v>17973</v>
      </c>
      <c r="D372">
        <v>128229</v>
      </c>
      <c r="E372">
        <v>35437</v>
      </c>
      <c r="F372">
        <v>209</v>
      </c>
      <c r="G372" t="s">
        <v>3436</v>
      </c>
      <c r="H372" t="s">
        <v>3498</v>
      </c>
      <c r="I372">
        <v>427</v>
      </c>
      <c r="J372" t="s">
        <v>3438</v>
      </c>
      <c r="K372" t="s">
        <v>17974</v>
      </c>
      <c r="L372" t="s">
        <v>6675</v>
      </c>
      <c r="M372" t="s">
        <v>6678</v>
      </c>
      <c r="N372">
        <v>9030891</v>
      </c>
      <c r="O372" t="s">
        <v>6680</v>
      </c>
      <c r="P372" t="s">
        <v>6680</v>
      </c>
      <c r="R372">
        <v>10855600</v>
      </c>
      <c r="S372">
        <v>10855600</v>
      </c>
      <c r="T372" t="s">
        <v>3469</v>
      </c>
    </row>
    <row r="373" spans="1:20" x14ac:dyDescent="0.2">
      <c r="A373" t="s">
        <v>1435</v>
      </c>
      <c r="B373" t="s">
        <v>6684</v>
      </c>
      <c r="C373" t="s">
        <v>17975</v>
      </c>
      <c r="D373">
        <v>157075</v>
      </c>
      <c r="E373">
        <v>44664</v>
      </c>
      <c r="F373">
        <v>400</v>
      </c>
      <c r="G373" t="s">
        <v>3436</v>
      </c>
      <c r="H373" t="s">
        <v>3586</v>
      </c>
      <c r="I373">
        <v>127</v>
      </c>
      <c r="J373" t="s">
        <v>3438</v>
      </c>
      <c r="K373" t="s">
        <v>17976</v>
      </c>
      <c r="L373" t="s">
        <v>6683</v>
      </c>
      <c r="M373" t="s">
        <v>6685</v>
      </c>
      <c r="N373">
        <v>21403175</v>
      </c>
      <c r="O373" t="s">
        <v>6687</v>
      </c>
      <c r="P373" t="s">
        <v>6687</v>
      </c>
      <c r="R373">
        <v>71317118</v>
      </c>
      <c r="S373">
        <v>71317118</v>
      </c>
      <c r="T373" t="s">
        <v>3458</v>
      </c>
    </row>
    <row r="374" spans="1:20" x14ac:dyDescent="0.2">
      <c r="A374" t="s">
        <v>1441</v>
      </c>
      <c r="B374" t="s">
        <v>6691</v>
      </c>
      <c r="C374" t="s">
        <v>17977</v>
      </c>
      <c r="D374">
        <v>156184</v>
      </c>
      <c r="E374">
        <v>35433</v>
      </c>
      <c r="F374">
        <v>400</v>
      </c>
      <c r="G374" t="s">
        <v>3436</v>
      </c>
      <c r="H374" t="s">
        <v>3498</v>
      </c>
      <c r="I374">
        <v>364</v>
      </c>
      <c r="J374" t="s">
        <v>3438</v>
      </c>
      <c r="K374" t="s">
        <v>17978</v>
      </c>
      <c r="L374" t="s">
        <v>6690</v>
      </c>
      <c r="M374" t="s">
        <v>6692</v>
      </c>
      <c r="N374">
        <v>21403176</v>
      </c>
      <c r="P374">
        <v>0</v>
      </c>
      <c r="S374">
        <v>0</v>
      </c>
      <c r="T374" t="s">
        <v>3458</v>
      </c>
    </row>
    <row r="375" spans="1:20" x14ac:dyDescent="0.2">
      <c r="A375" t="s">
        <v>1437</v>
      </c>
      <c r="B375" t="s">
        <v>6696</v>
      </c>
      <c r="C375" t="s">
        <v>17979</v>
      </c>
      <c r="D375">
        <v>156182</v>
      </c>
      <c r="E375">
        <v>35428</v>
      </c>
      <c r="F375">
        <v>400</v>
      </c>
      <c r="G375" t="s">
        <v>3436</v>
      </c>
      <c r="H375" t="s">
        <v>3498</v>
      </c>
      <c r="I375">
        <v>400</v>
      </c>
      <c r="J375" t="s">
        <v>3438</v>
      </c>
      <c r="K375" t="s">
        <v>17980</v>
      </c>
      <c r="L375" t="s">
        <v>6695</v>
      </c>
      <c r="M375" t="s">
        <v>6698</v>
      </c>
      <c r="N375">
        <v>17216200</v>
      </c>
      <c r="O375" t="s">
        <v>6700</v>
      </c>
      <c r="P375" t="s">
        <v>6700</v>
      </c>
      <c r="R375">
        <v>22833596</v>
      </c>
      <c r="S375">
        <v>22833596</v>
      </c>
      <c r="T375" t="s">
        <v>3458</v>
      </c>
    </row>
    <row r="376" spans="1:20" x14ac:dyDescent="0.2">
      <c r="A376" t="s">
        <v>1439</v>
      </c>
      <c r="B376" t="s">
        <v>6704</v>
      </c>
      <c r="C376" t="s">
        <v>17981</v>
      </c>
      <c r="D376">
        <v>144222</v>
      </c>
      <c r="E376">
        <v>35322</v>
      </c>
      <c r="F376">
        <v>209</v>
      </c>
      <c r="G376" t="s">
        <v>3863</v>
      </c>
      <c r="H376" t="s">
        <v>4142</v>
      </c>
      <c r="I376">
        <v>5965</v>
      </c>
      <c r="J376" t="s">
        <v>3438</v>
      </c>
      <c r="K376" t="s">
        <v>17982</v>
      </c>
      <c r="L376" t="s">
        <v>6703</v>
      </c>
      <c r="M376" t="s">
        <v>6705</v>
      </c>
      <c r="N376">
        <v>141624</v>
      </c>
      <c r="O376" t="s">
        <v>6707</v>
      </c>
      <c r="P376" t="s">
        <v>6707</v>
      </c>
      <c r="Q376" t="s">
        <v>6708</v>
      </c>
      <c r="R376">
        <v>161220</v>
      </c>
      <c r="S376">
        <v>161220</v>
      </c>
      <c r="T376" t="s">
        <v>3469</v>
      </c>
    </row>
    <row r="377" spans="1:20" x14ac:dyDescent="0.2">
      <c r="A377" t="s">
        <v>1443</v>
      </c>
      <c r="B377" t="s">
        <v>6712</v>
      </c>
      <c r="C377" t="s">
        <v>17983</v>
      </c>
      <c r="D377">
        <v>143730</v>
      </c>
      <c r="E377">
        <v>35320</v>
      </c>
      <c r="F377">
        <v>209</v>
      </c>
      <c r="G377" t="s">
        <v>3863</v>
      </c>
      <c r="H377" t="s">
        <v>5082</v>
      </c>
      <c r="I377">
        <v>4498</v>
      </c>
      <c r="J377" t="s">
        <v>3438</v>
      </c>
      <c r="K377" t="s">
        <v>17984</v>
      </c>
      <c r="L377" t="s">
        <v>6711</v>
      </c>
      <c r="M377" t="s">
        <v>6713</v>
      </c>
      <c r="N377">
        <v>2341024</v>
      </c>
      <c r="O377" t="s">
        <v>6715</v>
      </c>
      <c r="P377" t="s">
        <v>6715</v>
      </c>
      <c r="R377">
        <v>3083879</v>
      </c>
      <c r="S377">
        <v>3083879</v>
      </c>
      <c r="T377" t="s">
        <v>3469</v>
      </c>
    </row>
    <row r="378" spans="1:20" x14ac:dyDescent="0.2">
      <c r="A378" t="s">
        <v>1445</v>
      </c>
      <c r="B378" t="s">
        <v>11686</v>
      </c>
      <c r="C378" t="s">
        <v>17985</v>
      </c>
      <c r="D378">
        <v>128301</v>
      </c>
      <c r="E378">
        <v>36776</v>
      </c>
      <c r="F378">
        <v>209</v>
      </c>
      <c r="G378" t="s">
        <v>3459</v>
      </c>
      <c r="H378" t="s">
        <v>3749</v>
      </c>
      <c r="I378">
        <v>3206</v>
      </c>
      <c r="J378" t="s">
        <v>3438</v>
      </c>
      <c r="K378" t="s">
        <v>17986</v>
      </c>
      <c r="L378" t="s">
        <v>6726</v>
      </c>
      <c r="M378" t="s">
        <v>6729</v>
      </c>
      <c r="N378">
        <v>2338765</v>
      </c>
      <c r="O378" t="s">
        <v>6731</v>
      </c>
      <c r="P378" t="s">
        <v>6731</v>
      </c>
      <c r="Q378" t="s">
        <v>6732</v>
      </c>
      <c r="R378">
        <v>3081085</v>
      </c>
      <c r="S378">
        <v>3081085</v>
      </c>
      <c r="T378" t="s">
        <v>3469</v>
      </c>
    </row>
    <row r="379" spans="1:20" x14ac:dyDescent="0.2">
      <c r="A379" t="s">
        <v>3061</v>
      </c>
      <c r="B379" t="s">
        <v>6744</v>
      </c>
      <c r="C379" t="s">
        <v>17987</v>
      </c>
      <c r="D379">
        <v>156223</v>
      </c>
      <c r="E379">
        <v>35665</v>
      </c>
      <c r="F379">
        <v>400</v>
      </c>
      <c r="G379" t="s">
        <v>3436</v>
      </c>
      <c r="H379" t="s">
        <v>4215</v>
      </c>
      <c r="I379">
        <v>55</v>
      </c>
      <c r="J379" t="s">
        <v>3438</v>
      </c>
      <c r="K379" t="s">
        <v>17988</v>
      </c>
      <c r="L379" t="s">
        <v>6743</v>
      </c>
      <c r="M379" t="s">
        <v>6745</v>
      </c>
      <c r="N379">
        <v>5065</v>
      </c>
      <c r="O379" t="s">
        <v>6747</v>
      </c>
      <c r="P379" t="s">
        <v>6747</v>
      </c>
      <c r="Q379" t="s">
        <v>6748</v>
      </c>
      <c r="R379">
        <v>188803</v>
      </c>
      <c r="S379">
        <v>188803</v>
      </c>
      <c r="T379" t="s">
        <v>3458</v>
      </c>
    </row>
    <row r="380" spans="1:20" x14ac:dyDescent="0.2">
      <c r="A380" t="s">
        <v>1449</v>
      </c>
      <c r="B380" t="s">
        <v>6752</v>
      </c>
      <c r="C380" t="s">
        <v>17989</v>
      </c>
      <c r="D380">
        <v>128271</v>
      </c>
      <c r="E380">
        <v>35669</v>
      </c>
      <c r="F380">
        <v>209</v>
      </c>
      <c r="G380" t="s">
        <v>3459</v>
      </c>
      <c r="H380" t="s">
        <v>3873</v>
      </c>
      <c r="I380">
        <v>1691</v>
      </c>
      <c r="J380" t="s">
        <v>3438</v>
      </c>
      <c r="K380" t="s">
        <v>17990</v>
      </c>
      <c r="L380" t="s">
        <v>6751</v>
      </c>
      <c r="M380" t="s">
        <v>6754</v>
      </c>
      <c r="N380">
        <v>12630</v>
      </c>
      <c r="O380" t="s">
        <v>6756</v>
      </c>
      <c r="P380" t="s">
        <v>6756</v>
      </c>
      <c r="R380">
        <v>13185</v>
      </c>
      <c r="S380">
        <v>13185</v>
      </c>
      <c r="T380" t="s">
        <v>3469</v>
      </c>
    </row>
    <row r="381" spans="1:20" x14ac:dyDescent="0.2">
      <c r="A381" t="s">
        <v>1451</v>
      </c>
      <c r="B381" t="s">
        <v>6760</v>
      </c>
      <c r="C381" t="s">
        <v>17991</v>
      </c>
      <c r="D381">
        <v>128277</v>
      </c>
      <c r="E381">
        <v>35678</v>
      </c>
      <c r="F381">
        <v>209</v>
      </c>
      <c r="G381" t="s">
        <v>3459</v>
      </c>
      <c r="H381" t="s">
        <v>3873</v>
      </c>
      <c r="I381">
        <v>1695</v>
      </c>
      <c r="J381" t="s">
        <v>3438</v>
      </c>
      <c r="K381" t="s">
        <v>17992</v>
      </c>
      <c r="L381" t="s">
        <v>6759</v>
      </c>
      <c r="M381" t="s">
        <v>6762</v>
      </c>
      <c r="N381">
        <v>10027</v>
      </c>
      <c r="O381" t="s">
        <v>6764</v>
      </c>
      <c r="P381" t="s">
        <v>6764</v>
      </c>
      <c r="Q381" t="s">
        <v>6765</v>
      </c>
      <c r="R381">
        <v>10459</v>
      </c>
      <c r="S381">
        <v>10459</v>
      </c>
      <c r="T381" t="s">
        <v>3469</v>
      </c>
    </row>
    <row r="382" spans="1:20" x14ac:dyDescent="0.2">
      <c r="A382" t="s">
        <v>1447</v>
      </c>
      <c r="B382" t="s">
        <v>6769</v>
      </c>
      <c r="C382" t="s">
        <v>17993</v>
      </c>
      <c r="D382">
        <v>128289</v>
      </c>
      <c r="E382">
        <v>36754</v>
      </c>
      <c r="F382">
        <v>209</v>
      </c>
      <c r="G382" t="s">
        <v>3459</v>
      </c>
      <c r="H382" t="s">
        <v>3873</v>
      </c>
      <c r="I382">
        <v>1698</v>
      </c>
      <c r="J382" t="s">
        <v>3438</v>
      </c>
      <c r="K382" t="s">
        <v>17994</v>
      </c>
      <c r="L382" t="s">
        <v>6768</v>
      </c>
      <c r="M382" t="s">
        <v>6771</v>
      </c>
      <c r="N382">
        <v>63283</v>
      </c>
      <c r="O382" t="s">
        <v>6773</v>
      </c>
      <c r="P382" t="s">
        <v>6773</v>
      </c>
      <c r="R382">
        <v>70095</v>
      </c>
      <c r="S382">
        <v>70095</v>
      </c>
      <c r="T382" t="s">
        <v>3469</v>
      </c>
    </row>
    <row r="383" spans="1:20" x14ac:dyDescent="0.2">
      <c r="A383" t="s">
        <v>1453</v>
      </c>
      <c r="B383" t="s">
        <v>6792</v>
      </c>
      <c r="C383" t="s">
        <v>17995</v>
      </c>
      <c r="D383">
        <v>156380</v>
      </c>
      <c r="E383">
        <v>37455</v>
      </c>
      <c r="F383">
        <v>400</v>
      </c>
      <c r="G383" t="s">
        <v>3459</v>
      </c>
      <c r="H383" t="s">
        <v>3758</v>
      </c>
      <c r="I383">
        <v>2240</v>
      </c>
      <c r="J383" t="s">
        <v>3438</v>
      </c>
      <c r="K383" t="s">
        <v>17996</v>
      </c>
      <c r="L383" t="s">
        <v>6791</v>
      </c>
      <c r="M383" t="s">
        <v>6793</v>
      </c>
      <c r="N383">
        <v>110410</v>
      </c>
      <c r="O383" t="s">
        <v>6795</v>
      </c>
      <c r="P383" t="s">
        <v>6795</v>
      </c>
      <c r="Q383" t="s">
        <v>6796</v>
      </c>
      <c r="R383">
        <v>123874</v>
      </c>
      <c r="S383">
        <v>123874</v>
      </c>
      <c r="T383" t="s">
        <v>3458</v>
      </c>
    </row>
    <row r="384" spans="1:20" x14ac:dyDescent="0.2">
      <c r="A384" t="s">
        <v>1461</v>
      </c>
      <c r="B384" t="s">
        <v>6805</v>
      </c>
      <c r="C384" t="s">
        <v>17997</v>
      </c>
      <c r="D384">
        <v>128251</v>
      </c>
      <c r="E384">
        <v>35635</v>
      </c>
      <c r="F384">
        <v>209</v>
      </c>
      <c r="G384" t="s">
        <v>3863</v>
      </c>
      <c r="H384" t="s">
        <v>5082</v>
      </c>
      <c r="I384">
        <v>4571</v>
      </c>
      <c r="J384" t="s">
        <v>3438</v>
      </c>
      <c r="K384" t="s">
        <v>17998</v>
      </c>
      <c r="L384" t="s">
        <v>6804</v>
      </c>
      <c r="M384" t="s">
        <v>6806</v>
      </c>
      <c r="N384">
        <v>89</v>
      </c>
      <c r="O384" t="s">
        <v>6808</v>
      </c>
      <c r="P384" t="s">
        <v>6808</v>
      </c>
      <c r="Q384" t="s">
        <v>6809</v>
      </c>
      <c r="R384">
        <v>91</v>
      </c>
      <c r="S384">
        <v>91</v>
      </c>
      <c r="T384" t="s">
        <v>3469</v>
      </c>
    </row>
    <row r="385" spans="1:20" x14ac:dyDescent="0.2">
      <c r="A385" t="s">
        <v>1457</v>
      </c>
      <c r="B385" t="s">
        <v>6826</v>
      </c>
      <c r="C385" t="s">
        <v>17999</v>
      </c>
      <c r="D385">
        <v>146820</v>
      </c>
      <c r="E385">
        <v>35305</v>
      </c>
      <c r="F385">
        <v>209</v>
      </c>
      <c r="G385" t="s">
        <v>3459</v>
      </c>
      <c r="H385" t="s">
        <v>5441</v>
      </c>
      <c r="I385">
        <v>2717</v>
      </c>
      <c r="J385" t="s">
        <v>3438</v>
      </c>
      <c r="L385" t="s">
        <v>6825</v>
      </c>
      <c r="O385" t="s">
        <v>6827</v>
      </c>
      <c r="P385" t="s">
        <v>6827</v>
      </c>
      <c r="R385">
        <v>71296207</v>
      </c>
      <c r="S385">
        <v>71296207</v>
      </c>
      <c r="T385" t="s">
        <v>3469</v>
      </c>
    </row>
    <row r="386" spans="1:20" x14ac:dyDescent="0.2">
      <c r="A386" t="s">
        <v>1459</v>
      </c>
      <c r="B386" t="s">
        <v>6831</v>
      </c>
      <c r="C386" t="s">
        <v>18000</v>
      </c>
      <c r="D386">
        <v>142564</v>
      </c>
      <c r="E386">
        <v>32620</v>
      </c>
      <c r="F386">
        <v>209</v>
      </c>
      <c r="G386" t="s">
        <v>3459</v>
      </c>
      <c r="H386" t="s">
        <v>3819</v>
      </c>
      <c r="I386">
        <v>3500</v>
      </c>
      <c r="J386" t="s">
        <v>3438</v>
      </c>
      <c r="K386" t="s">
        <v>18001</v>
      </c>
      <c r="L386" t="s">
        <v>6830</v>
      </c>
      <c r="M386" t="s">
        <v>6832</v>
      </c>
      <c r="N386">
        <v>65188</v>
      </c>
      <c r="O386" t="s">
        <v>6834</v>
      </c>
      <c r="P386" t="s">
        <v>6834</v>
      </c>
      <c r="Q386" t="s">
        <v>6835</v>
      </c>
      <c r="R386">
        <v>72222</v>
      </c>
      <c r="S386">
        <v>72222</v>
      </c>
      <c r="T386" t="s">
        <v>3469</v>
      </c>
    </row>
    <row r="387" spans="1:20" x14ac:dyDescent="0.2">
      <c r="A387" t="s">
        <v>1455</v>
      </c>
      <c r="B387" t="s">
        <v>6839</v>
      </c>
      <c r="C387" t="s">
        <v>18002</v>
      </c>
      <c r="D387">
        <v>128309</v>
      </c>
      <c r="E387">
        <v>36850</v>
      </c>
      <c r="F387">
        <v>209</v>
      </c>
      <c r="G387" t="s">
        <v>3459</v>
      </c>
      <c r="H387" t="s">
        <v>3819</v>
      </c>
      <c r="I387">
        <v>3502</v>
      </c>
      <c r="J387" t="s">
        <v>3438</v>
      </c>
      <c r="K387" t="s">
        <v>18003</v>
      </c>
      <c r="L387" t="s">
        <v>6838</v>
      </c>
      <c r="M387" t="s">
        <v>6840</v>
      </c>
      <c r="N387">
        <v>389078</v>
      </c>
      <c r="O387" t="s">
        <v>6842</v>
      </c>
      <c r="P387" t="s">
        <v>6842</v>
      </c>
      <c r="Q387" t="s">
        <v>6843</v>
      </c>
      <c r="R387">
        <v>440071</v>
      </c>
      <c r="S387">
        <v>440071</v>
      </c>
      <c r="T387" t="s">
        <v>3469</v>
      </c>
    </row>
    <row r="388" spans="1:20" x14ac:dyDescent="0.2">
      <c r="A388" t="s">
        <v>1463</v>
      </c>
      <c r="B388" t="s">
        <v>6847</v>
      </c>
      <c r="C388" t="s">
        <v>18004</v>
      </c>
      <c r="D388">
        <v>156251</v>
      </c>
      <c r="E388">
        <v>36747</v>
      </c>
      <c r="F388">
        <v>400</v>
      </c>
      <c r="G388" t="s">
        <v>3459</v>
      </c>
      <c r="H388" t="s">
        <v>5134</v>
      </c>
      <c r="I388">
        <v>1931</v>
      </c>
      <c r="J388" t="s">
        <v>3438</v>
      </c>
      <c r="K388" t="s">
        <v>18005</v>
      </c>
      <c r="L388" t="s">
        <v>6846</v>
      </c>
      <c r="M388" t="s">
        <v>6848</v>
      </c>
      <c r="N388">
        <v>705</v>
      </c>
      <c r="O388" t="s">
        <v>6850</v>
      </c>
      <c r="P388" t="s">
        <v>6850</v>
      </c>
      <c r="Q388" t="s">
        <v>6851</v>
      </c>
      <c r="R388">
        <v>22620</v>
      </c>
      <c r="S388">
        <v>22620</v>
      </c>
      <c r="T388" t="s">
        <v>3458</v>
      </c>
    </row>
    <row r="389" spans="1:20" x14ac:dyDescent="0.2">
      <c r="A389" t="s">
        <v>1467</v>
      </c>
      <c r="B389" t="s">
        <v>6861</v>
      </c>
      <c r="C389" t="s">
        <v>18006</v>
      </c>
      <c r="D389">
        <v>218616</v>
      </c>
      <c r="E389">
        <v>61868</v>
      </c>
      <c r="F389">
        <v>400</v>
      </c>
      <c r="G389" t="s">
        <v>3436</v>
      </c>
      <c r="H389" t="s">
        <v>3906</v>
      </c>
      <c r="I389">
        <v>96</v>
      </c>
      <c r="J389" t="s">
        <v>3438</v>
      </c>
      <c r="K389" t="s">
        <v>18007</v>
      </c>
      <c r="L389" t="s">
        <v>6860</v>
      </c>
      <c r="M389" t="s">
        <v>6862</v>
      </c>
      <c r="N389">
        <v>4292299</v>
      </c>
      <c r="O389" t="s">
        <v>6864</v>
      </c>
      <c r="P389" t="s">
        <v>6864</v>
      </c>
      <c r="Q389" t="s">
        <v>6865</v>
      </c>
      <c r="R389">
        <v>440569</v>
      </c>
      <c r="S389">
        <v>440569</v>
      </c>
      <c r="T389" t="s">
        <v>3458</v>
      </c>
    </row>
    <row r="390" spans="1:20" x14ac:dyDescent="0.2">
      <c r="A390" t="s">
        <v>1465</v>
      </c>
      <c r="B390" t="s">
        <v>11712</v>
      </c>
      <c r="C390" t="s">
        <v>18008</v>
      </c>
      <c r="D390">
        <v>127601</v>
      </c>
      <c r="E390">
        <v>37073</v>
      </c>
      <c r="F390">
        <v>209</v>
      </c>
      <c r="G390" t="s">
        <v>3459</v>
      </c>
      <c r="H390" t="s">
        <v>4869</v>
      </c>
      <c r="I390">
        <v>1958</v>
      </c>
      <c r="J390" t="s">
        <v>3438</v>
      </c>
      <c r="K390" t="s">
        <v>18009</v>
      </c>
      <c r="L390" t="s">
        <v>18010</v>
      </c>
      <c r="M390" t="s">
        <v>11713</v>
      </c>
      <c r="N390">
        <v>90191</v>
      </c>
      <c r="O390" t="s">
        <v>18011</v>
      </c>
      <c r="P390" t="s">
        <v>18011</v>
      </c>
      <c r="R390">
        <v>99824</v>
      </c>
      <c r="S390">
        <v>99824</v>
      </c>
      <c r="T390" t="s">
        <v>3469</v>
      </c>
    </row>
    <row r="391" spans="1:20" x14ac:dyDescent="0.2">
      <c r="A391" t="s">
        <v>1469</v>
      </c>
      <c r="B391" t="s">
        <v>6869</v>
      </c>
      <c r="C391" t="s">
        <v>18012</v>
      </c>
      <c r="D391">
        <v>220827</v>
      </c>
      <c r="E391">
        <v>62952</v>
      </c>
      <c r="F391">
        <v>305</v>
      </c>
      <c r="G391" t="s">
        <v>3459</v>
      </c>
      <c r="H391" t="s">
        <v>3460</v>
      </c>
      <c r="I391">
        <v>2037</v>
      </c>
      <c r="J391" t="s">
        <v>3438</v>
      </c>
      <c r="L391" t="s">
        <v>6868</v>
      </c>
      <c r="M391" t="s">
        <v>6870</v>
      </c>
      <c r="O391" t="s">
        <v>6871</v>
      </c>
      <c r="P391" t="s">
        <v>6871</v>
      </c>
      <c r="R391">
        <v>150929</v>
      </c>
      <c r="S391">
        <v>150929</v>
      </c>
      <c r="T391" t="s">
        <v>3489</v>
      </c>
    </row>
    <row r="392" spans="1:20" x14ac:dyDescent="0.2">
      <c r="A392" t="s">
        <v>1471</v>
      </c>
      <c r="B392" t="s">
        <v>6875</v>
      </c>
      <c r="C392" t="s">
        <v>18013</v>
      </c>
      <c r="D392">
        <v>143935</v>
      </c>
      <c r="E392">
        <v>42087</v>
      </c>
      <c r="F392">
        <v>209</v>
      </c>
      <c r="G392" t="s">
        <v>3436</v>
      </c>
      <c r="H392" t="s">
        <v>3470</v>
      </c>
      <c r="I392">
        <v>307</v>
      </c>
      <c r="J392" t="s">
        <v>3438</v>
      </c>
      <c r="L392" t="s">
        <v>6874</v>
      </c>
      <c r="O392" t="s">
        <v>6876</v>
      </c>
      <c r="P392" t="s">
        <v>6876</v>
      </c>
      <c r="R392">
        <v>25200879</v>
      </c>
      <c r="S392">
        <v>25200879</v>
      </c>
      <c r="T392" t="s">
        <v>3469</v>
      </c>
    </row>
    <row r="393" spans="1:20" x14ac:dyDescent="0.2">
      <c r="A393" t="s">
        <v>1503</v>
      </c>
      <c r="B393" t="s">
        <v>6881</v>
      </c>
      <c r="C393" t="s">
        <v>18014</v>
      </c>
      <c r="D393">
        <v>208284</v>
      </c>
      <c r="E393">
        <v>54907</v>
      </c>
      <c r="F393">
        <v>209</v>
      </c>
      <c r="G393" t="s">
        <v>3459</v>
      </c>
      <c r="H393" t="s">
        <v>6878</v>
      </c>
      <c r="I393">
        <v>1781</v>
      </c>
      <c r="J393" t="s">
        <v>3438</v>
      </c>
      <c r="L393" t="s">
        <v>6880</v>
      </c>
      <c r="P393">
        <v>0</v>
      </c>
      <c r="S393">
        <v>0</v>
      </c>
      <c r="T393" t="s">
        <v>3469</v>
      </c>
    </row>
    <row r="394" spans="1:20" x14ac:dyDescent="0.2">
      <c r="A394" t="s">
        <v>1489</v>
      </c>
      <c r="B394" t="s">
        <v>6884</v>
      </c>
      <c r="C394" t="s">
        <v>18015</v>
      </c>
      <c r="D394">
        <v>128287</v>
      </c>
      <c r="E394">
        <v>36752</v>
      </c>
      <c r="F394">
        <v>209</v>
      </c>
      <c r="G394" t="s">
        <v>3436</v>
      </c>
      <c r="H394" t="s">
        <v>3586</v>
      </c>
      <c r="I394">
        <v>107</v>
      </c>
      <c r="J394" t="s">
        <v>3438</v>
      </c>
      <c r="K394" t="s">
        <v>18016</v>
      </c>
      <c r="L394" t="s">
        <v>6883</v>
      </c>
      <c r="M394" t="s">
        <v>6885</v>
      </c>
      <c r="N394">
        <v>83801</v>
      </c>
      <c r="O394" t="s">
        <v>6887</v>
      </c>
      <c r="P394" t="s">
        <v>6887</v>
      </c>
      <c r="Q394" t="s">
        <v>6888</v>
      </c>
      <c r="R394">
        <v>92832</v>
      </c>
      <c r="S394">
        <v>92832</v>
      </c>
      <c r="T394" t="s">
        <v>3469</v>
      </c>
    </row>
    <row r="395" spans="1:20" x14ac:dyDescent="0.2">
      <c r="A395" t="s">
        <v>1477</v>
      </c>
      <c r="B395" t="s">
        <v>6892</v>
      </c>
      <c r="C395" t="s">
        <v>18017</v>
      </c>
      <c r="D395">
        <v>143707</v>
      </c>
      <c r="E395">
        <v>35718</v>
      </c>
      <c r="F395">
        <v>209</v>
      </c>
      <c r="G395" t="s">
        <v>3459</v>
      </c>
      <c r="H395" t="s">
        <v>3560</v>
      </c>
      <c r="I395">
        <v>1572</v>
      </c>
      <c r="J395" t="s">
        <v>3438</v>
      </c>
      <c r="K395" t="s">
        <v>18018</v>
      </c>
      <c r="L395" t="s">
        <v>6891</v>
      </c>
      <c r="M395" t="s">
        <v>6894</v>
      </c>
      <c r="N395">
        <v>4471954</v>
      </c>
      <c r="O395" t="s">
        <v>6896</v>
      </c>
      <c r="P395" t="s">
        <v>6896</v>
      </c>
      <c r="Q395" t="s">
        <v>6897</v>
      </c>
      <c r="R395">
        <v>5280581</v>
      </c>
      <c r="S395">
        <v>5280581</v>
      </c>
      <c r="T395" t="s">
        <v>3469</v>
      </c>
    </row>
    <row r="396" spans="1:20" x14ac:dyDescent="0.2">
      <c r="A396" t="s">
        <v>1473</v>
      </c>
      <c r="B396" t="s">
        <v>6901</v>
      </c>
      <c r="C396" t="s">
        <v>18019</v>
      </c>
      <c r="D396">
        <v>146560</v>
      </c>
      <c r="E396">
        <v>46142</v>
      </c>
      <c r="F396">
        <v>305</v>
      </c>
      <c r="G396" t="s">
        <v>3977</v>
      </c>
      <c r="H396" t="s">
        <v>4293</v>
      </c>
      <c r="I396">
        <v>1351</v>
      </c>
      <c r="J396" t="s">
        <v>3438</v>
      </c>
      <c r="K396" t="s">
        <v>18020</v>
      </c>
      <c r="L396" t="s">
        <v>6900</v>
      </c>
      <c r="N396">
        <v>440</v>
      </c>
      <c r="O396" t="s">
        <v>6903</v>
      </c>
      <c r="P396" t="s">
        <v>6903</v>
      </c>
      <c r="Q396" t="s">
        <v>6904</v>
      </c>
      <c r="R396" s="5">
        <v>57806251</v>
      </c>
      <c r="S396">
        <v>57806251</v>
      </c>
      <c r="T396" t="s">
        <v>3489</v>
      </c>
    </row>
    <row r="397" spans="1:20" x14ac:dyDescent="0.2">
      <c r="A397" t="s">
        <v>1475</v>
      </c>
      <c r="B397" t="s">
        <v>6908</v>
      </c>
      <c r="C397" t="s">
        <v>18021</v>
      </c>
      <c r="D397">
        <v>156317</v>
      </c>
      <c r="E397">
        <v>37097</v>
      </c>
      <c r="F397">
        <v>400</v>
      </c>
      <c r="G397" t="s">
        <v>3436</v>
      </c>
      <c r="H397" t="s">
        <v>3470</v>
      </c>
      <c r="I397">
        <v>264</v>
      </c>
      <c r="J397" t="s">
        <v>3438</v>
      </c>
      <c r="K397" t="s">
        <v>18022</v>
      </c>
      <c r="L397" t="s">
        <v>6907</v>
      </c>
      <c r="M397" t="s">
        <v>6909</v>
      </c>
      <c r="N397">
        <v>390633</v>
      </c>
      <c r="O397" t="s">
        <v>6911</v>
      </c>
      <c r="P397" t="s">
        <v>6911</v>
      </c>
      <c r="Q397" t="s">
        <v>6912</v>
      </c>
      <c r="R397">
        <v>442106</v>
      </c>
      <c r="S397">
        <v>442106</v>
      </c>
      <c r="T397" t="s">
        <v>3458</v>
      </c>
    </row>
    <row r="398" spans="1:20" x14ac:dyDescent="0.2">
      <c r="A398" t="s">
        <v>1485</v>
      </c>
      <c r="B398" t="s">
        <v>6916</v>
      </c>
      <c r="C398" t="s">
        <v>18023</v>
      </c>
      <c r="D398">
        <v>144223</v>
      </c>
      <c r="E398">
        <v>36098</v>
      </c>
      <c r="F398">
        <v>209</v>
      </c>
      <c r="G398" t="s">
        <v>3863</v>
      </c>
      <c r="H398" t="s">
        <v>5082</v>
      </c>
      <c r="I398">
        <v>4525</v>
      </c>
      <c r="J398" t="s">
        <v>3438</v>
      </c>
      <c r="K398" t="s">
        <v>18024</v>
      </c>
      <c r="L398" t="s">
        <v>6915</v>
      </c>
      <c r="M398" t="s">
        <v>6917</v>
      </c>
      <c r="N398">
        <v>4932200</v>
      </c>
      <c r="O398" t="s">
        <v>6919</v>
      </c>
      <c r="P398" t="s">
        <v>6919</v>
      </c>
      <c r="Q398" t="s">
        <v>6920</v>
      </c>
      <c r="R398">
        <v>6426766</v>
      </c>
      <c r="S398">
        <v>6426766</v>
      </c>
      <c r="T398" t="s">
        <v>3469</v>
      </c>
    </row>
    <row r="399" spans="1:20" x14ac:dyDescent="0.2">
      <c r="A399" t="s">
        <v>1497</v>
      </c>
      <c r="B399" t="s">
        <v>6924</v>
      </c>
      <c r="C399" t="s">
        <v>18025</v>
      </c>
      <c r="D399">
        <v>144224</v>
      </c>
      <c r="E399">
        <v>36099</v>
      </c>
      <c r="F399">
        <v>209</v>
      </c>
      <c r="G399" t="s">
        <v>3863</v>
      </c>
      <c r="H399" t="s">
        <v>5082</v>
      </c>
      <c r="I399">
        <v>4523</v>
      </c>
      <c r="J399" t="s">
        <v>3438</v>
      </c>
      <c r="L399" t="s">
        <v>6923</v>
      </c>
      <c r="M399" t="s">
        <v>6926</v>
      </c>
      <c r="O399" t="s">
        <v>6927</v>
      </c>
      <c r="P399" t="s">
        <v>6927</v>
      </c>
      <c r="Q399" t="s">
        <v>6928</v>
      </c>
      <c r="R399">
        <v>20822574</v>
      </c>
      <c r="S399">
        <v>20822574</v>
      </c>
      <c r="T399" t="s">
        <v>3469</v>
      </c>
    </row>
    <row r="400" spans="1:20" x14ac:dyDescent="0.2">
      <c r="A400" t="s">
        <v>1491</v>
      </c>
      <c r="B400" t="s">
        <v>6932</v>
      </c>
      <c r="C400" t="s">
        <v>18026</v>
      </c>
      <c r="D400">
        <v>144225</v>
      </c>
      <c r="E400">
        <v>36095</v>
      </c>
      <c r="F400">
        <v>209</v>
      </c>
      <c r="G400" t="s">
        <v>3863</v>
      </c>
      <c r="H400" t="s">
        <v>3864</v>
      </c>
      <c r="I400">
        <v>5077</v>
      </c>
      <c r="J400" t="s">
        <v>3438</v>
      </c>
      <c r="K400" t="s">
        <v>18027</v>
      </c>
      <c r="L400" t="s">
        <v>6931</v>
      </c>
      <c r="M400" t="s">
        <v>6933</v>
      </c>
      <c r="N400">
        <v>10709958</v>
      </c>
      <c r="O400" t="s">
        <v>6935</v>
      </c>
      <c r="P400" t="s">
        <v>6935</v>
      </c>
      <c r="Q400" t="s">
        <v>6936</v>
      </c>
      <c r="R400">
        <v>12456386</v>
      </c>
      <c r="S400">
        <v>12456386</v>
      </c>
      <c r="T400" t="s">
        <v>3469</v>
      </c>
    </row>
    <row r="401" spans="1:20" x14ac:dyDescent="0.2">
      <c r="A401" t="s">
        <v>1495</v>
      </c>
      <c r="B401" t="s">
        <v>6940</v>
      </c>
      <c r="C401" t="s">
        <v>18028</v>
      </c>
      <c r="D401">
        <v>146966</v>
      </c>
      <c r="E401">
        <v>36749</v>
      </c>
      <c r="F401">
        <v>305</v>
      </c>
      <c r="G401" t="s">
        <v>3459</v>
      </c>
      <c r="H401" t="s">
        <v>3873</v>
      </c>
      <c r="I401">
        <v>1669</v>
      </c>
      <c r="J401" t="s">
        <v>3438</v>
      </c>
      <c r="K401" t="s">
        <v>18029</v>
      </c>
      <c r="L401" t="s">
        <v>6939</v>
      </c>
      <c r="M401" s="6">
        <v>423012</v>
      </c>
      <c r="N401">
        <v>11789</v>
      </c>
      <c r="O401" t="s">
        <v>6943</v>
      </c>
      <c r="P401" t="s">
        <v>6943</v>
      </c>
      <c r="R401">
        <v>12292</v>
      </c>
      <c r="S401">
        <v>12292</v>
      </c>
      <c r="T401" t="s">
        <v>3489</v>
      </c>
    </row>
    <row r="402" spans="1:20" x14ac:dyDescent="0.2">
      <c r="A402" t="s">
        <v>1487</v>
      </c>
      <c r="B402" t="s">
        <v>6947</v>
      </c>
      <c r="C402" t="s">
        <v>18030</v>
      </c>
      <c r="D402">
        <v>155071</v>
      </c>
      <c r="E402">
        <v>48428</v>
      </c>
      <c r="F402">
        <v>209</v>
      </c>
      <c r="G402" t="s">
        <v>3863</v>
      </c>
      <c r="H402" t="s">
        <v>3864</v>
      </c>
      <c r="I402">
        <v>5117</v>
      </c>
      <c r="J402" t="s">
        <v>3438</v>
      </c>
      <c r="K402" t="s">
        <v>18031</v>
      </c>
      <c r="L402" t="s">
        <v>6946</v>
      </c>
      <c r="M402" t="s">
        <v>6948</v>
      </c>
      <c r="N402">
        <v>19980286</v>
      </c>
      <c r="O402" t="s">
        <v>6950</v>
      </c>
      <c r="P402" t="s">
        <v>6950</v>
      </c>
      <c r="Q402" t="s">
        <v>6951</v>
      </c>
      <c r="R402">
        <v>14274616</v>
      </c>
      <c r="S402">
        <v>14274616</v>
      </c>
      <c r="T402" t="s">
        <v>3469</v>
      </c>
    </row>
    <row r="403" spans="1:20" x14ac:dyDescent="0.2">
      <c r="A403" t="s">
        <v>1481</v>
      </c>
      <c r="B403" t="s">
        <v>6955</v>
      </c>
      <c r="C403" t="s">
        <v>18032</v>
      </c>
      <c r="D403">
        <v>146821</v>
      </c>
      <c r="E403">
        <v>36602</v>
      </c>
      <c r="F403">
        <v>209</v>
      </c>
      <c r="G403" t="s">
        <v>3459</v>
      </c>
      <c r="H403" t="s">
        <v>5441</v>
      </c>
      <c r="I403">
        <v>2723</v>
      </c>
      <c r="J403" t="s">
        <v>3438</v>
      </c>
      <c r="L403" t="s">
        <v>6954</v>
      </c>
      <c r="O403" t="s">
        <v>6956</v>
      </c>
      <c r="P403" t="s">
        <v>6956</v>
      </c>
      <c r="R403">
        <v>86289645</v>
      </c>
      <c r="S403">
        <v>86289645</v>
      </c>
      <c r="T403" t="s">
        <v>3469</v>
      </c>
    </row>
    <row r="404" spans="1:20" x14ac:dyDescent="0.2">
      <c r="A404" t="s">
        <v>1479</v>
      </c>
      <c r="B404" t="s">
        <v>6960</v>
      </c>
      <c r="C404" t="s">
        <v>18033</v>
      </c>
      <c r="D404">
        <v>146822</v>
      </c>
      <c r="E404">
        <v>36594</v>
      </c>
      <c r="F404">
        <v>209</v>
      </c>
      <c r="G404" t="s">
        <v>3459</v>
      </c>
      <c r="H404" t="s">
        <v>5441</v>
      </c>
      <c r="I404">
        <v>2725</v>
      </c>
      <c r="J404" t="s">
        <v>3438</v>
      </c>
      <c r="L404" t="s">
        <v>6959</v>
      </c>
      <c r="P404">
        <v>0</v>
      </c>
      <c r="R404">
        <v>11124828</v>
      </c>
      <c r="S404">
        <v>11124828</v>
      </c>
      <c r="T404" t="s">
        <v>3469</v>
      </c>
    </row>
    <row r="405" spans="1:20" x14ac:dyDescent="0.2">
      <c r="A405" t="s">
        <v>1483</v>
      </c>
      <c r="B405" t="s">
        <v>7018</v>
      </c>
      <c r="C405" t="s">
        <v>18034</v>
      </c>
      <c r="D405">
        <v>143732</v>
      </c>
      <c r="E405">
        <v>36845</v>
      </c>
      <c r="F405">
        <v>209</v>
      </c>
      <c r="G405" t="s">
        <v>3863</v>
      </c>
      <c r="H405" t="s">
        <v>5082</v>
      </c>
      <c r="I405">
        <v>4559</v>
      </c>
      <c r="J405" t="s">
        <v>3438</v>
      </c>
      <c r="K405" t="s">
        <v>18035</v>
      </c>
      <c r="L405" t="s">
        <v>7017</v>
      </c>
      <c r="N405">
        <v>9790277</v>
      </c>
      <c r="O405" t="s">
        <v>6218</v>
      </c>
      <c r="P405" t="s">
        <v>6218</v>
      </c>
      <c r="R405">
        <v>11615528</v>
      </c>
      <c r="S405">
        <v>11615528</v>
      </c>
      <c r="T405" t="s">
        <v>3469</v>
      </c>
    </row>
    <row r="406" spans="1:20" x14ac:dyDescent="0.2">
      <c r="A406" t="s">
        <v>1501</v>
      </c>
      <c r="B406" t="s">
        <v>7023</v>
      </c>
      <c r="C406" t="s">
        <v>18036</v>
      </c>
      <c r="D406">
        <v>156271</v>
      </c>
      <c r="E406">
        <v>36808</v>
      </c>
      <c r="F406">
        <v>400</v>
      </c>
      <c r="G406" t="s">
        <v>3436</v>
      </c>
      <c r="H406" t="s">
        <v>3661</v>
      </c>
      <c r="I406">
        <v>498</v>
      </c>
      <c r="J406" t="s">
        <v>3438</v>
      </c>
      <c r="K406" t="s">
        <v>18037</v>
      </c>
      <c r="L406" t="s">
        <v>7022</v>
      </c>
      <c r="M406" t="s">
        <v>7025</v>
      </c>
      <c r="N406">
        <v>110375</v>
      </c>
      <c r="O406" t="s">
        <v>7027</v>
      </c>
      <c r="P406" t="s">
        <v>7027</v>
      </c>
      <c r="Q406" t="s">
        <v>7028</v>
      </c>
      <c r="R406" s="5">
        <v>123831169148</v>
      </c>
      <c r="S406" t="s">
        <v>18038</v>
      </c>
      <c r="T406" t="s">
        <v>3458</v>
      </c>
    </row>
    <row r="407" spans="1:20" x14ac:dyDescent="0.2">
      <c r="A407" t="s">
        <v>1505</v>
      </c>
      <c r="B407" t="s">
        <v>7032</v>
      </c>
      <c r="C407" t="s">
        <v>18039</v>
      </c>
      <c r="D407">
        <v>156289</v>
      </c>
      <c r="E407">
        <v>37063</v>
      </c>
      <c r="F407">
        <v>400</v>
      </c>
      <c r="G407" t="s">
        <v>3853</v>
      </c>
      <c r="H407" t="s">
        <v>3854</v>
      </c>
      <c r="I407">
        <v>632</v>
      </c>
      <c r="J407" t="s">
        <v>3438</v>
      </c>
      <c r="K407" t="s">
        <v>18040</v>
      </c>
      <c r="L407" t="s">
        <v>7031</v>
      </c>
      <c r="M407" t="s">
        <v>7033</v>
      </c>
      <c r="N407">
        <v>389104</v>
      </c>
      <c r="O407" t="s">
        <v>7035</v>
      </c>
      <c r="P407" t="s">
        <v>7035</v>
      </c>
      <c r="Q407" t="s">
        <v>7036</v>
      </c>
      <c r="R407">
        <v>440103</v>
      </c>
      <c r="S407">
        <v>440103</v>
      </c>
      <c r="T407" t="s">
        <v>3458</v>
      </c>
    </row>
    <row r="408" spans="1:20" x14ac:dyDescent="0.2">
      <c r="A408" t="s">
        <v>1493</v>
      </c>
      <c r="B408" t="s">
        <v>7040</v>
      </c>
      <c r="C408" t="s">
        <v>18041</v>
      </c>
      <c r="D408">
        <v>147598</v>
      </c>
      <c r="E408">
        <v>37076</v>
      </c>
      <c r="F408">
        <v>305</v>
      </c>
      <c r="G408" t="s">
        <v>3436</v>
      </c>
      <c r="H408" t="s">
        <v>3882</v>
      </c>
      <c r="I408">
        <v>11</v>
      </c>
      <c r="J408" t="s">
        <v>3438</v>
      </c>
      <c r="K408" t="s">
        <v>18042</v>
      </c>
      <c r="L408" t="s">
        <v>7039</v>
      </c>
      <c r="M408" t="s">
        <v>7041</v>
      </c>
      <c r="N408">
        <v>58744</v>
      </c>
      <c r="O408" t="s">
        <v>7043</v>
      </c>
      <c r="P408" t="s">
        <v>7043</v>
      </c>
      <c r="R408">
        <v>65249</v>
      </c>
      <c r="S408">
        <v>65249</v>
      </c>
      <c r="T408" t="s">
        <v>3489</v>
      </c>
    </row>
    <row r="409" spans="1:20" x14ac:dyDescent="0.2">
      <c r="A409" t="s">
        <v>1499</v>
      </c>
      <c r="B409" t="s">
        <v>7047</v>
      </c>
      <c r="C409" t="s">
        <v>18043</v>
      </c>
      <c r="D409">
        <v>164202</v>
      </c>
      <c r="E409">
        <v>42448</v>
      </c>
      <c r="F409">
        <v>402</v>
      </c>
      <c r="G409" t="s">
        <v>3459</v>
      </c>
      <c r="H409" t="s">
        <v>5006</v>
      </c>
      <c r="I409">
        <v>2425</v>
      </c>
      <c r="J409" t="s">
        <v>3438</v>
      </c>
      <c r="L409" t="s">
        <v>7046</v>
      </c>
      <c r="O409" t="s">
        <v>7048</v>
      </c>
      <c r="P409" t="s">
        <v>7048</v>
      </c>
      <c r="R409">
        <v>9546742</v>
      </c>
      <c r="S409">
        <v>9546742</v>
      </c>
      <c r="T409" t="s">
        <v>3447</v>
      </c>
    </row>
    <row r="410" spans="1:20" x14ac:dyDescent="0.2">
      <c r="A410" t="s">
        <v>13864</v>
      </c>
      <c r="B410" t="s">
        <v>7052</v>
      </c>
      <c r="C410" t="s">
        <v>18044</v>
      </c>
      <c r="D410">
        <v>145854</v>
      </c>
      <c r="E410">
        <v>37112</v>
      </c>
      <c r="F410">
        <v>305</v>
      </c>
      <c r="G410" t="s">
        <v>3459</v>
      </c>
      <c r="H410" t="s">
        <v>3937</v>
      </c>
      <c r="I410">
        <v>2202</v>
      </c>
      <c r="J410" t="s">
        <v>3438</v>
      </c>
      <c r="K410" t="s">
        <v>18045</v>
      </c>
      <c r="L410" t="s">
        <v>7051</v>
      </c>
      <c r="M410" t="s">
        <v>7053</v>
      </c>
      <c r="N410">
        <v>10254647</v>
      </c>
      <c r="O410" t="s">
        <v>7055</v>
      </c>
      <c r="P410" t="s">
        <v>7055</v>
      </c>
      <c r="Q410" t="s">
        <v>7056</v>
      </c>
      <c r="S410">
        <v>0</v>
      </c>
      <c r="T410" t="s">
        <v>3489</v>
      </c>
    </row>
    <row r="411" spans="1:20" x14ac:dyDescent="0.2">
      <c r="A411" t="s">
        <v>1530</v>
      </c>
      <c r="B411" t="s">
        <v>7059</v>
      </c>
      <c r="C411" t="s">
        <v>18046</v>
      </c>
      <c r="D411">
        <v>144354</v>
      </c>
      <c r="E411">
        <v>37181</v>
      </c>
      <c r="F411">
        <v>209</v>
      </c>
      <c r="G411" t="s">
        <v>3863</v>
      </c>
      <c r="H411" t="s">
        <v>3864</v>
      </c>
      <c r="I411">
        <v>5088</v>
      </c>
      <c r="J411" t="s">
        <v>3438</v>
      </c>
      <c r="L411" t="s">
        <v>7058</v>
      </c>
      <c r="P411" t="s">
        <v>18047</v>
      </c>
      <c r="R411">
        <v>66633409</v>
      </c>
      <c r="S411">
        <v>66633409</v>
      </c>
      <c r="T411" t="s">
        <v>3469</v>
      </c>
    </row>
    <row r="412" spans="1:20" x14ac:dyDescent="0.2">
      <c r="A412" t="s">
        <v>3063</v>
      </c>
      <c r="B412" t="s">
        <v>7063</v>
      </c>
      <c r="C412" t="s">
        <v>18048</v>
      </c>
      <c r="D412">
        <v>164205</v>
      </c>
      <c r="E412">
        <v>42450</v>
      </c>
      <c r="F412">
        <v>402</v>
      </c>
      <c r="G412" t="s">
        <v>3459</v>
      </c>
      <c r="H412" t="s">
        <v>5021</v>
      </c>
      <c r="I412">
        <v>2333</v>
      </c>
      <c r="J412" t="s">
        <v>3438</v>
      </c>
      <c r="K412" t="s">
        <v>18049</v>
      </c>
      <c r="L412" t="s">
        <v>7062</v>
      </c>
      <c r="M412" t="s">
        <v>7064</v>
      </c>
      <c r="N412">
        <v>17347139</v>
      </c>
      <c r="O412" t="s">
        <v>7066</v>
      </c>
      <c r="P412" t="s">
        <v>7066</v>
      </c>
      <c r="R412">
        <v>16219824</v>
      </c>
      <c r="S412">
        <v>16219824</v>
      </c>
      <c r="T412" t="s">
        <v>3447</v>
      </c>
    </row>
    <row r="413" spans="1:20" x14ac:dyDescent="0.2">
      <c r="A413" t="s">
        <v>1524</v>
      </c>
      <c r="B413" t="s">
        <v>7070</v>
      </c>
      <c r="C413" t="s">
        <v>18050</v>
      </c>
      <c r="D413">
        <v>164197</v>
      </c>
      <c r="E413">
        <v>42449</v>
      </c>
      <c r="F413">
        <v>402</v>
      </c>
      <c r="G413" t="s">
        <v>3459</v>
      </c>
      <c r="H413" t="s">
        <v>5006</v>
      </c>
      <c r="I413">
        <v>2410</v>
      </c>
      <c r="J413" t="s">
        <v>3438</v>
      </c>
      <c r="K413" t="s">
        <v>18051</v>
      </c>
      <c r="L413" t="s">
        <v>7069</v>
      </c>
      <c r="N413">
        <v>7825697</v>
      </c>
      <c r="O413" t="s">
        <v>7072</v>
      </c>
      <c r="P413" t="s">
        <v>7072</v>
      </c>
      <c r="R413">
        <v>9546747</v>
      </c>
      <c r="S413">
        <v>9546747</v>
      </c>
      <c r="T413" t="s">
        <v>3447</v>
      </c>
    </row>
    <row r="414" spans="1:20" x14ac:dyDescent="0.2">
      <c r="A414" t="s">
        <v>1526</v>
      </c>
      <c r="B414" t="s">
        <v>7076</v>
      </c>
      <c r="C414" t="s">
        <v>18052</v>
      </c>
      <c r="D414">
        <v>165336</v>
      </c>
      <c r="E414">
        <v>52605</v>
      </c>
      <c r="F414">
        <v>402</v>
      </c>
      <c r="G414" t="s">
        <v>3459</v>
      </c>
      <c r="H414" t="s">
        <v>3836</v>
      </c>
      <c r="I414">
        <v>3001</v>
      </c>
      <c r="J414" t="s">
        <v>3438</v>
      </c>
      <c r="K414" t="s">
        <v>18053</v>
      </c>
      <c r="L414" t="s">
        <v>7075</v>
      </c>
      <c r="M414" t="s">
        <v>7077</v>
      </c>
      <c r="N414">
        <v>505</v>
      </c>
      <c r="O414" t="s">
        <v>7079</v>
      </c>
      <c r="P414" t="s">
        <v>7079</v>
      </c>
      <c r="R414">
        <v>520</v>
      </c>
      <c r="S414">
        <v>520</v>
      </c>
      <c r="T414" t="s">
        <v>3447</v>
      </c>
    </row>
    <row r="415" spans="1:20" x14ac:dyDescent="0.2">
      <c r="A415" t="s">
        <v>1528</v>
      </c>
      <c r="B415" t="s">
        <v>7084</v>
      </c>
      <c r="C415" t="s">
        <v>18054</v>
      </c>
      <c r="D415">
        <v>164199</v>
      </c>
      <c r="E415">
        <v>52234</v>
      </c>
      <c r="F415">
        <v>402</v>
      </c>
      <c r="G415" t="s">
        <v>3459</v>
      </c>
      <c r="H415" t="s">
        <v>7081</v>
      </c>
      <c r="I415">
        <v>3058</v>
      </c>
      <c r="J415" t="s">
        <v>3438</v>
      </c>
      <c r="L415" t="s">
        <v>7083</v>
      </c>
      <c r="P415">
        <v>0</v>
      </c>
      <c r="S415">
        <v>0</v>
      </c>
      <c r="T415" t="s">
        <v>3447</v>
      </c>
    </row>
    <row r="416" spans="1:20" x14ac:dyDescent="0.2">
      <c r="A416" t="s">
        <v>13866</v>
      </c>
      <c r="B416" t="s">
        <v>7094</v>
      </c>
      <c r="C416" t="s">
        <v>18055</v>
      </c>
      <c r="D416">
        <v>156287</v>
      </c>
      <c r="E416">
        <v>37058</v>
      </c>
      <c r="F416">
        <v>400</v>
      </c>
      <c r="G416" t="s">
        <v>3479</v>
      </c>
      <c r="H416" t="s">
        <v>3480</v>
      </c>
      <c r="I416">
        <v>1447</v>
      </c>
      <c r="J416" t="s">
        <v>3438</v>
      </c>
      <c r="L416" t="s">
        <v>7093</v>
      </c>
      <c r="M416" t="s">
        <v>7095</v>
      </c>
      <c r="N416">
        <v>28639166</v>
      </c>
      <c r="O416" t="s">
        <v>7097</v>
      </c>
      <c r="P416" t="s">
        <v>7097</v>
      </c>
      <c r="R416">
        <v>71464481</v>
      </c>
      <c r="S416">
        <v>71464481</v>
      </c>
      <c r="T416" t="s">
        <v>3458</v>
      </c>
    </row>
    <row r="417" spans="1:20" x14ac:dyDescent="0.2">
      <c r="A417" t="s">
        <v>3065</v>
      </c>
      <c r="B417" t="s">
        <v>7101</v>
      </c>
      <c r="C417" t="s">
        <v>18056</v>
      </c>
      <c r="D417">
        <v>158528</v>
      </c>
      <c r="E417">
        <v>32586</v>
      </c>
      <c r="F417">
        <v>402</v>
      </c>
      <c r="G417" t="s">
        <v>3448</v>
      </c>
      <c r="H417" t="s">
        <v>3714</v>
      </c>
      <c r="I417">
        <v>4409</v>
      </c>
      <c r="J417" t="s">
        <v>3438</v>
      </c>
      <c r="K417" t="s">
        <v>18057</v>
      </c>
      <c r="L417" t="s">
        <v>7100</v>
      </c>
      <c r="N417">
        <v>4474753</v>
      </c>
      <c r="P417" t="s">
        <v>7103</v>
      </c>
      <c r="R417">
        <v>129320511</v>
      </c>
      <c r="S417">
        <v>5315454</v>
      </c>
      <c r="T417" t="s">
        <v>3447</v>
      </c>
    </row>
    <row r="418" spans="1:20" x14ac:dyDescent="0.2">
      <c r="A418" t="s">
        <v>3067</v>
      </c>
      <c r="B418" t="s">
        <v>7107</v>
      </c>
      <c r="C418" t="s">
        <v>18058</v>
      </c>
      <c r="D418">
        <v>160233</v>
      </c>
      <c r="E418">
        <v>47886</v>
      </c>
      <c r="F418">
        <v>402</v>
      </c>
      <c r="G418" t="s">
        <v>3448</v>
      </c>
      <c r="H418" t="s">
        <v>3714</v>
      </c>
      <c r="I418">
        <v>4410</v>
      </c>
      <c r="J418" t="s">
        <v>3438</v>
      </c>
      <c r="K418" t="s">
        <v>18059</v>
      </c>
      <c r="L418" t="s">
        <v>7106</v>
      </c>
      <c r="N418">
        <v>4705847</v>
      </c>
      <c r="O418" t="s">
        <v>7109</v>
      </c>
      <c r="P418" t="s">
        <v>7109</v>
      </c>
      <c r="Q418" t="s">
        <v>4646</v>
      </c>
      <c r="R418">
        <v>5799469</v>
      </c>
      <c r="S418">
        <v>5799469</v>
      </c>
      <c r="T418" t="s">
        <v>3447</v>
      </c>
    </row>
    <row r="419" spans="1:20" x14ac:dyDescent="0.2">
      <c r="A419" t="s">
        <v>1509</v>
      </c>
      <c r="B419" t="s">
        <v>7113</v>
      </c>
      <c r="C419" t="s">
        <v>18060</v>
      </c>
      <c r="D419">
        <v>156358</v>
      </c>
      <c r="E419">
        <v>37431</v>
      </c>
      <c r="F419">
        <v>400</v>
      </c>
      <c r="G419" t="s">
        <v>3436</v>
      </c>
      <c r="H419" t="s">
        <v>3661</v>
      </c>
      <c r="I419">
        <v>518</v>
      </c>
      <c r="J419" t="s">
        <v>3438</v>
      </c>
      <c r="K419" t="s">
        <v>18061</v>
      </c>
      <c r="L419" t="s">
        <v>7112</v>
      </c>
      <c r="M419" t="s">
        <v>7114</v>
      </c>
      <c r="N419">
        <v>541</v>
      </c>
      <c r="O419" t="s">
        <v>7116</v>
      </c>
      <c r="P419" t="s">
        <v>7116</v>
      </c>
      <c r="R419">
        <v>643474</v>
      </c>
      <c r="S419">
        <v>643474</v>
      </c>
      <c r="T419" t="s">
        <v>3458</v>
      </c>
    </row>
    <row r="420" spans="1:20" x14ac:dyDescent="0.2">
      <c r="A420" t="s">
        <v>1511</v>
      </c>
      <c r="B420" t="s">
        <v>7120</v>
      </c>
      <c r="C420" t="s">
        <v>18062</v>
      </c>
      <c r="D420">
        <v>211608</v>
      </c>
      <c r="E420">
        <v>57591</v>
      </c>
      <c r="F420">
        <v>402</v>
      </c>
      <c r="G420" t="s">
        <v>3448</v>
      </c>
      <c r="H420" t="s">
        <v>4124</v>
      </c>
      <c r="I420">
        <v>4435</v>
      </c>
      <c r="J420" t="s">
        <v>3438</v>
      </c>
      <c r="K420" t="s">
        <v>18063</v>
      </c>
      <c r="L420" t="s">
        <v>7119</v>
      </c>
      <c r="M420" t="s">
        <v>7121</v>
      </c>
      <c r="N420">
        <v>4904571</v>
      </c>
      <c r="O420" t="s">
        <v>7123</v>
      </c>
      <c r="P420" t="s">
        <v>7123</v>
      </c>
      <c r="Q420" t="s">
        <v>7124</v>
      </c>
      <c r="R420">
        <v>5281235</v>
      </c>
      <c r="S420">
        <v>5281235</v>
      </c>
      <c r="T420" t="s">
        <v>3447</v>
      </c>
    </row>
    <row r="421" spans="1:20" x14ac:dyDescent="0.2">
      <c r="A421" t="s">
        <v>1507</v>
      </c>
      <c r="B421" t="s">
        <v>7128</v>
      </c>
      <c r="C421" t="s">
        <v>18064</v>
      </c>
      <c r="D421">
        <v>144226</v>
      </c>
      <c r="E421">
        <v>37190</v>
      </c>
      <c r="F421">
        <v>209</v>
      </c>
      <c r="G421" t="s">
        <v>3459</v>
      </c>
      <c r="H421" t="s">
        <v>5559</v>
      </c>
      <c r="I421">
        <v>3386</v>
      </c>
      <c r="J421" t="s">
        <v>3438</v>
      </c>
      <c r="L421" t="s">
        <v>7127</v>
      </c>
      <c r="M421" t="s">
        <v>7129</v>
      </c>
      <c r="O421" t="s">
        <v>7130</v>
      </c>
      <c r="P421" t="s">
        <v>7130</v>
      </c>
      <c r="Q421" t="s">
        <v>7131</v>
      </c>
      <c r="R421">
        <v>90186325</v>
      </c>
      <c r="S421">
        <v>90186325</v>
      </c>
      <c r="T421" t="s">
        <v>3469</v>
      </c>
    </row>
    <row r="422" spans="1:20" x14ac:dyDescent="0.2">
      <c r="A422" t="s">
        <v>1513</v>
      </c>
      <c r="B422" t="s">
        <v>7136</v>
      </c>
      <c r="C422" t="s">
        <v>18065</v>
      </c>
      <c r="D422">
        <v>144254</v>
      </c>
      <c r="E422">
        <v>37198</v>
      </c>
      <c r="F422">
        <v>209</v>
      </c>
      <c r="G422" t="s">
        <v>3459</v>
      </c>
      <c r="H422" t="s">
        <v>7133</v>
      </c>
      <c r="I422">
        <v>3280</v>
      </c>
      <c r="J422" t="s">
        <v>3438</v>
      </c>
      <c r="L422" t="s">
        <v>7135</v>
      </c>
      <c r="O422" t="s">
        <v>7137</v>
      </c>
      <c r="P422" t="s">
        <v>7137</v>
      </c>
      <c r="R422">
        <v>118703093</v>
      </c>
      <c r="S422">
        <v>118703093</v>
      </c>
      <c r="T422" t="s">
        <v>3469</v>
      </c>
    </row>
    <row r="423" spans="1:20" x14ac:dyDescent="0.2">
      <c r="A423" t="s">
        <v>1519</v>
      </c>
      <c r="B423" t="s">
        <v>7141</v>
      </c>
      <c r="C423" t="s">
        <v>18066</v>
      </c>
      <c r="D423">
        <v>142563</v>
      </c>
      <c r="E423">
        <v>32599</v>
      </c>
      <c r="F423">
        <v>209</v>
      </c>
      <c r="G423" t="s">
        <v>3459</v>
      </c>
      <c r="H423" t="s">
        <v>3819</v>
      </c>
      <c r="I423">
        <v>3535</v>
      </c>
      <c r="J423" t="s">
        <v>3438</v>
      </c>
      <c r="L423" t="s">
        <v>7140</v>
      </c>
      <c r="P423">
        <v>0</v>
      </c>
      <c r="S423">
        <v>145453482</v>
      </c>
      <c r="T423" t="s">
        <v>3469</v>
      </c>
    </row>
    <row r="424" spans="1:20" x14ac:dyDescent="0.2">
      <c r="A424" t="s">
        <v>1515</v>
      </c>
      <c r="B424" t="s">
        <v>7144</v>
      </c>
      <c r="C424" t="s">
        <v>18067</v>
      </c>
      <c r="D424">
        <v>142566</v>
      </c>
      <c r="E424">
        <v>32807</v>
      </c>
      <c r="F424">
        <v>209</v>
      </c>
      <c r="G424" t="s">
        <v>3459</v>
      </c>
      <c r="H424" t="s">
        <v>3819</v>
      </c>
      <c r="I424">
        <v>3536</v>
      </c>
      <c r="J424" t="s">
        <v>3438</v>
      </c>
      <c r="L424" t="s">
        <v>7143</v>
      </c>
      <c r="P424">
        <v>0</v>
      </c>
      <c r="S424">
        <v>145453483</v>
      </c>
      <c r="T424" t="s">
        <v>3469</v>
      </c>
    </row>
    <row r="425" spans="1:20" x14ac:dyDescent="0.2">
      <c r="A425" t="s">
        <v>1521</v>
      </c>
      <c r="B425" t="s">
        <v>7147</v>
      </c>
      <c r="C425" t="s">
        <v>18068</v>
      </c>
      <c r="D425">
        <v>144229</v>
      </c>
      <c r="E425">
        <v>37202</v>
      </c>
      <c r="F425">
        <v>209</v>
      </c>
      <c r="G425" t="s">
        <v>3459</v>
      </c>
      <c r="H425" t="s">
        <v>5559</v>
      </c>
      <c r="I425">
        <v>3363</v>
      </c>
      <c r="J425" t="s">
        <v>3438</v>
      </c>
      <c r="L425" t="s">
        <v>7146</v>
      </c>
      <c r="O425" t="s">
        <v>7148</v>
      </c>
      <c r="P425" t="s">
        <v>7148</v>
      </c>
      <c r="Q425" t="s">
        <v>7149</v>
      </c>
      <c r="R425">
        <v>87120982</v>
      </c>
      <c r="S425">
        <v>87120982</v>
      </c>
      <c r="T425" t="s">
        <v>3469</v>
      </c>
    </row>
    <row r="426" spans="1:20" x14ac:dyDescent="0.2">
      <c r="A426" t="s">
        <v>1517</v>
      </c>
      <c r="B426" t="s">
        <v>7154</v>
      </c>
      <c r="C426" t="s">
        <v>18069</v>
      </c>
      <c r="D426">
        <v>149820</v>
      </c>
      <c r="E426">
        <v>32562</v>
      </c>
      <c r="F426">
        <v>209</v>
      </c>
      <c r="G426" t="s">
        <v>3459</v>
      </c>
      <c r="H426" t="s">
        <v>7151</v>
      </c>
      <c r="I426">
        <v>3260</v>
      </c>
      <c r="J426" t="s">
        <v>3438</v>
      </c>
      <c r="L426" t="s">
        <v>7153</v>
      </c>
      <c r="P426">
        <v>0</v>
      </c>
      <c r="S426">
        <v>0</v>
      </c>
      <c r="T426" t="s">
        <v>3469</v>
      </c>
    </row>
    <row r="427" spans="1:20" x14ac:dyDescent="0.2">
      <c r="A427" t="s">
        <v>1537</v>
      </c>
      <c r="B427" t="s">
        <v>7157</v>
      </c>
      <c r="C427" t="s">
        <v>18070</v>
      </c>
      <c r="D427">
        <v>144269</v>
      </c>
      <c r="E427">
        <v>37203</v>
      </c>
      <c r="F427">
        <v>209</v>
      </c>
      <c r="G427" t="s">
        <v>3459</v>
      </c>
      <c r="H427" t="s">
        <v>5559</v>
      </c>
      <c r="I427">
        <v>3364</v>
      </c>
      <c r="J427" t="s">
        <v>3438</v>
      </c>
      <c r="L427" t="s">
        <v>7156</v>
      </c>
      <c r="O427" t="s">
        <v>7148</v>
      </c>
      <c r="P427" t="s">
        <v>7148</v>
      </c>
      <c r="R427">
        <v>87120982</v>
      </c>
      <c r="S427">
        <v>87120982</v>
      </c>
      <c r="T427" t="s">
        <v>3469</v>
      </c>
    </row>
    <row r="428" spans="1:20" x14ac:dyDescent="0.2">
      <c r="A428" t="s">
        <v>1533</v>
      </c>
      <c r="B428" t="s">
        <v>7160</v>
      </c>
      <c r="C428" t="s">
        <v>18071</v>
      </c>
      <c r="D428">
        <v>143743</v>
      </c>
      <c r="E428">
        <v>46115</v>
      </c>
      <c r="F428">
        <v>209</v>
      </c>
      <c r="G428" t="s">
        <v>3459</v>
      </c>
      <c r="H428" t="s">
        <v>7151</v>
      </c>
      <c r="I428">
        <v>3253</v>
      </c>
      <c r="J428" t="s">
        <v>3438</v>
      </c>
      <c r="K428" t="s">
        <v>18072</v>
      </c>
      <c r="L428" t="s">
        <v>7159</v>
      </c>
      <c r="M428" t="s">
        <v>7161</v>
      </c>
      <c r="N428">
        <v>118625</v>
      </c>
      <c r="P428">
        <v>0</v>
      </c>
      <c r="R428">
        <v>134595</v>
      </c>
      <c r="S428">
        <v>134595</v>
      </c>
      <c r="T428" t="s">
        <v>3469</v>
      </c>
    </row>
    <row r="429" spans="1:20" x14ac:dyDescent="0.2">
      <c r="A429" t="s">
        <v>1535</v>
      </c>
      <c r="B429" t="s">
        <v>7166</v>
      </c>
      <c r="C429" t="s">
        <v>18073</v>
      </c>
      <c r="D429">
        <v>144260</v>
      </c>
      <c r="E429">
        <v>37183</v>
      </c>
      <c r="F429">
        <v>209</v>
      </c>
      <c r="G429" t="s">
        <v>3459</v>
      </c>
      <c r="H429" t="s">
        <v>5559</v>
      </c>
      <c r="I429">
        <v>3358</v>
      </c>
      <c r="J429" t="s">
        <v>3438</v>
      </c>
      <c r="L429" t="s">
        <v>7165</v>
      </c>
      <c r="O429" t="s">
        <v>7167</v>
      </c>
      <c r="P429" t="s">
        <v>7167</v>
      </c>
      <c r="S429">
        <v>0</v>
      </c>
      <c r="T429" t="s">
        <v>3469</v>
      </c>
    </row>
    <row r="430" spans="1:20" x14ac:dyDescent="0.2">
      <c r="A430" t="s">
        <v>1541</v>
      </c>
      <c r="B430" t="s">
        <v>7170</v>
      </c>
      <c r="C430" t="s">
        <v>18074</v>
      </c>
      <c r="D430">
        <v>144279</v>
      </c>
      <c r="E430">
        <v>37196</v>
      </c>
      <c r="F430">
        <v>209</v>
      </c>
      <c r="G430" t="s">
        <v>3459</v>
      </c>
      <c r="H430" t="s">
        <v>7133</v>
      </c>
      <c r="I430">
        <v>3271</v>
      </c>
      <c r="J430" t="s">
        <v>3438</v>
      </c>
      <c r="L430" t="s">
        <v>7169</v>
      </c>
      <c r="O430" t="s">
        <v>7171</v>
      </c>
      <c r="P430" t="s">
        <v>7171</v>
      </c>
      <c r="S430">
        <v>0</v>
      </c>
      <c r="T430" t="s">
        <v>3469</v>
      </c>
    </row>
    <row r="431" spans="1:20" x14ac:dyDescent="0.2">
      <c r="A431" t="s">
        <v>1543</v>
      </c>
      <c r="B431" t="s">
        <v>7174</v>
      </c>
      <c r="C431" t="s">
        <v>18075</v>
      </c>
      <c r="D431">
        <v>144283</v>
      </c>
      <c r="E431">
        <v>37200</v>
      </c>
      <c r="F431">
        <v>209</v>
      </c>
      <c r="G431" t="s">
        <v>3459</v>
      </c>
      <c r="H431" t="s">
        <v>7133</v>
      </c>
      <c r="I431">
        <v>3274</v>
      </c>
      <c r="J431" t="s">
        <v>3438</v>
      </c>
      <c r="L431" t="s">
        <v>7173</v>
      </c>
      <c r="P431">
        <v>0</v>
      </c>
      <c r="S431">
        <v>0</v>
      </c>
      <c r="T431" t="s">
        <v>3469</v>
      </c>
    </row>
    <row r="432" spans="1:20" x14ac:dyDescent="0.2">
      <c r="A432" t="s">
        <v>1549</v>
      </c>
      <c r="B432" t="s">
        <v>7177</v>
      </c>
      <c r="C432" t="s">
        <v>18076</v>
      </c>
      <c r="D432">
        <v>144285</v>
      </c>
      <c r="E432">
        <v>46172</v>
      </c>
      <c r="F432">
        <v>209</v>
      </c>
      <c r="G432" t="s">
        <v>3459</v>
      </c>
      <c r="H432" t="s">
        <v>7133</v>
      </c>
      <c r="I432">
        <v>3281</v>
      </c>
      <c r="J432" t="s">
        <v>3438</v>
      </c>
      <c r="K432" t="s">
        <v>18077</v>
      </c>
      <c r="L432" t="s">
        <v>7176</v>
      </c>
      <c r="N432">
        <v>4302261</v>
      </c>
      <c r="O432" t="s">
        <v>7179</v>
      </c>
      <c r="P432" t="s">
        <v>7179</v>
      </c>
      <c r="R432" s="5">
        <v>30822775127902</v>
      </c>
      <c r="S432" t="s">
        <v>18078</v>
      </c>
      <c r="T432" t="s">
        <v>3469</v>
      </c>
    </row>
    <row r="433" spans="1:20" x14ac:dyDescent="0.2">
      <c r="A433" t="s">
        <v>1553</v>
      </c>
      <c r="B433" t="s">
        <v>7183</v>
      </c>
      <c r="C433" t="s">
        <v>18079</v>
      </c>
      <c r="D433">
        <v>144264</v>
      </c>
      <c r="E433">
        <v>37184</v>
      </c>
      <c r="F433">
        <v>209</v>
      </c>
      <c r="G433" t="s">
        <v>3459</v>
      </c>
      <c r="H433" t="s">
        <v>5559</v>
      </c>
      <c r="I433">
        <v>3380</v>
      </c>
      <c r="J433" t="s">
        <v>3438</v>
      </c>
      <c r="L433" t="s">
        <v>7182</v>
      </c>
      <c r="O433" t="s">
        <v>7184</v>
      </c>
      <c r="P433" t="s">
        <v>7184</v>
      </c>
      <c r="R433">
        <v>56639109</v>
      </c>
      <c r="S433">
        <v>56639109</v>
      </c>
      <c r="T433" t="s">
        <v>3469</v>
      </c>
    </row>
    <row r="434" spans="1:20" x14ac:dyDescent="0.2">
      <c r="A434" t="s">
        <v>1551</v>
      </c>
      <c r="B434" t="s">
        <v>7188</v>
      </c>
      <c r="C434" t="s">
        <v>18080</v>
      </c>
      <c r="D434">
        <v>144270</v>
      </c>
      <c r="E434">
        <v>37186</v>
      </c>
      <c r="F434">
        <v>209</v>
      </c>
      <c r="G434" t="s">
        <v>3459</v>
      </c>
      <c r="H434" t="s">
        <v>5559</v>
      </c>
      <c r="I434">
        <v>3378</v>
      </c>
      <c r="J434" t="s">
        <v>3438</v>
      </c>
      <c r="L434" t="s">
        <v>7187</v>
      </c>
      <c r="P434">
        <v>0</v>
      </c>
      <c r="R434" s="5">
        <v>1.21596226121596E+17</v>
      </c>
      <c r="S434">
        <v>121596226</v>
      </c>
      <c r="T434" t="s">
        <v>3469</v>
      </c>
    </row>
    <row r="435" spans="1:20" x14ac:dyDescent="0.2">
      <c r="A435" t="s">
        <v>1539</v>
      </c>
      <c r="B435" t="s">
        <v>7192</v>
      </c>
      <c r="C435" t="s">
        <v>18081</v>
      </c>
      <c r="D435">
        <v>144291</v>
      </c>
      <c r="E435">
        <v>37187</v>
      </c>
      <c r="F435">
        <v>209</v>
      </c>
      <c r="G435" t="s">
        <v>3459</v>
      </c>
      <c r="H435" t="s">
        <v>5559</v>
      </c>
      <c r="I435">
        <v>3389</v>
      </c>
      <c r="J435" t="s">
        <v>3438</v>
      </c>
      <c r="L435" t="s">
        <v>7191</v>
      </c>
      <c r="O435" t="s">
        <v>7184</v>
      </c>
      <c r="P435" t="s">
        <v>7184</v>
      </c>
      <c r="R435">
        <v>56639109</v>
      </c>
      <c r="S435">
        <v>56639109</v>
      </c>
      <c r="T435" t="s">
        <v>3469</v>
      </c>
    </row>
    <row r="436" spans="1:20" x14ac:dyDescent="0.2">
      <c r="A436" t="s">
        <v>1545</v>
      </c>
      <c r="B436" t="s">
        <v>7195</v>
      </c>
      <c r="C436" t="s">
        <v>18082</v>
      </c>
      <c r="D436">
        <v>144276</v>
      </c>
      <c r="E436">
        <v>37192</v>
      </c>
      <c r="F436">
        <v>209</v>
      </c>
      <c r="G436" t="s">
        <v>3459</v>
      </c>
      <c r="H436" t="s">
        <v>5559</v>
      </c>
      <c r="I436">
        <v>3385</v>
      </c>
      <c r="J436" t="s">
        <v>3438</v>
      </c>
      <c r="L436" t="s">
        <v>7194</v>
      </c>
      <c r="P436">
        <v>0</v>
      </c>
      <c r="S436">
        <v>0</v>
      </c>
      <c r="T436" t="s">
        <v>3469</v>
      </c>
    </row>
    <row r="437" spans="1:20" x14ac:dyDescent="0.2">
      <c r="A437" t="s">
        <v>1547</v>
      </c>
      <c r="B437" t="s">
        <v>7201</v>
      </c>
      <c r="C437" t="s">
        <v>18083</v>
      </c>
      <c r="D437">
        <v>144214</v>
      </c>
      <c r="E437">
        <v>37209</v>
      </c>
      <c r="F437">
        <v>209</v>
      </c>
      <c r="G437" t="s">
        <v>3459</v>
      </c>
      <c r="H437" t="s">
        <v>5559</v>
      </c>
      <c r="I437">
        <v>3368</v>
      </c>
      <c r="J437" t="s">
        <v>3438</v>
      </c>
      <c r="L437" t="s">
        <v>7200</v>
      </c>
      <c r="P437">
        <v>0</v>
      </c>
      <c r="S437">
        <v>0</v>
      </c>
      <c r="T437" t="s">
        <v>3469</v>
      </c>
    </row>
    <row r="438" spans="1:20" x14ac:dyDescent="0.2">
      <c r="A438" t="s">
        <v>1579</v>
      </c>
      <c r="B438" t="s">
        <v>7204</v>
      </c>
      <c r="C438" t="s">
        <v>18084</v>
      </c>
      <c r="D438">
        <v>144263</v>
      </c>
      <c r="E438">
        <v>37211</v>
      </c>
      <c r="F438">
        <v>209</v>
      </c>
      <c r="G438" t="s">
        <v>3459</v>
      </c>
      <c r="H438" t="s">
        <v>5559</v>
      </c>
      <c r="I438">
        <v>3360</v>
      </c>
      <c r="J438" t="s">
        <v>3438</v>
      </c>
      <c r="L438" t="s">
        <v>7203</v>
      </c>
      <c r="M438" t="s">
        <v>7205</v>
      </c>
      <c r="O438" t="s">
        <v>7206</v>
      </c>
      <c r="P438" t="s">
        <v>7206</v>
      </c>
      <c r="R438" s="5">
        <v>1.29670631138473E+16</v>
      </c>
      <c r="S438">
        <v>129670631</v>
      </c>
      <c r="T438" t="s">
        <v>3469</v>
      </c>
    </row>
    <row r="439" spans="1:20" x14ac:dyDescent="0.2">
      <c r="A439" t="s">
        <v>1577</v>
      </c>
      <c r="B439" t="s">
        <v>7210</v>
      </c>
      <c r="C439" t="s">
        <v>18085</v>
      </c>
      <c r="D439">
        <v>144261</v>
      </c>
      <c r="E439">
        <v>37210</v>
      </c>
      <c r="F439">
        <v>209</v>
      </c>
      <c r="G439" t="s">
        <v>3459</v>
      </c>
      <c r="H439" t="s">
        <v>5559</v>
      </c>
      <c r="I439">
        <v>3361</v>
      </c>
      <c r="J439" t="s">
        <v>3438</v>
      </c>
      <c r="L439" t="s">
        <v>7209</v>
      </c>
      <c r="O439" t="s">
        <v>7211</v>
      </c>
      <c r="P439" t="s">
        <v>7211</v>
      </c>
      <c r="S439">
        <v>0</v>
      </c>
      <c r="T439" t="s">
        <v>3469</v>
      </c>
    </row>
    <row r="440" spans="1:20" x14ac:dyDescent="0.2">
      <c r="A440" t="s">
        <v>1559</v>
      </c>
      <c r="B440" t="s">
        <v>7219</v>
      </c>
      <c r="C440" t="s">
        <v>18086</v>
      </c>
      <c r="D440">
        <v>151041</v>
      </c>
      <c r="E440">
        <v>37445</v>
      </c>
      <c r="F440">
        <v>209</v>
      </c>
      <c r="G440" t="s">
        <v>3863</v>
      </c>
      <c r="H440" t="s">
        <v>7216</v>
      </c>
      <c r="I440">
        <v>5655</v>
      </c>
      <c r="J440" t="s">
        <v>3438</v>
      </c>
      <c r="K440" t="s">
        <v>18087</v>
      </c>
      <c r="L440" t="s">
        <v>7218</v>
      </c>
      <c r="M440" t="s">
        <v>7220</v>
      </c>
      <c r="N440">
        <v>10254753</v>
      </c>
      <c r="P440" t="s">
        <v>18088</v>
      </c>
      <c r="Q440" t="s">
        <v>7222</v>
      </c>
      <c r="R440">
        <v>54682930</v>
      </c>
      <c r="S440">
        <v>54682930</v>
      </c>
      <c r="T440" t="s">
        <v>3469</v>
      </c>
    </row>
    <row r="441" spans="1:20" x14ac:dyDescent="0.2">
      <c r="A441" t="s">
        <v>1557</v>
      </c>
      <c r="B441" t="s">
        <v>7226</v>
      </c>
      <c r="C441" t="s">
        <v>18089</v>
      </c>
      <c r="D441">
        <v>149838</v>
      </c>
      <c r="E441">
        <v>32619</v>
      </c>
      <c r="F441">
        <v>209</v>
      </c>
      <c r="G441" t="s">
        <v>3459</v>
      </c>
      <c r="H441" t="s">
        <v>7151</v>
      </c>
      <c r="I441">
        <v>3259</v>
      </c>
      <c r="J441" t="s">
        <v>3438</v>
      </c>
      <c r="L441" t="s">
        <v>7225</v>
      </c>
      <c r="M441" t="s">
        <v>7227</v>
      </c>
      <c r="N441">
        <v>13465233</v>
      </c>
      <c r="O441" t="s">
        <v>7229</v>
      </c>
      <c r="P441" t="s">
        <v>7229</v>
      </c>
      <c r="Q441" t="s">
        <v>7230</v>
      </c>
      <c r="R441">
        <v>105074</v>
      </c>
      <c r="S441">
        <v>105074</v>
      </c>
      <c r="T441" t="s">
        <v>3469</v>
      </c>
    </row>
    <row r="442" spans="1:20" x14ac:dyDescent="0.2">
      <c r="A442" t="s">
        <v>1565</v>
      </c>
      <c r="B442" t="s">
        <v>7234</v>
      </c>
      <c r="C442" t="s">
        <v>18090</v>
      </c>
      <c r="D442">
        <v>156347</v>
      </c>
      <c r="E442">
        <v>37253</v>
      </c>
      <c r="F442">
        <v>400</v>
      </c>
      <c r="G442" t="s">
        <v>3459</v>
      </c>
      <c r="H442" t="s">
        <v>3873</v>
      </c>
      <c r="I442">
        <v>1663</v>
      </c>
      <c r="J442" t="s">
        <v>3438</v>
      </c>
      <c r="K442" t="s">
        <v>18091</v>
      </c>
      <c r="L442" t="s">
        <v>7233</v>
      </c>
      <c r="M442" t="s">
        <v>7235</v>
      </c>
      <c r="N442">
        <v>42</v>
      </c>
      <c r="O442" t="s">
        <v>7237</v>
      </c>
      <c r="P442" t="s">
        <v>7237</v>
      </c>
      <c r="Q442" t="s">
        <v>7238</v>
      </c>
      <c r="R442">
        <v>43</v>
      </c>
      <c r="S442">
        <v>43</v>
      </c>
      <c r="T442" t="s">
        <v>3458</v>
      </c>
    </row>
    <row r="443" spans="1:20" x14ac:dyDescent="0.2">
      <c r="A443" t="s">
        <v>1563</v>
      </c>
      <c r="B443" t="s">
        <v>7242</v>
      </c>
      <c r="C443" t="s">
        <v>18092</v>
      </c>
      <c r="D443">
        <v>127733</v>
      </c>
      <c r="E443">
        <v>44876</v>
      </c>
      <c r="F443">
        <v>209</v>
      </c>
      <c r="G443" t="s">
        <v>3448</v>
      </c>
      <c r="H443" t="s">
        <v>4679</v>
      </c>
      <c r="I443">
        <v>4368</v>
      </c>
      <c r="J443" t="s">
        <v>3438</v>
      </c>
      <c r="K443" t="s">
        <v>18093</v>
      </c>
      <c r="L443" t="s">
        <v>7241</v>
      </c>
      <c r="M443" t="s">
        <v>7243</v>
      </c>
      <c r="N443">
        <v>117455</v>
      </c>
      <c r="O443" t="s">
        <v>7245</v>
      </c>
      <c r="P443" t="s">
        <v>7245</v>
      </c>
      <c r="R443">
        <v>133098</v>
      </c>
      <c r="S443">
        <v>133098</v>
      </c>
      <c r="T443" t="s">
        <v>3469</v>
      </c>
    </row>
    <row r="444" spans="1:20" x14ac:dyDescent="0.2">
      <c r="A444" t="s">
        <v>1567</v>
      </c>
      <c r="B444" t="s">
        <v>7249</v>
      </c>
      <c r="C444" t="s">
        <v>18094</v>
      </c>
      <c r="D444">
        <v>127667</v>
      </c>
      <c r="E444">
        <v>37432</v>
      </c>
      <c r="F444">
        <v>209</v>
      </c>
      <c r="G444" t="s">
        <v>3533</v>
      </c>
      <c r="H444" t="s">
        <v>3705</v>
      </c>
      <c r="I444">
        <v>4241</v>
      </c>
      <c r="J444" t="s">
        <v>3438</v>
      </c>
      <c r="K444" t="s">
        <v>18095</v>
      </c>
      <c r="L444" t="s">
        <v>7248</v>
      </c>
      <c r="M444" t="s">
        <v>7250</v>
      </c>
      <c r="N444">
        <v>68881</v>
      </c>
      <c r="O444" t="s">
        <v>7252</v>
      </c>
      <c r="P444" t="s">
        <v>7252</v>
      </c>
      <c r="Q444" t="s">
        <v>7253</v>
      </c>
      <c r="R444">
        <v>76406</v>
      </c>
      <c r="S444">
        <v>76406</v>
      </c>
      <c r="T444" t="s">
        <v>3469</v>
      </c>
    </row>
    <row r="445" spans="1:20" x14ac:dyDescent="0.2">
      <c r="A445" t="s">
        <v>1590</v>
      </c>
      <c r="B445" t="s">
        <v>7264</v>
      </c>
      <c r="C445" t="s">
        <v>18096</v>
      </c>
      <c r="D445">
        <v>164200</v>
      </c>
      <c r="E445">
        <v>37529</v>
      </c>
      <c r="F445">
        <v>402</v>
      </c>
      <c r="G445" t="s">
        <v>3459</v>
      </c>
      <c r="H445" t="s">
        <v>814</v>
      </c>
      <c r="I445">
        <v>3119</v>
      </c>
      <c r="J445" t="s">
        <v>3438</v>
      </c>
      <c r="K445" t="s">
        <v>18097</v>
      </c>
      <c r="L445" t="s">
        <v>7263</v>
      </c>
      <c r="M445" t="s">
        <v>7265</v>
      </c>
      <c r="N445">
        <v>4947837</v>
      </c>
      <c r="O445" t="s">
        <v>7267</v>
      </c>
      <c r="P445" t="s">
        <v>7267</v>
      </c>
      <c r="R445">
        <v>6443882</v>
      </c>
      <c r="S445">
        <v>6443882</v>
      </c>
      <c r="T445" t="s">
        <v>3447</v>
      </c>
    </row>
    <row r="446" spans="1:20" x14ac:dyDescent="0.2">
      <c r="A446" t="s">
        <v>1586</v>
      </c>
      <c r="B446" t="s">
        <v>7271</v>
      </c>
      <c r="C446" t="s">
        <v>18098</v>
      </c>
      <c r="D446">
        <v>164195</v>
      </c>
      <c r="E446">
        <v>37506</v>
      </c>
      <c r="F446">
        <v>402</v>
      </c>
      <c r="G446" t="s">
        <v>3459</v>
      </c>
      <c r="H446" t="s">
        <v>814</v>
      </c>
      <c r="I446">
        <v>3103</v>
      </c>
      <c r="J446" t="s">
        <v>3438</v>
      </c>
      <c r="K446" t="s">
        <v>18099</v>
      </c>
      <c r="L446" t="s">
        <v>7270</v>
      </c>
      <c r="M446" t="s">
        <v>7272</v>
      </c>
      <c r="N446">
        <v>8115562</v>
      </c>
      <c r="O446" t="s">
        <v>7274</v>
      </c>
      <c r="P446" t="s">
        <v>7274</v>
      </c>
      <c r="R446">
        <v>9939941</v>
      </c>
      <c r="S446">
        <v>9939941</v>
      </c>
      <c r="T446" t="s">
        <v>3447</v>
      </c>
    </row>
    <row r="447" spans="1:20" x14ac:dyDescent="0.2">
      <c r="A447" t="s">
        <v>1573</v>
      </c>
      <c r="B447" t="s">
        <v>7284</v>
      </c>
      <c r="C447" t="s">
        <v>18100</v>
      </c>
      <c r="D447">
        <v>141918</v>
      </c>
      <c r="E447">
        <v>39600</v>
      </c>
      <c r="F447">
        <v>209</v>
      </c>
      <c r="G447" t="s">
        <v>3863</v>
      </c>
      <c r="H447" t="s">
        <v>5082</v>
      </c>
      <c r="I447">
        <v>4468</v>
      </c>
      <c r="J447" t="s">
        <v>3438</v>
      </c>
      <c r="K447" t="s">
        <v>18101</v>
      </c>
      <c r="L447" t="s">
        <v>7283</v>
      </c>
      <c r="M447" t="s">
        <v>7285</v>
      </c>
      <c r="N447">
        <v>396603</v>
      </c>
      <c r="O447" t="s">
        <v>7287</v>
      </c>
      <c r="P447" t="s">
        <v>7287</v>
      </c>
      <c r="R447">
        <v>450268</v>
      </c>
      <c r="S447">
        <v>450268</v>
      </c>
      <c r="T447" t="s">
        <v>3469</v>
      </c>
    </row>
    <row r="448" spans="1:20" x14ac:dyDescent="0.2">
      <c r="A448" t="s">
        <v>1561</v>
      </c>
      <c r="B448" t="s">
        <v>11521</v>
      </c>
      <c r="C448" t="s">
        <v>18102</v>
      </c>
      <c r="D448">
        <v>143871</v>
      </c>
      <c r="E448">
        <v>38168</v>
      </c>
      <c r="F448">
        <v>209</v>
      </c>
      <c r="G448" t="s">
        <v>3459</v>
      </c>
      <c r="H448" t="s">
        <v>5559</v>
      </c>
      <c r="I448">
        <v>3339</v>
      </c>
      <c r="J448" t="s">
        <v>3438</v>
      </c>
      <c r="L448" t="s">
        <v>7290</v>
      </c>
      <c r="O448" t="s">
        <v>7292</v>
      </c>
      <c r="P448" t="s">
        <v>7292</v>
      </c>
      <c r="R448">
        <v>20848950</v>
      </c>
      <c r="S448">
        <v>20848950</v>
      </c>
      <c r="T448" t="s">
        <v>3469</v>
      </c>
    </row>
    <row r="449" spans="1:20" x14ac:dyDescent="0.2">
      <c r="A449" t="s">
        <v>1581</v>
      </c>
      <c r="B449" t="s">
        <v>7303</v>
      </c>
      <c r="C449" t="s">
        <v>18103</v>
      </c>
      <c r="D449">
        <v>127723</v>
      </c>
      <c r="E449">
        <v>38170</v>
      </c>
      <c r="F449">
        <v>209</v>
      </c>
      <c r="G449" t="s">
        <v>3459</v>
      </c>
      <c r="H449" t="s">
        <v>7151</v>
      </c>
      <c r="I449">
        <v>3243</v>
      </c>
      <c r="J449" t="s">
        <v>3438</v>
      </c>
      <c r="K449" t="s">
        <v>18104</v>
      </c>
      <c r="L449" t="s">
        <v>7302</v>
      </c>
      <c r="M449" t="s">
        <v>7227</v>
      </c>
      <c r="N449">
        <v>94802</v>
      </c>
      <c r="O449" t="s">
        <v>7229</v>
      </c>
      <c r="P449" t="s">
        <v>7229</v>
      </c>
      <c r="Q449" t="s">
        <v>7230</v>
      </c>
      <c r="R449">
        <v>105074</v>
      </c>
      <c r="S449">
        <v>105074</v>
      </c>
      <c r="T449" t="s">
        <v>3469</v>
      </c>
    </row>
    <row r="450" spans="1:20" x14ac:dyDescent="0.2">
      <c r="A450" t="s">
        <v>1555</v>
      </c>
      <c r="B450" t="s">
        <v>7315</v>
      </c>
      <c r="C450" t="s">
        <v>18105</v>
      </c>
      <c r="D450">
        <v>149822</v>
      </c>
      <c r="E450">
        <v>32827</v>
      </c>
      <c r="F450">
        <v>209</v>
      </c>
      <c r="G450" t="s">
        <v>3459</v>
      </c>
      <c r="H450" t="s">
        <v>5559</v>
      </c>
      <c r="I450">
        <v>3393</v>
      </c>
      <c r="J450" t="s">
        <v>3438</v>
      </c>
      <c r="L450" t="s">
        <v>7314</v>
      </c>
      <c r="O450" t="s">
        <v>5789</v>
      </c>
      <c r="P450" t="s">
        <v>5789</v>
      </c>
      <c r="R450">
        <v>159663</v>
      </c>
      <c r="S450">
        <v>159663</v>
      </c>
      <c r="T450" t="s">
        <v>3469</v>
      </c>
    </row>
    <row r="451" spans="1:20" x14ac:dyDescent="0.2">
      <c r="A451" t="s">
        <v>1592</v>
      </c>
      <c r="B451" t="s">
        <v>7318</v>
      </c>
      <c r="C451" t="s">
        <v>18106</v>
      </c>
      <c r="D451">
        <v>156384</v>
      </c>
      <c r="E451">
        <v>37459</v>
      </c>
      <c r="F451">
        <v>400</v>
      </c>
      <c r="G451" t="s">
        <v>3863</v>
      </c>
      <c r="H451" t="s">
        <v>3864</v>
      </c>
      <c r="I451">
        <v>4893</v>
      </c>
      <c r="J451" t="s">
        <v>3438</v>
      </c>
      <c r="K451" t="s">
        <v>18107</v>
      </c>
      <c r="L451" t="s">
        <v>7317</v>
      </c>
      <c r="M451" t="s">
        <v>7319</v>
      </c>
      <c r="N451">
        <v>2297320</v>
      </c>
      <c r="O451" t="s">
        <v>7321</v>
      </c>
      <c r="P451" t="s">
        <v>7321</v>
      </c>
      <c r="Q451" t="s">
        <v>7322</v>
      </c>
      <c r="R451">
        <v>5351619</v>
      </c>
      <c r="S451">
        <v>5351619</v>
      </c>
      <c r="T451" t="s">
        <v>3458</v>
      </c>
    </row>
    <row r="452" spans="1:20" x14ac:dyDescent="0.2">
      <c r="A452" t="s">
        <v>13874</v>
      </c>
      <c r="B452" t="s">
        <v>7334</v>
      </c>
      <c r="C452" t="s">
        <v>18108</v>
      </c>
      <c r="D452">
        <v>156445</v>
      </c>
      <c r="E452">
        <v>38127</v>
      </c>
      <c r="F452">
        <v>400</v>
      </c>
      <c r="G452" t="s">
        <v>3436</v>
      </c>
      <c r="H452" t="s">
        <v>3603</v>
      </c>
      <c r="I452">
        <v>438</v>
      </c>
      <c r="J452" t="s">
        <v>3438</v>
      </c>
      <c r="K452" t="s">
        <v>18109</v>
      </c>
      <c r="L452" t="s">
        <v>7333</v>
      </c>
      <c r="M452" s="6">
        <v>582026</v>
      </c>
      <c r="N452">
        <v>8351775</v>
      </c>
      <c r="O452" t="s">
        <v>7337</v>
      </c>
      <c r="P452" t="s">
        <v>7337</v>
      </c>
      <c r="Q452" t="s">
        <v>7338</v>
      </c>
      <c r="R452">
        <v>458</v>
      </c>
      <c r="S452">
        <v>458</v>
      </c>
      <c r="T452" t="s">
        <v>3458</v>
      </c>
    </row>
    <row r="453" spans="1:20" x14ac:dyDescent="0.2">
      <c r="A453" t="s">
        <v>1588</v>
      </c>
      <c r="B453" t="s">
        <v>7342</v>
      </c>
      <c r="C453" t="s">
        <v>18110</v>
      </c>
      <c r="D453">
        <v>127709</v>
      </c>
      <c r="E453">
        <v>38116</v>
      </c>
      <c r="F453">
        <v>209</v>
      </c>
      <c r="G453" t="s">
        <v>3436</v>
      </c>
      <c r="H453" t="s">
        <v>3470</v>
      </c>
      <c r="I453">
        <v>316</v>
      </c>
      <c r="J453" t="s">
        <v>3438</v>
      </c>
      <c r="L453" t="s">
        <v>7341</v>
      </c>
      <c r="M453" t="s">
        <v>7343</v>
      </c>
      <c r="O453" t="s">
        <v>7344</v>
      </c>
      <c r="P453" t="s">
        <v>7344</v>
      </c>
      <c r="Q453" t="s">
        <v>7345</v>
      </c>
      <c r="R453">
        <v>69867</v>
      </c>
      <c r="S453">
        <v>69867</v>
      </c>
      <c r="T453" t="s">
        <v>3469</v>
      </c>
    </row>
    <row r="454" spans="1:20" x14ac:dyDescent="0.2">
      <c r="A454" t="s">
        <v>1584</v>
      </c>
      <c r="B454" t="s">
        <v>7349</v>
      </c>
      <c r="C454" t="s">
        <v>18111</v>
      </c>
      <c r="D454">
        <v>145686</v>
      </c>
      <c r="E454">
        <v>37752</v>
      </c>
      <c r="F454">
        <v>209</v>
      </c>
      <c r="G454" t="s">
        <v>3459</v>
      </c>
      <c r="H454" t="s">
        <v>4869</v>
      </c>
      <c r="I454">
        <v>2014</v>
      </c>
      <c r="J454" t="s">
        <v>3438</v>
      </c>
      <c r="L454" t="s">
        <v>7348</v>
      </c>
      <c r="O454" t="s">
        <v>7350</v>
      </c>
      <c r="P454" t="s">
        <v>7350</v>
      </c>
      <c r="Q454" t="s">
        <v>7351</v>
      </c>
      <c r="R454" s="5">
        <v>5.3128305282945098E+31</v>
      </c>
      <c r="S454" t="s">
        <v>18112</v>
      </c>
      <c r="T454" t="s">
        <v>3469</v>
      </c>
    </row>
    <row r="455" spans="1:20" x14ac:dyDescent="0.2">
      <c r="A455" t="s">
        <v>13875</v>
      </c>
      <c r="B455" t="s">
        <v>7355</v>
      </c>
      <c r="C455" t="s">
        <v>18113</v>
      </c>
      <c r="D455">
        <v>220775</v>
      </c>
      <c r="E455">
        <v>62919</v>
      </c>
      <c r="F455">
        <v>209</v>
      </c>
      <c r="G455" t="s">
        <v>3459</v>
      </c>
      <c r="H455" t="s">
        <v>3873</v>
      </c>
      <c r="I455">
        <v>1690</v>
      </c>
      <c r="J455" t="s">
        <v>3438</v>
      </c>
      <c r="L455" t="s">
        <v>7354</v>
      </c>
      <c r="P455">
        <v>0</v>
      </c>
      <c r="S455">
        <v>0</v>
      </c>
      <c r="T455" t="s">
        <v>3469</v>
      </c>
    </row>
    <row r="456" spans="1:20" x14ac:dyDescent="0.2">
      <c r="A456" t="s">
        <v>1571</v>
      </c>
      <c r="B456" t="s">
        <v>7358</v>
      </c>
      <c r="C456" t="s">
        <v>18114</v>
      </c>
      <c r="D456">
        <v>156988</v>
      </c>
      <c r="E456">
        <v>43256</v>
      </c>
      <c r="F456">
        <v>400</v>
      </c>
      <c r="G456" t="s">
        <v>3436</v>
      </c>
      <c r="H456" t="s">
        <v>3906</v>
      </c>
      <c r="I456">
        <v>75</v>
      </c>
      <c r="J456" t="s">
        <v>3438</v>
      </c>
      <c r="K456" t="s">
        <v>18115</v>
      </c>
      <c r="L456" t="s">
        <v>7357</v>
      </c>
      <c r="M456" t="s">
        <v>7359</v>
      </c>
      <c r="N456">
        <v>19993498</v>
      </c>
      <c r="P456" t="s">
        <v>7361</v>
      </c>
      <c r="R456">
        <v>193270</v>
      </c>
      <c r="S456">
        <v>193270</v>
      </c>
      <c r="T456" t="s">
        <v>3458</v>
      </c>
    </row>
    <row r="457" spans="1:20" x14ac:dyDescent="0.2">
      <c r="A457" t="s">
        <v>1575</v>
      </c>
      <c r="B457" t="s">
        <v>7372</v>
      </c>
      <c r="C457" t="s">
        <v>18116</v>
      </c>
      <c r="D457">
        <v>164218</v>
      </c>
      <c r="E457">
        <v>38125</v>
      </c>
      <c r="F457">
        <v>402</v>
      </c>
      <c r="G457" t="s">
        <v>3459</v>
      </c>
      <c r="H457" t="s">
        <v>3749</v>
      </c>
      <c r="I457">
        <v>3219</v>
      </c>
      <c r="J457" t="s">
        <v>3438</v>
      </c>
      <c r="K457" t="s">
        <v>18117</v>
      </c>
      <c r="L457" t="s">
        <v>7371</v>
      </c>
      <c r="M457" t="s">
        <v>7373</v>
      </c>
      <c r="N457">
        <v>427</v>
      </c>
      <c r="O457" t="s">
        <v>7375</v>
      </c>
      <c r="P457" t="s">
        <v>7375</v>
      </c>
      <c r="Q457" t="s">
        <v>7376</v>
      </c>
      <c r="R457">
        <v>91477</v>
      </c>
      <c r="S457">
        <v>91477</v>
      </c>
      <c r="T457" t="s">
        <v>3447</v>
      </c>
    </row>
    <row r="458" spans="1:20" x14ac:dyDescent="0.2">
      <c r="A458" t="s">
        <v>1610</v>
      </c>
      <c r="B458" t="s">
        <v>7380</v>
      </c>
      <c r="C458" t="s">
        <v>18118</v>
      </c>
      <c r="D458">
        <v>141886</v>
      </c>
      <c r="E458">
        <v>38637</v>
      </c>
      <c r="F458">
        <v>209</v>
      </c>
      <c r="G458" t="s">
        <v>3863</v>
      </c>
      <c r="H458" t="s">
        <v>3864</v>
      </c>
      <c r="I458">
        <v>4853</v>
      </c>
      <c r="J458" t="s">
        <v>3438</v>
      </c>
      <c r="K458" t="s">
        <v>18119</v>
      </c>
      <c r="L458" t="s">
        <v>7379</v>
      </c>
      <c r="M458" t="s">
        <v>7381</v>
      </c>
      <c r="N458">
        <v>618829</v>
      </c>
      <c r="O458" t="s">
        <v>7383</v>
      </c>
      <c r="P458" t="s">
        <v>7383</v>
      </c>
      <c r="R458">
        <v>709625</v>
      </c>
      <c r="S458">
        <v>709625</v>
      </c>
      <c r="T458" t="s">
        <v>3469</v>
      </c>
    </row>
    <row r="459" spans="1:20" x14ac:dyDescent="0.2">
      <c r="A459" t="s">
        <v>1594</v>
      </c>
      <c r="B459" t="s">
        <v>7394</v>
      </c>
      <c r="C459" t="s">
        <v>18120</v>
      </c>
      <c r="D459">
        <v>159020</v>
      </c>
      <c r="E459">
        <v>38178</v>
      </c>
      <c r="F459">
        <v>402</v>
      </c>
      <c r="G459" t="s">
        <v>3459</v>
      </c>
      <c r="H459" t="s">
        <v>6535</v>
      </c>
      <c r="I459">
        <v>1880</v>
      </c>
      <c r="J459" t="s">
        <v>3438</v>
      </c>
      <c r="L459" t="s">
        <v>7393</v>
      </c>
      <c r="M459" t="s">
        <v>7395</v>
      </c>
      <c r="N459">
        <v>28639171</v>
      </c>
      <c r="O459" t="s">
        <v>7397</v>
      </c>
      <c r="P459" t="s">
        <v>7397</v>
      </c>
      <c r="R459">
        <v>57357170</v>
      </c>
      <c r="S459">
        <v>57357170</v>
      </c>
      <c r="T459" t="s">
        <v>3447</v>
      </c>
    </row>
    <row r="460" spans="1:20" x14ac:dyDescent="0.2">
      <c r="A460" t="s">
        <v>1598</v>
      </c>
      <c r="B460" t="s">
        <v>7401</v>
      </c>
      <c r="C460" t="s">
        <v>18121</v>
      </c>
      <c r="D460">
        <v>220825</v>
      </c>
      <c r="E460">
        <v>62950</v>
      </c>
      <c r="F460">
        <v>305</v>
      </c>
      <c r="G460" t="s">
        <v>3459</v>
      </c>
      <c r="H460" t="s">
        <v>3460</v>
      </c>
      <c r="I460">
        <v>2033</v>
      </c>
      <c r="J460" t="s">
        <v>3438</v>
      </c>
      <c r="K460" t="s">
        <v>18122</v>
      </c>
      <c r="L460" t="s">
        <v>7400</v>
      </c>
      <c r="M460" t="s">
        <v>7402</v>
      </c>
      <c r="N460">
        <v>9139682</v>
      </c>
      <c r="O460" t="s">
        <v>7404</v>
      </c>
      <c r="P460" t="s">
        <v>7404</v>
      </c>
      <c r="R460">
        <v>10964471</v>
      </c>
      <c r="S460">
        <v>10964471</v>
      </c>
      <c r="T460" t="s">
        <v>3489</v>
      </c>
    </row>
    <row r="461" spans="1:20" x14ac:dyDescent="0.2">
      <c r="A461" t="s">
        <v>1608</v>
      </c>
      <c r="B461" t="s">
        <v>7429</v>
      </c>
      <c r="C461" t="s">
        <v>18123</v>
      </c>
      <c r="D461">
        <v>141846</v>
      </c>
      <c r="E461">
        <v>38296</v>
      </c>
      <c r="F461">
        <v>209</v>
      </c>
      <c r="G461" t="s">
        <v>3459</v>
      </c>
      <c r="H461" t="s">
        <v>4101</v>
      </c>
      <c r="I461">
        <v>1648</v>
      </c>
      <c r="J461" t="s">
        <v>3438</v>
      </c>
      <c r="K461" t="s">
        <v>18124</v>
      </c>
      <c r="L461" t="s">
        <v>7428</v>
      </c>
      <c r="M461" t="s">
        <v>7430</v>
      </c>
      <c r="N461">
        <v>2340933</v>
      </c>
      <c r="O461" t="s">
        <v>7432</v>
      </c>
      <c r="P461" t="s">
        <v>7432</v>
      </c>
      <c r="R461">
        <v>3083779</v>
      </c>
      <c r="S461">
        <v>3083779</v>
      </c>
      <c r="T461" t="s">
        <v>3469</v>
      </c>
    </row>
    <row r="462" spans="1:20" x14ac:dyDescent="0.2">
      <c r="A462" t="s">
        <v>1612</v>
      </c>
      <c r="B462" t="s">
        <v>7436</v>
      </c>
      <c r="C462" t="s">
        <v>18125</v>
      </c>
      <c r="D462">
        <v>221751</v>
      </c>
      <c r="E462">
        <v>63109</v>
      </c>
      <c r="F462">
        <v>305</v>
      </c>
      <c r="G462" t="s">
        <v>3459</v>
      </c>
      <c r="H462" t="s">
        <v>3460</v>
      </c>
      <c r="I462">
        <v>2034</v>
      </c>
      <c r="J462" t="s">
        <v>3438</v>
      </c>
      <c r="K462" t="s">
        <v>18126</v>
      </c>
      <c r="L462" t="s">
        <v>7435</v>
      </c>
      <c r="M462" t="s">
        <v>7437</v>
      </c>
      <c r="N462">
        <v>17215960</v>
      </c>
      <c r="O462" t="s">
        <v>7439</v>
      </c>
      <c r="P462" t="s">
        <v>7439</v>
      </c>
      <c r="R462">
        <v>13120901</v>
      </c>
      <c r="S462">
        <v>13120901</v>
      </c>
      <c r="T462" t="s">
        <v>3489</v>
      </c>
    </row>
    <row r="463" spans="1:20" x14ac:dyDescent="0.2">
      <c r="A463" t="s">
        <v>1604</v>
      </c>
      <c r="B463" t="s">
        <v>7458</v>
      </c>
      <c r="C463" t="s">
        <v>18127</v>
      </c>
      <c r="D463">
        <v>218946</v>
      </c>
      <c r="E463">
        <v>62101</v>
      </c>
      <c r="F463">
        <v>305</v>
      </c>
      <c r="G463" t="s">
        <v>3436</v>
      </c>
      <c r="H463" t="s">
        <v>4215</v>
      </c>
      <c r="I463">
        <v>46</v>
      </c>
      <c r="J463" t="s">
        <v>3438</v>
      </c>
      <c r="K463" t="s">
        <v>18128</v>
      </c>
      <c r="L463" t="s">
        <v>7457</v>
      </c>
      <c r="M463" t="s">
        <v>7459</v>
      </c>
      <c r="O463" t="s">
        <v>7460</v>
      </c>
      <c r="P463" t="s">
        <v>7460</v>
      </c>
      <c r="Q463" t="s">
        <v>7461</v>
      </c>
      <c r="R463">
        <v>48</v>
      </c>
      <c r="S463">
        <v>48</v>
      </c>
      <c r="T463" t="s">
        <v>3489</v>
      </c>
    </row>
    <row r="464" spans="1:20" x14ac:dyDescent="0.2">
      <c r="A464" t="s">
        <v>1602</v>
      </c>
      <c r="B464" t="s">
        <v>7488</v>
      </c>
      <c r="C464" t="s">
        <v>18129</v>
      </c>
      <c r="D464">
        <v>152194</v>
      </c>
      <c r="E464">
        <v>38276</v>
      </c>
      <c r="F464">
        <v>305</v>
      </c>
      <c r="G464" t="s">
        <v>3863</v>
      </c>
      <c r="H464" t="s">
        <v>3864</v>
      </c>
      <c r="I464">
        <v>4772</v>
      </c>
      <c r="J464" t="s">
        <v>3438</v>
      </c>
      <c r="K464" t="s">
        <v>18130</v>
      </c>
      <c r="L464" t="s">
        <v>7487</v>
      </c>
      <c r="M464" t="s">
        <v>7489</v>
      </c>
      <c r="N464">
        <v>657</v>
      </c>
      <c r="O464" t="s">
        <v>7491</v>
      </c>
      <c r="P464" t="s">
        <v>7491</v>
      </c>
      <c r="Q464" t="s">
        <v>7492</v>
      </c>
      <c r="R464">
        <v>677</v>
      </c>
      <c r="S464">
        <v>677</v>
      </c>
      <c r="T464" t="s">
        <v>3489</v>
      </c>
    </row>
    <row r="465" spans="1:20" x14ac:dyDescent="0.2">
      <c r="A465" t="s">
        <v>1606</v>
      </c>
      <c r="B465" t="s">
        <v>7502</v>
      </c>
      <c r="C465" t="s">
        <v>18131</v>
      </c>
      <c r="D465">
        <v>213342</v>
      </c>
      <c r="E465">
        <v>57747</v>
      </c>
      <c r="F465">
        <v>305</v>
      </c>
      <c r="G465" t="s">
        <v>3436</v>
      </c>
      <c r="H465" t="s">
        <v>3498</v>
      </c>
      <c r="I465">
        <v>367</v>
      </c>
      <c r="J465" t="s">
        <v>3438</v>
      </c>
      <c r="K465" t="s">
        <v>18132</v>
      </c>
      <c r="L465" t="s">
        <v>7501</v>
      </c>
      <c r="M465" t="s">
        <v>7503</v>
      </c>
      <c r="N465">
        <v>1267861</v>
      </c>
      <c r="O465" t="s">
        <v>7505</v>
      </c>
      <c r="P465" t="s">
        <v>7505</v>
      </c>
      <c r="R465">
        <v>1551553</v>
      </c>
      <c r="S465">
        <v>1551553</v>
      </c>
      <c r="T465" t="s">
        <v>3489</v>
      </c>
    </row>
    <row r="466" spans="1:20" x14ac:dyDescent="0.2">
      <c r="A466" t="s">
        <v>1596</v>
      </c>
      <c r="B466" t="s">
        <v>11655</v>
      </c>
      <c r="C466" t="s">
        <v>18133</v>
      </c>
      <c r="D466">
        <v>208402</v>
      </c>
      <c r="E466">
        <v>43582</v>
      </c>
      <c r="F466">
        <v>400</v>
      </c>
      <c r="G466" t="s">
        <v>3436</v>
      </c>
      <c r="H466" t="s">
        <v>3586</v>
      </c>
      <c r="I466">
        <v>120</v>
      </c>
      <c r="J466" t="s">
        <v>3438</v>
      </c>
      <c r="L466" t="s">
        <v>7508</v>
      </c>
      <c r="M466" t="s">
        <v>7510</v>
      </c>
      <c r="P466">
        <v>0</v>
      </c>
      <c r="R466">
        <v>66995551</v>
      </c>
      <c r="S466">
        <v>66995551</v>
      </c>
      <c r="T466" t="s">
        <v>3458</v>
      </c>
    </row>
    <row r="467" spans="1:20" x14ac:dyDescent="0.2">
      <c r="A467" t="s">
        <v>1600</v>
      </c>
      <c r="B467" t="s">
        <v>7514</v>
      </c>
      <c r="C467" t="s">
        <v>18134</v>
      </c>
      <c r="D467">
        <v>218949</v>
      </c>
      <c r="E467">
        <v>62103</v>
      </c>
      <c r="F467">
        <v>400</v>
      </c>
      <c r="G467" t="s">
        <v>3436</v>
      </c>
      <c r="H467" t="s">
        <v>3793</v>
      </c>
      <c r="I467">
        <v>577</v>
      </c>
      <c r="J467" t="s">
        <v>3438</v>
      </c>
      <c r="K467" t="s">
        <v>18135</v>
      </c>
      <c r="L467" t="s">
        <v>7513</v>
      </c>
      <c r="M467" t="s">
        <v>7515</v>
      </c>
      <c r="N467">
        <v>17215992</v>
      </c>
      <c r="O467" t="s">
        <v>7517</v>
      </c>
      <c r="P467" t="s">
        <v>7517</v>
      </c>
      <c r="R467">
        <v>22833544</v>
      </c>
      <c r="S467">
        <v>22833544</v>
      </c>
      <c r="T467" t="s">
        <v>3458</v>
      </c>
    </row>
    <row r="468" spans="1:20" x14ac:dyDescent="0.2">
      <c r="A468" t="s">
        <v>1618</v>
      </c>
      <c r="B468" t="s">
        <v>7521</v>
      </c>
      <c r="C468" t="s">
        <v>18136</v>
      </c>
      <c r="D468">
        <v>212130</v>
      </c>
      <c r="E468">
        <v>57577</v>
      </c>
      <c r="F468">
        <v>209</v>
      </c>
      <c r="G468" t="s">
        <v>3459</v>
      </c>
      <c r="H468" t="s">
        <v>3819</v>
      </c>
      <c r="I468">
        <v>3509</v>
      </c>
      <c r="J468" t="s">
        <v>3438</v>
      </c>
      <c r="K468" t="s">
        <v>18137</v>
      </c>
      <c r="L468" t="s">
        <v>7520</v>
      </c>
      <c r="M468" t="s">
        <v>7522</v>
      </c>
      <c r="N468">
        <v>113205</v>
      </c>
      <c r="O468" t="s">
        <v>7524</v>
      </c>
      <c r="P468" t="s">
        <v>7524</v>
      </c>
      <c r="Q468" t="s">
        <v>7525</v>
      </c>
      <c r="R468">
        <v>127601</v>
      </c>
      <c r="S468">
        <v>127601</v>
      </c>
      <c r="T468" t="s">
        <v>3469</v>
      </c>
    </row>
    <row r="469" spans="1:20" x14ac:dyDescent="0.2">
      <c r="A469" t="s">
        <v>1642</v>
      </c>
      <c r="B469" t="s">
        <v>7537</v>
      </c>
      <c r="C469" t="s">
        <v>18138</v>
      </c>
      <c r="D469">
        <v>157017</v>
      </c>
      <c r="E469">
        <v>43493</v>
      </c>
      <c r="F469">
        <v>400</v>
      </c>
      <c r="G469" t="s">
        <v>3436</v>
      </c>
      <c r="H469" t="s">
        <v>3906</v>
      </c>
      <c r="I469">
        <v>81</v>
      </c>
      <c r="J469" t="s">
        <v>3438</v>
      </c>
      <c r="K469" t="s">
        <v>18139</v>
      </c>
      <c r="L469" t="s">
        <v>7536</v>
      </c>
      <c r="M469" t="s">
        <v>7538</v>
      </c>
      <c r="N469">
        <v>388370</v>
      </c>
      <c r="O469" t="s">
        <v>7540</v>
      </c>
      <c r="P469" t="s">
        <v>7540</v>
      </c>
      <c r="Q469" t="s">
        <v>7541</v>
      </c>
      <c r="R469">
        <v>439233</v>
      </c>
      <c r="S469">
        <v>439233</v>
      </c>
      <c r="T469" t="s">
        <v>3458</v>
      </c>
    </row>
    <row r="470" spans="1:20" x14ac:dyDescent="0.2">
      <c r="A470" t="s">
        <v>1636</v>
      </c>
      <c r="B470" t="s">
        <v>7545</v>
      </c>
      <c r="C470" t="s">
        <v>18140</v>
      </c>
      <c r="D470">
        <v>152212</v>
      </c>
      <c r="E470">
        <v>40473</v>
      </c>
      <c r="F470">
        <v>305</v>
      </c>
      <c r="G470" t="s">
        <v>3436</v>
      </c>
      <c r="H470" t="s">
        <v>3906</v>
      </c>
      <c r="I470">
        <v>77</v>
      </c>
      <c r="J470" t="s">
        <v>3438</v>
      </c>
      <c r="K470" t="s">
        <v>18141</v>
      </c>
      <c r="L470" t="s">
        <v>7544</v>
      </c>
      <c r="M470" t="s">
        <v>7546</v>
      </c>
      <c r="N470">
        <v>761</v>
      </c>
      <c r="O470" t="s">
        <v>7548</v>
      </c>
      <c r="P470" t="s">
        <v>7548</v>
      </c>
      <c r="Q470" t="s">
        <v>7549</v>
      </c>
      <c r="R470">
        <v>782</v>
      </c>
      <c r="S470">
        <v>782</v>
      </c>
      <c r="T470" t="s">
        <v>3489</v>
      </c>
    </row>
    <row r="471" spans="1:20" x14ac:dyDescent="0.2">
      <c r="A471" t="s">
        <v>1625</v>
      </c>
      <c r="B471" t="s">
        <v>7553</v>
      </c>
      <c r="C471" t="s">
        <v>18142</v>
      </c>
      <c r="D471">
        <v>148213</v>
      </c>
      <c r="E471">
        <v>46960</v>
      </c>
      <c r="F471">
        <v>209</v>
      </c>
      <c r="G471" t="s">
        <v>3863</v>
      </c>
      <c r="H471" t="s">
        <v>5632</v>
      </c>
      <c r="I471">
        <v>6086</v>
      </c>
      <c r="J471" t="s">
        <v>3438</v>
      </c>
      <c r="K471" t="s">
        <v>18143</v>
      </c>
      <c r="L471" t="s">
        <v>7552</v>
      </c>
      <c r="M471" t="s">
        <v>7554</v>
      </c>
      <c r="N471">
        <v>1086</v>
      </c>
      <c r="O471" t="s">
        <v>7556</v>
      </c>
      <c r="P471" t="s">
        <v>7556</v>
      </c>
      <c r="Q471" t="s">
        <v>7557</v>
      </c>
      <c r="R471">
        <v>5152822</v>
      </c>
      <c r="S471">
        <v>5152822</v>
      </c>
      <c r="T471" t="s">
        <v>3469</v>
      </c>
    </row>
    <row r="472" spans="1:20" x14ac:dyDescent="0.2">
      <c r="A472" t="s">
        <v>19106</v>
      </c>
      <c r="B472" t="s">
        <v>18144</v>
      </c>
      <c r="C472" t="s">
        <v>18145</v>
      </c>
      <c r="D472">
        <v>207371</v>
      </c>
      <c r="E472">
        <v>40062</v>
      </c>
      <c r="F472">
        <v>305</v>
      </c>
      <c r="G472" t="s">
        <v>3459</v>
      </c>
      <c r="H472" t="s">
        <v>3873</v>
      </c>
      <c r="I472">
        <v>1664</v>
      </c>
      <c r="J472" t="s">
        <v>3438</v>
      </c>
      <c r="K472" t="s">
        <v>18146</v>
      </c>
      <c r="L472" t="s">
        <v>18147</v>
      </c>
      <c r="M472" t="s">
        <v>18148</v>
      </c>
      <c r="N472">
        <v>579</v>
      </c>
      <c r="O472" t="s">
        <v>18149</v>
      </c>
      <c r="P472" t="s">
        <v>18149</v>
      </c>
      <c r="Q472" t="s">
        <v>18150</v>
      </c>
      <c r="R472">
        <v>599</v>
      </c>
      <c r="S472">
        <v>599</v>
      </c>
      <c r="T472" t="s">
        <v>3489</v>
      </c>
    </row>
    <row r="473" spans="1:20" x14ac:dyDescent="0.2">
      <c r="A473" t="s">
        <v>1614</v>
      </c>
      <c r="B473" t="s">
        <v>7561</v>
      </c>
      <c r="C473" t="s">
        <v>18151</v>
      </c>
      <c r="D473">
        <v>156749</v>
      </c>
      <c r="E473">
        <v>40499</v>
      </c>
      <c r="F473">
        <v>400</v>
      </c>
      <c r="G473" t="s">
        <v>3436</v>
      </c>
      <c r="H473" t="s">
        <v>4215</v>
      </c>
      <c r="I473">
        <v>51</v>
      </c>
      <c r="J473" t="s">
        <v>3438</v>
      </c>
      <c r="K473" t="s">
        <v>18152</v>
      </c>
      <c r="L473" t="s">
        <v>7560</v>
      </c>
      <c r="M473" t="s">
        <v>7562</v>
      </c>
      <c r="N473">
        <v>388936</v>
      </c>
      <c r="O473" t="s">
        <v>7564</v>
      </c>
      <c r="P473" t="s">
        <v>7564</v>
      </c>
      <c r="Q473" t="s">
        <v>7565</v>
      </c>
      <c r="R473">
        <v>439902</v>
      </c>
      <c r="S473">
        <v>439902</v>
      </c>
      <c r="T473" t="s">
        <v>3458</v>
      </c>
    </row>
    <row r="474" spans="1:20" x14ac:dyDescent="0.2">
      <c r="A474" t="s">
        <v>1640</v>
      </c>
      <c r="B474" t="s">
        <v>7577</v>
      </c>
      <c r="C474" t="s">
        <v>18153</v>
      </c>
      <c r="D474">
        <v>221678</v>
      </c>
      <c r="E474">
        <v>63061</v>
      </c>
      <c r="F474">
        <v>209</v>
      </c>
      <c r="G474" t="s">
        <v>3448</v>
      </c>
      <c r="H474" t="s">
        <v>4568</v>
      </c>
      <c r="I474">
        <v>4335</v>
      </c>
      <c r="J474" t="s">
        <v>3438</v>
      </c>
      <c r="K474" t="s">
        <v>18154</v>
      </c>
      <c r="L474" t="s">
        <v>7576</v>
      </c>
      <c r="M474" t="s">
        <v>7578</v>
      </c>
      <c r="N474">
        <v>388387</v>
      </c>
      <c r="P474" t="s">
        <v>7580</v>
      </c>
      <c r="Q474" t="s">
        <v>7581</v>
      </c>
      <c r="R474">
        <v>5289105</v>
      </c>
      <c r="S474">
        <v>5289105</v>
      </c>
      <c r="T474" t="s">
        <v>3469</v>
      </c>
    </row>
    <row r="475" spans="1:20" x14ac:dyDescent="0.2">
      <c r="A475" t="s">
        <v>1616</v>
      </c>
      <c r="B475" t="s">
        <v>7625</v>
      </c>
      <c r="C475" t="s">
        <v>18155</v>
      </c>
      <c r="D475">
        <v>141914</v>
      </c>
      <c r="E475">
        <v>39592</v>
      </c>
      <c r="F475">
        <v>209</v>
      </c>
      <c r="G475" t="s">
        <v>3436</v>
      </c>
      <c r="H475" t="s">
        <v>3603</v>
      </c>
      <c r="I475">
        <v>457</v>
      </c>
      <c r="J475" t="s">
        <v>3438</v>
      </c>
      <c r="K475" t="s">
        <v>18156</v>
      </c>
      <c r="L475" t="s">
        <v>7624</v>
      </c>
      <c r="M475" t="s">
        <v>7626</v>
      </c>
      <c r="N475">
        <v>22826</v>
      </c>
      <c r="O475" t="s">
        <v>7628</v>
      </c>
      <c r="P475" t="s">
        <v>7628</v>
      </c>
      <c r="R475" s="5">
        <v>2.44177058174881E+16</v>
      </c>
      <c r="S475">
        <v>24417</v>
      </c>
      <c r="T475" t="s">
        <v>3469</v>
      </c>
    </row>
    <row r="476" spans="1:20" x14ac:dyDescent="0.2">
      <c r="A476" t="s">
        <v>3069</v>
      </c>
      <c r="B476" t="s">
        <v>7632</v>
      </c>
      <c r="C476" t="s">
        <v>18157</v>
      </c>
      <c r="D476">
        <v>218457</v>
      </c>
      <c r="E476">
        <v>61846</v>
      </c>
      <c r="F476">
        <v>209</v>
      </c>
      <c r="G476" t="s">
        <v>3459</v>
      </c>
      <c r="H476" t="s">
        <v>5559</v>
      </c>
      <c r="I476">
        <v>3340</v>
      </c>
      <c r="J476" t="s">
        <v>3438</v>
      </c>
      <c r="K476" t="s">
        <v>18158</v>
      </c>
      <c r="L476" t="s">
        <v>7631</v>
      </c>
      <c r="M476" t="s">
        <v>7633</v>
      </c>
      <c r="N476">
        <v>102793</v>
      </c>
      <c r="O476" t="s">
        <v>7635</v>
      </c>
      <c r="P476" t="s">
        <v>7635</v>
      </c>
      <c r="Q476" t="s">
        <v>7636</v>
      </c>
      <c r="R476">
        <v>114833</v>
      </c>
      <c r="S476">
        <v>114833</v>
      </c>
      <c r="T476" t="s">
        <v>3469</v>
      </c>
    </row>
    <row r="477" spans="1:20" x14ac:dyDescent="0.2">
      <c r="A477" t="s">
        <v>1632</v>
      </c>
      <c r="B477" t="s">
        <v>7640</v>
      </c>
      <c r="C477" t="s">
        <v>18159</v>
      </c>
      <c r="D477">
        <v>211115</v>
      </c>
      <c r="E477">
        <v>57461</v>
      </c>
      <c r="F477">
        <v>400</v>
      </c>
      <c r="G477" t="s">
        <v>3436</v>
      </c>
      <c r="H477" t="s">
        <v>3661</v>
      </c>
      <c r="I477">
        <v>522</v>
      </c>
      <c r="J477" t="s">
        <v>3438</v>
      </c>
      <c r="K477" t="s">
        <v>18160</v>
      </c>
      <c r="L477" t="s">
        <v>7639</v>
      </c>
      <c r="M477" t="s">
        <v>7641</v>
      </c>
      <c r="N477">
        <v>140984</v>
      </c>
      <c r="O477" t="s">
        <v>7643</v>
      </c>
      <c r="P477" t="s">
        <v>7643</v>
      </c>
      <c r="R477">
        <v>160437</v>
      </c>
      <c r="S477">
        <v>160437</v>
      </c>
      <c r="T477" t="s">
        <v>3458</v>
      </c>
    </row>
    <row r="478" spans="1:20" x14ac:dyDescent="0.2">
      <c r="A478" t="s">
        <v>1638</v>
      </c>
      <c r="B478" t="s">
        <v>7655</v>
      </c>
      <c r="C478" t="s">
        <v>18161</v>
      </c>
      <c r="D478">
        <v>208196</v>
      </c>
      <c r="E478">
        <v>55072</v>
      </c>
      <c r="F478">
        <v>400</v>
      </c>
      <c r="G478" t="s">
        <v>3436</v>
      </c>
      <c r="H478" t="s">
        <v>3661</v>
      </c>
      <c r="I478">
        <v>491</v>
      </c>
      <c r="J478" t="s">
        <v>3438</v>
      </c>
      <c r="K478" t="s">
        <v>18162</v>
      </c>
      <c r="L478" t="s">
        <v>7654</v>
      </c>
      <c r="M478" s="6">
        <v>663016</v>
      </c>
      <c r="N478">
        <v>542</v>
      </c>
      <c r="O478" t="s">
        <v>7658</v>
      </c>
      <c r="P478" t="s">
        <v>7658</v>
      </c>
      <c r="Q478" t="s">
        <v>7659</v>
      </c>
      <c r="R478">
        <v>558</v>
      </c>
      <c r="S478">
        <v>558</v>
      </c>
      <c r="T478" t="s">
        <v>3458</v>
      </c>
    </row>
    <row r="479" spans="1:20" x14ac:dyDescent="0.2">
      <c r="A479" t="s">
        <v>13895</v>
      </c>
      <c r="B479" t="s">
        <v>7663</v>
      </c>
      <c r="C479" t="s">
        <v>18163</v>
      </c>
      <c r="D479">
        <v>220667</v>
      </c>
      <c r="E479">
        <v>62873</v>
      </c>
      <c r="F479">
        <v>209</v>
      </c>
      <c r="G479" t="s">
        <v>3459</v>
      </c>
      <c r="H479" t="s">
        <v>3569</v>
      </c>
      <c r="I479">
        <v>1495</v>
      </c>
      <c r="J479" t="s">
        <v>3438</v>
      </c>
      <c r="K479" t="s">
        <v>18164</v>
      </c>
      <c r="L479" t="s">
        <v>7662</v>
      </c>
      <c r="M479" t="s">
        <v>7664</v>
      </c>
      <c r="N479">
        <v>4471776</v>
      </c>
      <c r="O479" t="s">
        <v>7666</v>
      </c>
      <c r="P479" t="s">
        <v>7666</v>
      </c>
      <c r="R479">
        <v>5282726</v>
      </c>
      <c r="S479">
        <v>5282726</v>
      </c>
      <c r="T479" t="s">
        <v>3469</v>
      </c>
    </row>
    <row r="480" spans="1:20" x14ac:dyDescent="0.2">
      <c r="A480" t="s">
        <v>19107</v>
      </c>
      <c r="B480" t="s">
        <v>18165</v>
      </c>
      <c r="C480" t="s">
        <v>18166</v>
      </c>
      <c r="D480">
        <v>159177</v>
      </c>
      <c r="E480">
        <v>39760</v>
      </c>
      <c r="F480">
        <v>402</v>
      </c>
      <c r="G480" t="s">
        <v>3448</v>
      </c>
      <c r="H480" t="s">
        <v>4124</v>
      </c>
      <c r="I480">
        <v>4428</v>
      </c>
      <c r="J480" t="s">
        <v>3438</v>
      </c>
      <c r="K480">
        <v>4000</v>
      </c>
      <c r="L480" t="s">
        <v>18167</v>
      </c>
      <c r="M480" t="s">
        <v>18168</v>
      </c>
      <c r="N480">
        <v>4941652</v>
      </c>
      <c r="O480" t="s">
        <v>18169</v>
      </c>
      <c r="P480" t="s">
        <v>18169</v>
      </c>
      <c r="R480">
        <v>6437063</v>
      </c>
      <c r="S480">
        <v>6437063</v>
      </c>
      <c r="T480" t="s">
        <v>3447</v>
      </c>
    </row>
    <row r="481" spans="1:20" x14ac:dyDescent="0.2">
      <c r="A481" t="s">
        <v>1623</v>
      </c>
      <c r="B481" t="s">
        <v>7717</v>
      </c>
      <c r="C481" t="s">
        <v>18170</v>
      </c>
      <c r="D481">
        <v>161405</v>
      </c>
      <c r="E481">
        <v>49617</v>
      </c>
      <c r="F481">
        <v>402</v>
      </c>
      <c r="G481" t="s">
        <v>3459</v>
      </c>
      <c r="H481" t="s">
        <v>5441</v>
      </c>
      <c r="I481">
        <v>2649</v>
      </c>
      <c r="J481" t="s">
        <v>3438</v>
      </c>
      <c r="K481">
        <v>4000</v>
      </c>
      <c r="L481" t="s">
        <v>7716</v>
      </c>
      <c r="M481" t="s">
        <v>7718</v>
      </c>
      <c r="N481">
        <v>24766539</v>
      </c>
      <c r="O481" t="s">
        <v>7720</v>
      </c>
      <c r="P481" t="s">
        <v>7720</v>
      </c>
      <c r="R481">
        <v>24779481</v>
      </c>
      <c r="S481">
        <v>24779481</v>
      </c>
      <c r="T481" t="s">
        <v>3447</v>
      </c>
    </row>
    <row r="482" spans="1:20" x14ac:dyDescent="0.2">
      <c r="A482" t="s">
        <v>1630</v>
      </c>
      <c r="B482" t="s">
        <v>7725</v>
      </c>
      <c r="C482" t="s">
        <v>18171</v>
      </c>
      <c r="D482">
        <v>165152</v>
      </c>
      <c r="E482">
        <v>52474</v>
      </c>
      <c r="F482">
        <v>402</v>
      </c>
      <c r="G482" t="s">
        <v>3459</v>
      </c>
      <c r="H482" t="s">
        <v>7722</v>
      </c>
      <c r="I482">
        <v>2833</v>
      </c>
      <c r="J482" t="s">
        <v>3438</v>
      </c>
      <c r="K482" t="s">
        <v>18172</v>
      </c>
      <c r="L482" t="s">
        <v>7724</v>
      </c>
      <c r="N482">
        <v>9093054</v>
      </c>
      <c r="O482" t="s">
        <v>7727</v>
      </c>
      <c r="P482" t="s">
        <v>7727</v>
      </c>
      <c r="R482">
        <v>10917802</v>
      </c>
      <c r="S482">
        <v>10917802</v>
      </c>
      <c r="T482" t="s">
        <v>3447</v>
      </c>
    </row>
    <row r="483" spans="1:20" x14ac:dyDescent="0.2">
      <c r="A483" t="s">
        <v>13902</v>
      </c>
      <c r="B483" t="s">
        <v>7731</v>
      </c>
      <c r="C483" t="s">
        <v>18173</v>
      </c>
      <c r="D483">
        <v>220814</v>
      </c>
      <c r="E483">
        <v>62946</v>
      </c>
      <c r="F483">
        <v>400</v>
      </c>
      <c r="G483" t="s">
        <v>3436</v>
      </c>
      <c r="H483" t="s">
        <v>3906</v>
      </c>
      <c r="I483">
        <v>92</v>
      </c>
      <c r="J483" t="s">
        <v>3438</v>
      </c>
      <c r="K483" t="s">
        <v>18174</v>
      </c>
      <c r="L483" t="s">
        <v>7730</v>
      </c>
      <c r="M483" t="s">
        <v>7732</v>
      </c>
      <c r="N483">
        <v>4954265</v>
      </c>
      <c r="O483" t="s">
        <v>7734</v>
      </c>
      <c r="P483" t="s">
        <v>7734</v>
      </c>
      <c r="R483">
        <v>6451814</v>
      </c>
      <c r="S483">
        <v>6451814</v>
      </c>
      <c r="T483" t="s">
        <v>3458</v>
      </c>
    </row>
    <row r="484" spans="1:20" x14ac:dyDescent="0.2">
      <c r="A484" t="s">
        <v>1628</v>
      </c>
      <c r="B484" t="s">
        <v>7738</v>
      </c>
      <c r="C484" t="s">
        <v>18175</v>
      </c>
      <c r="D484">
        <v>143714</v>
      </c>
      <c r="E484">
        <v>39379</v>
      </c>
      <c r="F484">
        <v>209</v>
      </c>
      <c r="G484" t="s">
        <v>3459</v>
      </c>
      <c r="H484" t="s">
        <v>3819</v>
      </c>
      <c r="I484">
        <v>3514</v>
      </c>
      <c r="J484" t="s">
        <v>3438</v>
      </c>
      <c r="K484">
        <v>4000</v>
      </c>
      <c r="L484" t="s">
        <v>7737</v>
      </c>
      <c r="M484" t="s">
        <v>7739</v>
      </c>
      <c r="N484">
        <v>19973534</v>
      </c>
      <c r="O484" t="s">
        <v>7741</v>
      </c>
      <c r="P484" t="s">
        <v>7741</v>
      </c>
      <c r="R484">
        <v>12310288</v>
      </c>
      <c r="S484">
        <v>12310288</v>
      </c>
      <c r="T484" t="s">
        <v>3469</v>
      </c>
    </row>
    <row r="485" spans="1:20" x14ac:dyDescent="0.2">
      <c r="A485" t="s">
        <v>1646</v>
      </c>
      <c r="B485" t="s">
        <v>7752</v>
      </c>
      <c r="C485" t="s">
        <v>18176</v>
      </c>
      <c r="D485">
        <v>211502</v>
      </c>
      <c r="E485">
        <v>43378</v>
      </c>
      <c r="F485">
        <v>400</v>
      </c>
      <c r="G485" t="s">
        <v>3436</v>
      </c>
      <c r="H485" t="s">
        <v>3603</v>
      </c>
      <c r="I485">
        <v>458</v>
      </c>
      <c r="J485" t="s">
        <v>3438</v>
      </c>
      <c r="K485">
        <v>4000</v>
      </c>
      <c r="L485" t="s">
        <v>7751</v>
      </c>
      <c r="M485" t="s">
        <v>7753</v>
      </c>
      <c r="N485">
        <v>74136</v>
      </c>
      <c r="O485" t="s">
        <v>7755</v>
      </c>
      <c r="P485" t="s">
        <v>7755</v>
      </c>
      <c r="R485">
        <v>82142</v>
      </c>
      <c r="S485">
        <v>82142</v>
      </c>
      <c r="T485" t="s">
        <v>3458</v>
      </c>
    </row>
    <row r="486" spans="1:20" x14ac:dyDescent="0.2">
      <c r="A486" t="s">
        <v>1650</v>
      </c>
      <c r="B486" t="s">
        <v>7765</v>
      </c>
      <c r="C486" t="s">
        <v>18177</v>
      </c>
      <c r="D486">
        <v>141952</v>
      </c>
      <c r="E486">
        <v>39831</v>
      </c>
      <c r="F486">
        <v>209</v>
      </c>
      <c r="G486" t="s">
        <v>3459</v>
      </c>
      <c r="H486" t="s">
        <v>3873</v>
      </c>
      <c r="I486">
        <v>1702</v>
      </c>
      <c r="J486" t="s">
        <v>3438</v>
      </c>
      <c r="K486" t="s">
        <v>18178</v>
      </c>
      <c r="L486" t="s">
        <v>7764</v>
      </c>
      <c r="M486" t="s">
        <v>7766</v>
      </c>
      <c r="N486">
        <v>68030</v>
      </c>
      <c r="P486">
        <v>0</v>
      </c>
      <c r="R486">
        <v>75502</v>
      </c>
      <c r="S486">
        <v>75502</v>
      </c>
      <c r="T486" t="s">
        <v>3469</v>
      </c>
    </row>
    <row r="487" spans="1:20" x14ac:dyDescent="0.2">
      <c r="A487" t="s">
        <v>1658</v>
      </c>
      <c r="B487" t="s">
        <v>7771</v>
      </c>
      <c r="C487" t="s">
        <v>18179</v>
      </c>
      <c r="D487">
        <v>141956</v>
      </c>
      <c r="E487">
        <v>39837</v>
      </c>
      <c r="F487">
        <v>209</v>
      </c>
      <c r="G487" t="s">
        <v>3459</v>
      </c>
      <c r="H487" t="s">
        <v>3873</v>
      </c>
      <c r="I487">
        <v>1704</v>
      </c>
      <c r="J487" t="s">
        <v>3438</v>
      </c>
      <c r="K487">
        <v>4000</v>
      </c>
      <c r="L487" t="s">
        <v>7770</v>
      </c>
      <c r="M487" t="s">
        <v>7772</v>
      </c>
      <c r="N487">
        <v>214170</v>
      </c>
      <c r="O487" t="s">
        <v>5939</v>
      </c>
      <c r="P487" t="s">
        <v>5939</v>
      </c>
      <c r="Q487" t="s">
        <v>7774</v>
      </c>
      <c r="R487">
        <v>7641</v>
      </c>
      <c r="S487">
        <v>7641</v>
      </c>
      <c r="T487" t="s">
        <v>3469</v>
      </c>
    </row>
    <row r="488" spans="1:20" x14ac:dyDescent="0.2">
      <c r="A488" t="s">
        <v>1660</v>
      </c>
      <c r="B488" t="s">
        <v>7802</v>
      </c>
      <c r="C488" t="s">
        <v>18180</v>
      </c>
      <c r="D488">
        <v>165354</v>
      </c>
      <c r="E488">
        <v>46799</v>
      </c>
      <c r="F488">
        <v>402</v>
      </c>
      <c r="G488" t="s">
        <v>3459</v>
      </c>
      <c r="H488" t="s">
        <v>7792</v>
      </c>
      <c r="I488">
        <v>2927</v>
      </c>
      <c r="J488" t="s">
        <v>3438</v>
      </c>
      <c r="L488" t="s">
        <v>7801</v>
      </c>
      <c r="M488" t="s">
        <v>7803</v>
      </c>
      <c r="N488">
        <v>29788004</v>
      </c>
      <c r="O488" t="s">
        <v>7798</v>
      </c>
      <c r="P488" t="s">
        <v>7798</v>
      </c>
      <c r="R488">
        <v>71433693</v>
      </c>
      <c r="S488">
        <v>71433693</v>
      </c>
      <c r="T488" t="s">
        <v>3447</v>
      </c>
    </row>
    <row r="489" spans="1:20" x14ac:dyDescent="0.2">
      <c r="A489" t="s">
        <v>1644</v>
      </c>
      <c r="B489" t="s">
        <v>7808</v>
      </c>
      <c r="C489" t="s">
        <v>18181</v>
      </c>
      <c r="D489">
        <v>163991</v>
      </c>
      <c r="E489">
        <v>39270</v>
      </c>
      <c r="F489">
        <v>402</v>
      </c>
      <c r="G489" t="s">
        <v>3459</v>
      </c>
      <c r="H489" t="s">
        <v>7722</v>
      </c>
      <c r="I489">
        <v>2834</v>
      </c>
      <c r="J489" t="s">
        <v>3438</v>
      </c>
      <c r="K489" t="s">
        <v>18182</v>
      </c>
      <c r="L489" t="s">
        <v>7807</v>
      </c>
      <c r="N489">
        <v>10471193</v>
      </c>
      <c r="O489" t="s">
        <v>7810</v>
      </c>
      <c r="P489" t="s">
        <v>7810</v>
      </c>
      <c r="S489">
        <v>0</v>
      </c>
      <c r="T489" t="s">
        <v>3447</v>
      </c>
    </row>
    <row r="490" spans="1:20" x14ac:dyDescent="0.2">
      <c r="A490" t="s">
        <v>1652</v>
      </c>
      <c r="B490" t="s">
        <v>7813</v>
      </c>
      <c r="C490" t="s">
        <v>18183</v>
      </c>
      <c r="D490">
        <v>180976</v>
      </c>
      <c r="E490">
        <v>39271</v>
      </c>
      <c r="F490">
        <v>402</v>
      </c>
      <c r="G490" t="s">
        <v>3459</v>
      </c>
      <c r="H490" t="s">
        <v>7722</v>
      </c>
      <c r="I490">
        <v>2838</v>
      </c>
      <c r="J490" t="s">
        <v>3438</v>
      </c>
      <c r="L490" t="s">
        <v>7812</v>
      </c>
      <c r="P490">
        <v>0</v>
      </c>
      <c r="S490">
        <v>0</v>
      </c>
      <c r="T490" t="s">
        <v>3447</v>
      </c>
    </row>
    <row r="491" spans="1:20" x14ac:dyDescent="0.2">
      <c r="A491" t="s">
        <v>1656</v>
      </c>
      <c r="B491" t="s">
        <v>7817</v>
      </c>
      <c r="C491" t="s">
        <v>18184</v>
      </c>
      <c r="D491">
        <v>143757</v>
      </c>
      <c r="E491">
        <v>39732</v>
      </c>
      <c r="F491">
        <v>209</v>
      </c>
      <c r="G491" t="s">
        <v>3459</v>
      </c>
      <c r="H491" t="s">
        <v>4774</v>
      </c>
      <c r="I491">
        <v>2172</v>
      </c>
      <c r="J491" t="s">
        <v>3438</v>
      </c>
      <c r="K491" t="s">
        <v>18185</v>
      </c>
      <c r="L491" t="s">
        <v>7816</v>
      </c>
      <c r="M491" t="s">
        <v>7818</v>
      </c>
      <c r="N491">
        <v>4941625</v>
      </c>
      <c r="P491">
        <v>0</v>
      </c>
      <c r="R491">
        <v>6437033</v>
      </c>
      <c r="S491">
        <v>6437033</v>
      </c>
      <c r="T491" t="s">
        <v>3469</v>
      </c>
    </row>
    <row r="492" spans="1:20" x14ac:dyDescent="0.2">
      <c r="A492" t="s">
        <v>13908</v>
      </c>
      <c r="B492" t="s">
        <v>7824</v>
      </c>
      <c r="C492" t="s">
        <v>18186</v>
      </c>
      <c r="D492">
        <v>159669</v>
      </c>
      <c r="E492">
        <v>46223</v>
      </c>
      <c r="F492">
        <v>402</v>
      </c>
      <c r="G492" t="s">
        <v>3459</v>
      </c>
      <c r="H492" t="s">
        <v>7821</v>
      </c>
      <c r="I492">
        <v>1891</v>
      </c>
      <c r="J492" t="s">
        <v>3438</v>
      </c>
      <c r="K492" t="s">
        <v>18187</v>
      </c>
      <c r="L492" t="s">
        <v>7823</v>
      </c>
      <c r="M492" t="s">
        <v>7825</v>
      </c>
      <c r="N492">
        <v>4952667</v>
      </c>
      <c r="O492" t="s">
        <v>7827</v>
      </c>
      <c r="P492" t="s">
        <v>7827</v>
      </c>
      <c r="R492">
        <v>6450015</v>
      </c>
      <c r="S492">
        <v>6450015</v>
      </c>
      <c r="T492" t="s">
        <v>3447</v>
      </c>
    </row>
    <row r="493" spans="1:20" x14ac:dyDescent="0.2">
      <c r="A493" t="s">
        <v>13913</v>
      </c>
      <c r="B493" t="s">
        <v>7857</v>
      </c>
      <c r="C493" t="s">
        <v>18188</v>
      </c>
      <c r="D493">
        <v>232911</v>
      </c>
      <c r="E493">
        <v>63990</v>
      </c>
      <c r="F493">
        <v>209</v>
      </c>
      <c r="G493" t="s">
        <v>3448</v>
      </c>
      <c r="H493" t="s">
        <v>5600</v>
      </c>
      <c r="I493">
        <v>4352</v>
      </c>
      <c r="J493" t="s">
        <v>3438</v>
      </c>
      <c r="K493" t="s">
        <v>18189</v>
      </c>
      <c r="L493" t="s">
        <v>7856</v>
      </c>
      <c r="M493" t="s">
        <v>7858</v>
      </c>
      <c r="N493">
        <v>90149</v>
      </c>
      <c r="O493" t="s">
        <v>7860</v>
      </c>
      <c r="P493" t="s">
        <v>7860</v>
      </c>
      <c r="R493">
        <v>54726398</v>
      </c>
      <c r="S493">
        <v>54726398</v>
      </c>
      <c r="T493" t="s">
        <v>3469</v>
      </c>
    </row>
    <row r="494" spans="1:20" x14ac:dyDescent="0.2">
      <c r="A494" t="s">
        <v>19108</v>
      </c>
      <c r="B494" t="s">
        <v>18190</v>
      </c>
      <c r="C494" t="s">
        <v>18191</v>
      </c>
      <c r="D494">
        <v>161438</v>
      </c>
      <c r="E494">
        <v>40007</v>
      </c>
      <c r="F494">
        <v>400</v>
      </c>
      <c r="G494" t="s">
        <v>3436</v>
      </c>
      <c r="H494" t="s">
        <v>4215</v>
      </c>
      <c r="I494">
        <v>58</v>
      </c>
      <c r="J494" t="s">
        <v>3438</v>
      </c>
      <c r="K494" t="s">
        <v>18192</v>
      </c>
      <c r="L494" t="s">
        <v>18193</v>
      </c>
      <c r="M494" s="6">
        <v>908028</v>
      </c>
      <c r="N494">
        <v>2474</v>
      </c>
      <c r="O494" t="s">
        <v>18194</v>
      </c>
      <c r="P494" t="s">
        <v>18194</v>
      </c>
      <c r="R494">
        <v>2572</v>
      </c>
      <c r="S494">
        <v>2572</v>
      </c>
      <c r="T494" t="s">
        <v>3458</v>
      </c>
    </row>
    <row r="495" spans="1:20" x14ac:dyDescent="0.2">
      <c r="A495" t="s">
        <v>1654</v>
      </c>
      <c r="B495" t="s">
        <v>7864</v>
      </c>
      <c r="C495" t="s">
        <v>18195</v>
      </c>
      <c r="D495">
        <v>208316</v>
      </c>
      <c r="E495">
        <v>54923</v>
      </c>
      <c r="F495">
        <v>209</v>
      </c>
      <c r="G495" t="s">
        <v>3436</v>
      </c>
      <c r="H495" t="s">
        <v>4215</v>
      </c>
      <c r="I495">
        <v>56</v>
      </c>
      <c r="J495" t="s">
        <v>3438</v>
      </c>
      <c r="K495" t="s">
        <v>18196</v>
      </c>
      <c r="L495" t="s">
        <v>7863</v>
      </c>
      <c r="M495" t="s">
        <v>7865</v>
      </c>
      <c r="N495">
        <v>19992713</v>
      </c>
      <c r="P495">
        <v>0</v>
      </c>
      <c r="Q495" t="s">
        <v>7867</v>
      </c>
      <c r="R495">
        <v>189741</v>
      </c>
      <c r="S495">
        <v>189741</v>
      </c>
      <c r="T495" t="s">
        <v>3469</v>
      </c>
    </row>
    <row r="496" spans="1:20" x14ac:dyDescent="0.2">
      <c r="A496" t="s">
        <v>1670</v>
      </c>
      <c r="B496" t="s">
        <v>7871</v>
      </c>
      <c r="C496" t="s">
        <v>18197</v>
      </c>
      <c r="D496">
        <v>156717</v>
      </c>
      <c r="E496">
        <v>40406</v>
      </c>
      <c r="F496">
        <v>400</v>
      </c>
      <c r="G496" t="s">
        <v>3459</v>
      </c>
      <c r="H496" t="s">
        <v>3758</v>
      </c>
      <c r="I496">
        <v>2243</v>
      </c>
      <c r="J496" t="s">
        <v>3438</v>
      </c>
      <c r="K496" t="s">
        <v>18198</v>
      </c>
      <c r="L496" t="s">
        <v>7870</v>
      </c>
      <c r="M496" t="s">
        <v>7872</v>
      </c>
      <c r="N496">
        <v>1113</v>
      </c>
      <c r="O496" t="s">
        <v>7874</v>
      </c>
      <c r="P496" t="s">
        <v>7874</v>
      </c>
      <c r="Q496" t="s">
        <v>7875</v>
      </c>
      <c r="R496">
        <v>1145</v>
      </c>
      <c r="S496">
        <v>1145</v>
      </c>
      <c r="T496" t="s">
        <v>3458</v>
      </c>
    </row>
    <row r="497" spans="1:20" x14ac:dyDescent="0.2">
      <c r="A497" t="s">
        <v>13914</v>
      </c>
      <c r="B497" t="s">
        <v>7879</v>
      </c>
      <c r="C497" t="s">
        <v>18199</v>
      </c>
      <c r="D497">
        <v>220638</v>
      </c>
      <c r="E497">
        <v>62860</v>
      </c>
      <c r="F497">
        <v>400</v>
      </c>
      <c r="G497" t="s">
        <v>3436</v>
      </c>
      <c r="H497" t="s">
        <v>3586</v>
      </c>
      <c r="I497">
        <v>114</v>
      </c>
      <c r="J497" t="s">
        <v>3438</v>
      </c>
      <c r="K497" t="s">
        <v>18200</v>
      </c>
      <c r="L497" t="s">
        <v>7878</v>
      </c>
      <c r="M497" t="s">
        <v>7880</v>
      </c>
      <c r="N497">
        <v>144469</v>
      </c>
      <c r="O497" t="s">
        <v>7882</v>
      </c>
      <c r="P497" t="s">
        <v>7882</v>
      </c>
      <c r="Q497" t="s">
        <v>7883</v>
      </c>
      <c r="R497">
        <v>164795</v>
      </c>
      <c r="S497">
        <v>164795</v>
      </c>
      <c r="T497" t="s">
        <v>3458</v>
      </c>
    </row>
    <row r="498" spans="1:20" x14ac:dyDescent="0.2">
      <c r="A498" t="s">
        <v>1672</v>
      </c>
      <c r="B498" t="s">
        <v>7887</v>
      </c>
      <c r="C498" t="s">
        <v>18201</v>
      </c>
      <c r="D498">
        <v>143017</v>
      </c>
      <c r="E498">
        <v>40481</v>
      </c>
      <c r="F498">
        <v>209</v>
      </c>
      <c r="G498" t="s">
        <v>3863</v>
      </c>
      <c r="H498" t="s">
        <v>3864</v>
      </c>
      <c r="I498">
        <v>4879</v>
      </c>
      <c r="J498" t="s">
        <v>3438</v>
      </c>
      <c r="K498" t="s">
        <v>18202</v>
      </c>
      <c r="L498" t="s">
        <v>7886</v>
      </c>
      <c r="M498" t="s">
        <v>7888</v>
      </c>
      <c r="N498">
        <v>13701</v>
      </c>
      <c r="O498" t="s">
        <v>7890</v>
      </c>
      <c r="P498" t="s">
        <v>7890</v>
      </c>
      <c r="R498">
        <v>14340</v>
      </c>
      <c r="S498">
        <v>14340</v>
      </c>
      <c r="T498" t="s">
        <v>3469</v>
      </c>
    </row>
    <row r="499" spans="1:20" x14ac:dyDescent="0.2">
      <c r="A499" t="s">
        <v>1662</v>
      </c>
      <c r="B499" t="s">
        <v>7894</v>
      </c>
      <c r="C499" t="s">
        <v>18203</v>
      </c>
      <c r="D499">
        <v>156802</v>
      </c>
      <c r="E499">
        <v>40730</v>
      </c>
      <c r="F499">
        <v>400</v>
      </c>
      <c r="G499" t="s">
        <v>3436</v>
      </c>
      <c r="H499" t="s">
        <v>3906</v>
      </c>
      <c r="I499">
        <v>80</v>
      </c>
      <c r="J499" t="s">
        <v>3438</v>
      </c>
      <c r="K499" t="s">
        <v>18204</v>
      </c>
      <c r="L499" t="s">
        <v>7893</v>
      </c>
      <c r="M499" t="s">
        <v>7895</v>
      </c>
      <c r="N499">
        <v>63798</v>
      </c>
      <c r="O499" t="s">
        <v>7897</v>
      </c>
      <c r="P499" t="s">
        <v>7897</v>
      </c>
      <c r="R499">
        <v>70630</v>
      </c>
      <c r="S499">
        <v>70630</v>
      </c>
      <c r="T499" t="s">
        <v>3458</v>
      </c>
    </row>
    <row r="500" spans="1:20" x14ac:dyDescent="0.2">
      <c r="A500" t="s">
        <v>1665</v>
      </c>
      <c r="B500" t="s">
        <v>7925</v>
      </c>
      <c r="C500" t="s">
        <v>18205</v>
      </c>
      <c r="D500">
        <v>143065</v>
      </c>
      <c r="E500">
        <v>40708</v>
      </c>
      <c r="F500">
        <v>209</v>
      </c>
      <c r="G500" t="s">
        <v>3459</v>
      </c>
      <c r="H500" t="s">
        <v>7133</v>
      </c>
      <c r="I500">
        <v>3283</v>
      </c>
      <c r="J500" t="s">
        <v>3438</v>
      </c>
      <c r="K500" t="s">
        <v>18206</v>
      </c>
      <c r="L500" t="s">
        <v>7924</v>
      </c>
      <c r="M500" t="s">
        <v>7926</v>
      </c>
      <c r="N500">
        <v>110346</v>
      </c>
      <c r="O500" t="s">
        <v>7928</v>
      </c>
      <c r="P500" t="s">
        <v>7928</v>
      </c>
      <c r="R500">
        <v>123796</v>
      </c>
      <c r="S500">
        <v>123796</v>
      </c>
      <c r="T500" t="s">
        <v>3469</v>
      </c>
    </row>
    <row r="501" spans="1:20" x14ac:dyDescent="0.2">
      <c r="A501" t="s">
        <v>1668</v>
      </c>
      <c r="B501" t="s">
        <v>7932</v>
      </c>
      <c r="C501" t="s">
        <v>18207</v>
      </c>
      <c r="D501">
        <v>156849</v>
      </c>
      <c r="E501">
        <v>41494</v>
      </c>
      <c r="F501">
        <v>400</v>
      </c>
      <c r="G501" t="s">
        <v>3863</v>
      </c>
      <c r="H501" t="s">
        <v>3864</v>
      </c>
      <c r="I501">
        <v>4816</v>
      </c>
      <c r="J501" t="s">
        <v>3438</v>
      </c>
      <c r="K501" t="s">
        <v>18208</v>
      </c>
      <c r="L501" t="s">
        <v>7931</v>
      </c>
      <c r="M501" t="s">
        <v>7933</v>
      </c>
      <c r="N501">
        <v>78760</v>
      </c>
      <c r="O501" t="s">
        <v>7935</v>
      </c>
      <c r="P501" t="s">
        <v>7935</v>
      </c>
      <c r="Q501" t="s">
        <v>7936</v>
      </c>
      <c r="R501">
        <v>87310</v>
      </c>
      <c r="S501">
        <v>87310</v>
      </c>
      <c r="T501" t="s">
        <v>3458</v>
      </c>
    </row>
    <row r="502" spans="1:20" x14ac:dyDescent="0.2">
      <c r="A502" t="s">
        <v>1674</v>
      </c>
      <c r="B502" t="s">
        <v>7961</v>
      </c>
      <c r="C502" t="s">
        <v>18209</v>
      </c>
      <c r="D502">
        <v>156791</v>
      </c>
      <c r="E502">
        <v>40703</v>
      </c>
      <c r="F502">
        <v>400</v>
      </c>
      <c r="G502" t="s">
        <v>3853</v>
      </c>
      <c r="H502" t="s">
        <v>5381</v>
      </c>
      <c r="I502">
        <v>947</v>
      </c>
      <c r="J502" t="s">
        <v>3438</v>
      </c>
      <c r="K502" t="s">
        <v>18210</v>
      </c>
      <c r="L502" t="s">
        <v>7960</v>
      </c>
      <c r="M502" t="s">
        <v>7962</v>
      </c>
      <c r="N502">
        <v>4932143</v>
      </c>
      <c r="O502" t="s">
        <v>7964</v>
      </c>
      <c r="P502" t="s">
        <v>7964</v>
      </c>
      <c r="R502">
        <v>6426709</v>
      </c>
      <c r="S502">
        <v>6426709</v>
      </c>
      <c r="T502" t="s">
        <v>3458</v>
      </c>
    </row>
    <row r="503" spans="1:20" x14ac:dyDescent="0.2">
      <c r="A503" t="s">
        <v>1676</v>
      </c>
      <c r="B503" t="s">
        <v>7968</v>
      </c>
      <c r="C503" t="s">
        <v>18211</v>
      </c>
      <c r="D503">
        <v>143937</v>
      </c>
      <c r="E503">
        <v>42092</v>
      </c>
      <c r="F503">
        <v>209</v>
      </c>
      <c r="G503" t="s">
        <v>3459</v>
      </c>
      <c r="H503" t="s">
        <v>4991</v>
      </c>
      <c r="I503">
        <v>1823</v>
      </c>
      <c r="J503" t="s">
        <v>3438</v>
      </c>
      <c r="K503" t="s">
        <v>18212</v>
      </c>
      <c r="L503" t="s">
        <v>7967</v>
      </c>
      <c r="M503" t="s">
        <v>7969</v>
      </c>
      <c r="N503">
        <v>133100</v>
      </c>
      <c r="O503" t="s">
        <v>7971</v>
      </c>
      <c r="P503" t="s">
        <v>7971</v>
      </c>
      <c r="R503">
        <v>151008</v>
      </c>
      <c r="S503">
        <v>151008</v>
      </c>
      <c r="T503" t="s">
        <v>3469</v>
      </c>
    </row>
    <row r="504" spans="1:20" x14ac:dyDescent="0.2">
      <c r="A504" t="s">
        <v>1694</v>
      </c>
      <c r="B504" t="s">
        <v>7975</v>
      </c>
      <c r="C504" t="s">
        <v>18213</v>
      </c>
      <c r="D504">
        <v>220652</v>
      </c>
      <c r="E504">
        <v>62864</v>
      </c>
      <c r="F504">
        <v>305</v>
      </c>
      <c r="G504" t="s">
        <v>3863</v>
      </c>
      <c r="H504" t="s">
        <v>3864</v>
      </c>
      <c r="I504">
        <v>4959</v>
      </c>
      <c r="J504" t="s">
        <v>3438</v>
      </c>
      <c r="K504" t="s">
        <v>18214</v>
      </c>
      <c r="L504" t="s">
        <v>7974</v>
      </c>
      <c r="M504" t="s">
        <v>7976</v>
      </c>
      <c r="N504">
        <v>2496757</v>
      </c>
      <c r="P504">
        <v>0</v>
      </c>
      <c r="R504">
        <v>3246006</v>
      </c>
      <c r="S504">
        <v>3246006</v>
      </c>
      <c r="T504" t="s">
        <v>3489</v>
      </c>
    </row>
    <row r="505" spans="1:20" x14ac:dyDescent="0.2">
      <c r="A505" t="s">
        <v>1680</v>
      </c>
      <c r="B505" t="s">
        <v>13380</v>
      </c>
      <c r="C505" t="s">
        <v>18215</v>
      </c>
      <c r="D505">
        <v>143923</v>
      </c>
      <c r="E505">
        <v>41888</v>
      </c>
      <c r="F505">
        <v>209</v>
      </c>
      <c r="G505" t="s">
        <v>3863</v>
      </c>
      <c r="H505" t="s">
        <v>5632</v>
      </c>
      <c r="I505">
        <v>6198</v>
      </c>
      <c r="J505" t="s">
        <v>3438</v>
      </c>
      <c r="K505" t="s">
        <v>18216</v>
      </c>
      <c r="L505" t="s">
        <v>18217</v>
      </c>
      <c r="M505" t="s">
        <v>13381</v>
      </c>
      <c r="N505">
        <v>10955</v>
      </c>
      <c r="P505" t="s">
        <v>18218</v>
      </c>
      <c r="Q505" t="s">
        <v>13382</v>
      </c>
      <c r="R505">
        <v>11439</v>
      </c>
      <c r="S505">
        <v>11439</v>
      </c>
      <c r="T505" t="s">
        <v>3469</v>
      </c>
    </row>
    <row r="506" spans="1:20" x14ac:dyDescent="0.2">
      <c r="A506" t="s">
        <v>1692</v>
      </c>
      <c r="B506" t="s">
        <v>7988</v>
      </c>
      <c r="C506" t="s">
        <v>18219</v>
      </c>
      <c r="D506">
        <v>156875</v>
      </c>
      <c r="E506">
        <v>42002</v>
      </c>
      <c r="F506">
        <v>400</v>
      </c>
      <c r="G506" t="s">
        <v>3436</v>
      </c>
      <c r="H506" t="s">
        <v>3603</v>
      </c>
      <c r="I506">
        <v>466</v>
      </c>
      <c r="J506" t="s">
        <v>3438</v>
      </c>
      <c r="K506" t="s">
        <v>18220</v>
      </c>
      <c r="L506" t="s">
        <v>7987</v>
      </c>
      <c r="M506" s="6">
        <v>468646</v>
      </c>
      <c r="N506">
        <v>88959</v>
      </c>
      <c r="P506" t="s">
        <v>18221</v>
      </c>
      <c r="R506">
        <v>98504</v>
      </c>
      <c r="S506">
        <v>98504</v>
      </c>
      <c r="T506" t="s">
        <v>3458</v>
      </c>
    </row>
    <row r="507" spans="1:20" x14ac:dyDescent="0.2">
      <c r="A507" t="s">
        <v>1686</v>
      </c>
      <c r="B507" t="s">
        <v>7994</v>
      </c>
      <c r="C507" t="s">
        <v>18222</v>
      </c>
      <c r="D507">
        <v>142786</v>
      </c>
      <c r="E507">
        <v>41220</v>
      </c>
      <c r="F507">
        <v>209</v>
      </c>
      <c r="G507" t="s">
        <v>3459</v>
      </c>
      <c r="H507" t="s">
        <v>5441</v>
      </c>
      <c r="I507">
        <v>2670</v>
      </c>
      <c r="J507" t="s">
        <v>3438</v>
      </c>
      <c r="K507" t="s">
        <v>18223</v>
      </c>
      <c r="L507" t="s">
        <v>7993</v>
      </c>
      <c r="N507">
        <v>24769218</v>
      </c>
      <c r="O507" t="s">
        <v>7996</v>
      </c>
      <c r="P507" t="s">
        <v>7996</v>
      </c>
      <c r="R507" s="5">
        <v>9065845353480660</v>
      </c>
      <c r="S507" t="s">
        <v>18224</v>
      </c>
      <c r="T507" t="s">
        <v>3469</v>
      </c>
    </row>
    <row r="508" spans="1:20" x14ac:dyDescent="0.2">
      <c r="A508" t="s">
        <v>1690</v>
      </c>
      <c r="B508" t="s">
        <v>8001</v>
      </c>
      <c r="C508" t="s">
        <v>18225</v>
      </c>
      <c r="D508">
        <v>156990</v>
      </c>
      <c r="E508">
        <v>43264</v>
      </c>
      <c r="F508">
        <v>400</v>
      </c>
      <c r="G508" t="s">
        <v>3459</v>
      </c>
      <c r="H508" t="s">
        <v>7998</v>
      </c>
      <c r="I508">
        <v>1919</v>
      </c>
      <c r="J508" t="s">
        <v>3438</v>
      </c>
      <c r="L508" t="s">
        <v>8000</v>
      </c>
      <c r="O508" t="s">
        <v>8002</v>
      </c>
      <c r="P508" t="s">
        <v>8002</v>
      </c>
      <c r="R508">
        <v>53481617</v>
      </c>
      <c r="S508">
        <v>53481617</v>
      </c>
      <c r="T508" t="s">
        <v>3458</v>
      </c>
    </row>
    <row r="509" spans="1:20" x14ac:dyDescent="0.2">
      <c r="A509" t="s">
        <v>1682</v>
      </c>
      <c r="B509" t="s">
        <v>8022</v>
      </c>
      <c r="C509" t="s">
        <v>18226</v>
      </c>
      <c r="D509">
        <v>157016</v>
      </c>
      <c r="E509">
        <v>43488</v>
      </c>
      <c r="F509">
        <v>400</v>
      </c>
      <c r="G509" t="s">
        <v>3436</v>
      </c>
      <c r="H509" t="s">
        <v>3906</v>
      </c>
      <c r="I509">
        <v>86</v>
      </c>
      <c r="J509" t="s">
        <v>3438</v>
      </c>
      <c r="K509" t="s">
        <v>18227</v>
      </c>
      <c r="L509" t="s">
        <v>8021</v>
      </c>
      <c r="M509" t="s">
        <v>8023</v>
      </c>
      <c r="N509">
        <v>8079136</v>
      </c>
      <c r="O509" t="s">
        <v>8025</v>
      </c>
      <c r="P509" t="s">
        <v>8025</v>
      </c>
      <c r="R509">
        <v>9903482</v>
      </c>
      <c r="S509">
        <v>9903482</v>
      </c>
      <c r="T509" t="s">
        <v>3458</v>
      </c>
    </row>
    <row r="510" spans="1:20" x14ac:dyDescent="0.2">
      <c r="A510" t="s">
        <v>1688</v>
      </c>
      <c r="B510" t="s">
        <v>8029</v>
      </c>
      <c r="C510" t="s">
        <v>18228</v>
      </c>
      <c r="D510">
        <v>211213</v>
      </c>
      <c r="E510">
        <v>57512</v>
      </c>
      <c r="F510">
        <v>402</v>
      </c>
      <c r="G510" t="s">
        <v>3459</v>
      </c>
      <c r="H510" t="s">
        <v>5526</v>
      </c>
      <c r="I510">
        <v>1865</v>
      </c>
      <c r="J510" t="s">
        <v>3438</v>
      </c>
      <c r="L510" t="s">
        <v>8028</v>
      </c>
      <c r="M510" t="s">
        <v>8030</v>
      </c>
      <c r="N510">
        <v>35015987</v>
      </c>
      <c r="O510" t="s">
        <v>8032</v>
      </c>
      <c r="P510" t="s">
        <v>8032</v>
      </c>
      <c r="R510">
        <v>53477803</v>
      </c>
      <c r="S510">
        <v>53477803</v>
      </c>
      <c r="T510" t="s">
        <v>3447</v>
      </c>
    </row>
    <row r="511" spans="1:20" x14ac:dyDescent="0.2">
      <c r="A511" t="s">
        <v>1678</v>
      </c>
      <c r="B511" t="s">
        <v>8036</v>
      </c>
      <c r="C511" t="s">
        <v>18229</v>
      </c>
      <c r="D511">
        <v>180877</v>
      </c>
      <c r="E511">
        <v>42989</v>
      </c>
      <c r="F511">
        <v>305</v>
      </c>
      <c r="G511" t="s">
        <v>3436</v>
      </c>
      <c r="H511" t="s">
        <v>3603</v>
      </c>
      <c r="I511">
        <v>472</v>
      </c>
      <c r="J511" t="s">
        <v>3438</v>
      </c>
      <c r="K511" t="s">
        <v>18230</v>
      </c>
      <c r="L511" t="s">
        <v>8035</v>
      </c>
      <c r="M511" t="s">
        <v>8037</v>
      </c>
      <c r="N511">
        <v>7594</v>
      </c>
      <c r="P511">
        <v>0</v>
      </c>
      <c r="R511">
        <v>7882</v>
      </c>
      <c r="S511">
        <v>7882</v>
      </c>
      <c r="T511" t="s">
        <v>3489</v>
      </c>
    </row>
    <row r="512" spans="1:20" x14ac:dyDescent="0.2">
      <c r="A512" t="s">
        <v>1684</v>
      </c>
      <c r="B512" t="s">
        <v>8042</v>
      </c>
      <c r="C512" t="s">
        <v>18231</v>
      </c>
      <c r="D512">
        <v>219251</v>
      </c>
      <c r="E512">
        <v>62278</v>
      </c>
      <c r="F512">
        <v>400</v>
      </c>
      <c r="G512" t="s">
        <v>3863</v>
      </c>
      <c r="H512" t="s">
        <v>3864</v>
      </c>
      <c r="I512">
        <v>4931</v>
      </c>
      <c r="J512" t="s">
        <v>3438</v>
      </c>
      <c r="K512" t="s">
        <v>18232</v>
      </c>
      <c r="L512" t="s">
        <v>8041</v>
      </c>
      <c r="M512" t="s">
        <v>8043</v>
      </c>
      <c r="N512">
        <v>2340795</v>
      </c>
      <c r="P512" t="s">
        <v>8045</v>
      </c>
      <c r="R512">
        <v>3083620</v>
      </c>
      <c r="S512">
        <v>3083620</v>
      </c>
      <c r="T512" t="s">
        <v>3458</v>
      </c>
    </row>
    <row r="513" spans="1:20" x14ac:dyDescent="0.2">
      <c r="A513" t="s">
        <v>1699</v>
      </c>
      <c r="B513" t="s">
        <v>8049</v>
      </c>
      <c r="C513" t="s">
        <v>18233</v>
      </c>
      <c r="D513">
        <v>143947</v>
      </c>
      <c r="E513">
        <v>42574</v>
      </c>
      <c r="F513">
        <v>209</v>
      </c>
      <c r="G513" t="s">
        <v>3459</v>
      </c>
      <c r="H513" t="s">
        <v>3819</v>
      </c>
      <c r="I513">
        <v>3526</v>
      </c>
      <c r="J513" t="s">
        <v>3438</v>
      </c>
      <c r="L513" t="s">
        <v>8048</v>
      </c>
      <c r="O513" t="s">
        <v>3895</v>
      </c>
      <c r="P513" t="s">
        <v>3895</v>
      </c>
      <c r="R513">
        <v>71361462</v>
      </c>
      <c r="S513">
        <v>71361462</v>
      </c>
      <c r="T513" t="s">
        <v>3469</v>
      </c>
    </row>
    <row r="514" spans="1:20" x14ac:dyDescent="0.2">
      <c r="A514" t="s">
        <v>1697</v>
      </c>
      <c r="B514" t="s">
        <v>8060</v>
      </c>
      <c r="C514" t="s">
        <v>18234</v>
      </c>
      <c r="D514">
        <v>144357</v>
      </c>
      <c r="E514">
        <v>42489</v>
      </c>
      <c r="F514">
        <v>209</v>
      </c>
      <c r="G514" t="s">
        <v>3459</v>
      </c>
      <c r="H514" t="s">
        <v>4869</v>
      </c>
      <c r="I514">
        <v>1962</v>
      </c>
      <c r="J514" t="s">
        <v>3438</v>
      </c>
      <c r="K514" t="s">
        <v>18235</v>
      </c>
      <c r="L514" t="s">
        <v>8059</v>
      </c>
      <c r="M514" t="s">
        <v>8061</v>
      </c>
      <c r="N514">
        <v>20195</v>
      </c>
      <c r="O514" t="s">
        <v>8063</v>
      </c>
      <c r="P514" t="s">
        <v>8063</v>
      </c>
      <c r="R514">
        <v>21488</v>
      </c>
      <c r="S514">
        <v>21488</v>
      </c>
      <c r="T514" t="s">
        <v>3469</v>
      </c>
    </row>
    <row r="515" spans="1:20" x14ac:dyDescent="0.2">
      <c r="A515" t="s">
        <v>19109</v>
      </c>
      <c r="B515" t="s">
        <v>18236</v>
      </c>
      <c r="C515" t="s">
        <v>18237</v>
      </c>
      <c r="D515">
        <v>144277</v>
      </c>
      <c r="E515">
        <v>46164</v>
      </c>
      <c r="F515">
        <v>209</v>
      </c>
      <c r="G515" t="s">
        <v>3863</v>
      </c>
      <c r="H515" t="s">
        <v>5082</v>
      </c>
      <c r="I515">
        <v>4503</v>
      </c>
      <c r="J515" t="s">
        <v>3438</v>
      </c>
      <c r="L515" t="s">
        <v>18238</v>
      </c>
      <c r="P515">
        <v>0</v>
      </c>
      <c r="S515">
        <v>0</v>
      </c>
      <c r="T515" t="s">
        <v>3469</v>
      </c>
    </row>
    <row r="516" spans="1:20" x14ac:dyDescent="0.2">
      <c r="A516" t="s">
        <v>1706</v>
      </c>
      <c r="B516" t="s">
        <v>8074</v>
      </c>
      <c r="C516" t="s">
        <v>18239</v>
      </c>
      <c r="D516">
        <v>144253</v>
      </c>
      <c r="E516">
        <v>46146</v>
      </c>
      <c r="F516">
        <v>209</v>
      </c>
      <c r="G516" t="s">
        <v>3863</v>
      </c>
      <c r="H516" t="s">
        <v>5082</v>
      </c>
      <c r="I516">
        <v>4505</v>
      </c>
      <c r="J516" t="s">
        <v>3438</v>
      </c>
      <c r="L516" t="s">
        <v>8073</v>
      </c>
      <c r="O516" t="s">
        <v>8075</v>
      </c>
      <c r="P516" t="s">
        <v>8075</v>
      </c>
      <c r="R516">
        <v>54104170</v>
      </c>
      <c r="S516">
        <v>54104170</v>
      </c>
      <c r="T516" t="s">
        <v>3469</v>
      </c>
    </row>
    <row r="517" spans="1:20" x14ac:dyDescent="0.2">
      <c r="A517" t="s">
        <v>1704</v>
      </c>
      <c r="B517" t="s">
        <v>8079</v>
      </c>
      <c r="C517" t="s">
        <v>18240</v>
      </c>
      <c r="D517">
        <v>144278</v>
      </c>
      <c r="E517">
        <v>46165</v>
      </c>
      <c r="F517">
        <v>209</v>
      </c>
      <c r="G517" t="s">
        <v>3863</v>
      </c>
      <c r="H517" t="s">
        <v>5082</v>
      </c>
      <c r="I517">
        <v>4502</v>
      </c>
      <c r="J517" t="s">
        <v>3438</v>
      </c>
      <c r="L517" t="s">
        <v>8078</v>
      </c>
      <c r="P517">
        <v>0</v>
      </c>
      <c r="R517">
        <v>118431379</v>
      </c>
      <c r="S517">
        <v>118431379</v>
      </c>
      <c r="T517" t="s">
        <v>3469</v>
      </c>
    </row>
    <row r="518" spans="1:20" x14ac:dyDescent="0.2">
      <c r="A518" t="s">
        <v>13933</v>
      </c>
      <c r="B518" t="s">
        <v>18241</v>
      </c>
      <c r="C518" t="s">
        <v>18242</v>
      </c>
      <c r="D518">
        <v>144005</v>
      </c>
      <c r="E518">
        <v>43507</v>
      </c>
      <c r="F518">
        <v>209</v>
      </c>
      <c r="G518" t="s">
        <v>3459</v>
      </c>
      <c r="H518" t="s">
        <v>3819</v>
      </c>
      <c r="I518">
        <v>3539</v>
      </c>
      <c r="J518" t="s">
        <v>3438</v>
      </c>
      <c r="K518" t="s">
        <v>18243</v>
      </c>
      <c r="L518" t="s">
        <v>8127</v>
      </c>
      <c r="M518" t="s">
        <v>8129</v>
      </c>
      <c r="N518">
        <v>83950</v>
      </c>
      <c r="O518" t="s">
        <v>8131</v>
      </c>
      <c r="P518" t="s">
        <v>8131</v>
      </c>
      <c r="R518">
        <v>92997</v>
      </c>
      <c r="S518">
        <v>92997</v>
      </c>
      <c r="T518" t="s">
        <v>3469</v>
      </c>
    </row>
    <row r="519" spans="1:20" x14ac:dyDescent="0.2">
      <c r="A519" t="s">
        <v>1708</v>
      </c>
      <c r="B519" t="s">
        <v>8135</v>
      </c>
      <c r="C519" t="s">
        <v>18244</v>
      </c>
      <c r="D519">
        <v>143736</v>
      </c>
      <c r="E519">
        <v>46111</v>
      </c>
      <c r="F519">
        <v>209</v>
      </c>
      <c r="G519" t="s">
        <v>3863</v>
      </c>
      <c r="H519" t="s">
        <v>5082</v>
      </c>
      <c r="I519">
        <v>4501</v>
      </c>
      <c r="J519" t="s">
        <v>3438</v>
      </c>
      <c r="K519" t="s">
        <v>18245</v>
      </c>
      <c r="L519" t="s">
        <v>8134</v>
      </c>
      <c r="N519">
        <v>21078</v>
      </c>
      <c r="O519" t="s">
        <v>8137</v>
      </c>
      <c r="P519" t="s">
        <v>8137</v>
      </c>
      <c r="R519">
        <v>22473</v>
      </c>
      <c r="S519">
        <v>22473</v>
      </c>
      <c r="T519" t="s">
        <v>3469</v>
      </c>
    </row>
    <row r="520" spans="1:20" x14ac:dyDescent="0.2">
      <c r="A520" t="s">
        <v>1702</v>
      </c>
      <c r="B520" t="s">
        <v>8142</v>
      </c>
      <c r="C520" t="s">
        <v>18246</v>
      </c>
      <c r="D520">
        <v>159548</v>
      </c>
      <c r="E520">
        <v>43343</v>
      </c>
      <c r="F520">
        <v>402</v>
      </c>
      <c r="G520" t="s">
        <v>3459</v>
      </c>
      <c r="H520" t="s">
        <v>8139</v>
      </c>
      <c r="I520">
        <v>1755</v>
      </c>
      <c r="J520" t="s">
        <v>3438</v>
      </c>
      <c r="K520" t="s">
        <v>18247</v>
      </c>
      <c r="L520" t="s">
        <v>8141</v>
      </c>
      <c r="M520" t="s">
        <v>8143</v>
      </c>
      <c r="N520">
        <v>62727</v>
      </c>
      <c r="O520" t="s">
        <v>8145</v>
      </c>
      <c r="P520" t="s">
        <v>8145</v>
      </c>
      <c r="R520">
        <v>69522</v>
      </c>
      <c r="S520">
        <v>69522</v>
      </c>
      <c r="T520" t="s">
        <v>3447</v>
      </c>
    </row>
    <row r="521" spans="1:20" x14ac:dyDescent="0.2">
      <c r="A521" t="s">
        <v>1710</v>
      </c>
      <c r="B521" t="s">
        <v>8157</v>
      </c>
      <c r="C521" t="s">
        <v>18248</v>
      </c>
      <c r="D521">
        <v>144301</v>
      </c>
      <c r="E521">
        <v>42381</v>
      </c>
      <c r="F521">
        <v>209</v>
      </c>
      <c r="G521" t="s">
        <v>3448</v>
      </c>
      <c r="H521" t="s">
        <v>4679</v>
      </c>
      <c r="I521">
        <v>4369</v>
      </c>
      <c r="J521" t="s">
        <v>3438</v>
      </c>
      <c r="L521" t="s">
        <v>8156</v>
      </c>
      <c r="P521">
        <v>0</v>
      </c>
      <c r="R521">
        <v>121596235</v>
      </c>
      <c r="S521">
        <v>121596235</v>
      </c>
      <c r="T521" t="s">
        <v>3469</v>
      </c>
    </row>
    <row r="522" spans="1:20" x14ac:dyDescent="0.2">
      <c r="A522" t="s">
        <v>1712</v>
      </c>
      <c r="B522" t="s">
        <v>8161</v>
      </c>
      <c r="C522" t="s">
        <v>18249</v>
      </c>
      <c r="D522">
        <v>157011</v>
      </c>
      <c r="E522">
        <v>43424</v>
      </c>
      <c r="F522">
        <v>400</v>
      </c>
      <c r="G522" t="s">
        <v>3863</v>
      </c>
      <c r="H522" t="s">
        <v>5632</v>
      </c>
      <c r="I522">
        <v>6152</v>
      </c>
      <c r="J522" t="s">
        <v>3438</v>
      </c>
      <c r="K522" t="s">
        <v>18250</v>
      </c>
      <c r="L522" t="s">
        <v>8160</v>
      </c>
      <c r="M522" t="s">
        <v>8162</v>
      </c>
      <c r="N522">
        <v>5978</v>
      </c>
      <c r="O522" t="s">
        <v>8164</v>
      </c>
      <c r="P522" t="s">
        <v>8164</v>
      </c>
      <c r="Q522" t="s">
        <v>8165</v>
      </c>
      <c r="R522">
        <v>6213</v>
      </c>
      <c r="S522">
        <v>6213</v>
      </c>
      <c r="T522" t="s">
        <v>3458</v>
      </c>
    </row>
    <row r="523" spans="1:20" x14ac:dyDescent="0.2">
      <c r="A523" t="s">
        <v>1714</v>
      </c>
      <c r="B523" t="s">
        <v>8169</v>
      </c>
      <c r="C523" t="s">
        <v>18251</v>
      </c>
      <c r="D523">
        <v>157005</v>
      </c>
      <c r="E523">
        <v>43400</v>
      </c>
      <c r="F523">
        <v>400</v>
      </c>
      <c r="G523" t="s">
        <v>3863</v>
      </c>
      <c r="H523" t="s">
        <v>3864</v>
      </c>
      <c r="I523">
        <v>4636</v>
      </c>
      <c r="J523" t="s">
        <v>3438</v>
      </c>
      <c r="K523" t="s">
        <v>18252</v>
      </c>
      <c r="L523" t="s">
        <v>8168</v>
      </c>
      <c r="M523" t="s">
        <v>8170</v>
      </c>
      <c r="N523">
        <v>12144</v>
      </c>
      <c r="O523" t="s">
        <v>8172</v>
      </c>
      <c r="P523" t="s">
        <v>8172</v>
      </c>
      <c r="R523">
        <v>12665</v>
      </c>
      <c r="S523">
        <v>12665</v>
      </c>
      <c r="T523" t="s">
        <v>3458</v>
      </c>
    </row>
    <row r="524" spans="1:20" x14ac:dyDescent="0.2">
      <c r="A524" t="s">
        <v>3073</v>
      </c>
      <c r="B524" t="s">
        <v>8176</v>
      </c>
      <c r="C524" t="s">
        <v>18253</v>
      </c>
      <c r="D524">
        <v>156987</v>
      </c>
      <c r="E524">
        <v>43255</v>
      </c>
      <c r="F524">
        <v>400</v>
      </c>
      <c r="G524" t="s">
        <v>3436</v>
      </c>
      <c r="H524" t="s">
        <v>3906</v>
      </c>
      <c r="I524">
        <v>76</v>
      </c>
      <c r="J524" t="s">
        <v>3438</v>
      </c>
      <c r="L524" t="s">
        <v>8175</v>
      </c>
      <c r="P524" t="s">
        <v>8177</v>
      </c>
      <c r="R524">
        <v>53859791</v>
      </c>
      <c r="S524">
        <v>53859791</v>
      </c>
      <c r="T524" t="s">
        <v>3458</v>
      </c>
    </row>
    <row r="525" spans="1:20" x14ac:dyDescent="0.2">
      <c r="A525" t="s">
        <v>19110</v>
      </c>
      <c r="B525" t="s">
        <v>18254</v>
      </c>
      <c r="C525" t="s">
        <v>18255</v>
      </c>
      <c r="D525">
        <v>157003</v>
      </c>
      <c r="E525">
        <v>43374</v>
      </c>
      <c r="F525">
        <v>400</v>
      </c>
      <c r="G525" t="s">
        <v>3863</v>
      </c>
      <c r="H525" t="s">
        <v>3864</v>
      </c>
      <c r="I525">
        <v>4938</v>
      </c>
      <c r="J525" t="s">
        <v>3438</v>
      </c>
      <c r="K525" t="s">
        <v>18256</v>
      </c>
      <c r="L525" t="s">
        <v>18257</v>
      </c>
      <c r="M525" t="s">
        <v>18258</v>
      </c>
      <c r="N525">
        <v>284794</v>
      </c>
      <c r="P525" t="s">
        <v>18259</v>
      </c>
      <c r="Q525" t="s">
        <v>18260</v>
      </c>
      <c r="R525">
        <v>321710</v>
      </c>
      <c r="S525">
        <v>321710</v>
      </c>
      <c r="T525" t="s">
        <v>3458</v>
      </c>
    </row>
    <row r="526" spans="1:20" x14ac:dyDescent="0.2">
      <c r="A526" t="s">
        <v>1726</v>
      </c>
      <c r="B526" t="s">
        <v>8181</v>
      </c>
      <c r="C526" t="s">
        <v>18261</v>
      </c>
      <c r="D526">
        <v>143737</v>
      </c>
      <c r="E526">
        <v>43266</v>
      </c>
      <c r="F526">
        <v>209</v>
      </c>
      <c r="G526" t="s">
        <v>3863</v>
      </c>
      <c r="H526" t="s">
        <v>3864</v>
      </c>
      <c r="I526">
        <v>5250</v>
      </c>
      <c r="J526" t="s">
        <v>3438</v>
      </c>
      <c r="K526" t="s">
        <v>18262</v>
      </c>
      <c r="L526" t="s">
        <v>8180</v>
      </c>
      <c r="N526">
        <v>158022</v>
      </c>
      <c r="O526" t="s">
        <v>8183</v>
      </c>
      <c r="P526" t="s">
        <v>8183</v>
      </c>
      <c r="R526">
        <v>181670</v>
      </c>
      <c r="S526">
        <v>181670</v>
      </c>
      <c r="T526" t="s">
        <v>3469</v>
      </c>
    </row>
    <row r="527" spans="1:20" x14ac:dyDescent="0.2">
      <c r="A527" t="s">
        <v>14312</v>
      </c>
      <c r="B527" t="s">
        <v>13046</v>
      </c>
      <c r="C527" t="s">
        <v>18263</v>
      </c>
      <c r="D527">
        <v>207571</v>
      </c>
      <c r="E527">
        <v>48693</v>
      </c>
      <c r="F527">
        <v>209</v>
      </c>
      <c r="G527" t="s">
        <v>3863</v>
      </c>
      <c r="H527" t="s">
        <v>5632</v>
      </c>
      <c r="I527">
        <v>6107</v>
      </c>
      <c r="J527" t="s">
        <v>3438</v>
      </c>
      <c r="K527" t="s">
        <v>18264</v>
      </c>
      <c r="L527" t="s">
        <v>18265</v>
      </c>
      <c r="N527">
        <v>16230535</v>
      </c>
      <c r="P527">
        <v>0</v>
      </c>
      <c r="S527">
        <v>0</v>
      </c>
      <c r="T527" t="s">
        <v>3469</v>
      </c>
    </row>
    <row r="528" spans="1:20" x14ac:dyDescent="0.2">
      <c r="A528" t="s">
        <v>1717</v>
      </c>
      <c r="B528" t="s">
        <v>8193</v>
      </c>
      <c r="C528" t="s">
        <v>18266</v>
      </c>
      <c r="D528">
        <v>164531</v>
      </c>
      <c r="E528">
        <v>42463</v>
      </c>
      <c r="F528">
        <v>402</v>
      </c>
      <c r="G528" t="s">
        <v>3459</v>
      </c>
      <c r="H528" t="s">
        <v>814</v>
      </c>
      <c r="I528">
        <v>3113</v>
      </c>
      <c r="J528" t="s">
        <v>3438</v>
      </c>
      <c r="K528" t="s">
        <v>18267</v>
      </c>
      <c r="L528" t="s">
        <v>8192</v>
      </c>
      <c r="N528">
        <v>9608732</v>
      </c>
      <c r="O528" t="s">
        <v>8195</v>
      </c>
      <c r="P528" t="s">
        <v>8195</v>
      </c>
      <c r="R528">
        <v>11433862</v>
      </c>
      <c r="S528">
        <v>11433862</v>
      </c>
      <c r="T528" t="s">
        <v>3447</v>
      </c>
    </row>
    <row r="529" spans="1:20" x14ac:dyDescent="0.2">
      <c r="A529" t="s">
        <v>1720</v>
      </c>
      <c r="B529" t="s">
        <v>8199</v>
      </c>
      <c r="C529" t="s">
        <v>18268</v>
      </c>
      <c r="D529">
        <v>161023</v>
      </c>
      <c r="E529">
        <v>42459</v>
      </c>
      <c r="F529">
        <v>402</v>
      </c>
      <c r="G529" t="s">
        <v>3459</v>
      </c>
      <c r="H529" t="s">
        <v>814</v>
      </c>
      <c r="I529">
        <v>3117</v>
      </c>
      <c r="J529" t="s">
        <v>3438</v>
      </c>
      <c r="L529" t="s">
        <v>8198</v>
      </c>
      <c r="P529">
        <v>0</v>
      </c>
      <c r="S529">
        <v>0</v>
      </c>
      <c r="T529" t="s">
        <v>3447</v>
      </c>
    </row>
    <row r="530" spans="1:20" x14ac:dyDescent="0.2">
      <c r="A530" t="s">
        <v>1724</v>
      </c>
      <c r="B530" t="s">
        <v>8209</v>
      </c>
      <c r="C530" t="s">
        <v>18269</v>
      </c>
      <c r="D530">
        <v>143979</v>
      </c>
      <c r="E530">
        <v>43231</v>
      </c>
      <c r="F530">
        <v>209</v>
      </c>
      <c r="G530" t="s">
        <v>3436</v>
      </c>
      <c r="H530" t="s">
        <v>3586</v>
      </c>
      <c r="I530">
        <v>133</v>
      </c>
      <c r="J530" t="s">
        <v>3438</v>
      </c>
      <c r="K530" t="s">
        <v>18270</v>
      </c>
      <c r="L530" t="s">
        <v>8208</v>
      </c>
      <c r="M530" t="s">
        <v>8210</v>
      </c>
      <c r="N530">
        <v>2282737</v>
      </c>
      <c r="O530" t="s">
        <v>8212</v>
      </c>
      <c r="P530" t="s">
        <v>8212</v>
      </c>
      <c r="R530">
        <v>3014237</v>
      </c>
      <c r="S530">
        <v>3014237</v>
      </c>
      <c r="T530" t="s">
        <v>3469</v>
      </c>
    </row>
    <row r="531" spans="1:20" x14ac:dyDescent="0.2">
      <c r="A531" t="s">
        <v>1722</v>
      </c>
      <c r="B531" t="s">
        <v>8216</v>
      </c>
      <c r="C531" t="s">
        <v>18271</v>
      </c>
      <c r="D531">
        <v>156985</v>
      </c>
      <c r="E531">
        <v>43239</v>
      </c>
      <c r="F531">
        <v>400</v>
      </c>
      <c r="G531" t="s">
        <v>3863</v>
      </c>
      <c r="H531" t="s">
        <v>3864</v>
      </c>
      <c r="I531">
        <v>5044</v>
      </c>
      <c r="J531" t="s">
        <v>3438</v>
      </c>
      <c r="K531" t="s">
        <v>18272</v>
      </c>
      <c r="L531" t="s">
        <v>8215</v>
      </c>
      <c r="M531" t="s">
        <v>8217</v>
      </c>
      <c r="N531">
        <v>88744</v>
      </c>
      <c r="O531" t="s">
        <v>8219</v>
      </c>
      <c r="P531" t="s">
        <v>8219</v>
      </c>
      <c r="R531">
        <v>98280</v>
      </c>
      <c r="S531">
        <v>98280</v>
      </c>
      <c r="T531" t="s">
        <v>3458</v>
      </c>
    </row>
    <row r="532" spans="1:20" x14ac:dyDescent="0.2">
      <c r="A532" t="s">
        <v>3075</v>
      </c>
      <c r="B532" t="s">
        <v>8231</v>
      </c>
      <c r="C532" t="s">
        <v>18273</v>
      </c>
      <c r="D532">
        <v>124707</v>
      </c>
      <c r="E532">
        <v>43249</v>
      </c>
      <c r="F532">
        <v>209</v>
      </c>
      <c r="G532" t="s">
        <v>3436</v>
      </c>
      <c r="H532" t="s">
        <v>3661</v>
      </c>
      <c r="I532">
        <v>508</v>
      </c>
      <c r="J532" t="s">
        <v>3438</v>
      </c>
      <c r="K532" t="s">
        <v>18274</v>
      </c>
      <c r="L532" t="s">
        <v>8230</v>
      </c>
      <c r="N532">
        <v>8096135</v>
      </c>
      <c r="O532" t="s">
        <v>8233</v>
      </c>
      <c r="P532" t="s">
        <v>8233</v>
      </c>
      <c r="Q532" t="s">
        <v>8234</v>
      </c>
      <c r="R532">
        <v>9920500</v>
      </c>
      <c r="S532">
        <v>9920500</v>
      </c>
      <c r="T532" t="s">
        <v>3469</v>
      </c>
    </row>
    <row r="533" spans="1:20" x14ac:dyDescent="0.2">
      <c r="A533" t="s">
        <v>1748</v>
      </c>
      <c r="B533" t="s">
        <v>8238</v>
      </c>
      <c r="C533" t="s">
        <v>18275</v>
      </c>
      <c r="D533">
        <v>144587</v>
      </c>
      <c r="E533">
        <v>43258</v>
      </c>
      <c r="F533">
        <v>209</v>
      </c>
      <c r="G533" t="s">
        <v>3436</v>
      </c>
      <c r="H533" t="s">
        <v>3437</v>
      </c>
      <c r="I533">
        <v>551</v>
      </c>
      <c r="J533" t="s">
        <v>3438</v>
      </c>
      <c r="K533" t="s">
        <v>18276</v>
      </c>
      <c r="L533" t="s">
        <v>8237</v>
      </c>
      <c r="M533" t="s">
        <v>11695</v>
      </c>
      <c r="N533">
        <v>114601</v>
      </c>
      <c r="O533" t="s">
        <v>8241</v>
      </c>
      <c r="P533" t="s">
        <v>8241</v>
      </c>
      <c r="R533">
        <v>129397</v>
      </c>
      <c r="S533">
        <v>129397</v>
      </c>
      <c r="T533" t="s">
        <v>3469</v>
      </c>
    </row>
    <row r="534" spans="1:20" x14ac:dyDescent="0.2">
      <c r="A534" t="s">
        <v>1730</v>
      </c>
      <c r="B534" t="s">
        <v>8245</v>
      </c>
      <c r="C534" t="s">
        <v>18277</v>
      </c>
      <c r="D534">
        <v>157045</v>
      </c>
      <c r="E534">
        <v>43761</v>
      </c>
      <c r="F534">
        <v>400</v>
      </c>
      <c r="G534" t="s">
        <v>3459</v>
      </c>
      <c r="H534" t="s">
        <v>8139</v>
      </c>
      <c r="I534">
        <v>1750</v>
      </c>
      <c r="J534" t="s">
        <v>3438</v>
      </c>
      <c r="K534" t="s">
        <v>18278</v>
      </c>
      <c r="L534" t="s">
        <v>8244</v>
      </c>
      <c r="M534" t="s">
        <v>8246</v>
      </c>
      <c r="N534">
        <v>198338</v>
      </c>
      <c r="O534" t="s">
        <v>8248</v>
      </c>
      <c r="P534" t="s">
        <v>8248</v>
      </c>
      <c r="R534">
        <v>227939</v>
      </c>
      <c r="S534">
        <v>227939</v>
      </c>
      <c r="T534" t="s">
        <v>3458</v>
      </c>
    </row>
    <row r="535" spans="1:20" x14ac:dyDescent="0.2">
      <c r="A535" t="s">
        <v>1744</v>
      </c>
      <c r="B535" t="s">
        <v>8252</v>
      </c>
      <c r="C535" t="s">
        <v>18279</v>
      </c>
      <c r="D535">
        <v>212072</v>
      </c>
      <c r="E535">
        <v>43549</v>
      </c>
      <c r="F535">
        <v>209</v>
      </c>
      <c r="G535" t="s">
        <v>3436</v>
      </c>
      <c r="H535" t="s">
        <v>3470</v>
      </c>
      <c r="I535">
        <v>274</v>
      </c>
      <c r="J535" t="s">
        <v>3438</v>
      </c>
      <c r="K535" t="s">
        <v>18280</v>
      </c>
      <c r="L535" t="s">
        <v>8251</v>
      </c>
      <c r="M535" t="s">
        <v>8253</v>
      </c>
      <c r="N535">
        <v>91624</v>
      </c>
      <c r="O535" t="s">
        <v>8255</v>
      </c>
      <c r="P535" t="s">
        <v>8255</v>
      </c>
      <c r="Q535" t="s">
        <v>8256</v>
      </c>
      <c r="R535">
        <v>101399</v>
      </c>
      <c r="S535">
        <v>101399</v>
      </c>
      <c r="T535" t="s">
        <v>3469</v>
      </c>
    </row>
    <row r="536" spans="1:20" x14ac:dyDescent="0.2">
      <c r="A536" t="s">
        <v>1734</v>
      </c>
      <c r="B536" t="s">
        <v>8260</v>
      </c>
      <c r="C536" t="s">
        <v>18281</v>
      </c>
      <c r="D536">
        <v>153118</v>
      </c>
      <c r="E536">
        <v>43591</v>
      </c>
      <c r="F536">
        <v>209</v>
      </c>
      <c r="G536" t="s">
        <v>3436</v>
      </c>
      <c r="H536" t="s">
        <v>3661</v>
      </c>
      <c r="I536">
        <v>510</v>
      </c>
      <c r="J536" t="s">
        <v>3438</v>
      </c>
      <c r="K536" t="s">
        <v>18282</v>
      </c>
      <c r="L536" t="s">
        <v>8259</v>
      </c>
      <c r="M536" t="s">
        <v>8261</v>
      </c>
      <c r="N536">
        <v>8573834</v>
      </c>
      <c r="P536" t="s">
        <v>8263</v>
      </c>
      <c r="R536">
        <v>65977</v>
      </c>
      <c r="S536">
        <v>65977</v>
      </c>
      <c r="T536" t="s">
        <v>3469</v>
      </c>
    </row>
    <row r="537" spans="1:20" x14ac:dyDescent="0.2">
      <c r="A537" t="s">
        <v>1737</v>
      </c>
      <c r="B537" t="s">
        <v>8268</v>
      </c>
      <c r="C537" t="s">
        <v>18283</v>
      </c>
      <c r="D537">
        <v>213695</v>
      </c>
      <c r="E537">
        <v>57783</v>
      </c>
      <c r="F537">
        <v>209</v>
      </c>
      <c r="G537" t="s">
        <v>3863</v>
      </c>
      <c r="H537" t="s">
        <v>8265</v>
      </c>
      <c r="I537">
        <v>5327</v>
      </c>
      <c r="J537" t="s">
        <v>3438</v>
      </c>
      <c r="K537" t="s">
        <v>18284</v>
      </c>
      <c r="L537" t="s">
        <v>8267</v>
      </c>
      <c r="M537" t="s">
        <v>8269</v>
      </c>
      <c r="N537">
        <v>13535457</v>
      </c>
      <c r="P537">
        <v>0</v>
      </c>
      <c r="R537">
        <v>18356439</v>
      </c>
      <c r="S537">
        <v>18356439</v>
      </c>
      <c r="T537" t="s">
        <v>3469</v>
      </c>
    </row>
    <row r="538" spans="1:20" x14ac:dyDescent="0.2">
      <c r="A538" t="s">
        <v>1732</v>
      </c>
      <c r="B538" t="s">
        <v>11619</v>
      </c>
      <c r="C538" t="s">
        <v>18285</v>
      </c>
      <c r="D538">
        <v>143738</v>
      </c>
      <c r="E538">
        <v>44618</v>
      </c>
      <c r="F538">
        <v>209</v>
      </c>
      <c r="G538" t="s">
        <v>3436</v>
      </c>
      <c r="H538" t="s">
        <v>3687</v>
      </c>
      <c r="I538">
        <v>206</v>
      </c>
      <c r="J538" t="s">
        <v>3438</v>
      </c>
      <c r="K538" t="s">
        <v>18286</v>
      </c>
      <c r="L538" t="s">
        <v>18287</v>
      </c>
      <c r="N538">
        <v>21233674</v>
      </c>
      <c r="P538">
        <v>0</v>
      </c>
      <c r="R538">
        <v>54133459</v>
      </c>
      <c r="S538">
        <v>54133459</v>
      </c>
      <c r="T538" t="s">
        <v>3469</v>
      </c>
    </row>
    <row r="539" spans="1:20" x14ac:dyDescent="0.2">
      <c r="A539" t="s">
        <v>1746</v>
      </c>
      <c r="B539" t="s">
        <v>8274</v>
      </c>
      <c r="C539" t="s">
        <v>18288</v>
      </c>
      <c r="D539">
        <v>157087</v>
      </c>
      <c r="E539">
        <v>44878</v>
      </c>
      <c r="F539">
        <v>400</v>
      </c>
      <c r="G539" t="s">
        <v>3436</v>
      </c>
      <c r="H539" t="s">
        <v>3603</v>
      </c>
      <c r="I539">
        <v>439</v>
      </c>
      <c r="J539" t="s">
        <v>3438</v>
      </c>
      <c r="K539" t="s">
        <v>18289</v>
      </c>
      <c r="L539" t="s">
        <v>8273</v>
      </c>
      <c r="M539" t="s">
        <v>8275</v>
      </c>
      <c r="N539">
        <v>63154</v>
      </c>
      <c r="O539" t="s">
        <v>8277</v>
      </c>
      <c r="P539" t="s">
        <v>8277</v>
      </c>
      <c r="R539">
        <v>69961</v>
      </c>
      <c r="S539">
        <v>69961</v>
      </c>
      <c r="T539" t="s">
        <v>3458</v>
      </c>
    </row>
    <row r="540" spans="1:20" x14ac:dyDescent="0.2">
      <c r="A540" t="s">
        <v>1740</v>
      </c>
      <c r="B540" t="s">
        <v>8281</v>
      </c>
      <c r="C540" t="s">
        <v>18290</v>
      </c>
      <c r="D540">
        <v>159653</v>
      </c>
      <c r="E540">
        <v>45951</v>
      </c>
      <c r="F540">
        <v>402</v>
      </c>
      <c r="G540" t="s">
        <v>3459</v>
      </c>
      <c r="H540" t="s">
        <v>5441</v>
      </c>
      <c r="I540">
        <v>2618</v>
      </c>
      <c r="J540" t="s">
        <v>3438</v>
      </c>
      <c r="L540" t="s">
        <v>8280</v>
      </c>
      <c r="O540" t="s">
        <v>8282</v>
      </c>
      <c r="P540" t="s">
        <v>8282</v>
      </c>
      <c r="Q540" t="s">
        <v>6321</v>
      </c>
      <c r="S540">
        <v>24779469</v>
      </c>
      <c r="T540" t="s">
        <v>3447</v>
      </c>
    </row>
    <row r="541" spans="1:20" x14ac:dyDescent="0.2">
      <c r="A541" t="s">
        <v>1728</v>
      </c>
      <c r="B541" t="s">
        <v>8285</v>
      </c>
      <c r="C541" t="s">
        <v>18291</v>
      </c>
      <c r="D541">
        <v>144585</v>
      </c>
      <c r="E541">
        <v>45404</v>
      </c>
      <c r="F541">
        <v>209</v>
      </c>
      <c r="G541" t="s">
        <v>3863</v>
      </c>
      <c r="H541" t="s">
        <v>3864</v>
      </c>
      <c r="I541">
        <v>4817</v>
      </c>
      <c r="J541" t="s">
        <v>3438</v>
      </c>
      <c r="L541" t="s">
        <v>8284</v>
      </c>
      <c r="P541">
        <v>0</v>
      </c>
      <c r="S541">
        <v>122164824</v>
      </c>
      <c r="T541" t="s">
        <v>3469</v>
      </c>
    </row>
    <row r="542" spans="1:20" x14ac:dyDescent="0.2">
      <c r="A542" t="s">
        <v>1756</v>
      </c>
      <c r="B542" t="s">
        <v>8288</v>
      </c>
      <c r="C542" t="s">
        <v>18292</v>
      </c>
      <c r="D542">
        <v>163990</v>
      </c>
      <c r="E542">
        <v>44621</v>
      </c>
      <c r="F542">
        <v>402</v>
      </c>
      <c r="G542" t="s">
        <v>3459</v>
      </c>
      <c r="H542" t="s">
        <v>7722</v>
      </c>
      <c r="I542">
        <v>2836</v>
      </c>
      <c r="J542" t="s">
        <v>3438</v>
      </c>
      <c r="L542" t="s">
        <v>8287</v>
      </c>
      <c r="P542">
        <v>0</v>
      </c>
      <c r="S542">
        <v>0</v>
      </c>
      <c r="T542" t="s">
        <v>3447</v>
      </c>
    </row>
    <row r="543" spans="1:20" x14ac:dyDescent="0.2">
      <c r="A543" t="s">
        <v>1754</v>
      </c>
      <c r="B543" t="s">
        <v>8291</v>
      </c>
      <c r="C543" t="s">
        <v>18293</v>
      </c>
      <c r="D543">
        <v>221883</v>
      </c>
      <c r="E543">
        <v>46227</v>
      </c>
      <c r="F543">
        <v>400</v>
      </c>
      <c r="G543" t="s">
        <v>3436</v>
      </c>
      <c r="H543" t="s">
        <v>3586</v>
      </c>
      <c r="I543">
        <v>121</v>
      </c>
      <c r="J543" t="s">
        <v>3438</v>
      </c>
      <c r="K543" t="s">
        <v>18294</v>
      </c>
      <c r="L543" t="s">
        <v>8290</v>
      </c>
      <c r="M543" t="s">
        <v>8292</v>
      </c>
      <c r="N543">
        <v>110281</v>
      </c>
      <c r="O543" t="s">
        <v>8294</v>
      </c>
      <c r="P543" t="s">
        <v>8294</v>
      </c>
      <c r="R543">
        <v>9839580</v>
      </c>
      <c r="S543">
        <v>9839580</v>
      </c>
      <c r="T543" t="s">
        <v>3458</v>
      </c>
    </row>
    <row r="544" spans="1:20" x14ac:dyDescent="0.2">
      <c r="A544" t="s">
        <v>1742</v>
      </c>
      <c r="B544" t="s">
        <v>13317</v>
      </c>
      <c r="C544" t="s">
        <v>18295</v>
      </c>
      <c r="D544">
        <v>143779</v>
      </c>
      <c r="E544">
        <v>45413</v>
      </c>
      <c r="F544">
        <v>209</v>
      </c>
      <c r="G544" t="s">
        <v>3863</v>
      </c>
      <c r="H544" t="s">
        <v>5632</v>
      </c>
      <c r="I544">
        <v>6089</v>
      </c>
      <c r="J544" t="s">
        <v>3438</v>
      </c>
      <c r="K544" t="s">
        <v>18296</v>
      </c>
      <c r="L544" t="s">
        <v>8308</v>
      </c>
      <c r="N544">
        <v>448617</v>
      </c>
      <c r="P544" t="s">
        <v>8311</v>
      </c>
      <c r="R544">
        <v>514186</v>
      </c>
      <c r="S544">
        <v>514186</v>
      </c>
      <c r="T544" t="s">
        <v>3469</v>
      </c>
    </row>
    <row r="545" spans="1:20" x14ac:dyDescent="0.2">
      <c r="A545" t="s">
        <v>14333</v>
      </c>
      <c r="B545" t="s">
        <v>13222</v>
      </c>
      <c r="C545" t="s">
        <v>18297</v>
      </c>
      <c r="D545">
        <v>149387</v>
      </c>
      <c r="E545">
        <v>47114</v>
      </c>
      <c r="F545">
        <v>209</v>
      </c>
      <c r="G545" t="s">
        <v>3863</v>
      </c>
      <c r="H545" t="s">
        <v>3864</v>
      </c>
      <c r="I545">
        <v>4901</v>
      </c>
      <c r="J545" t="s">
        <v>3438</v>
      </c>
      <c r="K545" t="s">
        <v>18298</v>
      </c>
      <c r="L545" t="s">
        <v>18299</v>
      </c>
      <c r="M545" t="s">
        <v>13223</v>
      </c>
      <c r="N545">
        <v>4878542</v>
      </c>
      <c r="O545" t="s">
        <v>18300</v>
      </c>
      <c r="P545" t="s">
        <v>18300</v>
      </c>
      <c r="R545">
        <v>6305574</v>
      </c>
      <c r="S545">
        <v>6305574</v>
      </c>
      <c r="T545" t="s">
        <v>3469</v>
      </c>
    </row>
    <row r="546" spans="1:20" x14ac:dyDescent="0.2">
      <c r="A546" t="s">
        <v>14311</v>
      </c>
      <c r="B546" t="s">
        <v>13039</v>
      </c>
      <c r="C546" t="s">
        <v>18301</v>
      </c>
      <c r="D546">
        <v>153117</v>
      </c>
      <c r="E546">
        <v>45415</v>
      </c>
      <c r="F546">
        <v>209</v>
      </c>
      <c r="G546" t="s">
        <v>3863</v>
      </c>
      <c r="H546" t="s">
        <v>5082</v>
      </c>
      <c r="I546">
        <v>4568</v>
      </c>
      <c r="J546" t="s">
        <v>3438</v>
      </c>
      <c r="K546" t="s">
        <v>18302</v>
      </c>
      <c r="L546" t="s">
        <v>18303</v>
      </c>
      <c r="M546" t="s">
        <v>13040</v>
      </c>
      <c r="N546">
        <v>162993</v>
      </c>
      <c r="O546" t="s">
        <v>18304</v>
      </c>
      <c r="P546" t="s">
        <v>18304</v>
      </c>
      <c r="R546">
        <v>187488</v>
      </c>
      <c r="S546">
        <v>187488</v>
      </c>
      <c r="T546" t="s">
        <v>3469</v>
      </c>
    </row>
    <row r="547" spans="1:20" x14ac:dyDescent="0.2">
      <c r="A547" t="s">
        <v>1752</v>
      </c>
      <c r="B547" t="s">
        <v>8322</v>
      </c>
      <c r="C547" t="s">
        <v>18305</v>
      </c>
      <c r="D547">
        <v>149383</v>
      </c>
      <c r="E547">
        <v>47112</v>
      </c>
      <c r="F547">
        <v>209</v>
      </c>
      <c r="G547" t="s">
        <v>3459</v>
      </c>
      <c r="H547" t="s">
        <v>5559</v>
      </c>
      <c r="I547">
        <v>3353</v>
      </c>
      <c r="J547" t="s">
        <v>3438</v>
      </c>
      <c r="L547" t="s">
        <v>8321</v>
      </c>
      <c r="M547" s="6">
        <v>621712</v>
      </c>
      <c r="O547" t="s">
        <v>8324</v>
      </c>
      <c r="P547" t="s">
        <v>8324</v>
      </c>
      <c r="R547">
        <v>270605</v>
      </c>
      <c r="S547">
        <v>270605</v>
      </c>
      <c r="T547" t="s">
        <v>3469</v>
      </c>
    </row>
    <row r="548" spans="1:20" x14ac:dyDescent="0.2">
      <c r="A548" t="s">
        <v>1750</v>
      </c>
      <c r="B548" t="s">
        <v>8328</v>
      </c>
      <c r="C548" t="s">
        <v>18306</v>
      </c>
      <c r="D548">
        <v>149441</v>
      </c>
      <c r="E548">
        <v>47403</v>
      </c>
      <c r="F548">
        <v>209</v>
      </c>
      <c r="G548" t="s">
        <v>3459</v>
      </c>
      <c r="H548" t="s">
        <v>7151</v>
      </c>
      <c r="I548">
        <v>3248</v>
      </c>
      <c r="J548" t="s">
        <v>3438</v>
      </c>
      <c r="L548" t="s">
        <v>8327</v>
      </c>
      <c r="P548">
        <v>0</v>
      </c>
      <c r="S548">
        <v>0</v>
      </c>
      <c r="T548" t="s">
        <v>3469</v>
      </c>
    </row>
    <row r="549" spans="1:20" x14ac:dyDescent="0.2">
      <c r="A549" t="s">
        <v>1758</v>
      </c>
      <c r="B549" t="s">
        <v>8331</v>
      </c>
      <c r="C549" t="s">
        <v>18307</v>
      </c>
      <c r="D549">
        <v>154613</v>
      </c>
      <c r="E549">
        <v>48187</v>
      </c>
      <c r="F549">
        <v>305</v>
      </c>
      <c r="G549" t="s">
        <v>3436</v>
      </c>
      <c r="H549" t="s">
        <v>3603</v>
      </c>
      <c r="I549">
        <v>473</v>
      </c>
      <c r="J549" t="s">
        <v>3438</v>
      </c>
      <c r="K549" t="s">
        <v>18308</v>
      </c>
      <c r="L549" t="s">
        <v>8330</v>
      </c>
      <c r="N549">
        <v>140553</v>
      </c>
      <c r="O549" t="s">
        <v>8333</v>
      </c>
      <c r="P549" t="s">
        <v>8333</v>
      </c>
      <c r="R549">
        <v>159864</v>
      </c>
      <c r="S549">
        <v>159864</v>
      </c>
      <c r="T549" t="s">
        <v>3489</v>
      </c>
    </row>
    <row r="550" spans="1:20" x14ac:dyDescent="0.2">
      <c r="A550" t="s">
        <v>1762</v>
      </c>
      <c r="B550" t="s">
        <v>8337</v>
      </c>
      <c r="C550" t="s">
        <v>18309</v>
      </c>
      <c r="D550">
        <v>144192</v>
      </c>
      <c r="E550">
        <v>45968</v>
      </c>
      <c r="F550">
        <v>209</v>
      </c>
      <c r="G550" t="s">
        <v>3459</v>
      </c>
      <c r="H550" t="s">
        <v>5441</v>
      </c>
      <c r="I550">
        <v>2713</v>
      </c>
      <c r="J550" t="s">
        <v>3438</v>
      </c>
      <c r="L550" t="s">
        <v>8336</v>
      </c>
      <c r="N550">
        <v>34999689</v>
      </c>
      <c r="P550">
        <v>0</v>
      </c>
      <c r="S550">
        <v>0</v>
      </c>
      <c r="T550" t="s">
        <v>3469</v>
      </c>
    </row>
    <row r="551" spans="1:20" x14ac:dyDescent="0.2">
      <c r="A551" t="s">
        <v>1760</v>
      </c>
      <c r="B551" t="s">
        <v>8342</v>
      </c>
      <c r="C551" t="s">
        <v>18310</v>
      </c>
      <c r="D551">
        <v>144193</v>
      </c>
      <c r="E551">
        <v>45970</v>
      </c>
      <c r="F551">
        <v>209</v>
      </c>
      <c r="G551" t="s">
        <v>3459</v>
      </c>
      <c r="H551" t="s">
        <v>5441</v>
      </c>
      <c r="I551">
        <v>2708</v>
      </c>
      <c r="J551" t="s">
        <v>3438</v>
      </c>
      <c r="K551" t="s">
        <v>18311</v>
      </c>
      <c r="L551" t="s">
        <v>8341</v>
      </c>
      <c r="N551">
        <v>2548639</v>
      </c>
      <c r="P551">
        <v>0</v>
      </c>
      <c r="R551">
        <v>3300276</v>
      </c>
      <c r="S551">
        <v>3300276</v>
      </c>
      <c r="T551" t="s">
        <v>3469</v>
      </c>
    </row>
    <row r="552" spans="1:20" x14ac:dyDescent="0.2">
      <c r="A552" t="s">
        <v>1772</v>
      </c>
      <c r="B552" t="s">
        <v>8356</v>
      </c>
      <c r="C552" t="s">
        <v>18312</v>
      </c>
      <c r="D552">
        <v>149393</v>
      </c>
      <c r="E552">
        <v>47120</v>
      </c>
      <c r="F552">
        <v>209</v>
      </c>
      <c r="G552" t="s">
        <v>3459</v>
      </c>
      <c r="H552" t="s">
        <v>4869</v>
      </c>
      <c r="I552">
        <v>2002</v>
      </c>
      <c r="J552" t="s">
        <v>3438</v>
      </c>
      <c r="K552" t="s">
        <v>18313</v>
      </c>
      <c r="L552" t="s">
        <v>8355</v>
      </c>
      <c r="M552" t="s">
        <v>8357</v>
      </c>
      <c r="N552">
        <v>7844595</v>
      </c>
      <c r="O552" t="s">
        <v>8359</v>
      </c>
      <c r="P552" t="s">
        <v>8359</v>
      </c>
      <c r="R552">
        <v>9570127</v>
      </c>
      <c r="S552">
        <v>9570127</v>
      </c>
      <c r="T552" t="s">
        <v>3469</v>
      </c>
    </row>
    <row r="553" spans="1:20" x14ac:dyDescent="0.2">
      <c r="A553" t="s">
        <v>1766</v>
      </c>
      <c r="B553" t="s">
        <v>8363</v>
      </c>
      <c r="C553" t="s">
        <v>18314</v>
      </c>
      <c r="D553">
        <v>157257</v>
      </c>
      <c r="E553">
        <v>46548</v>
      </c>
      <c r="F553">
        <v>400</v>
      </c>
      <c r="G553" t="s">
        <v>3436</v>
      </c>
      <c r="H553" t="s">
        <v>3498</v>
      </c>
      <c r="I553">
        <v>375</v>
      </c>
      <c r="J553" t="s">
        <v>3438</v>
      </c>
      <c r="K553" t="s">
        <v>18315</v>
      </c>
      <c r="L553" t="s">
        <v>8362</v>
      </c>
      <c r="N553">
        <v>113619</v>
      </c>
      <c r="O553" t="s">
        <v>8365</v>
      </c>
      <c r="P553" t="s">
        <v>8365</v>
      </c>
      <c r="R553">
        <v>128145</v>
      </c>
      <c r="S553">
        <v>128145</v>
      </c>
      <c r="T553" t="s">
        <v>3458</v>
      </c>
    </row>
    <row r="554" spans="1:20" x14ac:dyDescent="0.2">
      <c r="A554" t="s">
        <v>1770</v>
      </c>
      <c r="B554" t="s">
        <v>8369</v>
      </c>
      <c r="C554" t="s">
        <v>18316</v>
      </c>
      <c r="D554">
        <v>144231</v>
      </c>
      <c r="E554">
        <v>46144</v>
      </c>
      <c r="F554">
        <v>209</v>
      </c>
      <c r="G554" t="s">
        <v>3863</v>
      </c>
      <c r="H554" t="s">
        <v>3864</v>
      </c>
      <c r="I554">
        <v>5090</v>
      </c>
      <c r="J554" t="s">
        <v>3438</v>
      </c>
      <c r="L554" t="s">
        <v>8368</v>
      </c>
      <c r="O554" t="s">
        <v>8370</v>
      </c>
      <c r="P554" t="s">
        <v>8370</v>
      </c>
      <c r="R554" s="5">
        <v>4.4523830367432096E+16</v>
      </c>
      <c r="S554" t="s">
        <v>18317</v>
      </c>
      <c r="T554" t="s">
        <v>3469</v>
      </c>
    </row>
    <row r="555" spans="1:20" x14ac:dyDescent="0.2">
      <c r="A555" t="s">
        <v>1774</v>
      </c>
      <c r="B555" t="s">
        <v>8388</v>
      </c>
      <c r="C555" t="s">
        <v>18318</v>
      </c>
      <c r="D555">
        <v>164532</v>
      </c>
      <c r="E555">
        <v>47154</v>
      </c>
      <c r="F555">
        <v>402</v>
      </c>
      <c r="G555" t="s">
        <v>3459</v>
      </c>
      <c r="H555" t="s">
        <v>814</v>
      </c>
      <c r="I555">
        <v>3114</v>
      </c>
      <c r="J555" t="s">
        <v>3438</v>
      </c>
      <c r="L555" t="s">
        <v>8387</v>
      </c>
      <c r="P555">
        <v>0</v>
      </c>
      <c r="S555">
        <v>0</v>
      </c>
      <c r="T555" t="s">
        <v>3447</v>
      </c>
    </row>
    <row r="556" spans="1:20" x14ac:dyDescent="0.2">
      <c r="A556" t="s">
        <v>1768</v>
      </c>
      <c r="B556" t="s">
        <v>8392</v>
      </c>
      <c r="C556" t="s">
        <v>18319</v>
      </c>
      <c r="D556">
        <v>164529</v>
      </c>
      <c r="E556">
        <v>47153</v>
      </c>
      <c r="F556">
        <v>402</v>
      </c>
      <c r="G556" t="s">
        <v>3459</v>
      </c>
      <c r="H556" t="s">
        <v>814</v>
      </c>
      <c r="I556">
        <v>3129</v>
      </c>
      <c r="J556" t="s">
        <v>3438</v>
      </c>
      <c r="K556" t="s">
        <v>18320</v>
      </c>
      <c r="L556" t="s">
        <v>8391</v>
      </c>
      <c r="M556" t="s">
        <v>8393</v>
      </c>
      <c r="N556">
        <v>24846874</v>
      </c>
      <c r="O556" t="s">
        <v>8395</v>
      </c>
      <c r="P556" t="s">
        <v>8395</v>
      </c>
      <c r="R556">
        <v>44260126</v>
      </c>
      <c r="S556">
        <v>44260126</v>
      </c>
      <c r="T556" t="s">
        <v>3447</v>
      </c>
    </row>
    <row r="557" spans="1:20" x14ac:dyDescent="0.2">
      <c r="A557" t="s">
        <v>1764</v>
      </c>
      <c r="B557" t="s">
        <v>8400</v>
      </c>
      <c r="C557" t="s">
        <v>18321</v>
      </c>
      <c r="D557">
        <v>218582</v>
      </c>
      <c r="E557">
        <v>61865</v>
      </c>
      <c r="F557">
        <v>402</v>
      </c>
      <c r="G557" t="s">
        <v>3459</v>
      </c>
      <c r="H557" t="s">
        <v>8397</v>
      </c>
      <c r="I557">
        <v>1918</v>
      </c>
      <c r="J557" t="s">
        <v>3438</v>
      </c>
      <c r="K557" t="s">
        <v>18322</v>
      </c>
      <c r="L557" t="s">
        <v>8399</v>
      </c>
      <c r="M557" t="s">
        <v>8401</v>
      </c>
      <c r="N557">
        <v>28639201</v>
      </c>
      <c r="P557">
        <v>0</v>
      </c>
      <c r="S557">
        <v>0</v>
      </c>
      <c r="T557" t="s">
        <v>3447</v>
      </c>
    </row>
    <row r="558" spans="1:20" x14ac:dyDescent="0.2">
      <c r="A558" t="s">
        <v>1806</v>
      </c>
      <c r="B558" t="s">
        <v>8405</v>
      </c>
      <c r="C558" t="s">
        <v>18323</v>
      </c>
      <c r="D558">
        <v>218585</v>
      </c>
      <c r="E558">
        <v>61867</v>
      </c>
      <c r="F558">
        <v>402</v>
      </c>
      <c r="G558" t="s">
        <v>3459</v>
      </c>
      <c r="H558" t="s">
        <v>8397</v>
      </c>
      <c r="I558">
        <v>1917</v>
      </c>
      <c r="J558" t="s">
        <v>3438</v>
      </c>
      <c r="K558" t="s">
        <v>18324</v>
      </c>
      <c r="L558" t="s">
        <v>8404</v>
      </c>
      <c r="M558" t="s">
        <v>8406</v>
      </c>
      <c r="N558">
        <v>28639203</v>
      </c>
      <c r="P558">
        <v>0</v>
      </c>
      <c r="S558">
        <v>0</v>
      </c>
      <c r="T558" t="s">
        <v>3447</v>
      </c>
    </row>
    <row r="559" spans="1:20" x14ac:dyDescent="0.2">
      <c r="A559" t="s">
        <v>1789</v>
      </c>
      <c r="B559" t="s">
        <v>8408</v>
      </c>
      <c r="C559" t="s">
        <v>18325</v>
      </c>
      <c r="D559">
        <v>144272</v>
      </c>
      <c r="E559">
        <v>37185</v>
      </c>
      <c r="F559">
        <v>209</v>
      </c>
      <c r="G559" t="s">
        <v>3459</v>
      </c>
      <c r="H559" t="s">
        <v>5559</v>
      </c>
      <c r="I559">
        <v>3379</v>
      </c>
      <c r="J559" t="s">
        <v>3438</v>
      </c>
      <c r="L559" t="s">
        <v>7187</v>
      </c>
      <c r="P559">
        <v>0</v>
      </c>
      <c r="R559">
        <v>121596225</v>
      </c>
      <c r="S559">
        <v>121596225</v>
      </c>
      <c r="T559" t="s">
        <v>3469</v>
      </c>
    </row>
    <row r="560" spans="1:20" x14ac:dyDescent="0.2">
      <c r="A560" t="s">
        <v>1782</v>
      </c>
      <c r="B560" t="s">
        <v>8412</v>
      </c>
      <c r="C560" t="s">
        <v>18326</v>
      </c>
      <c r="D560">
        <v>160274</v>
      </c>
      <c r="E560">
        <v>48182</v>
      </c>
      <c r="F560">
        <v>402</v>
      </c>
      <c r="G560" t="s">
        <v>3459</v>
      </c>
      <c r="H560" t="s">
        <v>6535</v>
      </c>
      <c r="I560">
        <v>1884</v>
      </c>
      <c r="J560" t="s">
        <v>3438</v>
      </c>
      <c r="L560" t="s">
        <v>8411</v>
      </c>
      <c r="M560" t="s">
        <v>8413</v>
      </c>
      <c r="N560">
        <v>34999520</v>
      </c>
      <c r="O560" t="s">
        <v>8415</v>
      </c>
      <c r="P560" t="s">
        <v>8415</v>
      </c>
      <c r="R560">
        <v>129691961</v>
      </c>
      <c r="S560">
        <v>129691961</v>
      </c>
      <c r="T560" t="s">
        <v>3447</v>
      </c>
    </row>
    <row r="561" spans="1:20" x14ac:dyDescent="0.2">
      <c r="A561" t="s">
        <v>13946</v>
      </c>
      <c r="B561" t="s">
        <v>8419</v>
      </c>
      <c r="C561" t="s">
        <v>18327</v>
      </c>
      <c r="D561">
        <v>155077</v>
      </c>
      <c r="E561">
        <v>48433</v>
      </c>
      <c r="F561">
        <v>209</v>
      </c>
      <c r="G561" t="s">
        <v>3436</v>
      </c>
      <c r="H561" t="s">
        <v>3687</v>
      </c>
      <c r="I561">
        <v>227</v>
      </c>
      <c r="J561" t="s">
        <v>3438</v>
      </c>
      <c r="K561" t="s">
        <v>18328</v>
      </c>
      <c r="L561" t="s">
        <v>8418</v>
      </c>
      <c r="M561" t="s">
        <v>8420</v>
      </c>
      <c r="N561">
        <v>663938</v>
      </c>
      <c r="O561" t="s">
        <v>8422</v>
      </c>
      <c r="P561" t="s">
        <v>8422</v>
      </c>
      <c r="R561" s="5">
        <v>7592567064571</v>
      </c>
      <c r="S561" t="s">
        <v>18329</v>
      </c>
      <c r="T561" t="s">
        <v>3469</v>
      </c>
    </row>
    <row r="562" spans="1:20" x14ac:dyDescent="0.2">
      <c r="A562" t="s">
        <v>1778</v>
      </c>
      <c r="B562" t="s">
        <v>8426</v>
      </c>
      <c r="C562" t="s">
        <v>18330</v>
      </c>
      <c r="D562">
        <v>154475</v>
      </c>
      <c r="E562">
        <v>48441</v>
      </c>
      <c r="F562">
        <v>209</v>
      </c>
      <c r="G562" t="s">
        <v>3863</v>
      </c>
      <c r="H562" t="s">
        <v>5632</v>
      </c>
      <c r="I562">
        <v>6213</v>
      </c>
      <c r="J562" t="s">
        <v>3438</v>
      </c>
      <c r="K562" t="s">
        <v>18331</v>
      </c>
      <c r="L562" t="s">
        <v>8425</v>
      </c>
      <c r="M562" t="s">
        <v>8427</v>
      </c>
      <c r="N562">
        <v>31530</v>
      </c>
      <c r="P562" t="s">
        <v>8429</v>
      </c>
      <c r="R562">
        <v>34217</v>
      </c>
      <c r="S562">
        <v>34217</v>
      </c>
      <c r="T562" t="s">
        <v>3469</v>
      </c>
    </row>
    <row r="563" spans="1:20" x14ac:dyDescent="0.2">
      <c r="A563" t="s">
        <v>1798</v>
      </c>
      <c r="B563" t="s">
        <v>8438</v>
      </c>
      <c r="C563" t="s">
        <v>18332</v>
      </c>
      <c r="D563">
        <v>155063</v>
      </c>
      <c r="E563">
        <v>48408</v>
      </c>
      <c r="F563">
        <v>209</v>
      </c>
      <c r="G563" t="s">
        <v>3436</v>
      </c>
      <c r="H563" t="s">
        <v>3687</v>
      </c>
      <c r="I563">
        <v>226</v>
      </c>
      <c r="J563" t="s">
        <v>3438</v>
      </c>
      <c r="K563" t="s">
        <v>18333</v>
      </c>
      <c r="L563" t="s">
        <v>8437</v>
      </c>
      <c r="M563" t="s">
        <v>8439</v>
      </c>
      <c r="N563">
        <v>134849</v>
      </c>
      <c r="O563" t="s">
        <v>8441</v>
      </c>
      <c r="P563" t="s">
        <v>8441</v>
      </c>
      <c r="R563">
        <v>153005</v>
      </c>
      <c r="S563">
        <v>153005</v>
      </c>
      <c r="T563" t="s">
        <v>3469</v>
      </c>
    </row>
    <row r="564" spans="1:20" x14ac:dyDescent="0.2">
      <c r="A564" t="s">
        <v>1802</v>
      </c>
      <c r="B564" t="s">
        <v>8445</v>
      </c>
      <c r="C564" t="s">
        <v>18334</v>
      </c>
      <c r="D564">
        <v>155087</v>
      </c>
      <c r="E564">
        <v>48448</v>
      </c>
      <c r="F564">
        <v>209</v>
      </c>
      <c r="G564" t="s">
        <v>3863</v>
      </c>
      <c r="H564" t="s">
        <v>5632</v>
      </c>
      <c r="I564">
        <v>6221</v>
      </c>
      <c r="J564" t="s">
        <v>3438</v>
      </c>
      <c r="L564" t="s">
        <v>8444</v>
      </c>
      <c r="M564" t="s">
        <v>8446</v>
      </c>
      <c r="N564">
        <v>16232314</v>
      </c>
      <c r="P564" t="s">
        <v>18335</v>
      </c>
      <c r="S564">
        <v>22642043</v>
      </c>
      <c r="T564" t="s">
        <v>3469</v>
      </c>
    </row>
    <row r="565" spans="1:20" x14ac:dyDescent="0.2">
      <c r="A565" t="s">
        <v>1800</v>
      </c>
      <c r="B565" t="s">
        <v>8450</v>
      </c>
      <c r="C565" t="s">
        <v>18336</v>
      </c>
      <c r="D565">
        <v>219297</v>
      </c>
      <c r="E565">
        <v>48418</v>
      </c>
      <c r="F565">
        <v>209</v>
      </c>
      <c r="G565" t="s">
        <v>3863</v>
      </c>
      <c r="H565" t="s">
        <v>5082</v>
      </c>
      <c r="I565">
        <v>4500</v>
      </c>
      <c r="J565" t="s">
        <v>3438</v>
      </c>
      <c r="L565" t="s">
        <v>8449</v>
      </c>
      <c r="M565" t="s">
        <v>8451</v>
      </c>
      <c r="P565">
        <v>0</v>
      </c>
      <c r="S565">
        <v>0</v>
      </c>
      <c r="T565" t="s">
        <v>3469</v>
      </c>
    </row>
    <row r="566" spans="1:20" x14ac:dyDescent="0.2">
      <c r="A566" t="s">
        <v>1808</v>
      </c>
      <c r="B566" t="s">
        <v>8454</v>
      </c>
      <c r="C566" t="s">
        <v>18337</v>
      </c>
      <c r="D566">
        <v>157774</v>
      </c>
      <c r="E566">
        <v>48425</v>
      </c>
      <c r="F566">
        <v>400</v>
      </c>
      <c r="G566" t="s">
        <v>3853</v>
      </c>
      <c r="H566" t="s">
        <v>6422</v>
      </c>
      <c r="I566">
        <v>1184</v>
      </c>
      <c r="J566" t="s">
        <v>3438</v>
      </c>
      <c r="L566" t="s">
        <v>8453</v>
      </c>
      <c r="M566" t="s">
        <v>8455</v>
      </c>
      <c r="P566">
        <v>0</v>
      </c>
      <c r="R566">
        <v>101724840</v>
      </c>
      <c r="S566">
        <v>101724840</v>
      </c>
      <c r="T566" t="s">
        <v>3458</v>
      </c>
    </row>
    <row r="567" spans="1:20" x14ac:dyDescent="0.2">
      <c r="A567" t="s">
        <v>1804</v>
      </c>
      <c r="B567" t="s">
        <v>8459</v>
      </c>
      <c r="C567" t="s">
        <v>18338</v>
      </c>
      <c r="D567">
        <v>153226</v>
      </c>
      <c r="E567">
        <v>48255</v>
      </c>
      <c r="F567">
        <v>305</v>
      </c>
      <c r="G567" t="s">
        <v>3977</v>
      </c>
      <c r="H567" t="s">
        <v>4446</v>
      </c>
      <c r="I567">
        <v>1283</v>
      </c>
      <c r="J567" t="s">
        <v>3438</v>
      </c>
      <c r="L567" t="s">
        <v>8458</v>
      </c>
      <c r="O567" t="s">
        <v>8460</v>
      </c>
      <c r="P567" t="s">
        <v>8460</v>
      </c>
      <c r="Q567" t="s">
        <v>8461</v>
      </c>
      <c r="R567" s="5">
        <v>1220456602431</v>
      </c>
      <c r="S567" t="s">
        <v>18339</v>
      </c>
      <c r="T567" t="s">
        <v>3489</v>
      </c>
    </row>
    <row r="568" spans="1:20" x14ac:dyDescent="0.2">
      <c r="A568" t="s">
        <v>1792</v>
      </c>
      <c r="B568" t="s">
        <v>8465</v>
      </c>
      <c r="C568" t="s">
        <v>18340</v>
      </c>
      <c r="D568">
        <v>155073</v>
      </c>
      <c r="E568">
        <v>48429</v>
      </c>
      <c r="F568">
        <v>209</v>
      </c>
      <c r="G568" t="s">
        <v>3863</v>
      </c>
      <c r="H568" t="s">
        <v>5082</v>
      </c>
      <c r="I568">
        <v>4544</v>
      </c>
      <c r="J568" t="s">
        <v>3438</v>
      </c>
      <c r="L568" t="s">
        <v>8464</v>
      </c>
      <c r="O568" t="s">
        <v>8466</v>
      </c>
      <c r="P568" t="s">
        <v>8466</v>
      </c>
      <c r="R568">
        <v>10657183</v>
      </c>
      <c r="S568">
        <v>10657183</v>
      </c>
      <c r="T568" t="s">
        <v>3469</v>
      </c>
    </row>
    <row r="569" spans="1:20" x14ac:dyDescent="0.2">
      <c r="A569" t="s">
        <v>1776</v>
      </c>
      <c r="B569" t="s">
        <v>8470</v>
      </c>
      <c r="C569" t="s">
        <v>18341</v>
      </c>
      <c r="D569">
        <v>153390</v>
      </c>
      <c r="E569">
        <v>48341</v>
      </c>
      <c r="F569">
        <v>209</v>
      </c>
      <c r="G569" t="s">
        <v>3459</v>
      </c>
      <c r="H569" t="s">
        <v>5418</v>
      </c>
      <c r="I569">
        <v>2861</v>
      </c>
      <c r="J569" t="s">
        <v>3438</v>
      </c>
      <c r="L569" t="s">
        <v>8469</v>
      </c>
      <c r="P569">
        <v>0</v>
      </c>
      <c r="S569">
        <v>0</v>
      </c>
      <c r="T569" t="s">
        <v>3469</v>
      </c>
    </row>
    <row r="570" spans="1:20" x14ac:dyDescent="0.2">
      <c r="A570" t="s">
        <v>19111</v>
      </c>
      <c r="B570" t="s">
        <v>18342</v>
      </c>
      <c r="C570" t="s">
        <v>18343</v>
      </c>
      <c r="D570">
        <v>155115</v>
      </c>
      <c r="E570">
        <v>48733</v>
      </c>
      <c r="F570">
        <v>209</v>
      </c>
      <c r="G570" t="s">
        <v>3436</v>
      </c>
      <c r="H570" t="s">
        <v>3687</v>
      </c>
      <c r="I570">
        <v>228</v>
      </c>
      <c r="J570" t="s">
        <v>3438</v>
      </c>
      <c r="L570" t="s">
        <v>18344</v>
      </c>
      <c r="M570" t="s">
        <v>18345</v>
      </c>
      <c r="O570" t="s">
        <v>18346</v>
      </c>
      <c r="P570" t="s">
        <v>18346</v>
      </c>
      <c r="S570">
        <v>0</v>
      </c>
      <c r="T570" t="s">
        <v>3469</v>
      </c>
    </row>
    <row r="571" spans="1:20" x14ac:dyDescent="0.2">
      <c r="A571" t="s">
        <v>1787</v>
      </c>
      <c r="B571" t="s">
        <v>8474</v>
      </c>
      <c r="C571" t="s">
        <v>18347</v>
      </c>
      <c r="D571">
        <v>155083</v>
      </c>
      <c r="E571">
        <v>48442</v>
      </c>
      <c r="F571">
        <v>209</v>
      </c>
      <c r="G571" t="s">
        <v>3863</v>
      </c>
      <c r="H571" t="s">
        <v>3864</v>
      </c>
      <c r="I571">
        <v>5116</v>
      </c>
      <c r="J571" t="s">
        <v>3438</v>
      </c>
      <c r="L571" t="s">
        <v>8473</v>
      </c>
      <c r="O571" t="s">
        <v>8475</v>
      </c>
      <c r="P571" t="s">
        <v>8475</v>
      </c>
      <c r="R571">
        <v>53803570</v>
      </c>
      <c r="S571">
        <v>53803570</v>
      </c>
      <c r="T571" t="s">
        <v>3469</v>
      </c>
    </row>
    <row r="572" spans="1:20" x14ac:dyDescent="0.2">
      <c r="A572" t="s">
        <v>1780</v>
      </c>
      <c r="B572" t="s">
        <v>8479</v>
      </c>
      <c r="C572" t="s">
        <v>18348</v>
      </c>
      <c r="D572">
        <v>208290</v>
      </c>
      <c r="E572">
        <v>54910</v>
      </c>
      <c r="F572">
        <v>209</v>
      </c>
      <c r="G572" t="s">
        <v>3436</v>
      </c>
      <c r="H572" t="s">
        <v>3687</v>
      </c>
      <c r="I572">
        <v>201</v>
      </c>
      <c r="J572" t="s">
        <v>3438</v>
      </c>
      <c r="K572" t="s">
        <v>18349</v>
      </c>
      <c r="L572" t="s">
        <v>8478</v>
      </c>
      <c r="M572" t="s">
        <v>8480</v>
      </c>
      <c r="N572">
        <v>141152</v>
      </c>
      <c r="O572" t="s">
        <v>8482</v>
      </c>
      <c r="P572" t="s">
        <v>8482</v>
      </c>
      <c r="R572">
        <v>160637</v>
      </c>
      <c r="S572">
        <v>160637</v>
      </c>
      <c r="T572" t="s">
        <v>3469</v>
      </c>
    </row>
    <row r="573" spans="1:20" x14ac:dyDescent="0.2">
      <c r="A573" t="s">
        <v>1794</v>
      </c>
      <c r="B573" t="s">
        <v>8486</v>
      </c>
      <c r="C573" t="s">
        <v>18350</v>
      </c>
      <c r="D573">
        <v>155107</v>
      </c>
      <c r="E573">
        <v>48715</v>
      </c>
      <c r="F573">
        <v>209</v>
      </c>
      <c r="G573" t="s">
        <v>3863</v>
      </c>
      <c r="H573" t="s">
        <v>3864</v>
      </c>
      <c r="I573">
        <v>5122</v>
      </c>
      <c r="J573" t="s">
        <v>3438</v>
      </c>
      <c r="K573" t="s">
        <v>18351</v>
      </c>
      <c r="L573" t="s">
        <v>8485</v>
      </c>
      <c r="M573" t="s">
        <v>8487</v>
      </c>
      <c r="N573">
        <v>157181</v>
      </c>
      <c r="O573" t="s">
        <v>8488</v>
      </c>
      <c r="P573" t="s">
        <v>8488</v>
      </c>
      <c r="R573">
        <v>180632</v>
      </c>
      <c r="S573">
        <v>180632</v>
      </c>
      <c r="T573" t="s">
        <v>3469</v>
      </c>
    </row>
    <row r="574" spans="1:20" x14ac:dyDescent="0.2">
      <c r="A574" t="s">
        <v>1796</v>
      </c>
      <c r="B574" t="s">
        <v>8498</v>
      </c>
      <c r="C574" t="s">
        <v>18352</v>
      </c>
      <c r="D574">
        <v>155085</v>
      </c>
      <c r="E574">
        <v>48445</v>
      </c>
      <c r="F574">
        <v>209</v>
      </c>
      <c r="G574" t="s">
        <v>3863</v>
      </c>
      <c r="H574" t="s">
        <v>5632</v>
      </c>
      <c r="I574">
        <v>6220</v>
      </c>
      <c r="J574" t="s">
        <v>3438</v>
      </c>
      <c r="L574" t="s">
        <v>8497</v>
      </c>
      <c r="M574" t="s">
        <v>8499</v>
      </c>
      <c r="P574">
        <v>0</v>
      </c>
      <c r="S574">
        <v>122164840</v>
      </c>
      <c r="T574" t="s">
        <v>3469</v>
      </c>
    </row>
    <row r="575" spans="1:20" x14ac:dyDescent="0.2">
      <c r="A575" t="s">
        <v>1785</v>
      </c>
      <c r="B575" t="s">
        <v>8510</v>
      </c>
      <c r="C575" t="s">
        <v>18353</v>
      </c>
      <c r="D575">
        <v>155103</v>
      </c>
      <c r="E575">
        <v>48580</v>
      </c>
      <c r="F575">
        <v>209</v>
      </c>
      <c r="G575" t="s">
        <v>3863</v>
      </c>
      <c r="H575" t="s">
        <v>3864</v>
      </c>
      <c r="I575">
        <v>5249</v>
      </c>
      <c r="J575" t="s">
        <v>3438</v>
      </c>
      <c r="K575" t="s">
        <v>18354</v>
      </c>
      <c r="L575" t="s">
        <v>8509</v>
      </c>
      <c r="M575" t="s">
        <v>8511</v>
      </c>
      <c r="N575">
        <v>158023</v>
      </c>
      <c r="P575">
        <v>0</v>
      </c>
      <c r="R575">
        <v>181671</v>
      </c>
      <c r="S575">
        <v>181671</v>
      </c>
      <c r="T575" t="s">
        <v>3469</v>
      </c>
    </row>
    <row r="576" spans="1:20" x14ac:dyDescent="0.2">
      <c r="A576" t="s">
        <v>1827</v>
      </c>
      <c r="B576" t="s">
        <v>8516</v>
      </c>
      <c r="C576" t="s">
        <v>18355</v>
      </c>
      <c r="D576">
        <v>155015</v>
      </c>
      <c r="E576">
        <v>48841</v>
      </c>
      <c r="F576">
        <v>209</v>
      </c>
      <c r="G576" t="s">
        <v>3436</v>
      </c>
      <c r="H576" t="s">
        <v>3687</v>
      </c>
      <c r="I576">
        <v>225</v>
      </c>
      <c r="J576" t="s">
        <v>3438</v>
      </c>
      <c r="K576" t="s">
        <v>18356</v>
      </c>
      <c r="L576" t="s">
        <v>8515</v>
      </c>
      <c r="M576" t="s">
        <v>8517</v>
      </c>
      <c r="N576">
        <v>135751</v>
      </c>
      <c r="O576" t="s">
        <v>8519</v>
      </c>
      <c r="P576" t="s">
        <v>8519</v>
      </c>
      <c r="R576">
        <v>154035</v>
      </c>
      <c r="S576">
        <v>154035</v>
      </c>
      <c r="T576" t="s">
        <v>3469</v>
      </c>
    </row>
    <row r="577" spans="1:20" x14ac:dyDescent="0.2">
      <c r="A577" t="s">
        <v>1825</v>
      </c>
      <c r="B577" t="s">
        <v>8559</v>
      </c>
      <c r="C577" t="s">
        <v>18357</v>
      </c>
      <c r="D577">
        <v>166006</v>
      </c>
      <c r="E577">
        <v>48698</v>
      </c>
      <c r="F577">
        <v>209</v>
      </c>
      <c r="G577" t="s">
        <v>3863</v>
      </c>
      <c r="H577" t="s">
        <v>5632</v>
      </c>
      <c r="I577">
        <v>6235</v>
      </c>
      <c r="J577" t="s">
        <v>3438</v>
      </c>
      <c r="L577" t="s">
        <v>8558</v>
      </c>
      <c r="O577" t="s">
        <v>5379</v>
      </c>
      <c r="P577" t="s">
        <v>5379</v>
      </c>
      <c r="R577">
        <v>122198196</v>
      </c>
      <c r="S577">
        <v>122198196</v>
      </c>
      <c r="T577" t="s">
        <v>3469</v>
      </c>
    </row>
    <row r="578" spans="1:20" x14ac:dyDescent="0.2">
      <c r="A578" t="s">
        <v>1819</v>
      </c>
      <c r="B578" t="s">
        <v>8563</v>
      </c>
      <c r="C578" t="s">
        <v>18358</v>
      </c>
      <c r="D578">
        <v>219302</v>
      </c>
      <c r="E578">
        <v>48457</v>
      </c>
      <c r="F578">
        <v>209</v>
      </c>
      <c r="G578" t="s">
        <v>3436</v>
      </c>
      <c r="H578" t="s">
        <v>3687</v>
      </c>
      <c r="I578">
        <v>193</v>
      </c>
      <c r="J578" t="s">
        <v>3438</v>
      </c>
      <c r="L578" t="s">
        <v>8562</v>
      </c>
      <c r="M578" t="s">
        <v>8564</v>
      </c>
      <c r="P578">
        <v>0</v>
      </c>
      <c r="S578">
        <v>14199589</v>
      </c>
      <c r="T578" t="s">
        <v>3469</v>
      </c>
    </row>
    <row r="579" spans="1:20" x14ac:dyDescent="0.2">
      <c r="A579" t="s">
        <v>1817</v>
      </c>
      <c r="B579" t="s">
        <v>8567</v>
      </c>
      <c r="C579" t="s">
        <v>18359</v>
      </c>
      <c r="D579">
        <v>155097</v>
      </c>
      <c r="E579">
        <v>48460</v>
      </c>
      <c r="F579">
        <v>209</v>
      </c>
      <c r="G579" t="s">
        <v>3863</v>
      </c>
      <c r="H579" t="s">
        <v>5082</v>
      </c>
      <c r="I579">
        <v>4546</v>
      </c>
      <c r="J579" t="s">
        <v>3438</v>
      </c>
      <c r="L579" t="s">
        <v>8566</v>
      </c>
      <c r="M579" t="s">
        <v>8568</v>
      </c>
      <c r="N579">
        <v>48063224</v>
      </c>
      <c r="O579" t="s">
        <v>8570</v>
      </c>
      <c r="P579" t="s">
        <v>8570</v>
      </c>
      <c r="R579">
        <v>131838881</v>
      </c>
      <c r="S579">
        <v>131838881</v>
      </c>
      <c r="T579" t="s">
        <v>3469</v>
      </c>
    </row>
    <row r="580" spans="1:20" x14ac:dyDescent="0.2">
      <c r="A580" t="s">
        <v>19112</v>
      </c>
      <c r="B580" t="s">
        <v>18360</v>
      </c>
      <c r="C580" t="s">
        <v>18361</v>
      </c>
      <c r="D580">
        <v>155101</v>
      </c>
      <c r="E580">
        <v>48463</v>
      </c>
      <c r="F580">
        <v>209</v>
      </c>
      <c r="G580" t="s">
        <v>3863</v>
      </c>
      <c r="H580" t="s">
        <v>5632</v>
      </c>
      <c r="I580">
        <v>6229</v>
      </c>
      <c r="J580" t="s">
        <v>3438</v>
      </c>
      <c r="L580" t="s">
        <v>18362</v>
      </c>
      <c r="M580" t="s">
        <v>18363</v>
      </c>
      <c r="P580">
        <v>0</v>
      </c>
      <c r="R580">
        <v>22908099</v>
      </c>
      <c r="S580">
        <v>22908099</v>
      </c>
      <c r="T580" t="s">
        <v>3469</v>
      </c>
    </row>
    <row r="581" spans="1:20" x14ac:dyDescent="0.2">
      <c r="A581" t="s">
        <v>1821</v>
      </c>
      <c r="B581" t="s">
        <v>8574</v>
      </c>
      <c r="C581" t="s">
        <v>18364</v>
      </c>
      <c r="D581">
        <v>155105</v>
      </c>
      <c r="E581">
        <v>48674</v>
      </c>
      <c r="F581">
        <v>209</v>
      </c>
      <c r="G581" t="s">
        <v>3863</v>
      </c>
      <c r="H581" t="s">
        <v>3864</v>
      </c>
      <c r="I581">
        <v>5119</v>
      </c>
      <c r="J581" t="s">
        <v>3438</v>
      </c>
      <c r="K581" t="s">
        <v>18365</v>
      </c>
      <c r="L581" t="s">
        <v>8573</v>
      </c>
      <c r="M581" t="s">
        <v>8575</v>
      </c>
      <c r="N581">
        <v>114800</v>
      </c>
      <c r="O581" t="s">
        <v>8577</v>
      </c>
      <c r="P581" t="s">
        <v>8577</v>
      </c>
      <c r="R581">
        <v>129659</v>
      </c>
      <c r="S581">
        <v>129659</v>
      </c>
      <c r="T581" t="s">
        <v>3469</v>
      </c>
    </row>
    <row r="582" spans="1:20" x14ac:dyDescent="0.2">
      <c r="A582" t="s">
        <v>1823</v>
      </c>
      <c r="B582" t="s">
        <v>8581</v>
      </c>
      <c r="C582" t="s">
        <v>18366</v>
      </c>
      <c r="D582">
        <v>164042</v>
      </c>
      <c r="E582">
        <v>48490</v>
      </c>
      <c r="F582">
        <v>402</v>
      </c>
      <c r="G582" t="s">
        <v>3459</v>
      </c>
      <c r="H582" t="s">
        <v>814</v>
      </c>
      <c r="I582">
        <v>3121</v>
      </c>
      <c r="J582" t="s">
        <v>3438</v>
      </c>
      <c r="K582" t="s">
        <v>18367</v>
      </c>
      <c r="L582" t="s">
        <v>8580</v>
      </c>
      <c r="N582">
        <v>23113477</v>
      </c>
      <c r="O582" t="s">
        <v>8583</v>
      </c>
      <c r="P582" t="s">
        <v>8583</v>
      </c>
      <c r="R582">
        <v>44260124</v>
      </c>
      <c r="S582">
        <v>44260124</v>
      </c>
      <c r="T582" t="s">
        <v>3447</v>
      </c>
    </row>
    <row r="583" spans="1:20" x14ac:dyDescent="0.2">
      <c r="A583" t="s">
        <v>1813</v>
      </c>
      <c r="B583" t="s">
        <v>8587</v>
      </c>
      <c r="C583" t="s">
        <v>18368</v>
      </c>
      <c r="D583">
        <v>164534</v>
      </c>
      <c r="E583">
        <v>48491</v>
      </c>
      <c r="F583">
        <v>402</v>
      </c>
      <c r="G583" t="s">
        <v>3459</v>
      </c>
      <c r="H583" t="s">
        <v>814</v>
      </c>
      <c r="I583">
        <v>3122</v>
      </c>
      <c r="J583" t="s">
        <v>3438</v>
      </c>
      <c r="L583" t="s">
        <v>8586</v>
      </c>
      <c r="M583" t="s">
        <v>8588</v>
      </c>
      <c r="P583">
        <v>0</v>
      </c>
      <c r="S583">
        <v>0</v>
      </c>
      <c r="T583" t="s">
        <v>3447</v>
      </c>
    </row>
    <row r="584" spans="1:20" x14ac:dyDescent="0.2">
      <c r="A584" t="s">
        <v>1811</v>
      </c>
      <c r="B584" t="s">
        <v>8592</v>
      </c>
      <c r="C584" t="s">
        <v>18369</v>
      </c>
      <c r="D584">
        <v>211144</v>
      </c>
      <c r="E584">
        <v>57481</v>
      </c>
      <c r="F584">
        <v>402</v>
      </c>
      <c r="G584" t="s">
        <v>3459</v>
      </c>
      <c r="H584" t="s">
        <v>814</v>
      </c>
      <c r="I584">
        <v>3123</v>
      </c>
      <c r="J584" t="s">
        <v>3438</v>
      </c>
      <c r="L584" t="s">
        <v>8591</v>
      </c>
      <c r="P584">
        <v>0</v>
      </c>
      <c r="S584">
        <v>0</v>
      </c>
      <c r="T584" t="s">
        <v>3447</v>
      </c>
    </row>
    <row r="585" spans="1:20" x14ac:dyDescent="0.2">
      <c r="A585" t="s">
        <v>1815</v>
      </c>
      <c r="B585" t="s">
        <v>8595</v>
      </c>
      <c r="C585" t="s">
        <v>18370</v>
      </c>
      <c r="D585">
        <v>164533</v>
      </c>
      <c r="E585">
        <v>48492</v>
      </c>
      <c r="F585">
        <v>402</v>
      </c>
      <c r="G585" t="s">
        <v>3459</v>
      </c>
      <c r="H585" t="s">
        <v>814</v>
      </c>
      <c r="I585">
        <v>3106</v>
      </c>
      <c r="J585" t="s">
        <v>3438</v>
      </c>
      <c r="L585" t="s">
        <v>8594</v>
      </c>
      <c r="N585">
        <v>24846873</v>
      </c>
      <c r="O585" t="s">
        <v>8597</v>
      </c>
      <c r="P585" t="s">
        <v>8597</v>
      </c>
      <c r="R585">
        <v>44260125</v>
      </c>
      <c r="S585">
        <v>44260125</v>
      </c>
      <c r="T585" t="s">
        <v>3447</v>
      </c>
    </row>
    <row r="586" spans="1:20" x14ac:dyDescent="0.2">
      <c r="A586" t="s">
        <v>1841</v>
      </c>
      <c r="B586" t="s">
        <v>8601</v>
      </c>
      <c r="C586" t="s">
        <v>18371</v>
      </c>
      <c r="D586">
        <v>164535</v>
      </c>
      <c r="E586">
        <v>48493</v>
      </c>
      <c r="F586">
        <v>402</v>
      </c>
      <c r="G586" t="s">
        <v>3459</v>
      </c>
      <c r="H586" t="s">
        <v>814</v>
      </c>
      <c r="I586">
        <v>3126</v>
      </c>
      <c r="J586" t="s">
        <v>3438</v>
      </c>
      <c r="K586" t="s">
        <v>18372</v>
      </c>
      <c r="L586" t="s">
        <v>8600</v>
      </c>
      <c r="N586">
        <v>29368329</v>
      </c>
      <c r="O586" t="s">
        <v>8603</v>
      </c>
      <c r="P586" t="s">
        <v>8603</v>
      </c>
      <c r="S586">
        <v>0</v>
      </c>
      <c r="T586" t="s">
        <v>3447</v>
      </c>
    </row>
    <row r="587" spans="1:20" x14ac:dyDescent="0.2">
      <c r="A587" t="s">
        <v>1847</v>
      </c>
      <c r="B587" t="s">
        <v>8606</v>
      </c>
      <c r="C587" t="s">
        <v>18373</v>
      </c>
      <c r="D587">
        <v>211140</v>
      </c>
      <c r="E587">
        <v>57477</v>
      </c>
      <c r="F587">
        <v>402</v>
      </c>
      <c r="G587" t="s">
        <v>3459</v>
      </c>
      <c r="H587" t="s">
        <v>814</v>
      </c>
      <c r="I587">
        <v>3127</v>
      </c>
      <c r="J587" t="s">
        <v>3438</v>
      </c>
      <c r="L587" t="s">
        <v>8605</v>
      </c>
      <c r="P587">
        <v>0</v>
      </c>
      <c r="S587">
        <v>0</v>
      </c>
      <c r="T587" t="s">
        <v>3447</v>
      </c>
    </row>
    <row r="588" spans="1:20" x14ac:dyDescent="0.2">
      <c r="A588" t="s">
        <v>1861</v>
      </c>
      <c r="B588" t="s">
        <v>8610</v>
      </c>
      <c r="C588" t="s">
        <v>18374</v>
      </c>
      <c r="D588">
        <v>210828</v>
      </c>
      <c r="E588">
        <v>57330</v>
      </c>
      <c r="F588">
        <v>402</v>
      </c>
      <c r="G588" t="s">
        <v>3459</v>
      </c>
      <c r="H588" t="s">
        <v>814</v>
      </c>
      <c r="I588">
        <v>3108</v>
      </c>
      <c r="J588" t="s">
        <v>3438</v>
      </c>
      <c r="K588" t="s">
        <v>18375</v>
      </c>
      <c r="L588" t="s">
        <v>8609</v>
      </c>
      <c r="M588" t="s">
        <v>8611</v>
      </c>
      <c r="N588">
        <v>24846875</v>
      </c>
      <c r="P588">
        <v>0</v>
      </c>
      <c r="S588">
        <v>0</v>
      </c>
      <c r="T588" t="s">
        <v>3447</v>
      </c>
    </row>
    <row r="589" spans="1:20" x14ac:dyDescent="0.2">
      <c r="A589" t="s">
        <v>1855</v>
      </c>
      <c r="B589" t="s">
        <v>8616</v>
      </c>
      <c r="C589" t="s">
        <v>18376</v>
      </c>
      <c r="D589">
        <v>164557</v>
      </c>
      <c r="E589">
        <v>52433</v>
      </c>
      <c r="F589">
        <v>402</v>
      </c>
      <c r="G589" t="s">
        <v>3459</v>
      </c>
      <c r="H589" t="s">
        <v>814</v>
      </c>
      <c r="I589">
        <v>3115</v>
      </c>
      <c r="J589" t="s">
        <v>3438</v>
      </c>
      <c r="K589" t="s">
        <v>18377</v>
      </c>
      <c r="L589" t="s">
        <v>8615</v>
      </c>
      <c r="M589" t="s">
        <v>8617</v>
      </c>
      <c r="N589">
        <v>28532779</v>
      </c>
      <c r="P589">
        <v>0</v>
      </c>
      <c r="S589">
        <v>0</v>
      </c>
      <c r="T589" t="s">
        <v>3447</v>
      </c>
    </row>
    <row r="590" spans="1:20" x14ac:dyDescent="0.2">
      <c r="A590" t="s">
        <v>1853</v>
      </c>
      <c r="B590" t="s">
        <v>8622</v>
      </c>
      <c r="C590" t="s">
        <v>18378</v>
      </c>
      <c r="D590">
        <v>155059</v>
      </c>
      <c r="E590">
        <v>48406</v>
      </c>
      <c r="F590">
        <v>209</v>
      </c>
      <c r="G590" t="s">
        <v>3436</v>
      </c>
      <c r="H590" t="s">
        <v>3687</v>
      </c>
      <c r="I590">
        <v>223</v>
      </c>
      <c r="J590" t="s">
        <v>3438</v>
      </c>
      <c r="K590" t="s">
        <v>18379</v>
      </c>
      <c r="L590" t="s">
        <v>8621</v>
      </c>
      <c r="N590">
        <v>110461</v>
      </c>
      <c r="O590" t="s">
        <v>8624</v>
      </c>
      <c r="P590" t="s">
        <v>8624</v>
      </c>
      <c r="Q590" t="s">
        <v>8625</v>
      </c>
      <c r="R590">
        <v>68517194</v>
      </c>
      <c r="S590">
        <v>68517194</v>
      </c>
      <c r="T590" t="s">
        <v>3469</v>
      </c>
    </row>
    <row r="591" spans="1:20" x14ac:dyDescent="0.2">
      <c r="A591" t="s">
        <v>1859</v>
      </c>
      <c r="B591" t="s">
        <v>8629</v>
      </c>
      <c r="C591" t="s">
        <v>18380</v>
      </c>
      <c r="D591">
        <v>155061</v>
      </c>
      <c r="E591">
        <v>48407</v>
      </c>
      <c r="F591">
        <v>209</v>
      </c>
      <c r="G591" t="s">
        <v>3436</v>
      </c>
      <c r="H591" t="s">
        <v>3687</v>
      </c>
      <c r="I591">
        <v>224</v>
      </c>
      <c r="J591" t="s">
        <v>3438</v>
      </c>
      <c r="K591" t="s">
        <v>18381</v>
      </c>
      <c r="L591" t="s">
        <v>8628</v>
      </c>
      <c r="N591">
        <v>108936</v>
      </c>
      <c r="O591" t="s">
        <v>8631</v>
      </c>
      <c r="P591" t="s">
        <v>8631</v>
      </c>
      <c r="Q591" t="s">
        <v>8632</v>
      </c>
      <c r="R591">
        <v>122136</v>
      </c>
      <c r="S591">
        <v>122136</v>
      </c>
      <c r="T591" t="s">
        <v>3469</v>
      </c>
    </row>
    <row r="592" spans="1:20" x14ac:dyDescent="0.2">
      <c r="A592" t="s">
        <v>1845</v>
      </c>
      <c r="B592" t="s">
        <v>8636</v>
      </c>
      <c r="C592" t="s">
        <v>18382</v>
      </c>
      <c r="D592">
        <v>179135</v>
      </c>
      <c r="E592">
        <v>53230</v>
      </c>
      <c r="F592">
        <v>209</v>
      </c>
      <c r="G592" t="s">
        <v>3459</v>
      </c>
      <c r="H592" t="s">
        <v>4869</v>
      </c>
      <c r="I592">
        <v>1979</v>
      </c>
      <c r="J592" t="s">
        <v>3438</v>
      </c>
      <c r="K592" t="s">
        <v>18383</v>
      </c>
      <c r="L592" t="s">
        <v>8635</v>
      </c>
      <c r="M592" t="s">
        <v>8637</v>
      </c>
      <c r="N592">
        <v>133518</v>
      </c>
      <c r="O592" t="s">
        <v>8639</v>
      </c>
      <c r="P592" t="s">
        <v>8639</v>
      </c>
      <c r="R592">
        <v>151492</v>
      </c>
      <c r="S592">
        <v>151492</v>
      </c>
      <c r="T592" t="s">
        <v>3469</v>
      </c>
    </row>
    <row r="593" spans="1:20" x14ac:dyDescent="0.2">
      <c r="A593" t="s">
        <v>1829</v>
      </c>
      <c r="B593" t="s">
        <v>8643</v>
      </c>
      <c r="C593" t="s">
        <v>18384</v>
      </c>
      <c r="D593">
        <v>164887</v>
      </c>
      <c r="E593">
        <v>52340</v>
      </c>
      <c r="F593">
        <v>400</v>
      </c>
      <c r="G593" t="s">
        <v>3436</v>
      </c>
      <c r="H593" t="s">
        <v>3670</v>
      </c>
      <c r="I593">
        <v>35</v>
      </c>
      <c r="J593" t="s">
        <v>3438</v>
      </c>
      <c r="K593" t="s">
        <v>18385</v>
      </c>
      <c r="L593" t="s">
        <v>8642</v>
      </c>
      <c r="M593" t="s">
        <v>8644</v>
      </c>
      <c r="N593">
        <v>377278</v>
      </c>
      <c r="P593">
        <v>0</v>
      </c>
      <c r="R593">
        <v>426409</v>
      </c>
      <c r="S593">
        <v>426409</v>
      </c>
      <c r="T593" t="s">
        <v>3458</v>
      </c>
    </row>
    <row r="594" spans="1:20" x14ac:dyDescent="0.2">
      <c r="A594" t="s">
        <v>1849</v>
      </c>
      <c r="B594" t="s">
        <v>8649</v>
      </c>
      <c r="C594" t="s">
        <v>18386</v>
      </c>
      <c r="D594">
        <v>207701</v>
      </c>
      <c r="E594">
        <v>54805</v>
      </c>
      <c r="F594">
        <v>209</v>
      </c>
      <c r="G594" t="s">
        <v>3459</v>
      </c>
      <c r="H594" t="s">
        <v>3749</v>
      </c>
      <c r="I594">
        <v>3209</v>
      </c>
      <c r="J594" t="s">
        <v>3438</v>
      </c>
      <c r="L594" t="s">
        <v>8648</v>
      </c>
      <c r="M594" t="s">
        <v>8650</v>
      </c>
      <c r="P594" t="s">
        <v>8651</v>
      </c>
      <c r="Q594" t="s">
        <v>8652</v>
      </c>
      <c r="R594">
        <v>165511</v>
      </c>
      <c r="S594">
        <v>165511</v>
      </c>
      <c r="T594" t="s">
        <v>3469</v>
      </c>
    </row>
    <row r="595" spans="1:20" x14ac:dyDescent="0.2">
      <c r="A595" t="s">
        <v>1833</v>
      </c>
      <c r="B595" t="s">
        <v>8656</v>
      </c>
      <c r="C595" t="s">
        <v>18387</v>
      </c>
      <c r="D595">
        <v>155125</v>
      </c>
      <c r="E595">
        <v>48762</v>
      </c>
      <c r="F595">
        <v>209</v>
      </c>
      <c r="G595" t="s">
        <v>3863</v>
      </c>
      <c r="H595" t="s">
        <v>5632</v>
      </c>
      <c r="I595">
        <v>6218</v>
      </c>
      <c r="J595" t="s">
        <v>3438</v>
      </c>
      <c r="L595" t="s">
        <v>8655</v>
      </c>
      <c r="O595" t="s">
        <v>8657</v>
      </c>
      <c r="P595" t="s">
        <v>8657</v>
      </c>
      <c r="R595" s="5">
        <v>9201366254110620</v>
      </c>
      <c r="S595" t="s">
        <v>18388</v>
      </c>
      <c r="T595" t="s">
        <v>3469</v>
      </c>
    </row>
    <row r="596" spans="1:20" x14ac:dyDescent="0.2">
      <c r="A596" t="s">
        <v>1839</v>
      </c>
      <c r="B596" t="s">
        <v>8661</v>
      </c>
      <c r="C596" t="s">
        <v>18389</v>
      </c>
      <c r="D596">
        <v>155127</v>
      </c>
      <c r="E596">
        <v>48763</v>
      </c>
      <c r="F596">
        <v>209</v>
      </c>
      <c r="G596" t="s">
        <v>3863</v>
      </c>
      <c r="H596" t="s">
        <v>5082</v>
      </c>
      <c r="I596">
        <v>4541</v>
      </c>
      <c r="J596" t="s">
        <v>3438</v>
      </c>
      <c r="L596" t="s">
        <v>8660</v>
      </c>
      <c r="P596">
        <v>0</v>
      </c>
      <c r="R596">
        <v>129892430</v>
      </c>
      <c r="S596">
        <v>129892430</v>
      </c>
      <c r="T596" t="s">
        <v>3469</v>
      </c>
    </row>
    <row r="597" spans="1:20" x14ac:dyDescent="0.2">
      <c r="A597" t="s">
        <v>1835</v>
      </c>
      <c r="B597" t="s">
        <v>8664</v>
      </c>
      <c r="C597" t="s">
        <v>18390</v>
      </c>
      <c r="D597">
        <v>155119</v>
      </c>
      <c r="E597">
        <v>48752</v>
      </c>
      <c r="F597">
        <v>209</v>
      </c>
      <c r="G597" t="s">
        <v>3863</v>
      </c>
      <c r="H597" t="s">
        <v>5082</v>
      </c>
      <c r="I597">
        <v>4542</v>
      </c>
      <c r="J597" t="s">
        <v>3438</v>
      </c>
      <c r="L597" t="s">
        <v>8663</v>
      </c>
      <c r="P597">
        <v>0</v>
      </c>
      <c r="S597">
        <v>0</v>
      </c>
      <c r="T597" t="s">
        <v>3469</v>
      </c>
    </row>
    <row r="598" spans="1:20" x14ac:dyDescent="0.2">
      <c r="A598" t="s">
        <v>1851</v>
      </c>
      <c r="B598" t="s">
        <v>8667</v>
      </c>
      <c r="C598" t="s">
        <v>18391</v>
      </c>
      <c r="D598">
        <v>155121</v>
      </c>
      <c r="E598">
        <v>48757</v>
      </c>
      <c r="F598">
        <v>209</v>
      </c>
      <c r="G598" t="s">
        <v>3436</v>
      </c>
      <c r="H598" t="s">
        <v>3470</v>
      </c>
      <c r="I598">
        <v>270</v>
      </c>
      <c r="J598" t="s">
        <v>3438</v>
      </c>
      <c r="L598" t="s">
        <v>8666</v>
      </c>
      <c r="P598" t="s">
        <v>8668</v>
      </c>
      <c r="R598">
        <v>73817779</v>
      </c>
      <c r="S598">
        <v>73817779</v>
      </c>
      <c r="T598" t="s">
        <v>3469</v>
      </c>
    </row>
    <row r="599" spans="1:20" x14ac:dyDescent="0.2">
      <c r="A599" t="s">
        <v>1837</v>
      </c>
      <c r="B599" t="s">
        <v>8672</v>
      </c>
      <c r="C599" t="s">
        <v>18392</v>
      </c>
      <c r="D599">
        <v>155139</v>
      </c>
      <c r="E599">
        <v>48782</v>
      </c>
      <c r="F599">
        <v>209</v>
      </c>
      <c r="G599" t="s">
        <v>3436</v>
      </c>
      <c r="H599" t="s">
        <v>3470</v>
      </c>
      <c r="I599">
        <v>261</v>
      </c>
      <c r="J599" t="s">
        <v>3438</v>
      </c>
      <c r="K599" t="s">
        <v>18393</v>
      </c>
      <c r="L599" t="s">
        <v>8671</v>
      </c>
      <c r="M599" t="s">
        <v>8673</v>
      </c>
      <c r="N599">
        <v>9157171</v>
      </c>
      <c r="O599" t="s">
        <v>8675</v>
      </c>
      <c r="P599" t="s">
        <v>8675</v>
      </c>
      <c r="R599">
        <v>10981970</v>
      </c>
      <c r="S599">
        <v>10981970</v>
      </c>
      <c r="T599" t="s">
        <v>3469</v>
      </c>
    </row>
    <row r="600" spans="1:20" x14ac:dyDescent="0.2">
      <c r="A600" t="s">
        <v>1843</v>
      </c>
      <c r="B600" t="s">
        <v>8701</v>
      </c>
      <c r="C600" t="s">
        <v>18394</v>
      </c>
      <c r="D600">
        <v>160479</v>
      </c>
      <c r="E600">
        <v>48885</v>
      </c>
      <c r="F600">
        <v>305</v>
      </c>
      <c r="G600" t="s">
        <v>3977</v>
      </c>
      <c r="H600" t="s">
        <v>4446</v>
      </c>
      <c r="I600">
        <v>1277</v>
      </c>
      <c r="J600" t="s">
        <v>3438</v>
      </c>
      <c r="L600" t="s">
        <v>8700</v>
      </c>
      <c r="O600" t="s">
        <v>8702</v>
      </c>
      <c r="P600" t="s">
        <v>8702</v>
      </c>
      <c r="Q600" t="s">
        <v>8703</v>
      </c>
      <c r="R600" s="5">
        <v>941546912</v>
      </c>
      <c r="S600" t="s">
        <v>18395</v>
      </c>
      <c r="T600" t="s">
        <v>3489</v>
      </c>
    </row>
    <row r="601" spans="1:20" x14ac:dyDescent="0.2">
      <c r="A601" t="s">
        <v>1863</v>
      </c>
      <c r="B601" t="s">
        <v>8707</v>
      </c>
      <c r="C601" t="s">
        <v>18396</v>
      </c>
      <c r="D601">
        <v>166536</v>
      </c>
      <c r="E601">
        <v>46539</v>
      </c>
      <c r="F601">
        <v>400</v>
      </c>
      <c r="G601" t="s">
        <v>3977</v>
      </c>
      <c r="H601" t="s">
        <v>4806</v>
      </c>
      <c r="I601">
        <v>1433</v>
      </c>
      <c r="J601" t="s">
        <v>3438</v>
      </c>
      <c r="L601" t="s">
        <v>8706</v>
      </c>
      <c r="O601" t="s">
        <v>8708</v>
      </c>
      <c r="P601" t="s">
        <v>8708</v>
      </c>
      <c r="Q601" t="s">
        <v>8709</v>
      </c>
      <c r="R601" s="5">
        <v>43917484265</v>
      </c>
      <c r="S601" t="s">
        <v>18397</v>
      </c>
      <c r="T601" t="s">
        <v>3458</v>
      </c>
    </row>
    <row r="602" spans="1:20" x14ac:dyDescent="0.2">
      <c r="A602" t="s">
        <v>1831</v>
      </c>
      <c r="B602" t="s">
        <v>8713</v>
      </c>
      <c r="C602" t="s">
        <v>18398</v>
      </c>
      <c r="D602">
        <v>148336</v>
      </c>
      <c r="E602">
        <v>47076</v>
      </c>
      <c r="F602">
        <v>305</v>
      </c>
      <c r="G602" t="s">
        <v>3479</v>
      </c>
      <c r="H602" t="s">
        <v>3480</v>
      </c>
      <c r="I602">
        <v>1462</v>
      </c>
      <c r="J602" t="s">
        <v>3438</v>
      </c>
      <c r="L602" t="s">
        <v>8712</v>
      </c>
      <c r="O602" t="s">
        <v>8714</v>
      </c>
      <c r="P602" t="s">
        <v>8714</v>
      </c>
      <c r="Q602" t="s">
        <v>8715</v>
      </c>
      <c r="R602" s="5">
        <v>5280498643798</v>
      </c>
      <c r="S602" t="s">
        <v>18399</v>
      </c>
      <c r="T602" t="s">
        <v>3489</v>
      </c>
    </row>
    <row r="603" spans="1:20" x14ac:dyDescent="0.2">
      <c r="A603" t="s">
        <v>1857</v>
      </c>
      <c r="B603" t="s">
        <v>8719</v>
      </c>
      <c r="C603" t="s">
        <v>18400</v>
      </c>
      <c r="D603">
        <v>166228</v>
      </c>
      <c r="E603">
        <v>52988</v>
      </c>
      <c r="F603">
        <v>400</v>
      </c>
      <c r="G603" t="s">
        <v>3459</v>
      </c>
      <c r="H603" t="s">
        <v>8397</v>
      </c>
      <c r="I603">
        <v>1907</v>
      </c>
      <c r="J603" t="s">
        <v>3438</v>
      </c>
      <c r="K603" t="s">
        <v>18401</v>
      </c>
      <c r="L603" t="s">
        <v>8718</v>
      </c>
      <c r="N603">
        <v>28540385</v>
      </c>
      <c r="O603" t="s">
        <v>8721</v>
      </c>
      <c r="P603" t="s">
        <v>8721</v>
      </c>
      <c r="R603">
        <v>71296139</v>
      </c>
      <c r="S603">
        <v>71296139</v>
      </c>
      <c r="T603" t="s">
        <v>3458</v>
      </c>
    </row>
    <row r="604" spans="1:20" x14ac:dyDescent="0.2">
      <c r="A604" t="s">
        <v>19113</v>
      </c>
      <c r="B604" t="s">
        <v>18402</v>
      </c>
      <c r="C604" t="s">
        <v>18403</v>
      </c>
      <c r="D604">
        <v>166188</v>
      </c>
      <c r="E604">
        <v>52932</v>
      </c>
      <c r="F604">
        <v>400</v>
      </c>
      <c r="G604" t="s">
        <v>3436</v>
      </c>
      <c r="H604" t="s">
        <v>3687</v>
      </c>
      <c r="I604">
        <v>180</v>
      </c>
      <c r="J604" t="s">
        <v>3438</v>
      </c>
      <c r="L604" t="s">
        <v>18404</v>
      </c>
      <c r="P604">
        <v>0</v>
      </c>
      <c r="S604">
        <v>0</v>
      </c>
      <c r="T604" t="s">
        <v>3458</v>
      </c>
    </row>
    <row r="605" spans="1:20" x14ac:dyDescent="0.2">
      <c r="A605" t="s">
        <v>1880</v>
      </c>
      <c r="B605" t="s">
        <v>8725</v>
      </c>
      <c r="C605" t="s">
        <v>18405</v>
      </c>
      <c r="D605">
        <v>218145</v>
      </c>
      <c r="E605">
        <v>61775</v>
      </c>
      <c r="F605">
        <v>402</v>
      </c>
      <c r="G605" t="s">
        <v>3459</v>
      </c>
      <c r="H605" t="s">
        <v>5535</v>
      </c>
      <c r="I605">
        <v>1857</v>
      </c>
      <c r="J605" t="s">
        <v>3438</v>
      </c>
      <c r="K605" t="s">
        <v>18406</v>
      </c>
      <c r="L605" t="s">
        <v>8724</v>
      </c>
      <c r="N605">
        <v>28533402</v>
      </c>
      <c r="O605" t="s">
        <v>8727</v>
      </c>
      <c r="P605" t="s">
        <v>8727</v>
      </c>
      <c r="R605">
        <v>91825642</v>
      </c>
      <c r="S605">
        <v>91825642</v>
      </c>
      <c r="T605" t="s">
        <v>3447</v>
      </c>
    </row>
    <row r="606" spans="1:20" x14ac:dyDescent="0.2">
      <c r="A606" t="s">
        <v>1865</v>
      </c>
      <c r="B606" t="s">
        <v>8734</v>
      </c>
      <c r="C606" t="s">
        <v>18407</v>
      </c>
      <c r="D606">
        <v>166124</v>
      </c>
      <c r="E606">
        <v>52974</v>
      </c>
      <c r="F606">
        <v>209</v>
      </c>
      <c r="G606" t="s">
        <v>3459</v>
      </c>
      <c r="H606" t="s">
        <v>3516</v>
      </c>
      <c r="I606">
        <v>3474</v>
      </c>
      <c r="J606" t="s">
        <v>3438</v>
      </c>
      <c r="L606" t="s">
        <v>8733</v>
      </c>
      <c r="O606" t="s">
        <v>8735</v>
      </c>
      <c r="P606" t="s">
        <v>18408</v>
      </c>
      <c r="R606" s="5">
        <v>2.1116917211249999E+23</v>
      </c>
      <c r="S606" t="s">
        <v>18409</v>
      </c>
      <c r="T606" t="s">
        <v>3469</v>
      </c>
    </row>
    <row r="607" spans="1:20" x14ac:dyDescent="0.2">
      <c r="A607" t="s">
        <v>1871</v>
      </c>
      <c r="B607" t="s">
        <v>8739</v>
      </c>
      <c r="C607" t="s">
        <v>18410</v>
      </c>
      <c r="D607">
        <v>166126</v>
      </c>
      <c r="E607">
        <v>52975</v>
      </c>
      <c r="F607">
        <v>209</v>
      </c>
      <c r="G607" t="s">
        <v>3459</v>
      </c>
      <c r="H607" t="s">
        <v>3819</v>
      </c>
      <c r="I607">
        <v>3540</v>
      </c>
      <c r="J607" t="s">
        <v>3438</v>
      </c>
      <c r="L607" t="s">
        <v>8738</v>
      </c>
      <c r="P607">
        <v>0</v>
      </c>
      <c r="R607">
        <v>101602538</v>
      </c>
      <c r="S607">
        <v>101602538</v>
      </c>
      <c r="T607" t="s">
        <v>3469</v>
      </c>
    </row>
    <row r="608" spans="1:20" x14ac:dyDescent="0.2">
      <c r="A608" t="s">
        <v>13959</v>
      </c>
      <c r="B608" t="s">
        <v>8743</v>
      </c>
      <c r="C608" t="s">
        <v>18411</v>
      </c>
      <c r="D608">
        <v>220740</v>
      </c>
      <c r="E608">
        <v>62889</v>
      </c>
      <c r="F608">
        <v>209</v>
      </c>
      <c r="G608" t="s">
        <v>3459</v>
      </c>
      <c r="H608" t="s">
        <v>3819</v>
      </c>
      <c r="I608">
        <v>3490</v>
      </c>
      <c r="J608" t="s">
        <v>3438</v>
      </c>
      <c r="L608" t="s">
        <v>8742</v>
      </c>
      <c r="P608">
        <v>0</v>
      </c>
      <c r="S608">
        <v>0</v>
      </c>
      <c r="T608" t="s">
        <v>3469</v>
      </c>
    </row>
    <row r="609" spans="1:20" x14ac:dyDescent="0.2">
      <c r="A609" t="s">
        <v>13960</v>
      </c>
      <c r="B609" t="s">
        <v>8746</v>
      </c>
      <c r="C609" t="s">
        <v>18412</v>
      </c>
      <c r="D609">
        <v>166148</v>
      </c>
      <c r="E609">
        <v>53026</v>
      </c>
      <c r="F609">
        <v>209</v>
      </c>
      <c r="G609" t="s">
        <v>3863</v>
      </c>
      <c r="H609" t="s">
        <v>3864</v>
      </c>
      <c r="I609">
        <v>5151</v>
      </c>
      <c r="J609" t="s">
        <v>3438</v>
      </c>
      <c r="L609" t="s">
        <v>8745</v>
      </c>
      <c r="P609">
        <v>0</v>
      </c>
      <c r="S609">
        <v>0</v>
      </c>
      <c r="T609" t="s">
        <v>3469</v>
      </c>
    </row>
    <row r="610" spans="1:20" x14ac:dyDescent="0.2">
      <c r="A610" t="s">
        <v>13961</v>
      </c>
      <c r="B610" t="s">
        <v>8749</v>
      </c>
      <c r="C610" t="s">
        <v>18413</v>
      </c>
      <c r="D610">
        <v>166417</v>
      </c>
      <c r="E610">
        <v>52747</v>
      </c>
      <c r="F610">
        <v>209</v>
      </c>
      <c r="G610" t="s">
        <v>3436</v>
      </c>
      <c r="H610" t="s">
        <v>3687</v>
      </c>
      <c r="I610">
        <v>191</v>
      </c>
      <c r="J610" t="s">
        <v>3438</v>
      </c>
      <c r="K610" t="s">
        <v>18414</v>
      </c>
      <c r="L610" t="s">
        <v>8748</v>
      </c>
      <c r="M610" t="s">
        <v>8750</v>
      </c>
      <c r="N610">
        <v>78692</v>
      </c>
      <c r="O610" t="s">
        <v>8752</v>
      </c>
      <c r="P610" t="s">
        <v>8752</v>
      </c>
      <c r="R610">
        <v>87235</v>
      </c>
      <c r="S610">
        <v>87235</v>
      </c>
      <c r="T610" t="s">
        <v>3469</v>
      </c>
    </row>
    <row r="611" spans="1:20" x14ac:dyDescent="0.2">
      <c r="A611" t="s">
        <v>1876</v>
      </c>
      <c r="B611" t="s">
        <v>8756</v>
      </c>
      <c r="C611" t="s">
        <v>18415</v>
      </c>
      <c r="D611">
        <v>166573</v>
      </c>
      <c r="E611">
        <v>52608</v>
      </c>
      <c r="F611">
        <v>209</v>
      </c>
      <c r="G611" t="s">
        <v>3459</v>
      </c>
      <c r="H611" t="s">
        <v>4774</v>
      </c>
      <c r="I611">
        <v>2182</v>
      </c>
      <c r="J611" t="s">
        <v>3438</v>
      </c>
      <c r="K611" t="s">
        <v>18416</v>
      </c>
      <c r="L611" t="s">
        <v>8755</v>
      </c>
      <c r="M611" t="s">
        <v>8757</v>
      </c>
      <c r="N611">
        <v>4446566</v>
      </c>
      <c r="O611" t="s">
        <v>8759</v>
      </c>
      <c r="P611" t="s">
        <v>8759</v>
      </c>
      <c r="R611">
        <v>5283446</v>
      </c>
      <c r="S611">
        <v>5283446</v>
      </c>
      <c r="T611" t="s">
        <v>3469</v>
      </c>
    </row>
    <row r="612" spans="1:20" x14ac:dyDescent="0.2">
      <c r="A612" t="s">
        <v>1878</v>
      </c>
      <c r="B612" t="s">
        <v>8771</v>
      </c>
      <c r="C612" t="s">
        <v>18417</v>
      </c>
      <c r="D612">
        <v>165331</v>
      </c>
      <c r="E612">
        <v>52603</v>
      </c>
      <c r="F612">
        <v>402</v>
      </c>
      <c r="G612" t="s">
        <v>3459</v>
      </c>
      <c r="H612" t="s">
        <v>5021</v>
      </c>
      <c r="I612">
        <v>2359</v>
      </c>
      <c r="J612" t="s">
        <v>3438</v>
      </c>
      <c r="K612" t="s">
        <v>18418</v>
      </c>
      <c r="L612" t="s">
        <v>8770</v>
      </c>
      <c r="M612" t="s">
        <v>8772</v>
      </c>
      <c r="N612">
        <v>4450312</v>
      </c>
      <c r="O612" t="s">
        <v>8774</v>
      </c>
      <c r="P612" t="s">
        <v>8774</v>
      </c>
      <c r="R612">
        <v>5288075</v>
      </c>
      <c r="S612">
        <v>5288075</v>
      </c>
      <c r="T612" t="s">
        <v>3447</v>
      </c>
    </row>
    <row r="613" spans="1:20" x14ac:dyDescent="0.2">
      <c r="A613" t="s">
        <v>1874</v>
      </c>
      <c r="B613" t="s">
        <v>8778</v>
      </c>
      <c r="C613" t="s">
        <v>18419</v>
      </c>
      <c r="D613">
        <v>164562</v>
      </c>
      <c r="E613">
        <v>52438</v>
      </c>
      <c r="F613">
        <v>402</v>
      </c>
      <c r="G613" t="s">
        <v>3459</v>
      </c>
      <c r="H613" t="s">
        <v>5021</v>
      </c>
      <c r="I613">
        <v>2322</v>
      </c>
      <c r="J613" t="s">
        <v>3438</v>
      </c>
      <c r="K613" t="s">
        <v>18420</v>
      </c>
      <c r="L613" t="s">
        <v>8777</v>
      </c>
      <c r="M613" t="s">
        <v>8779</v>
      </c>
      <c r="N613">
        <v>24766704</v>
      </c>
      <c r="O613" t="s">
        <v>8781</v>
      </c>
      <c r="P613" t="s">
        <v>8781</v>
      </c>
      <c r="R613">
        <v>24778825</v>
      </c>
      <c r="S613">
        <v>24778825</v>
      </c>
      <c r="T613" t="s">
        <v>3447</v>
      </c>
    </row>
    <row r="614" spans="1:20" x14ac:dyDescent="0.2">
      <c r="A614" t="s">
        <v>3077</v>
      </c>
      <c r="B614" t="s">
        <v>8785</v>
      </c>
      <c r="C614" t="s">
        <v>18421</v>
      </c>
      <c r="D614">
        <v>165128</v>
      </c>
      <c r="E614">
        <v>52462</v>
      </c>
      <c r="F614">
        <v>402</v>
      </c>
      <c r="G614" t="s">
        <v>3459</v>
      </c>
      <c r="H614" t="s">
        <v>5021</v>
      </c>
      <c r="I614">
        <v>2297</v>
      </c>
      <c r="J614" t="s">
        <v>3438</v>
      </c>
      <c r="K614" t="s">
        <v>18422</v>
      </c>
      <c r="L614" t="s">
        <v>8784</v>
      </c>
      <c r="M614" t="s">
        <v>8786</v>
      </c>
      <c r="N614">
        <v>8923140</v>
      </c>
      <c r="O614" t="s">
        <v>8788</v>
      </c>
      <c r="P614" t="s">
        <v>8788</v>
      </c>
      <c r="Q614" t="s">
        <v>6605</v>
      </c>
      <c r="R614">
        <v>10747814</v>
      </c>
      <c r="S614">
        <v>10747814</v>
      </c>
      <c r="T614" t="s">
        <v>3447</v>
      </c>
    </row>
    <row r="615" spans="1:20" x14ac:dyDescent="0.2">
      <c r="A615" t="s">
        <v>1904</v>
      </c>
      <c r="B615" t="s">
        <v>8792</v>
      </c>
      <c r="C615" t="s">
        <v>18423</v>
      </c>
      <c r="D615">
        <v>165342</v>
      </c>
      <c r="E615">
        <v>52610</v>
      </c>
      <c r="F615">
        <v>402</v>
      </c>
      <c r="G615" t="s">
        <v>3459</v>
      </c>
      <c r="H615" t="s">
        <v>5021</v>
      </c>
      <c r="I615">
        <v>2303</v>
      </c>
      <c r="J615" t="s">
        <v>3438</v>
      </c>
      <c r="K615" t="s">
        <v>18424</v>
      </c>
      <c r="L615" t="s">
        <v>8791</v>
      </c>
      <c r="M615" t="s">
        <v>8793</v>
      </c>
      <c r="N615">
        <v>4946007</v>
      </c>
      <c r="O615" t="s">
        <v>8795</v>
      </c>
      <c r="P615" t="s">
        <v>8795</v>
      </c>
      <c r="R615">
        <v>6441886</v>
      </c>
      <c r="S615">
        <v>6441886</v>
      </c>
      <c r="T615" t="s">
        <v>3447</v>
      </c>
    </row>
    <row r="616" spans="1:20" x14ac:dyDescent="0.2">
      <c r="A616" t="s">
        <v>1910</v>
      </c>
      <c r="B616" t="s">
        <v>8799</v>
      </c>
      <c r="C616" t="s">
        <v>18425</v>
      </c>
      <c r="D616">
        <v>165343</v>
      </c>
      <c r="E616">
        <v>52611</v>
      </c>
      <c r="F616">
        <v>402</v>
      </c>
      <c r="G616" t="s">
        <v>3459</v>
      </c>
      <c r="H616" t="s">
        <v>5021</v>
      </c>
      <c r="I616">
        <v>2339</v>
      </c>
      <c r="J616" t="s">
        <v>3438</v>
      </c>
      <c r="L616" t="s">
        <v>8798</v>
      </c>
      <c r="M616" t="s">
        <v>8800</v>
      </c>
      <c r="O616" t="s">
        <v>8801</v>
      </c>
      <c r="P616" t="s">
        <v>8801</v>
      </c>
      <c r="R616">
        <v>24778876</v>
      </c>
      <c r="S616">
        <v>24778876</v>
      </c>
      <c r="T616" t="s">
        <v>3447</v>
      </c>
    </row>
    <row r="617" spans="1:20" x14ac:dyDescent="0.2">
      <c r="A617" t="s">
        <v>1906</v>
      </c>
      <c r="B617" t="s">
        <v>8806</v>
      </c>
      <c r="C617" t="s">
        <v>18426</v>
      </c>
      <c r="D617">
        <v>165346</v>
      </c>
      <c r="E617">
        <v>52614</v>
      </c>
      <c r="F617">
        <v>402</v>
      </c>
      <c r="G617" t="s">
        <v>3459</v>
      </c>
      <c r="H617" t="s">
        <v>8803</v>
      </c>
      <c r="I617">
        <v>2809</v>
      </c>
      <c r="J617" t="s">
        <v>3438</v>
      </c>
      <c r="K617" t="s">
        <v>18427</v>
      </c>
      <c r="L617" t="s">
        <v>8805</v>
      </c>
      <c r="M617" t="s">
        <v>8807</v>
      </c>
      <c r="N617">
        <v>24769260</v>
      </c>
      <c r="O617" t="s">
        <v>8809</v>
      </c>
      <c r="P617" t="s">
        <v>8809</v>
      </c>
      <c r="R617">
        <v>42607457</v>
      </c>
      <c r="S617">
        <v>42607457</v>
      </c>
      <c r="T617" t="s">
        <v>3447</v>
      </c>
    </row>
    <row r="618" spans="1:20" x14ac:dyDescent="0.2">
      <c r="A618" t="s">
        <v>1912</v>
      </c>
      <c r="B618" t="s">
        <v>8813</v>
      </c>
      <c r="C618" t="s">
        <v>18428</v>
      </c>
      <c r="D618">
        <v>165347</v>
      </c>
      <c r="E618">
        <v>52615</v>
      </c>
      <c r="F618">
        <v>402</v>
      </c>
      <c r="G618" t="s">
        <v>3459</v>
      </c>
      <c r="H618" t="s">
        <v>814</v>
      </c>
      <c r="I618">
        <v>3118</v>
      </c>
      <c r="J618" t="s">
        <v>3438</v>
      </c>
      <c r="L618" t="s">
        <v>8812</v>
      </c>
      <c r="M618" t="s">
        <v>8814</v>
      </c>
      <c r="P618">
        <v>0</v>
      </c>
      <c r="R618">
        <v>46891763</v>
      </c>
      <c r="S618">
        <v>46891763</v>
      </c>
      <c r="T618" t="s">
        <v>3447</v>
      </c>
    </row>
    <row r="619" spans="1:20" x14ac:dyDescent="0.2">
      <c r="A619" t="s">
        <v>1900</v>
      </c>
      <c r="B619" t="s">
        <v>8819</v>
      </c>
      <c r="C619" t="s">
        <v>18429</v>
      </c>
      <c r="D619">
        <v>165348</v>
      </c>
      <c r="E619">
        <v>52616</v>
      </c>
      <c r="F619">
        <v>402</v>
      </c>
      <c r="G619" t="s">
        <v>3459</v>
      </c>
      <c r="H619" t="s">
        <v>5021</v>
      </c>
      <c r="I619">
        <v>2281</v>
      </c>
      <c r="J619" t="s">
        <v>3438</v>
      </c>
      <c r="K619" t="s">
        <v>18430</v>
      </c>
      <c r="L619" t="s">
        <v>8818</v>
      </c>
      <c r="M619" t="s">
        <v>8820</v>
      </c>
      <c r="N619">
        <v>24766643</v>
      </c>
      <c r="O619" t="s">
        <v>8822</v>
      </c>
      <c r="P619" t="s">
        <v>8822</v>
      </c>
      <c r="Q619" t="s">
        <v>8823</v>
      </c>
      <c r="R619">
        <v>24778686</v>
      </c>
      <c r="S619">
        <v>24778686</v>
      </c>
      <c r="T619" t="s">
        <v>3447</v>
      </c>
    </row>
    <row r="620" spans="1:20" x14ac:dyDescent="0.2">
      <c r="A620" t="s">
        <v>1882</v>
      </c>
      <c r="B620" t="s">
        <v>8827</v>
      </c>
      <c r="C620" t="s">
        <v>18431</v>
      </c>
      <c r="D620">
        <v>164309</v>
      </c>
      <c r="E620">
        <v>52281</v>
      </c>
      <c r="F620">
        <v>305</v>
      </c>
      <c r="G620" t="s">
        <v>3436</v>
      </c>
      <c r="H620" t="s">
        <v>3793</v>
      </c>
      <c r="I620">
        <v>582</v>
      </c>
      <c r="J620" t="s">
        <v>3438</v>
      </c>
      <c r="L620" t="s">
        <v>8826</v>
      </c>
      <c r="O620" t="s">
        <v>8828</v>
      </c>
      <c r="P620" t="s">
        <v>8828</v>
      </c>
      <c r="Q620" t="s">
        <v>8829</v>
      </c>
      <c r="R620" s="5">
        <v>4408644277439</v>
      </c>
      <c r="S620" t="s">
        <v>18432</v>
      </c>
      <c r="T620" t="s">
        <v>3489</v>
      </c>
    </row>
    <row r="621" spans="1:20" x14ac:dyDescent="0.2">
      <c r="A621" t="s">
        <v>1902</v>
      </c>
      <c r="B621" t="s">
        <v>8839</v>
      </c>
      <c r="C621" t="s">
        <v>18433</v>
      </c>
      <c r="D621">
        <v>164313</v>
      </c>
      <c r="E621">
        <v>52285</v>
      </c>
      <c r="F621">
        <v>209</v>
      </c>
      <c r="G621" t="s">
        <v>3459</v>
      </c>
      <c r="H621" t="s">
        <v>4059</v>
      </c>
      <c r="I621">
        <v>1533</v>
      </c>
      <c r="J621" t="s">
        <v>3438</v>
      </c>
      <c r="L621" t="s">
        <v>8838</v>
      </c>
      <c r="O621" t="s">
        <v>8840</v>
      </c>
      <c r="P621" t="s">
        <v>8840</v>
      </c>
      <c r="Q621" t="s">
        <v>8841</v>
      </c>
      <c r="R621" s="5">
        <v>5.2827616375175196E+25</v>
      </c>
      <c r="S621" t="s">
        <v>18434</v>
      </c>
      <c r="T621" t="s">
        <v>3469</v>
      </c>
    </row>
    <row r="622" spans="1:20" x14ac:dyDescent="0.2">
      <c r="A622" t="s">
        <v>1890</v>
      </c>
      <c r="B622" t="s">
        <v>8858</v>
      </c>
      <c r="C622" t="s">
        <v>18435</v>
      </c>
      <c r="D622">
        <v>164555</v>
      </c>
      <c r="E622">
        <v>52431</v>
      </c>
      <c r="F622">
        <v>209</v>
      </c>
      <c r="G622" t="s">
        <v>3459</v>
      </c>
      <c r="H622" t="s">
        <v>5418</v>
      </c>
      <c r="I622">
        <v>2852</v>
      </c>
      <c r="J622" t="s">
        <v>3438</v>
      </c>
      <c r="L622" t="s">
        <v>8857</v>
      </c>
      <c r="P622">
        <v>0</v>
      </c>
      <c r="S622">
        <v>0</v>
      </c>
      <c r="T622" t="s">
        <v>3469</v>
      </c>
    </row>
    <row r="623" spans="1:20" x14ac:dyDescent="0.2">
      <c r="A623" t="s">
        <v>1888</v>
      </c>
      <c r="B623" t="s">
        <v>8863</v>
      </c>
      <c r="C623" t="s">
        <v>18436</v>
      </c>
      <c r="D623">
        <v>164558</v>
      </c>
      <c r="E623">
        <v>52434</v>
      </c>
      <c r="F623">
        <v>402</v>
      </c>
      <c r="G623" t="s">
        <v>3459</v>
      </c>
      <c r="H623" t="s">
        <v>8860</v>
      </c>
      <c r="I623">
        <v>3099</v>
      </c>
      <c r="J623" t="s">
        <v>3438</v>
      </c>
      <c r="K623" t="s">
        <v>18437</v>
      </c>
      <c r="L623" t="s">
        <v>8862</v>
      </c>
      <c r="N623">
        <v>8115586</v>
      </c>
      <c r="O623" t="s">
        <v>8865</v>
      </c>
      <c r="P623" t="s">
        <v>8865</v>
      </c>
      <c r="R623">
        <v>9939965</v>
      </c>
      <c r="S623">
        <v>9939965</v>
      </c>
      <c r="T623" t="s">
        <v>3447</v>
      </c>
    </row>
    <row r="624" spans="1:20" x14ac:dyDescent="0.2">
      <c r="A624" t="s">
        <v>1886</v>
      </c>
      <c r="B624" t="s">
        <v>8869</v>
      </c>
      <c r="C624" t="s">
        <v>18438</v>
      </c>
      <c r="D624">
        <v>164560</v>
      </c>
      <c r="E624">
        <v>52436</v>
      </c>
      <c r="F624">
        <v>402</v>
      </c>
      <c r="G624" t="s">
        <v>3459</v>
      </c>
      <c r="H624" t="s">
        <v>814</v>
      </c>
      <c r="I624">
        <v>3107</v>
      </c>
      <c r="J624" t="s">
        <v>3438</v>
      </c>
      <c r="L624" t="s">
        <v>8868</v>
      </c>
      <c r="O624" t="s">
        <v>8870</v>
      </c>
      <c r="P624" t="s">
        <v>8870</v>
      </c>
      <c r="S624">
        <v>0</v>
      </c>
      <c r="T624" t="s">
        <v>3447</v>
      </c>
    </row>
    <row r="625" spans="1:20" x14ac:dyDescent="0.2">
      <c r="A625" t="s">
        <v>1884</v>
      </c>
      <c r="B625" t="s">
        <v>8873</v>
      </c>
      <c r="C625" t="s">
        <v>18439</v>
      </c>
      <c r="D625">
        <v>164559</v>
      </c>
      <c r="E625">
        <v>52435</v>
      </c>
      <c r="F625">
        <v>402</v>
      </c>
      <c r="G625" t="s">
        <v>3459</v>
      </c>
      <c r="H625" t="s">
        <v>814</v>
      </c>
      <c r="I625">
        <v>3128</v>
      </c>
      <c r="J625" t="s">
        <v>3438</v>
      </c>
      <c r="L625" t="s">
        <v>8872</v>
      </c>
      <c r="P625">
        <v>0</v>
      </c>
      <c r="R625">
        <v>134757653</v>
      </c>
      <c r="S625">
        <v>134757653</v>
      </c>
      <c r="T625" t="s">
        <v>3447</v>
      </c>
    </row>
    <row r="626" spans="1:20" x14ac:dyDescent="0.2">
      <c r="A626" t="s">
        <v>1898</v>
      </c>
      <c r="B626" t="s">
        <v>8878</v>
      </c>
      <c r="C626" t="s">
        <v>18440</v>
      </c>
      <c r="D626">
        <v>164561</v>
      </c>
      <c r="E626">
        <v>52437</v>
      </c>
      <c r="F626">
        <v>402</v>
      </c>
      <c r="G626" t="s">
        <v>3459</v>
      </c>
      <c r="H626" t="s">
        <v>814</v>
      </c>
      <c r="I626">
        <v>3130</v>
      </c>
      <c r="J626" t="s">
        <v>3438</v>
      </c>
      <c r="L626" t="s">
        <v>8877</v>
      </c>
      <c r="P626">
        <v>0</v>
      </c>
      <c r="R626">
        <v>85336023</v>
      </c>
      <c r="S626">
        <v>85336023</v>
      </c>
      <c r="T626" t="s">
        <v>3447</v>
      </c>
    </row>
    <row r="627" spans="1:20" x14ac:dyDescent="0.2">
      <c r="A627" t="s">
        <v>1896</v>
      </c>
      <c r="B627" t="s">
        <v>8913</v>
      </c>
      <c r="C627" t="s">
        <v>18441</v>
      </c>
      <c r="D627">
        <v>165108</v>
      </c>
      <c r="E627">
        <v>52446</v>
      </c>
      <c r="F627">
        <v>402</v>
      </c>
      <c r="G627" t="s">
        <v>3459</v>
      </c>
      <c r="H627" t="s">
        <v>5006</v>
      </c>
      <c r="I627">
        <v>2429</v>
      </c>
      <c r="J627" t="s">
        <v>3438</v>
      </c>
      <c r="K627" t="s">
        <v>18442</v>
      </c>
      <c r="L627" t="s">
        <v>8912</v>
      </c>
      <c r="N627">
        <v>7825699</v>
      </c>
      <c r="O627" t="s">
        <v>8915</v>
      </c>
      <c r="P627" t="s">
        <v>8915</v>
      </c>
      <c r="R627">
        <v>9546749</v>
      </c>
      <c r="S627">
        <v>9546749</v>
      </c>
      <c r="T627" t="s">
        <v>3447</v>
      </c>
    </row>
    <row r="628" spans="1:20" x14ac:dyDescent="0.2">
      <c r="A628" t="s">
        <v>1908</v>
      </c>
      <c r="B628" t="s">
        <v>8919</v>
      </c>
      <c r="C628" t="s">
        <v>18443</v>
      </c>
      <c r="D628">
        <v>165110</v>
      </c>
      <c r="E628">
        <v>52447</v>
      </c>
      <c r="F628">
        <v>402</v>
      </c>
      <c r="G628" t="s">
        <v>3459</v>
      </c>
      <c r="H628" t="s">
        <v>5006</v>
      </c>
      <c r="I628">
        <v>2438</v>
      </c>
      <c r="J628" t="s">
        <v>3438</v>
      </c>
      <c r="K628" t="s">
        <v>18444</v>
      </c>
      <c r="L628" t="s">
        <v>8918</v>
      </c>
      <c r="N628">
        <v>4451158</v>
      </c>
      <c r="O628" t="s">
        <v>8921</v>
      </c>
      <c r="P628" t="s">
        <v>8921</v>
      </c>
      <c r="Q628" t="s">
        <v>8922</v>
      </c>
      <c r="R628">
        <v>5289133</v>
      </c>
      <c r="S628">
        <v>5289133</v>
      </c>
      <c r="T628" t="s">
        <v>3447</v>
      </c>
    </row>
    <row r="629" spans="1:20" x14ac:dyDescent="0.2">
      <c r="A629" t="s">
        <v>1892</v>
      </c>
      <c r="B629" t="s">
        <v>8926</v>
      </c>
      <c r="C629" t="s">
        <v>18445</v>
      </c>
      <c r="D629">
        <v>165115</v>
      </c>
      <c r="E629">
        <v>52452</v>
      </c>
      <c r="F629">
        <v>402</v>
      </c>
      <c r="G629" t="s">
        <v>3459</v>
      </c>
      <c r="H629" t="s">
        <v>5021</v>
      </c>
      <c r="I629">
        <v>2325</v>
      </c>
      <c r="J629" t="s">
        <v>3438</v>
      </c>
      <c r="L629" t="s">
        <v>8925</v>
      </c>
      <c r="O629" t="s">
        <v>8927</v>
      </c>
      <c r="P629" t="s">
        <v>8927</v>
      </c>
      <c r="R629">
        <v>6441487</v>
      </c>
      <c r="S629">
        <v>6441487</v>
      </c>
      <c r="T629" t="s">
        <v>3447</v>
      </c>
    </row>
    <row r="630" spans="1:20" x14ac:dyDescent="0.2">
      <c r="A630" t="s">
        <v>1894</v>
      </c>
      <c r="B630" t="s">
        <v>8931</v>
      </c>
      <c r="C630" t="s">
        <v>18446</v>
      </c>
      <c r="D630">
        <v>165143</v>
      </c>
      <c r="E630">
        <v>52470</v>
      </c>
      <c r="F630">
        <v>402</v>
      </c>
      <c r="G630" t="s">
        <v>3459</v>
      </c>
      <c r="H630" t="s">
        <v>5021</v>
      </c>
      <c r="I630">
        <v>2279</v>
      </c>
      <c r="J630" t="s">
        <v>3438</v>
      </c>
      <c r="L630" t="s">
        <v>8930</v>
      </c>
      <c r="O630" t="s">
        <v>8932</v>
      </c>
      <c r="P630" t="s">
        <v>8932</v>
      </c>
      <c r="R630">
        <v>6443788</v>
      </c>
      <c r="S630">
        <v>6443788</v>
      </c>
      <c r="T630" t="s">
        <v>3447</v>
      </c>
    </row>
    <row r="631" spans="1:20" x14ac:dyDescent="0.2">
      <c r="A631" t="s">
        <v>1920</v>
      </c>
      <c r="B631" t="s">
        <v>8936</v>
      </c>
      <c r="C631" t="s">
        <v>18447</v>
      </c>
      <c r="D631">
        <v>165119</v>
      </c>
      <c r="E631">
        <v>52454</v>
      </c>
      <c r="F631">
        <v>402</v>
      </c>
      <c r="G631" t="s">
        <v>3459</v>
      </c>
      <c r="H631" t="s">
        <v>5021</v>
      </c>
      <c r="I631">
        <v>2293</v>
      </c>
      <c r="J631" t="s">
        <v>3438</v>
      </c>
      <c r="L631" t="s">
        <v>8935</v>
      </c>
      <c r="P631">
        <v>0</v>
      </c>
      <c r="S631">
        <v>0</v>
      </c>
      <c r="T631" t="s">
        <v>3447</v>
      </c>
    </row>
    <row r="632" spans="1:20" x14ac:dyDescent="0.2">
      <c r="A632" t="s">
        <v>1926</v>
      </c>
      <c r="B632" t="s">
        <v>8939</v>
      </c>
      <c r="C632" t="s">
        <v>18448</v>
      </c>
      <c r="D632">
        <v>165131</v>
      </c>
      <c r="E632">
        <v>52464</v>
      </c>
      <c r="F632">
        <v>402</v>
      </c>
      <c r="G632" t="s">
        <v>3459</v>
      </c>
      <c r="H632" t="s">
        <v>5006</v>
      </c>
      <c r="I632">
        <v>2416</v>
      </c>
      <c r="J632" t="s">
        <v>3438</v>
      </c>
      <c r="K632" t="s">
        <v>18449</v>
      </c>
      <c r="L632" t="s">
        <v>8938</v>
      </c>
      <c r="N632">
        <v>7825750</v>
      </c>
      <c r="O632" t="s">
        <v>8941</v>
      </c>
      <c r="P632" t="s">
        <v>8941</v>
      </c>
      <c r="Q632" t="s">
        <v>8922</v>
      </c>
      <c r="R632">
        <v>9546800</v>
      </c>
      <c r="S632">
        <v>9546800</v>
      </c>
      <c r="T632" t="s">
        <v>3447</v>
      </c>
    </row>
    <row r="633" spans="1:20" x14ac:dyDescent="0.2">
      <c r="A633" t="s">
        <v>1944</v>
      </c>
      <c r="B633" t="s">
        <v>8945</v>
      </c>
      <c r="C633" t="s">
        <v>18450</v>
      </c>
      <c r="D633">
        <v>165133</v>
      </c>
      <c r="E633">
        <v>52465</v>
      </c>
      <c r="F633">
        <v>402</v>
      </c>
      <c r="G633" t="s">
        <v>3459</v>
      </c>
      <c r="H633" t="s">
        <v>5006</v>
      </c>
      <c r="I633">
        <v>2418</v>
      </c>
      <c r="J633" t="s">
        <v>3438</v>
      </c>
      <c r="K633" t="s">
        <v>18451</v>
      </c>
      <c r="L633" t="s">
        <v>8944</v>
      </c>
      <c r="N633">
        <v>7825749</v>
      </c>
      <c r="O633" t="s">
        <v>8947</v>
      </c>
      <c r="P633" t="s">
        <v>8947</v>
      </c>
      <c r="R633">
        <v>9546799</v>
      </c>
      <c r="S633">
        <v>9546799</v>
      </c>
      <c r="T633" t="s">
        <v>3447</v>
      </c>
    </row>
    <row r="634" spans="1:20" x14ac:dyDescent="0.2">
      <c r="A634" t="s">
        <v>1948</v>
      </c>
      <c r="B634" t="s">
        <v>8951</v>
      </c>
      <c r="C634" t="s">
        <v>18452</v>
      </c>
      <c r="D634">
        <v>165134</v>
      </c>
      <c r="E634">
        <v>52466</v>
      </c>
      <c r="F634">
        <v>402</v>
      </c>
      <c r="G634" t="s">
        <v>3459</v>
      </c>
      <c r="H634" t="s">
        <v>5006</v>
      </c>
      <c r="I634">
        <v>2442</v>
      </c>
      <c r="J634" t="s">
        <v>3438</v>
      </c>
      <c r="K634" t="s">
        <v>18453</v>
      </c>
      <c r="L634" t="s">
        <v>8950</v>
      </c>
      <c r="N634">
        <v>7825748</v>
      </c>
      <c r="O634" t="s">
        <v>8953</v>
      </c>
      <c r="P634" t="s">
        <v>8953</v>
      </c>
      <c r="R634">
        <v>9546798</v>
      </c>
      <c r="S634">
        <v>9546798</v>
      </c>
      <c r="T634" t="s">
        <v>3447</v>
      </c>
    </row>
    <row r="635" spans="1:20" x14ac:dyDescent="0.2">
      <c r="A635" t="s">
        <v>1942</v>
      </c>
      <c r="B635" t="s">
        <v>8957</v>
      </c>
      <c r="C635" t="s">
        <v>18454</v>
      </c>
      <c r="D635">
        <v>208085</v>
      </c>
      <c r="E635">
        <v>52467</v>
      </c>
      <c r="F635">
        <v>402</v>
      </c>
      <c r="G635" t="s">
        <v>3459</v>
      </c>
      <c r="H635" t="s">
        <v>5014</v>
      </c>
      <c r="I635">
        <v>2539</v>
      </c>
      <c r="J635" t="s">
        <v>3438</v>
      </c>
      <c r="K635" t="s">
        <v>18455</v>
      </c>
      <c r="L635" t="s">
        <v>8956</v>
      </c>
      <c r="N635">
        <v>24767674</v>
      </c>
      <c r="O635" t="s">
        <v>8959</v>
      </c>
      <c r="P635" t="s">
        <v>8959</v>
      </c>
      <c r="S635">
        <v>0</v>
      </c>
      <c r="T635" t="s">
        <v>3447</v>
      </c>
    </row>
    <row r="636" spans="1:20" x14ac:dyDescent="0.2">
      <c r="A636" t="s">
        <v>1952</v>
      </c>
      <c r="B636" t="s">
        <v>8962</v>
      </c>
      <c r="C636" t="s">
        <v>18456</v>
      </c>
      <c r="D636">
        <v>208084</v>
      </c>
      <c r="E636">
        <v>52468</v>
      </c>
      <c r="F636">
        <v>402</v>
      </c>
      <c r="G636" t="s">
        <v>3459</v>
      </c>
      <c r="H636" t="s">
        <v>5014</v>
      </c>
      <c r="I636">
        <v>2543</v>
      </c>
      <c r="J636" t="s">
        <v>3438</v>
      </c>
      <c r="K636" t="s">
        <v>18457</v>
      </c>
      <c r="L636" t="s">
        <v>8961</v>
      </c>
      <c r="N636">
        <v>24767694</v>
      </c>
      <c r="O636" t="s">
        <v>8964</v>
      </c>
      <c r="P636" t="s">
        <v>8964</v>
      </c>
      <c r="S636">
        <v>0</v>
      </c>
      <c r="T636" t="s">
        <v>3447</v>
      </c>
    </row>
    <row r="637" spans="1:20" x14ac:dyDescent="0.2">
      <c r="A637" t="s">
        <v>1950</v>
      </c>
      <c r="B637" t="s">
        <v>8967</v>
      </c>
      <c r="C637" t="s">
        <v>18458</v>
      </c>
      <c r="D637">
        <v>165151</v>
      </c>
      <c r="E637">
        <v>52473</v>
      </c>
      <c r="F637">
        <v>402</v>
      </c>
      <c r="G637" t="s">
        <v>3448</v>
      </c>
      <c r="H637" t="s">
        <v>4679</v>
      </c>
      <c r="I637">
        <v>4382</v>
      </c>
      <c r="J637" t="s">
        <v>3438</v>
      </c>
      <c r="L637" t="s">
        <v>8966</v>
      </c>
      <c r="O637" t="s">
        <v>8968</v>
      </c>
      <c r="P637" t="s">
        <v>8968</v>
      </c>
      <c r="Q637" t="s">
        <v>8969</v>
      </c>
      <c r="S637">
        <v>0</v>
      </c>
      <c r="T637" t="s">
        <v>3447</v>
      </c>
    </row>
    <row r="638" spans="1:20" x14ac:dyDescent="0.2">
      <c r="A638" t="s">
        <v>1934</v>
      </c>
      <c r="B638" t="s">
        <v>8972</v>
      </c>
      <c r="C638" t="s">
        <v>18459</v>
      </c>
      <c r="D638">
        <v>165154</v>
      </c>
      <c r="E638">
        <v>52475</v>
      </c>
      <c r="F638">
        <v>402</v>
      </c>
      <c r="G638" t="s">
        <v>3459</v>
      </c>
      <c r="H638" t="s">
        <v>8803</v>
      </c>
      <c r="I638">
        <v>2818</v>
      </c>
      <c r="J638" t="s">
        <v>3438</v>
      </c>
      <c r="K638" t="s">
        <v>18460</v>
      </c>
      <c r="L638" t="s">
        <v>8971</v>
      </c>
      <c r="N638">
        <v>7826008</v>
      </c>
      <c r="O638" t="s">
        <v>8974</v>
      </c>
      <c r="P638" t="s">
        <v>8974</v>
      </c>
      <c r="R638">
        <v>9547058</v>
      </c>
      <c r="S638">
        <v>9547058</v>
      </c>
      <c r="T638" t="s">
        <v>3447</v>
      </c>
    </row>
    <row r="639" spans="1:20" x14ac:dyDescent="0.2">
      <c r="A639" t="s">
        <v>1914</v>
      </c>
      <c r="B639" t="s">
        <v>8978</v>
      </c>
      <c r="C639" t="s">
        <v>18461</v>
      </c>
      <c r="D639">
        <v>165435</v>
      </c>
      <c r="E639">
        <v>52673</v>
      </c>
      <c r="F639">
        <v>402</v>
      </c>
      <c r="G639" t="s">
        <v>3459</v>
      </c>
      <c r="H639" t="s">
        <v>8803</v>
      </c>
      <c r="I639">
        <v>2804</v>
      </c>
      <c r="J639" t="s">
        <v>3438</v>
      </c>
      <c r="K639" t="s">
        <v>18462</v>
      </c>
      <c r="L639" t="s">
        <v>8977</v>
      </c>
      <c r="N639">
        <v>24769238</v>
      </c>
      <c r="O639" t="s">
        <v>8980</v>
      </c>
      <c r="P639" t="s">
        <v>8980</v>
      </c>
      <c r="R639">
        <v>52925126</v>
      </c>
      <c r="S639">
        <v>52925126</v>
      </c>
      <c r="T639" t="s">
        <v>3447</v>
      </c>
    </row>
    <row r="640" spans="1:20" x14ac:dyDescent="0.2">
      <c r="A640" t="s">
        <v>1940</v>
      </c>
      <c r="B640" t="s">
        <v>8984</v>
      </c>
      <c r="C640" t="s">
        <v>18463</v>
      </c>
      <c r="D640">
        <v>165158</v>
      </c>
      <c r="E640">
        <v>52477</v>
      </c>
      <c r="F640">
        <v>402</v>
      </c>
      <c r="G640" t="s">
        <v>3459</v>
      </c>
      <c r="H640" t="s">
        <v>8803</v>
      </c>
      <c r="I640">
        <v>2800</v>
      </c>
      <c r="J640" t="s">
        <v>3438</v>
      </c>
      <c r="K640" t="s">
        <v>18464</v>
      </c>
      <c r="L640" t="s">
        <v>8983</v>
      </c>
      <c r="N640">
        <v>24769228</v>
      </c>
      <c r="O640" t="s">
        <v>8986</v>
      </c>
      <c r="P640" t="s">
        <v>8986</v>
      </c>
      <c r="R640">
        <v>52925128</v>
      </c>
      <c r="S640">
        <v>52925128</v>
      </c>
      <c r="T640" t="s">
        <v>3447</v>
      </c>
    </row>
    <row r="641" spans="1:20" x14ac:dyDescent="0.2">
      <c r="A641" t="s">
        <v>1932</v>
      </c>
      <c r="B641" t="s">
        <v>8990</v>
      </c>
      <c r="C641" t="s">
        <v>18465</v>
      </c>
      <c r="D641">
        <v>165160</v>
      </c>
      <c r="E641">
        <v>52478</v>
      </c>
      <c r="F641">
        <v>402</v>
      </c>
      <c r="G641" t="s">
        <v>3459</v>
      </c>
      <c r="H641" t="s">
        <v>8803</v>
      </c>
      <c r="I641">
        <v>2806</v>
      </c>
      <c r="J641" t="s">
        <v>3438</v>
      </c>
      <c r="L641" t="s">
        <v>8989</v>
      </c>
      <c r="O641" t="s">
        <v>8991</v>
      </c>
      <c r="P641" t="s">
        <v>8991</v>
      </c>
      <c r="R641">
        <v>34779384</v>
      </c>
      <c r="S641">
        <v>34779384</v>
      </c>
      <c r="T641" t="s">
        <v>3447</v>
      </c>
    </row>
    <row r="642" spans="1:20" x14ac:dyDescent="0.2">
      <c r="A642" t="s">
        <v>1938</v>
      </c>
      <c r="B642" t="s">
        <v>8995</v>
      </c>
      <c r="C642" t="s">
        <v>18466</v>
      </c>
      <c r="D642">
        <v>165449</v>
      </c>
      <c r="E642">
        <v>52682</v>
      </c>
      <c r="F642">
        <v>402</v>
      </c>
      <c r="G642" t="s">
        <v>3459</v>
      </c>
      <c r="H642" t="s">
        <v>8803</v>
      </c>
      <c r="I642">
        <v>2814</v>
      </c>
      <c r="J642" t="s">
        <v>3438</v>
      </c>
      <c r="K642" t="s">
        <v>18467</v>
      </c>
      <c r="L642" t="s">
        <v>8994</v>
      </c>
      <c r="N642">
        <v>24767486</v>
      </c>
      <c r="O642" t="s">
        <v>8997</v>
      </c>
      <c r="P642" t="s">
        <v>8997</v>
      </c>
      <c r="R642">
        <v>24779386</v>
      </c>
      <c r="S642">
        <v>24779386</v>
      </c>
      <c r="T642" t="s">
        <v>3447</v>
      </c>
    </row>
    <row r="643" spans="1:20" x14ac:dyDescent="0.2">
      <c r="A643" t="s">
        <v>1922</v>
      </c>
      <c r="B643" t="s">
        <v>9001</v>
      </c>
      <c r="C643" t="s">
        <v>18468</v>
      </c>
      <c r="D643">
        <v>165459</v>
      </c>
      <c r="E643">
        <v>52689</v>
      </c>
      <c r="F643">
        <v>402</v>
      </c>
      <c r="G643" t="s">
        <v>3459</v>
      </c>
      <c r="H643" t="s">
        <v>8803</v>
      </c>
      <c r="I643">
        <v>2813</v>
      </c>
      <c r="J643" t="s">
        <v>3438</v>
      </c>
      <c r="K643" t="s">
        <v>18469</v>
      </c>
      <c r="L643" t="s">
        <v>9000</v>
      </c>
      <c r="N643">
        <v>24767495</v>
      </c>
      <c r="O643" t="s">
        <v>9003</v>
      </c>
      <c r="P643" t="s">
        <v>9003</v>
      </c>
      <c r="S643">
        <v>0</v>
      </c>
      <c r="T643" t="s">
        <v>3447</v>
      </c>
    </row>
    <row r="644" spans="1:20" x14ac:dyDescent="0.2">
      <c r="A644" t="s">
        <v>1924</v>
      </c>
      <c r="B644" t="s">
        <v>9006</v>
      </c>
      <c r="C644" t="s">
        <v>18470</v>
      </c>
      <c r="D644">
        <v>165187</v>
      </c>
      <c r="E644">
        <v>52495</v>
      </c>
      <c r="F644">
        <v>402</v>
      </c>
      <c r="G644" t="s">
        <v>3459</v>
      </c>
      <c r="H644" t="s">
        <v>814</v>
      </c>
      <c r="I644">
        <v>3124</v>
      </c>
      <c r="J644" t="s">
        <v>3438</v>
      </c>
      <c r="L644" t="s">
        <v>9005</v>
      </c>
      <c r="P644">
        <v>0</v>
      </c>
      <c r="S644">
        <v>0</v>
      </c>
      <c r="T644" t="s">
        <v>3447</v>
      </c>
    </row>
    <row r="645" spans="1:20" x14ac:dyDescent="0.2">
      <c r="A645" t="s">
        <v>1936</v>
      </c>
      <c r="B645" t="s">
        <v>9010</v>
      </c>
      <c r="C645" t="s">
        <v>18471</v>
      </c>
      <c r="D645">
        <v>210829</v>
      </c>
      <c r="E645">
        <v>57331</v>
      </c>
      <c r="F645">
        <v>402</v>
      </c>
      <c r="G645" t="s">
        <v>3459</v>
      </c>
      <c r="H645" t="s">
        <v>8860</v>
      </c>
      <c r="I645">
        <v>3100</v>
      </c>
      <c r="J645" t="s">
        <v>3438</v>
      </c>
      <c r="K645" t="s">
        <v>18472</v>
      </c>
      <c r="L645" t="s">
        <v>9009</v>
      </c>
      <c r="N645">
        <v>24846880</v>
      </c>
      <c r="O645" t="s">
        <v>9012</v>
      </c>
      <c r="P645" t="s">
        <v>9012</v>
      </c>
      <c r="R645">
        <v>44260132</v>
      </c>
      <c r="S645">
        <v>44260132</v>
      </c>
      <c r="T645" t="s">
        <v>3447</v>
      </c>
    </row>
    <row r="646" spans="1:20" x14ac:dyDescent="0.2">
      <c r="A646" t="s">
        <v>1930</v>
      </c>
      <c r="B646" t="s">
        <v>9016</v>
      </c>
      <c r="C646" t="s">
        <v>18473</v>
      </c>
      <c r="D646">
        <v>211136</v>
      </c>
      <c r="E646">
        <v>57473</v>
      </c>
      <c r="F646">
        <v>402</v>
      </c>
      <c r="G646" t="s">
        <v>3459</v>
      </c>
      <c r="H646" t="s">
        <v>8860</v>
      </c>
      <c r="I646">
        <v>3101</v>
      </c>
      <c r="J646" t="s">
        <v>3438</v>
      </c>
      <c r="L646" t="s">
        <v>9015</v>
      </c>
      <c r="N646">
        <v>24846878</v>
      </c>
      <c r="O646" t="s">
        <v>9018</v>
      </c>
      <c r="P646" t="s">
        <v>9018</v>
      </c>
      <c r="R646">
        <v>44260130</v>
      </c>
      <c r="S646">
        <v>44260130</v>
      </c>
      <c r="T646" t="s">
        <v>3447</v>
      </c>
    </row>
    <row r="647" spans="1:20" x14ac:dyDescent="0.2">
      <c r="A647" t="s">
        <v>1946</v>
      </c>
      <c r="B647" t="s">
        <v>9022</v>
      </c>
      <c r="C647" t="s">
        <v>18474</v>
      </c>
      <c r="D647">
        <v>165334</v>
      </c>
      <c r="E647">
        <v>52604</v>
      </c>
      <c r="F647">
        <v>402</v>
      </c>
      <c r="G647" t="s">
        <v>3459</v>
      </c>
      <c r="H647" t="s">
        <v>4463</v>
      </c>
      <c r="I647">
        <v>3009</v>
      </c>
      <c r="J647" t="s">
        <v>3438</v>
      </c>
      <c r="K647" t="s">
        <v>18475</v>
      </c>
      <c r="L647" t="s">
        <v>9021</v>
      </c>
      <c r="M647" t="s">
        <v>9023</v>
      </c>
      <c r="N647">
        <v>4446685</v>
      </c>
      <c r="O647" t="s">
        <v>9025</v>
      </c>
      <c r="P647" t="s">
        <v>9025</v>
      </c>
      <c r="R647">
        <v>5283572</v>
      </c>
      <c r="S647">
        <v>5283572</v>
      </c>
      <c r="T647" t="s">
        <v>3447</v>
      </c>
    </row>
    <row r="648" spans="1:20" x14ac:dyDescent="0.2">
      <c r="A648" t="s">
        <v>1928</v>
      </c>
      <c r="B648" t="s">
        <v>9030</v>
      </c>
      <c r="C648" t="s">
        <v>18476</v>
      </c>
      <c r="D648">
        <v>166340</v>
      </c>
      <c r="E648">
        <v>53010</v>
      </c>
      <c r="F648">
        <v>402</v>
      </c>
      <c r="G648" t="s">
        <v>3459</v>
      </c>
      <c r="H648" t="s">
        <v>9027</v>
      </c>
      <c r="I648">
        <v>3087</v>
      </c>
      <c r="J648" t="s">
        <v>3438</v>
      </c>
      <c r="L648" t="s">
        <v>9029</v>
      </c>
      <c r="M648" t="s">
        <v>9031</v>
      </c>
      <c r="P648">
        <v>0</v>
      </c>
      <c r="R648">
        <v>53477895</v>
      </c>
      <c r="S648">
        <v>53477895</v>
      </c>
      <c r="T648" t="s">
        <v>3447</v>
      </c>
    </row>
    <row r="649" spans="1:20" x14ac:dyDescent="0.2">
      <c r="A649" t="s">
        <v>1916</v>
      </c>
      <c r="B649" t="s">
        <v>9045</v>
      </c>
      <c r="C649" t="s">
        <v>18477</v>
      </c>
      <c r="D649">
        <v>210891</v>
      </c>
      <c r="E649">
        <v>57365</v>
      </c>
      <c r="F649">
        <v>402</v>
      </c>
      <c r="G649" t="s">
        <v>3459</v>
      </c>
      <c r="H649" t="s">
        <v>8860</v>
      </c>
      <c r="I649">
        <v>3098</v>
      </c>
      <c r="J649" t="s">
        <v>3438</v>
      </c>
      <c r="L649" t="s">
        <v>9044</v>
      </c>
      <c r="N649">
        <v>24846886</v>
      </c>
      <c r="O649" t="s">
        <v>9047</v>
      </c>
      <c r="P649" t="s">
        <v>9047</v>
      </c>
      <c r="R649">
        <v>44260138</v>
      </c>
      <c r="S649">
        <v>44260138</v>
      </c>
      <c r="T649" t="s">
        <v>3447</v>
      </c>
    </row>
    <row r="650" spans="1:20" x14ac:dyDescent="0.2">
      <c r="A650" t="s">
        <v>1918</v>
      </c>
      <c r="B650" t="s">
        <v>9051</v>
      </c>
      <c r="C650" t="s">
        <v>18478</v>
      </c>
      <c r="D650">
        <v>166012</v>
      </c>
      <c r="E650">
        <v>52914</v>
      </c>
      <c r="F650">
        <v>209</v>
      </c>
      <c r="G650" t="s">
        <v>3436</v>
      </c>
      <c r="H650" t="s">
        <v>3470</v>
      </c>
      <c r="I650">
        <v>320</v>
      </c>
      <c r="J650" t="s">
        <v>3438</v>
      </c>
      <c r="L650" t="s">
        <v>9050</v>
      </c>
      <c r="P650">
        <v>0</v>
      </c>
      <c r="S650">
        <v>129817528</v>
      </c>
      <c r="T650" t="s">
        <v>3469</v>
      </c>
    </row>
    <row r="651" spans="1:20" x14ac:dyDescent="0.2">
      <c r="A651" t="s">
        <v>1955</v>
      </c>
      <c r="B651" t="s">
        <v>9054</v>
      </c>
      <c r="C651" t="s">
        <v>18479</v>
      </c>
      <c r="D651">
        <v>166034</v>
      </c>
      <c r="E651">
        <v>52925</v>
      </c>
      <c r="F651">
        <v>209</v>
      </c>
      <c r="G651" t="s">
        <v>3853</v>
      </c>
      <c r="H651" t="s">
        <v>6422</v>
      </c>
      <c r="I651">
        <v>1186</v>
      </c>
      <c r="J651" t="s">
        <v>3438</v>
      </c>
      <c r="K651" t="s">
        <v>18480</v>
      </c>
      <c r="L651" t="s">
        <v>9053</v>
      </c>
      <c r="N651">
        <v>9754592</v>
      </c>
      <c r="O651" t="s">
        <v>9056</v>
      </c>
      <c r="P651" t="s">
        <v>9056</v>
      </c>
      <c r="R651">
        <v>11579826</v>
      </c>
      <c r="S651">
        <v>11579826</v>
      </c>
      <c r="T651" t="s">
        <v>3469</v>
      </c>
    </row>
    <row r="652" spans="1:20" x14ac:dyDescent="0.2">
      <c r="A652" t="s">
        <v>1977</v>
      </c>
      <c r="B652" t="s">
        <v>9060</v>
      </c>
      <c r="C652" t="s">
        <v>18481</v>
      </c>
      <c r="D652">
        <v>208075</v>
      </c>
      <c r="E652">
        <v>52669</v>
      </c>
      <c r="F652">
        <v>402</v>
      </c>
      <c r="G652" t="s">
        <v>3459</v>
      </c>
      <c r="H652" t="s">
        <v>5014</v>
      </c>
      <c r="I652">
        <v>2534</v>
      </c>
      <c r="J652" t="s">
        <v>3438</v>
      </c>
      <c r="L652" t="s">
        <v>9059</v>
      </c>
      <c r="N652">
        <v>24767668</v>
      </c>
      <c r="O652" t="s">
        <v>9062</v>
      </c>
      <c r="P652" t="s">
        <v>9062</v>
      </c>
      <c r="R652">
        <v>71296232</v>
      </c>
      <c r="S652">
        <v>71296232</v>
      </c>
      <c r="T652" t="s">
        <v>3447</v>
      </c>
    </row>
    <row r="653" spans="1:20" x14ac:dyDescent="0.2">
      <c r="A653" t="s">
        <v>1967</v>
      </c>
      <c r="B653" t="s">
        <v>9066</v>
      </c>
      <c r="C653" t="s">
        <v>18482</v>
      </c>
      <c r="D653">
        <v>165443</v>
      </c>
      <c r="E653">
        <v>52677</v>
      </c>
      <c r="F653">
        <v>402</v>
      </c>
      <c r="G653" t="s">
        <v>3459</v>
      </c>
      <c r="H653" t="s">
        <v>8803</v>
      </c>
      <c r="I653">
        <v>2801</v>
      </c>
      <c r="J653" t="s">
        <v>3438</v>
      </c>
      <c r="L653" t="s">
        <v>9065</v>
      </c>
      <c r="N653">
        <v>24769229</v>
      </c>
      <c r="O653" t="s">
        <v>9068</v>
      </c>
      <c r="P653" t="s">
        <v>9068</v>
      </c>
      <c r="R653">
        <v>52925127</v>
      </c>
      <c r="S653">
        <v>52925127</v>
      </c>
      <c r="T653" t="s">
        <v>3447</v>
      </c>
    </row>
    <row r="654" spans="1:20" x14ac:dyDescent="0.2">
      <c r="A654" t="s">
        <v>1981</v>
      </c>
      <c r="B654" t="s">
        <v>11414</v>
      </c>
      <c r="C654" t="s">
        <v>18483</v>
      </c>
      <c r="D654">
        <v>165457</v>
      </c>
      <c r="E654">
        <v>52687</v>
      </c>
      <c r="F654">
        <v>402</v>
      </c>
      <c r="G654" t="s">
        <v>3459</v>
      </c>
      <c r="H654" t="s">
        <v>5006</v>
      </c>
      <c r="I654">
        <v>2444</v>
      </c>
      <c r="J654" t="s">
        <v>3438</v>
      </c>
      <c r="L654" t="s">
        <v>18484</v>
      </c>
      <c r="N654">
        <v>7825703</v>
      </c>
      <c r="O654" t="s">
        <v>18485</v>
      </c>
      <c r="P654" t="s">
        <v>18485</v>
      </c>
      <c r="R654">
        <v>9546753</v>
      </c>
      <c r="S654">
        <v>9546753</v>
      </c>
      <c r="T654" t="s">
        <v>3447</v>
      </c>
    </row>
    <row r="655" spans="1:20" x14ac:dyDescent="0.2">
      <c r="A655" t="s">
        <v>1979</v>
      </c>
      <c r="B655" t="s">
        <v>9072</v>
      </c>
      <c r="C655" t="s">
        <v>18486</v>
      </c>
      <c r="D655">
        <v>165470</v>
      </c>
      <c r="E655">
        <v>52697</v>
      </c>
      <c r="F655">
        <v>402</v>
      </c>
      <c r="G655" t="s">
        <v>3459</v>
      </c>
      <c r="H655" t="s">
        <v>5021</v>
      </c>
      <c r="I655">
        <v>2358</v>
      </c>
      <c r="J655" t="s">
        <v>3438</v>
      </c>
      <c r="L655" t="s">
        <v>9071</v>
      </c>
      <c r="N655">
        <v>24766785</v>
      </c>
      <c r="O655" t="s">
        <v>9074</v>
      </c>
      <c r="P655" t="s">
        <v>9074</v>
      </c>
      <c r="R655">
        <v>24778955</v>
      </c>
      <c r="S655">
        <v>24778955</v>
      </c>
      <c r="T655" t="s">
        <v>3447</v>
      </c>
    </row>
    <row r="656" spans="1:20" x14ac:dyDescent="0.2">
      <c r="A656" t="s">
        <v>1963</v>
      </c>
      <c r="B656" t="s">
        <v>9078</v>
      </c>
      <c r="C656" t="s">
        <v>18487</v>
      </c>
      <c r="D656">
        <v>165488</v>
      </c>
      <c r="E656">
        <v>52710</v>
      </c>
      <c r="F656">
        <v>402</v>
      </c>
      <c r="G656" t="s">
        <v>3459</v>
      </c>
      <c r="H656" t="s">
        <v>5021</v>
      </c>
      <c r="I656">
        <v>2365</v>
      </c>
      <c r="J656" t="s">
        <v>3438</v>
      </c>
      <c r="L656" t="s">
        <v>9077</v>
      </c>
      <c r="N656">
        <v>24766809</v>
      </c>
      <c r="O656" t="s">
        <v>9080</v>
      </c>
      <c r="P656" t="s">
        <v>9080</v>
      </c>
      <c r="Q656" t="s">
        <v>6605</v>
      </c>
      <c r="R656">
        <v>24778979</v>
      </c>
      <c r="S656">
        <v>24778979</v>
      </c>
      <c r="T656" t="s">
        <v>3447</v>
      </c>
    </row>
    <row r="657" spans="1:20" x14ac:dyDescent="0.2">
      <c r="A657" t="s">
        <v>1973</v>
      </c>
      <c r="B657" t="s">
        <v>9084</v>
      </c>
      <c r="C657" t="s">
        <v>18488</v>
      </c>
      <c r="D657">
        <v>166625</v>
      </c>
      <c r="E657">
        <v>53195</v>
      </c>
      <c r="F657">
        <v>402</v>
      </c>
      <c r="G657" t="s">
        <v>3459</v>
      </c>
      <c r="H657" t="s">
        <v>5021</v>
      </c>
      <c r="I657">
        <v>2266</v>
      </c>
      <c r="J657" t="s">
        <v>3438</v>
      </c>
      <c r="L657" t="s">
        <v>9083</v>
      </c>
      <c r="N657">
        <v>24766559</v>
      </c>
      <c r="O657" t="s">
        <v>9086</v>
      </c>
      <c r="P657" t="s">
        <v>9086</v>
      </c>
      <c r="R657">
        <v>24778634</v>
      </c>
      <c r="S657">
        <v>24778634</v>
      </c>
      <c r="T657" t="s">
        <v>3447</v>
      </c>
    </row>
    <row r="658" spans="1:20" x14ac:dyDescent="0.2">
      <c r="A658" t="s">
        <v>1957</v>
      </c>
      <c r="B658" t="s">
        <v>9090</v>
      </c>
      <c r="C658" t="s">
        <v>18489</v>
      </c>
      <c r="D658">
        <v>165492</v>
      </c>
      <c r="E658">
        <v>52713</v>
      </c>
      <c r="F658">
        <v>402</v>
      </c>
      <c r="G658" t="s">
        <v>3459</v>
      </c>
      <c r="H658" t="s">
        <v>8803</v>
      </c>
      <c r="I658">
        <v>2803</v>
      </c>
      <c r="J658" t="s">
        <v>3438</v>
      </c>
      <c r="L658" t="s">
        <v>9089</v>
      </c>
      <c r="N658">
        <v>24767482</v>
      </c>
      <c r="O658" t="s">
        <v>9092</v>
      </c>
      <c r="P658" t="s">
        <v>9092</v>
      </c>
      <c r="R658">
        <v>52923882</v>
      </c>
      <c r="S658">
        <v>52923882</v>
      </c>
      <c r="T658" t="s">
        <v>3447</v>
      </c>
    </row>
    <row r="659" spans="1:20" x14ac:dyDescent="0.2">
      <c r="A659" t="s">
        <v>1983</v>
      </c>
      <c r="B659" t="s">
        <v>9096</v>
      </c>
      <c r="C659" t="s">
        <v>18490</v>
      </c>
      <c r="D659">
        <v>165495</v>
      </c>
      <c r="E659">
        <v>52716</v>
      </c>
      <c r="F659">
        <v>402</v>
      </c>
      <c r="G659" t="s">
        <v>3459</v>
      </c>
      <c r="H659" t="s">
        <v>8803</v>
      </c>
      <c r="I659">
        <v>2802</v>
      </c>
      <c r="J659" t="s">
        <v>3438</v>
      </c>
      <c r="L659" t="s">
        <v>9095</v>
      </c>
      <c r="N659">
        <v>9322076</v>
      </c>
      <c r="O659" t="s">
        <v>9098</v>
      </c>
      <c r="P659" t="s">
        <v>9098</v>
      </c>
      <c r="R659">
        <v>11146967</v>
      </c>
      <c r="S659">
        <v>11146967</v>
      </c>
      <c r="T659" t="s">
        <v>3447</v>
      </c>
    </row>
    <row r="660" spans="1:20" x14ac:dyDescent="0.2">
      <c r="A660" t="s">
        <v>1971</v>
      </c>
      <c r="B660" t="s">
        <v>11489</v>
      </c>
      <c r="C660" t="s">
        <v>18491</v>
      </c>
      <c r="D660">
        <v>210892</v>
      </c>
      <c r="E660">
        <v>52726</v>
      </c>
      <c r="F660">
        <v>402</v>
      </c>
      <c r="G660" t="s">
        <v>3459</v>
      </c>
      <c r="H660" t="s">
        <v>5014</v>
      </c>
      <c r="I660">
        <v>2542</v>
      </c>
      <c r="J660" t="s">
        <v>3438</v>
      </c>
      <c r="L660" t="s">
        <v>18492</v>
      </c>
      <c r="P660">
        <v>0</v>
      </c>
      <c r="S660">
        <v>0</v>
      </c>
      <c r="T660" t="s">
        <v>3447</v>
      </c>
    </row>
    <row r="661" spans="1:20" x14ac:dyDescent="0.2">
      <c r="A661" t="s">
        <v>19114</v>
      </c>
      <c r="B661" t="s">
        <v>18493</v>
      </c>
      <c r="C661" t="s">
        <v>18494</v>
      </c>
      <c r="D661">
        <v>166599</v>
      </c>
      <c r="E661">
        <v>53174</v>
      </c>
      <c r="F661">
        <v>402</v>
      </c>
      <c r="G661" t="s">
        <v>3459</v>
      </c>
      <c r="H661" t="s">
        <v>5006</v>
      </c>
      <c r="I661">
        <v>2452</v>
      </c>
      <c r="J661" t="s">
        <v>3438</v>
      </c>
      <c r="L661" t="s">
        <v>18495</v>
      </c>
      <c r="N661">
        <v>7825762</v>
      </c>
      <c r="O661" t="s">
        <v>18496</v>
      </c>
      <c r="P661" t="s">
        <v>18496</v>
      </c>
      <c r="R661">
        <v>9546812</v>
      </c>
      <c r="S661">
        <v>9546812</v>
      </c>
      <c r="T661" t="s">
        <v>3447</v>
      </c>
    </row>
    <row r="662" spans="1:20" x14ac:dyDescent="0.2">
      <c r="A662" t="s">
        <v>1975</v>
      </c>
      <c r="B662" t="s">
        <v>9102</v>
      </c>
      <c r="C662" t="s">
        <v>18497</v>
      </c>
      <c r="D662">
        <v>210837</v>
      </c>
      <c r="E662">
        <v>55041</v>
      </c>
      <c r="F662">
        <v>402</v>
      </c>
      <c r="G662" t="s">
        <v>3459</v>
      </c>
      <c r="H662" t="s">
        <v>5006</v>
      </c>
      <c r="I662">
        <v>2447</v>
      </c>
      <c r="J662" t="s">
        <v>3438</v>
      </c>
      <c r="L662" t="s">
        <v>9101</v>
      </c>
      <c r="N662">
        <v>24768534</v>
      </c>
      <c r="O662" t="s">
        <v>9104</v>
      </c>
      <c r="P662" t="s">
        <v>9104</v>
      </c>
      <c r="R662">
        <v>348281223</v>
      </c>
      <c r="S662">
        <v>348281223</v>
      </c>
      <c r="T662" t="s">
        <v>3447</v>
      </c>
    </row>
    <row r="663" spans="1:20" x14ac:dyDescent="0.2">
      <c r="A663" t="s">
        <v>1969</v>
      </c>
      <c r="B663" t="s">
        <v>9120</v>
      </c>
      <c r="C663" t="s">
        <v>18498</v>
      </c>
      <c r="D663">
        <v>165539</v>
      </c>
      <c r="E663">
        <v>52748</v>
      </c>
      <c r="F663">
        <v>402</v>
      </c>
      <c r="G663" t="s">
        <v>3459</v>
      </c>
      <c r="H663" t="s">
        <v>8803</v>
      </c>
      <c r="I663">
        <v>2810</v>
      </c>
      <c r="J663" t="s">
        <v>3438</v>
      </c>
      <c r="L663" t="s">
        <v>9119</v>
      </c>
      <c r="N663">
        <v>24769261</v>
      </c>
      <c r="O663" t="s">
        <v>9122</v>
      </c>
      <c r="P663" t="s">
        <v>9122</v>
      </c>
      <c r="S663">
        <v>0</v>
      </c>
      <c r="T663" t="s">
        <v>3447</v>
      </c>
    </row>
    <row r="664" spans="1:20" x14ac:dyDescent="0.2">
      <c r="A664" t="s">
        <v>1965</v>
      </c>
      <c r="B664" t="s">
        <v>9125</v>
      </c>
      <c r="C664" t="s">
        <v>18499</v>
      </c>
      <c r="D664">
        <v>207774</v>
      </c>
      <c r="E664">
        <v>54885</v>
      </c>
      <c r="F664">
        <v>209</v>
      </c>
      <c r="G664" t="s">
        <v>3459</v>
      </c>
      <c r="H664" t="s">
        <v>5441</v>
      </c>
      <c r="I664">
        <v>2715</v>
      </c>
      <c r="J664" t="s">
        <v>3438</v>
      </c>
      <c r="L664" t="s">
        <v>9124</v>
      </c>
      <c r="P664">
        <v>0</v>
      </c>
      <c r="S664">
        <v>0</v>
      </c>
      <c r="T664" t="s">
        <v>3469</v>
      </c>
    </row>
    <row r="665" spans="1:20" x14ac:dyDescent="0.2">
      <c r="A665" t="s">
        <v>1961</v>
      </c>
      <c r="B665" t="s">
        <v>9129</v>
      </c>
      <c r="C665" t="s">
        <v>18500</v>
      </c>
      <c r="D665">
        <v>179281</v>
      </c>
      <c r="E665">
        <v>53231</v>
      </c>
      <c r="F665">
        <v>400</v>
      </c>
      <c r="G665" t="s">
        <v>3863</v>
      </c>
      <c r="H665" t="s">
        <v>5632</v>
      </c>
      <c r="I665">
        <v>6239</v>
      </c>
      <c r="J665" t="s">
        <v>3438</v>
      </c>
      <c r="K665" t="s">
        <v>18501</v>
      </c>
      <c r="L665" t="s">
        <v>9128</v>
      </c>
      <c r="M665" t="s">
        <v>9130</v>
      </c>
      <c r="N665">
        <v>84120</v>
      </c>
      <c r="P665" t="s">
        <v>9132</v>
      </c>
      <c r="R665">
        <v>93176</v>
      </c>
      <c r="S665">
        <v>93176</v>
      </c>
      <c r="T665" t="s">
        <v>3458</v>
      </c>
    </row>
    <row r="666" spans="1:20" x14ac:dyDescent="0.2">
      <c r="A666" t="s">
        <v>1959</v>
      </c>
      <c r="B666" t="s">
        <v>9137</v>
      </c>
      <c r="C666" t="s">
        <v>18502</v>
      </c>
      <c r="D666">
        <v>166270</v>
      </c>
      <c r="E666">
        <v>52944</v>
      </c>
      <c r="F666">
        <v>402</v>
      </c>
      <c r="G666" t="s">
        <v>3459</v>
      </c>
      <c r="H666" t="s">
        <v>9134</v>
      </c>
      <c r="I666">
        <v>1943</v>
      </c>
      <c r="J666" t="s">
        <v>3438</v>
      </c>
      <c r="L666" t="s">
        <v>9136</v>
      </c>
      <c r="N666">
        <v>133731</v>
      </c>
      <c r="O666" t="s">
        <v>9139</v>
      </c>
      <c r="P666" t="s">
        <v>9139</v>
      </c>
      <c r="R666">
        <v>151731</v>
      </c>
      <c r="S666">
        <v>151731</v>
      </c>
      <c r="T666" t="s">
        <v>3447</v>
      </c>
    </row>
    <row r="667" spans="1:20" x14ac:dyDescent="0.2">
      <c r="A667" t="s">
        <v>19115</v>
      </c>
      <c r="B667" t="s">
        <v>18503</v>
      </c>
      <c r="C667" t="s">
        <v>18504</v>
      </c>
      <c r="D667">
        <v>179277</v>
      </c>
      <c r="E667">
        <v>53229</v>
      </c>
      <c r="F667">
        <v>400</v>
      </c>
      <c r="G667" t="s">
        <v>3436</v>
      </c>
      <c r="H667" t="s">
        <v>3882</v>
      </c>
      <c r="I667">
        <v>16</v>
      </c>
      <c r="J667" t="s">
        <v>3438</v>
      </c>
      <c r="K667" t="s">
        <v>18505</v>
      </c>
      <c r="L667" t="s">
        <v>18506</v>
      </c>
      <c r="N667">
        <v>85112</v>
      </c>
      <c r="P667">
        <v>0</v>
      </c>
      <c r="Q667" t="s">
        <v>18507</v>
      </c>
      <c r="R667">
        <v>94309</v>
      </c>
      <c r="S667">
        <v>94309</v>
      </c>
      <c r="T667" t="s">
        <v>3458</v>
      </c>
    </row>
    <row r="668" spans="1:20" x14ac:dyDescent="0.2">
      <c r="A668" t="s">
        <v>1999</v>
      </c>
      <c r="B668" t="s">
        <v>9158</v>
      </c>
      <c r="C668" t="s">
        <v>18508</v>
      </c>
      <c r="D668">
        <v>166130</v>
      </c>
      <c r="E668">
        <v>52977</v>
      </c>
      <c r="F668">
        <v>209</v>
      </c>
      <c r="G668" t="s">
        <v>3459</v>
      </c>
      <c r="H668" t="s">
        <v>3516</v>
      </c>
      <c r="I668">
        <v>3475</v>
      </c>
      <c r="J668" t="s">
        <v>3438</v>
      </c>
      <c r="L668" t="s">
        <v>9157</v>
      </c>
      <c r="P668">
        <v>0</v>
      </c>
      <c r="R668">
        <v>44263357</v>
      </c>
      <c r="S668">
        <v>44263357</v>
      </c>
      <c r="T668" t="s">
        <v>3469</v>
      </c>
    </row>
    <row r="669" spans="1:20" x14ac:dyDescent="0.2">
      <c r="A669" t="s">
        <v>3079</v>
      </c>
      <c r="B669" t="s">
        <v>9162</v>
      </c>
      <c r="C669" t="s">
        <v>18509</v>
      </c>
      <c r="D669">
        <v>166140</v>
      </c>
      <c r="E669">
        <v>52983</v>
      </c>
      <c r="F669">
        <v>209</v>
      </c>
      <c r="G669" t="s">
        <v>3459</v>
      </c>
      <c r="H669" t="s">
        <v>3516</v>
      </c>
      <c r="I669">
        <v>3472</v>
      </c>
      <c r="J669" t="s">
        <v>3438</v>
      </c>
      <c r="L669" t="s">
        <v>9161</v>
      </c>
      <c r="O669" t="s">
        <v>9163</v>
      </c>
      <c r="P669" t="s">
        <v>9163</v>
      </c>
      <c r="R669">
        <v>44263370</v>
      </c>
      <c r="S669">
        <v>44263370</v>
      </c>
      <c r="T669" t="s">
        <v>3469</v>
      </c>
    </row>
    <row r="670" spans="1:20" x14ac:dyDescent="0.2">
      <c r="A670" t="s">
        <v>1992</v>
      </c>
      <c r="B670" t="s">
        <v>9166</v>
      </c>
      <c r="C670" t="s">
        <v>18510</v>
      </c>
      <c r="D670">
        <v>166220</v>
      </c>
      <c r="E670">
        <v>52984</v>
      </c>
      <c r="F670">
        <v>400</v>
      </c>
      <c r="G670" t="s">
        <v>3459</v>
      </c>
      <c r="H670" t="s">
        <v>7998</v>
      </c>
      <c r="I670">
        <v>1920</v>
      </c>
      <c r="J670" t="s">
        <v>3438</v>
      </c>
      <c r="L670" t="s">
        <v>9165</v>
      </c>
      <c r="O670" t="s">
        <v>8002</v>
      </c>
      <c r="P670" t="s">
        <v>8002</v>
      </c>
      <c r="R670">
        <v>71464477</v>
      </c>
      <c r="S670">
        <v>71464477</v>
      </c>
      <c r="T670" t="s">
        <v>3458</v>
      </c>
    </row>
    <row r="671" spans="1:20" x14ac:dyDescent="0.2">
      <c r="A671" t="s">
        <v>1987</v>
      </c>
      <c r="B671" t="s">
        <v>9170</v>
      </c>
      <c r="C671" t="s">
        <v>18511</v>
      </c>
      <c r="D671">
        <v>166346</v>
      </c>
      <c r="E671">
        <v>53013</v>
      </c>
      <c r="F671">
        <v>402</v>
      </c>
      <c r="G671" t="s">
        <v>3459</v>
      </c>
      <c r="H671" t="s">
        <v>7081</v>
      </c>
      <c r="I671">
        <v>3057</v>
      </c>
      <c r="J671" t="s">
        <v>3438</v>
      </c>
      <c r="L671" t="s">
        <v>9169</v>
      </c>
      <c r="P671">
        <v>0</v>
      </c>
      <c r="S671">
        <v>0</v>
      </c>
      <c r="T671" t="s">
        <v>3447</v>
      </c>
    </row>
    <row r="672" spans="1:20" x14ac:dyDescent="0.2">
      <c r="A672" t="s">
        <v>19116</v>
      </c>
      <c r="B672" t="s">
        <v>18512</v>
      </c>
      <c r="C672" t="s">
        <v>18513</v>
      </c>
      <c r="D672">
        <v>166248</v>
      </c>
      <c r="E672">
        <v>53031</v>
      </c>
      <c r="F672">
        <v>400</v>
      </c>
      <c r="G672" t="s">
        <v>3436</v>
      </c>
      <c r="H672" t="s">
        <v>3498</v>
      </c>
      <c r="I672">
        <v>411</v>
      </c>
      <c r="J672" t="s">
        <v>3438</v>
      </c>
      <c r="L672" t="s">
        <v>18514</v>
      </c>
      <c r="P672">
        <v>0</v>
      </c>
      <c r="S672">
        <v>0</v>
      </c>
      <c r="T672" t="s">
        <v>3458</v>
      </c>
    </row>
    <row r="673" spans="1:20" x14ac:dyDescent="0.2">
      <c r="A673" t="s">
        <v>19117</v>
      </c>
      <c r="B673" t="s">
        <v>18515</v>
      </c>
      <c r="C673" t="s">
        <v>18516</v>
      </c>
      <c r="D673">
        <v>179153</v>
      </c>
      <c r="E673">
        <v>53243</v>
      </c>
      <c r="F673">
        <v>209</v>
      </c>
      <c r="G673" t="s">
        <v>3436</v>
      </c>
      <c r="H673" t="s">
        <v>3687</v>
      </c>
      <c r="I673">
        <v>237</v>
      </c>
      <c r="J673" t="s">
        <v>3438</v>
      </c>
      <c r="L673" t="s">
        <v>18517</v>
      </c>
      <c r="P673">
        <v>0</v>
      </c>
      <c r="R673">
        <v>75124209</v>
      </c>
      <c r="S673">
        <v>75124209</v>
      </c>
      <c r="T673" t="s">
        <v>3469</v>
      </c>
    </row>
    <row r="674" spans="1:20" x14ac:dyDescent="0.2">
      <c r="A674" t="s">
        <v>19118</v>
      </c>
      <c r="B674" t="s">
        <v>18518</v>
      </c>
      <c r="C674" t="s">
        <v>18519</v>
      </c>
      <c r="D674">
        <v>207689</v>
      </c>
      <c r="E674">
        <v>54795</v>
      </c>
      <c r="F674">
        <v>209</v>
      </c>
      <c r="G674" t="s">
        <v>3863</v>
      </c>
      <c r="H674" t="s">
        <v>3864</v>
      </c>
      <c r="I674">
        <v>5159</v>
      </c>
      <c r="J674" t="s">
        <v>3438</v>
      </c>
      <c r="L674" t="s">
        <v>18520</v>
      </c>
      <c r="P674">
        <v>0</v>
      </c>
      <c r="R674">
        <v>59815364</v>
      </c>
      <c r="S674">
        <v>59815364</v>
      </c>
      <c r="T674" t="s">
        <v>3469</v>
      </c>
    </row>
    <row r="675" spans="1:20" x14ac:dyDescent="0.2">
      <c r="A675" t="s">
        <v>2003</v>
      </c>
      <c r="B675" t="s">
        <v>9173</v>
      </c>
      <c r="C675" t="s">
        <v>18521</v>
      </c>
      <c r="D675">
        <v>222872</v>
      </c>
      <c r="E675">
        <v>63590</v>
      </c>
      <c r="F675">
        <v>305</v>
      </c>
      <c r="G675" t="s">
        <v>3448</v>
      </c>
      <c r="H675" t="s">
        <v>5600</v>
      </c>
      <c r="I675">
        <v>4348</v>
      </c>
      <c r="J675" t="s">
        <v>3438</v>
      </c>
      <c r="K675" t="s">
        <v>18522</v>
      </c>
      <c r="L675" t="s">
        <v>9172</v>
      </c>
      <c r="N675">
        <v>77998</v>
      </c>
      <c r="O675" t="s">
        <v>9176</v>
      </c>
      <c r="P675" t="s">
        <v>9176</v>
      </c>
      <c r="R675">
        <v>54676864</v>
      </c>
      <c r="S675">
        <v>54676864</v>
      </c>
      <c r="T675" t="s">
        <v>3489</v>
      </c>
    </row>
    <row r="676" spans="1:20" x14ac:dyDescent="0.2">
      <c r="A676" t="s">
        <v>1985</v>
      </c>
      <c r="B676" t="s">
        <v>9180</v>
      </c>
      <c r="C676" t="s">
        <v>18523</v>
      </c>
      <c r="D676">
        <v>179345</v>
      </c>
      <c r="E676">
        <v>53260</v>
      </c>
      <c r="F676">
        <v>402</v>
      </c>
      <c r="G676" t="s">
        <v>3459</v>
      </c>
      <c r="H676" t="s">
        <v>9134</v>
      </c>
      <c r="I676">
        <v>1944</v>
      </c>
      <c r="J676" t="s">
        <v>3438</v>
      </c>
      <c r="L676" t="s">
        <v>9179</v>
      </c>
      <c r="O676" t="s">
        <v>9181</v>
      </c>
      <c r="P676" t="s">
        <v>9181</v>
      </c>
      <c r="R676">
        <v>59040790</v>
      </c>
      <c r="S676">
        <v>59040790</v>
      </c>
      <c r="T676" t="s">
        <v>3447</v>
      </c>
    </row>
    <row r="677" spans="1:20" x14ac:dyDescent="0.2">
      <c r="A677" t="s">
        <v>1989</v>
      </c>
      <c r="B677" t="s">
        <v>9185</v>
      </c>
      <c r="C677" t="s">
        <v>18524</v>
      </c>
      <c r="D677">
        <v>179347</v>
      </c>
      <c r="E677">
        <v>53261</v>
      </c>
      <c r="F677">
        <v>402</v>
      </c>
      <c r="G677" t="s">
        <v>3459</v>
      </c>
      <c r="H677" t="s">
        <v>9134</v>
      </c>
      <c r="I677">
        <v>1952</v>
      </c>
      <c r="J677" t="s">
        <v>3438</v>
      </c>
      <c r="L677" t="s">
        <v>9184</v>
      </c>
      <c r="O677" t="s">
        <v>9186</v>
      </c>
      <c r="P677" t="s">
        <v>9186</v>
      </c>
      <c r="R677">
        <v>122198216</v>
      </c>
      <c r="S677">
        <v>122198216</v>
      </c>
      <c r="T677" t="s">
        <v>3447</v>
      </c>
    </row>
    <row r="678" spans="1:20" x14ac:dyDescent="0.2">
      <c r="A678" t="s">
        <v>1997</v>
      </c>
      <c r="B678" t="s">
        <v>9190</v>
      </c>
      <c r="C678" t="s">
        <v>18525</v>
      </c>
      <c r="D678">
        <v>179351</v>
      </c>
      <c r="E678">
        <v>53263</v>
      </c>
      <c r="F678">
        <v>402</v>
      </c>
      <c r="G678" t="s">
        <v>3459</v>
      </c>
      <c r="H678" t="s">
        <v>9134</v>
      </c>
      <c r="I678">
        <v>1951</v>
      </c>
      <c r="J678" t="s">
        <v>3438</v>
      </c>
      <c r="L678" t="s">
        <v>9189</v>
      </c>
      <c r="P678" t="s">
        <v>9191</v>
      </c>
      <c r="S678">
        <v>9823108</v>
      </c>
      <c r="T678" t="s">
        <v>3447</v>
      </c>
    </row>
    <row r="679" spans="1:20" x14ac:dyDescent="0.2">
      <c r="A679" t="s">
        <v>1995</v>
      </c>
      <c r="B679" t="s">
        <v>9198</v>
      </c>
      <c r="C679" t="s">
        <v>18526</v>
      </c>
      <c r="D679">
        <v>179349</v>
      </c>
      <c r="E679">
        <v>53262</v>
      </c>
      <c r="F679">
        <v>402</v>
      </c>
      <c r="G679" t="s">
        <v>3459</v>
      </c>
      <c r="H679" t="s">
        <v>9134</v>
      </c>
      <c r="I679">
        <v>1947</v>
      </c>
      <c r="J679" t="s">
        <v>3438</v>
      </c>
      <c r="L679" t="s">
        <v>9197</v>
      </c>
      <c r="P679">
        <v>0</v>
      </c>
      <c r="S679">
        <v>0</v>
      </c>
      <c r="T679" t="s">
        <v>3447</v>
      </c>
    </row>
    <row r="680" spans="1:20" x14ac:dyDescent="0.2">
      <c r="A680" t="s">
        <v>2001</v>
      </c>
      <c r="B680" t="s">
        <v>9205</v>
      </c>
      <c r="C680" t="s">
        <v>18527</v>
      </c>
      <c r="D680">
        <v>179431</v>
      </c>
      <c r="E680">
        <v>53254</v>
      </c>
      <c r="F680">
        <v>305</v>
      </c>
      <c r="G680" t="s">
        <v>3863</v>
      </c>
      <c r="H680" t="s">
        <v>3864</v>
      </c>
      <c r="I680">
        <v>5203</v>
      </c>
      <c r="J680" t="s">
        <v>3438</v>
      </c>
      <c r="K680" t="s">
        <v>18528</v>
      </c>
      <c r="L680" t="s">
        <v>9204</v>
      </c>
      <c r="N680">
        <v>30777608</v>
      </c>
      <c r="O680" t="s">
        <v>9207</v>
      </c>
      <c r="P680" t="s">
        <v>9207</v>
      </c>
      <c r="R680">
        <v>21668705</v>
      </c>
      <c r="S680">
        <v>21668705</v>
      </c>
      <c r="T680" t="s">
        <v>3489</v>
      </c>
    </row>
    <row r="681" spans="1:20" x14ac:dyDescent="0.2">
      <c r="A681" t="s">
        <v>2005</v>
      </c>
      <c r="B681" t="s">
        <v>9211</v>
      </c>
      <c r="C681" t="s">
        <v>18529</v>
      </c>
      <c r="D681">
        <v>166602</v>
      </c>
      <c r="E681">
        <v>53176</v>
      </c>
      <c r="F681">
        <v>402</v>
      </c>
      <c r="G681" t="s">
        <v>3459</v>
      </c>
      <c r="H681" t="s">
        <v>5021</v>
      </c>
      <c r="I681">
        <v>2360</v>
      </c>
      <c r="J681" t="s">
        <v>3438</v>
      </c>
      <c r="L681" t="s">
        <v>9210</v>
      </c>
      <c r="N681">
        <v>24766802</v>
      </c>
      <c r="O681" t="s">
        <v>9213</v>
      </c>
      <c r="P681" t="s">
        <v>9213</v>
      </c>
      <c r="R681">
        <v>52922731</v>
      </c>
      <c r="S681">
        <v>52922731</v>
      </c>
      <c r="T681" t="s">
        <v>3447</v>
      </c>
    </row>
    <row r="682" spans="1:20" x14ac:dyDescent="0.2">
      <c r="A682" t="s">
        <v>2016</v>
      </c>
      <c r="B682" t="s">
        <v>9217</v>
      </c>
      <c r="C682" t="s">
        <v>18530</v>
      </c>
      <c r="D682">
        <v>166609</v>
      </c>
      <c r="E682">
        <v>53180</v>
      </c>
      <c r="F682">
        <v>402</v>
      </c>
      <c r="G682" t="s">
        <v>3459</v>
      </c>
      <c r="H682" t="s">
        <v>5021</v>
      </c>
      <c r="I682">
        <v>2310</v>
      </c>
      <c r="J682" t="s">
        <v>3438</v>
      </c>
      <c r="L682" t="s">
        <v>9216</v>
      </c>
      <c r="N682">
        <v>24766677</v>
      </c>
      <c r="O682" t="s">
        <v>9219</v>
      </c>
      <c r="P682" t="s">
        <v>9219</v>
      </c>
      <c r="R682">
        <v>52922452</v>
      </c>
      <c r="S682">
        <v>52922452</v>
      </c>
      <c r="T682" t="s">
        <v>3447</v>
      </c>
    </row>
    <row r="683" spans="1:20" x14ac:dyDescent="0.2">
      <c r="A683" t="s">
        <v>2020</v>
      </c>
      <c r="B683" t="s">
        <v>9230</v>
      </c>
      <c r="C683" t="s">
        <v>18531</v>
      </c>
      <c r="D683">
        <v>212703</v>
      </c>
      <c r="E683">
        <v>57652</v>
      </c>
      <c r="F683">
        <v>209</v>
      </c>
      <c r="G683" t="s">
        <v>3459</v>
      </c>
      <c r="H683" t="s">
        <v>3560</v>
      </c>
      <c r="I683">
        <v>1566</v>
      </c>
      <c r="J683" t="s">
        <v>3438</v>
      </c>
      <c r="K683" t="s">
        <v>18532</v>
      </c>
      <c r="L683" t="s">
        <v>9229</v>
      </c>
      <c r="M683" t="s">
        <v>9231</v>
      </c>
      <c r="N683">
        <v>13628094</v>
      </c>
      <c r="O683" t="s">
        <v>9233</v>
      </c>
      <c r="P683" t="s">
        <v>9233</v>
      </c>
      <c r="R683">
        <v>13932172</v>
      </c>
      <c r="S683">
        <v>13932172</v>
      </c>
      <c r="T683" t="s">
        <v>3469</v>
      </c>
    </row>
    <row r="684" spans="1:20" x14ac:dyDescent="0.2">
      <c r="A684" t="s">
        <v>2032</v>
      </c>
      <c r="B684" t="s">
        <v>9237</v>
      </c>
      <c r="C684" t="s">
        <v>18533</v>
      </c>
      <c r="D684">
        <v>178791</v>
      </c>
      <c r="E684">
        <v>53223</v>
      </c>
      <c r="F684">
        <v>402</v>
      </c>
      <c r="G684" t="s">
        <v>3459</v>
      </c>
      <c r="H684" t="s">
        <v>6535</v>
      </c>
      <c r="I684">
        <v>1885</v>
      </c>
      <c r="J684" t="s">
        <v>3438</v>
      </c>
      <c r="K684" t="s">
        <v>18534</v>
      </c>
      <c r="L684" t="s">
        <v>9236</v>
      </c>
      <c r="N684">
        <v>28639183</v>
      </c>
      <c r="P684" t="s">
        <v>18535</v>
      </c>
      <c r="R684">
        <v>71464547</v>
      </c>
      <c r="S684">
        <v>71464547</v>
      </c>
      <c r="T684" t="s">
        <v>3447</v>
      </c>
    </row>
    <row r="685" spans="1:20" x14ac:dyDescent="0.2">
      <c r="A685" t="s">
        <v>19119</v>
      </c>
      <c r="B685" t="s">
        <v>18536</v>
      </c>
      <c r="C685" t="s">
        <v>18537</v>
      </c>
      <c r="D685">
        <v>178792</v>
      </c>
      <c r="E685">
        <v>53224</v>
      </c>
      <c r="F685">
        <v>400</v>
      </c>
      <c r="G685" t="s">
        <v>3459</v>
      </c>
      <c r="H685" t="s">
        <v>8397</v>
      </c>
      <c r="I685">
        <v>1914</v>
      </c>
      <c r="J685" t="s">
        <v>3438</v>
      </c>
      <c r="L685" t="s">
        <v>18538</v>
      </c>
      <c r="P685" t="s">
        <v>18539</v>
      </c>
      <c r="S685">
        <v>85525</v>
      </c>
      <c r="T685" t="s">
        <v>3458</v>
      </c>
    </row>
    <row r="686" spans="1:20" x14ac:dyDescent="0.2">
      <c r="A686" t="s">
        <v>2024</v>
      </c>
      <c r="B686" t="s">
        <v>9243</v>
      </c>
      <c r="C686" t="s">
        <v>18540</v>
      </c>
      <c r="D686">
        <v>208352</v>
      </c>
      <c r="E686">
        <v>55017</v>
      </c>
      <c r="F686">
        <v>209</v>
      </c>
      <c r="G686" t="s">
        <v>3853</v>
      </c>
      <c r="H686" t="s">
        <v>6422</v>
      </c>
      <c r="I686">
        <v>1189</v>
      </c>
      <c r="J686" t="s">
        <v>3438</v>
      </c>
      <c r="L686" t="s">
        <v>9242</v>
      </c>
      <c r="P686" t="s">
        <v>18541</v>
      </c>
      <c r="S686">
        <v>440731</v>
      </c>
      <c r="T686" t="s">
        <v>3469</v>
      </c>
    </row>
    <row r="687" spans="1:20" x14ac:dyDescent="0.2">
      <c r="A687" t="s">
        <v>2036</v>
      </c>
      <c r="B687" t="s">
        <v>9246</v>
      </c>
      <c r="C687" t="s">
        <v>18542</v>
      </c>
      <c r="D687">
        <v>212076</v>
      </c>
      <c r="E687">
        <v>57547</v>
      </c>
      <c r="F687">
        <v>209</v>
      </c>
      <c r="G687" t="s">
        <v>3436</v>
      </c>
      <c r="H687" t="s">
        <v>3498</v>
      </c>
      <c r="I687">
        <v>429</v>
      </c>
      <c r="J687" t="s">
        <v>3438</v>
      </c>
      <c r="K687" t="s">
        <v>18543</v>
      </c>
      <c r="L687" t="s">
        <v>9245</v>
      </c>
      <c r="M687" t="s">
        <v>9247</v>
      </c>
      <c r="N687">
        <v>266858</v>
      </c>
      <c r="O687" t="s">
        <v>9249</v>
      </c>
      <c r="P687" t="s">
        <v>9249</v>
      </c>
      <c r="R687">
        <v>301941</v>
      </c>
      <c r="S687">
        <v>301941</v>
      </c>
      <c r="T687" t="s">
        <v>3469</v>
      </c>
    </row>
    <row r="688" spans="1:20" x14ac:dyDescent="0.2">
      <c r="A688" t="s">
        <v>3081</v>
      </c>
      <c r="B688" t="s">
        <v>9253</v>
      </c>
      <c r="C688" t="s">
        <v>18544</v>
      </c>
      <c r="D688">
        <v>211532</v>
      </c>
      <c r="E688">
        <v>57554</v>
      </c>
      <c r="F688">
        <v>400</v>
      </c>
      <c r="G688" t="s">
        <v>3533</v>
      </c>
      <c r="H688" t="s">
        <v>4356</v>
      </c>
      <c r="I688">
        <v>4264</v>
      </c>
      <c r="J688" t="s">
        <v>3438</v>
      </c>
      <c r="K688" t="s">
        <v>18545</v>
      </c>
      <c r="L688" t="s">
        <v>9252</v>
      </c>
      <c r="M688" t="s">
        <v>9254</v>
      </c>
      <c r="N688">
        <v>133067</v>
      </c>
      <c r="P688">
        <v>0</v>
      </c>
      <c r="R688">
        <v>150971</v>
      </c>
      <c r="S688">
        <v>150971</v>
      </c>
      <c r="T688" t="s">
        <v>3458</v>
      </c>
    </row>
    <row r="689" spans="1:20" x14ac:dyDescent="0.2">
      <c r="A689" t="s">
        <v>3083</v>
      </c>
      <c r="B689" t="s">
        <v>9259</v>
      </c>
      <c r="C689" t="s">
        <v>18546</v>
      </c>
      <c r="D689">
        <v>212709</v>
      </c>
      <c r="E689">
        <v>57655</v>
      </c>
      <c r="F689">
        <v>209</v>
      </c>
      <c r="G689" t="s">
        <v>3533</v>
      </c>
      <c r="H689" t="s">
        <v>3705</v>
      </c>
      <c r="I689">
        <v>4223</v>
      </c>
      <c r="J689" t="s">
        <v>3438</v>
      </c>
      <c r="K689" t="s">
        <v>18547</v>
      </c>
      <c r="L689" t="s">
        <v>9258</v>
      </c>
      <c r="M689" t="s">
        <v>9260</v>
      </c>
      <c r="N689">
        <v>92343</v>
      </c>
      <c r="P689" t="s">
        <v>9262</v>
      </c>
      <c r="R689">
        <v>102212</v>
      </c>
      <c r="S689">
        <v>102212</v>
      </c>
      <c r="T689" t="s">
        <v>3469</v>
      </c>
    </row>
    <row r="690" spans="1:20" x14ac:dyDescent="0.2">
      <c r="A690" t="s">
        <v>2026</v>
      </c>
      <c r="B690" t="s">
        <v>9266</v>
      </c>
      <c r="C690" t="s">
        <v>18548</v>
      </c>
      <c r="D690">
        <v>208464</v>
      </c>
      <c r="E690">
        <v>55015</v>
      </c>
      <c r="F690">
        <v>400</v>
      </c>
      <c r="G690" t="s">
        <v>3853</v>
      </c>
      <c r="H690" t="s">
        <v>3854</v>
      </c>
      <c r="I690">
        <v>640</v>
      </c>
      <c r="J690" t="s">
        <v>3438</v>
      </c>
      <c r="K690" t="s">
        <v>18549</v>
      </c>
      <c r="L690" t="s">
        <v>9265</v>
      </c>
      <c r="N690">
        <v>58747</v>
      </c>
      <c r="P690">
        <v>0</v>
      </c>
      <c r="R690">
        <v>65254</v>
      </c>
      <c r="S690">
        <v>65254</v>
      </c>
      <c r="T690" t="s">
        <v>3458</v>
      </c>
    </row>
    <row r="691" spans="1:20" x14ac:dyDescent="0.2">
      <c r="A691" t="s">
        <v>2018</v>
      </c>
      <c r="B691" t="s">
        <v>12108</v>
      </c>
      <c r="C691" t="s">
        <v>18550</v>
      </c>
      <c r="D691">
        <v>208040</v>
      </c>
      <c r="E691">
        <v>54955</v>
      </c>
      <c r="F691">
        <v>402</v>
      </c>
      <c r="G691" t="s">
        <v>3459</v>
      </c>
      <c r="H691" t="s">
        <v>7792</v>
      </c>
      <c r="I691">
        <v>2941</v>
      </c>
      <c r="J691" t="s">
        <v>3438</v>
      </c>
      <c r="L691" t="s">
        <v>18551</v>
      </c>
      <c r="O691" t="s">
        <v>18552</v>
      </c>
      <c r="P691" t="s">
        <v>18552</v>
      </c>
      <c r="R691">
        <v>9543796</v>
      </c>
      <c r="S691">
        <v>9543796</v>
      </c>
      <c r="T691" t="s">
        <v>3447</v>
      </c>
    </row>
    <row r="692" spans="1:20" x14ac:dyDescent="0.2">
      <c r="A692" t="s">
        <v>2030</v>
      </c>
      <c r="B692" t="s">
        <v>12111</v>
      </c>
      <c r="C692" t="s">
        <v>18553</v>
      </c>
      <c r="D692">
        <v>208041</v>
      </c>
      <c r="E692">
        <v>54956</v>
      </c>
      <c r="F692">
        <v>402</v>
      </c>
      <c r="G692" t="s">
        <v>3459</v>
      </c>
      <c r="H692" t="s">
        <v>7792</v>
      </c>
      <c r="I692">
        <v>2942</v>
      </c>
      <c r="J692" t="s">
        <v>3438</v>
      </c>
      <c r="L692" t="s">
        <v>18554</v>
      </c>
      <c r="O692" t="s">
        <v>18552</v>
      </c>
      <c r="P692" t="s">
        <v>18552</v>
      </c>
      <c r="R692">
        <v>9543796</v>
      </c>
      <c r="S692">
        <v>9543796</v>
      </c>
      <c r="T692" t="s">
        <v>3447</v>
      </c>
    </row>
    <row r="693" spans="1:20" x14ac:dyDescent="0.2">
      <c r="A693" t="s">
        <v>2013</v>
      </c>
      <c r="B693" t="s">
        <v>9281</v>
      </c>
      <c r="C693" t="s">
        <v>18555</v>
      </c>
      <c r="D693">
        <v>211466</v>
      </c>
      <c r="E693">
        <v>57564</v>
      </c>
      <c r="F693">
        <v>305</v>
      </c>
      <c r="G693" t="s">
        <v>3863</v>
      </c>
      <c r="H693" t="s">
        <v>5632</v>
      </c>
      <c r="I693">
        <v>6190</v>
      </c>
      <c r="J693" t="s">
        <v>3438</v>
      </c>
      <c r="K693" t="s">
        <v>18556</v>
      </c>
      <c r="L693" t="s">
        <v>9280</v>
      </c>
      <c r="M693" t="s">
        <v>9282</v>
      </c>
      <c r="N693">
        <v>67068</v>
      </c>
      <c r="O693" t="s">
        <v>9284</v>
      </c>
      <c r="P693" t="s">
        <v>9284</v>
      </c>
      <c r="Q693" t="s">
        <v>9285</v>
      </c>
      <c r="R693">
        <v>74483</v>
      </c>
      <c r="S693">
        <v>74483</v>
      </c>
      <c r="T693" t="s">
        <v>3489</v>
      </c>
    </row>
    <row r="694" spans="1:20" x14ac:dyDescent="0.2">
      <c r="A694" t="s">
        <v>2028</v>
      </c>
      <c r="B694" t="s">
        <v>9289</v>
      </c>
      <c r="C694" t="s">
        <v>18557</v>
      </c>
      <c r="D694">
        <v>211068</v>
      </c>
      <c r="E694">
        <v>57416</v>
      </c>
      <c r="F694">
        <v>402</v>
      </c>
      <c r="G694" t="s">
        <v>3459</v>
      </c>
      <c r="H694" t="s">
        <v>4998</v>
      </c>
      <c r="I694">
        <v>3031</v>
      </c>
      <c r="J694" t="s">
        <v>3438</v>
      </c>
      <c r="L694" t="s">
        <v>9288</v>
      </c>
      <c r="P694">
        <v>0</v>
      </c>
      <c r="S694">
        <v>0</v>
      </c>
      <c r="T694" t="s">
        <v>3447</v>
      </c>
    </row>
    <row r="695" spans="1:20" x14ac:dyDescent="0.2">
      <c r="A695" t="s">
        <v>2009</v>
      </c>
      <c r="B695" t="s">
        <v>9293</v>
      </c>
      <c r="C695" t="s">
        <v>18558</v>
      </c>
      <c r="D695">
        <v>210897</v>
      </c>
      <c r="E695">
        <v>57370</v>
      </c>
      <c r="F695">
        <v>402</v>
      </c>
      <c r="G695" t="s">
        <v>3459</v>
      </c>
      <c r="H695" t="s">
        <v>9027</v>
      </c>
      <c r="I695">
        <v>3091</v>
      </c>
      <c r="J695" t="s">
        <v>3438</v>
      </c>
      <c r="K695" t="s">
        <v>18559</v>
      </c>
      <c r="L695" t="s">
        <v>9292</v>
      </c>
      <c r="N695">
        <v>24846896</v>
      </c>
      <c r="P695">
        <v>0</v>
      </c>
      <c r="S695">
        <v>0</v>
      </c>
      <c r="T695" t="s">
        <v>3447</v>
      </c>
    </row>
    <row r="696" spans="1:20" x14ac:dyDescent="0.2">
      <c r="A696" t="s">
        <v>2022</v>
      </c>
      <c r="B696" t="s">
        <v>9307</v>
      </c>
      <c r="C696" t="s">
        <v>18560</v>
      </c>
      <c r="D696">
        <v>211074</v>
      </c>
      <c r="E696">
        <v>57421</v>
      </c>
      <c r="F696">
        <v>402</v>
      </c>
      <c r="G696" t="s">
        <v>3459</v>
      </c>
      <c r="H696" t="s">
        <v>7081</v>
      </c>
      <c r="I696">
        <v>3068</v>
      </c>
      <c r="J696" t="s">
        <v>3438</v>
      </c>
      <c r="L696" t="s">
        <v>9306</v>
      </c>
      <c r="P696">
        <v>0</v>
      </c>
      <c r="S696">
        <v>0</v>
      </c>
      <c r="T696" t="s">
        <v>3447</v>
      </c>
    </row>
    <row r="697" spans="1:20" x14ac:dyDescent="0.2">
      <c r="A697" t="s">
        <v>2034</v>
      </c>
      <c r="B697" t="s">
        <v>9310</v>
      </c>
      <c r="C697" t="s">
        <v>18561</v>
      </c>
      <c r="D697">
        <v>211069</v>
      </c>
      <c r="E697">
        <v>57417</v>
      </c>
      <c r="F697">
        <v>402</v>
      </c>
      <c r="G697" t="s">
        <v>3459</v>
      </c>
      <c r="H697" t="s">
        <v>4998</v>
      </c>
      <c r="I697">
        <v>3032</v>
      </c>
      <c r="J697" t="s">
        <v>3438</v>
      </c>
      <c r="L697" t="s">
        <v>9309</v>
      </c>
      <c r="P697">
        <v>0</v>
      </c>
      <c r="R697">
        <v>132282053</v>
      </c>
      <c r="S697">
        <v>132282053</v>
      </c>
      <c r="T697" t="s">
        <v>3447</v>
      </c>
    </row>
    <row r="698" spans="1:20" x14ac:dyDescent="0.2">
      <c r="A698" t="s">
        <v>2011</v>
      </c>
      <c r="B698" t="s">
        <v>9332</v>
      </c>
      <c r="C698" t="s">
        <v>18562</v>
      </c>
      <c r="D698">
        <v>212727</v>
      </c>
      <c r="E698">
        <v>57664</v>
      </c>
      <c r="F698">
        <v>209</v>
      </c>
      <c r="G698" t="s">
        <v>3459</v>
      </c>
      <c r="H698" t="s">
        <v>4774</v>
      </c>
      <c r="I698">
        <v>2196</v>
      </c>
      <c r="J698" t="s">
        <v>3438</v>
      </c>
      <c r="K698" t="s">
        <v>18563</v>
      </c>
      <c r="L698" t="s">
        <v>9331</v>
      </c>
      <c r="N698">
        <v>21466990</v>
      </c>
      <c r="P698">
        <v>0</v>
      </c>
      <c r="R698">
        <v>44190514</v>
      </c>
      <c r="S698">
        <v>44190514</v>
      </c>
      <c r="T698" t="s">
        <v>3469</v>
      </c>
    </row>
    <row r="699" spans="1:20" x14ac:dyDescent="0.2">
      <c r="A699" t="s">
        <v>2052</v>
      </c>
      <c r="B699" t="s">
        <v>9337</v>
      </c>
      <c r="C699" t="s">
        <v>18564</v>
      </c>
      <c r="D699">
        <v>211079</v>
      </c>
      <c r="E699">
        <v>57426</v>
      </c>
      <c r="F699">
        <v>402</v>
      </c>
      <c r="G699" t="s">
        <v>3459</v>
      </c>
      <c r="H699" t="s">
        <v>3836</v>
      </c>
      <c r="I699">
        <v>3002</v>
      </c>
      <c r="J699" t="s">
        <v>3438</v>
      </c>
      <c r="K699" t="s">
        <v>18565</v>
      </c>
      <c r="L699" t="s">
        <v>9336</v>
      </c>
      <c r="M699" t="s">
        <v>9338</v>
      </c>
      <c r="N699">
        <v>4952479</v>
      </c>
      <c r="P699">
        <v>0</v>
      </c>
      <c r="R699">
        <v>6449795</v>
      </c>
      <c r="S699">
        <v>6449795</v>
      </c>
      <c r="T699" t="s">
        <v>3447</v>
      </c>
    </row>
    <row r="700" spans="1:20" x14ac:dyDescent="0.2">
      <c r="A700" t="s">
        <v>2042</v>
      </c>
      <c r="B700" t="s">
        <v>12237</v>
      </c>
      <c r="C700" t="s">
        <v>18566</v>
      </c>
      <c r="D700">
        <v>211083</v>
      </c>
      <c r="E700">
        <v>57430</v>
      </c>
      <c r="F700">
        <v>402</v>
      </c>
      <c r="G700" t="s">
        <v>3459</v>
      </c>
      <c r="H700" t="s">
        <v>4998</v>
      </c>
      <c r="I700">
        <v>3043</v>
      </c>
      <c r="J700" t="s">
        <v>3438</v>
      </c>
      <c r="L700" t="s">
        <v>18567</v>
      </c>
      <c r="P700">
        <v>0</v>
      </c>
      <c r="S700">
        <v>0</v>
      </c>
      <c r="T700" t="s">
        <v>3447</v>
      </c>
    </row>
    <row r="701" spans="1:20" x14ac:dyDescent="0.2">
      <c r="A701" t="s">
        <v>2044</v>
      </c>
      <c r="B701" t="s">
        <v>9354</v>
      </c>
      <c r="C701" t="s">
        <v>18568</v>
      </c>
      <c r="D701">
        <v>211086</v>
      </c>
      <c r="E701">
        <v>57432</v>
      </c>
      <c r="F701">
        <v>402</v>
      </c>
      <c r="G701" t="s">
        <v>3459</v>
      </c>
      <c r="H701" t="s">
        <v>4998</v>
      </c>
      <c r="I701">
        <v>3047</v>
      </c>
      <c r="J701" t="s">
        <v>3438</v>
      </c>
      <c r="L701" t="s">
        <v>9353</v>
      </c>
      <c r="P701">
        <v>0</v>
      </c>
      <c r="S701">
        <v>0</v>
      </c>
      <c r="T701" t="s">
        <v>3447</v>
      </c>
    </row>
    <row r="702" spans="1:20" x14ac:dyDescent="0.2">
      <c r="A702" t="s">
        <v>2054</v>
      </c>
      <c r="B702" t="s">
        <v>11807</v>
      </c>
      <c r="C702" t="s">
        <v>18569</v>
      </c>
      <c r="D702">
        <v>211088</v>
      </c>
      <c r="E702">
        <v>57434</v>
      </c>
      <c r="F702">
        <v>402</v>
      </c>
      <c r="G702" t="s">
        <v>3459</v>
      </c>
      <c r="H702" t="s">
        <v>4998</v>
      </c>
      <c r="I702">
        <v>3048</v>
      </c>
      <c r="J702" t="s">
        <v>3438</v>
      </c>
      <c r="L702" t="s">
        <v>18570</v>
      </c>
      <c r="P702">
        <v>0</v>
      </c>
      <c r="S702">
        <v>0</v>
      </c>
      <c r="T702" t="s">
        <v>3447</v>
      </c>
    </row>
    <row r="703" spans="1:20" x14ac:dyDescent="0.2">
      <c r="A703" t="s">
        <v>2048</v>
      </c>
      <c r="B703" t="s">
        <v>9358</v>
      </c>
      <c r="C703" t="s">
        <v>18571</v>
      </c>
      <c r="D703">
        <v>211107</v>
      </c>
      <c r="E703">
        <v>57453</v>
      </c>
      <c r="F703">
        <v>402</v>
      </c>
      <c r="G703" t="s">
        <v>3459</v>
      </c>
      <c r="H703" t="s">
        <v>7081</v>
      </c>
      <c r="I703">
        <v>3082</v>
      </c>
      <c r="J703" t="s">
        <v>3438</v>
      </c>
      <c r="L703" t="s">
        <v>9357</v>
      </c>
      <c r="P703">
        <v>0</v>
      </c>
      <c r="S703">
        <v>0</v>
      </c>
      <c r="T703" t="s">
        <v>3447</v>
      </c>
    </row>
    <row r="704" spans="1:20" x14ac:dyDescent="0.2">
      <c r="A704" t="s">
        <v>2040</v>
      </c>
      <c r="B704" t="s">
        <v>12010</v>
      </c>
      <c r="C704" t="s">
        <v>18572</v>
      </c>
      <c r="D704">
        <v>211099</v>
      </c>
      <c r="E704">
        <v>57445</v>
      </c>
      <c r="F704">
        <v>402</v>
      </c>
      <c r="G704" t="s">
        <v>3459</v>
      </c>
      <c r="H704" t="s">
        <v>7081</v>
      </c>
      <c r="I704">
        <v>3069</v>
      </c>
      <c r="J704" t="s">
        <v>3438</v>
      </c>
      <c r="L704" t="s">
        <v>18573</v>
      </c>
      <c r="P704">
        <v>0</v>
      </c>
      <c r="S704">
        <v>0</v>
      </c>
      <c r="T704" t="s">
        <v>3447</v>
      </c>
    </row>
    <row r="705" spans="1:20" x14ac:dyDescent="0.2">
      <c r="A705" t="s">
        <v>2050</v>
      </c>
      <c r="B705" t="s">
        <v>9361</v>
      </c>
      <c r="C705" t="s">
        <v>18574</v>
      </c>
      <c r="D705">
        <v>211102</v>
      </c>
      <c r="E705">
        <v>57448</v>
      </c>
      <c r="F705">
        <v>402</v>
      </c>
      <c r="G705" t="s">
        <v>3459</v>
      </c>
      <c r="H705" t="s">
        <v>7081</v>
      </c>
      <c r="I705">
        <v>3081</v>
      </c>
      <c r="J705" t="s">
        <v>3438</v>
      </c>
      <c r="L705" t="s">
        <v>9360</v>
      </c>
      <c r="P705">
        <v>0</v>
      </c>
      <c r="S705">
        <v>0</v>
      </c>
      <c r="T705" t="s">
        <v>3447</v>
      </c>
    </row>
    <row r="706" spans="1:20" x14ac:dyDescent="0.2">
      <c r="A706" t="s">
        <v>2046</v>
      </c>
      <c r="B706" t="s">
        <v>9364</v>
      </c>
      <c r="C706" t="s">
        <v>18575</v>
      </c>
      <c r="D706">
        <v>211098</v>
      </c>
      <c r="E706">
        <v>57444</v>
      </c>
      <c r="F706">
        <v>402</v>
      </c>
      <c r="G706" t="s">
        <v>3459</v>
      </c>
      <c r="H706" t="s">
        <v>7081</v>
      </c>
      <c r="I706">
        <v>3064</v>
      </c>
      <c r="J706" t="s">
        <v>3438</v>
      </c>
      <c r="L706" t="s">
        <v>9363</v>
      </c>
      <c r="P706">
        <v>0</v>
      </c>
      <c r="S706">
        <v>0</v>
      </c>
      <c r="T706" t="s">
        <v>3447</v>
      </c>
    </row>
    <row r="707" spans="1:20" x14ac:dyDescent="0.2">
      <c r="A707" t="s">
        <v>2038</v>
      </c>
      <c r="B707" t="s">
        <v>9371</v>
      </c>
      <c r="C707" t="s">
        <v>18576</v>
      </c>
      <c r="D707">
        <v>211120</v>
      </c>
      <c r="E707">
        <v>57464</v>
      </c>
      <c r="F707">
        <v>402</v>
      </c>
      <c r="G707" t="s">
        <v>3459</v>
      </c>
      <c r="H707" t="s">
        <v>9134</v>
      </c>
      <c r="I707">
        <v>1950</v>
      </c>
      <c r="J707" t="s">
        <v>3438</v>
      </c>
      <c r="L707" t="s">
        <v>9370</v>
      </c>
      <c r="O707" t="s">
        <v>9372</v>
      </c>
      <c r="P707" t="s">
        <v>9372</v>
      </c>
      <c r="R707">
        <v>90111</v>
      </c>
      <c r="S707">
        <v>90111</v>
      </c>
      <c r="T707" t="s">
        <v>3447</v>
      </c>
    </row>
    <row r="708" spans="1:20" x14ac:dyDescent="0.2">
      <c r="A708" t="s">
        <v>2072</v>
      </c>
      <c r="B708" t="s">
        <v>9376</v>
      </c>
      <c r="C708" t="s">
        <v>18577</v>
      </c>
      <c r="D708">
        <v>211119</v>
      </c>
      <c r="E708">
        <v>57463</v>
      </c>
      <c r="F708">
        <v>402</v>
      </c>
      <c r="G708" t="s">
        <v>3459</v>
      </c>
      <c r="H708" t="s">
        <v>9134</v>
      </c>
      <c r="I708">
        <v>1948</v>
      </c>
      <c r="J708" t="s">
        <v>3438</v>
      </c>
      <c r="L708" t="s">
        <v>9375</v>
      </c>
      <c r="O708" t="s">
        <v>9377</v>
      </c>
      <c r="P708" t="s">
        <v>9377</v>
      </c>
      <c r="R708">
        <v>53481656</v>
      </c>
      <c r="S708">
        <v>53481656</v>
      </c>
      <c r="T708" t="s">
        <v>3447</v>
      </c>
    </row>
    <row r="709" spans="1:20" x14ac:dyDescent="0.2">
      <c r="A709" t="s">
        <v>19120</v>
      </c>
      <c r="B709" t="s">
        <v>18578</v>
      </c>
      <c r="C709" t="s">
        <v>18579</v>
      </c>
      <c r="D709">
        <v>211123</v>
      </c>
      <c r="E709">
        <v>57467</v>
      </c>
      <c r="F709">
        <v>209</v>
      </c>
      <c r="G709" t="s">
        <v>3459</v>
      </c>
      <c r="H709" t="s">
        <v>3560</v>
      </c>
      <c r="I709">
        <v>1574</v>
      </c>
      <c r="J709" t="s">
        <v>3438</v>
      </c>
      <c r="L709" t="s">
        <v>18580</v>
      </c>
      <c r="P709" t="s">
        <v>17761</v>
      </c>
      <c r="R709">
        <v>75955220</v>
      </c>
      <c r="S709">
        <v>75955220</v>
      </c>
      <c r="T709" t="s">
        <v>3469</v>
      </c>
    </row>
    <row r="710" spans="1:20" x14ac:dyDescent="0.2">
      <c r="A710" t="s">
        <v>2056</v>
      </c>
      <c r="B710" t="s">
        <v>9410</v>
      </c>
      <c r="C710" t="s">
        <v>18581</v>
      </c>
      <c r="D710">
        <v>213739</v>
      </c>
      <c r="E710">
        <v>57810</v>
      </c>
      <c r="F710">
        <v>209</v>
      </c>
      <c r="G710" t="s">
        <v>3459</v>
      </c>
      <c r="H710" t="s">
        <v>3560</v>
      </c>
      <c r="I710">
        <v>1565</v>
      </c>
      <c r="J710" t="s">
        <v>3438</v>
      </c>
      <c r="K710" t="s">
        <v>18582</v>
      </c>
      <c r="L710" t="s">
        <v>9409</v>
      </c>
      <c r="M710" t="s">
        <v>9411</v>
      </c>
      <c r="N710">
        <v>9967286</v>
      </c>
      <c r="O710" t="s">
        <v>9413</v>
      </c>
      <c r="P710" t="s">
        <v>9413</v>
      </c>
      <c r="R710">
        <v>11792612</v>
      </c>
      <c r="S710">
        <v>11792612</v>
      </c>
      <c r="T710" t="s">
        <v>3469</v>
      </c>
    </row>
    <row r="711" spans="1:20" x14ac:dyDescent="0.2">
      <c r="A711" t="s">
        <v>2058</v>
      </c>
      <c r="B711" t="s">
        <v>9417</v>
      </c>
      <c r="C711" t="s">
        <v>18583</v>
      </c>
      <c r="D711">
        <v>211139</v>
      </c>
      <c r="E711">
        <v>57476</v>
      </c>
      <c r="F711">
        <v>402</v>
      </c>
      <c r="G711" t="s">
        <v>3459</v>
      </c>
      <c r="H711" t="s">
        <v>8860</v>
      </c>
      <c r="I711">
        <v>3102</v>
      </c>
      <c r="J711" t="s">
        <v>3438</v>
      </c>
      <c r="L711" t="s">
        <v>9416</v>
      </c>
      <c r="P711">
        <v>0</v>
      </c>
      <c r="S711">
        <v>0</v>
      </c>
      <c r="T711" t="s">
        <v>3447</v>
      </c>
    </row>
    <row r="712" spans="1:20" x14ac:dyDescent="0.2">
      <c r="A712" t="s">
        <v>2074</v>
      </c>
      <c r="B712" t="s">
        <v>9421</v>
      </c>
      <c r="C712" t="s">
        <v>18584</v>
      </c>
      <c r="D712">
        <v>211138</v>
      </c>
      <c r="E712">
        <v>57475</v>
      </c>
      <c r="F712">
        <v>402</v>
      </c>
      <c r="G712" t="s">
        <v>3459</v>
      </c>
      <c r="H712" t="s">
        <v>814</v>
      </c>
      <c r="I712">
        <v>3120</v>
      </c>
      <c r="J712" t="s">
        <v>3438</v>
      </c>
      <c r="L712" t="s">
        <v>9420</v>
      </c>
      <c r="P712">
        <v>0</v>
      </c>
      <c r="S712">
        <v>0</v>
      </c>
      <c r="T712" t="s">
        <v>3447</v>
      </c>
    </row>
    <row r="713" spans="1:20" x14ac:dyDescent="0.2">
      <c r="A713" t="s">
        <v>2068</v>
      </c>
      <c r="B713" t="s">
        <v>9424</v>
      </c>
      <c r="C713" t="s">
        <v>18585</v>
      </c>
      <c r="D713">
        <v>211137</v>
      </c>
      <c r="E713">
        <v>57474</v>
      </c>
      <c r="F713">
        <v>402</v>
      </c>
      <c r="G713" t="s">
        <v>3459</v>
      </c>
      <c r="H713" t="s">
        <v>814</v>
      </c>
      <c r="I713">
        <v>3109</v>
      </c>
      <c r="J713" t="s">
        <v>3438</v>
      </c>
      <c r="L713" t="s">
        <v>9423</v>
      </c>
      <c r="O713" t="s">
        <v>5034</v>
      </c>
      <c r="P713" t="s">
        <v>5034</v>
      </c>
      <c r="R713">
        <v>52931155</v>
      </c>
      <c r="S713">
        <v>52931155</v>
      </c>
      <c r="T713" t="s">
        <v>3447</v>
      </c>
    </row>
    <row r="714" spans="1:20" x14ac:dyDescent="0.2">
      <c r="A714" t="s">
        <v>2060</v>
      </c>
      <c r="B714" t="s">
        <v>9428</v>
      </c>
      <c r="C714" t="s">
        <v>18586</v>
      </c>
      <c r="D714">
        <v>211142</v>
      </c>
      <c r="E714">
        <v>57479</v>
      </c>
      <c r="F714">
        <v>402</v>
      </c>
      <c r="G714" t="s">
        <v>3459</v>
      </c>
      <c r="H714" t="s">
        <v>814</v>
      </c>
      <c r="I714">
        <v>3111</v>
      </c>
      <c r="J714" t="s">
        <v>3438</v>
      </c>
      <c r="L714" t="s">
        <v>9427</v>
      </c>
      <c r="P714">
        <v>0</v>
      </c>
      <c r="S714">
        <v>0</v>
      </c>
      <c r="T714" t="s">
        <v>3447</v>
      </c>
    </row>
    <row r="715" spans="1:20" x14ac:dyDescent="0.2">
      <c r="A715" t="s">
        <v>2070</v>
      </c>
      <c r="B715" t="s">
        <v>9432</v>
      </c>
      <c r="C715" t="s">
        <v>18587</v>
      </c>
      <c r="D715">
        <v>211143</v>
      </c>
      <c r="E715">
        <v>57480</v>
      </c>
      <c r="F715">
        <v>402</v>
      </c>
      <c r="G715" t="s">
        <v>3459</v>
      </c>
      <c r="H715" t="s">
        <v>814</v>
      </c>
      <c r="I715">
        <v>3125</v>
      </c>
      <c r="J715" t="s">
        <v>3438</v>
      </c>
      <c r="L715" t="s">
        <v>9431</v>
      </c>
      <c r="P715">
        <v>0</v>
      </c>
      <c r="S715">
        <v>0</v>
      </c>
      <c r="T715" t="s">
        <v>3447</v>
      </c>
    </row>
    <row r="716" spans="1:20" x14ac:dyDescent="0.2">
      <c r="A716" t="s">
        <v>2064</v>
      </c>
      <c r="B716" t="s">
        <v>9436</v>
      </c>
      <c r="C716" t="s">
        <v>18588</v>
      </c>
      <c r="D716">
        <v>211145</v>
      </c>
      <c r="E716">
        <v>57482</v>
      </c>
      <c r="F716">
        <v>402</v>
      </c>
      <c r="G716" t="s">
        <v>3459</v>
      </c>
      <c r="H716" t="s">
        <v>814</v>
      </c>
      <c r="I716">
        <v>3110</v>
      </c>
      <c r="J716" t="s">
        <v>3438</v>
      </c>
      <c r="L716" t="s">
        <v>9435</v>
      </c>
      <c r="P716">
        <v>0</v>
      </c>
      <c r="S716">
        <v>0</v>
      </c>
      <c r="T716" t="s">
        <v>3447</v>
      </c>
    </row>
    <row r="717" spans="1:20" x14ac:dyDescent="0.2">
      <c r="A717" t="s">
        <v>2079</v>
      </c>
      <c r="B717" t="s">
        <v>9440</v>
      </c>
      <c r="C717" t="s">
        <v>18589</v>
      </c>
      <c r="D717">
        <v>211141</v>
      </c>
      <c r="E717">
        <v>57478</v>
      </c>
      <c r="F717">
        <v>402</v>
      </c>
      <c r="G717" t="s">
        <v>3459</v>
      </c>
      <c r="H717" t="s">
        <v>814</v>
      </c>
      <c r="I717">
        <v>3131</v>
      </c>
      <c r="J717" t="s">
        <v>3438</v>
      </c>
      <c r="K717" t="s">
        <v>18590</v>
      </c>
      <c r="L717" t="s">
        <v>9439</v>
      </c>
      <c r="N717">
        <v>24846885</v>
      </c>
      <c r="P717">
        <v>0</v>
      </c>
      <c r="S717">
        <v>0</v>
      </c>
      <c r="T717" t="s">
        <v>3447</v>
      </c>
    </row>
    <row r="718" spans="1:20" x14ac:dyDescent="0.2">
      <c r="A718" t="s">
        <v>2062</v>
      </c>
      <c r="B718" t="s">
        <v>9445</v>
      </c>
      <c r="C718" t="s">
        <v>18591</v>
      </c>
      <c r="D718">
        <v>211146</v>
      </c>
      <c r="E718">
        <v>57483</v>
      </c>
      <c r="F718">
        <v>402</v>
      </c>
      <c r="G718" t="s">
        <v>3459</v>
      </c>
      <c r="H718" t="s">
        <v>814</v>
      </c>
      <c r="I718">
        <v>3116</v>
      </c>
      <c r="J718" t="s">
        <v>3438</v>
      </c>
      <c r="L718" t="s">
        <v>9444</v>
      </c>
      <c r="P718">
        <v>0</v>
      </c>
      <c r="S718">
        <v>0</v>
      </c>
      <c r="T718" t="s">
        <v>3447</v>
      </c>
    </row>
    <row r="719" spans="1:20" x14ac:dyDescent="0.2">
      <c r="A719" t="s">
        <v>13994</v>
      </c>
      <c r="B719" t="s">
        <v>9456</v>
      </c>
      <c r="C719" t="s">
        <v>18592</v>
      </c>
      <c r="D719">
        <v>212715</v>
      </c>
      <c r="E719">
        <v>57658</v>
      </c>
      <c r="F719">
        <v>209</v>
      </c>
      <c r="G719" t="s">
        <v>3459</v>
      </c>
      <c r="H719" t="s">
        <v>3560</v>
      </c>
      <c r="I719">
        <v>1561</v>
      </c>
      <c r="J719" t="s">
        <v>3438</v>
      </c>
      <c r="K719" t="s">
        <v>18593</v>
      </c>
      <c r="L719" t="s">
        <v>9455</v>
      </c>
      <c r="M719" t="s">
        <v>9457</v>
      </c>
      <c r="N719">
        <v>10171040</v>
      </c>
      <c r="P719">
        <v>0</v>
      </c>
      <c r="R719">
        <v>11998573</v>
      </c>
      <c r="S719">
        <v>11998573</v>
      </c>
      <c r="T719" t="s">
        <v>3469</v>
      </c>
    </row>
    <row r="720" spans="1:20" x14ac:dyDescent="0.2">
      <c r="A720" t="s">
        <v>2076</v>
      </c>
      <c r="B720" t="s">
        <v>9462</v>
      </c>
      <c r="C720" t="s">
        <v>18594</v>
      </c>
      <c r="D720">
        <v>211212</v>
      </c>
      <c r="E720">
        <v>57511</v>
      </c>
      <c r="F720">
        <v>402</v>
      </c>
      <c r="G720" t="s">
        <v>3459</v>
      </c>
      <c r="H720" t="s">
        <v>7821</v>
      </c>
      <c r="I720">
        <v>1892</v>
      </c>
      <c r="J720" t="s">
        <v>3438</v>
      </c>
      <c r="L720" t="s">
        <v>9461</v>
      </c>
      <c r="P720">
        <v>0</v>
      </c>
      <c r="S720">
        <v>0</v>
      </c>
      <c r="T720" t="s">
        <v>3447</v>
      </c>
    </row>
    <row r="721" spans="1:20" x14ac:dyDescent="0.2">
      <c r="A721" t="s">
        <v>2066</v>
      </c>
      <c r="B721" t="s">
        <v>9465</v>
      </c>
      <c r="C721" t="s">
        <v>18595</v>
      </c>
      <c r="D721">
        <v>211215</v>
      </c>
      <c r="E721">
        <v>57514</v>
      </c>
      <c r="F721">
        <v>402</v>
      </c>
      <c r="G721" t="s">
        <v>3459</v>
      </c>
      <c r="H721" t="s">
        <v>5526</v>
      </c>
      <c r="I721">
        <v>1868</v>
      </c>
      <c r="J721" t="s">
        <v>3438</v>
      </c>
      <c r="K721" t="s">
        <v>18596</v>
      </c>
      <c r="L721" t="s">
        <v>9464</v>
      </c>
      <c r="N721">
        <v>28639204</v>
      </c>
      <c r="O721" t="s">
        <v>9467</v>
      </c>
      <c r="P721" t="s">
        <v>9467</v>
      </c>
      <c r="R721">
        <v>71464577</v>
      </c>
      <c r="S721">
        <v>71464577</v>
      </c>
      <c r="T721" t="s">
        <v>3447</v>
      </c>
    </row>
    <row r="722" spans="1:20" x14ac:dyDescent="0.2">
      <c r="A722" t="s">
        <v>2081</v>
      </c>
      <c r="B722" t="s">
        <v>9471</v>
      </c>
      <c r="C722" t="s">
        <v>18597</v>
      </c>
      <c r="D722">
        <v>211214</v>
      </c>
      <c r="E722">
        <v>57513</v>
      </c>
      <c r="F722">
        <v>402</v>
      </c>
      <c r="G722" t="s">
        <v>3459</v>
      </c>
      <c r="H722" t="s">
        <v>5526</v>
      </c>
      <c r="I722">
        <v>1867</v>
      </c>
      <c r="J722" t="s">
        <v>3438</v>
      </c>
      <c r="K722" t="s">
        <v>18598</v>
      </c>
      <c r="L722" t="s">
        <v>9470</v>
      </c>
      <c r="N722">
        <v>28639199</v>
      </c>
      <c r="O722" t="s">
        <v>9473</v>
      </c>
      <c r="P722" t="s">
        <v>9473</v>
      </c>
      <c r="R722">
        <v>53477833</v>
      </c>
      <c r="S722">
        <v>53477833</v>
      </c>
      <c r="T722" t="s">
        <v>3447</v>
      </c>
    </row>
    <row r="723" spans="1:20" x14ac:dyDescent="0.2">
      <c r="A723" t="s">
        <v>2085</v>
      </c>
      <c r="B723" t="s">
        <v>9477</v>
      </c>
      <c r="C723" t="s">
        <v>18599</v>
      </c>
      <c r="D723">
        <v>211216</v>
      </c>
      <c r="E723">
        <v>57515</v>
      </c>
      <c r="F723">
        <v>402</v>
      </c>
      <c r="G723" t="s">
        <v>3459</v>
      </c>
      <c r="H723" t="s">
        <v>5526</v>
      </c>
      <c r="I723">
        <v>1869</v>
      </c>
      <c r="J723" t="s">
        <v>3438</v>
      </c>
      <c r="L723" t="s">
        <v>9476</v>
      </c>
      <c r="P723" t="s">
        <v>9478</v>
      </c>
      <c r="S723">
        <v>145720495</v>
      </c>
      <c r="T723" t="s">
        <v>3447</v>
      </c>
    </row>
    <row r="724" spans="1:20" x14ac:dyDescent="0.2">
      <c r="A724" t="s">
        <v>2083</v>
      </c>
      <c r="B724" t="s">
        <v>9481</v>
      </c>
      <c r="C724" t="s">
        <v>18600</v>
      </c>
      <c r="D724">
        <v>211217</v>
      </c>
      <c r="E724">
        <v>57516</v>
      </c>
      <c r="F724">
        <v>402</v>
      </c>
      <c r="G724" t="s">
        <v>3459</v>
      </c>
      <c r="H724" t="s">
        <v>5526</v>
      </c>
      <c r="I724">
        <v>1870</v>
      </c>
      <c r="J724" t="s">
        <v>3438</v>
      </c>
      <c r="K724" t="s">
        <v>18601</v>
      </c>
      <c r="L724" t="s">
        <v>9480</v>
      </c>
      <c r="N724">
        <v>35015992</v>
      </c>
      <c r="O724" t="s">
        <v>9483</v>
      </c>
      <c r="P724" t="s">
        <v>9483</v>
      </c>
      <c r="R724">
        <v>53477828</v>
      </c>
      <c r="S724">
        <v>53477828</v>
      </c>
      <c r="T724" t="s">
        <v>3447</v>
      </c>
    </row>
    <row r="725" spans="1:20" x14ac:dyDescent="0.2">
      <c r="A725" t="s">
        <v>2108</v>
      </c>
      <c r="B725" t="s">
        <v>9487</v>
      </c>
      <c r="C725" t="s">
        <v>18602</v>
      </c>
      <c r="D725">
        <v>211218</v>
      </c>
      <c r="E725">
        <v>57517</v>
      </c>
      <c r="F725">
        <v>402</v>
      </c>
      <c r="G725" t="s">
        <v>3459</v>
      </c>
      <c r="H725" t="s">
        <v>6535</v>
      </c>
      <c r="I725">
        <v>1890</v>
      </c>
      <c r="J725" t="s">
        <v>3438</v>
      </c>
      <c r="L725" t="s">
        <v>9486</v>
      </c>
      <c r="P725">
        <v>0</v>
      </c>
      <c r="S725">
        <v>0</v>
      </c>
      <c r="T725" t="s">
        <v>3447</v>
      </c>
    </row>
    <row r="726" spans="1:20" x14ac:dyDescent="0.2">
      <c r="A726" t="s">
        <v>2110</v>
      </c>
      <c r="B726" t="s">
        <v>9490</v>
      </c>
      <c r="C726" t="s">
        <v>18603</v>
      </c>
      <c r="D726">
        <v>211219</v>
      </c>
      <c r="E726">
        <v>57518</v>
      </c>
      <c r="F726">
        <v>402</v>
      </c>
      <c r="G726" t="s">
        <v>3459</v>
      </c>
      <c r="H726" t="s">
        <v>7821</v>
      </c>
      <c r="I726">
        <v>1894</v>
      </c>
      <c r="J726" t="s">
        <v>3438</v>
      </c>
      <c r="L726" t="s">
        <v>9489</v>
      </c>
      <c r="O726" t="s">
        <v>9491</v>
      </c>
      <c r="P726" t="s">
        <v>9491</v>
      </c>
      <c r="R726">
        <v>136212424</v>
      </c>
      <c r="S726">
        <v>136212424</v>
      </c>
      <c r="T726" t="s">
        <v>3447</v>
      </c>
    </row>
    <row r="727" spans="1:20" x14ac:dyDescent="0.2">
      <c r="A727" t="s">
        <v>2106</v>
      </c>
      <c r="B727" t="s">
        <v>11902</v>
      </c>
      <c r="C727" t="s">
        <v>18604</v>
      </c>
      <c r="D727">
        <v>211220</v>
      </c>
      <c r="E727">
        <v>57519</v>
      </c>
      <c r="F727">
        <v>402</v>
      </c>
      <c r="G727" t="s">
        <v>3459</v>
      </c>
      <c r="H727" t="s">
        <v>6535</v>
      </c>
      <c r="I727">
        <v>1887</v>
      </c>
      <c r="J727" t="s">
        <v>3438</v>
      </c>
      <c r="L727" t="s">
        <v>18605</v>
      </c>
      <c r="O727" t="s">
        <v>18606</v>
      </c>
      <c r="P727" t="s">
        <v>18606</v>
      </c>
      <c r="S727">
        <v>71464507</v>
      </c>
      <c r="T727" t="s">
        <v>3447</v>
      </c>
    </row>
    <row r="728" spans="1:20" x14ac:dyDescent="0.2">
      <c r="A728" t="s">
        <v>2098</v>
      </c>
      <c r="B728" t="s">
        <v>9495</v>
      </c>
      <c r="C728" t="s">
        <v>18607</v>
      </c>
      <c r="D728">
        <v>211221</v>
      </c>
      <c r="E728">
        <v>57520</v>
      </c>
      <c r="F728">
        <v>402</v>
      </c>
      <c r="G728" t="s">
        <v>3459</v>
      </c>
      <c r="H728" t="s">
        <v>7821</v>
      </c>
      <c r="I728">
        <v>1893</v>
      </c>
      <c r="J728" t="s">
        <v>3438</v>
      </c>
      <c r="L728" t="s">
        <v>9494</v>
      </c>
      <c r="P728">
        <v>0</v>
      </c>
      <c r="S728">
        <v>0</v>
      </c>
      <c r="T728" t="s">
        <v>3447</v>
      </c>
    </row>
    <row r="729" spans="1:20" x14ac:dyDescent="0.2">
      <c r="A729" t="s">
        <v>2088</v>
      </c>
      <c r="B729" t="s">
        <v>9498</v>
      </c>
      <c r="C729" t="s">
        <v>18608</v>
      </c>
      <c r="D729">
        <v>211222</v>
      </c>
      <c r="E729">
        <v>57521</v>
      </c>
      <c r="F729">
        <v>402</v>
      </c>
      <c r="G729" t="s">
        <v>3459</v>
      </c>
      <c r="H729" t="s">
        <v>7821</v>
      </c>
      <c r="I729">
        <v>1895</v>
      </c>
      <c r="J729" t="s">
        <v>3438</v>
      </c>
      <c r="L729" t="s">
        <v>9497</v>
      </c>
      <c r="P729">
        <v>0</v>
      </c>
      <c r="S729">
        <v>0</v>
      </c>
      <c r="T729" t="s">
        <v>3447</v>
      </c>
    </row>
    <row r="730" spans="1:20" x14ac:dyDescent="0.2">
      <c r="A730" t="s">
        <v>2102</v>
      </c>
      <c r="B730" t="s">
        <v>9501</v>
      </c>
      <c r="C730" t="s">
        <v>18609</v>
      </c>
      <c r="D730">
        <v>211224</v>
      </c>
      <c r="E730">
        <v>57523</v>
      </c>
      <c r="F730">
        <v>402</v>
      </c>
      <c r="G730" t="s">
        <v>3459</v>
      </c>
      <c r="H730" t="s">
        <v>7821</v>
      </c>
      <c r="I730">
        <v>1902</v>
      </c>
      <c r="J730" t="s">
        <v>3438</v>
      </c>
      <c r="L730" t="s">
        <v>9500</v>
      </c>
      <c r="P730">
        <v>0</v>
      </c>
      <c r="S730">
        <v>127055</v>
      </c>
      <c r="T730" t="s">
        <v>3447</v>
      </c>
    </row>
    <row r="731" spans="1:20" x14ac:dyDescent="0.2">
      <c r="A731" t="s">
        <v>2096</v>
      </c>
      <c r="B731" t="s">
        <v>9504</v>
      </c>
      <c r="C731" t="s">
        <v>18610</v>
      </c>
      <c r="D731">
        <v>211232</v>
      </c>
      <c r="E731">
        <v>57531</v>
      </c>
      <c r="F731">
        <v>402</v>
      </c>
      <c r="G731" t="s">
        <v>3459</v>
      </c>
      <c r="H731" t="s">
        <v>6535</v>
      </c>
      <c r="I731">
        <v>1889</v>
      </c>
      <c r="J731" t="s">
        <v>3438</v>
      </c>
      <c r="L731" t="s">
        <v>9503</v>
      </c>
      <c r="P731">
        <v>0</v>
      </c>
      <c r="S731">
        <v>0</v>
      </c>
      <c r="T731" t="s">
        <v>3447</v>
      </c>
    </row>
    <row r="732" spans="1:20" x14ac:dyDescent="0.2">
      <c r="A732" t="s">
        <v>2100</v>
      </c>
      <c r="B732" t="s">
        <v>9520</v>
      </c>
      <c r="C732" t="s">
        <v>18611</v>
      </c>
      <c r="D732">
        <v>212143</v>
      </c>
      <c r="E732">
        <v>57595</v>
      </c>
      <c r="F732">
        <v>402</v>
      </c>
      <c r="G732" t="s">
        <v>3459</v>
      </c>
      <c r="H732" t="s">
        <v>7081</v>
      </c>
      <c r="I732">
        <v>3078</v>
      </c>
      <c r="J732" t="s">
        <v>3438</v>
      </c>
      <c r="L732" t="s">
        <v>9519</v>
      </c>
      <c r="P732">
        <v>0</v>
      </c>
      <c r="S732">
        <v>0</v>
      </c>
      <c r="T732" t="s">
        <v>3447</v>
      </c>
    </row>
    <row r="733" spans="1:20" x14ac:dyDescent="0.2">
      <c r="A733" t="s">
        <v>2104</v>
      </c>
      <c r="B733" t="s">
        <v>9523</v>
      </c>
      <c r="C733" t="s">
        <v>18612</v>
      </c>
      <c r="D733">
        <v>213101</v>
      </c>
      <c r="E733">
        <v>57687</v>
      </c>
      <c r="F733">
        <v>400</v>
      </c>
      <c r="G733" t="s">
        <v>3436</v>
      </c>
      <c r="H733" t="s">
        <v>3586</v>
      </c>
      <c r="I733">
        <v>138</v>
      </c>
      <c r="J733" t="s">
        <v>3438</v>
      </c>
      <c r="K733" t="s">
        <v>18613</v>
      </c>
      <c r="L733" t="s">
        <v>9522</v>
      </c>
      <c r="N733">
        <v>34236878</v>
      </c>
      <c r="P733">
        <v>0</v>
      </c>
      <c r="R733">
        <v>14274897</v>
      </c>
      <c r="S733">
        <v>14274897</v>
      </c>
      <c r="T733" t="s">
        <v>3458</v>
      </c>
    </row>
    <row r="734" spans="1:20" x14ac:dyDescent="0.2">
      <c r="A734" t="s">
        <v>2092</v>
      </c>
      <c r="B734" t="s">
        <v>9528</v>
      </c>
      <c r="C734" t="s">
        <v>18614</v>
      </c>
      <c r="D734">
        <v>221889</v>
      </c>
      <c r="E734">
        <v>63152</v>
      </c>
      <c r="F734">
        <v>400</v>
      </c>
      <c r="G734" t="s">
        <v>3863</v>
      </c>
      <c r="H734" t="s">
        <v>3864</v>
      </c>
      <c r="I734">
        <v>5089</v>
      </c>
      <c r="J734" t="s">
        <v>3438</v>
      </c>
      <c r="K734" t="s">
        <v>18615</v>
      </c>
      <c r="L734" t="s">
        <v>9527</v>
      </c>
      <c r="M734" t="s">
        <v>9529</v>
      </c>
      <c r="N734">
        <v>378664</v>
      </c>
      <c r="O734" t="s">
        <v>9531</v>
      </c>
      <c r="P734" t="s">
        <v>9531</v>
      </c>
      <c r="R734">
        <v>11127487</v>
      </c>
      <c r="S734">
        <v>11127487</v>
      </c>
      <c r="T734" t="s">
        <v>3458</v>
      </c>
    </row>
    <row r="735" spans="1:20" x14ac:dyDescent="0.2">
      <c r="A735" t="s">
        <v>2094</v>
      </c>
      <c r="B735" t="s">
        <v>9535</v>
      </c>
      <c r="C735" t="s">
        <v>18616</v>
      </c>
      <c r="D735">
        <v>212257</v>
      </c>
      <c r="E735">
        <v>57635</v>
      </c>
      <c r="F735">
        <v>402</v>
      </c>
      <c r="G735" t="s">
        <v>3448</v>
      </c>
      <c r="H735" t="s">
        <v>4124</v>
      </c>
      <c r="I735">
        <v>4431</v>
      </c>
      <c r="J735" t="s">
        <v>3438</v>
      </c>
      <c r="L735" t="s">
        <v>9534</v>
      </c>
      <c r="P735">
        <v>0</v>
      </c>
      <c r="S735">
        <v>0</v>
      </c>
      <c r="T735" t="s">
        <v>3447</v>
      </c>
    </row>
    <row r="736" spans="1:20" x14ac:dyDescent="0.2">
      <c r="A736" t="s">
        <v>2090</v>
      </c>
      <c r="B736" t="s">
        <v>9536</v>
      </c>
      <c r="C736" t="s">
        <v>18617</v>
      </c>
      <c r="D736">
        <v>212258</v>
      </c>
      <c r="E736">
        <v>57636</v>
      </c>
      <c r="F736">
        <v>402</v>
      </c>
      <c r="G736" t="s">
        <v>3448</v>
      </c>
      <c r="H736" t="s">
        <v>4124</v>
      </c>
      <c r="I736">
        <v>4432</v>
      </c>
      <c r="J736" t="s">
        <v>3438</v>
      </c>
      <c r="L736" t="s">
        <v>9534</v>
      </c>
      <c r="P736">
        <v>0</v>
      </c>
      <c r="S736">
        <v>0</v>
      </c>
      <c r="T736" t="s">
        <v>3447</v>
      </c>
    </row>
    <row r="737" spans="1:20" x14ac:dyDescent="0.2">
      <c r="A737" t="s">
        <v>2122</v>
      </c>
      <c r="B737" t="s">
        <v>9537</v>
      </c>
      <c r="C737" t="s">
        <v>18618</v>
      </c>
      <c r="D737">
        <v>212259</v>
      </c>
      <c r="E737">
        <v>57637</v>
      </c>
      <c r="F737">
        <v>402</v>
      </c>
      <c r="G737" t="s">
        <v>3448</v>
      </c>
      <c r="H737" t="s">
        <v>4124</v>
      </c>
      <c r="I737">
        <v>4433</v>
      </c>
      <c r="J737" t="s">
        <v>3438</v>
      </c>
      <c r="L737" t="s">
        <v>9534</v>
      </c>
      <c r="P737">
        <v>0</v>
      </c>
      <c r="S737">
        <v>0</v>
      </c>
      <c r="T737" t="s">
        <v>3447</v>
      </c>
    </row>
    <row r="738" spans="1:20" x14ac:dyDescent="0.2">
      <c r="A738" t="s">
        <v>13997</v>
      </c>
      <c r="B738" t="s">
        <v>9540</v>
      </c>
      <c r="C738" t="s">
        <v>18619</v>
      </c>
      <c r="D738">
        <v>212775</v>
      </c>
      <c r="E738">
        <v>57699</v>
      </c>
      <c r="F738">
        <v>209</v>
      </c>
      <c r="G738" t="s">
        <v>3459</v>
      </c>
      <c r="H738" t="s">
        <v>3768</v>
      </c>
      <c r="I738">
        <v>3326</v>
      </c>
      <c r="J738" t="s">
        <v>3438</v>
      </c>
      <c r="L738" t="s">
        <v>9539</v>
      </c>
      <c r="P738">
        <v>0</v>
      </c>
      <c r="S738">
        <v>0</v>
      </c>
      <c r="T738" t="s">
        <v>3469</v>
      </c>
    </row>
    <row r="739" spans="1:20" x14ac:dyDescent="0.2">
      <c r="A739" t="s">
        <v>2115</v>
      </c>
      <c r="B739" t="s">
        <v>9559</v>
      </c>
      <c r="C739" t="s">
        <v>18620</v>
      </c>
      <c r="D739">
        <v>213597</v>
      </c>
      <c r="E739">
        <v>57814</v>
      </c>
      <c r="F739">
        <v>400</v>
      </c>
      <c r="G739" t="s">
        <v>3436</v>
      </c>
      <c r="H739" t="s">
        <v>3437</v>
      </c>
      <c r="I739">
        <v>550</v>
      </c>
      <c r="J739" t="s">
        <v>3438</v>
      </c>
      <c r="L739" t="s">
        <v>9558</v>
      </c>
      <c r="O739" t="s">
        <v>9560</v>
      </c>
      <c r="P739" t="s">
        <v>9560</v>
      </c>
      <c r="Q739" t="s">
        <v>9561</v>
      </c>
      <c r="R739" s="5">
        <v>496123689</v>
      </c>
      <c r="S739" t="s">
        <v>18621</v>
      </c>
      <c r="T739" t="s">
        <v>3458</v>
      </c>
    </row>
    <row r="740" spans="1:20" x14ac:dyDescent="0.2">
      <c r="A740" t="s">
        <v>2112</v>
      </c>
      <c r="B740" t="s">
        <v>9565</v>
      </c>
      <c r="C740" t="s">
        <v>18622</v>
      </c>
      <c r="D740">
        <v>218137</v>
      </c>
      <c r="E740">
        <v>61769</v>
      </c>
      <c r="F740">
        <v>402</v>
      </c>
      <c r="G740" t="s">
        <v>3459</v>
      </c>
      <c r="H740" t="s">
        <v>6535</v>
      </c>
      <c r="I740">
        <v>1882</v>
      </c>
      <c r="J740" t="s">
        <v>3438</v>
      </c>
      <c r="L740" t="s">
        <v>9564</v>
      </c>
      <c r="O740" t="s">
        <v>9566</v>
      </c>
      <c r="P740" t="s">
        <v>9566</v>
      </c>
      <c r="R740">
        <v>91825571</v>
      </c>
      <c r="S740">
        <v>91825571</v>
      </c>
      <c r="T740" t="s">
        <v>3447</v>
      </c>
    </row>
    <row r="741" spans="1:20" x14ac:dyDescent="0.2">
      <c r="A741" t="s">
        <v>19121</v>
      </c>
      <c r="B741" t="s">
        <v>18623</v>
      </c>
      <c r="C741" t="s">
        <v>18624</v>
      </c>
      <c r="D741">
        <v>218139</v>
      </c>
      <c r="E741">
        <v>61771</v>
      </c>
      <c r="F741">
        <v>400</v>
      </c>
      <c r="G741" t="s">
        <v>3863</v>
      </c>
      <c r="H741" t="s">
        <v>3864</v>
      </c>
      <c r="I741">
        <v>4967</v>
      </c>
      <c r="J741" t="s">
        <v>3438</v>
      </c>
      <c r="L741" t="s">
        <v>18625</v>
      </c>
      <c r="P741">
        <v>0</v>
      </c>
      <c r="S741">
        <v>0</v>
      </c>
      <c r="T741" t="s">
        <v>3458</v>
      </c>
    </row>
    <row r="742" spans="1:20" x14ac:dyDescent="0.2">
      <c r="A742" t="s">
        <v>14000</v>
      </c>
      <c r="B742" t="s">
        <v>9570</v>
      </c>
      <c r="C742" t="s">
        <v>18626</v>
      </c>
      <c r="D742">
        <v>218163</v>
      </c>
      <c r="E742">
        <v>61785</v>
      </c>
      <c r="F742">
        <v>209</v>
      </c>
      <c r="G742" t="s">
        <v>3459</v>
      </c>
      <c r="H742" t="s">
        <v>4991</v>
      </c>
      <c r="I742">
        <v>1828</v>
      </c>
      <c r="J742" t="s">
        <v>3438</v>
      </c>
      <c r="K742" t="s">
        <v>18627</v>
      </c>
      <c r="L742" t="s">
        <v>9569</v>
      </c>
      <c r="M742" t="s">
        <v>9571</v>
      </c>
      <c r="N742">
        <v>4877902</v>
      </c>
      <c r="P742">
        <v>0</v>
      </c>
      <c r="R742">
        <v>6303498</v>
      </c>
      <c r="S742">
        <v>6303498</v>
      </c>
      <c r="T742" t="s">
        <v>3469</v>
      </c>
    </row>
    <row r="743" spans="1:20" x14ac:dyDescent="0.2">
      <c r="A743" t="s">
        <v>2117</v>
      </c>
      <c r="B743" t="s">
        <v>9576</v>
      </c>
      <c r="C743" t="s">
        <v>18628</v>
      </c>
      <c r="D743">
        <v>219248</v>
      </c>
      <c r="E743">
        <v>62277</v>
      </c>
      <c r="F743">
        <v>209</v>
      </c>
      <c r="G743" t="s">
        <v>3459</v>
      </c>
      <c r="H743" t="s">
        <v>3873</v>
      </c>
      <c r="I743">
        <v>1706</v>
      </c>
      <c r="J743" t="s">
        <v>3438</v>
      </c>
      <c r="L743" t="s">
        <v>9575</v>
      </c>
      <c r="P743">
        <v>0</v>
      </c>
      <c r="S743">
        <v>0</v>
      </c>
      <c r="T743" t="s">
        <v>3469</v>
      </c>
    </row>
    <row r="744" spans="1:20" x14ac:dyDescent="0.2">
      <c r="A744" t="s">
        <v>2124</v>
      </c>
      <c r="B744" t="s">
        <v>9579</v>
      </c>
      <c r="C744" t="s">
        <v>18629</v>
      </c>
      <c r="D744">
        <v>218539</v>
      </c>
      <c r="E744">
        <v>61840</v>
      </c>
      <c r="F744">
        <v>402</v>
      </c>
      <c r="G744" t="s">
        <v>3459</v>
      </c>
      <c r="H744" t="s">
        <v>7998</v>
      </c>
      <c r="I744">
        <v>1929</v>
      </c>
      <c r="J744" t="s">
        <v>3438</v>
      </c>
      <c r="K744" t="s">
        <v>18630</v>
      </c>
      <c r="L744" t="s">
        <v>9578</v>
      </c>
      <c r="N744">
        <v>48061587</v>
      </c>
      <c r="P744">
        <v>0</v>
      </c>
      <c r="R744">
        <v>129637446</v>
      </c>
      <c r="S744">
        <v>129637446</v>
      </c>
      <c r="T744" t="s">
        <v>3447</v>
      </c>
    </row>
    <row r="745" spans="1:20" x14ac:dyDescent="0.2">
      <c r="A745" t="s">
        <v>19122</v>
      </c>
      <c r="B745" t="s">
        <v>18631</v>
      </c>
      <c r="C745" t="s">
        <v>18632</v>
      </c>
      <c r="D745">
        <v>220257</v>
      </c>
      <c r="E745">
        <v>62733</v>
      </c>
      <c r="F745">
        <v>209</v>
      </c>
      <c r="G745" t="s">
        <v>3853</v>
      </c>
      <c r="H745" t="s">
        <v>6422</v>
      </c>
      <c r="I745">
        <v>1188</v>
      </c>
      <c r="J745" t="s">
        <v>3438</v>
      </c>
      <c r="K745" t="s">
        <v>18633</v>
      </c>
      <c r="L745" t="s">
        <v>18634</v>
      </c>
      <c r="N745">
        <v>38532062</v>
      </c>
      <c r="P745">
        <v>0</v>
      </c>
      <c r="S745">
        <v>0</v>
      </c>
      <c r="T745" t="s">
        <v>3469</v>
      </c>
    </row>
    <row r="746" spans="1:20" x14ac:dyDescent="0.2">
      <c r="A746" t="s">
        <v>2128</v>
      </c>
      <c r="B746" t="s">
        <v>9584</v>
      </c>
      <c r="C746" t="s">
        <v>18635</v>
      </c>
      <c r="D746">
        <v>218189</v>
      </c>
      <c r="E746">
        <v>61798</v>
      </c>
      <c r="F746">
        <v>209</v>
      </c>
      <c r="G746" t="s">
        <v>3459</v>
      </c>
      <c r="H746" t="s">
        <v>4991</v>
      </c>
      <c r="I746">
        <v>1811</v>
      </c>
      <c r="J746" t="s">
        <v>3438</v>
      </c>
      <c r="K746" t="s">
        <v>18636</v>
      </c>
      <c r="L746" t="s">
        <v>9583</v>
      </c>
      <c r="N746">
        <v>25033670</v>
      </c>
      <c r="P746">
        <v>0</v>
      </c>
      <c r="S746">
        <v>0</v>
      </c>
      <c r="T746" t="s">
        <v>3469</v>
      </c>
    </row>
    <row r="747" spans="1:20" x14ac:dyDescent="0.2">
      <c r="A747" t="s">
        <v>2130</v>
      </c>
      <c r="B747" t="s">
        <v>9588</v>
      </c>
      <c r="C747" t="s">
        <v>18637</v>
      </c>
      <c r="D747">
        <v>218003</v>
      </c>
      <c r="E747">
        <v>61700</v>
      </c>
      <c r="F747">
        <v>209</v>
      </c>
      <c r="G747" t="s">
        <v>3459</v>
      </c>
      <c r="H747" t="s">
        <v>4869</v>
      </c>
      <c r="I747">
        <v>1973</v>
      </c>
      <c r="J747" t="s">
        <v>3438</v>
      </c>
      <c r="K747" t="s">
        <v>18638</v>
      </c>
      <c r="L747" t="s">
        <v>9587</v>
      </c>
      <c r="N747">
        <v>4395406</v>
      </c>
      <c r="P747" t="s">
        <v>18639</v>
      </c>
      <c r="R747">
        <v>5225199</v>
      </c>
      <c r="S747">
        <v>5225199</v>
      </c>
      <c r="T747" t="s">
        <v>3469</v>
      </c>
    </row>
    <row r="748" spans="1:20" x14ac:dyDescent="0.2">
      <c r="A748" t="s">
        <v>2126</v>
      </c>
      <c r="B748" t="s">
        <v>9610</v>
      </c>
      <c r="C748" t="s">
        <v>18640</v>
      </c>
      <c r="D748">
        <v>218581</v>
      </c>
      <c r="E748">
        <v>61864</v>
      </c>
      <c r="F748">
        <v>209</v>
      </c>
      <c r="G748" t="s">
        <v>3459</v>
      </c>
      <c r="H748" t="s">
        <v>3873</v>
      </c>
      <c r="I748">
        <v>1688</v>
      </c>
      <c r="J748" t="s">
        <v>3438</v>
      </c>
      <c r="L748" t="s">
        <v>9609</v>
      </c>
      <c r="O748" t="s">
        <v>9611</v>
      </c>
      <c r="P748" t="s">
        <v>9611</v>
      </c>
      <c r="R748">
        <v>5283028</v>
      </c>
      <c r="S748">
        <v>5283028</v>
      </c>
      <c r="T748" t="s">
        <v>3469</v>
      </c>
    </row>
    <row r="749" spans="1:20" x14ac:dyDescent="0.2">
      <c r="A749" t="s">
        <v>2135</v>
      </c>
      <c r="B749" t="s">
        <v>9615</v>
      </c>
      <c r="C749" t="s">
        <v>18641</v>
      </c>
      <c r="D749">
        <v>218579</v>
      </c>
      <c r="E749">
        <v>61862</v>
      </c>
      <c r="F749">
        <v>209</v>
      </c>
      <c r="G749" t="s">
        <v>3459</v>
      </c>
      <c r="H749" t="s">
        <v>3873</v>
      </c>
      <c r="I749">
        <v>1696</v>
      </c>
      <c r="J749" t="s">
        <v>3438</v>
      </c>
      <c r="L749" t="s">
        <v>9614</v>
      </c>
      <c r="P749">
        <v>0</v>
      </c>
      <c r="S749">
        <v>0</v>
      </c>
      <c r="T749" t="s">
        <v>3469</v>
      </c>
    </row>
    <row r="750" spans="1:20" x14ac:dyDescent="0.2">
      <c r="A750" t="s">
        <v>2137</v>
      </c>
      <c r="B750" t="s">
        <v>9618</v>
      </c>
      <c r="C750" t="s">
        <v>18642</v>
      </c>
      <c r="D750">
        <v>218578</v>
      </c>
      <c r="E750">
        <v>61861</v>
      </c>
      <c r="F750">
        <v>209</v>
      </c>
      <c r="G750" t="s">
        <v>3459</v>
      </c>
      <c r="H750" t="s">
        <v>3873</v>
      </c>
      <c r="I750">
        <v>1699</v>
      </c>
      <c r="J750" t="s">
        <v>3438</v>
      </c>
      <c r="L750" t="s">
        <v>9617</v>
      </c>
      <c r="P750">
        <v>0</v>
      </c>
      <c r="R750">
        <v>9543674</v>
      </c>
      <c r="S750">
        <v>9543674</v>
      </c>
      <c r="T750" t="s">
        <v>3469</v>
      </c>
    </row>
    <row r="751" spans="1:20" x14ac:dyDescent="0.2">
      <c r="A751" t="s">
        <v>2133</v>
      </c>
      <c r="B751" t="s">
        <v>9622</v>
      </c>
      <c r="C751" t="s">
        <v>18643</v>
      </c>
      <c r="D751">
        <v>218583</v>
      </c>
      <c r="E751">
        <v>61866</v>
      </c>
      <c r="F751">
        <v>305</v>
      </c>
      <c r="G751" t="s">
        <v>3459</v>
      </c>
      <c r="H751" t="s">
        <v>3873</v>
      </c>
      <c r="I751">
        <v>1674</v>
      </c>
      <c r="J751" t="s">
        <v>3438</v>
      </c>
      <c r="L751" t="s">
        <v>9621</v>
      </c>
      <c r="P751">
        <v>0</v>
      </c>
      <c r="S751">
        <v>0</v>
      </c>
      <c r="T751" t="s">
        <v>3489</v>
      </c>
    </row>
    <row r="752" spans="1:20" x14ac:dyDescent="0.2">
      <c r="A752" t="s">
        <v>2146</v>
      </c>
      <c r="B752" t="s">
        <v>9625</v>
      </c>
      <c r="C752" t="s">
        <v>18644</v>
      </c>
      <c r="D752">
        <v>218580</v>
      </c>
      <c r="E752">
        <v>61860</v>
      </c>
      <c r="F752">
        <v>209</v>
      </c>
      <c r="G752" t="s">
        <v>3459</v>
      </c>
      <c r="H752" t="s">
        <v>3873</v>
      </c>
      <c r="I752">
        <v>1700</v>
      </c>
      <c r="J752" t="s">
        <v>3438</v>
      </c>
      <c r="L752" t="s">
        <v>9624</v>
      </c>
      <c r="P752">
        <v>0</v>
      </c>
      <c r="S752">
        <v>0</v>
      </c>
      <c r="T752" t="s">
        <v>3469</v>
      </c>
    </row>
    <row r="753" spans="1:20" x14ac:dyDescent="0.2">
      <c r="A753" t="s">
        <v>19123</v>
      </c>
      <c r="B753" t="s">
        <v>18645</v>
      </c>
      <c r="C753" t="s">
        <v>18646</v>
      </c>
      <c r="D753">
        <v>218624</v>
      </c>
      <c r="E753">
        <v>61874</v>
      </c>
      <c r="F753">
        <v>209</v>
      </c>
      <c r="G753" t="s">
        <v>6580</v>
      </c>
      <c r="H753" t="s">
        <v>6580</v>
      </c>
      <c r="I753">
        <v>6389</v>
      </c>
      <c r="J753" t="s">
        <v>3438</v>
      </c>
      <c r="P753">
        <v>0</v>
      </c>
      <c r="S753">
        <v>0</v>
      </c>
      <c r="T753" t="s">
        <v>3469</v>
      </c>
    </row>
    <row r="754" spans="1:20" x14ac:dyDescent="0.2">
      <c r="A754" t="s">
        <v>14006</v>
      </c>
      <c r="B754" t="s">
        <v>9629</v>
      </c>
      <c r="C754" t="s">
        <v>18647</v>
      </c>
      <c r="D754">
        <v>218621</v>
      </c>
      <c r="E754">
        <v>61871</v>
      </c>
      <c r="F754">
        <v>209</v>
      </c>
      <c r="G754" t="s">
        <v>3459</v>
      </c>
      <c r="H754" t="s">
        <v>3873</v>
      </c>
      <c r="I754">
        <v>1707</v>
      </c>
      <c r="J754" t="s">
        <v>3438</v>
      </c>
      <c r="L754" t="s">
        <v>9628</v>
      </c>
      <c r="N754">
        <v>168762</v>
      </c>
      <c r="O754" t="s">
        <v>9631</v>
      </c>
      <c r="P754" t="s">
        <v>9631</v>
      </c>
      <c r="R754">
        <v>194501</v>
      </c>
      <c r="S754">
        <v>194501</v>
      </c>
      <c r="T754" t="s">
        <v>3469</v>
      </c>
    </row>
    <row r="755" spans="1:20" x14ac:dyDescent="0.2">
      <c r="A755" t="s">
        <v>2159</v>
      </c>
      <c r="B755" t="s">
        <v>9636</v>
      </c>
      <c r="C755" t="s">
        <v>18648</v>
      </c>
      <c r="D755">
        <v>218638</v>
      </c>
      <c r="E755">
        <v>61887</v>
      </c>
      <c r="F755">
        <v>209</v>
      </c>
      <c r="G755" t="s">
        <v>6580</v>
      </c>
      <c r="H755" t="s">
        <v>6580</v>
      </c>
      <c r="I755">
        <v>6377</v>
      </c>
      <c r="J755" t="s">
        <v>3438</v>
      </c>
      <c r="P755">
        <v>0</v>
      </c>
      <c r="S755">
        <v>0</v>
      </c>
      <c r="T755" t="s">
        <v>3469</v>
      </c>
    </row>
    <row r="756" spans="1:20" x14ac:dyDescent="0.2">
      <c r="A756" t="s">
        <v>2167</v>
      </c>
      <c r="B756" t="s">
        <v>9646</v>
      </c>
      <c r="C756" t="s">
        <v>18649</v>
      </c>
      <c r="D756">
        <v>218862</v>
      </c>
      <c r="E756">
        <v>62059</v>
      </c>
      <c r="F756">
        <v>209</v>
      </c>
      <c r="G756" t="s">
        <v>3459</v>
      </c>
      <c r="H756" t="s">
        <v>8139</v>
      </c>
      <c r="I756">
        <v>1756</v>
      </c>
      <c r="J756" t="s">
        <v>3438</v>
      </c>
      <c r="L756" t="s">
        <v>9645</v>
      </c>
      <c r="N756">
        <v>86248</v>
      </c>
      <c r="O756" t="s">
        <v>9648</v>
      </c>
      <c r="P756" t="s">
        <v>9648</v>
      </c>
      <c r="R756">
        <v>95555</v>
      </c>
      <c r="S756">
        <v>95555</v>
      </c>
      <c r="T756" t="s">
        <v>3469</v>
      </c>
    </row>
    <row r="757" spans="1:20" x14ac:dyDescent="0.2">
      <c r="A757" t="s">
        <v>14010</v>
      </c>
      <c r="B757" t="s">
        <v>9652</v>
      </c>
      <c r="C757" t="s">
        <v>18650</v>
      </c>
      <c r="D757">
        <v>218876</v>
      </c>
      <c r="E757">
        <v>62060</v>
      </c>
      <c r="F757">
        <v>400</v>
      </c>
      <c r="G757" t="s">
        <v>3436</v>
      </c>
      <c r="H757" t="s">
        <v>3670</v>
      </c>
      <c r="I757">
        <v>43</v>
      </c>
      <c r="J757" t="s">
        <v>3438</v>
      </c>
      <c r="K757" t="s">
        <v>18651</v>
      </c>
      <c r="L757" t="s">
        <v>9651</v>
      </c>
      <c r="N757">
        <v>88149</v>
      </c>
      <c r="O757" t="s">
        <v>9654</v>
      </c>
      <c r="P757" t="s">
        <v>9654</v>
      </c>
      <c r="Q757" t="s">
        <v>9655</v>
      </c>
      <c r="R757">
        <v>15991574</v>
      </c>
      <c r="S757">
        <v>15991574</v>
      </c>
      <c r="T757" t="s">
        <v>3458</v>
      </c>
    </row>
    <row r="758" spans="1:20" x14ac:dyDescent="0.2">
      <c r="A758" t="s">
        <v>2148</v>
      </c>
      <c r="B758" t="s">
        <v>9659</v>
      </c>
      <c r="C758" t="s">
        <v>18652</v>
      </c>
      <c r="D758">
        <v>218880</v>
      </c>
      <c r="E758">
        <v>62071</v>
      </c>
      <c r="F758">
        <v>209</v>
      </c>
      <c r="G758" t="s">
        <v>3863</v>
      </c>
      <c r="H758" t="s">
        <v>5632</v>
      </c>
      <c r="I758">
        <v>6241</v>
      </c>
      <c r="J758" t="s">
        <v>3438</v>
      </c>
      <c r="K758" t="s">
        <v>18653</v>
      </c>
      <c r="L758" t="s">
        <v>9658</v>
      </c>
      <c r="N758">
        <v>9180</v>
      </c>
      <c r="O758" t="s">
        <v>9661</v>
      </c>
      <c r="P758" t="s">
        <v>9661</v>
      </c>
      <c r="R758">
        <v>9554</v>
      </c>
      <c r="S758">
        <v>9554</v>
      </c>
      <c r="T758" t="s">
        <v>3469</v>
      </c>
    </row>
    <row r="759" spans="1:20" x14ac:dyDescent="0.2">
      <c r="A759" t="s">
        <v>14011</v>
      </c>
      <c r="B759" t="s">
        <v>9665</v>
      </c>
      <c r="C759" t="s">
        <v>18654</v>
      </c>
      <c r="D759">
        <v>218870</v>
      </c>
      <c r="E759">
        <v>62064</v>
      </c>
      <c r="F759">
        <v>400</v>
      </c>
      <c r="G759" t="s">
        <v>3459</v>
      </c>
      <c r="H759" t="s">
        <v>4991</v>
      </c>
      <c r="I759">
        <v>1831</v>
      </c>
      <c r="J759" t="s">
        <v>3438</v>
      </c>
      <c r="L759" t="s">
        <v>9664</v>
      </c>
      <c r="P759">
        <v>0</v>
      </c>
      <c r="S759">
        <v>0</v>
      </c>
      <c r="T759" t="s">
        <v>3458</v>
      </c>
    </row>
    <row r="760" spans="1:20" x14ac:dyDescent="0.2">
      <c r="A760" t="s">
        <v>14012</v>
      </c>
      <c r="B760" t="s">
        <v>9668</v>
      </c>
      <c r="C760" t="s">
        <v>18655</v>
      </c>
      <c r="D760">
        <v>218872</v>
      </c>
      <c r="E760">
        <v>62066</v>
      </c>
      <c r="F760">
        <v>209</v>
      </c>
      <c r="G760" t="s">
        <v>3459</v>
      </c>
      <c r="H760" t="s">
        <v>3516</v>
      </c>
      <c r="I760">
        <v>3469</v>
      </c>
      <c r="J760" t="s">
        <v>3438</v>
      </c>
      <c r="L760" t="s">
        <v>9667</v>
      </c>
      <c r="P760">
        <v>0</v>
      </c>
      <c r="S760">
        <v>0</v>
      </c>
      <c r="T760" t="s">
        <v>3469</v>
      </c>
    </row>
    <row r="761" spans="1:20" x14ac:dyDescent="0.2">
      <c r="A761" t="s">
        <v>14013</v>
      </c>
      <c r="B761" t="s">
        <v>9671</v>
      </c>
      <c r="C761" t="s">
        <v>18656</v>
      </c>
      <c r="D761">
        <v>218877</v>
      </c>
      <c r="E761">
        <v>62068</v>
      </c>
      <c r="F761">
        <v>400</v>
      </c>
      <c r="G761" t="s">
        <v>3436</v>
      </c>
      <c r="H761" t="s">
        <v>3661</v>
      </c>
      <c r="I761">
        <v>512</v>
      </c>
      <c r="J761" t="s">
        <v>3438</v>
      </c>
      <c r="L761" t="s">
        <v>9670</v>
      </c>
      <c r="P761">
        <v>0</v>
      </c>
      <c r="R761">
        <v>9860390</v>
      </c>
      <c r="S761">
        <v>9860390</v>
      </c>
      <c r="T761" t="s">
        <v>3458</v>
      </c>
    </row>
    <row r="762" spans="1:20" x14ac:dyDescent="0.2">
      <c r="A762" t="s">
        <v>14014</v>
      </c>
      <c r="B762" t="s">
        <v>9675</v>
      </c>
      <c r="C762" t="s">
        <v>18657</v>
      </c>
      <c r="D762">
        <v>220818</v>
      </c>
      <c r="E762">
        <v>62947</v>
      </c>
      <c r="F762">
        <v>400</v>
      </c>
      <c r="G762" t="s">
        <v>3436</v>
      </c>
      <c r="H762" t="s">
        <v>3661</v>
      </c>
      <c r="I762">
        <v>519</v>
      </c>
      <c r="J762" t="s">
        <v>3438</v>
      </c>
      <c r="L762" t="s">
        <v>9674</v>
      </c>
      <c r="O762" t="s">
        <v>9676</v>
      </c>
      <c r="P762" t="s">
        <v>9676</v>
      </c>
      <c r="S762">
        <v>0</v>
      </c>
      <c r="T762" t="s">
        <v>3458</v>
      </c>
    </row>
    <row r="763" spans="1:20" x14ac:dyDescent="0.2">
      <c r="A763" t="s">
        <v>14015</v>
      </c>
      <c r="B763" t="s">
        <v>9679</v>
      </c>
      <c r="C763" t="s">
        <v>18658</v>
      </c>
      <c r="D763">
        <v>220648</v>
      </c>
      <c r="E763">
        <v>62863</v>
      </c>
      <c r="F763">
        <v>400</v>
      </c>
      <c r="G763" t="s">
        <v>3863</v>
      </c>
      <c r="H763" t="s">
        <v>3864</v>
      </c>
      <c r="I763">
        <v>4785</v>
      </c>
      <c r="J763" t="s">
        <v>3438</v>
      </c>
      <c r="K763" t="s">
        <v>18659</v>
      </c>
      <c r="L763" t="s">
        <v>9678</v>
      </c>
      <c r="M763" t="s">
        <v>9680</v>
      </c>
      <c r="N763">
        <v>9838</v>
      </c>
      <c r="O763" t="s">
        <v>9682</v>
      </c>
      <c r="P763" t="s">
        <v>9682</v>
      </c>
      <c r="Q763" t="s">
        <v>9683</v>
      </c>
      <c r="R763">
        <v>10256</v>
      </c>
      <c r="S763">
        <v>10256</v>
      </c>
      <c r="T763" t="s">
        <v>3458</v>
      </c>
    </row>
    <row r="764" spans="1:20" x14ac:dyDescent="0.2">
      <c r="A764" t="s">
        <v>2171</v>
      </c>
      <c r="B764" t="s">
        <v>9687</v>
      </c>
      <c r="C764" t="s">
        <v>18660</v>
      </c>
      <c r="D764">
        <v>218950</v>
      </c>
      <c r="E764">
        <v>62104</v>
      </c>
      <c r="F764">
        <v>400</v>
      </c>
      <c r="G764" t="s">
        <v>3853</v>
      </c>
      <c r="H764" t="s">
        <v>3854</v>
      </c>
      <c r="I764">
        <v>649</v>
      </c>
      <c r="J764" t="s">
        <v>3438</v>
      </c>
      <c r="L764" t="s">
        <v>9686</v>
      </c>
      <c r="P764">
        <v>0</v>
      </c>
      <c r="S764">
        <v>0</v>
      </c>
      <c r="T764" t="s">
        <v>3458</v>
      </c>
    </row>
    <row r="765" spans="1:20" x14ac:dyDescent="0.2">
      <c r="A765" t="s">
        <v>2165</v>
      </c>
      <c r="B765" t="s">
        <v>9688</v>
      </c>
      <c r="C765" t="s">
        <v>18661</v>
      </c>
      <c r="D765">
        <v>219037</v>
      </c>
      <c r="E765">
        <v>62145</v>
      </c>
      <c r="F765">
        <v>209</v>
      </c>
      <c r="G765" t="s">
        <v>6580</v>
      </c>
      <c r="H765" t="s">
        <v>6580</v>
      </c>
      <c r="I765">
        <v>6417</v>
      </c>
      <c r="J765" t="s">
        <v>3438</v>
      </c>
      <c r="P765">
        <v>0</v>
      </c>
      <c r="S765">
        <v>0</v>
      </c>
      <c r="T765" t="s">
        <v>3469</v>
      </c>
    </row>
    <row r="766" spans="1:20" x14ac:dyDescent="0.2">
      <c r="A766" t="s">
        <v>2154</v>
      </c>
      <c r="B766" t="s">
        <v>9689</v>
      </c>
      <c r="C766" t="s">
        <v>18662</v>
      </c>
      <c r="D766">
        <v>219038</v>
      </c>
      <c r="E766">
        <v>62146</v>
      </c>
      <c r="F766">
        <v>209</v>
      </c>
      <c r="G766" t="s">
        <v>6580</v>
      </c>
      <c r="H766" t="s">
        <v>6580</v>
      </c>
      <c r="I766">
        <v>6418</v>
      </c>
      <c r="J766" t="s">
        <v>3438</v>
      </c>
      <c r="P766">
        <v>0</v>
      </c>
      <c r="S766">
        <v>0</v>
      </c>
      <c r="T766" t="s">
        <v>3469</v>
      </c>
    </row>
    <row r="767" spans="1:20" x14ac:dyDescent="0.2">
      <c r="A767" t="s">
        <v>14016</v>
      </c>
      <c r="B767" t="s">
        <v>9690</v>
      </c>
      <c r="C767" t="s">
        <v>18663</v>
      </c>
      <c r="D767">
        <v>223041</v>
      </c>
      <c r="E767">
        <v>63658</v>
      </c>
      <c r="F767">
        <v>209</v>
      </c>
      <c r="G767" t="s">
        <v>6580</v>
      </c>
      <c r="H767" t="s">
        <v>6580</v>
      </c>
      <c r="I767">
        <v>6401</v>
      </c>
      <c r="J767" t="s">
        <v>3438</v>
      </c>
      <c r="P767">
        <v>0</v>
      </c>
      <c r="S767">
        <v>0</v>
      </c>
      <c r="T767" t="s">
        <v>3469</v>
      </c>
    </row>
    <row r="768" spans="1:20" x14ac:dyDescent="0.2">
      <c r="A768" t="s">
        <v>2156</v>
      </c>
      <c r="B768" t="s">
        <v>9691</v>
      </c>
      <c r="C768" t="s">
        <v>18664</v>
      </c>
      <c r="D768">
        <v>223045</v>
      </c>
      <c r="E768">
        <v>63657</v>
      </c>
      <c r="F768">
        <v>209</v>
      </c>
      <c r="G768" t="s">
        <v>6580</v>
      </c>
      <c r="H768" t="s">
        <v>6580</v>
      </c>
      <c r="I768">
        <v>6399</v>
      </c>
      <c r="J768" t="s">
        <v>3438</v>
      </c>
      <c r="P768">
        <v>0</v>
      </c>
      <c r="S768">
        <v>0</v>
      </c>
      <c r="T768" t="s">
        <v>3469</v>
      </c>
    </row>
    <row r="769" spans="1:20" x14ac:dyDescent="0.2">
      <c r="A769" t="s">
        <v>2151</v>
      </c>
      <c r="B769" t="s">
        <v>9692</v>
      </c>
      <c r="C769" t="s">
        <v>18665</v>
      </c>
      <c r="D769">
        <v>223046</v>
      </c>
      <c r="E769">
        <v>63660</v>
      </c>
      <c r="F769">
        <v>209</v>
      </c>
      <c r="G769" t="s">
        <v>6580</v>
      </c>
      <c r="H769" t="s">
        <v>6580</v>
      </c>
      <c r="I769">
        <v>6400</v>
      </c>
      <c r="J769" t="s">
        <v>3438</v>
      </c>
      <c r="P769">
        <v>0</v>
      </c>
      <c r="S769">
        <v>0</v>
      </c>
      <c r="T769" t="s">
        <v>3469</v>
      </c>
    </row>
    <row r="770" spans="1:20" x14ac:dyDescent="0.2">
      <c r="A770" t="s">
        <v>2139</v>
      </c>
      <c r="B770" t="s">
        <v>9695</v>
      </c>
      <c r="C770" t="s">
        <v>18666</v>
      </c>
      <c r="D770">
        <v>220633</v>
      </c>
      <c r="E770">
        <v>62857</v>
      </c>
      <c r="F770">
        <v>209</v>
      </c>
      <c r="G770" t="s">
        <v>3863</v>
      </c>
      <c r="H770" t="s">
        <v>3864</v>
      </c>
      <c r="I770">
        <v>4880</v>
      </c>
      <c r="J770" t="s">
        <v>3438</v>
      </c>
      <c r="K770" t="s">
        <v>18667</v>
      </c>
      <c r="L770" t="s">
        <v>9694</v>
      </c>
      <c r="N770">
        <v>162994</v>
      </c>
      <c r="O770" t="s">
        <v>9697</v>
      </c>
      <c r="P770" t="s">
        <v>9697</v>
      </c>
      <c r="R770">
        <v>187489</v>
      </c>
      <c r="S770">
        <v>187489</v>
      </c>
      <c r="T770" t="s">
        <v>3469</v>
      </c>
    </row>
    <row r="771" spans="1:20" x14ac:dyDescent="0.2">
      <c r="A771" t="s">
        <v>2144</v>
      </c>
      <c r="B771" t="s">
        <v>9707</v>
      </c>
      <c r="C771" t="s">
        <v>18668</v>
      </c>
      <c r="D771">
        <v>219058</v>
      </c>
      <c r="E771">
        <v>62152</v>
      </c>
      <c r="F771">
        <v>402</v>
      </c>
      <c r="G771" t="s">
        <v>3459</v>
      </c>
      <c r="H771" t="s">
        <v>814</v>
      </c>
      <c r="I771">
        <v>3112</v>
      </c>
      <c r="J771" t="s">
        <v>3438</v>
      </c>
      <c r="L771" t="s">
        <v>9706</v>
      </c>
      <c r="P771">
        <v>0</v>
      </c>
      <c r="S771">
        <v>0</v>
      </c>
      <c r="T771" t="s">
        <v>3447</v>
      </c>
    </row>
    <row r="772" spans="1:20" x14ac:dyDescent="0.2">
      <c r="A772" t="s">
        <v>14019</v>
      </c>
      <c r="B772" t="s">
        <v>9710</v>
      </c>
      <c r="C772" t="s">
        <v>18669</v>
      </c>
      <c r="D772">
        <v>220619</v>
      </c>
      <c r="E772">
        <v>62850</v>
      </c>
      <c r="F772">
        <v>209</v>
      </c>
      <c r="G772" t="s">
        <v>3459</v>
      </c>
      <c r="H772" t="s">
        <v>3560</v>
      </c>
      <c r="I772">
        <v>1550</v>
      </c>
      <c r="J772" t="s">
        <v>3438</v>
      </c>
      <c r="K772" t="s">
        <v>18670</v>
      </c>
      <c r="L772" t="s">
        <v>9709</v>
      </c>
      <c r="M772" t="s">
        <v>9711</v>
      </c>
      <c r="N772">
        <v>4471834</v>
      </c>
      <c r="O772" t="s">
        <v>9713</v>
      </c>
      <c r="P772" t="s">
        <v>9713</v>
      </c>
      <c r="R772">
        <v>5312409</v>
      </c>
      <c r="S772">
        <v>5312409</v>
      </c>
      <c r="T772" t="s">
        <v>3469</v>
      </c>
    </row>
    <row r="773" spans="1:20" x14ac:dyDescent="0.2">
      <c r="A773" t="s">
        <v>19124</v>
      </c>
      <c r="B773" t="s">
        <v>18671</v>
      </c>
      <c r="C773" t="s">
        <v>18672</v>
      </c>
      <c r="D773">
        <v>220840</v>
      </c>
      <c r="E773">
        <v>62955</v>
      </c>
      <c r="F773">
        <v>400</v>
      </c>
      <c r="G773" t="s">
        <v>3436</v>
      </c>
      <c r="H773" t="s">
        <v>3470</v>
      </c>
      <c r="I773">
        <v>279</v>
      </c>
      <c r="J773" t="s">
        <v>3438</v>
      </c>
      <c r="K773" t="s">
        <v>18673</v>
      </c>
      <c r="L773" t="s">
        <v>18674</v>
      </c>
      <c r="M773" t="s">
        <v>18675</v>
      </c>
      <c r="N773">
        <v>68710</v>
      </c>
      <c r="O773" t="s">
        <v>18676</v>
      </c>
      <c r="P773" t="s">
        <v>18676</v>
      </c>
      <c r="Q773" t="s">
        <v>18677</v>
      </c>
      <c r="R773">
        <v>76230</v>
      </c>
      <c r="S773">
        <v>76230</v>
      </c>
      <c r="T773" t="s">
        <v>3458</v>
      </c>
    </row>
    <row r="774" spans="1:20" x14ac:dyDescent="0.2">
      <c r="A774" t="s">
        <v>14020</v>
      </c>
      <c r="B774" t="s">
        <v>9717</v>
      </c>
      <c r="C774" t="s">
        <v>18678</v>
      </c>
      <c r="D774">
        <v>220624</v>
      </c>
      <c r="E774">
        <v>62853</v>
      </c>
      <c r="F774">
        <v>400</v>
      </c>
      <c r="G774" t="s">
        <v>3436</v>
      </c>
      <c r="H774" t="s">
        <v>3661</v>
      </c>
      <c r="I774">
        <v>489</v>
      </c>
      <c r="J774" t="s">
        <v>3438</v>
      </c>
      <c r="K774" t="s">
        <v>18679</v>
      </c>
      <c r="L774" t="s">
        <v>9716</v>
      </c>
      <c r="M774" t="s">
        <v>9718</v>
      </c>
      <c r="N774">
        <v>4371576</v>
      </c>
      <c r="O774" t="s">
        <v>9720</v>
      </c>
      <c r="P774" t="s">
        <v>9720</v>
      </c>
      <c r="R774">
        <v>5200225</v>
      </c>
      <c r="S774">
        <v>5200225</v>
      </c>
      <c r="T774" t="s">
        <v>3458</v>
      </c>
    </row>
    <row r="775" spans="1:20" x14ac:dyDescent="0.2">
      <c r="A775" t="s">
        <v>2185</v>
      </c>
      <c r="B775" t="s">
        <v>9724</v>
      </c>
      <c r="C775" t="s">
        <v>18680</v>
      </c>
      <c r="D775">
        <v>221884</v>
      </c>
      <c r="E775">
        <v>63151</v>
      </c>
      <c r="F775">
        <v>400</v>
      </c>
      <c r="G775" t="s">
        <v>3436</v>
      </c>
      <c r="H775" t="s">
        <v>3670</v>
      </c>
      <c r="I775">
        <v>33</v>
      </c>
      <c r="J775" t="s">
        <v>3438</v>
      </c>
      <c r="K775" t="s">
        <v>18681</v>
      </c>
      <c r="L775" t="s">
        <v>9723</v>
      </c>
      <c r="M775" t="s">
        <v>9725</v>
      </c>
      <c r="N775">
        <v>4589713</v>
      </c>
      <c r="P775">
        <v>0</v>
      </c>
      <c r="R775">
        <v>5488191</v>
      </c>
      <c r="S775">
        <v>5488191</v>
      </c>
      <c r="T775" t="s">
        <v>3458</v>
      </c>
    </row>
    <row r="776" spans="1:20" x14ac:dyDescent="0.2">
      <c r="A776" t="s">
        <v>14021</v>
      </c>
      <c r="B776" t="s">
        <v>9730</v>
      </c>
      <c r="C776" t="s">
        <v>18682</v>
      </c>
      <c r="D776">
        <v>222852</v>
      </c>
      <c r="E776">
        <v>63583</v>
      </c>
      <c r="F776">
        <v>209</v>
      </c>
      <c r="G776" t="s">
        <v>3863</v>
      </c>
      <c r="H776" t="s">
        <v>3864</v>
      </c>
      <c r="I776">
        <v>5214</v>
      </c>
      <c r="J776" t="s">
        <v>3438</v>
      </c>
      <c r="K776" t="s">
        <v>18683</v>
      </c>
      <c r="L776" t="s">
        <v>9729</v>
      </c>
      <c r="M776" t="s">
        <v>9731</v>
      </c>
      <c r="N776">
        <v>66497</v>
      </c>
      <c r="P776">
        <v>0</v>
      </c>
      <c r="R776">
        <v>73863</v>
      </c>
      <c r="S776">
        <v>73863</v>
      </c>
      <c r="T776" t="s">
        <v>3469</v>
      </c>
    </row>
    <row r="777" spans="1:20" x14ac:dyDescent="0.2">
      <c r="A777" t="s">
        <v>2193</v>
      </c>
      <c r="B777" t="s">
        <v>18684</v>
      </c>
      <c r="C777" t="s">
        <v>18685</v>
      </c>
      <c r="D777">
        <v>220736</v>
      </c>
      <c r="E777">
        <v>62885</v>
      </c>
      <c r="F777">
        <v>209</v>
      </c>
      <c r="G777" t="s">
        <v>3863</v>
      </c>
      <c r="H777" t="s">
        <v>5632</v>
      </c>
      <c r="I777">
        <v>6246</v>
      </c>
      <c r="J777" t="s">
        <v>3438</v>
      </c>
      <c r="K777" t="s">
        <v>18686</v>
      </c>
      <c r="L777" t="s">
        <v>9735</v>
      </c>
      <c r="M777" t="s">
        <v>9737</v>
      </c>
      <c r="N777">
        <v>8092</v>
      </c>
      <c r="P777">
        <v>0</v>
      </c>
      <c r="R777">
        <v>8398</v>
      </c>
      <c r="S777">
        <v>8398</v>
      </c>
      <c r="T777" t="s">
        <v>3469</v>
      </c>
    </row>
    <row r="778" spans="1:20" x14ac:dyDescent="0.2">
      <c r="A778" t="s">
        <v>14022</v>
      </c>
      <c r="B778" t="s">
        <v>9742</v>
      </c>
      <c r="C778" t="s">
        <v>18687</v>
      </c>
      <c r="D778">
        <v>233912</v>
      </c>
      <c r="E778">
        <v>64131</v>
      </c>
      <c r="F778">
        <v>209</v>
      </c>
      <c r="G778" t="s">
        <v>3863</v>
      </c>
      <c r="H778" t="s">
        <v>3864</v>
      </c>
      <c r="I778">
        <v>5224</v>
      </c>
      <c r="J778" t="s">
        <v>3438</v>
      </c>
      <c r="K778" t="s">
        <v>18688</v>
      </c>
      <c r="L778" t="s">
        <v>9741</v>
      </c>
      <c r="N778">
        <v>108559</v>
      </c>
      <c r="O778" t="s">
        <v>9531</v>
      </c>
      <c r="P778" t="s">
        <v>9531</v>
      </c>
      <c r="R778">
        <v>121667</v>
      </c>
      <c r="S778">
        <v>121667</v>
      </c>
      <c r="T778" t="s">
        <v>3469</v>
      </c>
    </row>
    <row r="779" spans="1:20" x14ac:dyDescent="0.2">
      <c r="A779" t="s">
        <v>19125</v>
      </c>
      <c r="B779" t="s">
        <v>18689</v>
      </c>
      <c r="C779" t="s">
        <v>18690</v>
      </c>
      <c r="D779">
        <v>222415</v>
      </c>
      <c r="E779">
        <v>63357</v>
      </c>
      <c r="F779">
        <v>209</v>
      </c>
      <c r="G779" t="s">
        <v>3459</v>
      </c>
      <c r="H779" t="s">
        <v>3873</v>
      </c>
      <c r="I779">
        <v>1709</v>
      </c>
      <c r="J779" t="s">
        <v>3438</v>
      </c>
      <c r="K779" t="s">
        <v>18691</v>
      </c>
      <c r="L779" t="s">
        <v>18692</v>
      </c>
      <c r="M779" t="s">
        <v>18693</v>
      </c>
      <c r="N779">
        <v>113866</v>
      </c>
      <c r="O779" t="s">
        <v>18694</v>
      </c>
      <c r="P779" t="s">
        <v>18694</v>
      </c>
      <c r="R779">
        <v>128458</v>
      </c>
      <c r="S779">
        <v>128458</v>
      </c>
      <c r="T779" t="s">
        <v>3469</v>
      </c>
    </row>
    <row r="780" spans="1:20" x14ac:dyDescent="0.2">
      <c r="A780" t="s">
        <v>2198</v>
      </c>
      <c r="B780" t="s">
        <v>9747</v>
      </c>
      <c r="C780" t="s">
        <v>18695</v>
      </c>
      <c r="D780">
        <v>223113</v>
      </c>
      <c r="E780">
        <v>63687</v>
      </c>
      <c r="F780">
        <v>305</v>
      </c>
      <c r="G780" t="s">
        <v>3448</v>
      </c>
      <c r="H780" t="s">
        <v>5600</v>
      </c>
      <c r="I780">
        <v>4349</v>
      </c>
      <c r="J780" t="s">
        <v>3438</v>
      </c>
      <c r="K780" t="s">
        <v>18696</v>
      </c>
      <c r="L780" t="s">
        <v>9746</v>
      </c>
      <c r="N780">
        <v>9600241</v>
      </c>
      <c r="P780" t="s">
        <v>18697</v>
      </c>
      <c r="R780">
        <v>11425365</v>
      </c>
      <c r="S780">
        <v>11425365</v>
      </c>
      <c r="T780" t="s">
        <v>3489</v>
      </c>
    </row>
    <row r="781" spans="1:20" x14ac:dyDescent="0.2">
      <c r="A781" t="s">
        <v>2202</v>
      </c>
      <c r="B781" t="s">
        <v>9757</v>
      </c>
      <c r="C781" t="s">
        <v>18698</v>
      </c>
      <c r="D781">
        <v>219798</v>
      </c>
      <c r="E781">
        <v>62503</v>
      </c>
      <c r="F781">
        <v>209</v>
      </c>
      <c r="G781" t="s">
        <v>3436</v>
      </c>
      <c r="H781" t="s">
        <v>3470</v>
      </c>
      <c r="I781">
        <v>327</v>
      </c>
      <c r="J781" t="s">
        <v>3438</v>
      </c>
      <c r="L781" t="s">
        <v>9756</v>
      </c>
      <c r="P781">
        <v>0</v>
      </c>
      <c r="R781">
        <v>9856996</v>
      </c>
      <c r="S781">
        <v>9856996</v>
      </c>
      <c r="T781" t="s">
        <v>3469</v>
      </c>
    </row>
    <row r="782" spans="1:20" x14ac:dyDescent="0.2">
      <c r="A782" t="s">
        <v>19126</v>
      </c>
      <c r="B782" t="s">
        <v>18699</v>
      </c>
      <c r="C782" t="s">
        <v>18700</v>
      </c>
      <c r="D782">
        <v>219260</v>
      </c>
      <c r="E782">
        <v>62287</v>
      </c>
      <c r="F782">
        <v>209</v>
      </c>
      <c r="G782" t="s">
        <v>3448</v>
      </c>
      <c r="H782" t="s">
        <v>4679</v>
      </c>
      <c r="I782">
        <v>4376</v>
      </c>
      <c r="J782" t="s">
        <v>3438</v>
      </c>
      <c r="K782" t="s">
        <v>18701</v>
      </c>
      <c r="L782" t="s">
        <v>18702</v>
      </c>
      <c r="M782" t="s">
        <v>18703</v>
      </c>
      <c r="N782">
        <v>9710906</v>
      </c>
      <c r="P782">
        <v>0</v>
      </c>
      <c r="R782">
        <v>35027084</v>
      </c>
      <c r="S782">
        <v>35027084</v>
      </c>
      <c r="T782" t="s">
        <v>3469</v>
      </c>
    </row>
    <row r="783" spans="1:20" x14ac:dyDescent="0.2">
      <c r="A783" t="s">
        <v>14024</v>
      </c>
      <c r="B783" t="s">
        <v>9761</v>
      </c>
      <c r="C783" t="s">
        <v>18704</v>
      </c>
      <c r="D783">
        <v>220645</v>
      </c>
      <c r="E783">
        <v>62862</v>
      </c>
      <c r="F783">
        <v>400</v>
      </c>
      <c r="G783" t="s">
        <v>3436</v>
      </c>
      <c r="H783" t="s">
        <v>3586</v>
      </c>
      <c r="I783">
        <v>115</v>
      </c>
      <c r="J783" t="s">
        <v>3438</v>
      </c>
      <c r="K783" t="s">
        <v>18705</v>
      </c>
      <c r="L783" t="s">
        <v>9760</v>
      </c>
      <c r="M783" t="s">
        <v>9762</v>
      </c>
      <c r="N783">
        <v>167778</v>
      </c>
      <c r="O783" t="s">
        <v>9764</v>
      </c>
      <c r="P783" t="s">
        <v>9764</v>
      </c>
      <c r="Q783" t="s">
        <v>9765</v>
      </c>
      <c r="R783">
        <v>193344</v>
      </c>
      <c r="S783">
        <v>193344</v>
      </c>
      <c r="T783" t="s">
        <v>3458</v>
      </c>
    </row>
    <row r="784" spans="1:20" x14ac:dyDescent="0.2">
      <c r="A784" t="s">
        <v>19127</v>
      </c>
      <c r="B784" t="s">
        <v>10285</v>
      </c>
      <c r="C784" t="s">
        <v>18706</v>
      </c>
      <c r="D784">
        <v>219917</v>
      </c>
      <c r="E784">
        <v>62566</v>
      </c>
      <c r="F784">
        <v>209</v>
      </c>
      <c r="G784" t="s">
        <v>3436</v>
      </c>
      <c r="H784" t="s">
        <v>3524</v>
      </c>
      <c r="I784">
        <v>146</v>
      </c>
      <c r="J784" t="s">
        <v>3438</v>
      </c>
      <c r="L784" t="s">
        <v>18707</v>
      </c>
      <c r="N784">
        <v>19276386</v>
      </c>
      <c r="O784" t="s">
        <v>11371</v>
      </c>
      <c r="P784" t="s">
        <v>11371</v>
      </c>
      <c r="R784">
        <v>59100900</v>
      </c>
      <c r="S784">
        <v>59100900</v>
      </c>
      <c r="T784" t="s">
        <v>3469</v>
      </c>
    </row>
    <row r="785" spans="1:20" x14ac:dyDescent="0.2">
      <c r="A785" t="s">
        <v>19128</v>
      </c>
      <c r="B785" t="s">
        <v>10288</v>
      </c>
      <c r="C785" t="s">
        <v>18708</v>
      </c>
      <c r="D785">
        <v>219915</v>
      </c>
      <c r="E785">
        <v>62564</v>
      </c>
      <c r="F785">
        <v>209</v>
      </c>
      <c r="G785" t="s">
        <v>3436</v>
      </c>
      <c r="H785" t="s">
        <v>3687</v>
      </c>
      <c r="I785">
        <v>164</v>
      </c>
      <c r="J785" t="s">
        <v>3438</v>
      </c>
      <c r="L785" t="s">
        <v>18709</v>
      </c>
      <c r="O785" t="s">
        <v>11373</v>
      </c>
      <c r="P785" t="s">
        <v>11373</v>
      </c>
      <c r="S785">
        <v>0</v>
      </c>
      <c r="T785" t="s">
        <v>3469</v>
      </c>
    </row>
    <row r="786" spans="1:20" x14ac:dyDescent="0.2">
      <c r="A786" t="s">
        <v>19129</v>
      </c>
      <c r="B786" t="s">
        <v>10291</v>
      </c>
      <c r="C786" t="s">
        <v>18710</v>
      </c>
      <c r="D786">
        <v>219913</v>
      </c>
      <c r="E786">
        <v>62562</v>
      </c>
      <c r="F786">
        <v>209</v>
      </c>
      <c r="G786" t="s">
        <v>3436</v>
      </c>
      <c r="H786" t="s">
        <v>3498</v>
      </c>
      <c r="I786">
        <v>420</v>
      </c>
      <c r="J786" t="s">
        <v>3438</v>
      </c>
      <c r="L786" t="s">
        <v>18711</v>
      </c>
      <c r="O786" t="s">
        <v>11375</v>
      </c>
      <c r="P786" t="s">
        <v>11375</v>
      </c>
      <c r="S786">
        <v>145900340</v>
      </c>
      <c r="T786" t="s">
        <v>3469</v>
      </c>
    </row>
    <row r="787" spans="1:20" x14ac:dyDescent="0.2">
      <c r="A787" t="s">
        <v>19130</v>
      </c>
      <c r="B787" t="s">
        <v>10282</v>
      </c>
      <c r="C787" t="s">
        <v>18712</v>
      </c>
      <c r="D787">
        <v>219910</v>
      </c>
      <c r="E787">
        <v>62559</v>
      </c>
      <c r="F787">
        <v>209</v>
      </c>
      <c r="G787" t="s">
        <v>3436</v>
      </c>
      <c r="H787" t="s">
        <v>3498</v>
      </c>
      <c r="I787">
        <v>340</v>
      </c>
      <c r="J787" t="s">
        <v>3438</v>
      </c>
      <c r="L787" t="s">
        <v>18713</v>
      </c>
      <c r="O787" t="s">
        <v>11369</v>
      </c>
      <c r="P787" t="s">
        <v>11369</v>
      </c>
      <c r="S787">
        <v>145884707</v>
      </c>
      <c r="T787" t="s">
        <v>3469</v>
      </c>
    </row>
    <row r="788" spans="1:20" x14ac:dyDescent="0.2">
      <c r="A788" t="s">
        <v>19131</v>
      </c>
      <c r="B788" t="s">
        <v>10279</v>
      </c>
      <c r="C788" t="s">
        <v>18714</v>
      </c>
      <c r="D788">
        <v>219909</v>
      </c>
      <c r="E788">
        <v>62558</v>
      </c>
      <c r="F788">
        <v>209</v>
      </c>
      <c r="G788" t="s">
        <v>3436</v>
      </c>
      <c r="H788" t="s">
        <v>3498</v>
      </c>
      <c r="I788">
        <v>391</v>
      </c>
      <c r="J788" t="s">
        <v>3438</v>
      </c>
      <c r="L788" t="s">
        <v>18715</v>
      </c>
      <c r="O788" t="s">
        <v>11367</v>
      </c>
      <c r="P788" t="s">
        <v>11367</v>
      </c>
      <c r="S788">
        <v>146171344</v>
      </c>
      <c r="T788" t="s">
        <v>3469</v>
      </c>
    </row>
    <row r="789" spans="1:20" x14ac:dyDescent="0.2">
      <c r="A789" t="s">
        <v>2181</v>
      </c>
      <c r="B789" t="s">
        <v>9769</v>
      </c>
      <c r="C789" t="s">
        <v>18716</v>
      </c>
      <c r="D789">
        <v>219247</v>
      </c>
      <c r="E789">
        <v>62276</v>
      </c>
      <c r="F789">
        <v>209</v>
      </c>
      <c r="G789" t="s">
        <v>3459</v>
      </c>
      <c r="H789" t="s">
        <v>3873</v>
      </c>
      <c r="I789">
        <v>1689</v>
      </c>
      <c r="J789" t="s">
        <v>3438</v>
      </c>
      <c r="L789" t="s">
        <v>9768</v>
      </c>
      <c r="P789">
        <v>0</v>
      </c>
      <c r="R789">
        <v>25480</v>
      </c>
      <c r="S789">
        <v>25480</v>
      </c>
      <c r="T789" t="s">
        <v>3469</v>
      </c>
    </row>
    <row r="790" spans="1:20" x14ac:dyDescent="0.2">
      <c r="A790" t="s">
        <v>2205</v>
      </c>
      <c r="B790" t="s">
        <v>9773</v>
      </c>
      <c r="C790" t="s">
        <v>18717</v>
      </c>
      <c r="D790">
        <v>219252</v>
      </c>
      <c r="E790">
        <v>62279</v>
      </c>
      <c r="F790">
        <v>400</v>
      </c>
      <c r="G790" t="s">
        <v>3436</v>
      </c>
      <c r="H790" t="s">
        <v>3470</v>
      </c>
      <c r="I790">
        <v>319</v>
      </c>
      <c r="J790" t="s">
        <v>3438</v>
      </c>
      <c r="L790" t="s">
        <v>9772</v>
      </c>
      <c r="P790">
        <v>0</v>
      </c>
      <c r="S790">
        <v>0</v>
      </c>
      <c r="T790" t="s">
        <v>3458</v>
      </c>
    </row>
    <row r="791" spans="1:20" x14ac:dyDescent="0.2">
      <c r="A791" t="s">
        <v>2191</v>
      </c>
      <c r="B791" t="s">
        <v>9776</v>
      </c>
      <c r="C791" t="s">
        <v>18718</v>
      </c>
      <c r="D791">
        <v>219289</v>
      </c>
      <c r="E791">
        <v>62309</v>
      </c>
      <c r="F791">
        <v>400</v>
      </c>
      <c r="G791" t="s">
        <v>3436</v>
      </c>
      <c r="H791" t="s">
        <v>3437</v>
      </c>
      <c r="I791">
        <v>544</v>
      </c>
      <c r="J791" t="s">
        <v>3438</v>
      </c>
      <c r="L791" t="s">
        <v>9775</v>
      </c>
      <c r="P791" t="s">
        <v>18719</v>
      </c>
      <c r="R791">
        <v>131802901</v>
      </c>
      <c r="S791">
        <v>131802901</v>
      </c>
      <c r="T791" t="s">
        <v>3458</v>
      </c>
    </row>
    <row r="792" spans="1:20" x14ac:dyDescent="0.2">
      <c r="A792" t="s">
        <v>2179</v>
      </c>
      <c r="B792" t="s">
        <v>9778</v>
      </c>
      <c r="C792" t="s">
        <v>18720</v>
      </c>
      <c r="D792">
        <v>219263</v>
      </c>
      <c r="E792">
        <v>62290</v>
      </c>
      <c r="F792">
        <v>209</v>
      </c>
      <c r="G792" t="s">
        <v>3863</v>
      </c>
      <c r="H792" t="s">
        <v>3864</v>
      </c>
      <c r="I792">
        <v>5008</v>
      </c>
      <c r="J792" t="s">
        <v>3438</v>
      </c>
      <c r="P792">
        <v>0</v>
      </c>
      <c r="S792">
        <v>0</v>
      </c>
      <c r="T792" t="s">
        <v>3469</v>
      </c>
    </row>
    <row r="793" spans="1:20" x14ac:dyDescent="0.2">
      <c r="A793" t="s">
        <v>2214</v>
      </c>
      <c r="B793" t="s">
        <v>9779</v>
      </c>
      <c r="C793" t="s">
        <v>18721</v>
      </c>
      <c r="D793">
        <v>219264</v>
      </c>
      <c r="E793">
        <v>62291</v>
      </c>
      <c r="F793">
        <v>209</v>
      </c>
      <c r="G793" t="s">
        <v>3863</v>
      </c>
      <c r="H793" t="s">
        <v>3864</v>
      </c>
      <c r="I793">
        <v>5009</v>
      </c>
      <c r="J793" t="s">
        <v>3438</v>
      </c>
      <c r="P793">
        <v>0</v>
      </c>
      <c r="S793">
        <v>0</v>
      </c>
      <c r="T793" t="s">
        <v>3469</v>
      </c>
    </row>
    <row r="794" spans="1:20" x14ac:dyDescent="0.2">
      <c r="A794" t="s">
        <v>2222</v>
      </c>
      <c r="B794" t="s">
        <v>9780</v>
      </c>
      <c r="C794" t="s">
        <v>18722</v>
      </c>
      <c r="D794">
        <v>219265</v>
      </c>
      <c r="E794">
        <v>62292</v>
      </c>
      <c r="F794">
        <v>209</v>
      </c>
      <c r="G794" t="s">
        <v>3863</v>
      </c>
      <c r="H794" t="s">
        <v>3864</v>
      </c>
      <c r="I794">
        <v>5010</v>
      </c>
      <c r="J794" t="s">
        <v>3438</v>
      </c>
      <c r="P794">
        <v>0</v>
      </c>
      <c r="S794">
        <v>0</v>
      </c>
      <c r="T794" t="s">
        <v>3469</v>
      </c>
    </row>
    <row r="795" spans="1:20" x14ac:dyDescent="0.2">
      <c r="A795" t="s">
        <v>2218</v>
      </c>
      <c r="B795" t="s">
        <v>9781</v>
      </c>
      <c r="C795" t="s">
        <v>18723</v>
      </c>
      <c r="D795">
        <v>219274</v>
      </c>
      <c r="E795">
        <v>62295</v>
      </c>
      <c r="F795">
        <v>209</v>
      </c>
      <c r="G795" t="s">
        <v>3863</v>
      </c>
      <c r="H795" t="s">
        <v>3864</v>
      </c>
      <c r="I795">
        <v>5017</v>
      </c>
      <c r="J795" t="s">
        <v>3438</v>
      </c>
      <c r="P795">
        <v>0</v>
      </c>
      <c r="S795">
        <v>0</v>
      </c>
      <c r="T795" t="s">
        <v>3469</v>
      </c>
    </row>
    <row r="796" spans="1:20" x14ac:dyDescent="0.2">
      <c r="A796" t="s">
        <v>2216</v>
      </c>
      <c r="B796" t="s">
        <v>9782</v>
      </c>
      <c r="C796" t="s">
        <v>18724</v>
      </c>
      <c r="D796">
        <v>219275</v>
      </c>
      <c r="E796">
        <v>62296</v>
      </c>
      <c r="F796">
        <v>209</v>
      </c>
      <c r="G796" t="s">
        <v>3863</v>
      </c>
      <c r="H796" t="s">
        <v>3864</v>
      </c>
      <c r="I796">
        <v>5018</v>
      </c>
      <c r="J796" t="s">
        <v>3438</v>
      </c>
      <c r="P796">
        <v>0</v>
      </c>
      <c r="S796">
        <v>0</v>
      </c>
      <c r="T796" t="s">
        <v>3469</v>
      </c>
    </row>
    <row r="797" spans="1:20" x14ac:dyDescent="0.2">
      <c r="A797" t="s">
        <v>2211</v>
      </c>
      <c r="B797" t="s">
        <v>9783</v>
      </c>
      <c r="C797" t="s">
        <v>18725</v>
      </c>
      <c r="D797">
        <v>219276</v>
      </c>
      <c r="E797">
        <v>62297</v>
      </c>
      <c r="F797">
        <v>209</v>
      </c>
      <c r="G797" t="s">
        <v>3863</v>
      </c>
      <c r="H797" t="s">
        <v>3864</v>
      </c>
      <c r="I797">
        <v>5023</v>
      </c>
      <c r="J797" t="s">
        <v>3438</v>
      </c>
      <c r="P797">
        <v>0</v>
      </c>
      <c r="S797">
        <v>0</v>
      </c>
      <c r="T797" t="s">
        <v>3469</v>
      </c>
    </row>
    <row r="798" spans="1:20" x14ac:dyDescent="0.2">
      <c r="A798" t="s">
        <v>2230</v>
      </c>
      <c r="B798" t="s">
        <v>9784</v>
      </c>
      <c r="C798" t="s">
        <v>18726</v>
      </c>
      <c r="D798">
        <v>219278</v>
      </c>
      <c r="E798">
        <v>62299</v>
      </c>
      <c r="F798">
        <v>209</v>
      </c>
      <c r="G798" t="s">
        <v>3863</v>
      </c>
      <c r="H798" t="s">
        <v>3864</v>
      </c>
      <c r="I798">
        <v>5025</v>
      </c>
      <c r="J798" t="s">
        <v>3438</v>
      </c>
      <c r="P798">
        <v>0</v>
      </c>
      <c r="S798">
        <v>0</v>
      </c>
      <c r="T798" t="s">
        <v>3469</v>
      </c>
    </row>
    <row r="799" spans="1:20" x14ac:dyDescent="0.2">
      <c r="A799" t="s">
        <v>2224</v>
      </c>
      <c r="B799" t="s">
        <v>9790</v>
      </c>
      <c r="C799" t="s">
        <v>18727</v>
      </c>
      <c r="D799">
        <v>219835</v>
      </c>
      <c r="E799">
        <v>62520</v>
      </c>
      <c r="F799">
        <v>209</v>
      </c>
      <c r="G799" t="s">
        <v>3863</v>
      </c>
      <c r="H799" t="s">
        <v>5632</v>
      </c>
      <c r="I799">
        <v>6175</v>
      </c>
      <c r="J799" t="s">
        <v>3438</v>
      </c>
      <c r="K799" t="s">
        <v>18728</v>
      </c>
      <c r="L799" t="s">
        <v>9789</v>
      </c>
      <c r="N799">
        <v>67020</v>
      </c>
      <c r="P799">
        <v>0</v>
      </c>
      <c r="R799">
        <v>74428</v>
      </c>
      <c r="S799">
        <v>74428</v>
      </c>
      <c r="T799" t="s">
        <v>3469</v>
      </c>
    </row>
    <row r="800" spans="1:20" x14ac:dyDescent="0.2">
      <c r="A800" t="s">
        <v>2232</v>
      </c>
      <c r="B800" t="s">
        <v>9795</v>
      </c>
      <c r="C800" t="s">
        <v>18729</v>
      </c>
      <c r="D800">
        <v>219867</v>
      </c>
      <c r="E800">
        <v>62533</v>
      </c>
      <c r="F800">
        <v>209</v>
      </c>
      <c r="G800" t="s">
        <v>3863</v>
      </c>
      <c r="H800" t="s">
        <v>3864</v>
      </c>
      <c r="I800">
        <v>5202</v>
      </c>
      <c r="J800" t="s">
        <v>3438</v>
      </c>
      <c r="L800" t="s">
        <v>9794</v>
      </c>
      <c r="P800">
        <v>0</v>
      </c>
      <c r="S800">
        <v>0</v>
      </c>
      <c r="T800" t="s">
        <v>3469</v>
      </c>
    </row>
    <row r="801" spans="1:20" x14ac:dyDescent="0.2">
      <c r="A801" t="s">
        <v>14026</v>
      </c>
      <c r="B801" t="s">
        <v>9798</v>
      </c>
      <c r="C801" t="s">
        <v>18730</v>
      </c>
      <c r="D801">
        <v>221702</v>
      </c>
      <c r="E801">
        <v>63072</v>
      </c>
      <c r="F801">
        <v>209</v>
      </c>
      <c r="G801" t="s">
        <v>3863</v>
      </c>
      <c r="H801" t="s">
        <v>5082</v>
      </c>
      <c r="I801">
        <v>4504</v>
      </c>
      <c r="J801" t="s">
        <v>3438</v>
      </c>
      <c r="L801" t="s">
        <v>9797</v>
      </c>
      <c r="P801">
        <v>0</v>
      </c>
      <c r="S801">
        <v>0</v>
      </c>
      <c r="T801" t="s">
        <v>3469</v>
      </c>
    </row>
    <row r="802" spans="1:20" x14ac:dyDescent="0.2">
      <c r="A802" t="s">
        <v>14027</v>
      </c>
      <c r="B802" t="s">
        <v>9801</v>
      </c>
      <c r="C802" t="s">
        <v>18731</v>
      </c>
      <c r="D802">
        <v>222126</v>
      </c>
      <c r="E802">
        <v>63251</v>
      </c>
      <c r="F802">
        <v>209</v>
      </c>
      <c r="G802" t="s">
        <v>3459</v>
      </c>
      <c r="H802" t="s">
        <v>5559</v>
      </c>
      <c r="I802">
        <v>3401</v>
      </c>
      <c r="J802" t="s">
        <v>3438</v>
      </c>
      <c r="L802" t="s">
        <v>9800</v>
      </c>
      <c r="P802" t="s">
        <v>9802</v>
      </c>
      <c r="S802">
        <v>53480452</v>
      </c>
      <c r="T802" t="s">
        <v>3469</v>
      </c>
    </row>
    <row r="803" spans="1:20" x14ac:dyDescent="0.2">
      <c r="A803" t="s">
        <v>2234</v>
      </c>
      <c r="B803" t="s">
        <v>9805</v>
      </c>
      <c r="C803" t="s">
        <v>18732</v>
      </c>
      <c r="D803">
        <v>237607</v>
      </c>
      <c r="E803">
        <v>64418</v>
      </c>
      <c r="F803">
        <v>209</v>
      </c>
      <c r="G803" t="s">
        <v>3459</v>
      </c>
      <c r="H803" t="s">
        <v>5559</v>
      </c>
      <c r="I803">
        <v>3357</v>
      </c>
      <c r="J803" t="s">
        <v>3438</v>
      </c>
      <c r="L803" t="s">
        <v>9804</v>
      </c>
      <c r="M803" t="s">
        <v>9806</v>
      </c>
      <c r="P803">
        <v>0</v>
      </c>
      <c r="S803">
        <v>0</v>
      </c>
      <c r="T803" t="s">
        <v>3469</v>
      </c>
    </row>
    <row r="804" spans="1:20" x14ac:dyDescent="0.2">
      <c r="A804" t="s">
        <v>3087</v>
      </c>
      <c r="B804" t="s">
        <v>9809</v>
      </c>
      <c r="C804" t="s">
        <v>18733</v>
      </c>
      <c r="D804">
        <v>222161</v>
      </c>
      <c r="E804">
        <v>63254</v>
      </c>
      <c r="F804">
        <v>400</v>
      </c>
      <c r="G804" t="s">
        <v>3436</v>
      </c>
      <c r="H804" t="s">
        <v>3586</v>
      </c>
      <c r="I804">
        <v>110</v>
      </c>
      <c r="J804" t="s">
        <v>3438</v>
      </c>
      <c r="L804" t="s">
        <v>9808</v>
      </c>
      <c r="P804">
        <v>0</v>
      </c>
      <c r="S804">
        <v>0</v>
      </c>
      <c r="T804" t="s">
        <v>3458</v>
      </c>
    </row>
    <row r="805" spans="1:20" x14ac:dyDescent="0.2">
      <c r="A805" t="s">
        <v>3089</v>
      </c>
      <c r="B805" t="s">
        <v>9812</v>
      </c>
      <c r="C805" t="s">
        <v>18734</v>
      </c>
      <c r="D805">
        <v>220835</v>
      </c>
      <c r="E805">
        <v>62954</v>
      </c>
      <c r="F805">
        <v>400</v>
      </c>
      <c r="G805" t="s">
        <v>3436</v>
      </c>
      <c r="H805" t="s">
        <v>3586</v>
      </c>
      <c r="I805">
        <v>109</v>
      </c>
      <c r="J805" t="s">
        <v>3438</v>
      </c>
      <c r="L805" t="s">
        <v>9811</v>
      </c>
      <c r="P805">
        <v>0</v>
      </c>
      <c r="S805">
        <v>0</v>
      </c>
      <c r="T805" t="s">
        <v>3458</v>
      </c>
    </row>
    <row r="806" spans="1:20" x14ac:dyDescent="0.2">
      <c r="A806" t="s">
        <v>2236</v>
      </c>
      <c r="B806" t="s">
        <v>9815</v>
      </c>
      <c r="C806" t="s">
        <v>18735</v>
      </c>
      <c r="D806">
        <v>219957</v>
      </c>
      <c r="E806">
        <v>62571</v>
      </c>
      <c r="F806">
        <v>209</v>
      </c>
      <c r="G806" t="s">
        <v>3459</v>
      </c>
      <c r="H806" t="s">
        <v>3516</v>
      </c>
      <c r="I806">
        <v>3471</v>
      </c>
      <c r="J806" t="s">
        <v>3438</v>
      </c>
      <c r="L806" t="s">
        <v>9814</v>
      </c>
      <c r="O806" t="s">
        <v>9816</v>
      </c>
      <c r="P806" t="s">
        <v>9816</v>
      </c>
      <c r="R806">
        <v>21252309</v>
      </c>
      <c r="S806">
        <v>21252309</v>
      </c>
      <c r="T806" t="s">
        <v>3469</v>
      </c>
    </row>
    <row r="807" spans="1:20" x14ac:dyDescent="0.2">
      <c r="A807" t="s">
        <v>14028</v>
      </c>
      <c r="B807" t="s">
        <v>9820</v>
      </c>
      <c r="C807" t="s">
        <v>18736</v>
      </c>
      <c r="D807">
        <v>222934</v>
      </c>
      <c r="E807">
        <v>63610</v>
      </c>
      <c r="F807">
        <v>209</v>
      </c>
      <c r="G807" t="s">
        <v>3459</v>
      </c>
      <c r="H807" t="s">
        <v>3819</v>
      </c>
      <c r="I807">
        <v>3484</v>
      </c>
      <c r="J807" t="s">
        <v>3438</v>
      </c>
      <c r="L807" t="s">
        <v>9819</v>
      </c>
      <c r="O807" t="s">
        <v>18737</v>
      </c>
      <c r="P807" t="s">
        <v>18737</v>
      </c>
      <c r="S807">
        <v>53477755</v>
      </c>
      <c r="T807" t="s">
        <v>3469</v>
      </c>
    </row>
    <row r="808" spans="1:20" x14ac:dyDescent="0.2">
      <c r="A808" t="s">
        <v>14029</v>
      </c>
      <c r="B808" t="s">
        <v>9823</v>
      </c>
      <c r="C808" t="s">
        <v>18738</v>
      </c>
      <c r="D808">
        <v>222898</v>
      </c>
      <c r="E808">
        <v>63597</v>
      </c>
      <c r="F808">
        <v>209</v>
      </c>
      <c r="G808" t="s">
        <v>3863</v>
      </c>
      <c r="H808" t="s">
        <v>5082</v>
      </c>
      <c r="I808">
        <v>4506</v>
      </c>
      <c r="J808" t="s">
        <v>3438</v>
      </c>
      <c r="L808" t="s">
        <v>9822</v>
      </c>
      <c r="P808">
        <v>0</v>
      </c>
      <c r="S808">
        <v>0</v>
      </c>
      <c r="T808" t="s">
        <v>3469</v>
      </c>
    </row>
    <row r="809" spans="1:20" x14ac:dyDescent="0.2">
      <c r="A809" t="s">
        <v>2220</v>
      </c>
      <c r="B809" t="s">
        <v>9826</v>
      </c>
      <c r="C809" t="s">
        <v>18739</v>
      </c>
      <c r="D809">
        <v>222109</v>
      </c>
      <c r="E809">
        <v>63236</v>
      </c>
      <c r="F809">
        <v>400</v>
      </c>
      <c r="G809" t="s">
        <v>3863</v>
      </c>
      <c r="H809" t="s">
        <v>5632</v>
      </c>
      <c r="I809">
        <v>6222</v>
      </c>
      <c r="J809" t="s">
        <v>3438</v>
      </c>
      <c r="L809" t="s">
        <v>9825</v>
      </c>
      <c r="P809">
        <v>0</v>
      </c>
      <c r="S809">
        <v>0</v>
      </c>
      <c r="T809" t="s">
        <v>3458</v>
      </c>
    </row>
    <row r="810" spans="1:20" x14ac:dyDescent="0.2">
      <c r="A810" t="s">
        <v>19132</v>
      </c>
      <c r="B810" t="s">
        <v>18740</v>
      </c>
      <c r="C810" t="s">
        <v>18741</v>
      </c>
      <c r="D810">
        <v>223472</v>
      </c>
      <c r="E810">
        <v>63857</v>
      </c>
      <c r="F810">
        <v>209</v>
      </c>
      <c r="G810" t="s">
        <v>3863</v>
      </c>
      <c r="H810" t="s">
        <v>3864</v>
      </c>
      <c r="I810">
        <v>5216</v>
      </c>
      <c r="J810" t="s">
        <v>3438</v>
      </c>
      <c r="L810" t="s">
        <v>18742</v>
      </c>
      <c r="P810">
        <v>0</v>
      </c>
      <c r="S810">
        <v>0</v>
      </c>
      <c r="T810" t="s">
        <v>3469</v>
      </c>
    </row>
    <row r="811" spans="1:20" x14ac:dyDescent="0.2">
      <c r="A811" t="s">
        <v>2244</v>
      </c>
      <c r="B811" t="s">
        <v>9835</v>
      </c>
      <c r="C811" t="s">
        <v>18743</v>
      </c>
      <c r="D811">
        <v>220261</v>
      </c>
      <c r="E811">
        <v>62735</v>
      </c>
      <c r="F811">
        <v>209</v>
      </c>
      <c r="G811" t="s">
        <v>3459</v>
      </c>
      <c r="H811" t="s">
        <v>6878</v>
      </c>
      <c r="I811">
        <v>1784</v>
      </c>
      <c r="J811" t="s">
        <v>3438</v>
      </c>
      <c r="L811" t="s">
        <v>9834</v>
      </c>
      <c r="P811">
        <v>0</v>
      </c>
      <c r="S811">
        <v>0</v>
      </c>
      <c r="T811" t="s">
        <v>3469</v>
      </c>
    </row>
    <row r="812" spans="1:20" x14ac:dyDescent="0.2">
      <c r="A812" t="s">
        <v>2240</v>
      </c>
      <c r="B812" t="s">
        <v>9890</v>
      </c>
      <c r="C812" t="s">
        <v>18744</v>
      </c>
      <c r="D812">
        <v>223256</v>
      </c>
      <c r="E812">
        <v>63731</v>
      </c>
      <c r="F812">
        <v>209</v>
      </c>
      <c r="G812" t="s">
        <v>3459</v>
      </c>
      <c r="H812" t="s">
        <v>3819</v>
      </c>
      <c r="I812">
        <v>3517</v>
      </c>
      <c r="J812" t="s">
        <v>3438</v>
      </c>
      <c r="L812" t="s">
        <v>9889</v>
      </c>
      <c r="P812" t="s">
        <v>18745</v>
      </c>
      <c r="S812">
        <v>21116917</v>
      </c>
      <c r="T812" t="s">
        <v>3469</v>
      </c>
    </row>
    <row r="813" spans="1:20" x14ac:dyDescent="0.2">
      <c r="A813" t="s">
        <v>2242</v>
      </c>
      <c r="B813" t="s">
        <v>9894</v>
      </c>
      <c r="C813" t="s">
        <v>18746</v>
      </c>
      <c r="D813">
        <v>219856</v>
      </c>
      <c r="E813">
        <v>62524</v>
      </c>
      <c r="F813">
        <v>209</v>
      </c>
      <c r="G813" t="s">
        <v>3863</v>
      </c>
      <c r="H813" t="s">
        <v>3864</v>
      </c>
      <c r="I813">
        <v>4834</v>
      </c>
      <c r="J813" t="s">
        <v>3438</v>
      </c>
      <c r="L813" t="s">
        <v>9893</v>
      </c>
      <c r="P813">
        <v>0</v>
      </c>
      <c r="S813">
        <v>0</v>
      </c>
      <c r="T813" t="s">
        <v>3469</v>
      </c>
    </row>
    <row r="814" spans="1:20" x14ac:dyDescent="0.2">
      <c r="A814" t="s">
        <v>2259</v>
      </c>
      <c r="B814" t="s">
        <v>9897</v>
      </c>
      <c r="C814" t="s">
        <v>18747</v>
      </c>
      <c r="D814">
        <v>219859</v>
      </c>
      <c r="E814">
        <v>62526</v>
      </c>
      <c r="F814">
        <v>209</v>
      </c>
      <c r="G814" t="s">
        <v>3459</v>
      </c>
      <c r="H814" t="s">
        <v>3819</v>
      </c>
      <c r="I814">
        <v>3497</v>
      </c>
      <c r="J814" t="s">
        <v>3438</v>
      </c>
      <c r="L814" t="s">
        <v>9896</v>
      </c>
      <c r="P814">
        <v>0</v>
      </c>
      <c r="R814">
        <v>451489</v>
      </c>
      <c r="S814">
        <v>451489</v>
      </c>
      <c r="T814" t="s">
        <v>3469</v>
      </c>
    </row>
    <row r="815" spans="1:20" x14ac:dyDescent="0.2">
      <c r="A815" t="s">
        <v>2253</v>
      </c>
      <c r="B815" t="s">
        <v>9902</v>
      </c>
      <c r="C815" t="s">
        <v>18748</v>
      </c>
      <c r="D815">
        <v>219908</v>
      </c>
      <c r="E815">
        <v>62557</v>
      </c>
      <c r="F815">
        <v>400</v>
      </c>
      <c r="G815" t="s">
        <v>3459</v>
      </c>
      <c r="H815" t="s">
        <v>7998</v>
      </c>
      <c r="I815">
        <v>1921</v>
      </c>
      <c r="J815" t="s">
        <v>3438</v>
      </c>
      <c r="L815" t="s">
        <v>9901</v>
      </c>
      <c r="P815">
        <v>0</v>
      </c>
      <c r="S815">
        <v>0</v>
      </c>
      <c r="T815" t="s">
        <v>3458</v>
      </c>
    </row>
    <row r="816" spans="1:20" x14ac:dyDescent="0.2">
      <c r="A816" t="s">
        <v>14043</v>
      </c>
      <c r="B816" t="s">
        <v>9908</v>
      </c>
      <c r="C816" t="s">
        <v>18749</v>
      </c>
      <c r="D816">
        <v>221782</v>
      </c>
      <c r="E816">
        <v>63120</v>
      </c>
      <c r="F816">
        <v>209</v>
      </c>
      <c r="G816" t="s">
        <v>3436</v>
      </c>
      <c r="H816" t="s">
        <v>3498</v>
      </c>
      <c r="I816">
        <v>348</v>
      </c>
      <c r="J816" t="s">
        <v>3438</v>
      </c>
      <c r="K816" t="s">
        <v>18750</v>
      </c>
      <c r="L816" t="s">
        <v>9907</v>
      </c>
      <c r="M816" t="s">
        <v>9909</v>
      </c>
      <c r="N816">
        <v>60921</v>
      </c>
      <c r="O816" t="s">
        <v>18751</v>
      </c>
      <c r="P816" t="s">
        <v>18751</v>
      </c>
      <c r="R816">
        <v>67600</v>
      </c>
      <c r="S816">
        <v>67600</v>
      </c>
      <c r="T816" t="s">
        <v>3469</v>
      </c>
    </row>
    <row r="817" spans="1:20" x14ac:dyDescent="0.2">
      <c r="A817" t="s">
        <v>14044</v>
      </c>
      <c r="B817" t="s">
        <v>9915</v>
      </c>
      <c r="C817" t="s">
        <v>18752</v>
      </c>
      <c r="D817">
        <v>221621</v>
      </c>
      <c r="E817">
        <v>63042</v>
      </c>
      <c r="F817">
        <v>209</v>
      </c>
      <c r="G817" t="s">
        <v>3863</v>
      </c>
      <c r="H817" t="s">
        <v>4142</v>
      </c>
      <c r="I817">
        <v>5961</v>
      </c>
      <c r="J817" t="s">
        <v>3438</v>
      </c>
      <c r="K817" t="s">
        <v>18753</v>
      </c>
      <c r="L817" t="s">
        <v>9914</v>
      </c>
      <c r="M817" t="s">
        <v>9916</v>
      </c>
      <c r="N817">
        <v>8974</v>
      </c>
      <c r="O817" t="s">
        <v>9918</v>
      </c>
      <c r="P817" t="s">
        <v>9918</v>
      </c>
      <c r="R817">
        <v>9338</v>
      </c>
      <c r="S817">
        <v>9338</v>
      </c>
      <c r="T817" t="s">
        <v>3469</v>
      </c>
    </row>
    <row r="818" spans="1:20" x14ac:dyDescent="0.2">
      <c r="A818" t="s">
        <v>2257</v>
      </c>
      <c r="B818" t="s">
        <v>9928</v>
      </c>
      <c r="C818" t="s">
        <v>18754</v>
      </c>
      <c r="D818">
        <v>220411</v>
      </c>
      <c r="E818">
        <v>62796</v>
      </c>
      <c r="F818">
        <v>209</v>
      </c>
      <c r="G818" t="s">
        <v>3863</v>
      </c>
      <c r="H818" t="s">
        <v>3864</v>
      </c>
      <c r="I818">
        <v>4897</v>
      </c>
      <c r="J818" t="s">
        <v>3438</v>
      </c>
      <c r="L818" t="s">
        <v>9927</v>
      </c>
      <c r="P818">
        <v>0</v>
      </c>
      <c r="S818">
        <v>0</v>
      </c>
      <c r="T818" t="s">
        <v>3469</v>
      </c>
    </row>
    <row r="819" spans="1:20" x14ac:dyDescent="0.2">
      <c r="A819" t="s">
        <v>19133</v>
      </c>
      <c r="B819" t="s">
        <v>18755</v>
      </c>
      <c r="C819" t="s">
        <v>18756</v>
      </c>
      <c r="D819">
        <v>220412</v>
      </c>
      <c r="E819">
        <v>62797</v>
      </c>
      <c r="F819">
        <v>209</v>
      </c>
      <c r="G819" t="s">
        <v>3863</v>
      </c>
      <c r="H819" t="s">
        <v>3864</v>
      </c>
      <c r="I819">
        <v>4898</v>
      </c>
      <c r="J819" t="s">
        <v>3438</v>
      </c>
      <c r="L819" t="s">
        <v>9927</v>
      </c>
      <c r="P819">
        <v>0</v>
      </c>
      <c r="S819">
        <v>0</v>
      </c>
      <c r="T819" t="s">
        <v>3469</v>
      </c>
    </row>
    <row r="820" spans="1:20" x14ac:dyDescent="0.2">
      <c r="A820" t="s">
        <v>2261</v>
      </c>
      <c r="B820" t="s">
        <v>9931</v>
      </c>
      <c r="C820" t="s">
        <v>18757</v>
      </c>
      <c r="D820">
        <v>220413</v>
      </c>
      <c r="E820">
        <v>62798</v>
      </c>
      <c r="F820">
        <v>209</v>
      </c>
      <c r="G820" t="s">
        <v>3863</v>
      </c>
      <c r="H820" t="s">
        <v>3864</v>
      </c>
      <c r="I820">
        <v>4812</v>
      </c>
      <c r="J820" t="s">
        <v>3438</v>
      </c>
      <c r="L820" t="s">
        <v>9930</v>
      </c>
      <c r="P820">
        <v>0</v>
      </c>
      <c r="S820">
        <v>0</v>
      </c>
      <c r="T820" t="s">
        <v>3469</v>
      </c>
    </row>
    <row r="821" spans="1:20" x14ac:dyDescent="0.2">
      <c r="A821" t="s">
        <v>14050</v>
      </c>
      <c r="B821" t="s">
        <v>9958</v>
      </c>
      <c r="C821" t="s">
        <v>18758</v>
      </c>
      <c r="D821">
        <v>220431</v>
      </c>
      <c r="E821">
        <v>62805</v>
      </c>
      <c r="F821">
        <v>209</v>
      </c>
      <c r="G821" t="s">
        <v>3436</v>
      </c>
      <c r="H821" t="s">
        <v>3603</v>
      </c>
      <c r="I821">
        <v>448</v>
      </c>
      <c r="J821" t="s">
        <v>3438</v>
      </c>
      <c r="L821" t="s">
        <v>9957</v>
      </c>
      <c r="O821" t="s">
        <v>9959</v>
      </c>
      <c r="P821" t="s">
        <v>9959</v>
      </c>
      <c r="S821">
        <v>0</v>
      </c>
      <c r="T821" t="s">
        <v>3469</v>
      </c>
    </row>
    <row r="822" spans="1:20" x14ac:dyDescent="0.2">
      <c r="A822" t="s">
        <v>2250</v>
      </c>
      <c r="B822" t="s">
        <v>10046</v>
      </c>
      <c r="C822" t="s">
        <v>18759</v>
      </c>
      <c r="D822">
        <v>222087</v>
      </c>
      <c r="E822">
        <v>63230</v>
      </c>
      <c r="F822">
        <v>209</v>
      </c>
      <c r="G822" t="s">
        <v>3863</v>
      </c>
      <c r="H822" t="s">
        <v>5632</v>
      </c>
      <c r="I822">
        <v>6252</v>
      </c>
      <c r="J822" t="s">
        <v>3438</v>
      </c>
      <c r="L822" t="s">
        <v>10045</v>
      </c>
      <c r="P822">
        <v>0</v>
      </c>
      <c r="S822">
        <v>0</v>
      </c>
      <c r="T822" t="s">
        <v>3469</v>
      </c>
    </row>
    <row r="823" spans="1:20" x14ac:dyDescent="0.2">
      <c r="A823" t="s">
        <v>2248</v>
      </c>
      <c r="B823" t="s">
        <v>10049</v>
      </c>
      <c r="C823" t="s">
        <v>18760</v>
      </c>
      <c r="D823">
        <v>222084</v>
      </c>
      <c r="E823">
        <v>63227</v>
      </c>
      <c r="F823">
        <v>209</v>
      </c>
      <c r="G823" t="s">
        <v>3863</v>
      </c>
      <c r="H823" t="s">
        <v>5632</v>
      </c>
      <c r="I823">
        <v>6254</v>
      </c>
      <c r="J823" t="s">
        <v>3438</v>
      </c>
      <c r="L823" t="s">
        <v>10048</v>
      </c>
      <c r="P823">
        <v>0</v>
      </c>
      <c r="S823">
        <v>0</v>
      </c>
      <c r="T823" t="s">
        <v>3469</v>
      </c>
    </row>
    <row r="824" spans="1:20" x14ac:dyDescent="0.2">
      <c r="A824" t="s">
        <v>14067</v>
      </c>
      <c r="B824" t="s">
        <v>10052</v>
      </c>
      <c r="C824" t="s">
        <v>18761</v>
      </c>
      <c r="D824">
        <v>220620</v>
      </c>
      <c r="E824">
        <v>62851</v>
      </c>
      <c r="F824">
        <v>402</v>
      </c>
      <c r="G824" t="s">
        <v>3459</v>
      </c>
      <c r="H824" t="s">
        <v>814</v>
      </c>
      <c r="I824">
        <v>3104</v>
      </c>
      <c r="J824" t="s">
        <v>3438</v>
      </c>
      <c r="L824" t="s">
        <v>10051</v>
      </c>
      <c r="P824">
        <v>0</v>
      </c>
      <c r="S824">
        <v>0</v>
      </c>
      <c r="T824" t="s">
        <v>3447</v>
      </c>
    </row>
    <row r="825" spans="1:20" x14ac:dyDescent="0.2">
      <c r="A825" t="s">
        <v>19134</v>
      </c>
      <c r="B825" t="s">
        <v>18762</v>
      </c>
      <c r="C825" t="s">
        <v>18763</v>
      </c>
      <c r="D825">
        <v>220663</v>
      </c>
      <c r="E825">
        <v>62871</v>
      </c>
      <c r="F825">
        <v>400</v>
      </c>
      <c r="G825" t="s">
        <v>3863</v>
      </c>
      <c r="H825" t="s">
        <v>3864</v>
      </c>
      <c r="I825">
        <v>4804</v>
      </c>
      <c r="J825" t="s">
        <v>3438</v>
      </c>
      <c r="L825" t="s">
        <v>18764</v>
      </c>
      <c r="P825">
        <v>0</v>
      </c>
      <c r="S825">
        <v>0</v>
      </c>
      <c r="T825" t="s">
        <v>3458</v>
      </c>
    </row>
    <row r="826" spans="1:20" x14ac:dyDescent="0.2">
      <c r="A826" t="s">
        <v>14069</v>
      </c>
      <c r="B826" t="s">
        <v>10064</v>
      </c>
      <c r="C826" t="s">
        <v>18765</v>
      </c>
      <c r="D826">
        <v>220741</v>
      </c>
      <c r="E826">
        <v>62890</v>
      </c>
      <c r="F826">
        <v>209</v>
      </c>
      <c r="G826" t="s">
        <v>3459</v>
      </c>
      <c r="H826" t="s">
        <v>3819</v>
      </c>
      <c r="I826">
        <v>3541</v>
      </c>
      <c r="J826" t="s">
        <v>3438</v>
      </c>
      <c r="K826" t="s">
        <v>18766</v>
      </c>
      <c r="L826" t="s">
        <v>10063</v>
      </c>
      <c r="N826">
        <v>24850141</v>
      </c>
      <c r="O826" t="s">
        <v>10066</v>
      </c>
      <c r="P826" t="s">
        <v>10066</v>
      </c>
      <c r="R826">
        <v>52931550</v>
      </c>
      <c r="S826">
        <v>52931550</v>
      </c>
      <c r="T826" t="s">
        <v>3469</v>
      </c>
    </row>
    <row r="827" spans="1:20" x14ac:dyDescent="0.2">
      <c r="A827" t="s">
        <v>2275</v>
      </c>
      <c r="B827" t="s">
        <v>10070</v>
      </c>
      <c r="C827" t="s">
        <v>18767</v>
      </c>
      <c r="D827">
        <v>220774</v>
      </c>
      <c r="E827">
        <v>62918</v>
      </c>
      <c r="F827">
        <v>209</v>
      </c>
      <c r="G827" t="s">
        <v>3459</v>
      </c>
      <c r="H827" t="s">
        <v>3873</v>
      </c>
      <c r="I827">
        <v>1694</v>
      </c>
      <c r="J827" t="s">
        <v>3438</v>
      </c>
      <c r="L827" t="s">
        <v>10069</v>
      </c>
      <c r="P827">
        <v>0</v>
      </c>
      <c r="R827">
        <v>86018718</v>
      </c>
      <c r="S827">
        <v>86018718</v>
      </c>
      <c r="T827" t="s">
        <v>3469</v>
      </c>
    </row>
    <row r="828" spans="1:20" x14ac:dyDescent="0.2">
      <c r="A828" t="s">
        <v>14070</v>
      </c>
      <c r="B828" t="s">
        <v>10074</v>
      </c>
      <c r="C828" t="s">
        <v>18768</v>
      </c>
      <c r="D828">
        <v>220778</v>
      </c>
      <c r="E828">
        <v>62922</v>
      </c>
      <c r="F828">
        <v>209</v>
      </c>
      <c r="G828" t="s">
        <v>3459</v>
      </c>
      <c r="H828" t="s">
        <v>7151</v>
      </c>
      <c r="I828">
        <v>3261</v>
      </c>
      <c r="J828" t="s">
        <v>3438</v>
      </c>
      <c r="L828" t="s">
        <v>10073</v>
      </c>
      <c r="P828">
        <v>0</v>
      </c>
      <c r="R828">
        <v>129671303</v>
      </c>
      <c r="S828">
        <v>129671303</v>
      </c>
      <c r="T828" t="s">
        <v>3469</v>
      </c>
    </row>
    <row r="829" spans="1:20" x14ac:dyDescent="0.2">
      <c r="A829" t="s">
        <v>14071</v>
      </c>
      <c r="B829" t="s">
        <v>10078</v>
      </c>
      <c r="C829" t="s">
        <v>18769</v>
      </c>
      <c r="D829">
        <v>220777</v>
      </c>
      <c r="E829">
        <v>62921</v>
      </c>
      <c r="F829">
        <v>209</v>
      </c>
      <c r="G829" t="s">
        <v>3459</v>
      </c>
      <c r="H829" t="s">
        <v>7151</v>
      </c>
      <c r="I829">
        <v>3262</v>
      </c>
      <c r="J829" t="s">
        <v>3438</v>
      </c>
      <c r="L829" t="s">
        <v>10077</v>
      </c>
      <c r="P829">
        <v>0</v>
      </c>
      <c r="S829">
        <v>0</v>
      </c>
      <c r="T829" t="s">
        <v>3469</v>
      </c>
    </row>
    <row r="830" spans="1:20" x14ac:dyDescent="0.2">
      <c r="A830" t="s">
        <v>14072</v>
      </c>
      <c r="B830" t="s">
        <v>10081</v>
      </c>
      <c r="C830" t="s">
        <v>18770</v>
      </c>
      <c r="D830">
        <v>220779</v>
      </c>
      <c r="E830">
        <v>62923</v>
      </c>
      <c r="F830">
        <v>209</v>
      </c>
      <c r="G830" t="s">
        <v>3459</v>
      </c>
      <c r="H830" t="s">
        <v>3873</v>
      </c>
      <c r="I830">
        <v>1703</v>
      </c>
      <c r="J830" t="s">
        <v>3438</v>
      </c>
      <c r="L830" t="s">
        <v>10080</v>
      </c>
      <c r="P830">
        <v>0</v>
      </c>
      <c r="S830">
        <v>0</v>
      </c>
      <c r="T830" t="s">
        <v>3469</v>
      </c>
    </row>
    <row r="831" spans="1:20" x14ac:dyDescent="0.2">
      <c r="A831" t="s">
        <v>14074</v>
      </c>
      <c r="B831" t="s">
        <v>10088</v>
      </c>
      <c r="C831" t="s">
        <v>18771</v>
      </c>
      <c r="D831">
        <v>220848</v>
      </c>
      <c r="E831">
        <v>62959</v>
      </c>
      <c r="F831">
        <v>400</v>
      </c>
      <c r="G831" t="s">
        <v>3436</v>
      </c>
      <c r="H831" t="s">
        <v>3586</v>
      </c>
      <c r="I831">
        <v>117</v>
      </c>
      <c r="J831" t="s">
        <v>3438</v>
      </c>
      <c r="L831" t="s">
        <v>10087</v>
      </c>
      <c r="P831">
        <v>0</v>
      </c>
      <c r="S831">
        <v>0</v>
      </c>
      <c r="T831" t="s">
        <v>3458</v>
      </c>
    </row>
    <row r="832" spans="1:20" x14ac:dyDescent="0.2">
      <c r="A832" t="s">
        <v>14075</v>
      </c>
      <c r="B832" t="s">
        <v>10091</v>
      </c>
      <c r="C832" t="s">
        <v>18772</v>
      </c>
      <c r="D832">
        <v>222938</v>
      </c>
      <c r="E832">
        <v>63613</v>
      </c>
      <c r="F832">
        <v>402</v>
      </c>
      <c r="G832" t="s">
        <v>3459</v>
      </c>
      <c r="H832" t="s">
        <v>6535</v>
      </c>
      <c r="I832">
        <v>1881</v>
      </c>
      <c r="J832" t="s">
        <v>3438</v>
      </c>
      <c r="L832" t="s">
        <v>10090</v>
      </c>
      <c r="P832">
        <v>0</v>
      </c>
      <c r="S832">
        <v>0</v>
      </c>
      <c r="T832" t="s">
        <v>3447</v>
      </c>
    </row>
    <row r="833" spans="1:20" x14ac:dyDescent="0.2">
      <c r="A833" t="s">
        <v>19135</v>
      </c>
      <c r="B833" t="s">
        <v>18773</v>
      </c>
      <c r="C833" t="s">
        <v>18774</v>
      </c>
      <c r="D833">
        <v>222427</v>
      </c>
      <c r="E833">
        <v>63359</v>
      </c>
      <c r="F833">
        <v>400</v>
      </c>
      <c r="G833" t="s">
        <v>3863</v>
      </c>
      <c r="H833" t="s">
        <v>3864</v>
      </c>
      <c r="I833">
        <v>4749</v>
      </c>
      <c r="J833" t="s">
        <v>3438</v>
      </c>
      <c r="L833" t="s">
        <v>18775</v>
      </c>
      <c r="P833">
        <v>0</v>
      </c>
      <c r="S833">
        <v>0</v>
      </c>
      <c r="T833" t="s">
        <v>3458</v>
      </c>
    </row>
    <row r="834" spans="1:20" x14ac:dyDescent="0.2">
      <c r="A834" t="s">
        <v>2287</v>
      </c>
      <c r="B834" t="s">
        <v>10097</v>
      </c>
      <c r="C834" t="s">
        <v>18776</v>
      </c>
      <c r="D834">
        <v>222426</v>
      </c>
      <c r="E834">
        <v>63358</v>
      </c>
      <c r="F834">
        <v>402</v>
      </c>
      <c r="G834" t="s">
        <v>3459</v>
      </c>
      <c r="H834" t="s">
        <v>7998</v>
      </c>
      <c r="I834">
        <v>1927</v>
      </c>
      <c r="J834" t="s">
        <v>3438</v>
      </c>
      <c r="K834" t="s">
        <v>18777</v>
      </c>
      <c r="L834" t="s">
        <v>10096</v>
      </c>
      <c r="N834">
        <v>59664325</v>
      </c>
      <c r="O834" t="s">
        <v>10099</v>
      </c>
      <c r="P834" t="s">
        <v>10099</v>
      </c>
      <c r="Q834" t="s">
        <v>18778</v>
      </c>
      <c r="R834">
        <v>121454166</v>
      </c>
      <c r="S834">
        <v>121454166</v>
      </c>
      <c r="T834" t="s">
        <v>3447</v>
      </c>
    </row>
    <row r="835" spans="1:20" x14ac:dyDescent="0.2">
      <c r="A835" t="s">
        <v>14077</v>
      </c>
      <c r="B835" t="s">
        <v>10104</v>
      </c>
      <c r="C835" t="s">
        <v>18779</v>
      </c>
      <c r="D835">
        <v>221101</v>
      </c>
      <c r="E835">
        <v>62984</v>
      </c>
      <c r="F835">
        <v>402</v>
      </c>
      <c r="G835" t="s">
        <v>3459</v>
      </c>
      <c r="H835" t="s">
        <v>10101</v>
      </c>
      <c r="I835">
        <v>3134</v>
      </c>
      <c r="J835" t="s">
        <v>3438</v>
      </c>
      <c r="L835" t="s">
        <v>10103</v>
      </c>
      <c r="P835">
        <v>0</v>
      </c>
      <c r="S835">
        <v>0</v>
      </c>
      <c r="T835" t="s">
        <v>3447</v>
      </c>
    </row>
    <row r="836" spans="1:20" x14ac:dyDescent="0.2">
      <c r="A836" t="s">
        <v>14078</v>
      </c>
      <c r="B836" t="s">
        <v>10107</v>
      </c>
      <c r="C836" t="s">
        <v>18780</v>
      </c>
      <c r="D836">
        <v>221669</v>
      </c>
      <c r="E836">
        <v>63057</v>
      </c>
      <c r="F836">
        <v>400</v>
      </c>
      <c r="G836" t="s">
        <v>3459</v>
      </c>
      <c r="H836" t="s">
        <v>4991</v>
      </c>
      <c r="I836">
        <v>1837</v>
      </c>
      <c r="J836" t="s">
        <v>3438</v>
      </c>
      <c r="K836" t="s">
        <v>18781</v>
      </c>
      <c r="L836" t="s">
        <v>10106</v>
      </c>
      <c r="M836" t="s">
        <v>10108</v>
      </c>
      <c r="N836">
        <v>9963296</v>
      </c>
      <c r="O836" t="s">
        <v>10110</v>
      </c>
      <c r="P836" t="s">
        <v>10110</v>
      </c>
      <c r="R836">
        <v>11788622</v>
      </c>
      <c r="S836">
        <v>11788622</v>
      </c>
      <c r="T836" t="s">
        <v>3458</v>
      </c>
    </row>
    <row r="837" spans="1:20" x14ac:dyDescent="0.2">
      <c r="A837" t="s">
        <v>2267</v>
      </c>
      <c r="B837" t="s">
        <v>10117</v>
      </c>
      <c r="C837" t="s">
        <v>18782</v>
      </c>
      <c r="D837">
        <v>223092</v>
      </c>
      <c r="E837">
        <v>63678</v>
      </c>
      <c r="F837">
        <v>305</v>
      </c>
      <c r="G837" t="s">
        <v>3436</v>
      </c>
      <c r="H837" t="s">
        <v>3603</v>
      </c>
      <c r="I837">
        <v>476</v>
      </c>
      <c r="J837" t="s">
        <v>3438</v>
      </c>
      <c r="L837" t="s">
        <v>10116</v>
      </c>
      <c r="N837">
        <v>20509456</v>
      </c>
      <c r="P837">
        <v>0</v>
      </c>
      <c r="S837">
        <v>0</v>
      </c>
      <c r="T837" t="s">
        <v>3489</v>
      </c>
    </row>
    <row r="838" spans="1:20" x14ac:dyDescent="0.2">
      <c r="A838" t="s">
        <v>14081</v>
      </c>
      <c r="B838" t="s">
        <v>10124</v>
      </c>
      <c r="C838" t="s">
        <v>18783</v>
      </c>
      <c r="D838">
        <v>222870</v>
      </c>
      <c r="E838">
        <v>63589</v>
      </c>
      <c r="F838">
        <v>305</v>
      </c>
      <c r="G838" t="s">
        <v>3863</v>
      </c>
      <c r="H838" t="s">
        <v>5632</v>
      </c>
      <c r="I838">
        <v>6259</v>
      </c>
      <c r="J838" t="s">
        <v>3438</v>
      </c>
      <c r="L838" t="s">
        <v>10123</v>
      </c>
      <c r="N838">
        <v>24339141</v>
      </c>
      <c r="P838">
        <v>0</v>
      </c>
      <c r="R838">
        <v>24721632</v>
      </c>
      <c r="S838">
        <v>24721632</v>
      </c>
      <c r="T838" t="s">
        <v>3489</v>
      </c>
    </row>
    <row r="839" spans="1:20" x14ac:dyDescent="0.2">
      <c r="A839" t="s">
        <v>19136</v>
      </c>
      <c r="B839" t="s">
        <v>18784</v>
      </c>
      <c r="C839" t="s">
        <v>18785</v>
      </c>
      <c r="D839">
        <v>222374</v>
      </c>
      <c r="E839">
        <v>63339</v>
      </c>
      <c r="F839">
        <v>400</v>
      </c>
      <c r="G839" t="s">
        <v>3863</v>
      </c>
      <c r="H839" t="s">
        <v>3864</v>
      </c>
      <c r="I839">
        <v>5210</v>
      </c>
      <c r="J839" t="s">
        <v>3438</v>
      </c>
      <c r="K839" t="s">
        <v>18786</v>
      </c>
      <c r="L839" t="s">
        <v>18787</v>
      </c>
      <c r="M839" t="s">
        <v>18788</v>
      </c>
      <c r="N839">
        <v>388871</v>
      </c>
      <c r="P839">
        <v>0</v>
      </c>
      <c r="Q839" t="s">
        <v>18789</v>
      </c>
      <c r="R839">
        <v>440599</v>
      </c>
      <c r="S839">
        <v>440599</v>
      </c>
      <c r="T839" t="s">
        <v>3458</v>
      </c>
    </row>
    <row r="840" spans="1:20" x14ac:dyDescent="0.2">
      <c r="A840" t="s">
        <v>14082</v>
      </c>
      <c r="B840" t="s">
        <v>10129</v>
      </c>
      <c r="C840" t="s">
        <v>18790</v>
      </c>
      <c r="D840">
        <v>221892</v>
      </c>
      <c r="E840">
        <v>63153</v>
      </c>
      <c r="F840">
        <v>209</v>
      </c>
      <c r="G840" t="s">
        <v>6580</v>
      </c>
      <c r="H840" t="s">
        <v>6580</v>
      </c>
      <c r="I840">
        <v>6422</v>
      </c>
      <c r="J840" t="s">
        <v>3438</v>
      </c>
      <c r="L840" t="s">
        <v>10128</v>
      </c>
      <c r="P840">
        <v>0</v>
      </c>
      <c r="S840">
        <v>0</v>
      </c>
      <c r="T840" t="s">
        <v>3469</v>
      </c>
    </row>
    <row r="841" spans="1:20" x14ac:dyDescent="0.2">
      <c r="A841" t="s">
        <v>14083</v>
      </c>
      <c r="B841" t="s">
        <v>18791</v>
      </c>
      <c r="C841" t="s">
        <v>18792</v>
      </c>
      <c r="D841">
        <v>223434</v>
      </c>
      <c r="E841">
        <v>63853</v>
      </c>
      <c r="F841">
        <v>209</v>
      </c>
      <c r="G841" t="s">
        <v>3863</v>
      </c>
      <c r="H841" t="s">
        <v>3864</v>
      </c>
      <c r="I841">
        <v>5218</v>
      </c>
      <c r="J841" t="s">
        <v>3438</v>
      </c>
      <c r="K841" t="s">
        <v>18793</v>
      </c>
      <c r="L841" t="s">
        <v>10131</v>
      </c>
      <c r="N841">
        <v>2340857</v>
      </c>
      <c r="O841" t="s">
        <v>10134</v>
      </c>
      <c r="P841" t="s">
        <v>10134</v>
      </c>
      <c r="R841">
        <v>3083688</v>
      </c>
      <c r="S841">
        <v>3083688</v>
      </c>
      <c r="T841" t="s">
        <v>3469</v>
      </c>
    </row>
    <row r="842" spans="1:20" x14ac:dyDescent="0.2">
      <c r="A842" t="s">
        <v>2306</v>
      </c>
      <c r="B842" t="s">
        <v>10138</v>
      </c>
      <c r="C842" t="s">
        <v>18794</v>
      </c>
      <c r="D842">
        <v>223275</v>
      </c>
      <c r="E842">
        <v>63739</v>
      </c>
      <c r="F842">
        <v>305</v>
      </c>
      <c r="G842" t="s">
        <v>3436</v>
      </c>
      <c r="H842" t="s">
        <v>3603</v>
      </c>
      <c r="I842">
        <v>449</v>
      </c>
      <c r="J842" t="s">
        <v>3438</v>
      </c>
      <c r="L842" t="s">
        <v>10137</v>
      </c>
      <c r="M842" t="s">
        <v>10139</v>
      </c>
      <c r="O842" t="s">
        <v>10140</v>
      </c>
      <c r="P842" t="s">
        <v>10140</v>
      </c>
      <c r="R842">
        <v>11427</v>
      </c>
      <c r="S842">
        <v>11427</v>
      </c>
      <c r="T842" t="s">
        <v>3489</v>
      </c>
    </row>
    <row r="843" spans="1:20" x14ac:dyDescent="0.2">
      <c r="A843" t="s">
        <v>14084</v>
      </c>
      <c r="B843" t="s">
        <v>10144</v>
      </c>
      <c r="C843" t="s">
        <v>18795</v>
      </c>
      <c r="D843">
        <v>221986</v>
      </c>
      <c r="E843">
        <v>63191</v>
      </c>
      <c r="F843">
        <v>209</v>
      </c>
      <c r="G843" t="s">
        <v>3459</v>
      </c>
      <c r="H843" t="s">
        <v>3873</v>
      </c>
      <c r="I843">
        <v>1693</v>
      </c>
      <c r="J843" t="s">
        <v>3438</v>
      </c>
      <c r="L843" t="s">
        <v>10143</v>
      </c>
      <c r="P843">
        <v>0</v>
      </c>
      <c r="S843">
        <v>0</v>
      </c>
      <c r="T843" t="s">
        <v>3469</v>
      </c>
    </row>
    <row r="844" spans="1:20" x14ac:dyDescent="0.2">
      <c r="A844" t="s">
        <v>2308</v>
      </c>
      <c r="B844" t="s">
        <v>10145</v>
      </c>
      <c r="C844" t="s">
        <v>18796</v>
      </c>
      <c r="D844">
        <v>222194</v>
      </c>
      <c r="E844">
        <v>63264</v>
      </c>
      <c r="F844">
        <v>305</v>
      </c>
      <c r="G844" t="s">
        <v>6580</v>
      </c>
      <c r="H844" t="s">
        <v>6580</v>
      </c>
      <c r="I844">
        <v>6423</v>
      </c>
      <c r="J844" t="s">
        <v>3438</v>
      </c>
      <c r="O844" t="s">
        <v>4771</v>
      </c>
      <c r="P844" t="s">
        <v>4771</v>
      </c>
      <c r="Q844" t="s">
        <v>4772</v>
      </c>
      <c r="R844">
        <v>7991</v>
      </c>
      <c r="S844">
        <v>7991</v>
      </c>
      <c r="T844" t="s">
        <v>3489</v>
      </c>
    </row>
    <row r="845" spans="1:20" x14ac:dyDescent="0.2">
      <c r="A845" t="s">
        <v>19137</v>
      </c>
      <c r="B845" t="s">
        <v>18797</v>
      </c>
      <c r="C845" t="s">
        <v>18798</v>
      </c>
      <c r="D845">
        <v>223466</v>
      </c>
      <c r="E845">
        <v>63855</v>
      </c>
      <c r="F845">
        <v>209</v>
      </c>
      <c r="G845" t="s">
        <v>3436</v>
      </c>
      <c r="H845" t="s">
        <v>3524</v>
      </c>
      <c r="I845">
        <v>143</v>
      </c>
      <c r="J845" t="s">
        <v>3438</v>
      </c>
      <c r="K845" t="s">
        <v>18799</v>
      </c>
      <c r="L845" t="s">
        <v>18800</v>
      </c>
      <c r="N845">
        <v>2384788</v>
      </c>
      <c r="P845">
        <v>0</v>
      </c>
      <c r="R845">
        <v>3131586</v>
      </c>
      <c r="S845">
        <v>3131586</v>
      </c>
      <c r="T845" t="s">
        <v>3469</v>
      </c>
    </row>
    <row r="846" spans="1:20" x14ac:dyDescent="0.2">
      <c r="A846" t="s">
        <v>14086</v>
      </c>
      <c r="B846" t="s">
        <v>10153</v>
      </c>
      <c r="C846" t="s">
        <v>18801</v>
      </c>
      <c r="D846">
        <v>222605</v>
      </c>
      <c r="E846">
        <v>63436</v>
      </c>
      <c r="F846">
        <v>209</v>
      </c>
      <c r="G846" t="s">
        <v>3459</v>
      </c>
      <c r="H846" t="s">
        <v>3569</v>
      </c>
      <c r="I846">
        <v>1498</v>
      </c>
      <c r="J846" t="s">
        <v>3438</v>
      </c>
      <c r="L846" t="s">
        <v>10152</v>
      </c>
      <c r="P846">
        <v>0</v>
      </c>
      <c r="S846">
        <v>0</v>
      </c>
      <c r="T846" t="s">
        <v>3469</v>
      </c>
    </row>
    <row r="847" spans="1:20" x14ac:dyDescent="0.2">
      <c r="A847" t="s">
        <v>2311</v>
      </c>
      <c r="B847" t="s">
        <v>10156</v>
      </c>
      <c r="C847" t="s">
        <v>18802</v>
      </c>
      <c r="D847">
        <v>236998</v>
      </c>
      <c r="E847">
        <v>64177</v>
      </c>
      <c r="F847">
        <v>400</v>
      </c>
      <c r="G847" t="s">
        <v>3436</v>
      </c>
      <c r="H847" t="s">
        <v>3603</v>
      </c>
      <c r="I847">
        <v>460</v>
      </c>
      <c r="J847" t="s">
        <v>3438</v>
      </c>
      <c r="K847" t="s">
        <v>18803</v>
      </c>
      <c r="L847" t="s">
        <v>10155</v>
      </c>
      <c r="M847" t="s">
        <v>10157</v>
      </c>
      <c r="N847">
        <v>19955529</v>
      </c>
      <c r="P847">
        <v>0</v>
      </c>
      <c r="S847">
        <v>23618202</v>
      </c>
      <c r="T847" t="s">
        <v>3458</v>
      </c>
    </row>
    <row r="848" spans="1:20" x14ac:dyDescent="0.2">
      <c r="A848" t="s">
        <v>19138</v>
      </c>
      <c r="B848" t="s">
        <v>18804</v>
      </c>
      <c r="C848" t="s">
        <v>18805</v>
      </c>
      <c r="D848">
        <v>223406</v>
      </c>
      <c r="E848">
        <v>63841</v>
      </c>
      <c r="F848">
        <v>209</v>
      </c>
      <c r="G848" t="s">
        <v>3863</v>
      </c>
      <c r="H848" t="s">
        <v>5632</v>
      </c>
      <c r="I848">
        <v>6261</v>
      </c>
      <c r="J848" t="s">
        <v>3438</v>
      </c>
      <c r="K848" t="s">
        <v>18806</v>
      </c>
      <c r="L848" t="s">
        <v>18807</v>
      </c>
      <c r="M848" t="s">
        <v>18808</v>
      </c>
      <c r="N848">
        <v>375186</v>
      </c>
      <c r="P848">
        <v>0</v>
      </c>
      <c r="R848">
        <v>423891</v>
      </c>
      <c r="S848">
        <v>423891</v>
      </c>
      <c r="T848" t="s">
        <v>3469</v>
      </c>
    </row>
    <row r="849" spans="1:20" x14ac:dyDescent="0.2">
      <c r="A849" t="s">
        <v>2295</v>
      </c>
      <c r="B849" t="s">
        <v>10169</v>
      </c>
      <c r="C849" t="s">
        <v>18809</v>
      </c>
      <c r="D849">
        <v>222957</v>
      </c>
      <c r="E849">
        <v>63615</v>
      </c>
      <c r="F849">
        <v>209</v>
      </c>
      <c r="G849" t="s">
        <v>6580</v>
      </c>
      <c r="H849" t="s">
        <v>6580</v>
      </c>
      <c r="I849">
        <v>6430</v>
      </c>
      <c r="J849" t="s">
        <v>3438</v>
      </c>
      <c r="L849" t="s">
        <v>10168</v>
      </c>
      <c r="P849">
        <v>0</v>
      </c>
      <c r="S849">
        <v>0</v>
      </c>
      <c r="T849" t="s">
        <v>3469</v>
      </c>
    </row>
    <row r="850" spans="1:20" x14ac:dyDescent="0.2">
      <c r="A850" t="s">
        <v>14090</v>
      </c>
      <c r="B850" t="s">
        <v>10173</v>
      </c>
      <c r="C850" t="s">
        <v>18810</v>
      </c>
      <c r="D850">
        <v>223106</v>
      </c>
      <c r="E850">
        <v>63681</v>
      </c>
      <c r="F850">
        <v>209</v>
      </c>
      <c r="G850" t="s">
        <v>3863</v>
      </c>
      <c r="H850" t="s">
        <v>5632</v>
      </c>
      <c r="I850">
        <v>6260</v>
      </c>
      <c r="J850" t="s">
        <v>3438</v>
      </c>
      <c r="L850" t="s">
        <v>10172</v>
      </c>
      <c r="P850">
        <v>0</v>
      </c>
      <c r="R850">
        <v>134581543</v>
      </c>
      <c r="S850">
        <v>134581543</v>
      </c>
      <c r="T850" t="s">
        <v>3469</v>
      </c>
    </row>
    <row r="851" spans="1:20" x14ac:dyDescent="0.2">
      <c r="A851" t="s">
        <v>14091</v>
      </c>
      <c r="B851" t="s">
        <v>10177</v>
      </c>
      <c r="C851" t="s">
        <v>18811</v>
      </c>
      <c r="D851">
        <v>223108</v>
      </c>
      <c r="E851">
        <v>63683</v>
      </c>
      <c r="F851">
        <v>209</v>
      </c>
      <c r="G851" t="s">
        <v>6580</v>
      </c>
      <c r="H851" t="s">
        <v>6580</v>
      </c>
      <c r="I851">
        <v>6433</v>
      </c>
      <c r="J851" t="s">
        <v>3438</v>
      </c>
      <c r="L851" t="s">
        <v>10176</v>
      </c>
      <c r="P851">
        <v>0</v>
      </c>
      <c r="S851">
        <v>0</v>
      </c>
      <c r="T851" t="s">
        <v>3469</v>
      </c>
    </row>
    <row r="852" spans="1:20" x14ac:dyDescent="0.2">
      <c r="A852" t="s">
        <v>14092</v>
      </c>
      <c r="B852" t="s">
        <v>10180</v>
      </c>
      <c r="C852" t="s">
        <v>18812</v>
      </c>
      <c r="D852">
        <v>223111</v>
      </c>
      <c r="E852">
        <v>63685</v>
      </c>
      <c r="F852">
        <v>305</v>
      </c>
      <c r="G852" t="s">
        <v>3459</v>
      </c>
      <c r="H852" t="s">
        <v>3873</v>
      </c>
      <c r="I852">
        <v>1682</v>
      </c>
      <c r="J852" t="s">
        <v>3438</v>
      </c>
      <c r="L852" t="s">
        <v>10179</v>
      </c>
      <c r="P852">
        <v>0</v>
      </c>
      <c r="R852">
        <v>17789717</v>
      </c>
      <c r="S852">
        <v>17789717</v>
      </c>
      <c r="T852" t="s">
        <v>3489</v>
      </c>
    </row>
    <row r="853" spans="1:20" x14ac:dyDescent="0.2">
      <c r="A853" t="s">
        <v>14093</v>
      </c>
      <c r="B853" t="s">
        <v>10184</v>
      </c>
      <c r="C853" t="s">
        <v>18813</v>
      </c>
      <c r="D853">
        <v>223114</v>
      </c>
      <c r="E853">
        <v>63688</v>
      </c>
      <c r="F853">
        <v>209</v>
      </c>
      <c r="G853" t="s">
        <v>3459</v>
      </c>
      <c r="H853" t="s">
        <v>3819</v>
      </c>
      <c r="I853">
        <v>3482</v>
      </c>
      <c r="J853" t="s">
        <v>3438</v>
      </c>
      <c r="L853" t="s">
        <v>10183</v>
      </c>
      <c r="P853">
        <v>0</v>
      </c>
      <c r="S853">
        <v>0</v>
      </c>
      <c r="T853" t="s">
        <v>3469</v>
      </c>
    </row>
    <row r="854" spans="1:20" x14ac:dyDescent="0.2">
      <c r="A854" t="s">
        <v>14095</v>
      </c>
      <c r="B854" t="s">
        <v>10188</v>
      </c>
      <c r="C854" t="s">
        <v>18814</v>
      </c>
      <c r="D854">
        <v>237469</v>
      </c>
      <c r="E854">
        <v>64390</v>
      </c>
      <c r="F854">
        <v>209</v>
      </c>
      <c r="G854" t="s">
        <v>3459</v>
      </c>
      <c r="H854" t="s">
        <v>4101</v>
      </c>
      <c r="I854">
        <v>1643</v>
      </c>
      <c r="J854" t="s">
        <v>3438</v>
      </c>
      <c r="L854" t="s">
        <v>10187</v>
      </c>
      <c r="P854">
        <v>0</v>
      </c>
      <c r="S854">
        <v>0</v>
      </c>
      <c r="T854" t="s">
        <v>3469</v>
      </c>
    </row>
    <row r="855" spans="1:20" x14ac:dyDescent="0.2">
      <c r="A855" t="s">
        <v>2318</v>
      </c>
      <c r="B855" t="s">
        <v>10191</v>
      </c>
      <c r="C855" t="s">
        <v>18815</v>
      </c>
      <c r="D855">
        <v>237480</v>
      </c>
      <c r="E855">
        <v>64389</v>
      </c>
      <c r="F855">
        <v>402</v>
      </c>
      <c r="G855" t="s">
        <v>3459</v>
      </c>
      <c r="H855" t="s">
        <v>5535</v>
      </c>
      <c r="I855">
        <v>1856</v>
      </c>
      <c r="J855" t="s">
        <v>3438</v>
      </c>
      <c r="L855" t="s">
        <v>10190</v>
      </c>
      <c r="P855">
        <v>0</v>
      </c>
      <c r="S855">
        <v>0</v>
      </c>
      <c r="T855" t="s">
        <v>3447</v>
      </c>
    </row>
    <row r="856" spans="1:20" x14ac:dyDescent="0.2">
      <c r="A856" t="s">
        <v>14096</v>
      </c>
      <c r="B856" t="s">
        <v>10194</v>
      </c>
      <c r="C856" t="s">
        <v>18816</v>
      </c>
      <c r="D856">
        <v>223830</v>
      </c>
      <c r="E856">
        <v>63920</v>
      </c>
      <c r="F856">
        <v>400</v>
      </c>
      <c r="G856" t="s">
        <v>3436</v>
      </c>
      <c r="H856" t="s">
        <v>3586</v>
      </c>
      <c r="I856">
        <v>139</v>
      </c>
      <c r="J856" t="s">
        <v>3438</v>
      </c>
      <c r="K856" t="s">
        <v>18817</v>
      </c>
      <c r="L856" t="s">
        <v>10193</v>
      </c>
      <c r="N856">
        <v>392027</v>
      </c>
      <c r="P856" t="s">
        <v>18818</v>
      </c>
      <c r="Q856" t="s">
        <v>10196</v>
      </c>
      <c r="R856">
        <v>443992</v>
      </c>
      <c r="S856">
        <v>443992</v>
      </c>
      <c r="T856" t="s">
        <v>3458</v>
      </c>
    </row>
    <row r="857" spans="1:20" x14ac:dyDescent="0.2">
      <c r="A857" t="s">
        <v>2325</v>
      </c>
      <c r="B857" t="s">
        <v>10208</v>
      </c>
      <c r="C857" t="s">
        <v>18819</v>
      </c>
      <c r="D857">
        <v>233195</v>
      </c>
      <c r="E857">
        <v>64049</v>
      </c>
      <c r="F857">
        <v>209</v>
      </c>
      <c r="G857" t="s">
        <v>3863</v>
      </c>
      <c r="H857" t="s">
        <v>5082</v>
      </c>
      <c r="I857">
        <v>4584</v>
      </c>
      <c r="J857" t="s">
        <v>3438</v>
      </c>
      <c r="L857" t="s">
        <v>10207</v>
      </c>
      <c r="T857" t="s">
        <v>3469</v>
      </c>
    </row>
    <row r="858" spans="1:20" x14ac:dyDescent="0.2">
      <c r="A858" t="s">
        <v>19139</v>
      </c>
      <c r="B858" t="s">
        <v>18820</v>
      </c>
      <c r="C858" t="s">
        <v>18821</v>
      </c>
      <c r="D858">
        <v>233196</v>
      </c>
      <c r="E858">
        <v>64050</v>
      </c>
      <c r="F858">
        <v>209</v>
      </c>
      <c r="G858" t="s">
        <v>3863</v>
      </c>
      <c r="H858" t="s">
        <v>5082</v>
      </c>
      <c r="I858">
        <v>4585</v>
      </c>
      <c r="J858" t="s">
        <v>3438</v>
      </c>
      <c r="L858" t="s">
        <v>18822</v>
      </c>
      <c r="T858" t="s">
        <v>3469</v>
      </c>
    </row>
    <row r="859" spans="1:20" x14ac:dyDescent="0.2">
      <c r="A859" t="s">
        <v>14101</v>
      </c>
      <c r="B859" t="s">
        <v>10223</v>
      </c>
      <c r="C859" t="s">
        <v>18823</v>
      </c>
      <c r="D859">
        <v>237314</v>
      </c>
      <c r="E859">
        <v>64328</v>
      </c>
      <c r="F859">
        <v>209</v>
      </c>
      <c r="G859" t="s">
        <v>3863</v>
      </c>
      <c r="H859" t="s">
        <v>5632</v>
      </c>
      <c r="I859">
        <v>6177</v>
      </c>
      <c r="J859" t="s">
        <v>3438</v>
      </c>
      <c r="L859" t="s">
        <v>10222</v>
      </c>
      <c r="M859" t="s">
        <v>10224</v>
      </c>
      <c r="P859" t="s">
        <v>18824</v>
      </c>
      <c r="S859">
        <v>7311</v>
      </c>
      <c r="T859" t="s">
        <v>3469</v>
      </c>
    </row>
    <row r="860" spans="1:20" x14ac:dyDescent="0.2">
      <c r="A860" t="s">
        <v>14103</v>
      </c>
      <c r="B860" t="s">
        <v>10231</v>
      </c>
      <c r="C860" t="s">
        <v>18825</v>
      </c>
      <c r="D860">
        <v>237477</v>
      </c>
      <c r="E860">
        <v>64393</v>
      </c>
      <c r="F860">
        <v>400</v>
      </c>
      <c r="G860" t="s">
        <v>3459</v>
      </c>
      <c r="H860" t="s">
        <v>7998</v>
      </c>
      <c r="I860">
        <v>1924</v>
      </c>
      <c r="J860" t="s">
        <v>3438</v>
      </c>
      <c r="L860" t="s">
        <v>10230</v>
      </c>
      <c r="P860" t="s">
        <v>18826</v>
      </c>
      <c r="S860">
        <v>86583357</v>
      </c>
      <c r="T860" t="s">
        <v>3458</v>
      </c>
    </row>
    <row r="861" spans="1:20" x14ac:dyDescent="0.2">
      <c r="A861" t="s">
        <v>2337</v>
      </c>
      <c r="B861" t="s">
        <v>10232</v>
      </c>
      <c r="C861" t="s">
        <v>18827</v>
      </c>
      <c r="D861">
        <v>237478</v>
      </c>
      <c r="E861">
        <v>64394</v>
      </c>
      <c r="F861">
        <v>400</v>
      </c>
      <c r="G861" t="s">
        <v>3459</v>
      </c>
      <c r="H861" t="s">
        <v>7998</v>
      </c>
      <c r="I861">
        <v>1925</v>
      </c>
      <c r="J861" t="s">
        <v>3438</v>
      </c>
      <c r="L861" t="s">
        <v>10230</v>
      </c>
      <c r="P861" t="s">
        <v>18826</v>
      </c>
      <c r="S861">
        <v>86583357</v>
      </c>
      <c r="T861" t="s">
        <v>3458</v>
      </c>
    </row>
    <row r="862" spans="1:20" x14ac:dyDescent="0.2">
      <c r="A862" t="s">
        <v>14104</v>
      </c>
      <c r="B862" t="s">
        <v>10235</v>
      </c>
      <c r="C862" t="s">
        <v>18828</v>
      </c>
      <c r="D862">
        <v>237461</v>
      </c>
      <c r="E862">
        <v>64386</v>
      </c>
      <c r="F862">
        <v>209</v>
      </c>
      <c r="G862" t="s">
        <v>3459</v>
      </c>
      <c r="H862" t="s">
        <v>4991</v>
      </c>
      <c r="I862">
        <v>1814</v>
      </c>
      <c r="J862" t="s">
        <v>3438</v>
      </c>
      <c r="L862" t="s">
        <v>10234</v>
      </c>
      <c r="T862" t="s">
        <v>3469</v>
      </c>
    </row>
    <row r="863" spans="1:20" x14ac:dyDescent="0.2">
      <c r="A863" t="s">
        <v>14105</v>
      </c>
      <c r="B863" t="s">
        <v>10236</v>
      </c>
      <c r="C863" t="s">
        <v>18829</v>
      </c>
      <c r="D863">
        <v>237531</v>
      </c>
      <c r="E863">
        <v>64403</v>
      </c>
      <c r="F863">
        <v>209</v>
      </c>
      <c r="G863" t="s">
        <v>6580</v>
      </c>
      <c r="H863" t="s">
        <v>6580</v>
      </c>
      <c r="I863">
        <v>6443</v>
      </c>
      <c r="J863" t="s">
        <v>3438</v>
      </c>
      <c r="T863" t="s">
        <v>3469</v>
      </c>
    </row>
    <row r="864" spans="1:20" x14ac:dyDescent="0.2">
      <c r="A864" t="s">
        <v>14106</v>
      </c>
      <c r="B864" t="s">
        <v>10237</v>
      </c>
      <c r="C864" t="s">
        <v>18830</v>
      </c>
      <c r="D864">
        <v>237533</v>
      </c>
      <c r="E864">
        <v>64404</v>
      </c>
      <c r="F864">
        <v>209</v>
      </c>
      <c r="G864" t="s">
        <v>6580</v>
      </c>
      <c r="H864" t="s">
        <v>6580</v>
      </c>
      <c r="I864">
        <v>6444</v>
      </c>
      <c r="J864" t="s">
        <v>3438</v>
      </c>
      <c r="T864" t="s">
        <v>3469</v>
      </c>
    </row>
    <row r="865" spans="1:20" x14ac:dyDescent="0.2">
      <c r="A865" t="s">
        <v>14107</v>
      </c>
      <c r="B865" t="s">
        <v>10238</v>
      </c>
      <c r="C865" t="s">
        <v>18831</v>
      </c>
      <c r="D865">
        <v>237542</v>
      </c>
      <c r="E865">
        <v>64409</v>
      </c>
      <c r="F865">
        <v>209</v>
      </c>
      <c r="G865" t="s">
        <v>6580</v>
      </c>
      <c r="H865" t="s">
        <v>6580</v>
      </c>
      <c r="I865">
        <v>6445</v>
      </c>
      <c r="J865" t="s">
        <v>3438</v>
      </c>
      <c r="T865" t="s">
        <v>3469</v>
      </c>
    </row>
    <row r="866" spans="1:20" x14ac:dyDescent="0.2">
      <c r="A866" t="s">
        <v>14108</v>
      </c>
      <c r="B866" t="s">
        <v>10239</v>
      </c>
      <c r="C866" t="s">
        <v>18832</v>
      </c>
      <c r="D866">
        <v>237539</v>
      </c>
      <c r="E866">
        <v>64407</v>
      </c>
      <c r="F866">
        <v>209</v>
      </c>
      <c r="G866" t="s">
        <v>6580</v>
      </c>
      <c r="H866" t="s">
        <v>6580</v>
      </c>
      <c r="I866">
        <v>6446</v>
      </c>
      <c r="J866" t="s">
        <v>3438</v>
      </c>
      <c r="T866" t="s">
        <v>3469</v>
      </c>
    </row>
    <row r="867" spans="1:20" x14ac:dyDescent="0.2">
      <c r="A867" t="s">
        <v>14109</v>
      </c>
      <c r="B867" t="s">
        <v>10240</v>
      </c>
      <c r="C867" t="s">
        <v>18833</v>
      </c>
      <c r="D867">
        <v>237541</v>
      </c>
      <c r="E867">
        <v>64408</v>
      </c>
      <c r="F867">
        <v>209</v>
      </c>
      <c r="G867" t="s">
        <v>6580</v>
      </c>
      <c r="H867" t="s">
        <v>6580</v>
      </c>
      <c r="I867">
        <v>6447</v>
      </c>
      <c r="J867" t="s">
        <v>3438</v>
      </c>
      <c r="T867" t="s">
        <v>3469</v>
      </c>
    </row>
    <row r="868" spans="1:20" x14ac:dyDescent="0.2">
      <c r="A868" t="s">
        <v>14110</v>
      </c>
      <c r="B868" t="s">
        <v>10241</v>
      </c>
      <c r="C868" t="s">
        <v>18834</v>
      </c>
      <c r="D868">
        <v>237535</v>
      </c>
      <c r="E868">
        <v>64405</v>
      </c>
      <c r="F868">
        <v>209</v>
      </c>
      <c r="G868" t="s">
        <v>6580</v>
      </c>
      <c r="H868" t="s">
        <v>6580</v>
      </c>
      <c r="I868">
        <v>6448</v>
      </c>
      <c r="J868" t="s">
        <v>3438</v>
      </c>
      <c r="T868" t="s">
        <v>3469</v>
      </c>
    </row>
    <row r="869" spans="1:20" x14ac:dyDescent="0.2">
      <c r="A869" t="s">
        <v>14111</v>
      </c>
      <c r="B869" t="s">
        <v>10242</v>
      </c>
      <c r="C869" t="s">
        <v>18835</v>
      </c>
      <c r="D869">
        <v>237537</v>
      </c>
      <c r="E869">
        <v>64406</v>
      </c>
      <c r="F869">
        <v>209</v>
      </c>
      <c r="G869" t="s">
        <v>6580</v>
      </c>
      <c r="H869" t="s">
        <v>6580</v>
      </c>
      <c r="I869">
        <v>6449</v>
      </c>
      <c r="J869" t="s">
        <v>3438</v>
      </c>
      <c r="T869" t="s">
        <v>3469</v>
      </c>
    </row>
    <row r="870" spans="1:20" x14ac:dyDescent="0.2">
      <c r="A870" t="s">
        <v>14112</v>
      </c>
      <c r="B870" t="s">
        <v>10245</v>
      </c>
      <c r="C870" t="s">
        <v>18836</v>
      </c>
      <c r="D870">
        <v>237545</v>
      </c>
      <c r="E870">
        <v>64411</v>
      </c>
      <c r="F870">
        <v>209</v>
      </c>
      <c r="G870" t="s">
        <v>3459</v>
      </c>
      <c r="H870" t="s">
        <v>3768</v>
      </c>
      <c r="I870">
        <v>3310</v>
      </c>
      <c r="J870" t="s">
        <v>3438</v>
      </c>
      <c r="L870" t="s">
        <v>10244</v>
      </c>
      <c r="T870" t="s">
        <v>3469</v>
      </c>
    </row>
    <row r="871" spans="1:20" x14ac:dyDescent="0.2">
      <c r="A871" t="s">
        <v>14113</v>
      </c>
      <c r="B871" t="s">
        <v>10246</v>
      </c>
      <c r="C871" t="s">
        <v>18837</v>
      </c>
      <c r="D871">
        <v>237567</v>
      </c>
      <c r="E871">
        <v>64414</v>
      </c>
      <c r="F871">
        <v>209</v>
      </c>
      <c r="G871" t="s">
        <v>6580</v>
      </c>
      <c r="H871" t="s">
        <v>6580</v>
      </c>
      <c r="I871">
        <v>6450</v>
      </c>
      <c r="J871" t="s">
        <v>3438</v>
      </c>
      <c r="T871" t="s">
        <v>3469</v>
      </c>
    </row>
    <row r="872" spans="1:20" x14ac:dyDescent="0.2">
      <c r="A872" t="s">
        <v>14114</v>
      </c>
      <c r="B872" t="s">
        <v>10247</v>
      </c>
      <c r="C872" t="s">
        <v>18838</v>
      </c>
      <c r="D872">
        <v>237569</v>
      </c>
      <c r="E872">
        <v>64415</v>
      </c>
      <c r="F872">
        <v>209</v>
      </c>
      <c r="G872" t="s">
        <v>6580</v>
      </c>
      <c r="H872" t="s">
        <v>6580</v>
      </c>
      <c r="I872">
        <v>6451</v>
      </c>
      <c r="J872" t="s">
        <v>3438</v>
      </c>
      <c r="T872" t="s">
        <v>3469</v>
      </c>
    </row>
    <row r="873" spans="1:20" x14ac:dyDescent="0.2">
      <c r="A873" t="s">
        <v>2645</v>
      </c>
      <c r="B873" t="s">
        <v>10296</v>
      </c>
      <c r="C873" t="s">
        <v>18839</v>
      </c>
      <c r="D873">
        <v>146351</v>
      </c>
      <c r="E873">
        <v>46590</v>
      </c>
      <c r="F873">
        <v>209</v>
      </c>
      <c r="G873" t="s">
        <v>18840</v>
      </c>
      <c r="I873" t="s">
        <v>11145</v>
      </c>
      <c r="J873" t="s">
        <v>10295</v>
      </c>
      <c r="T873" t="s">
        <v>3469</v>
      </c>
    </row>
    <row r="874" spans="1:20" x14ac:dyDescent="0.2">
      <c r="A874" t="s">
        <v>2661</v>
      </c>
      <c r="B874" t="s">
        <v>10297</v>
      </c>
      <c r="C874" t="s">
        <v>18841</v>
      </c>
      <c r="D874">
        <v>148974</v>
      </c>
      <c r="E874">
        <v>47478</v>
      </c>
      <c r="F874">
        <v>209</v>
      </c>
      <c r="G874" t="s">
        <v>18840</v>
      </c>
      <c r="I874" t="s">
        <v>11145</v>
      </c>
      <c r="J874" t="s">
        <v>10295</v>
      </c>
      <c r="T874" t="s">
        <v>3469</v>
      </c>
    </row>
    <row r="875" spans="1:20" x14ac:dyDescent="0.2">
      <c r="A875" t="s">
        <v>2663</v>
      </c>
      <c r="B875" t="s">
        <v>10298</v>
      </c>
      <c r="C875" t="s">
        <v>18842</v>
      </c>
      <c r="D875">
        <v>146353</v>
      </c>
      <c r="E875">
        <v>46592</v>
      </c>
      <c r="F875">
        <v>209</v>
      </c>
      <c r="G875" t="s">
        <v>18840</v>
      </c>
      <c r="I875" t="s">
        <v>11145</v>
      </c>
      <c r="J875" t="s">
        <v>10295</v>
      </c>
      <c r="T875" t="s">
        <v>3469</v>
      </c>
    </row>
    <row r="876" spans="1:20" x14ac:dyDescent="0.2">
      <c r="A876" t="s">
        <v>2651</v>
      </c>
      <c r="B876" t="s">
        <v>10299</v>
      </c>
      <c r="C876" t="s">
        <v>18843</v>
      </c>
      <c r="D876">
        <v>145473</v>
      </c>
      <c r="E876">
        <v>46390</v>
      </c>
      <c r="F876">
        <v>209</v>
      </c>
      <c r="G876" t="s">
        <v>18840</v>
      </c>
      <c r="I876" t="s">
        <v>11145</v>
      </c>
      <c r="J876" t="s">
        <v>10295</v>
      </c>
      <c r="T876" t="s">
        <v>3469</v>
      </c>
    </row>
    <row r="877" spans="1:20" x14ac:dyDescent="0.2">
      <c r="A877" t="s">
        <v>2655</v>
      </c>
      <c r="B877" t="s">
        <v>10300</v>
      </c>
      <c r="C877" t="s">
        <v>18844</v>
      </c>
      <c r="D877">
        <v>161333</v>
      </c>
      <c r="E877">
        <v>49592</v>
      </c>
      <c r="F877">
        <v>209</v>
      </c>
      <c r="G877" t="s">
        <v>18840</v>
      </c>
      <c r="I877" t="s">
        <v>11145</v>
      </c>
      <c r="J877" t="s">
        <v>10295</v>
      </c>
      <c r="T877" t="s">
        <v>3469</v>
      </c>
    </row>
    <row r="878" spans="1:20" x14ac:dyDescent="0.2">
      <c r="A878" t="s">
        <v>2659</v>
      </c>
      <c r="B878" t="s">
        <v>10301</v>
      </c>
      <c r="C878" t="s">
        <v>18845</v>
      </c>
      <c r="D878">
        <v>146355</v>
      </c>
      <c r="E878">
        <v>46594</v>
      </c>
      <c r="F878">
        <v>209</v>
      </c>
      <c r="G878" t="s">
        <v>18840</v>
      </c>
      <c r="I878" t="s">
        <v>11145</v>
      </c>
      <c r="J878" t="s">
        <v>10295</v>
      </c>
      <c r="T878" t="s">
        <v>3469</v>
      </c>
    </row>
    <row r="879" spans="1:20" x14ac:dyDescent="0.2">
      <c r="A879" t="s">
        <v>19140</v>
      </c>
      <c r="B879" t="s">
        <v>10303</v>
      </c>
      <c r="C879" t="s">
        <v>18846</v>
      </c>
      <c r="D879">
        <v>145026</v>
      </c>
      <c r="E879">
        <v>46347</v>
      </c>
      <c r="F879">
        <v>209</v>
      </c>
      <c r="G879" t="s">
        <v>18840</v>
      </c>
      <c r="I879" t="s">
        <v>11145</v>
      </c>
      <c r="J879" t="s">
        <v>10295</v>
      </c>
      <c r="T879" t="s">
        <v>3469</v>
      </c>
    </row>
    <row r="880" spans="1:20" x14ac:dyDescent="0.2">
      <c r="A880" t="s">
        <v>2687</v>
      </c>
      <c r="B880" t="s">
        <v>10305</v>
      </c>
      <c r="C880" t="s">
        <v>18847</v>
      </c>
      <c r="D880">
        <v>145547</v>
      </c>
      <c r="E880">
        <v>46460</v>
      </c>
      <c r="F880">
        <v>209</v>
      </c>
      <c r="G880" t="s">
        <v>18840</v>
      </c>
      <c r="I880" t="s">
        <v>11145</v>
      </c>
      <c r="J880" t="s">
        <v>10295</v>
      </c>
      <c r="T880" t="s">
        <v>3469</v>
      </c>
    </row>
    <row r="881" spans="1:20" x14ac:dyDescent="0.2">
      <c r="A881" t="s">
        <v>2679</v>
      </c>
      <c r="B881" t="s">
        <v>10306</v>
      </c>
      <c r="C881" t="s">
        <v>18848</v>
      </c>
      <c r="D881">
        <v>149582</v>
      </c>
      <c r="E881">
        <v>46601</v>
      </c>
      <c r="F881">
        <v>209</v>
      </c>
      <c r="G881" t="s">
        <v>18840</v>
      </c>
      <c r="I881" t="s">
        <v>11145</v>
      </c>
      <c r="J881" t="s">
        <v>10295</v>
      </c>
      <c r="T881" t="s">
        <v>3469</v>
      </c>
    </row>
    <row r="882" spans="1:20" x14ac:dyDescent="0.2">
      <c r="A882" t="s">
        <v>2665</v>
      </c>
      <c r="B882" t="s">
        <v>10307</v>
      </c>
      <c r="C882" t="s">
        <v>18849</v>
      </c>
      <c r="D882">
        <v>146364</v>
      </c>
      <c r="E882">
        <v>46602</v>
      </c>
      <c r="F882">
        <v>209</v>
      </c>
      <c r="G882" t="s">
        <v>18840</v>
      </c>
      <c r="I882" t="s">
        <v>11145</v>
      </c>
      <c r="J882" t="s">
        <v>10295</v>
      </c>
      <c r="T882" t="s">
        <v>3469</v>
      </c>
    </row>
    <row r="883" spans="1:20" x14ac:dyDescent="0.2">
      <c r="A883" t="s">
        <v>2677</v>
      </c>
      <c r="B883" t="s">
        <v>10308</v>
      </c>
      <c r="C883" t="s">
        <v>18850</v>
      </c>
      <c r="D883">
        <v>149583</v>
      </c>
      <c r="E883">
        <v>47650</v>
      </c>
      <c r="F883">
        <v>209</v>
      </c>
      <c r="G883" t="s">
        <v>18840</v>
      </c>
      <c r="I883" t="s">
        <v>11145</v>
      </c>
      <c r="J883" t="s">
        <v>10295</v>
      </c>
      <c r="T883" t="s">
        <v>3469</v>
      </c>
    </row>
    <row r="884" spans="1:20" x14ac:dyDescent="0.2">
      <c r="A884" t="s">
        <v>2671</v>
      </c>
      <c r="B884" t="s">
        <v>10309</v>
      </c>
      <c r="C884" t="s">
        <v>18851</v>
      </c>
      <c r="D884">
        <v>148992</v>
      </c>
      <c r="E884">
        <v>47493</v>
      </c>
      <c r="F884">
        <v>209</v>
      </c>
      <c r="G884" t="s">
        <v>18840</v>
      </c>
      <c r="I884" t="s">
        <v>11145</v>
      </c>
      <c r="J884" t="s">
        <v>10295</v>
      </c>
      <c r="T884" t="s">
        <v>3469</v>
      </c>
    </row>
    <row r="885" spans="1:20" x14ac:dyDescent="0.2">
      <c r="A885" t="s">
        <v>2669</v>
      </c>
      <c r="B885" t="s">
        <v>10310</v>
      </c>
      <c r="C885" t="s">
        <v>18852</v>
      </c>
      <c r="D885">
        <v>156002</v>
      </c>
      <c r="E885">
        <v>33132</v>
      </c>
      <c r="F885">
        <v>400</v>
      </c>
      <c r="G885" t="s">
        <v>18840</v>
      </c>
      <c r="I885" t="s">
        <v>11145</v>
      </c>
      <c r="J885" t="s">
        <v>10295</v>
      </c>
      <c r="T885" t="s">
        <v>3458</v>
      </c>
    </row>
    <row r="886" spans="1:20" x14ac:dyDescent="0.2">
      <c r="A886" t="s">
        <v>2685</v>
      </c>
      <c r="B886" t="s">
        <v>10311</v>
      </c>
      <c r="C886" t="s">
        <v>18853</v>
      </c>
      <c r="D886">
        <v>156004</v>
      </c>
      <c r="E886">
        <v>33140</v>
      </c>
      <c r="F886">
        <v>400</v>
      </c>
      <c r="G886" t="s">
        <v>18840</v>
      </c>
      <c r="I886" t="s">
        <v>11145</v>
      </c>
      <c r="J886" t="s">
        <v>10295</v>
      </c>
      <c r="T886" t="s">
        <v>3458</v>
      </c>
    </row>
    <row r="887" spans="1:20" x14ac:dyDescent="0.2">
      <c r="A887" t="s">
        <v>2691</v>
      </c>
      <c r="B887" t="s">
        <v>10312</v>
      </c>
      <c r="C887" t="s">
        <v>18854</v>
      </c>
      <c r="D887">
        <v>145553</v>
      </c>
      <c r="E887">
        <v>46466</v>
      </c>
      <c r="F887">
        <v>209</v>
      </c>
      <c r="G887" t="s">
        <v>18840</v>
      </c>
      <c r="I887" t="s">
        <v>11145</v>
      </c>
      <c r="J887" t="s">
        <v>10295</v>
      </c>
      <c r="T887" t="s">
        <v>3469</v>
      </c>
    </row>
    <row r="888" spans="1:20" x14ac:dyDescent="0.2">
      <c r="A888" t="s">
        <v>2675</v>
      </c>
      <c r="B888" t="s">
        <v>10313</v>
      </c>
      <c r="C888" t="s">
        <v>18855</v>
      </c>
      <c r="D888">
        <v>145575</v>
      </c>
      <c r="E888">
        <v>46488</v>
      </c>
      <c r="F888">
        <v>209</v>
      </c>
      <c r="G888" t="s">
        <v>18840</v>
      </c>
      <c r="I888" t="s">
        <v>11145</v>
      </c>
      <c r="J888" t="s">
        <v>10295</v>
      </c>
      <c r="T888" t="s">
        <v>3469</v>
      </c>
    </row>
    <row r="889" spans="1:20" x14ac:dyDescent="0.2">
      <c r="A889" t="s">
        <v>2667</v>
      </c>
      <c r="B889" t="s">
        <v>10314</v>
      </c>
      <c r="C889" t="s">
        <v>18856</v>
      </c>
      <c r="D889">
        <v>146369</v>
      </c>
      <c r="E889">
        <v>46607</v>
      </c>
      <c r="F889">
        <v>209</v>
      </c>
      <c r="G889" t="s">
        <v>18840</v>
      </c>
      <c r="I889" t="s">
        <v>11145</v>
      </c>
      <c r="J889" t="s">
        <v>10295</v>
      </c>
      <c r="T889" t="s">
        <v>3469</v>
      </c>
    </row>
    <row r="890" spans="1:20" x14ac:dyDescent="0.2">
      <c r="A890" t="s">
        <v>2683</v>
      </c>
      <c r="B890" t="s">
        <v>10315</v>
      </c>
      <c r="C890" t="s">
        <v>18857</v>
      </c>
      <c r="D890">
        <v>145594</v>
      </c>
      <c r="E890">
        <v>46507</v>
      </c>
      <c r="F890">
        <v>209</v>
      </c>
      <c r="G890" t="s">
        <v>18840</v>
      </c>
      <c r="I890" t="s">
        <v>11145</v>
      </c>
      <c r="J890" t="s">
        <v>10295</v>
      </c>
      <c r="T890" t="s">
        <v>3469</v>
      </c>
    </row>
    <row r="891" spans="1:20" x14ac:dyDescent="0.2">
      <c r="A891" t="s">
        <v>2673</v>
      </c>
      <c r="B891" t="s">
        <v>10316</v>
      </c>
      <c r="C891" t="s">
        <v>18858</v>
      </c>
      <c r="D891">
        <v>145608</v>
      </c>
      <c r="E891">
        <v>46521</v>
      </c>
      <c r="F891">
        <v>209</v>
      </c>
      <c r="G891" t="s">
        <v>18840</v>
      </c>
      <c r="I891" t="s">
        <v>11145</v>
      </c>
      <c r="J891" t="s">
        <v>10295</v>
      </c>
      <c r="T891" t="s">
        <v>3469</v>
      </c>
    </row>
    <row r="892" spans="1:20" x14ac:dyDescent="0.2">
      <c r="A892" t="s">
        <v>2689</v>
      </c>
      <c r="B892" t="s">
        <v>10317</v>
      </c>
      <c r="C892" t="s">
        <v>18859</v>
      </c>
      <c r="D892">
        <v>149587</v>
      </c>
      <c r="E892">
        <v>47654</v>
      </c>
      <c r="F892">
        <v>209</v>
      </c>
      <c r="G892" t="s">
        <v>18840</v>
      </c>
      <c r="I892" t="s">
        <v>11145</v>
      </c>
      <c r="J892" t="s">
        <v>10295</v>
      </c>
      <c r="T892" t="s">
        <v>3469</v>
      </c>
    </row>
    <row r="893" spans="1:20" x14ac:dyDescent="0.2">
      <c r="A893" t="s">
        <v>2712</v>
      </c>
      <c r="B893" t="s">
        <v>10318</v>
      </c>
      <c r="C893" t="s">
        <v>18860</v>
      </c>
      <c r="D893">
        <v>146370</v>
      </c>
      <c r="E893">
        <v>46608</v>
      </c>
      <c r="F893">
        <v>209</v>
      </c>
      <c r="G893" t="s">
        <v>18840</v>
      </c>
      <c r="I893" t="s">
        <v>11145</v>
      </c>
      <c r="J893" t="s">
        <v>10295</v>
      </c>
      <c r="T893" t="s">
        <v>3469</v>
      </c>
    </row>
    <row r="894" spans="1:20" x14ac:dyDescent="0.2">
      <c r="A894" t="s">
        <v>2725</v>
      </c>
      <c r="B894" t="s">
        <v>17111</v>
      </c>
      <c r="C894" t="s">
        <v>18861</v>
      </c>
      <c r="D894">
        <v>146372</v>
      </c>
      <c r="E894">
        <v>46610</v>
      </c>
      <c r="F894">
        <v>209</v>
      </c>
      <c r="G894" t="s">
        <v>18840</v>
      </c>
      <c r="I894" t="s">
        <v>11145</v>
      </c>
      <c r="J894" t="s">
        <v>10295</v>
      </c>
      <c r="T894" t="s">
        <v>3469</v>
      </c>
    </row>
    <row r="895" spans="1:20" x14ac:dyDescent="0.2">
      <c r="A895" t="s">
        <v>2723</v>
      </c>
      <c r="B895" t="s">
        <v>10319</v>
      </c>
      <c r="C895" t="s">
        <v>18862</v>
      </c>
      <c r="D895">
        <v>146373</v>
      </c>
      <c r="E895">
        <v>46611</v>
      </c>
      <c r="F895">
        <v>209</v>
      </c>
      <c r="G895" t="s">
        <v>18840</v>
      </c>
      <c r="I895" t="s">
        <v>11145</v>
      </c>
      <c r="J895" t="s">
        <v>10295</v>
      </c>
      <c r="T895" t="s">
        <v>3469</v>
      </c>
    </row>
    <row r="896" spans="1:20" x14ac:dyDescent="0.2">
      <c r="A896" t="s">
        <v>2719</v>
      </c>
      <c r="B896" t="s">
        <v>10320</v>
      </c>
      <c r="C896" t="s">
        <v>18863</v>
      </c>
      <c r="D896">
        <v>150050</v>
      </c>
      <c r="E896">
        <v>47905</v>
      </c>
      <c r="F896">
        <v>209</v>
      </c>
      <c r="G896" t="s">
        <v>18840</v>
      </c>
      <c r="I896" t="s">
        <v>11145</v>
      </c>
      <c r="J896" t="s">
        <v>10295</v>
      </c>
      <c r="T896" t="s">
        <v>3469</v>
      </c>
    </row>
    <row r="897" spans="1:20" x14ac:dyDescent="0.2">
      <c r="A897" t="s">
        <v>2709</v>
      </c>
      <c r="B897" t="s">
        <v>10322</v>
      </c>
      <c r="C897" t="s">
        <v>18864</v>
      </c>
      <c r="D897">
        <v>157560</v>
      </c>
      <c r="E897">
        <v>47687</v>
      </c>
      <c r="F897">
        <v>400</v>
      </c>
      <c r="G897" t="s">
        <v>18840</v>
      </c>
      <c r="I897" t="s">
        <v>11145</v>
      </c>
      <c r="J897" t="s">
        <v>10295</v>
      </c>
      <c r="T897" t="s">
        <v>3458</v>
      </c>
    </row>
    <row r="898" spans="1:20" x14ac:dyDescent="0.2">
      <c r="A898" t="s">
        <v>2717</v>
      </c>
      <c r="B898" t="s">
        <v>10323</v>
      </c>
      <c r="C898" t="s">
        <v>18865</v>
      </c>
      <c r="D898">
        <v>157543</v>
      </c>
      <c r="E898">
        <v>47642</v>
      </c>
      <c r="F898">
        <v>400</v>
      </c>
      <c r="G898" t="s">
        <v>18840</v>
      </c>
      <c r="I898" t="s">
        <v>11145</v>
      </c>
      <c r="J898" t="s">
        <v>10295</v>
      </c>
      <c r="T898" t="s">
        <v>3458</v>
      </c>
    </row>
    <row r="899" spans="1:20" x14ac:dyDescent="0.2">
      <c r="A899" t="s">
        <v>19141</v>
      </c>
      <c r="B899" t="s">
        <v>10324</v>
      </c>
      <c r="C899" t="s">
        <v>18866</v>
      </c>
      <c r="D899">
        <v>157293</v>
      </c>
      <c r="E899">
        <v>46932</v>
      </c>
      <c r="F899">
        <v>400</v>
      </c>
      <c r="G899" t="s">
        <v>18840</v>
      </c>
      <c r="I899" t="s">
        <v>11145</v>
      </c>
      <c r="J899" t="s">
        <v>10295</v>
      </c>
      <c r="T899" t="s">
        <v>3458</v>
      </c>
    </row>
    <row r="900" spans="1:20" x14ac:dyDescent="0.2">
      <c r="A900" t="s">
        <v>19142</v>
      </c>
      <c r="B900" t="s">
        <v>18867</v>
      </c>
      <c r="C900" t="s">
        <v>18868</v>
      </c>
      <c r="D900">
        <v>157563</v>
      </c>
      <c r="E900">
        <v>47690</v>
      </c>
      <c r="F900">
        <v>400</v>
      </c>
      <c r="G900" t="s">
        <v>18840</v>
      </c>
      <c r="I900" t="s">
        <v>11145</v>
      </c>
      <c r="J900" t="s">
        <v>10295</v>
      </c>
      <c r="T900" t="s">
        <v>3458</v>
      </c>
    </row>
    <row r="901" spans="1:20" x14ac:dyDescent="0.2">
      <c r="A901" t="s">
        <v>19143</v>
      </c>
      <c r="B901" t="s">
        <v>18869</v>
      </c>
      <c r="C901" t="s">
        <v>18870</v>
      </c>
      <c r="D901">
        <v>157567</v>
      </c>
      <c r="E901">
        <v>47695</v>
      </c>
      <c r="F901">
        <v>400</v>
      </c>
      <c r="G901" t="s">
        <v>18840</v>
      </c>
      <c r="I901" t="s">
        <v>11145</v>
      </c>
      <c r="J901" t="s">
        <v>10295</v>
      </c>
      <c r="T901" t="s">
        <v>3458</v>
      </c>
    </row>
    <row r="902" spans="1:20" x14ac:dyDescent="0.2">
      <c r="A902" t="s">
        <v>2693</v>
      </c>
      <c r="B902" t="s">
        <v>17114</v>
      </c>
      <c r="C902" t="s">
        <v>18871</v>
      </c>
      <c r="D902">
        <v>157574</v>
      </c>
      <c r="E902">
        <v>47702</v>
      </c>
      <c r="F902">
        <v>400</v>
      </c>
      <c r="G902" t="s">
        <v>18840</v>
      </c>
      <c r="I902" t="s">
        <v>11145</v>
      </c>
      <c r="J902" t="s">
        <v>10295</v>
      </c>
      <c r="T902" t="s">
        <v>3458</v>
      </c>
    </row>
    <row r="903" spans="1:20" x14ac:dyDescent="0.2">
      <c r="A903" t="s">
        <v>2703</v>
      </c>
      <c r="B903" t="s">
        <v>10325</v>
      </c>
      <c r="C903" t="s">
        <v>18872</v>
      </c>
      <c r="D903">
        <v>148238</v>
      </c>
      <c r="E903">
        <v>46985</v>
      </c>
      <c r="F903">
        <v>209</v>
      </c>
      <c r="G903" t="s">
        <v>18840</v>
      </c>
      <c r="I903" t="s">
        <v>11145</v>
      </c>
      <c r="J903" t="s">
        <v>10295</v>
      </c>
      <c r="T903" t="s">
        <v>3469</v>
      </c>
    </row>
    <row r="904" spans="1:20" x14ac:dyDescent="0.2">
      <c r="A904" t="s">
        <v>2705</v>
      </c>
      <c r="B904" t="s">
        <v>10326</v>
      </c>
      <c r="C904" t="s">
        <v>18873</v>
      </c>
      <c r="D904">
        <v>146375</v>
      </c>
      <c r="E904">
        <v>46613</v>
      </c>
      <c r="F904">
        <v>209</v>
      </c>
      <c r="G904" t="s">
        <v>18840</v>
      </c>
      <c r="I904" t="s">
        <v>11145</v>
      </c>
      <c r="J904" t="s">
        <v>10295</v>
      </c>
      <c r="T904" t="s">
        <v>3469</v>
      </c>
    </row>
    <row r="905" spans="1:20" x14ac:dyDescent="0.2">
      <c r="A905" t="s">
        <v>2695</v>
      </c>
      <c r="B905" t="s">
        <v>10327</v>
      </c>
      <c r="C905" t="s">
        <v>18874</v>
      </c>
      <c r="D905">
        <v>150059</v>
      </c>
      <c r="E905">
        <v>47911</v>
      </c>
      <c r="F905">
        <v>209</v>
      </c>
      <c r="G905" t="s">
        <v>18840</v>
      </c>
      <c r="I905" t="s">
        <v>11145</v>
      </c>
      <c r="J905" t="s">
        <v>10295</v>
      </c>
      <c r="T905" t="s">
        <v>3469</v>
      </c>
    </row>
    <row r="906" spans="1:20" x14ac:dyDescent="0.2">
      <c r="A906" t="s">
        <v>14127</v>
      </c>
      <c r="B906" t="s">
        <v>10328</v>
      </c>
      <c r="C906" t="s">
        <v>18875</v>
      </c>
      <c r="D906">
        <v>149590</v>
      </c>
      <c r="E906">
        <v>47657</v>
      </c>
      <c r="F906">
        <v>209</v>
      </c>
      <c r="G906" t="s">
        <v>18840</v>
      </c>
      <c r="I906" t="s">
        <v>11145</v>
      </c>
      <c r="J906" t="s">
        <v>10295</v>
      </c>
      <c r="T906" t="s">
        <v>3469</v>
      </c>
    </row>
    <row r="907" spans="1:20" x14ac:dyDescent="0.2">
      <c r="A907" t="s">
        <v>2697</v>
      </c>
      <c r="B907" t="s">
        <v>10329</v>
      </c>
      <c r="C907" t="s">
        <v>18876</v>
      </c>
      <c r="D907">
        <v>157579</v>
      </c>
      <c r="E907">
        <v>47708</v>
      </c>
      <c r="F907">
        <v>400</v>
      </c>
      <c r="G907" t="s">
        <v>18840</v>
      </c>
      <c r="I907" t="s">
        <v>11145</v>
      </c>
      <c r="J907" t="s">
        <v>10295</v>
      </c>
      <c r="T907" t="s">
        <v>3458</v>
      </c>
    </row>
    <row r="908" spans="1:20" x14ac:dyDescent="0.2">
      <c r="A908" t="s">
        <v>2707</v>
      </c>
      <c r="B908" t="s">
        <v>10330</v>
      </c>
      <c r="C908" t="s">
        <v>18877</v>
      </c>
      <c r="D908">
        <v>150069</v>
      </c>
      <c r="E908">
        <v>47917</v>
      </c>
      <c r="F908">
        <v>209</v>
      </c>
      <c r="G908" t="s">
        <v>18840</v>
      </c>
      <c r="I908" t="s">
        <v>11145</v>
      </c>
      <c r="J908" t="s">
        <v>10295</v>
      </c>
      <c r="T908" t="s">
        <v>3469</v>
      </c>
    </row>
    <row r="909" spans="1:20" x14ac:dyDescent="0.2">
      <c r="A909" t="s">
        <v>2715</v>
      </c>
      <c r="B909" t="s">
        <v>10331</v>
      </c>
      <c r="C909" t="s">
        <v>18878</v>
      </c>
      <c r="D909">
        <v>146377</v>
      </c>
      <c r="E909">
        <v>46615</v>
      </c>
      <c r="F909">
        <v>209</v>
      </c>
      <c r="G909" t="s">
        <v>18840</v>
      </c>
      <c r="I909" t="s">
        <v>11145</v>
      </c>
      <c r="J909" t="s">
        <v>10295</v>
      </c>
      <c r="T909" t="s">
        <v>3469</v>
      </c>
    </row>
    <row r="910" spans="1:20" x14ac:dyDescent="0.2">
      <c r="A910" t="s">
        <v>2699</v>
      </c>
      <c r="B910" t="s">
        <v>10332</v>
      </c>
      <c r="C910" t="s">
        <v>18879</v>
      </c>
      <c r="D910">
        <v>150074</v>
      </c>
      <c r="E910">
        <v>47921</v>
      </c>
      <c r="F910">
        <v>209</v>
      </c>
      <c r="G910" t="s">
        <v>18840</v>
      </c>
      <c r="I910" t="s">
        <v>11145</v>
      </c>
      <c r="J910" t="s">
        <v>10295</v>
      </c>
      <c r="T910" t="s">
        <v>3469</v>
      </c>
    </row>
    <row r="911" spans="1:20" x14ac:dyDescent="0.2">
      <c r="A911" t="s">
        <v>2721</v>
      </c>
      <c r="B911" t="s">
        <v>10333</v>
      </c>
      <c r="C911" t="s">
        <v>18880</v>
      </c>
      <c r="D911">
        <v>146378</v>
      </c>
      <c r="E911">
        <v>46616</v>
      </c>
      <c r="F911">
        <v>209</v>
      </c>
      <c r="G911" t="s">
        <v>18840</v>
      </c>
      <c r="I911" t="s">
        <v>11145</v>
      </c>
      <c r="J911" t="s">
        <v>10295</v>
      </c>
      <c r="T911" t="s">
        <v>3469</v>
      </c>
    </row>
    <row r="912" spans="1:20" x14ac:dyDescent="0.2">
      <c r="A912" t="s">
        <v>2727</v>
      </c>
      <c r="B912" t="s">
        <v>10335</v>
      </c>
      <c r="C912" t="s">
        <v>18881</v>
      </c>
      <c r="D912">
        <v>157261</v>
      </c>
      <c r="E912">
        <v>46620</v>
      </c>
      <c r="F912">
        <v>400</v>
      </c>
      <c r="G912" t="s">
        <v>18840</v>
      </c>
      <c r="I912" t="s">
        <v>11145</v>
      </c>
      <c r="J912" t="s">
        <v>10295</v>
      </c>
      <c r="T912" t="s">
        <v>3458</v>
      </c>
    </row>
    <row r="913" spans="1:20" x14ac:dyDescent="0.2">
      <c r="A913" t="s">
        <v>2748</v>
      </c>
      <c r="B913" t="s">
        <v>10336</v>
      </c>
      <c r="C913" t="s">
        <v>18882</v>
      </c>
      <c r="D913">
        <v>145597</v>
      </c>
      <c r="E913">
        <v>46510</v>
      </c>
      <c r="F913">
        <v>209</v>
      </c>
      <c r="G913" t="s">
        <v>18840</v>
      </c>
      <c r="I913" t="s">
        <v>11145</v>
      </c>
      <c r="J913" t="s">
        <v>10295</v>
      </c>
      <c r="T913" t="s">
        <v>3469</v>
      </c>
    </row>
    <row r="914" spans="1:20" x14ac:dyDescent="0.2">
      <c r="A914" t="s">
        <v>14129</v>
      </c>
      <c r="B914" t="s">
        <v>10337</v>
      </c>
      <c r="C914" t="s">
        <v>18883</v>
      </c>
      <c r="D914">
        <v>157418</v>
      </c>
      <c r="E914">
        <v>47437</v>
      </c>
      <c r="F914">
        <v>400</v>
      </c>
      <c r="G914" t="s">
        <v>18840</v>
      </c>
      <c r="I914" t="s">
        <v>11145</v>
      </c>
      <c r="J914" t="s">
        <v>10295</v>
      </c>
      <c r="T914" t="s">
        <v>3458</v>
      </c>
    </row>
    <row r="915" spans="1:20" x14ac:dyDescent="0.2">
      <c r="A915" t="s">
        <v>14131</v>
      </c>
      <c r="B915" t="s">
        <v>10339</v>
      </c>
      <c r="C915" t="s">
        <v>18884</v>
      </c>
      <c r="D915">
        <v>148215</v>
      </c>
      <c r="E915">
        <v>46962</v>
      </c>
      <c r="F915">
        <v>209</v>
      </c>
      <c r="G915" t="s">
        <v>18840</v>
      </c>
      <c r="I915" t="s">
        <v>11145</v>
      </c>
      <c r="J915" t="s">
        <v>10295</v>
      </c>
      <c r="T915" t="s">
        <v>3469</v>
      </c>
    </row>
    <row r="916" spans="1:20" x14ac:dyDescent="0.2">
      <c r="A916" t="s">
        <v>2736</v>
      </c>
      <c r="B916" t="s">
        <v>10340</v>
      </c>
      <c r="C916" t="s">
        <v>18885</v>
      </c>
      <c r="D916">
        <v>150086</v>
      </c>
      <c r="E916">
        <v>47929</v>
      </c>
      <c r="F916">
        <v>209</v>
      </c>
      <c r="G916" t="s">
        <v>18840</v>
      </c>
      <c r="I916" t="s">
        <v>11145</v>
      </c>
      <c r="J916" t="s">
        <v>10295</v>
      </c>
      <c r="T916" t="s">
        <v>3469</v>
      </c>
    </row>
    <row r="917" spans="1:20" x14ac:dyDescent="0.2">
      <c r="A917" t="s">
        <v>19144</v>
      </c>
      <c r="B917" t="s">
        <v>18886</v>
      </c>
      <c r="C917" t="s">
        <v>18887</v>
      </c>
      <c r="D917">
        <v>144553</v>
      </c>
      <c r="E917">
        <v>46318</v>
      </c>
      <c r="F917">
        <v>209</v>
      </c>
      <c r="G917" t="s">
        <v>18840</v>
      </c>
      <c r="I917" t="s">
        <v>11145</v>
      </c>
      <c r="J917" t="s">
        <v>10295</v>
      </c>
      <c r="T917" t="s">
        <v>3469</v>
      </c>
    </row>
    <row r="918" spans="1:20" x14ac:dyDescent="0.2">
      <c r="A918" t="s">
        <v>2738</v>
      </c>
      <c r="B918" t="s">
        <v>10341</v>
      </c>
      <c r="C918" t="s">
        <v>18888</v>
      </c>
      <c r="D918">
        <v>146385</v>
      </c>
      <c r="E918">
        <v>46623</v>
      </c>
      <c r="F918">
        <v>209</v>
      </c>
      <c r="G918" t="s">
        <v>18840</v>
      </c>
      <c r="I918" t="s">
        <v>11145</v>
      </c>
      <c r="J918" t="s">
        <v>10295</v>
      </c>
      <c r="T918" t="s">
        <v>3469</v>
      </c>
    </row>
    <row r="919" spans="1:20" x14ac:dyDescent="0.2">
      <c r="A919" t="s">
        <v>14132</v>
      </c>
      <c r="B919" t="s">
        <v>10342</v>
      </c>
      <c r="C919" t="s">
        <v>18889</v>
      </c>
      <c r="D919">
        <v>150100</v>
      </c>
      <c r="E919">
        <v>47937</v>
      </c>
      <c r="F919">
        <v>209</v>
      </c>
      <c r="G919" t="s">
        <v>18840</v>
      </c>
      <c r="I919" t="s">
        <v>11145</v>
      </c>
      <c r="J919" t="s">
        <v>10295</v>
      </c>
      <c r="T919" t="s">
        <v>3469</v>
      </c>
    </row>
    <row r="920" spans="1:20" x14ac:dyDescent="0.2">
      <c r="A920" t="s">
        <v>19145</v>
      </c>
      <c r="B920" t="s">
        <v>18890</v>
      </c>
      <c r="C920" t="s">
        <v>18891</v>
      </c>
      <c r="D920">
        <v>150102</v>
      </c>
      <c r="E920">
        <v>47938</v>
      </c>
      <c r="F920">
        <v>209</v>
      </c>
      <c r="G920" t="s">
        <v>18840</v>
      </c>
      <c r="I920" t="s">
        <v>11145</v>
      </c>
      <c r="J920" t="s">
        <v>10295</v>
      </c>
      <c r="T920" t="s">
        <v>3469</v>
      </c>
    </row>
    <row r="921" spans="1:20" x14ac:dyDescent="0.2">
      <c r="A921" t="s">
        <v>19146</v>
      </c>
      <c r="B921" t="s">
        <v>18892</v>
      </c>
      <c r="C921" t="s">
        <v>18893</v>
      </c>
      <c r="D921">
        <v>150105</v>
      </c>
      <c r="E921">
        <v>47940</v>
      </c>
      <c r="F921">
        <v>209</v>
      </c>
      <c r="G921" t="s">
        <v>18840</v>
      </c>
      <c r="I921" t="s">
        <v>11145</v>
      </c>
      <c r="J921" t="s">
        <v>10295</v>
      </c>
      <c r="T921" t="s">
        <v>3469</v>
      </c>
    </row>
    <row r="922" spans="1:20" x14ac:dyDescent="0.2">
      <c r="A922" t="s">
        <v>2730</v>
      </c>
      <c r="B922" t="s">
        <v>10343</v>
      </c>
      <c r="C922" t="s">
        <v>18894</v>
      </c>
      <c r="D922">
        <v>146567</v>
      </c>
      <c r="E922">
        <v>46627</v>
      </c>
      <c r="F922">
        <v>209</v>
      </c>
      <c r="G922" t="s">
        <v>18840</v>
      </c>
      <c r="I922" t="s">
        <v>11145</v>
      </c>
      <c r="J922" t="s">
        <v>10295</v>
      </c>
      <c r="T922" t="s">
        <v>3469</v>
      </c>
    </row>
    <row r="923" spans="1:20" x14ac:dyDescent="0.2">
      <c r="A923" t="s">
        <v>3104</v>
      </c>
      <c r="B923" t="s">
        <v>10344</v>
      </c>
      <c r="C923" t="s">
        <v>18895</v>
      </c>
      <c r="D923">
        <v>157263</v>
      </c>
      <c r="E923">
        <v>46624</v>
      </c>
      <c r="F923">
        <v>400</v>
      </c>
      <c r="G923" t="s">
        <v>18840</v>
      </c>
      <c r="I923" t="s">
        <v>11145</v>
      </c>
      <c r="J923" t="s">
        <v>10295</v>
      </c>
      <c r="T923" t="s">
        <v>3458</v>
      </c>
    </row>
    <row r="924" spans="1:20" x14ac:dyDescent="0.2">
      <c r="A924" t="s">
        <v>2743</v>
      </c>
      <c r="B924" t="s">
        <v>10345</v>
      </c>
      <c r="C924" t="s">
        <v>18896</v>
      </c>
      <c r="D924">
        <v>148239</v>
      </c>
      <c r="E924">
        <v>46986</v>
      </c>
      <c r="F924">
        <v>209</v>
      </c>
      <c r="G924" t="s">
        <v>18840</v>
      </c>
      <c r="I924" t="s">
        <v>11145</v>
      </c>
      <c r="J924" t="s">
        <v>10295</v>
      </c>
      <c r="T924" t="s">
        <v>3469</v>
      </c>
    </row>
    <row r="925" spans="1:20" x14ac:dyDescent="0.2">
      <c r="A925" t="s">
        <v>14133</v>
      </c>
      <c r="B925" t="s">
        <v>10346</v>
      </c>
      <c r="C925" t="s">
        <v>18897</v>
      </c>
      <c r="D925">
        <v>146570</v>
      </c>
      <c r="E925">
        <v>46630</v>
      </c>
      <c r="F925">
        <v>209</v>
      </c>
      <c r="G925" t="s">
        <v>18840</v>
      </c>
      <c r="I925" t="s">
        <v>11145</v>
      </c>
      <c r="J925" t="s">
        <v>10295</v>
      </c>
      <c r="T925" t="s">
        <v>3469</v>
      </c>
    </row>
    <row r="926" spans="1:20" x14ac:dyDescent="0.2">
      <c r="A926" t="s">
        <v>19147</v>
      </c>
      <c r="B926" t="s">
        <v>18898</v>
      </c>
      <c r="C926" t="s">
        <v>18899</v>
      </c>
      <c r="D926">
        <v>150120</v>
      </c>
      <c r="E926">
        <v>47943</v>
      </c>
      <c r="F926">
        <v>209</v>
      </c>
      <c r="G926" t="s">
        <v>18840</v>
      </c>
      <c r="I926" t="s">
        <v>11145</v>
      </c>
      <c r="J926" t="s">
        <v>10295</v>
      </c>
      <c r="T926" t="s">
        <v>3469</v>
      </c>
    </row>
    <row r="927" spans="1:20" x14ac:dyDescent="0.2">
      <c r="A927" t="s">
        <v>2745</v>
      </c>
      <c r="B927" t="s">
        <v>10347</v>
      </c>
      <c r="C927" t="s">
        <v>18900</v>
      </c>
      <c r="D927">
        <v>148250</v>
      </c>
      <c r="E927">
        <v>46997</v>
      </c>
      <c r="F927">
        <v>209</v>
      </c>
      <c r="G927" t="s">
        <v>18840</v>
      </c>
      <c r="I927" t="s">
        <v>11145</v>
      </c>
      <c r="J927" t="s">
        <v>10295</v>
      </c>
      <c r="T927" t="s">
        <v>3469</v>
      </c>
    </row>
    <row r="928" spans="1:20" x14ac:dyDescent="0.2">
      <c r="A928" t="s">
        <v>2740</v>
      </c>
      <c r="B928" t="s">
        <v>10348</v>
      </c>
      <c r="C928" t="s">
        <v>18901</v>
      </c>
      <c r="D928">
        <v>149595</v>
      </c>
      <c r="E928">
        <v>47662</v>
      </c>
      <c r="F928">
        <v>209</v>
      </c>
      <c r="G928" t="s">
        <v>18840</v>
      </c>
      <c r="I928" t="s">
        <v>11145</v>
      </c>
      <c r="J928" t="s">
        <v>10295</v>
      </c>
      <c r="T928" t="s">
        <v>3469</v>
      </c>
    </row>
    <row r="929" spans="1:20" x14ac:dyDescent="0.2">
      <c r="A929" t="s">
        <v>2765</v>
      </c>
      <c r="B929" t="s">
        <v>10349</v>
      </c>
      <c r="C929" t="s">
        <v>18902</v>
      </c>
      <c r="D929">
        <v>148267</v>
      </c>
      <c r="E929">
        <v>47014</v>
      </c>
      <c r="F929">
        <v>209</v>
      </c>
      <c r="G929" t="s">
        <v>18840</v>
      </c>
      <c r="I929" t="s">
        <v>11145</v>
      </c>
      <c r="J929" t="s">
        <v>10295</v>
      </c>
      <c r="T929" t="s">
        <v>3469</v>
      </c>
    </row>
    <row r="930" spans="1:20" x14ac:dyDescent="0.2">
      <c r="A930" t="s">
        <v>2774</v>
      </c>
      <c r="B930" t="s">
        <v>10350</v>
      </c>
      <c r="C930" t="s">
        <v>18903</v>
      </c>
      <c r="D930">
        <v>146573</v>
      </c>
      <c r="E930">
        <v>46633</v>
      </c>
      <c r="F930">
        <v>209</v>
      </c>
      <c r="G930" t="s">
        <v>18840</v>
      </c>
      <c r="I930" t="s">
        <v>11145</v>
      </c>
      <c r="J930" t="s">
        <v>10295</v>
      </c>
      <c r="T930" t="s">
        <v>3469</v>
      </c>
    </row>
    <row r="931" spans="1:20" x14ac:dyDescent="0.2">
      <c r="A931" t="s">
        <v>2761</v>
      </c>
      <c r="B931" t="s">
        <v>10351</v>
      </c>
      <c r="C931" t="s">
        <v>18904</v>
      </c>
      <c r="D931">
        <v>145065</v>
      </c>
      <c r="E931">
        <v>46364</v>
      </c>
      <c r="F931">
        <v>209</v>
      </c>
      <c r="G931" t="s">
        <v>18840</v>
      </c>
      <c r="I931" t="s">
        <v>11145</v>
      </c>
      <c r="J931" t="s">
        <v>10295</v>
      </c>
      <c r="T931" t="s">
        <v>3469</v>
      </c>
    </row>
    <row r="932" spans="1:20" x14ac:dyDescent="0.2">
      <c r="A932" t="s">
        <v>14271</v>
      </c>
      <c r="B932" t="s">
        <v>17112</v>
      </c>
      <c r="C932" t="s">
        <v>18905</v>
      </c>
      <c r="D932">
        <v>146576</v>
      </c>
      <c r="E932">
        <v>46636</v>
      </c>
      <c r="F932">
        <v>209</v>
      </c>
      <c r="G932" t="s">
        <v>18840</v>
      </c>
      <c r="I932" t="s">
        <v>11145</v>
      </c>
      <c r="J932" t="s">
        <v>10295</v>
      </c>
      <c r="T932" t="s">
        <v>3469</v>
      </c>
    </row>
    <row r="933" spans="1:20" x14ac:dyDescent="0.2">
      <c r="A933" t="s">
        <v>2758</v>
      </c>
      <c r="B933" t="s">
        <v>10352</v>
      </c>
      <c r="C933" t="s">
        <v>18906</v>
      </c>
      <c r="D933">
        <v>146579</v>
      </c>
      <c r="E933">
        <v>46639</v>
      </c>
      <c r="F933">
        <v>209</v>
      </c>
      <c r="G933" t="s">
        <v>18840</v>
      </c>
      <c r="I933" t="s">
        <v>11145</v>
      </c>
      <c r="J933" t="s">
        <v>10295</v>
      </c>
      <c r="T933" t="s">
        <v>3469</v>
      </c>
    </row>
    <row r="934" spans="1:20" x14ac:dyDescent="0.2">
      <c r="A934" t="s">
        <v>2752</v>
      </c>
      <c r="B934" t="s">
        <v>10353</v>
      </c>
      <c r="C934" t="s">
        <v>18907</v>
      </c>
      <c r="D934">
        <v>150146</v>
      </c>
      <c r="E934">
        <v>47955</v>
      </c>
      <c r="F934">
        <v>209</v>
      </c>
      <c r="G934" t="s">
        <v>18840</v>
      </c>
      <c r="I934" t="s">
        <v>11145</v>
      </c>
      <c r="J934" t="s">
        <v>10295</v>
      </c>
      <c r="T934" t="s">
        <v>3469</v>
      </c>
    </row>
    <row r="935" spans="1:20" x14ac:dyDescent="0.2">
      <c r="A935" t="s">
        <v>19148</v>
      </c>
      <c r="B935" t="s">
        <v>18908</v>
      </c>
      <c r="C935" t="s">
        <v>18909</v>
      </c>
      <c r="D935">
        <v>148680</v>
      </c>
      <c r="E935">
        <v>47203</v>
      </c>
      <c r="F935">
        <v>209</v>
      </c>
      <c r="G935" t="s">
        <v>18840</v>
      </c>
      <c r="I935" t="s">
        <v>11145</v>
      </c>
      <c r="J935" t="s">
        <v>10295</v>
      </c>
      <c r="T935" t="s">
        <v>3469</v>
      </c>
    </row>
    <row r="936" spans="1:20" x14ac:dyDescent="0.2">
      <c r="A936" t="s">
        <v>3106</v>
      </c>
      <c r="B936" t="s">
        <v>10354</v>
      </c>
      <c r="C936" t="s">
        <v>18910</v>
      </c>
      <c r="D936">
        <v>160155</v>
      </c>
      <c r="E936">
        <v>47788</v>
      </c>
      <c r="F936">
        <v>402</v>
      </c>
      <c r="G936" t="s">
        <v>18840</v>
      </c>
      <c r="I936" t="s">
        <v>11145</v>
      </c>
      <c r="J936" t="s">
        <v>10295</v>
      </c>
      <c r="T936" t="s">
        <v>3447</v>
      </c>
    </row>
    <row r="937" spans="1:20" x14ac:dyDescent="0.2">
      <c r="A937" t="s">
        <v>2756</v>
      </c>
      <c r="B937" t="s">
        <v>10355</v>
      </c>
      <c r="C937" t="s">
        <v>18911</v>
      </c>
      <c r="D937">
        <v>157420</v>
      </c>
      <c r="E937">
        <v>47439</v>
      </c>
      <c r="F937">
        <v>400</v>
      </c>
      <c r="G937" t="s">
        <v>18840</v>
      </c>
      <c r="I937" t="s">
        <v>11145</v>
      </c>
      <c r="J937" t="s">
        <v>10295</v>
      </c>
      <c r="T937" t="s">
        <v>3458</v>
      </c>
    </row>
    <row r="938" spans="1:20" x14ac:dyDescent="0.2">
      <c r="A938" t="s">
        <v>2763</v>
      </c>
      <c r="B938" t="s">
        <v>10356</v>
      </c>
      <c r="C938" t="s">
        <v>18912</v>
      </c>
      <c r="D938">
        <v>150152</v>
      </c>
      <c r="E938">
        <v>47959</v>
      </c>
      <c r="F938">
        <v>209</v>
      </c>
      <c r="G938" t="s">
        <v>18840</v>
      </c>
      <c r="I938" t="s">
        <v>11145</v>
      </c>
      <c r="J938" t="s">
        <v>10295</v>
      </c>
      <c r="T938" t="s">
        <v>3469</v>
      </c>
    </row>
    <row r="939" spans="1:20" x14ac:dyDescent="0.2">
      <c r="A939" t="s">
        <v>2754</v>
      </c>
      <c r="B939" t="s">
        <v>10357</v>
      </c>
      <c r="C939" t="s">
        <v>18913</v>
      </c>
      <c r="D939">
        <v>157611</v>
      </c>
      <c r="E939">
        <v>47790</v>
      </c>
      <c r="F939">
        <v>400</v>
      </c>
      <c r="G939" t="s">
        <v>18840</v>
      </c>
      <c r="I939" t="s">
        <v>11145</v>
      </c>
      <c r="J939" t="s">
        <v>10295</v>
      </c>
      <c r="T939" t="s">
        <v>3458</v>
      </c>
    </row>
    <row r="940" spans="1:20" x14ac:dyDescent="0.2">
      <c r="A940" t="s">
        <v>19149</v>
      </c>
      <c r="B940" t="s">
        <v>18914</v>
      </c>
      <c r="C940" t="s">
        <v>18915</v>
      </c>
      <c r="D940">
        <v>150157</v>
      </c>
      <c r="E940">
        <v>47962</v>
      </c>
      <c r="F940">
        <v>209</v>
      </c>
      <c r="G940" t="s">
        <v>18840</v>
      </c>
      <c r="I940" t="s">
        <v>11145</v>
      </c>
      <c r="J940" t="s">
        <v>10295</v>
      </c>
      <c r="T940" t="s">
        <v>3469</v>
      </c>
    </row>
    <row r="941" spans="1:20" x14ac:dyDescent="0.2">
      <c r="A941" t="s">
        <v>19150</v>
      </c>
      <c r="B941" t="s">
        <v>18916</v>
      </c>
      <c r="C941" t="s">
        <v>18917</v>
      </c>
      <c r="D941">
        <v>150161</v>
      </c>
      <c r="E941">
        <v>47965</v>
      </c>
      <c r="F941">
        <v>209</v>
      </c>
      <c r="G941" t="s">
        <v>18840</v>
      </c>
      <c r="I941" t="s">
        <v>11145</v>
      </c>
      <c r="J941" t="s">
        <v>10295</v>
      </c>
      <c r="T941" t="s">
        <v>3469</v>
      </c>
    </row>
    <row r="942" spans="1:20" x14ac:dyDescent="0.2">
      <c r="A942" t="s">
        <v>2772</v>
      </c>
      <c r="B942" t="s">
        <v>10359</v>
      </c>
      <c r="C942" t="s">
        <v>18918</v>
      </c>
      <c r="D942">
        <v>146585</v>
      </c>
      <c r="E942">
        <v>46645</v>
      </c>
      <c r="F942">
        <v>209</v>
      </c>
      <c r="G942" t="s">
        <v>18840</v>
      </c>
      <c r="I942" t="s">
        <v>11145</v>
      </c>
      <c r="J942" t="s">
        <v>10295</v>
      </c>
      <c r="T942" t="s">
        <v>3469</v>
      </c>
    </row>
    <row r="943" spans="1:20" x14ac:dyDescent="0.2">
      <c r="A943" t="s">
        <v>2767</v>
      </c>
      <c r="B943" t="s">
        <v>17115</v>
      </c>
      <c r="C943" t="s">
        <v>18919</v>
      </c>
      <c r="D943">
        <v>150167</v>
      </c>
      <c r="E943">
        <v>47971</v>
      </c>
      <c r="F943">
        <v>209</v>
      </c>
      <c r="G943" t="s">
        <v>18840</v>
      </c>
      <c r="I943" t="s">
        <v>11145</v>
      </c>
      <c r="J943" t="s">
        <v>10295</v>
      </c>
      <c r="T943" t="s">
        <v>3469</v>
      </c>
    </row>
    <row r="944" spans="1:20" x14ac:dyDescent="0.2">
      <c r="A944" t="s">
        <v>2770</v>
      </c>
      <c r="B944" t="s">
        <v>10360</v>
      </c>
      <c r="C944" t="s">
        <v>18920</v>
      </c>
      <c r="D944">
        <v>150176</v>
      </c>
      <c r="E944">
        <v>47977</v>
      </c>
      <c r="F944">
        <v>209</v>
      </c>
      <c r="G944" t="s">
        <v>18840</v>
      </c>
      <c r="I944" t="s">
        <v>11145</v>
      </c>
      <c r="J944" t="s">
        <v>10295</v>
      </c>
      <c r="T944" t="s">
        <v>3469</v>
      </c>
    </row>
    <row r="945" spans="1:20" x14ac:dyDescent="0.2">
      <c r="A945" t="s">
        <v>2780</v>
      </c>
      <c r="B945" t="s">
        <v>10361</v>
      </c>
      <c r="C945" t="s">
        <v>18921</v>
      </c>
      <c r="D945">
        <v>145500</v>
      </c>
      <c r="E945">
        <v>46417</v>
      </c>
      <c r="F945">
        <v>209</v>
      </c>
      <c r="G945" t="s">
        <v>18840</v>
      </c>
      <c r="I945" t="s">
        <v>11145</v>
      </c>
      <c r="J945" t="s">
        <v>10295</v>
      </c>
      <c r="T945" t="s">
        <v>3469</v>
      </c>
    </row>
    <row r="946" spans="1:20" x14ac:dyDescent="0.2">
      <c r="A946" t="s">
        <v>2778</v>
      </c>
      <c r="B946" t="s">
        <v>10362</v>
      </c>
      <c r="C946" t="s">
        <v>18922</v>
      </c>
      <c r="D946">
        <v>157266</v>
      </c>
      <c r="E946">
        <v>46632</v>
      </c>
      <c r="F946">
        <v>400</v>
      </c>
      <c r="G946" t="s">
        <v>18840</v>
      </c>
      <c r="I946" t="s">
        <v>11145</v>
      </c>
      <c r="J946" t="s">
        <v>10295</v>
      </c>
      <c r="T946" t="s">
        <v>3458</v>
      </c>
    </row>
    <row r="947" spans="1:20" x14ac:dyDescent="0.2">
      <c r="A947" t="s">
        <v>2804</v>
      </c>
      <c r="B947" t="s">
        <v>10363</v>
      </c>
      <c r="C947" t="s">
        <v>18923</v>
      </c>
      <c r="D947">
        <v>146598</v>
      </c>
      <c r="E947">
        <v>46657</v>
      </c>
      <c r="F947">
        <v>209</v>
      </c>
      <c r="G947" t="s">
        <v>18840</v>
      </c>
      <c r="I947" t="s">
        <v>11145</v>
      </c>
      <c r="J947" t="s">
        <v>10295</v>
      </c>
      <c r="T947" t="s">
        <v>3469</v>
      </c>
    </row>
    <row r="948" spans="1:20" x14ac:dyDescent="0.2">
      <c r="A948" t="s">
        <v>2806</v>
      </c>
      <c r="B948" t="s">
        <v>10366</v>
      </c>
      <c r="C948" t="s">
        <v>18924</v>
      </c>
      <c r="D948">
        <v>157144</v>
      </c>
      <c r="E948">
        <v>46283</v>
      </c>
      <c r="F948">
        <v>400</v>
      </c>
      <c r="G948" t="s">
        <v>18840</v>
      </c>
      <c r="I948" t="s">
        <v>11145</v>
      </c>
      <c r="J948" t="s">
        <v>10295</v>
      </c>
      <c r="T948" t="s">
        <v>3458</v>
      </c>
    </row>
    <row r="949" spans="1:20" x14ac:dyDescent="0.2">
      <c r="A949" t="s">
        <v>2792</v>
      </c>
      <c r="B949" t="s">
        <v>10367</v>
      </c>
      <c r="C949" t="s">
        <v>18925</v>
      </c>
      <c r="D949">
        <v>144512</v>
      </c>
      <c r="E949">
        <v>46266</v>
      </c>
      <c r="F949">
        <v>209</v>
      </c>
      <c r="G949" t="s">
        <v>18840</v>
      </c>
      <c r="I949" t="s">
        <v>11145</v>
      </c>
      <c r="J949" t="s">
        <v>10295</v>
      </c>
      <c r="T949" t="s">
        <v>3469</v>
      </c>
    </row>
    <row r="950" spans="1:20" x14ac:dyDescent="0.2">
      <c r="A950" t="s">
        <v>2811</v>
      </c>
      <c r="B950" t="s">
        <v>10368</v>
      </c>
      <c r="C950" t="s">
        <v>18926</v>
      </c>
      <c r="D950">
        <v>148230</v>
      </c>
      <c r="E950">
        <v>46977</v>
      </c>
      <c r="F950">
        <v>209</v>
      </c>
      <c r="G950" t="s">
        <v>18840</v>
      </c>
      <c r="I950" t="s">
        <v>11145</v>
      </c>
      <c r="J950" t="s">
        <v>10295</v>
      </c>
      <c r="T950" t="s">
        <v>3469</v>
      </c>
    </row>
    <row r="951" spans="1:20" x14ac:dyDescent="0.2">
      <c r="A951" t="s">
        <v>19151</v>
      </c>
      <c r="B951" t="s">
        <v>18927</v>
      </c>
      <c r="C951" t="s">
        <v>18928</v>
      </c>
      <c r="D951">
        <v>150186</v>
      </c>
      <c r="E951">
        <v>47985</v>
      </c>
      <c r="F951">
        <v>209</v>
      </c>
      <c r="G951" t="s">
        <v>18840</v>
      </c>
      <c r="I951" t="s">
        <v>11145</v>
      </c>
      <c r="J951" t="s">
        <v>10295</v>
      </c>
      <c r="T951" t="s">
        <v>3469</v>
      </c>
    </row>
    <row r="952" spans="1:20" x14ac:dyDescent="0.2">
      <c r="A952" t="s">
        <v>2809</v>
      </c>
      <c r="B952" t="s">
        <v>10369</v>
      </c>
      <c r="C952" t="s">
        <v>18929</v>
      </c>
      <c r="D952">
        <v>146611</v>
      </c>
      <c r="E952">
        <v>46666</v>
      </c>
      <c r="F952">
        <v>209</v>
      </c>
      <c r="G952" t="s">
        <v>18840</v>
      </c>
      <c r="I952" t="s">
        <v>11145</v>
      </c>
      <c r="J952" t="s">
        <v>10295</v>
      </c>
      <c r="T952" t="s">
        <v>3469</v>
      </c>
    </row>
    <row r="953" spans="1:20" x14ac:dyDescent="0.2">
      <c r="A953" t="s">
        <v>2800</v>
      </c>
      <c r="B953" t="s">
        <v>10370</v>
      </c>
      <c r="C953" t="s">
        <v>18930</v>
      </c>
      <c r="D953">
        <v>150190</v>
      </c>
      <c r="E953">
        <v>47988</v>
      </c>
      <c r="F953">
        <v>209</v>
      </c>
      <c r="G953" t="s">
        <v>18840</v>
      </c>
      <c r="I953" t="s">
        <v>11145</v>
      </c>
      <c r="J953" t="s">
        <v>10295</v>
      </c>
      <c r="T953" t="s">
        <v>3469</v>
      </c>
    </row>
    <row r="954" spans="1:20" x14ac:dyDescent="0.2">
      <c r="A954" t="s">
        <v>2813</v>
      </c>
      <c r="B954" t="s">
        <v>10371</v>
      </c>
      <c r="C954" t="s">
        <v>18931</v>
      </c>
      <c r="D954">
        <v>145548</v>
      </c>
      <c r="E954">
        <v>46461</v>
      </c>
      <c r="F954">
        <v>209</v>
      </c>
      <c r="G954" t="s">
        <v>18840</v>
      </c>
      <c r="I954" t="s">
        <v>11145</v>
      </c>
      <c r="J954" t="s">
        <v>10295</v>
      </c>
      <c r="T954" t="s">
        <v>3469</v>
      </c>
    </row>
    <row r="955" spans="1:20" x14ac:dyDescent="0.2">
      <c r="A955" t="s">
        <v>2784</v>
      </c>
      <c r="B955" t="s">
        <v>10372</v>
      </c>
      <c r="C955" t="s">
        <v>18932</v>
      </c>
      <c r="D955">
        <v>157623</v>
      </c>
      <c r="E955">
        <v>47802</v>
      </c>
      <c r="F955">
        <v>400</v>
      </c>
      <c r="G955" t="s">
        <v>18840</v>
      </c>
      <c r="I955" t="s">
        <v>11145</v>
      </c>
      <c r="J955" t="s">
        <v>10295</v>
      </c>
      <c r="T955" t="s">
        <v>3458</v>
      </c>
    </row>
    <row r="956" spans="1:20" x14ac:dyDescent="0.2">
      <c r="A956" t="s">
        <v>2794</v>
      </c>
      <c r="B956" t="s">
        <v>10374</v>
      </c>
      <c r="C956" t="s">
        <v>18933</v>
      </c>
      <c r="D956">
        <v>157625</v>
      </c>
      <c r="E956">
        <v>47804</v>
      </c>
      <c r="F956">
        <v>400</v>
      </c>
      <c r="G956" t="s">
        <v>18840</v>
      </c>
      <c r="I956" t="s">
        <v>11145</v>
      </c>
      <c r="J956" t="s">
        <v>10295</v>
      </c>
      <c r="T956" t="s">
        <v>3458</v>
      </c>
    </row>
    <row r="957" spans="1:20" x14ac:dyDescent="0.2">
      <c r="A957" t="s">
        <v>2790</v>
      </c>
      <c r="B957" t="s">
        <v>10376</v>
      </c>
      <c r="C957" t="s">
        <v>18934</v>
      </c>
      <c r="D957">
        <v>146628</v>
      </c>
      <c r="E957">
        <v>46681</v>
      </c>
      <c r="F957">
        <v>209</v>
      </c>
      <c r="G957" t="s">
        <v>18840</v>
      </c>
      <c r="I957" t="s">
        <v>11145</v>
      </c>
      <c r="J957" t="s">
        <v>10295</v>
      </c>
      <c r="T957" t="s">
        <v>3469</v>
      </c>
    </row>
    <row r="958" spans="1:20" x14ac:dyDescent="0.2">
      <c r="A958" t="s">
        <v>2788</v>
      </c>
      <c r="B958" t="s">
        <v>10377</v>
      </c>
      <c r="C958" t="s">
        <v>18935</v>
      </c>
      <c r="D958">
        <v>146632</v>
      </c>
      <c r="E958">
        <v>46685</v>
      </c>
      <c r="F958">
        <v>209</v>
      </c>
      <c r="G958" t="s">
        <v>18840</v>
      </c>
      <c r="I958" t="s">
        <v>11145</v>
      </c>
      <c r="J958" t="s">
        <v>10295</v>
      </c>
      <c r="T958" t="s">
        <v>3469</v>
      </c>
    </row>
    <row r="959" spans="1:20" x14ac:dyDescent="0.2">
      <c r="A959" t="s">
        <v>2802</v>
      </c>
      <c r="B959" t="s">
        <v>10378</v>
      </c>
      <c r="C959" t="s">
        <v>18936</v>
      </c>
      <c r="D959">
        <v>150197</v>
      </c>
      <c r="E959">
        <v>47993</v>
      </c>
      <c r="F959">
        <v>209</v>
      </c>
      <c r="G959" t="s">
        <v>18840</v>
      </c>
      <c r="I959" t="s">
        <v>11145</v>
      </c>
      <c r="J959" t="s">
        <v>10295</v>
      </c>
      <c r="T959" t="s">
        <v>3469</v>
      </c>
    </row>
    <row r="960" spans="1:20" x14ac:dyDescent="0.2">
      <c r="A960" t="s">
        <v>2782</v>
      </c>
      <c r="B960" t="s">
        <v>10379</v>
      </c>
      <c r="C960" t="s">
        <v>18937</v>
      </c>
      <c r="D960">
        <v>146642</v>
      </c>
      <c r="E960">
        <v>46691</v>
      </c>
      <c r="F960">
        <v>209</v>
      </c>
      <c r="G960" t="s">
        <v>18840</v>
      </c>
      <c r="I960" t="s">
        <v>11145</v>
      </c>
      <c r="J960" t="s">
        <v>10295</v>
      </c>
      <c r="T960" t="s">
        <v>3469</v>
      </c>
    </row>
    <row r="961" spans="1:20" x14ac:dyDescent="0.2">
      <c r="A961" t="s">
        <v>2796</v>
      </c>
      <c r="B961" t="s">
        <v>10381</v>
      </c>
      <c r="C961" t="s">
        <v>18938</v>
      </c>
      <c r="D961">
        <v>146618</v>
      </c>
      <c r="E961">
        <v>46672</v>
      </c>
      <c r="F961">
        <v>209</v>
      </c>
      <c r="G961" t="s">
        <v>18840</v>
      </c>
      <c r="I961" t="s">
        <v>11145</v>
      </c>
      <c r="J961" t="s">
        <v>10295</v>
      </c>
      <c r="T961" t="s">
        <v>3469</v>
      </c>
    </row>
    <row r="962" spans="1:20" x14ac:dyDescent="0.2">
      <c r="A962" t="s">
        <v>2798</v>
      </c>
      <c r="B962" t="s">
        <v>10382</v>
      </c>
      <c r="C962" t="s">
        <v>18939</v>
      </c>
      <c r="D962">
        <v>160185</v>
      </c>
      <c r="E962">
        <v>47818</v>
      </c>
      <c r="F962">
        <v>402</v>
      </c>
      <c r="G962" t="s">
        <v>18840</v>
      </c>
      <c r="I962" t="s">
        <v>11145</v>
      </c>
      <c r="J962" t="s">
        <v>10295</v>
      </c>
      <c r="T962" t="s">
        <v>3447</v>
      </c>
    </row>
    <row r="963" spans="1:20" x14ac:dyDescent="0.2">
      <c r="A963" t="s">
        <v>2786</v>
      </c>
      <c r="B963" t="s">
        <v>10383</v>
      </c>
      <c r="C963" t="s">
        <v>18940</v>
      </c>
      <c r="D963">
        <v>160187</v>
      </c>
      <c r="E963">
        <v>47820</v>
      </c>
      <c r="F963">
        <v>402</v>
      </c>
      <c r="G963" t="s">
        <v>18840</v>
      </c>
      <c r="I963" t="s">
        <v>11145</v>
      </c>
      <c r="J963" t="s">
        <v>10295</v>
      </c>
      <c r="T963" t="s">
        <v>3447</v>
      </c>
    </row>
    <row r="964" spans="1:20" x14ac:dyDescent="0.2">
      <c r="A964" t="s">
        <v>19152</v>
      </c>
      <c r="B964" t="s">
        <v>18941</v>
      </c>
      <c r="C964" t="s">
        <v>18942</v>
      </c>
      <c r="D964">
        <v>150201</v>
      </c>
      <c r="E964">
        <v>47997</v>
      </c>
      <c r="F964">
        <v>209</v>
      </c>
      <c r="G964" t="s">
        <v>18840</v>
      </c>
      <c r="I964" t="s">
        <v>11145</v>
      </c>
      <c r="J964" t="s">
        <v>10295</v>
      </c>
      <c r="T964" t="s">
        <v>3469</v>
      </c>
    </row>
    <row r="965" spans="1:20" x14ac:dyDescent="0.2">
      <c r="A965" t="s">
        <v>2843</v>
      </c>
      <c r="B965" t="s">
        <v>10386</v>
      </c>
      <c r="C965" t="s">
        <v>18943</v>
      </c>
      <c r="D965">
        <v>150205</v>
      </c>
      <c r="E965">
        <v>48001</v>
      </c>
      <c r="F965">
        <v>209</v>
      </c>
      <c r="G965" t="s">
        <v>18840</v>
      </c>
      <c r="I965" t="s">
        <v>11145</v>
      </c>
      <c r="J965" t="s">
        <v>10295</v>
      </c>
      <c r="T965" t="s">
        <v>3469</v>
      </c>
    </row>
    <row r="966" spans="1:20" x14ac:dyDescent="0.2">
      <c r="A966" t="s">
        <v>19153</v>
      </c>
      <c r="B966" t="s">
        <v>18944</v>
      </c>
      <c r="C966" t="s">
        <v>18945</v>
      </c>
      <c r="D966">
        <v>148262</v>
      </c>
      <c r="E966">
        <v>47009</v>
      </c>
      <c r="F966">
        <v>209</v>
      </c>
      <c r="G966" t="s">
        <v>18840</v>
      </c>
      <c r="I966" t="s">
        <v>11145</v>
      </c>
      <c r="J966" t="s">
        <v>10295</v>
      </c>
      <c r="T966" t="s">
        <v>3469</v>
      </c>
    </row>
    <row r="967" spans="1:20" x14ac:dyDescent="0.2">
      <c r="A967" t="s">
        <v>2824</v>
      </c>
      <c r="B967" t="s">
        <v>10389</v>
      </c>
      <c r="C967" t="s">
        <v>18946</v>
      </c>
      <c r="D967">
        <v>150214</v>
      </c>
      <c r="E967">
        <v>48009</v>
      </c>
      <c r="F967">
        <v>209</v>
      </c>
      <c r="G967" t="s">
        <v>18840</v>
      </c>
      <c r="I967" t="s">
        <v>11145</v>
      </c>
      <c r="J967" t="s">
        <v>10295</v>
      </c>
      <c r="T967" t="s">
        <v>3469</v>
      </c>
    </row>
    <row r="968" spans="1:20" x14ac:dyDescent="0.2">
      <c r="A968" t="s">
        <v>2822</v>
      </c>
      <c r="B968" t="s">
        <v>10391</v>
      </c>
      <c r="C968" t="s">
        <v>18947</v>
      </c>
      <c r="D968">
        <v>148247</v>
      </c>
      <c r="E968">
        <v>46994</v>
      </c>
      <c r="F968">
        <v>209</v>
      </c>
      <c r="G968" t="s">
        <v>18840</v>
      </c>
      <c r="I968" t="s">
        <v>11145</v>
      </c>
      <c r="J968" t="s">
        <v>10295</v>
      </c>
      <c r="T968" t="s">
        <v>3469</v>
      </c>
    </row>
    <row r="969" spans="1:20" x14ac:dyDescent="0.2">
      <c r="A969" t="s">
        <v>2815</v>
      </c>
      <c r="B969" t="s">
        <v>10393</v>
      </c>
      <c r="C969" t="s">
        <v>18948</v>
      </c>
      <c r="D969">
        <v>146667</v>
      </c>
      <c r="E969">
        <v>46705</v>
      </c>
      <c r="F969">
        <v>209</v>
      </c>
      <c r="G969" t="s">
        <v>18840</v>
      </c>
      <c r="I969" t="s">
        <v>11145</v>
      </c>
      <c r="J969" t="s">
        <v>10295</v>
      </c>
      <c r="T969" t="s">
        <v>3469</v>
      </c>
    </row>
    <row r="970" spans="1:20" x14ac:dyDescent="0.2">
      <c r="A970" t="s">
        <v>2830</v>
      </c>
      <c r="B970" t="s">
        <v>10395</v>
      </c>
      <c r="C970" t="s">
        <v>18949</v>
      </c>
      <c r="D970">
        <v>146670</v>
      </c>
      <c r="E970">
        <v>46707</v>
      </c>
      <c r="F970">
        <v>209</v>
      </c>
      <c r="G970" t="s">
        <v>18840</v>
      </c>
      <c r="I970" t="s">
        <v>11145</v>
      </c>
      <c r="J970" t="s">
        <v>10295</v>
      </c>
      <c r="T970" t="s">
        <v>3469</v>
      </c>
    </row>
    <row r="971" spans="1:20" x14ac:dyDescent="0.2">
      <c r="A971" t="s">
        <v>2818</v>
      </c>
      <c r="B971" t="s">
        <v>10396</v>
      </c>
      <c r="C971" t="s">
        <v>18950</v>
      </c>
      <c r="D971">
        <v>146673</v>
      </c>
      <c r="E971">
        <v>46709</v>
      </c>
      <c r="F971">
        <v>209</v>
      </c>
      <c r="G971" t="s">
        <v>18840</v>
      </c>
      <c r="I971" t="s">
        <v>11145</v>
      </c>
      <c r="J971" t="s">
        <v>10295</v>
      </c>
      <c r="T971" t="s">
        <v>3469</v>
      </c>
    </row>
    <row r="972" spans="1:20" x14ac:dyDescent="0.2">
      <c r="A972" t="s">
        <v>2820</v>
      </c>
      <c r="B972" t="s">
        <v>10397</v>
      </c>
      <c r="C972" t="s">
        <v>18951</v>
      </c>
      <c r="D972">
        <v>148223</v>
      </c>
      <c r="E972">
        <v>46970</v>
      </c>
      <c r="F972">
        <v>209</v>
      </c>
      <c r="G972" t="s">
        <v>18840</v>
      </c>
      <c r="I972" t="s">
        <v>11145</v>
      </c>
      <c r="J972" t="s">
        <v>10295</v>
      </c>
      <c r="T972" t="s">
        <v>3469</v>
      </c>
    </row>
    <row r="973" spans="1:20" x14ac:dyDescent="0.2">
      <c r="A973" t="s">
        <v>2837</v>
      </c>
      <c r="B973" t="s">
        <v>10398</v>
      </c>
      <c r="C973" t="s">
        <v>18952</v>
      </c>
      <c r="D973">
        <v>150231</v>
      </c>
      <c r="E973">
        <v>48025</v>
      </c>
      <c r="F973">
        <v>209</v>
      </c>
      <c r="G973" t="s">
        <v>18840</v>
      </c>
      <c r="I973" t="s">
        <v>11145</v>
      </c>
      <c r="J973" t="s">
        <v>10295</v>
      </c>
      <c r="T973" t="s">
        <v>3469</v>
      </c>
    </row>
    <row r="974" spans="1:20" x14ac:dyDescent="0.2">
      <c r="A974" t="s">
        <v>2833</v>
      </c>
      <c r="B974" t="s">
        <v>10399</v>
      </c>
      <c r="C974" t="s">
        <v>18953</v>
      </c>
      <c r="D974">
        <v>146674</v>
      </c>
      <c r="E974">
        <v>46710</v>
      </c>
      <c r="F974">
        <v>209</v>
      </c>
      <c r="G974" t="s">
        <v>18840</v>
      </c>
      <c r="I974" t="s">
        <v>11145</v>
      </c>
      <c r="J974" t="s">
        <v>10295</v>
      </c>
      <c r="T974" t="s">
        <v>3469</v>
      </c>
    </row>
    <row r="975" spans="1:20" x14ac:dyDescent="0.2">
      <c r="A975" t="s">
        <v>2835</v>
      </c>
      <c r="B975" t="s">
        <v>10401</v>
      </c>
      <c r="C975" t="s">
        <v>18954</v>
      </c>
      <c r="D975">
        <v>148819</v>
      </c>
      <c r="E975">
        <v>47342</v>
      </c>
      <c r="F975">
        <v>209</v>
      </c>
      <c r="G975" t="s">
        <v>18840</v>
      </c>
      <c r="I975" t="s">
        <v>11145</v>
      </c>
      <c r="J975" t="s">
        <v>10295</v>
      </c>
      <c r="T975" t="s">
        <v>3469</v>
      </c>
    </row>
    <row r="976" spans="1:20" x14ac:dyDescent="0.2">
      <c r="A976" t="s">
        <v>2845</v>
      </c>
      <c r="B976" t="s">
        <v>10402</v>
      </c>
      <c r="C976" t="s">
        <v>18955</v>
      </c>
      <c r="D976">
        <v>146634</v>
      </c>
      <c r="E976">
        <v>46687</v>
      </c>
      <c r="F976">
        <v>209</v>
      </c>
      <c r="G976" t="s">
        <v>18840</v>
      </c>
      <c r="I976" t="s">
        <v>11145</v>
      </c>
      <c r="J976" t="s">
        <v>10295</v>
      </c>
      <c r="T976" t="s">
        <v>3469</v>
      </c>
    </row>
    <row r="977" spans="1:20" x14ac:dyDescent="0.2">
      <c r="A977" t="s">
        <v>2826</v>
      </c>
      <c r="B977" t="s">
        <v>10403</v>
      </c>
      <c r="C977" t="s">
        <v>18956</v>
      </c>
      <c r="D977">
        <v>150253</v>
      </c>
      <c r="E977">
        <v>48047</v>
      </c>
      <c r="F977">
        <v>209</v>
      </c>
      <c r="G977" t="s">
        <v>18840</v>
      </c>
      <c r="I977" t="s">
        <v>11145</v>
      </c>
      <c r="J977" t="s">
        <v>10295</v>
      </c>
      <c r="T977" t="s">
        <v>3469</v>
      </c>
    </row>
    <row r="978" spans="1:20" x14ac:dyDescent="0.2">
      <c r="A978" t="s">
        <v>2828</v>
      </c>
      <c r="B978" t="s">
        <v>10404</v>
      </c>
      <c r="C978" t="s">
        <v>18957</v>
      </c>
      <c r="D978">
        <v>148778</v>
      </c>
      <c r="E978">
        <v>47301</v>
      </c>
      <c r="F978">
        <v>209</v>
      </c>
      <c r="G978" t="s">
        <v>18840</v>
      </c>
      <c r="I978" t="s">
        <v>11145</v>
      </c>
      <c r="J978" t="s">
        <v>10295</v>
      </c>
      <c r="T978" t="s">
        <v>3469</v>
      </c>
    </row>
    <row r="979" spans="1:20" x14ac:dyDescent="0.2">
      <c r="A979" t="s">
        <v>2839</v>
      </c>
      <c r="B979" t="s">
        <v>10405</v>
      </c>
      <c r="C979" t="s">
        <v>18958</v>
      </c>
      <c r="D979">
        <v>150254</v>
      </c>
      <c r="E979">
        <v>48048</v>
      </c>
      <c r="F979">
        <v>209</v>
      </c>
      <c r="G979" t="s">
        <v>18840</v>
      </c>
      <c r="I979" t="s">
        <v>11145</v>
      </c>
      <c r="J979" t="s">
        <v>10295</v>
      </c>
      <c r="T979" t="s">
        <v>3469</v>
      </c>
    </row>
    <row r="980" spans="1:20" x14ac:dyDescent="0.2">
      <c r="A980" t="s">
        <v>2841</v>
      </c>
      <c r="B980" t="s">
        <v>10406</v>
      </c>
      <c r="C980" t="s">
        <v>18959</v>
      </c>
      <c r="D980">
        <v>146640</v>
      </c>
      <c r="E980">
        <v>46690</v>
      </c>
      <c r="F980">
        <v>209</v>
      </c>
      <c r="G980" t="s">
        <v>18840</v>
      </c>
      <c r="I980" t="s">
        <v>11145</v>
      </c>
      <c r="J980" t="s">
        <v>10295</v>
      </c>
      <c r="T980" t="s">
        <v>3469</v>
      </c>
    </row>
    <row r="981" spans="1:20" x14ac:dyDescent="0.2">
      <c r="A981" t="s">
        <v>2860</v>
      </c>
      <c r="B981" t="s">
        <v>10407</v>
      </c>
      <c r="C981" t="s">
        <v>18960</v>
      </c>
      <c r="D981">
        <v>146647</v>
      </c>
      <c r="E981">
        <v>46695</v>
      </c>
      <c r="F981">
        <v>209</v>
      </c>
      <c r="G981" t="s">
        <v>18840</v>
      </c>
      <c r="I981" t="s">
        <v>11145</v>
      </c>
      <c r="J981" t="s">
        <v>10295</v>
      </c>
      <c r="T981" t="s">
        <v>3469</v>
      </c>
    </row>
    <row r="982" spans="1:20" x14ac:dyDescent="0.2">
      <c r="A982" t="s">
        <v>2862</v>
      </c>
      <c r="B982" t="s">
        <v>10408</v>
      </c>
      <c r="C982" t="s">
        <v>18961</v>
      </c>
      <c r="D982">
        <v>149605</v>
      </c>
      <c r="E982">
        <v>47671</v>
      </c>
      <c r="F982">
        <v>209</v>
      </c>
      <c r="G982" t="s">
        <v>18840</v>
      </c>
      <c r="I982" t="s">
        <v>11145</v>
      </c>
      <c r="J982" t="s">
        <v>10295</v>
      </c>
      <c r="T982" t="s">
        <v>3469</v>
      </c>
    </row>
    <row r="983" spans="1:20" x14ac:dyDescent="0.2">
      <c r="A983" t="s">
        <v>2876</v>
      </c>
      <c r="B983" t="s">
        <v>10409</v>
      </c>
      <c r="C983" t="s">
        <v>18962</v>
      </c>
      <c r="D983">
        <v>146656</v>
      </c>
      <c r="E983">
        <v>46700</v>
      </c>
      <c r="F983">
        <v>209</v>
      </c>
      <c r="G983" t="s">
        <v>18840</v>
      </c>
      <c r="I983" t="s">
        <v>11145</v>
      </c>
      <c r="J983" t="s">
        <v>10295</v>
      </c>
      <c r="T983" t="s">
        <v>3469</v>
      </c>
    </row>
    <row r="984" spans="1:20" x14ac:dyDescent="0.2">
      <c r="A984" t="s">
        <v>19154</v>
      </c>
      <c r="B984" t="s">
        <v>18963</v>
      </c>
      <c r="C984" t="s">
        <v>18964</v>
      </c>
      <c r="D984">
        <v>150255</v>
      </c>
      <c r="E984">
        <v>48049</v>
      </c>
      <c r="F984">
        <v>209</v>
      </c>
      <c r="G984" t="s">
        <v>18840</v>
      </c>
      <c r="I984" t="s">
        <v>11145</v>
      </c>
      <c r="J984" t="s">
        <v>10295</v>
      </c>
      <c r="T984" t="s">
        <v>3469</v>
      </c>
    </row>
    <row r="985" spans="1:20" x14ac:dyDescent="0.2">
      <c r="A985" t="s">
        <v>3108</v>
      </c>
      <c r="B985" t="s">
        <v>10410</v>
      </c>
      <c r="C985" t="s">
        <v>18965</v>
      </c>
      <c r="D985">
        <v>146658</v>
      </c>
      <c r="E985">
        <v>46701</v>
      </c>
      <c r="F985">
        <v>209</v>
      </c>
      <c r="G985" t="s">
        <v>18840</v>
      </c>
      <c r="I985" t="s">
        <v>11145</v>
      </c>
      <c r="J985" t="s">
        <v>10295</v>
      </c>
      <c r="T985" t="s">
        <v>3469</v>
      </c>
    </row>
    <row r="986" spans="1:20" x14ac:dyDescent="0.2">
      <c r="A986" t="s">
        <v>14149</v>
      </c>
      <c r="B986" t="s">
        <v>10412</v>
      </c>
      <c r="C986" t="s">
        <v>18966</v>
      </c>
      <c r="D986">
        <v>149607</v>
      </c>
      <c r="E986">
        <v>47673</v>
      </c>
      <c r="F986">
        <v>209</v>
      </c>
      <c r="G986" t="s">
        <v>18840</v>
      </c>
      <c r="I986" t="s">
        <v>11145</v>
      </c>
      <c r="J986" t="s">
        <v>10295</v>
      </c>
      <c r="T986" t="s">
        <v>3469</v>
      </c>
    </row>
    <row r="987" spans="1:20" x14ac:dyDescent="0.2">
      <c r="A987" t="s">
        <v>2858</v>
      </c>
      <c r="B987" t="s">
        <v>10413</v>
      </c>
      <c r="C987" t="s">
        <v>18967</v>
      </c>
      <c r="D987">
        <v>144424</v>
      </c>
      <c r="E987">
        <v>46261</v>
      </c>
      <c r="F987">
        <v>209</v>
      </c>
      <c r="G987" t="s">
        <v>18840</v>
      </c>
      <c r="I987" t="s">
        <v>11145</v>
      </c>
      <c r="J987" t="s">
        <v>10295</v>
      </c>
      <c r="T987" t="s">
        <v>3469</v>
      </c>
    </row>
    <row r="988" spans="1:20" x14ac:dyDescent="0.2">
      <c r="A988" t="s">
        <v>2852</v>
      </c>
      <c r="B988" t="s">
        <v>10414</v>
      </c>
      <c r="C988" t="s">
        <v>18968</v>
      </c>
      <c r="D988">
        <v>144401</v>
      </c>
      <c r="E988">
        <v>46259</v>
      </c>
      <c r="F988">
        <v>209</v>
      </c>
      <c r="G988" t="s">
        <v>18840</v>
      </c>
      <c r="I988" t="s">
        <v>11145</v>
      </c>
      <c r="J988" t="s">
        <v>10295</v>
      </c>
      <c r="T988" t="s">
        <v>3469</v>
      </c>
    </row>
    <row r="989" spans="1:20" x14ac:dyDescent="0.2">
      <c r="A989" t="s">
        <v>2870</v>
      </c>
      <c r="B989" t="s">
        <v>10415</v>
      </c>
      <c r="C989" t="s">
        <v>18969</v>
      </c>
      <c r="D989">
        <v>157146</v>
      </c>
      <c r="E989">
        <v>46285</v>
      </c>
      <c r="F989">
        <v>400</v>
      </c>
      <c r="G989" t="s">
        <v>18840</v>
      </c>
      <c r="I989" t="s">
        <v>11145</v>
      </c>
      <c r="J989" t="s">
        <v>10295</v>
      </c>
      <c r="T989" t="s">
        <v>3458</v>
      </c>
    </row>
    <row r="990" spans="1:20" x14ac:dyDescent="0.2">
      <c r="A990" t="s">
        <v>2872</v>
      </c>
      <c r="B990" t="s">
        <v>10416</v>
      </c>
      <c r="C990" t="s">
        <v>18970</v>
      </c>
      <c r="D990">
        <v>144527</v>
      </c>
      <c r="E990">
        <v>46294</v>
      </c>
      <c r="F990">
        <v>209</v>
      </c>
      <c r="G990" t="s">
        <v>18840</v>
      </c>
      <c r="I990" t="s">
        <v>11145</v>
      </c>
      <c r="J990" t="s">
        <v>10295</v>
      </c>
      <c r="T990" t="s">
        <v>3469</v>
      </c>
    </row>
    <row r="991" spans="1:20" x14ac:dyDescent="0.2">
      <c r="A991" t="s">
        <v>2847</v>
      </c>
      <c r="B991" t="s">
        <v>10417</v>
      </c>
      <c r="C991" t="s">
        <v>18971</v>
      </c>
      <c r="D991">
        <v>144528</v>
      </c>
      <c r="E991">
        <v>46295</v>
      </c>
      <c r="F991">
        <v>209</v>
      </c>
      <c r="G991" t="s">
        <v>18840</v>
      </c>
      <c r="I991" t="s">
        <v>11145</v>
      </c>
      <c r="J991" t="s">
        <v>10295</v>
      </c>
      <c r="T991" t="s">
        <v>3469</v>
      </c>
    </row>
    <row r="992" spans="1:20" x14ac:dyDescent="0.2">
      <c r="A992" t="s">
        <v>2868</v>
      </c>
      <c r="B992" t="s">
        <v>10418</v>
      </c>
      <c r="C992" t="s">
        <v>18972</v>
      </c>
      <c r="D992">
        <v>145053</v>
      </c>
      <c r="E992">
        <v>46354</v>
      </c>
      <c r="F992">
        <v>209</v>
      </c>
      <c r="G992" t="s">
        <v>18840</v>
      </c>
      <c r="I992" t="s">
        <v>11145</v>
      </c>
      <c r="J992" t="s">
        <v>10295</v>
      </c>
      <c r="T992" t="s">
        <v>3469</v>
      </c>
    </row>
    <row r="993" spans="1:20" x14ac:dyDescent="0.2">
      <c r="A993" t="s">
        <v>2874</v>
      </c>
      <c r="B993" t="s">
        <v>10419</v>
      </c>
      <c r="C993" t="s">
        <v>18973</v>
      </c>
      <c r="D993">
        <v>145055</v>
      </c>
      <c r="E993">
        <v>46356</v>
      </c>
      <c r="F993">
        <v>209</v>
      </c>
      <c r="G993" t="s">
        <v>18840</v>
      </c>
      <c r="I993" t="s">
        <v>11145</v>
      </c>
      <c r="J993" t="s">
        <v>10295</v>
      </c>
      <c r="T993" t="s">
        <v>3469</v>
      </c>
    </row>
    <row r="994" spans="1:20" x14ac:dyDescent="0.2">
      <c r="A994" t="s">
        <v>2850</v>
      </c>
      <c r="B994" t="s">
        <v>10420</v>
      </c>
      <c r="C994" t="s">
        <v>18974</v>
      </c>
      <c r="D994">
        <v>145064</v>
      </c>
      <c r="E994">
        <v>46363</v>
      </c>
      <c r="F994">
        <v>209</v>
      </c>
      <c r="G994" t="s">
        <v>18840</v>
      </c>
      <c r="I994" t="s">
        <v>11145</v>
      </c>
      <c r="J994" t="s">
        <v>10295</v>
      </c>
      <c r="T994" t="s">
        <v>3469</v>
      </c>
    </row>
    <row r="995" spans="1:20" x14ac:dyDescent="0.2">
      <c r="A995" t="s">
        <v>2864</v>
      </c>
      <c r="B995" t="s">
        <v>10421</v>
      </c>
      <c r="C995" t="s">
        <v>18975</v>
      </c>
      <c r="D995">
        <v>145467</v>
      </c>
      <c r="E995">
        <v>46384</v>
      </c>
      <c r="F995">
        <v>209</v>
      </c>
      <c r="G995" t="s">
        <v>18840</v>
      </c>
      <c r="I995" t="s">
        <v>11145</v>
      </c>
      <c r="J995" t="s">
        <v>10295</v>
      </c>
      <c r="T995" t="s">
        <v>3469</v>
      </c>
    </row>
    <row r="996" spans="1:20" x14ac:dyDescent="0.2">
      <c r="A996" t="s">
        <v>2856</v>
      </c>
      <c r="B996" t="s">
        <v>10423</v>
      </c>
      <c r="C996" t="s">
        <v>18976</v>
      </c>
      <c r="D996">
        <v>145481</v>
      </c>
      <c r="E996">
        <v>46398</v>
      </c>
      <c r="F996">
        <v>209</v>
      </c>
      <c r="G996" t="s">
        <v>18840</v>
      </c>
      <c r="I996" t="s">
        <v>11145</v>
      </c>
      <c r="J996" t="s">
        <v>10295</v>
      </c>
      <c r="T996" t="s">
        <v>3469</v>
      </c>
    </row>
    <row r="997" spans="1:20" x14ac:dyDescent="0.2">
      <c r="A997" t="s">
        <v>19155</v>
      </c>
      <c r="B997" t="s">
        <v>18977</v>
      </c>
      <c r="C997" t="s">
        <v>18978</v>
      </c>
      <c r="D997">
        <v>145483</v>
      </c>
      <c r="E997">
        <v>46400</v>
      </c>
      <c r="F997">
        <v>209</v>
      </c>
      <c r="G997" t="s">
        <v>18840</v>
      </c>
      <c r="I997" t="s">
        <v>11145</v>
      </c>
      <c r="J997" t="s">
        <v>10295</v>
      </c>
      <c r="T997" t="s">
        <v>3469</v>
      </c>
    </row>
    <row r="998" spans="1:20" x14ac:dyDescent="0.2">
      <c r="A998" t="s">
        <v>2854</v>
      </c>
      <c r="B998" t="s">
        <v>10424</v>
      </c>
      <c r="C998" t="s">
        <v>18979</v>
      </c>
      <c r="D998">
        <v>145492</v>
      </c>
      <c r="E998">
        <v>46409</v>
      </c>
      <c r="F998">
        <v>209</v>
      </c>
      <c r="G998" t="s">
        <v>18840</v>
      </c>
      <c r="I998" t="s">
        <v>11145</v>
      </c>
      <c r="J998" t="s">
        <v>10295</v>
      </c>
      <c r="T998" t="s">
        <v>3469</v>
      </c>
    </row>
    <row r="999" spans="1:20" x14ac:dyDescent="0.2">
      <c r="A999" t="s">
        <v>2901</v>
      </c>
      <c r="B999" t="s">
        <v>10425</v>
      </c>
      <c r="C999" t="s">
        <v>18980</v>
      </c>
      <c r="D999">
        <v>145511</v>
      </c>
      <c r="E999">
        <v>46428</v>
      </c>
      <c r="F999">
        <v>209</v>
      </c>
      <c r="G999" t="s">
        <v>18840</v>
      </c>
      <c r="I999" t="s">
        <v>11145</v>
      </c>
      <c r="J999" t="s">
        <v>10295</v>
      </c>
      <c r="T999" t="s">
        <v>3469</v>
      </c>
    </row>
    <row r="1000" spans="1:20" x14ac:dyDescent="0.2">
      <c r="A1000" t="s">
        <v>2882</v>
      </c>
      <c r="B1000" t="s">
        <v>10427</v>
      </c>
      <c r="C1000" t="s">
        <v>18981</v>
      </c>
      <c r="D1000">
        <v>145573</v>
      </c>
      <c r="E1000">
        <v>46486</v>
      </c>
      <c r="F1000">
        <v>209</v>
      </c>
      <c r="G1000" t="s">
        <v>18840</v>
      </c>
      <c r="I1000" t="s">
        <v>11145</v>
      </c>
      <c r="J1000" t="s">
        <v>10295</v>
      </c>
      <c r="T1000" t="s">
        <v>3469</v>
      </c>
    </row>
    <row r="1001" spans="1:20" x14ac:dyDescent="0.2">
      <c r="A1001" t="s">
        <v>2878</v>
      </c>
      <c r="B1001" t="s">
        <v>10428</v>
      </c>
      <c r="C1001" t="s">
        <v>18982</v>
      </c>
      <c r="D1001">
        <v>145574</v>
      </c>
      <c r="E1001">
        <v>46487</v>
      </c>
      <c r="F1001">
        <v>209</v>
      </c>
      <c r="G1001" t="s">
        <v>18840</v>
      </c>
      <c r="I1001" t="s">
        <v>11145</v>
      </c>
      <c r="J1001" t="s">
        <v>10295</v>
      </c>
      <c r="T1001" t="s">
        <v>3469</v>
      </c>
    </row>
    <row r="1002" spans="1:20" x14ac:dyDescent="0.2">
      <c r="A1002" t="s">
        <v>2907</v>
      </c>
      <c r="B1002" t="s">
        <v>10429</v>
      </c>
      <c r="C1002" t="s">
        <v>18983</v>
      </c>
      <c r="D1002">
        <v>145599</v>
      </c>
      <c r="E1002">
        <v>46512</v>
      </c>
      <c r="F1002">
        <v>209</v>
      </c>
      <c r="G1002" t="s">
        <v>18840</v>
      </c>
      <c r="I1002" t="s">
        <v>11145</v>
      </c>
      <c r="J1002" t="s">
        <v>10295</v>
      </c>
      <c r="T1002" t="s">
        <v>3469</v>
      </c>
    </row>
    <row r="1003" spans="1:20" x14ac:dyDescent="0.2">
      <c r="A1003" t="s">
        <v>2899</v>
      </c>
      <c r="B1003" t="s">
        <v>10430</v>
      </c>
      <c r="C1003" t="s">
        <v>18984</v>
      </c>
      <c r="D1003">
        <v>145602</v>
      </c>
      <c r="E1003">
        <v>46515</v>
      </c>
      <c r="F1003">
        <v>209</v>
      </c>
      <c r="G1003" t="s">
        <v>18840</v>
      </c>
      <c r="I1003" t="s">
        <v>11145</v>
      </c>
      <c r="J1003" t="s">
        <v>10295</v>
      </c>
      <c r="T1003" t="s">
        <v>3469</v>
      </c>
    </row>
    <row r="1004" spans="1:20" x14ac:dyDescent="0.2">
      <c r="A1004" t="s">
        <v>2891</v>
      </c>
      <c r="B1004" t="s">
        <v>10431</v>
      </c>
      <c r="C1004" t="s">
        <v>18985</v>
      </c>
      <c r="D1004">
        <v>145603</v>
      </c>
      <c r="E1004">
        <v>46516</v>
      </c>
      <c r="F1004">
        <v>209</v>
      </c>
      <c r="G1004" t="s">
        <v>18840</v>
      </c>
      <c r="I1004" t="s">
        <v>11145</v>
      </c>
      <c r="J1004" t="s">
        <v>10295</v>
      </c>
      <c r="T1004" t="s">
        <v>3469</v>
      </c>
    </row>
    <row r="1005" spans="1:20" x14ac:dyDescent="0.2">
      <c r="A1005" t="s">
        <v>2903</v>
      </c>
      <c r="B1005" t="s">
        <v>10432</v>
      </c>
      <c r="C1005" t="s">
        <v>18986</v>
      </c>
      <c r="D1005">
        <v>146621</v>
      </c>
      <c r="E1005">
        <v>46674</v>
      </c>
      <c r="F1005">
        <v>209</v>
      </c>
      <c r="G1005" t="s">
        <v>18840</v>
      </c>
      <c r="I1005" t="s">
        <v>11145</v>
      </c>
      <c r="J1005" t="s">
        <v>10295</v>
      </c>
      <c r="T1005" t="s">
        <v>3469</v>
      </c>
    </row>
    <row r="1006" spans="1:20" x14ac:dyDescent="0.2">
      <c r="A1006" t="s">
        <v>2893</v>
      </c>
      <c r="B1006" t="s">
        <v>10434</v>
      </c>
      <c r="C1006" t="s">
        <v>18987</v>
      </c>
      <c r="D1006">
        <v>148140</v>
      </c>
      <c r="E1006">
        <v>46902</v>
      </c>
      <c r="F1006">
        <v>209</v>
      </c>
      <c r="G1006" t="s">
        <v>18840</v>
      </c>
      <c r="I1006" t="s">
        <v>11145</v>
      </c>
      <c r="J1006" t="s">
        <v>10295</v>
      </c>
      <c r="T1006" t="s">
        <v>3469</v>
      </c>
    </row>
    <row r="1007" spans="1:20" x14ac:dyDescent="0.2">
      <c r="A1007" t="s">
        <v>2887</v>
      </c>
      <c r="B1007" t="s">
        <v>10435</v>
      </c>
      <c r="C1007" t="s">
        <v>18988</v>
      </c>
      <c r="D1007">
        <v>148143</v>
      </c>
      <c r="E1007">
        <v>46905</v>
      </c>
      <c r="F1007">
        <v>209</v>
      </c>
      <c r="G1007" t="s">
        <v>18840</v>
      </c>
      <c r="I1007" t="s">
        <v>11145</v>
      </c>
      <c r="J1007" t="s">
        <v>10295</v>
      </c>
      <c r="T1007" t="s">
        <v>3469</v>
      </c>
    </row>
    <row r="1008" spans="1:20" x14ac:dyDescent="0.2">
      <c r="A1008" t="s">
        <v>2895</v>
      </c>
      <c r="B1008" t="s">
        <v>10436</v>
      </c>
      <c r="C1008" t="s">
        <v>18989</v>
      </c>
      <c r="D1008">
        <v>148149</v>
      </c>
      <c r="E1008">
        <v>46911</v>
      </c>
      <c r="F1008">
        <v>209</v>
      </c>
      <c r="G1008" t="s">
        <v>18840</v>
      </c>
      <c r="I1008" t="s">
        <v>11145</v>
      </c>
      <c r="J1008" t="s">
        <v>10295</v>
      </c>
      <c r="T1008" t="s">
        <v>3469</v>
      </c>
    </row>
    <row r="1009" spans="1:20" x14ac:dyDescent="0.2">
      <c r="A1009" t="s">
        <v>2884</v>
      </c>
      <c r="B1009" t="s">
        <v>10437</v>
      </c>
      <c r="C1009" t="s">
        <v>18990</v>
      </c>
      <c r="D1009">
        <v>148161</v>
      </c>
      <c r="E1009">
        <v>46923</v>
      </c>
      <c r="F1009">
        <v>209</v>
      </c>
      <c r="G1009" t="s">
        <v>18840</v>
      </c>
      <c r="I1009" t="s">
        <v>11145</v>
      </c>
      <c r="J1009" t="s">
        <v>10295</v>
      </c>
      <c r="T1009" t="s">
        <v>3469</v>
      </c>
    </row>
    <row r="1010" spans="1:20" x14ac:dyDescent="0.2">
      <c r="A1010" t="s">
        <v>2880</v>
      </c>
      <c r="B1010" t="s">
        <v>10438</v>
      </c>
      <c r="C1010" t="s">
        <v>18991</v>
      </c>
      <c r="D1010">
        <v>148225</v>
      </c>
      <c r="E1010">
        <v>46972</v>
      </c>
      <c r="F1010">
        <v>209</v>
      </c>
      <c r="G1010" t="s">
        <v>18840</v>
      </c>
      <c r="I1010" t="s">
        <v>11145</v>
      </c>
      <c r="J1010" t="s">
        <v>10295</v>
      </c>
      <c r="T1010" t="s">
        <v>3469</v>
      </c>
    </row>
    <row r="1011" spans="1:20" x14ac:dyDescent="0.2">
      <c r="A1011" t="s">
        <v>19156</v>
      </c>
      <c r="B1011" t="s">
        <v>18992</v>
      </c>
      <c r="C1011" t="s">
        <v>18993</v>
      </c>
      <c r="D1011">
        <v>148237</v>
      </c>
      <c r="E1011">
        <v>46984</v>
      </c>
      <c r="F1011">
        <v>209</v>
      </c>
      <c r="G1011" t="s">
        <v>18840</v>
      </c>
      <c r="I1011" t="s">
        <v>11145</v>
      </c>
      <c r="J1011" t="s">
        <v>10295</v>
      </c>
      <c r="T1011" t="s">
        <v>3469</v>
      </c>
    </row>
    <row r="1012" spans="1:20" x14ac:dyDescent="0.2">
      <c r="A1012" t="s">
        <v>2897</v>
      </c>
      <c r="B1012" t="s">
        <v>10441</v>
      </c>
      <c r="C1012" t="s">
        <v>18994</v>
      </c>
      <c r="D1012">
        <v>148251</v>
      </c>
      <c r="E1012">
        <v>46998</v>
      </c>
      <c r="F1012">
        <v>209</v>
      </c>
      <c r="G1012" t="s">
        <v>18840</v>
      </c>
      <c r="I1012" t="s">
        <v>11145</v>
      </c>
      <c r="J1012" t="s">
        <v>10295</v>
      </c>
      <c r="T1012" t="s">
        <v>3469</v>
      </c>
    </row>
    <row r="1013" spans="1:20" x14ac:dyDescent="0.2">
      <c r="A1013" t="s">
        <v>2889</v>
      </c>
      <c r="B1013" t="s">
        <v>17113</v>
      </c>
      <c r="C1013" t="s">
        <v>18995</v>
      </c>
      <c r="D1013">
        <v>148259</v>
      </c>
      <c r="E1013">
        <v>47006</v>
      </c>
      <c r="F1013">
        <v>209</v>
      </c>
      <c r="G1013" t="s">
        <v>18840</v>
      </c>
      <c r="I1013" t="s">
        <v>11145</v>
      </c>
      <c r="J1013" t="s">
        <v>10295</v>
      </c>
      <c r="T1013" t="s">
        <v>3469</v>
      </c>
    </row>
    <row r="1014" spans="1:20" x14ac:dyDescent="0.2">
      <c r="A1014" t="s">
        <v>2905</v>
      </c>
      <c r="B1014" t="s">
        <v>10443</v>
      </c>
      <c r="C1014" t="s">
        <v>18996</v>
      </c>
      <c r="D1014">
        <v>148264</v>
      </c>
      <c r="E1014">
        <v>47011</v>
      </c>
      <c r="F1014">
        <v>209</v>
      </c>
      <c r="G1014" t="s">
        <v>18840</v>
      </c>
      <c r="I1014" t="s">
        <v>11145</v>
      </c>
      <c r="J1014" t="s">
        <v>10295</v>
      </c>
      <c r="T1014" t="s">
        <v>3469</v>
      </c>
    </row>
    <row r="1015" spans="1:20" x14ac:dyDescent="0.2">
      <c r="A1015" t="s">
        <v>2927</v>
      </c>
      <c r="B1015" t="s">
        <v>10446</v>
      </c>
      <c r="C1015" t="s">
        <v>18997</v>
      </c>
      <c r="D1015">
        <v>148275</v>
      </c>
      <c r="E1015">
        <v>47022</v>
      </c>
      <c r="F1015">
        <v>209</v>
      </c>
      <c r="G1015" t="s">
        <v>18840</v>
      </c>
      <c r="I1015" t="s">
        <v>11145</v>
      </c>
      <c r="J1015" t="s">
        <v>10295</v>
      </c>
      <c r="T1015" t="s">
        <v>3469</v>
      </c>
    </row>
    <row r="1016" spans="1:20" x14ac:dyDescent="0.2">
      <c r="A1016" t="s">
        <v>2932</v>
      </c>
      <c r="B1016" t="s">
        <v>10449</v>
      </c>
      <c r="C1016" t="s">
        <v>18998</v>
      </c>
      <c r="D1016">
        <v>157401</v>
      </c>
      <c r="E1016">
        <v>47417</v>
      </c>
      <c r="F1016">
        <v>400</v>
      </c>
      <c r="G1016" t="s">
        <v>18840</v>
      </c>
      <c r="I1016" t="s">
        <v>11145</v>
      </c>
      <c r="J1016" t="s">
        <v>10295</v>
      </c>
      <c r="T1016" t="s">
        <v>3458</v>
      </c>
    </row>
    <row r="1017" spans="1:20" x14ac:dyDescent="0.2">
      <c r="A1017" t="s">
        <v>19157</v>
      </c>
      <c r="B1017" t="s">
        <v>18999</v>
      </c>
      <c r="C1017" t="s">
        <v>19000</v>
      </c>
      <c r="D1017">
        <v>149712</v>
      </c>
      <c r="E1017">
        <v>47773</v>
      </c>
      <c r="F1017">
        <v>209</v>
      </c>
      <c r="G1017" t="s">
        <v>18840</v>
      </c>
      <c r="I1017" t="s">
        <v>11145</v>
      </c>
      <c r="J1017" t="s">
        <v>10295</v>
      </c>
      <c r="T1017" t="s">
        <v>3469</v>
      </c>
    </row>
    <row r="1018" spans="1:20" x14ac:dyDescent="0.2">
      <c r="A1018" t="s">
        <v>2922</v>
      </c>
      <c r="B1018" t="s">
        <v>10450</v>
      </c>
      <c r="C1018" t="s">
        <v>19001</v>
      </c>
      <c r="D1018">
        <v>149723</v>
      </c>
      <c r="E1018">
        <v>47784</v>
      </c>
      <c r="F1018">
        <v>209</v>
      </c>
      <c r="G1018" t="s">
        <v>18840</v>
      </c>
      <c r="I1018" t="s">
        <v>11145</v>
      </c>
      <c r="J1018" t="s">
        <v>10295</v>
      </c>
      <c r="T1018" t="s">
        <v>3469</v>
      </c>
    </row>
    <row r="1019" spans="1:20" x14ac:dyDescent="0.2">
      <c r="A1019" t="s">
        <v>2914</v>
      </c>
      <c r="B1019" t="s">
        <v>10451</v>
      </c>
      <c r="C1019" t="s">
        <v>19002</v>
      </c>
      <c r="D1019">
        <v>150290</v>
      </c>
      <c r="E1019">
        <v>48076</v>
      </c>
      <c r="F1019">
        <v>209</v>
      </c>
      <c r="G1019" t="s">
        <v>18840</v>
      </c>
      <c r="I1019" t="s">
        <v>11145</v>
      </c>
      <c r="J1019" t="s">
        <v>10295</v>
      </c>
      <c r="T1019" t="s">
        <v>3469</v>
      </c>
    </row>
    <row r="1020" spans="1:20" x14ac:dyDescent="0.2">
      <c r="A1020" t="s">
        <v>2909</v>
      </c>
      <c r="B1020" t="s">
        <v>10452</v>
      </c>
      <c r="C1020" t="s">
        <v>19003</v>
      </c>
      <c r="D1020">
        <v>150295</v>
      </c>
      <c r="E1020">
        <v>48081</v>
      </c>
      <c r="F1020">
        <v>209</v>
      </c>
      <c r="G1020" t="s">
        <v>18840</v>
      </c>
      <c r="I1020" t="s">
        <v>11145</v>
      </c>
      <c r="J1020" t="s">
        <v>10295</v>
      </c>
      <c r="T1020" t="s">
        <v>3469</v>
      </c>
    </row>
    <row r="1021" spans="1:20" x14ac:dyDescent="0.2">
      <c r="A1021" t="s">
        <v>2912</v>
      </c>
      <c r="B1021" t="s">
        <v>10453</v>
      </c>
      <c r="C1021" t="s">
        <v>19004</v>
      </c>
      <c r="D1021">
        <v>153109</v>
      </c>
      <c r="E1021">
        <v>48185</v>
      </c>
      <c r="F1021">
        <v>209</v>
      </c>
      <c r="G1021" t="s">
        <v>18840</v>
      </c>
      <c r="I1021" t="s">
        <v>11145</v>
      </c>
      <c r="J1021" t="s">
        <v>10295</v>
      </c>
      <c r="T1021" t="s">
        <v>3469</v>
      </c>
    </row>
    <row r="1022" spans="1:20" x14ac:dyDescent="0.2">
      <c r="A1022" t="s">
        <v>2925</v>
      </c>
      <c r="B1022" t="s">
        <v>17116</v>
      </c>
      <c r="C1022" t="s">
        <v>19005</v>
      </c>
      <c r="D1022">
        <v>160567</v>
      </c>
      <c r="E1022">
        <v>48972</v>
      </c>
      <c r="F1022">
        <v>209</v>
      </c>
      <c r="G1022" t="s">
        <v>18840</v>
      </c>
      <c r="I1022" t="s">
        <v>11145</v>
      </c>
      <c r="J1022" t="s">
        <v>10295</v>
      </c>
      <c r="T1022" t="s">
        <v>3469</v>
      </c>
    </row>
    <row r="1023" spans="1:20" x14ac:dyDescent="0.2">
      <c r="A1023" t="s">
        <v>2934</v>
      </c>
      <c r="B1023" t="s">
        <v>10455</v>
      </c>
      <c r="C1023" t="s">
        <v>19006</v>
      </c>
      <c r="D1023">
        <v>161125</v>
      </c>
      <c r="E1023">
        <v>49463</v>
      </c>
      <c r="F1023">
        <v>400</v>
      </c>
      <c r="G1023" t="s">
        <v>18840</v>
      </c>
      <c r="I1023" t="s">
        <v>11145</v>
      </c>
      <c r="J1023" t="s">
        <v>10295</v>
      </c>
      <c r="T1023" t="s">
        <v>3458</v>
      </c>
    </row>
    <row r="1024" spans="1:20" x14ac:dyDescent="0.2">
      <c r="A1024" t="s">
        <v>2936</v>
      </c>
      <c r="B1024" t="s">
        <v>10456</v>
      </c>
      <c r="C1024" t="s">
        <v>19007</v>
      </c>
      <c r="D1024">
        <v>161131</v>
      </c>
      <c r="E1024">
        <v>49469</v>
      </c>
      <c r="F1024">
        <v>400</v>
      </c>
      <c r="G1024" t="s">
        <v>18840</v>
      </c>
      <c r="I1024" t="s">
        <v>11145</v>
      </c>
      <c r="J1024" t="s">
        <v>10295</v>
      </c>
      <c r="T1024" t="s">
        <v>3458</v>
      </c>
    </row>
    <row r="1025" spans="1:20" x14ac:dyDescent="0.2">
      <c r="A1025" t="s">
        <v>14161</v>
      </c>
      <c r="B1025" t="s">
        <v>10457</v>
      </c>
      <c r="C1025" t="s">
        <v>19008</v>
      </c>
      <c r="D1025">
        <v>161176</v>
      </c>
      <c r="E1025">
        <v>49512</v>
      </c>
      <c r="F1025">
        <v>400</v>
      </c>
      <c r="G1025" t="s">
        <v>18840</v>
      </c>
      <c r="I1025" t="s">
        <v>11145</v>
      </c>
      <c r="J1025" t="s">
        <v>10295</v>
      </c>
      <c r="T1025" t="s">
        <v>3458</v>
      </c>
    </row>
    <row r="1026" spans="1:20" x14ac:dyDescent="0.2">
      <c r="A1026" t="s">
        <v>2916</v>
      </c>
      <c r="B1026" t="s">
        <v>10458</v>
      </c>
      <c r="C1026" t="s">
        <v>19009</v>
      </c>
      <c r="D1026">
        <v>161179</v>
      </c>
      <c r="E1026">
        <v>49515</v>
      </c>
      <c r="F1026">
        <v>400</v>
      </c>
      <c r="G1026" t="s">
        <v>18840</v>
      </c>
      <c r="I1026" t="s">
        <v>11145</v>
      </c>
      <c r="J1026" t="s">
        <v>10295</v>
      </c>
      <c r="T1026" t="s">
        <v>3458</v>
      </c>
    </row>
    <row r="1027" spans="1:20" x14ac:dyDescent="0.2">
      <c r="A1027" t="s">
        <v>14162</v>
      </c>
      <c r="B1027" t="s">
        <v>10459</v>
      </c>
      <c r="C1027" t="s">
        <v>19010</v>
      </c>
      <c r="D1027">
        <v>161185</v>
      </c>
      <c r="E1027">
        <v>49517</v>
      </c>
      <c r="F1027">
        <v>402</v>
      </c>
      <c r="G1027" t="s">
        <v>18840</v>
      </c>
      <c r="I1027" t="s">
        <v>11145</v>
      </c>
      <c r="J1027" t="s">
        <v>10295</v>
      </c>
      <c r="T1027" t="s">
        <v>3447</v>
      </c>
    </row>
    <row r="1028" spans="1:20" x14ac:dyDescent="0.2">
      <c r="A1028" t="s">
        <v>2930</v>
      </c>
      <c r="B1028" t="s">
        <v>10460</v>
      </c>
      <c r="C1028" t="s">
        <v>19011</v>
      </c>
      <c r="D1028">
        <v>161202</v>
      </c>
      <c r="E1028">
        <v>49521</v>
      </c>
      <c r="F1028">
        <v>400</v>
      </c>
      <c r="G1028" t="s">
        <v>18840</v>
      </c>
      <c r="I1028" t="s">
        <v>11145</v>
      </c>
      <c r="J1028" t="s">
        <v>10295</v>
      </c>
      <c r="T1028" t="s">
        <v>3458</v>
      </c>
    </row>
    <row r="1029" spans="1:20" x14ac:dyDescent="0.2">
      <c r="A1029" t="s">
        <v>2918</v>
      </c>
      <c r="B1029" t="s">
        <v>10461</v>
      </c>
      <c r="C1029" t="s">
        <v>19012</v>
      </c>
      <c r="D1029">
        <v>161206</v>
      </c>
      <c r="E1029">
        <v>49525</v>
      </c>
      <c r="F1029">
        <v>400</v>
      </c>
      <c r="G1029" t="s">
        <v>18840</v>
      </c>
      <c r="I1029" t="s">
        <v>11145</v>
      </c>
      <c r="J1029" t="s">
        <v>10295</v>
      </c>
      <c r="T1029" t="s">
        <v>3458</v>
      </c>
    </row>
    <row r="1030" spans="1:20" x14ac:dyDescent="0.2">
      <c r="A1030" t="s">
        <v>2920</v>
      </c>
      <c r="B1030" t="s">
        <v>10462</v>
      </c>
      <c r="C1030" t="s">
        <v>19013</v>
      </c>
      <c r="D1030">
        <v>161212</v>
      </c>
      <c r="E1030">
        <v>49531</v>
      </c>
      <c r="F1030">
        <v>400</v>
      </c>
      <c r="G1030" t="s">
        <v>18840</v>
      </c>
      <c r="I1030" t="s">
        <v>11145</v>
      </c>
      <c r="J1030" t="s">
        <v>10295</v>
      </c>
      <c r="T1030" t="s">
        <v>3458</v>
      </c>
    </row>
    <row r="1031" spans="1:20" x14ac:dyDescent="0.2">
      <c r="A1031" t="s">
        <v>14163</v>
      </c>
      <c r="B1031" t="s">
        <v>10463</v>
      </c>
      <c r="C1031" t="s">
        <v>19014</v>
      </c>
      <c r="D1031">
        <v>161213</v>
      </c>
      <c r="E1031">
        <v>49532</v>
      </c>
      <c r="F1031">
        <v>400</v>
      </c>
      <c r="G1031" t="s">
        <v>18840</v>
      </c>
      <c r="I1031" t="s">
        <v>11145</v>
      </c>
      <c r="J1031" t="s">
        <v>10295</v>
      </c>
      <c r="T1031" t="s">
        <v>3458</v>
      </c>
    </row>
    <row r="1032" spans="1:20" x14ac:dyDescent="0.2">
      <c r="A1032" t="s">
        <v>2946</v>
      </c>
      <c r="B1032" t="s">
        <v>10464</v>
      </c>
      <c r="C1032" t="s">
        <v>19015</v>
      </c>
      <c r="D1032">
        <v>161217</v>
      </c>
      <c r="E1032">
        <v>49536</v>
      </c>
      <c r="F1032">
        <v>400</v>
      </c>
      <c r="G1032" t="s">
        <v>18840</v>
      </c>
      <c r="I1032" t="s">
        <v>11145</v>
      </c>
      <c r="J1032" t="s">
        <v>10295</v>
      </c>
      <c r="T1032" t="s">
        <v>3458</v>
      </c>
    </row>
    <row r="1033" spans="1:20" x14ac:dyDescent="0.2">
      <c r="A1033" t="s">
        <v>2948</v>
      </c>
      <c r="B1033" t="s">
        <v>10466</v>
      </c>
      <c r="C1033" t="s">
        <v>19016</v>
      </c>
      <c r="D1033">
        <v>161233</v>
      </c>
      <c r="E1033">
        <v>49542</v>
      </c>
      <c r="F1033">
        <v>400</v>
      </c>
      <c r="G1033" t="s">
        <v>18840</v>
      </c>
      <c r="I1033" t="s">
        <v>11145</v>
      </c>
      <c r="J1033" t="s">
        <v>10295</v>
      </c>
      <c r="T1033" t="s">
        <v>3458</v>
      </c>
    </row>
    <row r="1034" spans="1:20" x14ac:dyDescent="0.2">
      <c r="A1034" t="s">
        <v>19158</v>
      </c>
      <c r="B1034" t="s">
        <v>19017</v>
      </c>
      <c r="C1034" t="s">
        <v>19018</v>
      </c>
      <c r="D1034">
        <v>161246</v>
      </c>
      <c r="E1034">
        <v>49555</v>
      </c>
      <c r="F1034">
        <v>402</v>
      </c>
      <c r="G1034" t="s">
        <v>18840</v>
      </c>
      <c r="I1034" t="s">
        <v>11145</v>
      </c>
      <c r="J1034" t="s">
        <v>10295</v>
      </c>
      <c r="T1034" t="s">
        <v>3447</v>
      </c>
    </row>
    <row r="1035" spans="1:20" x14ac:dyDescent="0.2">
      <c r="A1035" t="s">
        <v>2940</v>
      </c>
      <c r="B1035" t="s">
        <v>10468</v>
      </c>
      <c r="C1035" t="s">
        <v>19019</v>
      </c>
      <c r="D1035">
        <v>161248</v>
      </c>
      <c r="E1035">
        <v>49557</v>
      </c>
      <c r="F1035">
        <v>402</v>
      </c>
      <c r="G1035" t="s">
        <v>18840</v>
      </c>
      <c r="I1035" t="s">
        <v>11145</v>
      </c>
      <c r="J1035" t="s">
        <v>10295</v>
      </c>
      <c r="T1035" t="s">
        <v>3447</v>
      </c>
    </row>
    <row r="1036" spans="1:20" x14ac:dyDescent="0.2">
      <c r="A1036" t="s">
        <v>2956</v>
      </c>
      <c r="B1036" t="s">
        <v>10469</v>
      </c>
      <c r="C1036" t="s">
        <v>19020</v>
      </c>
      <c r="D1036">
        <v>161456</v>
      </c>
      <c r="E1036">
        <v>49637</v>
      </c>
      <c r="F1036">
        <v>400</v>
      </c>
      <c r="G1036" t="s">
        <v>18840</v>
      </c>
      <c r="I1036" t="s">
        <v>11145</v>
      </c>
      <c r="J1036" t="s">
        <v>10295</v>
      </c>
      <c r="T1036" t="s">
        <v>3458</v>
      </c>
    </row>
    <row r="1037" spans="1:20" x14ac:dyDescent="0.2">
      <c r="A1037" t="s">
        <v>2942</v>
      </c>
      <c r="B1037" t="s">
        <v>10470</v>
      </c>
      <c r="C1037" t="s">
        <v>19021</v>
      </c>
      <c r="D1037">
        <v>161531</v>
      </c>
      <c r="E1037">
        <v>49679</v>
      </c>
      <c r="F1037">
        <v>400</v>
      </c>
      <c r="G1037" t="s">
        <v>18840</v>
      </c>
      <c r="I1037" t="s">
        <v>11145</v>
      </c>
      <c r="J1037" t="s">
        <v>10295</v>
      </c>
      <c r="T1037" t="s">
        <v>3458</v>
      </c>
    </row>
    <row r="1038" spans="1:20" x14ac:dyDescent="0.2">
      <c r="A1038" t="s">
        <v>2950</v>
      </c>
      <c r="B1038" t="s">
        <v>10471</v>
      </c>
      <c r="C1038" t="s">
        <v>19022</v>
      </c>
      <c r="D1038">
        <v>161533</v>
      </c>
      <c r="E1038">
        <v>49681</v>
      </c>
      <c r="F1038">
        <v>402</v>
      </c>
      <c r="G1038" t="s">
        <v>18840</v>
      </c>
      <c r="I1038" t="s">
        <v>11145</v>
      </c>
      <c r="J1038" t="s">
        <v>10295</v>
      </c>
      <c r="T1038" t="s">
        <v>3447</v>
      </c>
    </row>
    <row r="1039" spans="1:20" x14ac:dyDescent="0.2">
      <c r="A1039" t="s">
        <v>2944</v>
      </c>
      <c r="B1039" t="s">
        <v>10473</v>
      </c>
      <c r="C1039" t="s">
        <v>19023</v>
      </c>
      <c r="D1039">
        <v>161829</v>
      </c>
      <c r="E1039">
        <v>49883</v>
      </c>
      <c r="F1039">
        <v>209</v>
      </c>
      <c r="G1039" t="s">
        <v>18840</v>
      </c>
      <c r="I1039" t="s">
        <v>11145</v>
      </c>
      <c r="J1039" t="s">
        <v>10295</v>
      </c>
      <c r="T1039" t="s">
        <v>3469</v>
      </c>
    </row>
    <row r="1040" spans="1:20" x14ac:dyDescent="0.2">
      <c r="A1040" t="s">
        <v>2958</v>
      </c>
      <c r="B1040" t="s">
        <v>10474</v>
      </c>
      <c r="C1040" t="s">
        <v>19024</v>
      </c>
      <c r="D1040">
        <v>164326</v>
      </c>
      <c r="E1040">
        <v>52025</v>
      </c>
      <c r="F1040">
        <v>400</v>
      </c>
      <c r="G1040" t="s">
        <v>18840</v>
      </c>
      <c r="I1040" t="s">
        <v>11145</v>
      </c>
      <c r="J1040" t="s">
        <v>10295</v>
      </c>
      <c r="T1040" t="s">
        <v>3458</v>
      </c>
    </row>
    <row r="1041" spans="1:20" x14ac:dyDescent="0.2">
      <c r="A1041" t="s">
        <v>2960</v>
      </c>
      <c r="B1041" t="s">
        <v>10475</v>
      </c>
      <c r="C1041" t="s">
        <v>19025</v>
      </c>
      <c r="D1041">
        <v>164303</v>
      </c>
      <c r="E1041">
        <v>52280</v>
      </c>
      <c r="F1041">
        <v>400</v>
      </c>
      <c r="G1041" t="s">
        <v>18840</v>
      </c>
      <c r="I1041" t="s">
        <v>11145</v>
      </c>
      <c r="J1041" t="s">
        <v>10295</v>
      </c>
      <c r="T1041" t="s">
        <v>3458</v>
      </c>
    </row>
    <row r="1042" spans="1:20" x14ac:dyDescent="0.2">
      <c r="A1042" t="s">
        <v>2954</v>
      </c>
      <c r="B1042" t="s">
        <v>10476</v>
      </c>
      <c r="C1042" t="s">
        <v>19026</v>
      </c>
      <c r="D1042">
        <v>164314</v>
      </c>
      <c r="E1042">
        <v>52286</v>
      </c>
      <c r="F1042">
        <v>400</v>
      </c>
      <c r="G1042" t="s">
        <v>18840</v>
      </c>
      <c r="I1042" t="s">
        <v>11145</v>
      </c>
      <c r="J1042" t="s">
        <v>10295</v>
      </c>
      <c r="T1042" t="s">
        <v>3458</v>
      </c>
    </row>
    <row r="1043" spans="1:20" x14ac:dyDescent="0.2">
      <c r="A1043" t="s">
        <v>2952</v>
      </c>
      <c r="B1043" t="s">
        <v>10477</v>
      </c>
      <c r="C1043" t="s">
        <v>19027</v>
      </c>
      <c r="D1043">
        <v>165167</v>
      </c>
      <c r="E1043">
        <v>52483</v>
      </c>
      <c r="F1043">
        <v>209</v>
      </c>
      <c r="G1043" t="s">
        <v>18840</v>
      </c>
      <c r="I1043" t="s">
        <v>11145</v>
      </c>
      <c r="J1043" t="s">
        <v>10295</v>
      </c>
      <c r="T1043" t="s">
        <v>3469</v>
      </c>
    </row>
    <row r="1044" spans="1:20" x14ac:dyDescent="0.2">
      <c r="A1044" t="s">
        <v>19159</v>
      </c>
      <c r="B1044" t="s">
        <v>19028</v>
      </c>
      <c r="C1044" t="s">
        <v>19029</v>
      </c>
      <c r="D1044">
        <v>165211</v>
      </c>
      <c r="E1044">
        <v>52501</v>
      </c>
      <c r="F1044">
        <v>209</v>
      </c>
      <c r="G1044" t="s">
        <v>18840</v>
      </c>
      <c r="I1044" t="s">
        <v>11145</v>
      </c>
      <c r="J1044" t="s">
        <v>10295</v>
      </c>
      <c r="T1044" t="s">
        <v>3469</v>
      </c>
    </row>
    <row r="1045" spans="1:20" x14ac:dyDescent="0.2">
      <c r="A1045" t="s">
        <v>19160</v>
      </c>
      <c r="B1045" t="s">
        <v>19030</v>
      </c>
      <c r="C1045" t="s">
        <v>19031</v>
      </c>
      <c r="D1045">
        <v>165212</v>
      </c>
      <c r="E1045">
        <v>52502</v>
      </c>
      <c r="F1045">
        <v>209</v>
      </c>
      <c r="G1045" t="s">
        <v>18840</v>
      </c>
      <c r="I1045" t="s">
        <v>11145</v>
      </c>
      <c r="J1045" t="s">
        <v>10295</v>
      </c>
      <c r="T1045" t="s">
        <v>3469</v>
      </c>
    </row>
    <row r="1046" spans="1:20" x14ac:dyDescent="0.2">
      <c r="A1046" t="s">
        <v>2962</v>
      </c>
      <c r="B1046" t="s">
        <v>10478</v>
      </c>
      <c r="C1046" t="s">
        <v>19032</v>
      </c>
      <c r="D1046">
        <v>165251</v>
      </c>
      <c r="E1046">
        <v>52524</v>
      </c>
      <c r="F1046">
        <v>209</v>
      </c>
      <c r="G1046" t="s">
        <v>18840</v>
      </c>
      <c r="I1046" t="s">
        <v>11145</v>
      </c>
      <c r="J1046" t="s">
        <v>10295</v>
      </c>
      <c r="T1046" t="s">
        <v>3469</v>
      </c>
    </row>
    <row r="1047" spans="1:20" x14ac:dyDescent="0.2">
      <c r="A1047" t="s">
        <v>2976</v>
      </c>
      <c r="B1047" t="s">
        <v>17117</v>
      </c>
      <c r="C1047" t="s">
        <v>19033</v>
      </c>
      <c r="D1047">
        <v>165257</v>
      </c>
      <c r="E1047">
        <v>52530</v>
      </c>
      <c r="F1047">
        <v>209</v>
      </c>
      <c r="G1047" t="s">
        <v>18840</v>
      </c>
      <c r="I1047" t="s">
        <v>11145</v>
      </c>
      <c r="J1047" t="s">
        <v>10295</v>
      </c>
      <c r="T1047" t="s">
        <v>3469</v>
      </c>
    </row>
    <row r="1048" spans="1:20" x14ac:dyDescent="0.2">
      <c r="A1048" t="s">
        <v>2970</v>
      </c>
      <c r="B1048" t="s">
        <v>10479</v>
      </c>
      <c r="C1048" t="s">
        <v>19034</v>
      </c>
      <c r="D1048">
        <v>165260</v>
      </c>
      <c r="E1048">
        <v>52533</v>
      </c>
      <c r="F1048">
        <v>209</v>
      </c>
      <c r="G1048" t="s">
        <v>18840</v>
      </c>
      <c r="I1048" t="s">
        <v>11145</v>
      </c>
      <c r="J1048" t="s">
        <v>10295</v>
      </c>
      <c r="T1048" t="s">
        <v>3469</v>
      </c>
    </row>
    <row r="1049" spans="1:20" x14ac:dyDescent="0.2">
      <c r="A1049" t="s">
        <v>19161</v>
      </c>
      <c r="B1049" t="s">
        <v>19035</v>
      </c>
      <c r="C1049" t="s">
        <v>19036</v>
      </c>
      <c r="D1049">
        <v>165267</v>
      </c>
      <c r="E1049">
        <v>52540</v>
      </c>
      <c r="F1049">
        <v>209</v>
      </c>
      <c r="G1049" t="s">
        <v>18840</v>
      </c>
      <c r="I1049" t="s">
        <v>11145</v>
      </c>
      <c r="J1049" t="s">
        <v>10295</v>
      </c>
      <c r="T1049" t="s">
        <v>3469</v>
      </c>
    </row>
    <row r="1050" spans="1:20" x14ac:dyDescent="0.2">
      <c r="A1050" t="s">
        <v>2965</v>
      </c>
      <c r="B1050" t="s">
        <v>10484</v>
      </c>
      <c r="C1050" t="s">
        <v>19037</v>
      </c>
      <c r="D1050">
        <v>165400</v>
      </c>
      <c r="E1050">
        <v>52647</v>
      </c>
      <c r="F1050">
        <v>209</v>
      </c>
      <c r="G1050" t="s">
        <v>18840</v>
      </c>
      <c r="I1050" t="s">
        <v>11145</v>
      </c>
      <c r="J1050" t="s">
        <v>10295</v>
      </c>
      <c r="T1050" t="s">
        <v>3469</v>
      </c>
    </row>
    <row r="1051" spans="1:20" x14ac:dyDescent="0.2">
      <c r="A1051" t="s">
        <v>19162</v>
      </c>
      <c r="B1051" t="s">
        <v>19038</v>
      </c>
      <c r="C1051" t="s">
        <v>19039</v>
      </c>
      <c r="D1051">
        <v>165608</v>
      </c>
      <c r="E1051">
        <v>52773</v>
      </c>
      <c r="F1051">
        <v>400</v>
      </c>
      <c r="G1051" t="s">
        <v>18840</v>
      </c>
      <c r="I1051" t="s">
        <v>11145</v>
      </c>
      <c r="J1051" t="s">
        <v>10295</v>
      </c>
      <c r="T1051" t="s">
        <v>3458</v>
      </c>
    </row>
    <row r="1052" spans="1:20" x14ac:dyDescent="0.2">
      <c r="A1052" t="s">
        <v>2979</v>
      </c>
      <c r="B1052" t="s">
        <v>10489</v>
      </c>
      <c r="C1052" t="s">
        <v>19040</v>
      </c>
      <c r="D1052">
        <v>165658</v>
      </c>
      <c r="E1052">
        <v>52813</v>
      </c>
      <c r="F1052">
        <v>209</v>
      </c>
      <c r="G1052" t="s">
        <v>18840</v>
      </c>
      <c r="I1052" t="s">
        <v>11145</v>
      </c>
      <c r="J1052" t="s">
        <v>10295</v>
      </c>
      <c r="T1052" t="s">
        <v>3469</v>
      </c>
    </row>
    <row r="1053" spans="1:20" x14ac:dyDescent="0.2">
      <c r="A1053" t="s">
        <v>19163</v>
      </c>
      <c r="B1053" t="s">
        <v>19041</v>
      </c>
      <c r="C1053" t="s">
        <v>19042</v>
      </c>
      <c r="D1053">
        <v>165684</v>
      </c>
      <c r="E1053">
        <v>52839</v>
      </c>
      <c r="F1053">
        <v>400</v>
      </c>
      <c r="G1053" t="s">
        <v>18840</v>
      </c>
      <c r="I1053" t="s">
        <v>11145</v>
      </c>
      <c r="J1053" t="s">
        <v>10295</v>
      </c>
      <c r="T1053" t="s">
        <v>3458</v>
      </c>
    </row>
    <row r="1054" spans="1:20" x14ac:dyDescent="0.2">
      <c r="A1054" t="s">
        <v>19164</v>
      </c>
      <c r="B1054" t="s">
        <v>19043</v>
      </c>
      <c r="C1054" t="s">
        <v>19044</v>
      </c>
      <c r="D1054">
        <v>165697</v>
      </c>
      <c r="E1054">
        <v>52852</v>
      </c>
      <c r="F1054">
        <v>400</v>
      </c>
      <c r="G1054" t="s">
        <v>18840</v>
      </c>
      <c r="I1054" t="s">
        <v>11145</v>
      </c>
      <c r="J1054" t="s">
        <v>10295</v>
      </c>
      <c r="T1054" t="s">
        <v>3458</v>
      </c>
    </row>
    <row r="1055" spans="1:20" x14ac:dyDescent="0.2">
      <c r="A1055" t="s">
        <v>2981</v>
      </c>
      <c r="B1055" t="s">
        <v>10490</v>
      </c>
      <c r="C1055" t="s">
        <v>19045</v>
      </c>
      <c r="D1055">
        <v>165711</v>
      </c>
      <c r="E1055">
        <v>52865</v>
      </c>
      <c r="F1055">
        <v>209</v>
      </c>
      <c r="G1055" t="s">
        <v>18840</v>
      </c>
      <c r="I1055" t="s">
        <v>11145</v>
      </c>
      <c r="J1055" t="s">
        <v>10295</v>
      </c>
      <c r="T1055" t="s">
        <v>3469</v>
      </c>
    </row>
    <row r="1056" spans="1:20" x14ac:dyDescent="0.2">
      <c r="A1056" t="s">
        <v>2972</v>
      </c>
      <c r="B1056" t="s">
        <v>10492</v>
      </c>
      <c r="C1056" t="s">
        <v>19046</v>
      </c>
      <c r="D1056">
        <v>165713</v>
      </c>
      <c r="E1056">
        <v>52867</v>
      </c>
      <c r="F1056">
        <v>209</v>
      </c>
      <c r="G1056" t="s">
        <v>18840</v>
      </c>
      <c r="I1056" t="s">
        <v>11145</v>
      </c>
      <c r="J1056" t="s">
        <v>10295</v>
      </c>
      <c r="T1056" t="s">
        <v>3469</v>
      </c>
    </row>
    <row r="1057" spans="1:20" x14ac:dyDescent="0.2">
      <c r="A1057" t="s">
        <v>2968</v>
      </c>
      <c r="B1057" t="s">
        <v>10493</v>
      </c>
      <c r="C1057" t="s">
        <v>19047</v>
      </c>
      <c r="D1057">
        <v>165723</v>
      </c>
      <c r="E1057">
        <v>52877</v>
      </c>
      <c r="F1057">
        <v>209</v>
      </c>
      <c r="G1057" t="s">
        <v>18840</v>
      </c>
      <c r="I1057" t="s">
        <v>11145</v>
      </c>
      <c r="J1057" t="s">
        <v>10295</v>
      </c>
      <c r="T1057" t="s">
        <v>3469</v>
      </c>
    </row>
    <row r="1058" spans="1:20" x14ac:dyDescent="0.2">
      <c r="A1058" t="s">
        <v>19165</v>
      </c>
      <c r="B1058" t="s">
        <v>19048</v>
      </c>
      <c r="C1058" t="s">
        <v>19049</v>
      </c>
      <c r="D1058">
        <v>165732</v>
      </c>
      <c r="E1058">
        <v>52886</v>
      </c>
      <c r="F1058">
        <v>209</v>
      </c>
      <c r="G1058" t="s">
        <v>18840</v>
      </c>
      <c r="I1058" t="s">
        <v>11145</v>
      </c>
      <c r="J1058" t="s">
        <v>10295</v>
      </c>
      <c r="T1058" t="s">
        <v>3469</v>
      </c>
    </row>
    <row r="1059" spans="1:20" x14ac:dyDescent="0.2">
      <c r="A1059" t="s">
        <v>19166</v>
      </c>
      <c r="B1059" t="s">
        <v>19050</v>
      </c>
      <c r="C1059" t="s">
        <v>19051</v>
      </c>
      <c r="D1059">
        <v>165752</v>
      </c>
      <c r="E1059">
        <v>52906</v>
      </c>
      <c r="F1059">
        <v>400</v>
      </c>
      <c r="G1059" t="s">
        <v>18840</v>
      </c>
      <c r="I1059" t="s">
        <v>11145</v>
      </c>
      <c r="J1059" t="s">
        <v>10295</v>
      </c>
      <c r="T1059" t="s">
        <v>3458</v>
      </c>
    </row>
    <row r="1060" spans="1:20" x14ac:dyDescent="0.2">
      <c r="A1060" t="s">
        <v>2998</v>
      </c>
      <c r="B1060" t="s">
        <v>10498</v>
      </c>
      <c r="C1060" t="s">
        <v>19052</v>
      </c>
      <c r="D1060">
        <v>165756</v>
      </c>
      <c r="E1060">
        <v>52909</v>
      </c>
      <c r="F1060">
        <v>209</v>
      </c>
      <c r="G1060" t="s">
        <v>18840</v>
      </c>
      <c r="I1060" t="s">
        <v>11145</v>
      </c>
      <c r="J1060" t="s">
        <v>10295</v>
      </c>
      <c r="T1060" t="s">
        <v>3469</v>
      </c>
    </row>
    <row r="1061" spans="1:20" x14ac:dyDescent="0.2">
      <c r="A1061" t="s">
        <v>2992</v>
      </c>
      <c r="B1061" t="s">
        <v>10500</v>
      </c>
      <c r="C1061" t="s">
        <v>19053</v>
      </c>
      <c r="D1061">
        <v>166544</v>
      </c>
      <c r="E1061">
        <v>53157</v>
      </c>
      <c r="F1061">
        <v>400</v>
      </c>
      <c r="G1061" t="s">
        <v>18840</v>
      </c>
      <c r="I1061" t="s">
        <v>11145</v>
      </c>
      <c r="J1061" t="s">
        <v>10295</v>
      </c>
      <c r="T1061" t="s">
        <v>3458</v>
      </c>
    </row>
    <row r="1062" spans="1:20" x14ac:dyDescent="0.2">
      <c r="A1062" t="s">
        <v>14181</v>
      </c>
      <c r="B1062" t="s">
        <v>10501</v>
      </c>
      <c r="C1062" t="s">
        <v>19054</v>
      </c>
      <c r="D1062">
        <v>166597</v>
      </c>
      <c r="E1062">
        <v>53172</v>
      </c>
      <c r="F1062">
        <v>400</v>
      </c>
      <c r="G1062" t="s">
        <v>18840</v>
      </c>
      <c r="I1062" t="s">
        <v>11145</v>
      </c>
      <c r="J1062" t="s">
        <v>10295</v>
      </c>
      <c r="T1062" t="s">
        <v>3458</v>
      </c>
    </row>
    <row r="1063" spans="1:20" x14ac:dyDescent="0.2">
      <c r="A1063" t="s">
        <v>14182</v>
      </c>
      <c r="B1063" t="s">
        <v>10502</v>
      </c>
      <c r="C1063" t="s">
        <v>19055</v>
      </c>
      <c r="D1063">
        <v>180942</v>
      </c>
      <c r="E1063">
        <v>54695</v>
      </c>
      <c r="F1063">
        <v>209</v>
      </c>
      <c r="G1063" t="s">
        <v>18840</v>
      </c>
      <c r="I1063" t="s">
        <v>11145</v>
      </c>
      <c r="J1063" t="s">
        <v>10295</v>
      </c>
      <c r="T1063" t="s">
        <v>3469</v>
      </c>
    </row>
    <row r="1064" spans="1:20" x14ac:dyDescent="0.2">
      <c r="A1064" t="s">
        <v>14183</v>
      </c>
      <c r="B1064" t="s">
        <v>10503</v>
      </c>
      <c r="C1064" t="s">
        <v>19056</v>
      </c>
      <c r="D1064">
        <v>192369</v>
      </c>
      <c r="E1064">
        <v>54823</v>
      </c>
      <c r="F1064">
        <v>209</v>
      </c>
      <c r="G1064" t="s">
        <v>18840</v>
      </c>
      <c r="I1064" t="s">
        <v>11145</v>
      </c>
      <c r="J1064" t="s">
        <v>10295</v>
      </c>
      <c r="T1064" t="s">
        <v>3469</v>
      </c>
    </row>
    <row r="1065" spans="1:20" x14ac:dyDescent="0.2">
      <c r="A1065" t="s">
        <v>19167</v>
      </c>
      <c r="B1065" t="s">
        <v>19057</v>
      </c>
      <c r="C1065" t="s">
        <v>19058</v>
      </c>
      <c r="D1065">
        <v>207715</v>
      </c>
      <c r="E1065">
        <v>54829</v>
      </c>
      <c r="F1065">
        <v>400</v>
      </c>
      <c r="G1065" t="s">
        <v>18840</v>
      </c>
      <c r="I1065" t="s">
        <v>11145</v>
      </c>
      <c r="J1065" t="s">
        <v>10295</v>
      </c>
      <c r="T1065" t="s">
        <v>3458</v>
      </c>
    </row>
    <row r="1066" spans="1:20" x14ac:dyDescent="0.2">
      <c r="A1066" t="s">
        <v>2984</v>
      </c>
      <c r="B1066" t="s">
        <v>10504</v>
      </c>
      <c r="C1066" t="s">
        <v>19059</v>
      </c>
      <c r="D1066">
        <v>207725</v>
      </c>
      <c r="E1066">
        <v>54839</v>
      </c>
      <c r="F1066">
        <v>400</v>
      </c>
      <c r="G1066" t="s">
        <v>18840</v>
      </c>
      <c r="I1066" t="s">
        <v>11145</v>
      </c>
      <c r="J1066" t="s">
        <v>10295</v>
      </c>
      <c r="T1066" t="s">
        <v>3458</v>
      </c>
    </row>
    <row r="1067" spans="1:20" x14ac:dyDescent="0.2">
      <c r="A1067" t="s">
        <v>3006</v>
      </c>
      <c r="B1067" t="s">
        <v>10505</v>
      </c>
      <c r="C1067" t="s">
        <v>19060</v>
      </c>
      <c r="D1067">
        <v>207726</v>
      </c>
      <c r="E1067">
        <v>54840</v>
      </c>
      <c r="F1067">
        <v>400</v>
      </c>
      <c r="G1067" t="s">
        <v>18840</v>
      </c>
      <c r="I1067" t="s">
        <v>11145</v>
      </c>
      <c r="J1067" t="s">
        <v>10295</v>
      </c>
      <c r="T1067" t="s">
        <v>3458</v>
      </c>
    </row>
    <row r="1068" spans="1:20" x14ac:dyDescent="0.2">
      <c r="A1068" t="s">
        <v>3002</v>
      </c>
      <c r="B1068" t="s">
        <v>10506</v>
      </c>
      <c r="C1068" t="s">
        <v>19061</v>
      </c>
      <c r="D1068">
        <v>213216</v>
      </c>
      <c r="E1068">
        <v>57714</v>
      </c>
      <c r="F1068">
        <v>209</v>
      </c>
      <c r="G1068" t="s">
        <v>18840</v>
      </c>
      <c r="I1068" t="s">
        <v>11145</v>
      </c>
      <c r="J1068" t="s">
        <v>10295</v>
      </c>
      <c r="T1068" t="s">
        <v>3469</v>
      </c>
    </row>
    <row r="1069" spans="1:20" x14ac:dyDescent="0.2">
      <c r="A1069" t="s">
        <v>3004</v>
      </c>
      <c r="B1069" t="s">
        <v>10507</v>
      </c>
      <c r="C1069" t="s">
        <v>19062</v>
      </c>
      <c r="D1069">
        <v>213218</v>
      </c>
      <c r="E1069">
        <v>57716</v>
      </c>
      <c r="F1069">
        <v>209</v>
      </c>
      <c r="G1069" t="s">
        <v>18840</v>
      </c>
      <c r="I1069" t="s">
        <v>11145</v>
      </c>
      <c r="J1069" t="s">
        <v>10295</v>
      </c>
      <c r="T1069" t="s">
        <v>3469</v>
      </c>
    </row>
    <row r="1070" spans="1:20" x14ac:dyDescent="0.2">
      <c r="A1070" t="s">
        <v>2990</v>
      </c>
      <c r="B1070" t="s">
        <v>10508</v>
      </c>
      <c r="C1070" t="s">
        <v>19063</v>
      </c>
      <c r="D1070">
        <v>213220</v>
      </c>
      <c r="E1070">
        <v>57718</v>
      </c>
      <c r="F1070">
        <v>209</v>
      </c>
      <c r="G1070" t="s">
        <v>18840</v>
      </c>
      <c r="I1070" t="s">
        <v>11145</v>
      </c>
      <c r="J1070" t="s">
        <v>10295</v>
      </c>
      <c r="T1070" t="s">
        <v>3469</v>
      </c>
    </row>
    <row r="1071" spans="1:20" x14ac:dyDescent="0.2">
      <c r="A1071" t="s">
        <v>14186</v>
      </c>
      <c r="B1071" t="s">
        <v>10511</v>
      </c>
      <c r="C1071" t="s">
        <v>19064</v>
      </c>
      <c r="D1071">
        <v>213353</v>
      </c>
      <c r="E1071">
        <v>57754</v>
      </c>
      <c r="F1071">
        <v>400</v>
      </c>
      <c r="G1071" t="s">
        <v>18840</v>
      </c>
      <c r="I1071" t="s">
        <v>11145</v>
      </c>
      <c r="J1071" t="s">
        <v>10295</v>
      </c>
      <c r="T1071" t="s">
        <v>3458</v>
      </c>
    </row>
    <row r="1072" spans="1:20" x14ac:dyDescent="0.2">
      <c r="A1072" t="s">
        <v>19168</v>
      </c>
      <c r="B1072" t="s">
        <v>19065</v>
      </c>
      <c r="C1072" t="s">
        <v>19066</v>
      </c>
      <c r="D1072">
        <v>213980</v>
      </c>
      <c r="E1072">
        <v>57819</v>
      </c>
      <c r="F1072">
        <v>209</v>
      </c>
      <c r="G1072" t="s">
        <v>18840</v>
      </c>
      <c r="I1072" t="s">
        <v>11145</v>
      </c>
      <c r="J1072" t="s">
        <v>10295</v>
      </c>
      <c r="T1072" t="s">
        <v>3469</v>
      </c>
    </row>
    <row r="1073" spans="1:20" x14ac:dyDescent="0.2">
      <c r="A1073" t="s">
        <v>3000</v>
      </c>
      <c r="B1073" t="s">
        <v>10512</v>
      </c>
      <c r="C1073" t="s">
        <v>19067</v>
      </c>
      <c r="D1073">
        <v>217977</v>
      </c>
      <c r="E1073">
        <v>61682</v>
      </c>
      <c r="F1073">
        <v>400</v>
      </c>
      <c r="G1073" t="s">
        <v>18840</v>
      </c>
      <c r="I1073" t="s">
        <v>11145</v>
      </c>
      <c r="J1073" t="s">
        <v>10295</v>
      </c>
      <c r="T1073" t="s">
        <v>3458</v>
      </c>
    </row>
    <row r="1074" spans="1:20" x14ac:dyDescent="0.2">
      <c r="A1074" t="s">
        <v>19169</v>
      </c>
      <c r="B1074" t="s">
        <v>19068</v>
      </c>
      <c r="C1074" t="s">
        <v>19069</v>
      </c>
      <c r="D1074">
        <v>219057</v>
      </c>
      <c r="E1074">
        <v>62151</v>
      </c>
      <c r="F1074">
        <v>400</v>
      </c>
      <c r="G1074" t="s">
        <v>18840</v>
      </c>
      <c r="I1074" t="s">
        <v>11145</v>
      </c>
      <c r="J1074" t="s">
        <v>10295</v>
      </c>
      <c r="T1074" t="s">
        <v>3458</v>
      </c>
    </row>
    <row r="1075" spans="1:20" x14ac:dyDescent="0.2">
      <c r="A1075" t="s">
        <v>14187</v>
      </c>
      <c r="B1075" t="s">
        <v>10513</v>
      </c>
      <c r="C1075" t="s">
        <v>19070</v>
      </c>
      <c r="D1075">
        <v>219550</v>
      </c>
      <c r="E1075">
        <v>62403</v>
      </c>
      <c r="F1075">
        <v>400</v>
      </c>
      <c r="G1075" t="s">
        <v>18840</v>
      </c>
      <c r="I1075" t="s">
        <v>11145</v>
      </c>
      <c r="J1075" t="s">
        <v>10295</v>
      </c>
      <c r="T1075" t="s">
        <v>3458</v>
      </c>
    </row>
    <row r="1076" spans="1:20" x14ac:dyDescent="0.2">
      <c r="A1076" t="s">
        <v>14188</v>
      </c>
      <c r="B1076" t="s">
        <v>10514</v>
      </c>
      <c r="C1076" t="s">
        <v>19071</v>
      </c>
      <c r="D1076">
        <v>219776</v>
      </c>
      <c r="E1076">
        <v>62494</v>
      </c>
      <c r="F1076">
        <v>400</v>
      </c>
      <c r="G1076" t="s">
        <v>18840</v>
      </c>
      <c r="I1076" t="s">
        <v>11145</v>
      </c>
      <c r="J1076" t="s">
        <v>10295</v>
      </c>
      <c r="T1076" t="s">
        <v>3458</v>
      </c>
    </row>
    <row r="1077" spans="1:20" x14ac:dyDescent="0.2">
      <c r="A1077" t="s">
        <v>3029</v>
      </c>
      <c r="B1077" t="s">
        <v>10515</v>
      </c>
      <c r="C1077" t="s">
        <v>19072</v>
      </c>
      <c r="D1077">
        <v>219782</v>
      </c>
      <c r="E1077">
        <v>62500</v>
      </c>
      <c r="F1077">
        <v>400</v>
      </c>
      <c r="G1077" t="s">
        <v>18840</v>
      </c>
      <c r="I1077" t="s">
        <v>11145</v>
      </c>
      <c r="J1077" t="s">
        <v>10295</v>
      </c>
      <c r="T1077" t="s">
        <v>3458</v>
      </c>
    </row>
    <row r="1078" spans="1:20" x14ac:dyDescent="0.2">
      <c r="A1078" t="s">
        <v>3027</v>
      </c>
      <c r="B1078" t="s">
        <v>10517</v>
      </c>
      <c r="C1078" t="s">
        <v>19073</v>
      </c>
      <c r="D1078">
        <v>220135</v>
      </c>
      <c r="E1078">
        <v>62636</v>
      </c>
      <c r="F1078">
        <v>400</v>
      </c>
      <c r="G1078" t="s">
        <v>18840</v>
      </c>
      <c r="I1078" t="s">
        <v>11145</v>
      </c>
      <c r="J1078" t="s">
        <v>10295</v>
      </c>
      <c r="T1078" t="s">
        <v>3458</v>
      </c>
    </row>
    <row r="1079" spans="1:20" x14ac:dyDescent="0.2">
      <c r="A1079" t="s">
        <v>3010</v>
      </c>
      <c r="B1079" t="s">
        <v>10518</v>
      </c>
      <c r="C1079" t="s">
        <v>19074</v>
      </c>
      <c r="D1079">
        <v>220176</v>
      </c>
      <c r="E1079">
        <v>62664</v>
      </c>
      <c r="F1079">
        <v>209</v>
      </c>
      <c r="G1079" t="s">
        <v>18840</v>
      </c>
      <c r="I1079" t="s">
        <v>11145</v>
      </c>
      <c r="J1079" t="s">
        <v>10295</v>
      </c>
      <c r="T1079" t="s">
        <v>3469</v>
      </c>
    </row>
    <row r="1080" spans="1:20" x14ac:dyDescent="0.2">
      <c r="A1080" t="s">
        <v>3012</v>
      </c>
      <c r="B1080" t="s">
        <v>10521</v>
      </c>
      <c r="C1080" t="s">
        <v>19075</v>
      </c>
      <c r="D1080">
        <v>220234</v>
      </c>
      <c r="E1080">
        <v>62716</v>
      </c>
      <c r="F1080">
        <v>400</v>
      </c>
      <c r="G1080" t="s">
        <v>18840</v>
      </c>
      <c r="I1080" t="s">
        <v>11145</v>
      </c>
      <c r="J1080" t="s">
        <v>10295</v>
      </c>
      <c r="T1080" t="s">
        <v>3458</v>
      </c>
    </row>
    <row r="1081" spans="1:20" x14ac:dyDescent="0.2">
      <c r="A1081" t="s">
        <v>3021</v>
      </c>
      <c r="B1081" t="s">
        <v>10522</v>
      </c>
      <c r="C1081" t="s">
        <v>19076</v>
      </c>
      <c r="D1081">
        <v>220235</v>
      </c>
      <c r="E1081">
        <v>62717</v>
      </c>
      <c r="F1081">
        <v>400</v>
      </c>
      <c r="G1081" t="s">
        <v>18840</v>
      </c>
      <c r="I1081" t="s">
        <v>11145</v>
      </c>
      <c r="J1081" t="s">
        <v>10295</v>
      </c>
      <c r="T1081" t="s">
        <v>3458</v>
      </c>
    </row>
    <row r="1082" spans="1:20" x14ac:dyDescent="0.2">
      <c r="A1082" t="s">
        <v>3017</v>
      </c>
      <c r="B1082" t="s">
        <v>10523</v>
      </c>
      <c r="C1082" t="s">
        <v>19077</v>
      </c>
      <c r="D1082">
        <v>220237</v>
      </c>
      <c r="E1082">
        <v>62719</v>
      </c>
      <c r="F1082">
        <v>400</v>
      </c>
      <c r="G1082" t="s">
        <v>18840</v>
      </c>
      <c r="I1082" t="s">
        <v>11145</v>
      </c>
      <c r="J1082" t="s">
        <v>10295</v>
      </c>
      <c r="T1082" t="s">
        <v>3458</v>
      </c>
    </row>
    <row r="1083" spans="1:20" x14ac:dyDescent="0.2">
      <c r="A1083" t="s">
        <v>3025</v>
      </c>
      <c r="B1083" t="s">
        <v>10524</v>
      </c>
      <c r="C1083" t="s">
        <v>19078</v>
      </c>
      <c r="D1083">
        <v>220316</v>
      </c>
      <c r="E1083">
        <v>62749</v>
      </c>
      <c r="F1083">
        <v>209</v>
      </c>
      <c r="G1083" t="s">
        <v>18840</v>
      </c>
      <c r="I1083" t="s">
        <v>11145</v>
      </c>
      <c r="J1083" t="s">
        <v>10295</v>
      </c>
      <c r="T1083" t="s">
        <v>3469</v>
      </c>
    </row>
    <row r="1084" spans="1:20" x14ac:dyDescent="0.2">
      <c r="A1084" t="s">
        <v>3033</v>
      </c>
      <c r="B1084" t="s">
        <v>10528</v>
      </c>
      <c r="C1084" t="s">
        <v>19079</v>
      </c>
      <c r="D1084">
        <v>220852</v>
      </c>
      <c r="E1084">
        <v>62963</v>
      </c>
      <c r="F1084">
        <v>400</v>
      </c>
      <c r="G1084" t="s">
        <v>18840</v>
      </c>
      <c r="I1084" t="s">
        <v>11145</v>
      </c>
      <c r="J1084" t="s">
        <v>10295</v>
      </c>
      <c r="T1084" t="s">
        <v>3458</v>
      </c>
    </row>
    <row r="1085" spans="1:20" x14ac:dyDescent="0.2">
      <c r="A1085" t="s">
        <v>3031</v>
      </c>
      <c r="B1085" t="s">
        <v>10529</v>
      </c>
      <c r="C1085" t="s">
        <v>19080</v>
      </c>
      <c r="D1085">
        <v>220853</v>
      </c>
      <c r="E1085">
        <v>62964</v>
      </c>
      <c r="F1085">
        <v>400</v>
      </c>
      <c r="G1085" t="s">
        <v>18840</v>
      </c>
      <c r="I1085" t="s">
        <v>11145</v>
      </c>
      <c r="J1085" t="s">
        <v>10295</v>
      </c>
      <c r="T1085" t="s">
        <v>3458</v>
      </c>
    </row>
    <row r="1086" spans="1:20" x14ac:dyDescent="0.2">
      <c r="A1086" t="s">
        <v>3019</v>
      </c>
      <c r="B1086" t="s">
        <v>10530</v>
      </c>
      <c r="C1086" t="s">
        <v>19081</v>
      </c>
      <c r="D1086">
        <v>222789</v>
      </c>
      <c r="E1086">
        <v>63560</v>
      </c>
      <c r="F1086">
        <v>400</v>
      </c>
      <c r="G1086" t="s">
        <v>18840</v>
      </c>
      <c r="I1086" t="s">
        <v>11145</v>
      </c>
      <c r="J1086" t="s">
        <v>10295</v>
      </c>
      <c r="T1086" t="s">
        <v>3458</v>
      </c>
    </row>
    <row r="1087" spans="1:20" x14ac:dyDescent="0.2">
      <c r="A1087" t="s">
        <v>3023</v>
      </c>
      <c r="B1087" t="s">
        <v>10531</v>
      </c>
      <c r="C1087" t="s">
        <v>19082</v>
      </c>
      <c r="D1087">
        <v>222878</v>
      </c>
      <c r="E1087">
        <v>63592</v>
      </c>
      <c r="F1087">
        <v>400</v>
      </c>
      <c r="G1087" t="s">
        <v>18840</v>
      </c>
      <c r="I1087" t="s">
        <v>11145</v>
      </c>
      <c r="J1087" t="s">
        <v>10295</v>
      </c>
      <c r="T1087" t="s">
        <v>3458</v>
      </c>
    </row>
    <row r="1088" spans="1:20" x14ac:dyDescent="0.2">
      <c r="A1088" t="s">
        <v>19170</v>
      </c>
      <c r="B1088" t="s">
        <v>19083</v>
      </c>
      <c r="C1088" t="s">
        <v>19084</v>
      </c>
      <c r="D1088">
        <v>222982</v>
      </c>
      <c r="E1088">
        <v>63634</v>
      </c>
      <c r="F1088">
        <v>400</v>
      </c>
      <c r="G1088" t="s">
        <v>18840</v>
      </c>
      <c r="I1088" t="s">
        <v>11145</v>
      </c>
      <c r="J1088" t="s">
        <v>10295</v>
      </c>
      <c r="T1088" t="s">
        <v>3458</v>
      </c>
    </row>
    <row r="1089" spans="1:20" x14ac:dyDescent="0.2">
      <c r="A1089" t="s">
        <v>14198</v>
      </c>
      <c r="B1089" t="s">
        <v>10535</v>
      </c>
      <c r="C1089" t="s">
        <v>19085</v>
      </c>
      <c r="D1089">
        <v>223734</v>
      </c>
      <c r="E1089">
        <v>63908</v>
      </c>
      <c r="F1089">
        <v>400</v>
      </c>
      <c r="G1089" t="s">
        <v>18840</v>
      </c>
      <c r="I1089" t="s">
        <v>11145</v>
      </c>
      <c r="J1089" t="s">
        <v>10295</v>
      </c>
      <c r="T1089" t="s">
        <v>3458</v>
      </c>
    </row>
    <row r="1090" spans="1:20" x14ac:dyDescent="0.2">
      <c r="A1090" t="s">
        <v>19171</v>
      </c>
      <c r="B1090" t="s">
        <v>19086</v>
      </c>
      <c r="C1090" t="s">
        <v>19087</v>
      </c>
      <c r="D1090">
        <v>235788</v>
      </c>
      <c r="E1090">
        <v>64267</v>
      </c>
      <c r="F1090">
        <v>209</v>
      </c>
      <c r="G1090" t="s">
        <v>18840</v>
      </c>
      <c r="I1090" t="s">
        <v>11145</v>
      </c>
      <c r="J1090" t="s">
        <v>10295</v>
      </c>
      <c r="T1090" t="s">
        <v>3469</v>
      </c>
    </row>
    <row r="1091" spans="1:20" x14ac:dyDescent="0.2">
      <c r="A1091" t="s">
        <v>3037</v>
      </c>
      <c r="B1091" t="s">
        <v>10542</v>
      </c>
      <c r="C1091" t="s">
        <v>19088</v>
      </c>
      <c r="D1091">
        <v>237506</v>
      </c>
      <c r="E1091">
        <v>64399</v>
      </c>
      <c r="F1091">
        <v>209</v>
      </c>
      <c r="G1091" t="s">
        <v>18840</v>
      </c>
      <c r="I1091" t="s">
        <v>11145</v>
      </c>
      <c r="J1091" t="s">
        <v>10295</v>
      </c>
      <c r="T1091" t="s">
        <v>3469</v>
      </c>
    </row>
    <row r="1092" spans="1:20" x14ac:dyDescent="0.2">
      <c r="A1092" t="s">
        <v>3035</v>
      </c>
      <c r="B1092" t="s">
        <v>10543</v>
      </c>
      <c r="C1092" t="s">
        <v>19089</v>
      </c>
      <c r="D1092">
        <v>237508</v>
      </c>
      <c r="E1092">
        <v>64401</v>
      </c>
      <c r="F1092">
        <v>209</v>
      </c>
      <c r="G1092" t="s">
        <v>18840</v>
      </c>
      <c r="I1092" t="s">
        <v>11145</v>
      </c>
      <c r="J1092" t="s">
        <v>10295</v>
      </c>
      <c r="T1092" t="s">
        <v>3469</v>
      </c>
    </row>
  </sheetData>
  <autoFilter ref="A1:T1092" xr:uid="{DE37698E-7E1B-B646-A281-D1BC3A3018F2}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4ADBC0-646B-1345-BA3C-C1981D7861C1}">
  <dimension ref="A1:C234"/>
  <sheetViews>
    <sheetView workbookViewId="0">
      <selection activeCell="D1" sqref="D1:D1048576"/>
    </sheetView>
  </sheetViews>
  <sheetFormatPr baseColWidth="10" defaultRowHeight="16" x14ac:dyDescent="0.2"/>
  <cols>
    <col min="1" max="1" width="26.1640625" bestFit="1" customWidth="1"/>
    <col min="2" max="2" width="66" bestFit="1" customWidth="1"/>
    <col min="3" max="3" width="19" bestFit="1" customWidth="1"/>
  </cols>
  <sheetData>
    <row r="1" spans="1:3" x14ac:dyDescent="0.2">
      <c r="A1" s="7" t="s">
        <v>19776</v>
      </c>
      <c r="B1" s="7" t="s">
        <v>19777</v>
      </c>
      <c r="C1" s="7" t="s">
        <v>19778</v>
      </c>
    </row>
    <row r="2" spans="1:3" x14ac:dyDescent="0.2">
      <c r="A2" t="s">
        <v>72</v>
      </c>
      <c r="B2" t="s">
        <v>349</v>
      </c>
      <c r="C2" t="s">
        <v>11275</v>
      </c>
    </row>
    <row r="3" spans="1:3" x14ac:dyDescent="0.2">
      <c r="A3" t="s">
        <v>72</v>
      </c>
      <c r="B3" t="s">
        <v>11248</v>
      </c>
      <c r="C3" t="s">
        <v>11249</v>
      </c>
    </row>
    <row r="4" spans="1:3" x14ac:dyDescent="0.2">
      <c r="A4" t="s">
        <v>72</v>
      </c>
      <c r="B4" t="s">
        <v>11236</v>
      </c>
      <c r="C4" t="s">
        <v>11237</v>
      </c>
    </row>
    <row r="5" spans="1:3" x14ac:dyDescent="0.2">
      <c r="A5" t="s">
        <v>72</v>
      </c>
      <c r="B5" t="s">
        <v>11295</v>
      </c>
      <c r="C5" t="s">
        <v>11296</v>
      </c>
    </row>
    <row r="6" spans="1:3" x14ac:dyDescent="0.2">
      <c r="A6" t="s">
        <v>72</v>
      </c>
      <c r="B6" t="s">
        <v>11293</v>
      </c>
      <c r="C6" t="s">
        <v>11294</v>
      </c>
    </row>
    <row r="7" spans="1:3" x14ac:dyDescent="0.2">
      <c r="A7" t="s">
        <v>72</v>
      </c>
      <c r="B7" t="s">
        <v>11215</v>
      </c>
      <c r="C7" t="s">
        <v>11216</v>
      </c>
    </row>
    <row r="8" spans="1:3" x14ac:dyDescent="0.2">
      <c r="A8" t="s">
        <v>72</v>
      </c>
      <c r="B8" t="s">
        <v>11261</v>
      </c>
      <c r="C8" t="s">
        <v>11262</v>
      </c>
    </row>
    <row r="9" spans="1:3" x14ac:dyDescent="0.2">
      <c r="A9" t="s">
        <v>72</v>
      </c>
      <c r="B9" t="s">
        <v>407</v>
      </c>
      <c r="C9" t="s">
        <v>11232</v>
      </c>
    </row>
    <row r="10" spans="1:3" x14ac:dyDescent="0.2">
      <c r="A10" t="s">
        <v>72</v>
      </c>
      <c r="B10" t="s">
        <v>916</v>
      </c>
      <c r="C10" t="s">
        <v>11235</v>
      </c>
    </row>
    <row r="11" spans="1:3" x14ac:dyDescent="0.2">
      <c r="A11" t="s">
        <v>72</v>
      </c>
      <c r="B11" t="s">
        <v>718</v>
      </c>
      <c r="C11" t="s">
        <v>11257</v>
      </c>
    </row>
    <row r="12" spans="1:3" x14ac:dyDescent="0.2">
      <c r="A12" t="s">
        <v>72</v>
      </c>
      <c r="B12" t="s">
        <v>131</v>
      </c>
      <c r="C12" t="s">
        <v>11253</v>
      </c>
    </row>
    <row r="13" spans="1:3" x14ac:dyDescent="0.2">
      <c r="A13" t="s">
        <v>72</v>
      </c>
      <c r="B13" t="s">
        <v>271</v>
      </c>
      <c r="C13" t="s">
        <v>11266</v>
      </c>
    </row>
    <row r="14" spans="1:3" x14ac:dyDescent="0.2">
      <c r="A14" t="s">
        <v>72</v>
      </c>
      <c r="B14" t="s">
        <v>497</v>
      </c>
      <c r="C14" t="s">
        <v>11269</v>
      </c>
    </row>
    <row r="15" spans="1:3" x14ac:dyDescent="0.2">
      <c r="A15" t="s">
        <v>72</v>
      </c>
      <c r="B15" t="s">
        <v>996</v>
      </c>
      <c r="C15" t="s">
        <v>11217</v>
      </c>
    </row>
    <row r="16" spans="1:3" x14ac:dyDescent="0.2">
      <c r="A16" t="s">
        <v>72</v>
      </c>
      <c r="B16" t="s">
        <v>371</v>
      </c>
      <c r="C16" t="s">
        <v>11199</v>
      </c>
    </row>
    <row r="17" spans="1:3" x14ac:dyDescent="0.2">
      <c r="A17" t="s">
        <v>72</v>
      </c>
      <c r="B17" t="s">
        <v>876</v>
      </c>
      <c r="C17" t="s">
        <v>11214</v>
      </c>
    </row>
    <row r="18" spans="1:3" x14ac:dyDescent="0.2">
      <c r="A18" t="s">
        <v>72</v>
      </c>
      <c r="B18" t="s">
        <v>683</v>
      </c>
      <c r="C18" t="s">
        <v>11229</v>
      </c>
    </row>
    <row r="19" spans="1:3" x14ac:dyDescent="0.2">
      <c r="A19" t="s">
        <v>72</v>
      </c>
      <c r="B19" t="s">
        <v>11233</v>
      </c>
      <c r="C19" t="s">
        <v>11234</v>
      </c>
    </row>
    <row r="20" spans="1:3" x14ac:dyDescent="0.2">
      <c r="A20" t="s">
        <v>72</v>
      </c>
      <c r="B20" t="s">
        <v>235</v>
      </c>
      <c r="C20" t="s">
        <v>11265</v>
      </c>
    </row>
    <row r="21" spans="1:3" x14ac:dyDescent="0.2">
      <c r="A21" t="s">
        <v>72</v>
      </c>
      <c r="B21" t="s">
        <v>461</v>
      </c>
      <c r="C21" t="s">
        <v>11210</v>
      </c>
    </row>
    <row r="22" spans="1:3" x14ac:dyDescent="0.2">
      <c r="A22" t="s">
        <v>72</v>
      </c>
      <c r="B22" t="s">
        <v>959</v>
      </c>
      <c r="C22" t="s">
        <v>11205</v>
      </c>
    </row>
    <row r="23" spans="1:3" x14ac:dyDescent="0.2">
      <c r="A23" t="s">
        <v>72</v>
      </c>
      <c r="B23" t="s">
        <v>387</v>
      </c>
      <c r="C23" t="s">
        <v>11240</v>
      </c>
    </row>
    <row r="24" spans="1:3" x14ac:dyDescent="0.2">
      <c r="A24" t="s">
        <v>72</v>
      </c>
      <c r="B24" t="s">
        <v>896</v>
      </c>
      <c r="C24" t="s">
        <v>11242</v>
      </c>
    </row>
    <row r="25" spans="1:3" x14ac:dyDescent="0.2">
      <c r="A25" t="s">
        <v>72</v>
      </c>
      <c r="B25" t="s">
        <v>698</v>
      </c>
      <c r="C25" t="s">
        <v>11247</v>
      </c>
    </row>
    <row r="26" spans="1:3" x14ac:dyDescent="0.2">
      <c r="A26" t="s">
        <v>72</v>
      </c>
      <c r="B26" t="s">
        <v>106</v>
      </c>
      <c r="C26" t="s">
        <v>11282</v>
      </c>
    </row>
    <row r="27" spans="1:3" x14ac:dyDescent="0.2">
      <c r="A27" t="s">
        <v>72</v>
      </c>
      <c r="B27" t="s">
        <v>251</v>
      </c>
      <c r="C27" t="s">
        <v>11290</v>
      </c>
    </row>
    <row r="28" spans="1:3" x14ac:dyDescent="0.2">
      <c r="A28" t="s">
        <v>72</v>
      </c>
      <c r="B28" t="s">
        <v>477</v>
      </c>
      <c r="C28" t="s">
        <v>11225</v>
      </c>
    </row>
    <row r="29" spans="1:3" x14ac:dyDescent="0.2">
      <c r="A29" t="s">
        <v>72</v>
      </c>
      <c r="B29" t="s">
        <v>976</v>
      </c>
      <c r="C29" t="s">
        <v>11211</v>
      </c>
    </row>
    <row r="30" spans="1:3" x14ac:dyDescent="0.2">
      <c r="A30" t="s">
        <v>72</v>
      </c>
      <c r="B30" t="s">
        <v>399</v>
      </c>
      <c r="C30" t="s">
        <v>11267</v>
      </c>
    </row>
    <row r="31" spans="1:3" x14ac:dyDescent="0.2">
      <c r="A31" t="s">
        <v>72</v>
      </c>
      <c r="B31" t="s">
        <v>908</v>
      </c>
      <c r="C31" t="s">
        <v>11274</v>
      </c>
    </row>
    <row r="32" spans="1:3" x14ac:dyDescent="0.2">
      <c r="A32" t="s">
        <v>72</v>
      </c>
      <c r="B32" t="s">
        <v>710</v>
      </c>
      <c r="C32" t="s">
        <v>11252</v>
      </c>
    </row>
    <row r="33" spans="1:3" x14ac:dyDescent="0.2">
      <c r="A33" t="s">
        <v>72</v>
      </c>
      <c r="B33" t="s">
        <v>121</v>
      </c>
      <c r="C33" t="s">
        <v>11281</v>
      </c>
    </row>
    <row r="34" spans="1:3" x14ac:dyDescent="0.2">
      <c r="A34" t="s">
        <v>72</v>
      </c>
      <c r="B34" t="s">
        <v>263</v>
      </c>
      <c r="C34" t="s">
        <v>11220</v>
      </c>
    </row>
    <row r="35" spans="1:3" x14ac:dyDescent="0.2">
      <c r="A35" t="s">
        <v>72</v>
      </c>
      <c r="B35" t="s">
        <v>489</v>
      </c>
      <c r="C35" t="s">
        <v>11268</v>
      </c>
    </row>
    <row r="36" spans="1:3" x14ac:dyDescent="0.2">
      <c r="A36" t="s">
        <v>72</v>
      </c>
      <c r="B36" t="s">
        <v>988</v>
      </c>
      <c r="C36" t="s">
        <v>11204</v>
      </c>
    </row>
    <row r="37" spans="1:3" x14ac:dyDescent="0.2">
      <c r="A37" t="s">
        <v>72</v>
      </c>
      <c r="B37" t="s">
        <v>411</v>
      </c>
      <c r="C37" t="s">
        <v>11258</v>
      </c>
    </row>
    <row r="38" spans="1:3" x14ac:dyDescent="0.2">
      <c r="A38" t="s">
        <v>72</v>
      </c>
      <c r="B38" t="s">
        <v>920</v>
      </c>
      <c r="C38" t="s">
        <v>11241</v>
      </c>
    </row>
    <row r="39" spans="1:3" x14ac:dyDescent="0.2">
      <c r="A39" t="s">
        <v>72</v>
      </c>
      <c r="B39" t="s">
        <v>722</v>
      </c>
      <c r="C39" t="s">
        <v>11188</v>
      </c>
    </row>
    <row r="40" spans="1:3" x14ac:dyDescent="0.2">
      <c r="A40" t="s">
        <v>72</v>
      </c>
      <c r="B40" t="s">
        <v>136</v>
      </c>
      <c r="C40" t="s">
        <v>11203</v>
      </c>
    </row>
    <row r="41" spans="1:3" x14ac:dyDescent="0.2">
      <c r="A41" t="s">
        <v>72</v>
      </c>
      <c r="B41" t="s">
        <v>275</v>
      </c>
      <c r="C41" t="s">
        <v>11212</v>
      </c>
    </row>
    <row r="42" spans="1:3" x14ac:dyDescent="0.2">
      <c r="A42" t="s">
        <v>72</v>
      </c>
      <c r="B42" t="s">
        <v>501</v>
      </c>
      <c r="C42" t="s">
        <v>11197</v>
      </c>
    </row>
    <row r="43" spans="1:3" x14ac:dyDescent="0.2">
      <c r="A43" t="s">
        <v>72</v>
      </c>
      <c r="B43" t="s">
        <v>1000</v>
      </c>
      <c r="C43" t="s">
        <v>11219</v>
      </c>
    </row>
    <row r="44" spans="1:3" x14ac:dyDescent="0.2">
      <c r="A44" t="s">
        <v>72</v>
      </c>
      <c r="B44" t="s">
        <v>359</v>
      </c>
      <c r="C44" t="s">
        <v>11184</v>
      </c>
    </row>
    <row r="45" spans="1:3" x14ac:dyDescent="0.2">
      <c r="A45" t="s">
        <v>72</v>
      </c>
      <c r="B45" t="s">
        <v>864</v>
      </c>
      <c r="C45" t="s">
        <v>11178</v>
      </c>
    </row>
    <row r="46" spans="1:3" x14ac:dyDescent="0.2">
      <c r="A46" t="s">
        <v>72</v>
      </c>
      <c r="B46" t="s">
        <v>671</v>
      </c>
      <c r="C46" t="s">
        <v>11150</v>
      </c>
    </row>
    <row r="47" spans="1:3" x14ac:dyDescent="0.2">
      <c r="A47" t="s">
        <v>72</v>
      </c>
      <c r="B47" t="s">
        <v>11160</v>
      </c>
      <c r="C47" t="s">
        <v>11161</v>
      </c>
    </row>
    <row r="48" spans="1:3" x14ac:dyDescent="0.2">
      <c r="A48" t="s">
        <v>72</v>
      </c>
      <c r="B48" t="s">
        <v>223</v>
      </c>
      <c r="C48" t="s">
        <v>11179</v>
      </c>
    </row>
    <row r="49" spans="1:3" x14ac:dyDescent="0.2">
      <c r="A49" t="s">
        <v>72</v>
      </c>
      <c r="B49" t="s">
        <v>449</v>
      </c>
      <c r="C49" t="s">
        <v>11140</v>
      </c>
    </row>
    <row r="50" spans="1:3" x14ac:dyDescent="0.2">
      <c r="A50" t="s">
        <v>72</v>
      </c>
      <c r="B50" t="s">
        <v>947</v>
      </c>
      <c r="C50" t="s">
        <v>11271</v>
      </c>
    </row>
    <row r="51" spans="1:3" x14ac:dyDescent="0.2">
      <c r="A51" t="s">
        <v>72</v>
      </c>
      <c r="B51" t="s">
        <v>367</v>
      </c>
      <c r="C51" t="s">
        <v>11181</v>
      </c>
    </row>
    <row r="52" spans="1:3" x14ac:dyDescent="0.2">
      <c r="A52" t="s">
        <v>72</v>
      </c>
      <c r="B52" t="s">
        <v>872</v>
      </c>
      <c r="C52" t="s">
        <v>11175</v>
      </c>
    </row>
    <row r="53" spans="1:3" x14ac:dyDescent="0.2">
      <c r="A53" t="s">
        <v>72</v>
      </c>
      <c r="B53" t="s">
        <v>679</v>
      </c>
      <c r="C53" t="s">
        <v>11169</v>
      </c>
    </row>
    <row r="54" spans="1:3" x14ac:dyDescent="0.2">
      <c r="A54" t="s">
        <v>72</v>
      </c>
      <c r="B54" t="s">
        <v>86</v>
      </c>
      <c r="C54" t="s">
        <v>11157</v>
      </c>
    </row>
    <row r="55" spans="1:3" x14ac:dyDescent="0.2">
      <c r="A55" t="s">
        <v>72</v>
      </c>
      <c r="B55" t="s">
        <v>231</v>
      </c>
      <c r="C55" t="s">
        <v>11168</v>
      </c>
    </row>
    <row r="56" spans="1:3" x14ac:dyDescent="0.2">
      <c r="A56" t="s">
        <v>72</v>
      </c>
      <c r="B56" t="s">
        <v>457</v>
      </c>
      <c r="C56" t="s">
        <v>11142</v>
      </c>
    </row>
    <row r="57" spans="1:3" x14ac:dyDescent="0.2">
      <c r="A57" t="s">
        <v>72</v>
      </c>
      <c r="B57" t="s">
        <v>955</v>
      </c>
      <c r="C57" t="s">
        <v>11298</v>
      </c>
    </row>
    <row r="58" spans="1:3" x14ac:dyDescent="0.2">
      <c r="A58" t="s">
        <v>72</v>
      </c>
      <c r="B58" t="s">
        <v>383</v>
      </c>
      <c r="C58" t="s">
        <v>11190</v>
      </c>
    </row>
    <row r="59" spans="1:3" x14ac:dyDescent="0.2">
      <c r="A59" t="s">
        <v>72</v>
      </c>
      <c r="B59" t="s">
        <v>11185</v>
      </c>
      <c r="C59" t="s">
        <v>11186</v>
      </c>
    </row>
    <row r="60" spans="1:3" x14ac:dyDescent="0.2">
      <c r="A60" t="s">
        <v>72</v>
      </c>
      <c r="B60" t="s">
        <v>694</v>
      </c>
      <c r="C60" t="s">
        <v>11207</v>
      </c>
    </row>
    <row r="61" spans="1:3" x14ac:dyDescent="0.2">
      <c r="A61" t="s">
        <v>72</v>
      </c>
      <c r="B61" t="s">
        <v>101</v>
      </c>
      <c r="C61" t="s">
        <v>11164</v>
      </c>
    </row>
    <row r="62" spans="1:3" x14ac:dyDescent="0.2">
      <c r="A62" t="s">
        <v>72</v>
      </c>
      <c r="B62" t="s">
        <v>247</v>
      </c>
      <c r="C62" t="s">
        <v>11165</v>
      </c>
    </row>
    <row r="63" spans="1:3" x14ac:dyDescent="0.2">
      <c r="A63" t="s">
        <v>72</v>
      </c>
      <c r="B63" t="s">
        <v>473</v>
      </c>
      <c r="C63" t="s">
        <v>11189</v>
      </c>
    </row>
    <row r="64" spans="1:3" x14ac:dyDescent="0.2">
      <c r="A64" t="s">
        <v>72</v>
      </c>
      <c r="B64" t="s">
        <v>972</v>
      </c>
      <c r="C64" t="s">
        <v>11301</v>
      </c>
    </row>
    <row r="65" spans="1:3" x14ac:dyDescent="0.2">
      <c r="A65" t="s">
        <v>72</v>
      </c>
      <c r="B65" t="s">
        <v>395</v>
      </c>
      <c r="C65" t="s">
        <v>11192</v>
      </c>
    </row>
    <row r="66" spans="1:3" x14ac:dyDescent="0.2">
      <c r="A66" t="s">
        <v>72</v>
      </c>
      <c r="B66" t="s">
        <v>904</v>
      </c>
      <c r="C66" t="s">
        <v>11191</v>
      </c>
    </row>
    <row r="67" spans="1:3" x14ac:dyDescent="0.2">
      <c r="A67" t="s">
        <v>72</v>
      </c>
      <c r="B67" t="s">
        <v>706</v>
      </c>
      <c r="C67" t="s">
        <v>11224</v>
      </c>
    </row>
    <row r="68" spans="1:3" x14ac:dyDescent="0.2">
      <c r="A68" t="s">
        <v>72</v>
      </c>
      <c r="B68" t="s">
        <v>11170</v>
      </c>
      <c r="C68" t="s">
        <v>11171</v>
      </c>
    </row>
    <row r="69" spans="1:3" x14ac:dyDescent="0.2">
      <c r="A69" t="s">
        <v>72</v>
      </c>
      <c r="B69" t="s">
        <v>259</v>
      </c>
      <c r="C69" t="s">
        <v>11156</v>
      </c>
    </row>
    <row r="70" spans="1:3" x14ac:dyDescent="0.2">
      <c r="A70" t="s">
        <v>72</v>
      </c>
      <c r="B70" t="s">
        <v>485</v>
      </c>
      <c r="C70" t="s">
        <v>11196</v>
      </c>
    </row>
    <row r="71" spans="1:3" x14ac:dyDescent="0.2">
      <c r="A71" t="s">
        <v>72</v>
      </c>
      <c r="B71" t="s">
        <v>984</v>
      </c>
      <c r="C71" t="s">
        <v>11297</v>
      </c>
    </row>
    <row r="72" spans="1:3" x14ac:dyDescent="0.2">
      <c r="A72" t="s">
        <v>72</v>
      </c>
      <c r="B72" t="s">
        <v>403</v>
      </c>
      <c r="C72" t="s">
        <v>11132</v>
      </c>
    </row>
    <row r="73" spans="1:3" x14ac:dyDescent="0.2">
      <c r="A73" t="s">
        <v>72</v>
      </c>
      <c r="B73" t="s">
        <v>912</v>
      </c>
      <c r="C73" t="s">
        <v>11126</v>
      </c>
    </row>
    <row r="74" spans="1:3" x14ac:dyDescent="0.2">
      <c r="A74" t="s">
        <v>72</v>
      </c>
      <c r="B74" t="s">
        <v>714</v>
      </c>
      <c r="C74" t="s">
        <v>11125</v>
      </c>
    </row>
    <row r="75" spans="1:3" x14ac:dyDescent="0.2">
      <c r="A75" t="s">
        <v>72</v>
      </c>
      <c r="B75" t="s">
        <v>11136</v>
      </c>
      <c r="C75" t="s">
        <v>11137</v>
      </c>
    </row>
    <row r="76" spans="1:3" x14ac:dyDescent="0.2">
      <c r="A76" t="s">
        <v>72</v>
      </c>
      <c r="B76" t="s">
        <v>267</v>
      </c>
      <c r="C76" t="s">
        <v>11138</v>
      </c>
    </row>
    <row r="77" spans="1:3" x14ac:dyDescent="0.2">
      <c r="A77" t="s">
        <v>72</v>
      </c>
      <c r="B77" t="s">
        <v>493</v>
      </c>
      <c r="C77" t="s">
        <v>11135</v>
      </c>
    </row>
    <row r="78" spans="1:3" x14ac:dyDescent="0.2">
      <c r="A78" t="s">
        <v>72</v>
      </c>
      <c r="B78" t="s">
        <v>992</v>
      </c>
      <c r="C78" t="s">
        <v>11255</v>
      </c>
    </row>
    <row r="79" spans="1:3" x14ac:dyDescent="0.2">
      <c r="A79" t="s">
        <v>72</v>
      </c>
      <c r="B79" t="s">
        <v>363</v>
      </c>
      <c r="C79" t="s">
        <v>11155</v>
      </c>
    </row>
    <row r="80" spans="1:3" x14ac:dyDescent="0.2">
      <c r="A80" t="s">
        <v>72</v>
      </c>
      <c r="B80" t="s">
        <v>868</v>
      </c>
      <c r="C80" t="s">
        <v>11151</v>
      </c>
    </row>
    <row r="81" spans="1:3" x14ac:dyDescent="0.2">
      <c r="A81" t="s">
        <v>72</v>
      </c>
      <c r="B81" t="s">
        <v>675</v>
      </c>
      <c r="C81" t="s">
        <v>11176</v>
      </c>
    </row>
    <row r="82" spans="1:3" x14ac:dyDescent="0.2">
      <c r="A82" t="s">
        <v>72</v>
      </c>
      <c r="B82" t="s">
        <v>81</v>
      </c>
      <c r="C82" t="s">
        <v>11148</v>
      </c>
    </row>
    <row r="83" spans="1:3" x14ac:dyDescent="0.2">
      <c r="A83" t="s">
        <v>72</v>
      </c>
      <c r="B83" t="s">
        <v>227</v>
      </c>
      <c r="C83" t="s">
        <v>11152</v>
      </c>
    </row>
    <row r="84" spans="1:3" x14ac:dyDescent="0.2">
      <c r="A84" t="s">
        <v>72</v>
      </c>
      <c r="B84" t="s">
        <v>453</v>
      </c>
      <c r="C84" t="s">
        <v>11141</v>
      </c>
    </row>
    <row r="85" spans="1:3" x14ac:dyDescent="0.2">
      <c r="A85" t="s">
        <v>72</v>
      </c>
      <c r="B85" t="s">
        <v>951</v>
      </c>
      <c r="C85" t="s">
        <v>11228</v>
      </c>
    </row>
    <row r="86" spans="1:3" x14ac:dyDescent="0.2">
      <c r="A86" t="s">
        <v>72</v>
      </c>
      <c r="B86" t="s">
        <v>379</v>
      </c>
      <c r="C86" t="s">
        <v>11283</v>
      </c>
    </row>
    <row r="87" spans="1:3" x14ac:dyDescent="0.2">
      <c r="A87" t="s">
        <v>72</v>
      </c>
      <c r="B87" t="s">
        <v>888</v>
      </c>
      <c r="C87" t="s">
        <v>11284</v>
      </c>
    </row>
    <row r="88" spans="1:3" x14ac:dyDescent="0.2">
      <c r="A88" t="s">
        <v>72</v>
      </c>
      <c r="B88" t="s">
        <v>690</v>
      </c>
      <c r="C88" t="s">
        <v>11273</v>
      </c>
    </row>
    <row r="89" spans="1:3" x14ac:dyDescent="0.2">
      <c r="A89" t="s">
        <v>72</v>
      </c>
      <c r="B89" t="s">
        <v>11302</v>
      </c>
      <c r="C89" t="s">
        <v>11303</v>
      </c>
    </row>
    <row r="90" spans="1:3" x14ac:dyDescent="0.2">
      <c r="A90" t="s">
        <v>72</v>
      </c>
      <c r="B90" t="s">
        <v>243</v>
      </c>
      <c r="C90" t="s">
        <v>11305</v>
      </c>
    </row>
    <row r="91" spans="1:3" x14ac:dyDescent="0.2">
      <c r="A91" t="s">
        <v>72</v>
      </c>
      <c r="B91" t="s">
        <v>469</v>
      </c>
      <c r="C91" t="s">
        <v>11289</v>
      </c>
    </row>
    <row r="92" spans="1:3" x14ac:dyDescent="0.2">
      <c r="A92" t="s">
        <v>72</v>
      </c>
      <c r="B92" t="s">
        <v>968</v>
      </c>
      <c r="C92" t="s">
        <v>11231</v>
      </c>
    </row>
    <row r="93" spans="1:3" x14ac:dyDescent="0.2">
      <c r="A93" t="s">
        <v>72</v>
      </c>
      <c r="B93" t="s">
        <v>391</v>
      </c>
      <c r="C93" t="s">
        <v>11172</v>
      </c>
    </row>
    <row r="94" spans="1:3" x14ac:dyDescent="0.2">
      <c r="A94" t="s">
        <v>72</v>
      </c>
      <c r="B94" t="s">
        <v>900</v>
      </c>
      <c r="C94" t="s">
        <v>11180</v>
      </c>
    </row>
    <row r="95" spans="1:3" x14ac:dyDescent="0.2">
      <c r="A95" t="s">
        <v>72</v>
      </c>
      <c r="B95" t="s">
        <v>702</v>
      </c>
      <c r="C95" t="s">
        <v>11131</v>
      </c>
    </row>
    <row r="96" spans="1:3" x14ac:dyDescent="0.2">
      <c r="A96" t="s">
        <v>72</v>
      </c>
      <c r="B96" t="s">
        <v>11299</v>
      </c>
      <c r="C96" t="s">
        <v>11300</v>
      </c>
    </row>
    <row r="97" spans="1:3" x14ac:dyDescent="0.2">
      <c r="A97" t="s">
        <v>72</v>
      </c>
      <c r="B97" t="s">
        <v>255</v>
      </c>
      <c r="C97" t="s">
        <v>11285</v>
      </c>
    </row>
    <row r="98" spans="1:3" x14ac:dyDescent="0.2">
      <c r="A98" t="s">
        <v>72</v>
      </c>
      <c r="B98" t="s">
        <v>481</v>
      </c>
      <c r="C98" t="s">
        <v>11139</v>
      </c>
    </row>
    <row r="99" spans="1:3" x14ac:dyDescent="0.2">
      <c r="A99" t="s">
        <v>72</v>
      </c>
      <c r="B99" t="s">
        <v>980</v>
      </c>
      <c r="C99" t="s">
        <v>11134</v>
      </c>
    </row>
    <row r="100" spans="1:3" x14ac:dyDescent="0.2">
      <c r="A100" t="s">
        <v>72</v>
      </c>
      <c r="B100" t="s">
        <v>729</v>
      </c>
      <c r="C100" t="s">
        <v>19779</v>
      </c>
    </row>
    <row r="101" spans="1:3" x14ac:dyDescent="0.2">
      <c r="A101" t="s">
        <v>72</v>
      </c>
      <c r="B101" t="s">
        <v>141</v>
      </c>
      <c r="C101" t="s">
        <v>19780</v>
      </c>
    </row>
    <row r="102" spans="1:3" x14ac:dyDescent="0.2">
      <c r="A102" t="s">
        <v>72</v>
      </c>
      <c r="B102" t="s">
        <v>11177</v>
      </c>
      <c r="C102" t="s">
        <v>19781</v>
      </c>
    </row>
    <row r="103" spans="1:3" x14ac:dyDescent="0.2">
      <c r="A103" t="s">
        <v>72</v>
      </c>
      <c r="B103" t="s">
        <v>509</v>
      </c>
      <c r="C103" t="s">
        <v>19782</v>
      </c>
    </row>
    <row r="104" spans="1:3" x14ac:dyDescent="0.2">
      <c r="A104" t="s">
        <v>72</v>
      </c>
      <c r="B104" t="s">
        <v>1014</v>
      </c>
      <c r="C104" t="s">
        <v>19783</v>
      </c>
    </row>
    <row r="105" spans="1:3" x14ac:dyDescent="0.2">
      <c r="A105" t="s">
        <v>72</v>
      </c>
      <c r="B105" t="s">
        <v>777</v>
      </c>
      <c r="C105" t="s">
        <v>19784</v>
      </c>
    </row>
    <row r="106" spans="1:3" x14ac:dyDescent="0.2">
      <c r="A106" t="s">
        <v>72</v>
      </c>
      <c r="B106" t="s">
        <v>203</v>
      </c>
      <c r="C106" t="s">
        <v>19785</v>
      </c>
    </row>
    <row r="107" spans="1:3" x14ac:dyDescent="0.2">
      <c r="A107" t="s">
        <v>72</v>
      </c>
      <c r="B107" t="s">
        <v>11182</v>
      </c>
      <c r="C107" t="s">
        <v>19786</v>
      </c>
    </row>
    <row r="108" spans="1:3" x14ac:dyDescent="0.2">
      <c r="A108" t="s">
        <v>72</v>
      </c>
      <c r="B108" t="s">
        <v>557</v>
      </c>
      <c r="C108" t="s">
        <v>19787</v>
      </c>
    </row>
    <row r="109" spans="1:3" x14ac:dyDescent="0.2">
      <c r="A109" t="s">
        <v>72</v>
      </c>
      <c r="B109" t="s">
        <v>1062</v>
      </c>
      <c r="C109" t="s">
        <v>19788</v>
      </c>
    </row>
    <row r="110" spans="1:3" x14ac:dyDescent="0.2">
      <c r="A110" t="s">
        <v>72</v>
      </c>
      <c r="B110" t="s">
        <v>745</v>
      </c>
      <c r="C110" t="s">
        <v>19789</v>
      </c>
    </row>
    <row r="111" spans="1:3" x14ac:dyDescent="0.2">
      <c r="A111" t="s">
        <v>72</v>
      </c>
      <c r="B111" t="s">
        <v>163</v>
      </c>
      <c r="C111" t="s">
        <v>19790</v>
      </c>
    </row>
    <row r="112" spans="1:3" x14ac:dyDescent="0.2">
      <c r="A112" t="s">
        <v>72</v>
      </c>
      <c r="B112" t="s">
        <v>11127</v>
      </c>
      <c r="C112" t="s">
        <v>19791</v>
      </c>
    </row>
    <row r="113" spans="1:3" x14ac:dyDescent="0.2">
      <c r="A113" t="s">
        <v>72</v>
      </c>
      <c r="B113" t="s">
        <v>525</v>
      </c>
      <c r="C113" t="s">
        <v>19792</v>
      </c>
    </row>
    <row r="114" spans="1:3" x14ac:dyDescent="0.2">
      <c r="A114" t="s">
        <v>72</v>
      </c>
      <c r="B114" t="s">
        <v>1030</v>
      </c>
      <c r="C114" t="s">
        <v>19793</v>
      </c>
    </row>
    <row r="115" spans="1:3" x14ac:dyDescent="0.2">
      <c r="A115" t="s">
        <v>72</v>
      </c>
      <c r="B115" t="s">
        <v>757</v>
      </c>
      <c r="C115" t="s">
        <v>19794</v>
      </c>
    </row>
    <row r="116" spans="1:3" x14ac:dyDescent="0.2">
      <c r="A116" t="s">
        <v>72</v>
      </c>
      <c r="B116" t="s">
        <v>178</v>
      </c>
      <c r="C116" t="s">
        <v>19795</v>
      </c>
    </row>
    <row r="117" spans="1:3" x14ac:dyDescent="0.2">
      <c r="A117" t="s">
        <v>72</v>
      </c>
      <c r="B117" t="s">
        <v>11128</v>
      </c>
      <c r="C117" t="s">
        <v>19796</v>
      </c>
    </row>
    <row r="118" spans="1:3" x14ac:dyDescent="0.2">
      <c r="A118" t="s">
        <v>72</v>
      </c>
      <c r="B118" t="s">
        <v>537</v>
      </c>
      <c r="C118" t="s">
        <v>19797</v>
      </c>
    </row>
    <row r="119" spans="1:3" x14ac:dyDescent="0.2">
      <c r="A119" t="s">
        <v>72</v>
      </c>
      <c r="B119" t="s">
        <v>1042</v>
      </c>
      <c r="C119" t="s">
        <v>19798</v>
      </c>
    </row>
    <row r="120" spans="1:3" x14ac:dyDescent="0.2">
      <c r="A120" t="s">
        <v>72</v>
      </c>
      <c r="B120" t="s">
        <v>769</v>
      </c>
      <c r="C120" t="s">
        <v>19799</v>
      </c>
    </row>
    <row r="121" spans="1:3" x14ac:dyDescent="0.2">
      <c r="A121" t="s">
        <v>72</v>
      </c>
      <c r="B121" t="s">
        <v>193</v>
      </c>
      <c r="C121" t="s">
        <v>19800</v>
      </c>
    </row>
    <row r="122" spans="1:3" x14ac:dyDescent="0.2">
      <c r="A122" t="s">
        <v>72</v>
      </c>
      <c r="B122" t="s">
        <v>11129</v>
      </c>
      <c r="C122" t="s">
        <v>19801</v>
      </c>
    </row>
    <row r="123" spans="1:3" x14ac:dyDescent="0.2">
      <c r="A123" t="s">
        <v>72</v>
      </c>
      <c r="B123" t="s">
        <v>549</v>
      </c>
      <c r="C123" t="s">
        <v>19802</v>
      </c>
    </row>
    <row r="124" spans="1:3" x14ac:dyDescent="0.2">
      <c r="A124" t="s">
        <v>72</v>
      </c>
      <c r="B124" t="s">
        <v>1054</v>
      </c>
      <c r="C124" t="s">
        <v>19803</v>
      </c>
    </row>
    <row r="125" spans="1:3" x14ac:dyDescent="0.2">
      <c r="A125" t="s">
        <v>72</v>
      </c>
      <c r="B125" t="s">
        <v>781</v>
      </c>
      <c r="C125" t="s">
        <v>19804</v>
      </c>
    </row>
    <row r="126" spans="1:3" x14ac:dyDescent="0.2">
      <c r="A126" t="s">
        <v>72</v>
      </c>
      <c r="B126" t="s">
        <v>208</v>
      </c>
      <c r="C126" t="s">
        <v>19805</v>
      </c>
    </row>
    <row r="127" spans="1:3" x14ac:dyDescent="0.2">
      <c r="A127" t="s">
        <v>72</v>
      </c>
      <c r="B127" t="s">
        <v>11200</v>
      </c>
      <c r="C127" t="s">
        <v>19806</v>
      </c>
    </row>
    <row r="128" spans="1:3" x14ac:dyDescent="0.2">
      <c r="A128" t="s">
        <v>72</v>
      </c>
      <c r="B128" t="s">
        <v>561</v>
      </c>
      <c r="C128" t="s">
        <v>19807</v>
      </c>
    </row>
    <row r="129" spans="1:3" x14ac:dyDescent="0.2">
      <c r="A129" t="s">
        <v>72</v>
      </c>
      <c r="B129" t="s">
        <v>1066</v>
      </c>
      <c r="C129" t="s">
        <v>19808</v>
      </c>
    </row>
    <row r="130" spans="1:3" x14ac:dyDescent="0.2">
      <c r="A130" t="s">
        <v>72</v>
      </c>
      <c r="B130" t="s">
        <v>733</v>
      </c>
      <c r="C130" t="s">
        <v>19809</v>
      </c>
    </row>
    <row r="131" spans="1:3" x14ac:dyDescent="0.2">
      <c r="A131" t="s">
        <v>72</v>
      </c>
      <c r="B131" t="s">
        <v>148</v>
      </c>
      <c r="C131" t="s">
        <v>19810</v>
      </c>
    </row>
    <row r="132" spans="1:3" x14ac:dyDescent="0.2">
      <c r="A132" t="s">
        <v>72</v>
      </c>
      <c r="B132" t="s">
        <v>11198</v>
      </c>
      <c r="C132" t="s">
        <v>19811</v>
      </c>
    </row>
    <row r="133" spans="1:3" x14ac:dyDescent="0.2">
      <c r="A133" t="s">
        <v>72</v>
      </c>
      <c r="B133" t="s">
        <v>513</v>
      </c>
      <c r="C133" t="s">
        <v>19812</v>
      </c>
    </row>
    <row r="134" spans="1:3" x14ac:dyDescent="0.2">
      <c r="A134" t="s">
        <v>72</v>
      </c>
      <c r="B134" t="s">
        <v>1018</v>
      </c>
      <c r="C134" t="s">
        <v>19813</v>
      </c>
    </row>
    <row r="135" spans="1:3" x14ac:dyDescent="0.2">
      <c r="A135" t="s">
        <v>72</v>
      </c>
      <c r="B135" t="s">
        <v>741</v>
      </c>
      <c r="C135" t="s">
        <v>19814</v>
      </c>
    </row>
    <row r="136" spans="1:3" x14ac:dyDescent="0.2">
      <c r="A136" t="s">
        <v>72</v>
      </c>
      <c r="B136" t="s">
        <v>158</v>
      </c>
      <c r="C136" t="s">
        <v>19815</v>
      </c>
    </row>
    <row r="137" spans="1:3" x14ac:dyDescent="0.2">
      <c r="A137" t="s">
        <v>72</v>
      </c>
      <c r="B137" t="s">
        <v>11153</v>
      </c>
      <c r="C137" t="s">
        <v>19816</v>
      </c>
    </row>
    <row r="138" spans="1:3" x14ac:dyDescent="0.2">
      <c r="A138" t="s">
        <v>72</v>
      </c>
      <c r="B138" t="s">
        <v>521</v>
      </c>
      <c r="C138" t="s">
        <v>19817</v>
      </c>
    </row>
    <row r="139" spans="1:3" x14ac:dyDescent="0.2">
      <c r="A139" t="s">
        <v>72</v>
      </c>
      <c r="B139" t="s">
        <v>1026</v>
      </c>
      <c r="C139" t="s">
        <v>19818</v>
      </c>
    </row>
    <row r="140" spans="1:3" x14ac:dyDescent="0.2">
      <c r="A140" t="s">
        <v>72</v>
      </c>
      <c r="B140" t="s">
        <v>753</v>
      </c>
      <c r="C140" t="s">
        <v>19819</v>
      </c>
    </row>
    <row r="141" spans="1:3" x14ac:dyDescent="0.2">
      <c r="A141" t="s">
        <v>72</v>
      </c>
      <c r="B141" t="s">
        <v>173</v>
      </c>
      <c r="C141" t="s">
        <v>19820</v>
      </c>
    </row>
    <row r="142" spans="1:3" x14ac:dyDescent="0.2">
      <c r="A142" t="s">
        <v>72</v>
      </c>
      <c r="B142" t="s">
        <v>11154</v>
      </c>
      <c r="C142" t="s">
        <v>19821</v>
      </c>
    </row>
    <row r="143" spans="1:3" x14ac:dyDescent="0.2">
      <c r="A143" t="s">
        <v>72</v>
      </c>
      <c r="B143" t="s">
        <v>533</v>
      </c>
      <c r="C143" t="s">
        <v>19822</v>
      </c>
    </row>
    <row r="144" spans="1:3" x14ac:dyDescent="0.2">
      <c r="A144" t="s">
        <v>72</v>
      </c>
      <c r="B144" t="s">
        <v>1038</v>
      </c>
      <c r="C144" t="s">
        <v>19823</v>
      </c>
    </row>
    <row r="145" spans="1:3" x14ac:dyDescent="0.2">
      <c r="A145" t="s">
        <v>72</v>
      </c>
      <c r="B145" t="s">
        <v>765</v>
      </c>
      <c r="C145" t="s">
        <v>19824</v>
      </c>
    </row>
    <row r="146" spans="1:3" x14ac:dyDescent="0.2">
      <c r="A146" t="s">
        <v>72</v>
      </c>
      <c r="B146" t="s">
        <v>188</v>
      </c>
      <c r="C146" t="s">
        <v>19825</v>
      </c>
    </row>
    <row r="147" spans="1:3" x14ac:dyDescent="0.2">
      <c r="A147" t="s">
        <v>72</v>
      </c>
      <c r="B147" t="s">
        <v>11146</v>
      </c>
      <c r="C147" t="s">
        <v>19826</v>
      </c>
    </row>
    <row r="148" spans="1:3" x14ac:dyDescent="0.2">
      <c r="A148" t="s">
        <v>72</v>
      </c>
      <c r="B148" t="s">
        <v>545</v>
      </c>
      <c r="C148" t="s">
        <v>19827</v>
      </c>
    </row>
    <row r="149" spans="1:3" x14ac:dyDescent="0.2">
      <c r="A149" t="s">
        <v>72</v>
      </c>
      <c r="B149" t="s">
        <v>1050</v>
      </c>
      <c r="C149" t="s">
        <v>19828</v>
      </c>
    </row>
    <row r="150" spans="1:3" x14ac:dyDescent="0.2">
      <c r="A150" t="s">
        <v>72</v>
      </c>
      <c r="B150" t="s">
        <v>773</v>
      </c>
      <c r="C150" t="s">
        <v>19829</v>
      </c>
    </row>
    <row r="151" spans="1:3" x14ac:dyDescent="0.2">
      <c r="A151" t="s">
        <v>72</v>
      </c>
      <c r="B151" t="s">
        <v>198</v>
      </c>
      <c r="C151" t="s">
        <v>19830</v>
      </c>
    </row>
    <row r="152" spans="1:3" x14ac:dyDescent="0.2">
      <c r="A152" t="s">
        <v>72</v>
      </c>
      <c r="B152" t="s">
        <v>11238</v>
      </c>
      <c r="C152" t="s">
        <v>19831</v>
      </c>
    </row>
    <row r="153" spans="1:3" x14ac:dyDescent="0.2">
      <c r="A153" t="s">
        <v>72</v>
      </c>
      <c r="B153" t="s">
        <v>553</v>
      </c>
      <c r="C153" t="s">
        <v>19832</v>
      </c>
    </row>
    <row r="154" spans="1:3" x14ac:dyDescent="0.2">
      <c r="A154" t="s">
        <v>72</v>
      </c>
      <c r="B154" t="s">
        <v>1058</v>
      </c>
      <c r="C154" t="s">
        <v>19833</v>
      </c>
    </row>
    <row r="155" spans="1:3" x14ac:dyDescent="0.2">
      <c r="A155" t="s">
        <v>72</v>
      </c>
      <c r="B155" t="s">
        <v>737</v>
      </c>
      <c r="C155" t="s">
        <v>19834</v>
      </c>
    </row>
    <row r="156" spans="1:3" x14ac:dyDescent="0.2">
      <c r="A156" t="s">
        <v>72</v>
      </c>
      <c r="B156" t="s">
        <v>153</v>
      </c>
      <c r="C156" t="s">
        <v>19835</v>
      </c>
    </row>
    <row r="157" spans="1:3" x14ac:dyDescent="0.2">
      <c r="A157" t="s">
        <v>72</v>
      </c>
      <c r="B157" t="s">
        <v>11166</v>
      </c>
      <c r="C157" t="s">
        <v>19836</v>
      </c>
    </row>
    <row r="158" spans="1:3" x14ac:dyDescent="0.2">
      <c r="A158" t="s">
        <v>72</v>
      </c>
      <c r="B158" t="s">
        <v>517</v>
      </c>
      <c r="C158" t="s">
        <v>19837</v>
      </c>
    </row>
    <row r="159" spans="1:3" x14ac:dyDescent="0.2">
      <c r="A159" t="s">
        <v>72</v>
      </c>
      <c r="B159" t="s">
        <v>1022</v>
      </c>
      <c r="C159" t="s">
        <v>19838</v>
      </c>
    </row>
    <row r="160" spans="1:3" x14ac:dyDescent="0.2">
      <c r="A160" t="s">
        <v>72</v>
      </c>
      <c r="B160" t="s">
        <v>749</v>
      </c>
      <c r="C160" t="s">
        <v>19839</v>
      </c>
    </row>
    <row r="161" spans="1:3" x14ac:dyDescent="0.2">
      <c r="A161" t="s">
        <v>72</v>
      </c>
      <c r="B161" t="s">
        <v>168</v>
      </c>
      <c r="C161" t="s">
        <v>19840</v>
      </c>
    </row>
    <row r="162" spans="1:3" x14ac:dyDescent="0.2">
      <c r="A162" t="s">
        <v>72</v>
      </c>
      <c r="B162" t="s">
        <v>11213</v>
      </c>
      <c r="C162" t="s">
        <v>19841</v>
      </c>
    </row>
    <row r="163" spans="1:3" x14ac:dyDescent="0.2">
      <c r="A163" t="s">
        <v>72</v>
      </c>
      <c r="B163" t="s">
        <v>529</v>
      </c>
      <c r="C163" t="s">
        <v>19842</v>
      </c>
    </row>
    <row r="164" spans="1:3" x14ac:dyDescent="0.2">
      <c r="A164" t="s">
        <v>72</v>
      </c>
      <c r="B164" t="s">
        <v>1034</v>
      </c>
      <c r="C164" t="s">
        <v>19843</v>
      </c>
    </row>
    <row r="165" spans="1:3" x14ac:dyDescent="0.2">
      <c r="A165" t="s">
        <v>72</v>
      </c>
      <c r="B165" t="s">
        <v>761</v>
      </c>
      <c r="C165" t="s">
        <v>19844</v>
      </c>
    </row>
    <row r="166" spans="1:3" x14ac:dyDescent="0.2">
      <c r="A166" t="s">
        <v>72</v>
      </c>
      <c r="B166" t="s">
        <v>183</v>
      </c>
      <c r="C166" t="s">
        <v>19845</v>
      </c>
    </row>
    <row r="167" spans="1:3" x14ac:dyDescent="0.2">
      <c r="A167" t="s">
        <v>72</v>
      </c>
      <c r="B167" t="s">
        <v>11183</v>
      </c>
      <c r="C167" t="s">
        <v>19846</v>
      </c>
    </row>
    <row r="168" spans="1:3" x14ac:dyDescent="0.2">
      <c r="A168" t="s">
        <v>72</v>
      </c>
      <c r="B168" t="s">
        <v>541</v>
      </c>
      <c r="C168" t="s">
        <v>19847</v>
      </c>
    </row>
    <row r="169" spans="1:3" x14ac:dyDescent="0.2">
      <c r="A169" t="s">
        <v>72</v>
      </c>
      <c r="B169" t="s">
        <v>1046</v>
      </c>
      <c r="C169" t="s">
        <v>19848</v>
      </c>
    </row>
    <row r="170" spans="1:3" x14ac:dyDescent="0.2">
      <c r="A170" t="s">
        <v>19849</v>
      </c>
      <c r="B170" t="s">
        <v>11143</v>
      </c>
      <c r="C170" t="s">
        <v>11144</v>
      </c>
    </row>
    <row r="171" spans="1:3" x14ac:dyDescent="0.2">
      <c r="A171" t="s">
        <v>19849</v>
      </c>
      <c r="B171" t="s">
        <v>11121</v>
      </c>
      <c r="C171" t="s">
        <v>11122</v>
      </c>
    </row>
    <row r="172" spans="1:3" x14ac:dyDescent="0.2">
      <c r="A172" t="s">
        <v>19849</v>
      </c>
      <c r="B172" t="s">
        <v>11279</v>
      </c>
      <c r="C172" t="s">
        <v>11280</v>
      </c>
    </row>
    <row r="173" spans="1:3" x14ac:dyDescent="0.2">
      <c r="A173" t="s">
        <v>19850</v>
      </c>
      <c r="B173" t="s">
        <v>11173</v>
      </c>
      <c r="C173" t="s">
        <v>11174</v>
      </c>
    </row>
    <row r="174" spans="1:3" x14ac:dyDescent="0.2">
      <c r="A174" t="s">
        <v>19850</v>
      </c>
      <c r="B174" t="s">
        <v>11291</v>
      </c>
      <c r="C174" t="s">
        <v>11292</v>
      </c>
    </row>
    <row r="175" spans="1:3" x14ac:dyDescent="0.2">
      <c r="A175" t="s">
        <v>19850</v>
      </c>
      <c r="B175" t="s">
        <v>19851</v>
      </c>
      <c r="C175" t="s">
        <v>11239</v>
      </c>
    </row>
    <row r="176" spans="1:3" x14ac:dyDescent="0.2">
      <c r="A176" t="s">
        <v>19850</v>
      </c>
      <c r="B176" t="s">
        <v>11158</v>
      </c>
      <c r="C176" t="s">
        <v>11159</v>
      </c>
    </row>
    <row r="177" spans="1:3" x14ac:dyDescent="0.2">
      <c r="A177" t="s">
        <v>19850</v>
      </c>
      <c r="B177" t="s">
        <v>11193</v>
      </c>
      <c r="C177" t="s">
        <v>11194</v>
      </c>
    </row>
    <row r="178" spans="1:3" x14ac:dyDescent="0.2">
      <c r="A178" t="s">
        <v>19850</v>
      </c>
      <c r="B178" t="s">
        <v>1088</v>
      </c>
      <c r="C178" t="s">
        <v>11187</v>
      </c>
    </row>
    <row r="179" spans="1:3" x14ac:dyDescent="0.2">
      <c r="A179" t="s">
        <v>19850</v>
      </c>
      <c r="B179" t="s">
        <v>1089</v>
      </c>
      <c r="C179" t="s">
        <v>11270</v>
      </c>
    </row>
    <row r="180" spans="1:3" x14ac:dyDescent="0.2">
      <c r="A180" t="s">
        <v>19850</v>
      </c>
      <c r="B180" t="s">
        <v>11162</v>
      </c>
      <c r="C180" t="s">
        <v>11163</v>
      </c>
    </row>
    <row r="181" spans="1:3" x14ac:dyDescent="0.2">
      <c r="A181" t="s">
        <v>19850</v>
      </c>
      <c r="B181" t="s">
        <v>442</v>
      </c>
      <c r="C181" t="s">
        <v>11206</v>
      </c>
    </row>
    <row r="182" spans="1:3" x14ac:dyDescent="0.2">
      <c r="A182" t="s">
        <v>945</v>
      </c>
      <c r="B182" t="s">
        <v>11221</v>
      </c>
      <c r="C182" t="s">
        <v>11222</v>
      </c>
    </row>
    <row r="183" spans="1:3" x14ac:dyDescent="0.2">
      <c r="A183" t="s">
        <v>945</v>
      </c>
      <c r="B183" t="s">
        <v>1003</v>
      </c>
      <c r="C183" t="s">
        <v>11208</v>
      </c>
    </row>
    <row r="184" spans="1:3" x14ac:dyDescent="0.2">
      <c r="A184" t="s">
        <v>945</v>
      </c>
      <c r="B184" t="s">
        <v>962</v>
      </c>
      <c r="C184" t="s">
        <v>11288</v>
      </c>
    </row>
    <row r="185" spans="1:3" x14ac:dyDescent="0.2">
      <c r="A185" t="s">
        <v>945</v>
      </c>
      <c r="B185" t="s">
        <v>941</v>
      </c>
      <c r="C185" t="s">
        <v>11272</v>
      </c>
    </row>
    <row r="186" spans="1:3" x14ac:dyDescent="0.2">
      <c r="A186" t="s">
        <v>945</v>
      </c>
      <c r="B186" t="s">
        <v>7792</v>
      </c>
      <c r="C186" t="s">
        <v>19852</v>
      </c>
    </row>
    <row r="187" spans="1:3" x14ac:dyDescent="0.2">
      <c r="A187" t="s">
        <v>945</v>
      </c>
      <c r="B187" t="s">
        <v>1087</v>
      </c>
      <c r="C187" t="s">
        <v>19853</v>
      </c>
    </row>
    <row r="188" spans="1:3" x14ac:dyDescent="0.2">
      <c r="A188" t="s">
        <v>945</v>
      </c>
      <c r="B188" t="s">
        <v>11263</v>
      </c>
      <c r="C188" t="s">
        <v>11264</v>
      </c>
    </row>
    <row r="189" spans="1:3" x14ac:dyDescent="0.2">
      <c r="A189" t="s">
        <v>945</v>
      </c>
      <c r="B189" t="s">
        <v>1009</v>
      </c>
      <c r="C189" t="s">
        <v>19854</v>
      </c>
    </row>
    <row r="190" spans="1:3" x14ac:dyDescent="0.2">
      <c r="A190" t="s">
        <v>945</v>
      </c>
      <c r="B190" t="s">
        <v>11226</v>
      </c>
      <c r="C190" t="s">
        <v>11227</v>
      </c>
    </row>
    <row r="191" spans="1:3" x14ac:dyDescent="0.2">
      <c r="A191" t="s">
        <v>945</v>
      </c>
      <c r="B191" t="s">
        <v>814</v>
      </c>
      <c r="C191" t="s">
        <v>11254</v>
      </c>
    </row>
    <row r="192" spans="1:3" x14ac:dyDescent="0.2">
      <c r="A192" t="s">
        <v>945</v>
      </c>
      <c r="B192" t="s">
        <v>830</v>
      </c>
      <c r="C192" t="s">
        <v>11223</v>
      </c>
    </row>
    <row r="193" spans="1:3" x14ac:dyDescent="0.2">
      <c r="A193" t="s">
        <v>41</v>
      </c>
      <c r="B193" t="s">
        <v>40</v>
      </c>
      <c r="C193" t="s">
        <v>11201</v>
      </c>
    </row>
    <row r="194" spans="1:3" x14ac:dyDescent="0.2">
      <c r="A194" t="s">
        <v>41</v>
      </c>
      <c r="B194" t="s">
        <v>43</v>
      </c>
      <c r="C194" t="s">
        <v>11243</v>
      </c>
    </row>
    <row r="195" spans="1:3" x14ac:dyDescent="0.2">
      <c r="A195" t="s">
        <v>41</v>
      </c>
      <c r="B195" t="s">
        <v>10677</v>
      </c>
      <c r="C195" t="s">
        <v>19855</v>
      </c>
    </row>
    <row r="196" spans="1:3" x14ac:dyDescent="0.2">
      <c r="A196" t="s">
        <v>426</v>
      </c>
      <c r="B196" t="s">
        <v>846</v>
      </c>
      <c r="C196" t="s">
        <v>11278</v>
      </c>
    </row>
    <row r="197" spans="1:3" x14ac:dyDescent="0.2">
      <c r="A197" t="s">
        <v>426</v>
      </c>
      <c r="B197" t="s">
        <v>1082</v>
      </c>
      <c r="C197" t="s">
        <v>19856</v>
      </c>
    </row>
    <row r="198" spans="1:3" x14ac:dyDescent="0.2">
      <c r="A198" t="s">
        <v>426</v>
      </c>
      <c r="B198" t="s">
        <v>423</v>
      </c>
      <c r="C198" t="s">
        <v>19857</v>
      </c>
    </row>
    <row r="199" spans="1:3" x14ac:dyDescent="0.2">
      <c r="A199" t="s">
        <v>426</v>
      </c>
      <c r="B199" t="s">
        <v>19858</v>
      </c>
      <c r="C199" t="s">
        <v>19859</v>
      </c>
    </row>
    <row r="200" spans="1:3" x14ac:dyDescent="0.2">
      <c r="A200" t="s">
        <v>426</v>
      </c>
      <c r="B200" t="s">
        <v>434</v>
      </c>
      <c r="C200" t="s">
        <v>19860</v>
      </c>
    </row>
    <row r="201" spans="1:3" x14ac:dyDescent="0.2">
      <c r="A201" t="s">
        <v>426</v>
      </c>
      <c r="B201" t="s">
        <v>19861</v>
      </c>
      <c r="C201" t="s">
        <v>11218</v>
      </c>
    </row>
    <row r="202" spans="1:3" x14ac:dyDescent="0.2">
      <c r="A202" t="s">
        <v>426</v>
      </c>
      <c r="B202" t="s">
        <v>613</v>
      </c>
      <c r="C202" t="s">
        <v>19862</v>
      </c>
    </row>
    <row r="203" spans="1:3" x14ac:dyDescent="0.2">
      <c r="A203" t="s">
        <v>426</v>
      </c>
      <c r="B203" t="s">
        <v>1080</v>
      </c>
      <c r="C203" t="s">
        <v>19863</v>
      </c>
    </row>
    <row r="204" spans="1:3" x14ac:dyDescent="0.2">
      <c r="A204" t="s">
        <v>426</v>
      </c>
      <c r="B204" t="s">
        <v>1086</v>
      </c>
      <c r="C204" t="s">
        <v>19864</v>
      </c>
    </row>
    <row r="205" spans="1:3" x14ac:dyDescent="0.2">
      <c r="A205" t="s">
        <v>426</v>
      </c>
      <c r="B205" t="s">
        <v>629</v>
      </c>
      <c r="C205" t="s">
        <v>11149</v>
      </c>
    </row>
    <row r="206" spans="1:3" x14ac:dyDescent="0.2">
      <c r="A206" t="s">
        <v>426</v>
      </c>
      <c r="B206" t="s">
        <v>632</v>
      </c>
      <c r="C206" t="s">
        <v>19865</v>
      </c>
    </row>
    <row r="207" spans="1:3" x14ac:dyDescent="0.2">
      <c r="A207" t="s">
        <v>426</v>
      </c>
      <c r="B207" t="s">
        <v>638</v>
      </c>
      <c r="C207" t="s">
        <v>11209</v>
      </c>
    </row>
    <row r="208" spans="1:3" x14ac:dyDescent="0.2">
      <c r="A208" t="s">
        <v>426</v>
      </c>
      <c r="B208" t="s">
        <v>645</v>
      </c>
      <c r="C208" t="s">
        <v>19866</v>
      </c>
    </row>
    <row r="209" spans="1:3" x14ac:dyDescent="0.2">
      <c r="A209" t="s">
        <v>426</v>
      </c>
      <c r="B209" t="s">
        <v>785</v>
      </c>
      <c r="C209" t="s">
        <v>787</v>
      </c>
    </row>
    <row r="210" spans="1:3" x14ac:dyDescent="0.2">
      <c r="A210" t="s">
        <v>426</v>
      </c>
      <c r="B210" t="s">
        <v>794</v>
      </c>
      <c r="C210" t="s">
        <v>19867</v>
      </c>
    </row>
    <row r="211" spans="1:3" x14ac:dyDescent="0.2">
      <c r="A211" t="s">
        <v>426</v>
      </c>
      <c r="B211" t="s">
        <v>19868</v>
      </c>
      <c r="C211" t="s">
        <v>620</v>
      </c>
    </row>
    <row r="212" spans="1:3" x14ac:dyDescent="0.2">
      <c r="A212" t="s">
        <v>426</v>
      </c>
      <c r="B212" t="s">
        <v>623</v>
      </c>
      <c r="C212" t="s">
        <v>19869</v>
      </c>
    </row>
    <row r="213" spans="1:3" x14ac:dyDescent="0.2">
      <c r="A213" t="s">
        <v>426</v>
      </c>
      <c r="B213" t="s">
        <v>807</v>
      </c>
      <c r="C213" t="s">
        <v>11304</v>
      </c>
    </row>
    <row r="214" spans="1:3" x14ac:dyDescent="0.2">
      <c r="A214" t="s">
        <v>426</v>
      </c>
      <c r="B214" t="s">
        <v>811</v>
      </c>
      <c r="C214" t="s">
        <v>19870</v>
      </c>
    </row>
    <row r="215" spans="1:3" x14ac:dyDescent="0.2">
      <c r="A215" t="s">
        <v>19871</v>
      </c>
      <c r="B215" t="s">
        <v>338</v>
      </c>
      <c r="C215" t="s">
        <v>11246</v>
      </c>
    </row>
    <row r="216" spans="1:3" x14ac:dyDescent="0.2">
      <c r="A216" t="s">
        <v>19871</v>
      </c>
      <c r="B216" t="s">
        <v>564</v>
      </c>
      <c r="C216" t="s">
        <v>11117</v>
      </c>
    </row>
    <row r="217" spans="1:3" x14ac:dyDescent="0.2">
      <c r="A217" t="s">
        <v>19871</v>
      </c>
      <c r="B217" t="s">
        <v>1085</v>
      </c>
      <c r="C217" t="s">
        <v>11147</v>
      </c>
    </row>
    <row r="218" spans="1:3" x14ac:dyDescent="0.2">
      <c r="A218" t="s">
        <v>19871</v>
      </c>
      <c r="B218" t="s">
        <v>595</v>
      </c>
      <c r="C218" t="s">
        <v>11250</v>
      </c>
    </row>
    <row r="219" spans="1:3" x14ac:dyDescent="0.2">
      <c r="A219" t="s">
        <v>19871</v>
      </c>
      <c r="B219" t="s">
        <v>797</v>
      </c>
      <c r="C219" t="s">
        <v>11251</v>
      </c>
    </row>
    <row r="220" spans="1:3" x14ac:dyDescent="0.2">
      <c r="A220" t="s">
        <v>30</v>
      </c>
      <c r="B220" t="s">
        <v>27</v>
      </c>
      <c r="C220" t="s">
        <v>11130</v>
      </c>
    </row>
    <row r="221" spans="1:3" x14ac:dyDescent="0.2">
      <c r="A221" t="s">
        <v>30</v>
      </c>
      <c r="B221" t="s">
        <v>568</v>
      </c>
      <c r="C221" t="s">
        <v>11167</v>
      </c>
    </row>
    <row r="222" spans="1:3" x14ac:dyDescent="0.2">
      <c r="A222" t="s">
        <v>30</v>
      </c>
      <c r="B222" t="s">
        <v>572</v>
      </c>
      <c r="C222" t="s">
        <v>11277</v>
      </c>
    </row>
    <row r="223" spans="1:3" x14ac:dyDescent="0.2">
      <c r="A223" t="s">
        <v>30</v>
      </c>
      <c r="B223" t="s">
        <v>586</v>
      </c>
      <c r="C223" t="s">
        <v>11256</v>
      </c>
    </row>
    <row r="224" spans="1:3" x14ac:dyDescent="0.2">
      <c r="A224" t="s">
        <v>30</v>
      </c>
      <c r="B224" t="s">
        <v>590</v>
      </c>
      <c r="C224" t="s">
        <v>11120</v>
      </c>
    </row>
    <row r="225" spans="1:3" x14ac:dyDescent="0.2">
      <c r="A225" t="s">
        <v>30</v>
      </c>
      <c r="B225" t="s">
        <v>603</v>
      </c>
      <c r="C225" t="s">
        <v>11124</v>
      </c>
    </row>
    <row r="226" spans="1:3" x14ac:dyDescent="0.2">
      <c r="A226" t="s">
        <v>30</v>
      </c>
      <c r="B226" t="s">
        <v>648</v>
      </c>
      <c r="C226" t="s">
        <v>11244</v>
      </c>
    </row>
    <row r="227" spans="1:3" x14ac:dyDescent="0.2">
      <c r="A227" t="s">
        <v>30</v>
      </c>
      <c r="B227" t="s">
        <v>1069</v>
      </c>
      <c r="C227" t="s">
        <v>11287</v>
      </c>
    </row>
    <row r="228" spans="1:3" x14ac:dyDescent="0.2">
      <c r="A228" t="s">
        <v>30</v>
      </c>
      <c r="B228" t="s">
        <v>1073</v>
      </c>
      <c r="C228" t="s">
        <v>11133</v>
      </c>
    </row>
    <row r="229" spans="1:3" x14ac:dyDescent="0.2">
      <c r="A229" t="s">
        <v>13</v>
      </c>
      <c r="B229" t="s">
        <v>23</v>
      </c>
      <c r="C229" t="s">
        <v>23</v>
      </c>
    </row>
    <row r="230" spans="1:3" x14ac:dyDescent="0.2">
      <c r="A230" t="s">
        <v>13</v>
      </c>
      <c r="B230" t="s">
        <v>15</v>
      </c>
      <c r="C230" t="s">
        <v>11230</v>
      </c>
    </row>
    <row r="231" spans="1:3" x14ac:dyDescent="0.2">
      <c r="A231" t="s">
        <v>13</v>
      </c>
      <c r="B231" t="s">
        <v>11259</v>
      </c>
      <c r="C231" t="s">
        <v>11260</v>
      </c>
    </row>
    <row r="232" spans="1:3" x14ac:dyDescent="0.2">
      <c r="A232" t="s">
        <v>35</v>
      </c>
      <c r="B232" t="s">
        <v>32</v>
      </c>
      <c r="C232" t="s">
        <v>11286</v>
      </c>
    </row>
    <row r="233" spans="1:3" x14ac:dyDescent="0.2">
      <c r="A233" t="s">
        <v>35</v>
      </c>
      <c r="B233" t="s">
        <v>418</v>
      </c>
      <c r="C233" t="s">
        <v>11245</v>
      </c>
    </row>
    <row r="234" spans="1:3" x14ac:dyDescent="0.2">
      <c r="A234" t="s">
        <v>580</v>
      </c>
      <c r="B234" t="s">
        <v>577</v>
      </c>
      <c r="C234" t="s">
        <v>10767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18F595-9F8B-824C-B34C-8BD098CF64E8}">
  <dimension ref="A1:G1873"/>
  <sheetViews>
    <sheetView workbookViewId="0">
      <selection activeCell="A7" sqref="A7"/>
    </sheetView>
  </sheetViews>
  <sheetFormatPr baseColWidth="10" defaultRowHeight="16" x14ac:dyDescent="0.2"/>
  <cols>
    <col min="1" max="1" width="69.33203125" bestFit="1" customWidth="1"/>
    <col min="2" max="2" width="49.6640625" customWidth="1"/>
    <col min="3" max="3" width="8" customWidth="1"/>
    <col min="4" max="4" width="8.5" customWidth="1"/>
    <col min="5" max="5" width="51.83203125" bestFit="1" customWidth="1"/>
  </cols>
  <sheetData>
    <row r="1" spans="1:7" x14ac:dyDescent="0.2">
      <c r="A1" s="2" t="s">
        <v>10555</v>
      </c>
      <c r="B1" t="s">
        <v>20694</v>
      </c>
      <c r="E1" t="s">
        <v>20694</v>
      </c>
    </row>
    <row r="2" spans="1:7" x14ac:dyDescent="0.2">
      <c r="A2" t="s">
        <v>7429</v>
      </c>
      <c r="B2" t="s">
        <v>14360</v>
      </c>
      <c r="E2" s="9" t="s">
        <v>18512</v>
      </c>
      <c r="F2" t="str">
        <f t="shared" ref="F2:F33" si="0">_xlfn.XLOOKUP($E2,$C$2:$C$1873,$C$2:$C$1873,"-",0,1)</f>
        <v>-</v>
      </c>
    </row>
    <row r="3" spans="1:7" x14ac:dyDescent="0.2">
      <c r="A3" t="s">
        <v>10153</v>
      </c>
      <c r="B3" t="s">
        <v>14360</v>
      </c>
      <c r="E3" s="9" t="s">
        <v>20419</v>
      </c>
      <c r="F3" t="str">
        <f t="shared" si="0"/>
        <v>-</v>
      </c>
    </row>
    <row r="4" spans="1:7" x14ac:dyDescent="0.2">
      <c r="A4" t="s">
        <v>9795</v>
      </c>
      <c r="B4" t="s">
        <v>14360</v>
      </c>
      <c r="E4" s="9" t="s">
        <v>17141</v>
      </c>
      <c r="F4" t="str">
        <f t="shared" si="0"/>
        <v>-</v>
      </c>
      <c r="G4" t="s">
        <v>20695</v>
      </c>
    </row>
    <row r="5" spans="1:7" x14ac:dyDescent="0.2">
      <c r="A5" t="s">
        <v>9559</v>
      </c>
      <c r="B5" t="s">
        <v>9559</v>
      </c>
      <c r="E5" s="9" t="s">
        <v>20426</v>
      </c>
      <c r="F5" t="str">
        <f t="shared" si="0"/>
        <v>-</v>
      </c>
    </row>
    <row r="6" spans="1:7" x14ac:dyDescent="0.2">
      <c r="A6" t="s">
        <v>8001</v>
      </c>
      <c r="B6" t="s">
        <v>14360</v>
      </c>
      <c r="E6" s="9" t="s">
        <v>18536</v>
      </c>
      <c r="F6" t="str">
        <f t="shared" si="0"/>
        <v>-</v>
      </c>
    </row>
    <row r="7" spans="1:7" x14ac:dyDescent="0.2">
      <c r="A7" t="s">
        <v>9166</v>
      </c>
      <c r="B7" t="s">
        <v>9166</v>
      </c>
      <c r="E7" s="9" t="s">
        <v>20435</v>
      </c>
      <c r="F7" t="str">
        <f t="shared" si="0"/>
        <v>-</v>
      </c>
    </row>
    <row r="8" spans="1:7" x14ac:dyDescent="0.2">
      <c r="A8" t="s">
        <v>19387</v>
      </c>
      <c r="B8" t="s">
        <v>14360</v>
      </c>
      <c r="E8" s="9" t="s">
        <v>20437</v>
      </c>
      <c r="F8" t="str">
        <f t="shared" si="0"/>
        <v>-</v>
      </c>
    </row>
    <row r="9" spans="1:7" x14ac:dyDescent="0.2">
      <c r="A9" t="s">
        <v>19445</v>
      </c>
      <c r="B9" t="s">
        <v>14360</v>
      </c>
      <c r="E9" s="9" t="s">
        <v>20438</v>
      </c>
      <c r="F9" t="str">
        <f t="shared" si="0"/>
        <v>-</v>
      </c>
    </row>
    <row r="10" spans="1:7" x14ac:dyDescent="0.2">
      <c r="A10" t="s">
        <v>19442</v>
      </c>
      <c r="B10" t="s">
        <v>20440</v>
      </c>
      <c r="E10" s="10" t="s">
        <v>20441</v>
      </c>
      <c r="F10" t="str">
        <f t="shared" si="0"/>
        <v>-</v>
      </c>
    </row>
    <row r="11" spans="1:7" x14ac:dyDescent="0.2">
      <c r="A11" t="s">
        <v>19453</v>
      </c>
      <c r="B11" t="s">
        <v>14360</v>
      </c>
      <c r="E11" s="9" t="s">
        <v>17914</v>
      </c>
      <c r="F11" t="str">
        <f t="shared" si="0"/>
        <v>-</v>
      </c>
    </row>
    <row r="12" spans="1:7" x14ac:dyDescent="0.2">
      <c r="A12" t="s">
        <v>19466</v>
      </c>
      <c r="B12" t="s">
        <v>14360</v>
      </c>
      <c r="E12" s="9" t="s">
        <v>18784</v>
      </c>
      <c r="F12" t="str">
        <f t="shared" si="0"/>
        <v>-</v>
      </c>
    </row>
    <row r="13" spans="1:7" x14ac:dyDescent="0.2">
      <c r="A13" t="s">
        <v>19450</v>
      </c>
      <c r="B13" t="s">
        <v>14360</v>
      </c>
      <c r="E13" s="11" t="s">
        <v>20463</v>
      </c>
      <c r="F13" t="str">
        <f t="shared" si="0"/>
        <v>-</v>
      </c>
      <c r="G13" t="str">
        <f t="shared" ref="G13:G25" si="1">LEFT(E13,1) &amp; "-" &amp; MID(E13,2,LEN(E13)-1)</f>
        <v>X-24531</v>
      </c>
    </row>
    <row r="14" spans="1:7" x14ac:dyDescent="0.2">
      <c r="A14" t="s">
        <v>19454</v>
      </c>
      <c r="B14" t="s">
        <v>14360</v>
      </c>
      <c r="E14" s="11" t="s">
        <v>20464</v>
      </c>
      <c r="F14" t="str">
        <f t="shared" si="0"/>
        <v>-</v>
      </c>
      <c r="G14" t="str">
        <f t="shared" si="1"/>
        <v>X-12111</v>
      </c>
    </row>
    <row r="15" spans="1:7" x14ac:dyDescent="0.2">
      <c r="A15" t="s">
        <v>19461</v>
      </c>
      <c r="B15" t="s">
        <v>19461</v>
      </c>
      <c r="E15" s="11" t="s">
        <v>20468</v>
      </c>
      <c r="F15" t="str">
        <f t="shared" si="0"/>
        <v>-</v>
      </c>
      <c r="G15" t="str">
        <f t="shared" si="1"/>
        <v>X-22519</v>
      </c>
    </row>
    <row r="16" spans="1:7" x14ac:dyDescent="0.2">
      <c r="A16" t="s">
        <v>19474</v>
      </c>
      <c r="B16" t="s">
        <v>14360</v>
      </c>
      <c r="E16" s="11" t="s">
        <v>20471</v>
      </c>
      <c r="F16" t="str">
        <f t="shared" si="0"/>
        <v>-</v>
      </c>
      <c r="G16" t="str">
        <f t="shared" si="1"/>
        <v>X-21342</v>
      </c>
    </row>
    <row r="17" spans="1:7" x14ac:dyDescent="0.2">
      <c r="A17" t="s">
        <v>19346</v>
      </c>
      <c r="B17" t="s">
        <v>14360</v>
      </c>
      <c r="E17" s="11" t="s">
        <v>20480</v>
      </c>
      <c r="F17" t="str">
        <f t="shared" si="0"/>
        <v>-</v>
      </c>
      <c r="G17" t="str">
        <f t="shared" si="1"/>
        <v>X-23581</v>
      </c>
    </row>
    <row r="18" spans="1:7" x14ac:dyDescent="0.2">
      <c r="A18" t="s">
        <v>19352</v>
      </c>
      <c r="B18" t="s">
        <v>14360</v>
      </c>
      <c r="E18" s="11" t="s">
        <v>20483</v>
      </c>
      <c r="F18" t="str">
        <f t="shared" si="0"/>
        <v>-</v>
      </c>
      <c r="G18" t="str">
        <f t="shared" si="1"/>
        <v>X-25411</v>
      </c>
    </row>
    <row r="19" spans="1:7" x14ac:dyDescent="0.2">
      <c r="A19" t="s">
        <v>19451</v>
      </c>
      <c r="B19" t="s">
        <v>20439</v>
      </c>
      <c r="E19" s="11" t="s">
        <v>20487</v>
      </c>
      <c r="F19" t="str">
        <f t="shared" si="0"/>
        <v>-</v>
      </c>
      <c r="G19" t="str">
        <f t="shared" si="1"/>
        <v>X-15523</v>
      </c>
    </row>
    <row r="20" spans="1:7" x14ac:dyDescent="0.2">
      <c r="A20" t="s">
        <v>19467</v>
      </c>
      <c r="B20" t="s">
        <v>14360</v>
      </c>
      <c r="E20" s="11" t="s">
        <v>20493</v>
      </c>
      <c r="F20" t="str">
        <f t="shared" si="0"/>
        <v>-</v>
      </c>
      <c r="G20" t="str">
        <f t="shared" si="1"/>
        <v>X-25398</v>
      </c>
    </row>
    <row r="21" spans="1:7" x14ac:dyDescent="0.2">
      <c r="A21" t="s">
        <v>19439</v>
      </c>
      <c r="B21" t="s">
        <v>14360</v>
      </c>
      <c r="E21" s="11" t="s">
        <v>20498</v>
      </c>
      <c r="F21" t="str">
        <f t="shared" si="0"/>
        <v>-</v>
      </c>
      <c r="G21" t="str">
        <f t="shared" si="1"/>
        <v>X-21360</v>
      </c>
    </row>
    <row r="22" spans="1:7" x14ac:dyDescent="0.2">
      <c r="A22" t="s">
        <v>19355</v>
      </c>
      <c r="B22" t="s">
        <v>14360</v>
      </c>
      <c r="E22" s="11" t="s">
        <v>20502</v>
      </c>
      <c r="F22" t="str">
        <f t="shared" si="0"/>
        <v>-</v>
      </c>
      <c r="G22" t="str">
        <f t="shared" si="1"/>
        <v>X-21362</v>
      </c>
    </row>
    <row r="23" spans="1:7" x14ac:dyDescent="0.2">
      <c r="A23" t="s">
        <v>11356</v>
      </c>
      <c r="B23" t="s">
        <v>14360</v>
      </c>
      <c r="E23" s="11" t="s">
        <v>20503</v>
      </c>
      <c r="F23" t="str">
        <f t="shared" si="0"/>
        <v>-</v>
      </c>
      <c r="G23" t="str">
        <f t="shared" si="1"/>
        <v>X-25452</v>
      </c>
    </row>
    <row r="24" spans="1:7" x14ac:dyDescent="0.2">
      <c r="A24" t="s">
        <v>19280</v>
      </c>
      <c r="B24" t="s">
        <v>14360</v>
      </c>
      <c r="E24" s="11" t="s">
        <v>20512</v>
      </c>
      <c r="F24" t="str">
        <f t="shared" si="0"/>
        <v>-</v>
      </c>
      <c r="G24" t="str">
        <f t="shared" si="1"/>
        <v>X-24518</v>
      </c>
    </row>
    <row r="25" spans="1:7" x14ac:dyDescent="0.2">
      <c r="A25" t="s">
        <v>19283</v>
      </c>
      <c r="B25" t="s">
        <v>19283</v>
      </c>
      <c r="E25" s="11" t="s">
        <v>20519</v>
      </c>
      <c r="F25" t="str">
        <f t="shared" si="0"/>
        <v>-</v>
      </c>
      <c r="G25" t="str">
        <f t="shared" si="1"/>
        <v>X-25401</v>
      </c>
    </row>
    <row r="26" spans="1:7" x14ac:dyDescent="0.2">
      <c r="A26" t="s">
        <v>6821</v>
      </c>
      <c r="B26" t="s">
        <v>14360</v>
      </c>
      <c r="E26" s="11" t="s">
        <v>20525</v>
      </c>
      <c r="F26" t="str">
        <f t="shared" si="0"/>
        <v>-</v>
      </c>
      <c r="G26" t="str">
        <f t="shared" ref="G26:G50" si="2">LEFT(E26,1) &amp; "-" &amp; MID(E26,2,LEN(E26)-1)</f>
        <v>X-25405</v>
      </c>
    </row>
    <row r="27" spans="1:7" x14ac:dyDescent="0.2">
      <c r="A27" t="s">
        <v>6453</v>
      </c>
      <c r="B27" t="s">
        <v>14360</v>
      </c>
      <c r="E27" s="11" t="s">
        <v>20527</v>
      </c>
      <c r="F27" t="str">
        <f t="shared" si="0"/>
        <v>-</v>
      </c>
      <c r="G27" t="str">
        <f t="shared" si="2"/>
        <v>X-16245</v>
      </c>
    </row>
    <row r="28" spans="1:7" x14ac:dyDescent="0.2">
      <c r="A28" t="s">
        <v>9381</v>
      </c>
      <c r="B28" t="s">
        <v>14360</v>
      </c>
      <c r="E28" s="11" t="s">
        <v>20528</v>
      </c>
      <c r="F28" t="str">
        <f t="shared" si="0"/>
        <v>-</v>
      </c>
      <c r="G28" t="str">
        <f t="shared" si="2"/>
        <v>X-25407</v>
      </c>
    </row>
    <row r="29" spans="1:7" x14ac:dyDescent="0.2">
      <c r="A29" t="s">
        <v>8470</v>
      </c>
      <c r="B29" t="s">
        <v>14360</v>
      </c>
      <c r="E29" s="11" t="s">
        <v>20529</v>
      </c>
      <c r="F29" t="str">
        <f t="shared" si="0"/>
        <v>-</v>
      </c>
      <c r="G29" t="str">
        <f t="shared" si="2"/>
        <v>X-25402</v>
      </c>
    </row>
    <row r="30" spans="1:7" x14ac:dyDescent="0.2">
      <c r="A30" t="s">
        <v>6525</v>
      </c>
      <c r="B30" t="s">
        <v>14360</v>
      </c>
      <c r="E30" s="11" t="s">
        <v>20534</v>
      </c>
      <c r="F30" t="str">
        <f t="shared" si="0"/>
        <v>-</v>
      </c>
      <c r="G30" t="str">
        <f t="shared" si="2"/>
        <v>X-12112</v>
      </c>
    </row>
    <row r="31" spans="1:7" x14ac:dyDescent="0.2">
      <c r="A31" t="s">
        <v>8298</v>
      </c>
      <c r="B31" t="s">
        <v>14360</v>
      </c>
      <c r="E31" s="11" t="s">
        <v>20537</v>
      </c>
      <c r="F31" t="str">
        <f t="shared" si="0"/>
        <v>-</v>
      </c>
      <c r="G31" t="str">
        <f t="shared" si="2"/>
        <v>X-24928</v>
      </c>
    </row>
    <row r="32" spans="1:7" x14ac:dyDescent="0.2">
      <c r="A32" t="s">
        <v>7451</v>
      </c>
      <c r="B32" t="s">
        <v>14360</v>
      </c>
      <c r="E32" s="11" t="s">
        <v>20539</v>
      </c>
      <c r="F32" t="str">
        <f t="shared" si="0"/>
        <v>-</v>
      </c>
      <c r="G32" t="str">
        <f t="shared" si="2"/>
        <v>X-23047</v>
      </c>
    </row>
    <row r="33" spans="1:7" x14ac:dyDescent="0.2">
      <c r="A33" t="s">
        <v>7717</v>
      </c>
      <c r="B33" t="s">
        <v>14360</v>
      </c>
      <c r="E33" s="11" t="s">
        <v>20540</v>
      </c>
      <c r="F33" t="str">
        <f t="shared" si="0"/>
        <v>-</v>
      </c>
      <c r="G33" t="str">
        <f t="shared" si="2"/>
        <v>X-11578</v>
      </c>
    </row>
    <row r="34" spans="1:7" x14ac:dyDescent="0.2">
      <c r="A34" t="s">
        <v>19381</v>
      </c>
      <c r="B34" t="s">
        <v>19381</v>
      </c>
      <c r="E34" s="11" t="s">
        <v>20541</v>
      </c>
      <c r="F34" t="str">
        <f t="shared" ref="F34:F68" si="3">_xlfn.XLOOKUP($E34,$C$2:$C$1873,$C$2:$C$1873,"-",0,1)</f>
        <v>-</v>
      </c>
      <c r="G34" t="str">
        <f t="shared" si="2"/>
        <v>X-25451</v>
      </c>
    </row>
    <row r="35" spans="1:7" x14ac:dyDescent="0.2">
      <c r="A35" t="s">
        <v>6461</v>
      </c>
      <c r="B35" t="s">
        <v>14360</v>
      </c>
      <c r="E35" s="11" t="s">
        <v>20546</v>
      </c>
      <c r="F35" t="str">
        <f t="shared" si="3"/>
        <v>-</v>
      </c>
      <c r="G35" t="str">
        <f t="shared" si="2"/>
        <v>X-25395</v>
      </c>
    </row>
    <row r="36" spans="1:7" x14ac:dyDescent="0.2">
      <c r="A36" t="s">
        <v>19464</v>
      </c>
      <c r="B36" t="s">
        <v>14360</v>
      </c>
      <c r="E36" s="11" t="s">
        <v>20550</v>
      </c>
      <c r="F36" t="str">
        <f t="shared" si="3"/>
        <v>-</v>
      </c>
      <c r="G36" t="str">
        <f t="shared" si="2"/>
        <v>X-25474</v>
      </c>
    </row>
    <row r="37" spans="1:7" x14ac:dyDescent="0.2">
      <c r="A37" t="s">
        <v>9114</v>
      </c>
      <c r="B37" t="s">
        <v>14360</v>
      </c>
      <c r="E37" s="11" t="s">
        <v>20551</v>
      </c>
      <c r="F37" t="str">
        <f t="shared" si="3"/>
        <v>-</v>
      </c>
      <c r="G37" t="str">
        <f t="shared" si="2"/>
        <v>X-25400</v>
      </c>
    </row>
    <row r="38" spans="1:7" x14ac:dyDescent="0.2">
      <c r="A38" t="s">
        <v>19484</v>
      </c>
      <c r="B38" t="s">
        <v>14360</v>
      </c>
      <c r="E38" s="11" t="s">
        <v>20552</v>
      </c>
      <c r="F38" t="str">
        <f t="shared" si="3"/>
        <v>-</v>
      </c>
      <c r="G38" t="str">
        <f t="shared" si="2"/>
        <v>X-21355</v>
      </c>
    </row>
    <row r="39" spans="1:7" x14ac:dyDescent="0.2">
      <c r="A39" t="s">
        <v>11388</v>
      </c>
      <c r="B39" t="s">
        <v>14360</v>
      </c>
      <c r="E39" s="11" t="s">
        <v>20554</v>
      </c>
      <c r="F39" t="str">
        <f t="shared" si="3"/>
        <v>-</v>
      </c>
      <c r="G39" t="str">
        <f t="shared" si="2"/>
        <v>X-25397</v>
      </c>
    </row>
    <row r="40" spans="1:7" x14ac:dyDescent="0.2">
      <c r="A40" t="s">
        <v>6318</v>
      </c>
      <c r="B40" t="s">
        <v>6318</v>
      </c>
      <c r="E40" s="11" t="s">
        <v>20558</v>
      </c>
      <c r="F40" t="str">
        <f t="shared" si="3"/>
        <v>-</v>
      </c>
      <c r="G40" t="str">
        <f t="shared" si="2"/>
        <v>X-25473</v>
      </c>
    </row>
    <row r="41" spans="1:7" x14ac:dyDescent="0.2">
      <c r="A41" t="s">
        <v>19284</v>
      </c>
      <c r="B41" t="s">
        <v>14360</v>
      </c>
      <c r="E41" s="11" t="s">
        <v>20560</v>
      </c>
      <c r="F41" t="str">
        <f t="shared" si="3"/>
        <v>-</v>
      </c>
      <c r="G41" t="str">
        <f t="shared" si="2"/>
        <v>X-23786</v>
      </c>
    </row>
    <row r="42" spans="1:7" x14ac:dyDescent="0.2">
      <c r="A42" t="s">
        <v>19465</v>
      </c>
      <c r="B42" t="s">
        <v>14360</v>
      </c>
      <c r="E42" s="11" t="s">
        <v>20561</v>
      </c>
      <c r="F42" t="str">
        <f t="shared" si="3"/>
        <v>-</v>
      </c>
      <c r="G42" t="str">
        <f t="shared" si="2"/>
        <v>X-25378</v>
      </c>
    </row>
    <row r="43" spans="1:7" x14ac:dyDescent="0.2">
      <c r="A43" t="s">
        <v>19307</v>
      </c>
      <c r="B43" t="s">
        <v>19307</v>
      </c>
      <c r="E43" s="11" t="s">
        <v>20562</v>
      </c>
      <c r="F43" t="str">
        <f t="shared" si="3"/>
        <v>-</v>
      </c>
      <c r="G43" t="str">
        <f t="shared" si="2"/>
        <v>X-25382</v>
      </c>
    </row>
    <row r="44" spans="1:7" x14ac:dyDescent="0.2">
      <c r="A44" t="s">
        <v>5742</v>
      </c>
      <c r="B44" t="s">
        <v>14360</v>
      </c>
      <c r="E44" s="11" t="s">
        <v>20563</v>
      </c>
      <c r="F44" t="str">
        <f t="shared" si="3"/>
        <v>-</v>
      </c>
      <c r="G44" t="str">
        <f t="shared" si="2"/>
        <v>X-21740</v>
      </c>
    </row>
    <row r="45" spans="1:7" x14ac:dyDescent="0.2">
      <c r="A45" t="s">
        <v>5968</v>
      </c>
      <c r="B45" t="s">
        <v>5968</v>
      </c>
      <c r="E45" s="11" t="s">
        <v>20575</v>
      </c>
      <c r="F45" t="str">
        <f t="shared" si="3"/>
        <v>-</v>
      </c>
      <c r="G45" t="str">
        <f t="shared" si="2"/>
        <v>X-25429</v>
      </c>
    </row>
    <row r="46" spans="1:7" x14ac:dyDescent="0.2">
      <c r="A46" t="s">
        <v>7731</v>
      </c>
      <c r="B46" t="s">
        <v>7731</v>
      </c>
      <c r="E46" s="11" t="s">
        <v>20577</v>
      </c>
      <c r="F46" t="str">
        <f t="shared" si="3"/>
        <v>-</v>
      </c>
      <c r="G46" t="str">
        <f t="shared" si="2"/>
        <v>X-25399</v>
      </c>
    </row>
    <row r="47" spans="1:7" x14ac:dyDescent="0.2">
      <c r="A47" t="s">
        <v>10148</v>
      </c>
      <c r="B47" t="s">
        <v>14360</v>
      </c>
      <c r="E47" s="11" t="s">
        <v>20578</v>
      </c>
      <c r="F47" t="str">
        <f t="shared" si="3"/>
        <v>-</v>
      </c>
      <c r="G47" t="str">
        <f t="shared" si="2"/>
        <v>X-24762</v>
      </c>
    </row>
    <row r="48" spans="1:7" x14ac:dyDescent="0.2">
      <c r="A48" t="s">
        <v>5749</v>
      </c>
      <c r="B48" t="s">
        <v>5749</v>
      </c>
      <c r="E48" s="11" t="s">
        <v>20579</v>
      </c>
      <c r="F48" t="str">
        <f t="shared" si="3"/>
        <v>-</v>
      </c>
      <c r="G48" t="str">
        <f t="shared" si="2"/>
        <v>X-25384</v>
      </c>
    </row>
    <row r="49" spans="1:7" x14ac:dyDescent="0.2">
      <c r="A49" t="s">
        <v>3452</v>
      </c>
      <c r="B49" t="s">
        <v>14360</v>
      </c>
      <c r="E49" s="11" t="s">
        <v>20582</v>
      </c>
      <c r="F49" t="str">
        <f t="shared" si="3"/>
        <v>-</v>
      </c>
      <c r="G49" t="str">
        <f t="shared" si="2"/>
        <v>X-17185</v>
      </c>
    </row>
    <row r="50" spans="1:7" x14ac:dyDescent="0.2">
      <c r="A50" t="s">
        <v>6357</v>
      </c>
      <c r="B50" t="s">
        <v>14360</v>
      </c>
      <c r="E50" s="11" t="s">
        <v>20588</v>
      </c>
      <c r="F50" t="str">
        <f t="shared" si="3"/>
        <v>-</v>
      </c>
      <c r="G50" t="str">
        <f t="shared" si="2"/>
        <v>X-24455</v>
      </c>
    </row>
    <row r="51" spans="1:7" x14ac:dyDescent="0.2">
      <c r="A51" t="s">
        <v>6381</v>
      </c>
      <c r="B51" t="s">
        <v>14360</v>
      </c>
      <c r="E51" s="11" t="s">
        <v>20589</v>
      </c>
      <c r="F51" t="str">
        <f t="shared" si="3"/>
        <v>-</v>
      </c>
      <c r="G51" t="str">
        <f t="shared" ref="G51:G60" si="4">LEFT(E51,1) &amp; "-" &amp; MID(E51,2,LEN(E51)-1)</f>
        <v>X-24801</v>
      </c>
    </row>
    <row r="52" spans="1:7" x14ac:dyDescent="0.2">
      <c r="A52" t="s">
        <v>19469</v>
      </c>
      <c r="B52" t="s">
        <v>14360</v>
      </c>
      <c r="E52" s="11" t="s">
        <v>20597</v>
      </c>
      <c r="F52" t="str">
        <f t="shared" si="3"/>
        <v>-</v>
      </c>
      <c r="G52" t="str">
        <f t="shared" si="4"/>
        <v>X-25381</v>
      </c>
    </row>
    <row r="53" spans="1:7" x14ac:dyDescent="0.2">
      <c r="A53" t="s">
        <v>19196</v>
      </c>
      <c r="B53" t="s">
        <v>5467</v>
      </c>
      <c r="E53" s="11" t="s">
        <v>20598</v>
      </c>
      <c r="F53" t="str">
        <f t="shared" si="3"/>
        <v>-</v>
      </c>
      <c r="G53" t="str">
        <f t="shared" si="4"/>
        <v>X-25389</v>
      </c>
    </row>
    <row r="54" spans="1:7" x14ac:dyDescent="0.2">
      <c r="A54" t="s">
        <v>6784</v>
      </c>
      <c r="B54" t="s">
        <v>14360</v>
      </c>
      <c r="E54" s="11" t="s">
        <v>20609</v>
      </c>
      <c r="F54" t="str">
        <f t="shared" si="3"/>
        <v>-</v>
      </c>
      <c r="G54" t="str">
        <f t="shared" si="4"/>
        <v>X-24764</v>
      </c>
    </row>
    <row r="55" spans="1:7" x14ac:dyDescent="0.2">
      <c r="A55" t="s">
        <v>19470</v>
      </c>
      <c r="B55" t="s">
        <v>14360</v>
      </c>
      <c r="E55" s="11" t="s">
        <v>20612</v>
      </c>
      <c r="F55" t="str">
        <f t="shared" si="3"/>
        <v>-</v>
      </c>
      <c r="G55" t="str">
        <f t="shared" si="4"/>
        <v>X-25453</v>
      </c>
    </row>
    <row r="56" spans="1:7" x14ac:dyDescent="0.2">
      <c r="A56" t="s">
        <v>19472</v>
      </c>
      <c r="B56" t="s">
        <v>14360</v>
      </c>
      <c r="E56" s="11" t="s">
        <v>20620</v>
      </c>
      <c r="F56" t="str">
        <f t="shared" si="3"/>
        <v>-</v>
      </c>
      <c r="G56" t="str">
        <f t="shared" si="4"/>
        <v>X-25386</v>
      </c>
    </row>
    <row r="57" spans="1:7" x14ac:dyDescent="0.2">
      <c r="A57" t="s">
        <v>9108</v>
      </c>
      <c r="B57" t="s">
        <v>14360</v>
      </c>
      <c r="E57" s="11" t="s">
        <v>20621</v>
      </c>
      <c r="F57" t="str">
        <f t="shared" si="3"/>
        <v>-</v>
      </c>
      <c r="G57" t="str">
        <f t="shared" si="4"/>
        <v>X-25374</v>
      </c>
    </row>
    <row r="58" spans="1:7" x14ac:dyDescent="0.2">
      <c r="A58" t="s">
        <v>19473</v>
      </c>
      <c r="B58" t="s">
        <v>14360</v>
      </c>
      <c r="E58" s="11" t="s">
        <v>20626</v>
      </c>
      <c r="F58" t="str">
        <f t="shared" si="3"/>
        <v>-</v>
      </c>
      <c r="G58" t="str">
        <f t="shared" si="4"/>
        <v>X-25385</v>
      </c>
    </row>
    <row r="59" spans="1:7" x14ac:dyDescent="0.2">
      <c r="A59" t="s">
        <v>6098</v>
      </c>
      <c r="B59" t="s">
        <v>6098</v>
      </c>
      <c r="E59" s="11" t="s">
        <v>20637</v>
      </c>
      <c r="F59" t="str">
        <f t="shared" si="3"/>
        <v>-</v>
      </c>
      <c r="G59" t="str">
        <f t="shared" si="4"/>
        <v>X-25427</v>
      </c>
    </row>
    <row r="60" spans="1:7" x14ac:dyDescent="0.2">
      <c r="A60" t="s">
        <v>6628</v>
      </c>
      <c r="B60" t="s">
        <v>6628</v>
      </c>
      <c r="E60" s="11" t="s">
        <v>20639</v>
      </c>
      <c r="F60" t="str">
        <f t="shared" si="3"/>
        <v>-</v>
      </c>
      <c r="G60" t="str">
        <f t="shared" si="4"/>
        <v>X-25431</v>
      </c>
    </row>
    <row r="61" spans="1:7" x14ac:dyDescent="0.2">
      <c r="A61" t="s">
        <v>19389</v>
      </c>
      <c r="B61" t="s">
        <v>14360</v>
      </c>
      <c r="E61" s="11" t="s">
        <v>20657</v>
      </c>
      <c r="F61" t="str">
        <f t="shared" si="3"/>
        <v>-</v>
      </c>
      <c r="G61" t="str">
        <f t="shared" ref="G61:G68" si="5">LEFT(E61,1) &amp; "-" &amp; MID(E61,2,LEN(E61)-1)</f>
        <v>X-23922</v>
      </c>
    </row>
    <row r="62" spans="1:7" x14ac:dyDescent="0.2">
      <c r="A62" t="s">
        <v>6955</v>
      </c>
      <c r="B62" t="s">
        <v>6955</v>
      </c>
      <c r="E62" s="11" t="s">
        <v>20658</v>
      </c>
      <c r="F62" t="str">
        <f t="shared" si="3"/>
        <v>-</v>
      </c>
      <c r="G62" t="str">
        <f t="shared" si="5"/>
        <v>X-24975</v>
      </c>
    </row>
    <row r="63" spans="1:7" x14ac:dyDescent="0.2">
      <c r="A63" t="s">
        <v>5643</v>
      </c>
      <c r="B63" t="s">
        <v>14360</v>
      </c>
      <c r="E63" s="11" t="s">
        <v>20660</v>
      </c>
      <c r="F63" t="str">
        <f t="shared" si="3"/>
        <v>-</v>
      </c>
      <c r="G63" t="str">
        <f t="shared" si="5"/>
        <v>X-24474</v>
      </c>
    </row>
    <row r="64" spans="1:7" x14ac:dyDescent="0.2">
      <c r="A64" t="s">
        <v>10294</v>
      </c>
      <c r="B64" t="s">
        <v>14360</v>
      </c>
      <c r="E64" s="11" t="s">
        <v>20665</v>
      </c>
      <c r="F64" t="str">
        <f t="shared" si="3"/>
        <v>-</v>
      </c>
      <c r="G64" t="str">
        <f t="shared" si="5"/>
        <v>X-21669</v>
      </c>
    </row>
    <row r="65" spans="1:7" x14ac:dyDescent="0.2">
      <c r="A65" t="s">
        <v>19490</v>
      </c>
      <c r="B65" t="s">
        <v>14360</v>
      </c>
      <c r="E65" s="11" t="s">
        <v>20666</v>
      </c>
      <c r="F65" t="str">
        <f t="shared" si="3"/>
        <v>-</v>
      </c>
      <c r="G65" t="str">
        <f t="shared" si="5"/>
        <v>X-25545</v>
      </c>
    </row>
    <row r="66" spans="1:7" x14ac:dyDescent="0.2">
      <c r="A66" t="s">
        <v>19273</v>
      </c>
      <c r="B66" t="s">
        <v>19273</v>
      </c>
      <c r="E66" s="11" t="s">
        <v>20682</v>
      </c>
      <c r="F66" t="str">
        <f t="shared" si="3"/>
        <v>-</v>
      </c>
      <c r="G66" t="str">
        <f t="shared" si="5"/>
        <v>X-23188</v>
      </c>
    </row>
    <row r="67" spans="1:7" x14ac:dyDescent="0.2">
      <c r="A67" t="s">
        <v>19432</v>
      </c>
      <c r="B67" t="s">
        <v>14360</v>
      </c>
      <c r="E67" s="11" t="s">
        <v>20683</v>
      </c>
      <c r="F67" t="str">
        <f t="shared" si="3"/>
        <v>-</v>
      </c>
      <c r="G67" t="str">
        <f t="shared" si="5"/>
        <v>X-24798</v>
      </c>
    </row>
    <row r="68" spans="1:7" x14ac:dyDescent="0.2">
      <c r="A68" t="s">
        <v>8785</v>
      </c>
      <c r="B68" t="s">
        <v>8785</v>
      </c>
      <c r="E68" s="11" t="s">
        <v>20684</v>
      </c>
      <c r="F68" t="str">
        <f t="shared" si="3"/>
        <v>-</v>
      </c>
      <c r="G68" t="str">
        <f t="shared" si="5"/>
        <v>X-15666</v>
      </c>
    </row>
    <row r="69" spans="1:7" x14ac:dyDescent="0.2">
      <c r="A69" t="s">
        <v>19447</v>
      </c>
      <c r="B69" t="s">
        <v>19447</v>
      </c>
    </row>
    <row r="70" spans="1:7" x14ac:dyDescent="0.2">
      <c r="A70" t="s">
        <v>19455</v>
      </c>
      <c r="B70" t="s">
        <v>14360</v>
      </c>
    </row>
    <row r="71" spans="1:7" x14ac:dyDescent="0.2">
      <c r="A71" t="s">
        <v>19444</v>
      </c>
      <c r="B71" t="s">
        <v>14360</v>
      </c>
    </row>
    <row r="72" spans="1:7" x14ac:dyDescent="0.2">
      <c r="A72" t="s">
        <v>8792</v>
      </c>
      <c r="B72" t="s">
        <v>14360</v>
      </c>
    </row>
    <row r="73" spans="1:7" x14ac:dyDescent="0.2">
      <c r="A73" t="s">
        <v>19456</v>
      </c>
      <c r="B73" t="s">
        <v>14360</v>
      </c>
    </row>
    <row r="74" spans="1:7" x14ac:dyDescent="0.2">
      <c r="A74" t="s">
        <v>5024</v>
      </c>
      <c r="B74" t="s">
        <v>5024</v>
      </c>
    </row>
    <row r="75" spans="1:7" x14ac:dyDescent="0.2">
      <c r="A75" t="s">
        <v>7070</v>
      </c>
      <c r="B75" t="s">
        <v>7070</v>
      </c>
    </row>
    <row r="76" spans="1:7" x14ac:dyDescent="0.2">
      <c r="A76" t="s">
        <v>5017</v>
      </c>
      <c r="B76" t="s">
        <v>14360</v>
      </c>
    </row>
    <row r="77" spans="1:7" x14ac:dyDescent="0.2">
      <c r="A77" t="s">
        <v>5039</v>
      </c>
      <c r="B77" t="s">
        <v>14360</v>
      </c>
    </row>
    <row r="78" spans="1:7" x14ac:dyDescent="0.2">
      <c r="A78" t="s">
        <v>5009</v>
      </c>
      <c r="B78" t="s">
        <v>5009</v>
      </c>
    </row>
    <row r="79" spans="1:7" x14ac:dyDescent="0.2">
      <c r="A79" t="s">
        <v>19471</v>
      </c>
      <c r="B79" t="s">
        <v>14360</v>
      </c>
    </row>
    <row r="80" spans="1:7" x14ac:dyDescent="0.2">
      <c r="A80" t="s">
        <v>19434</v>
      </c>
      <c r="B80" t="s">
        <v>20429</v>
      </c>
    </row>
    <row r="81" spans="1:2" x14ac:dyDescent="0.2">
      <c r="A81" t="s">
        <v>19437</v>
      </c>
      <c r="B81" t="s">
        <v>14360</v>
      </c>
    </row>
    <row r="82" spans="1:2" x14ac:dyDescent="0.2">
      <c r="A82" t="s">
        <v>6476</v>
      </c>
      <c r="B82" t="s">
        <v>14360</v>
      </c>
    </row>
    <row r="83" spans="1:2" x14ac:dyDescent="0.2">
      <c r="A83" t="s">
        <v>6060</v>
      </c>
      <c r="B83" t="s">
        <v>14360</v>
      </c>
    </row>
    <row r="84" spans="1:2" x14ac:dyDescent="0.2">
      <c r="A84" t="s">
        <v>6621</v>
      </c>
      <c r="B84" t="s">
        <v>6621</v>
      </c>
    </row>
    <row r="85" spans="1:2" x14ac:dyDescent="0.2">
      <c r="A85" t="s">
        <v>19388</v>
      </c>
      <c r="B85" t="s">
        <v>14360</v>
      </c>
    </row>
    <row r="86" spans="1:2" x14ac:dyDescent="0.2">
      <c r="A86" t="s">
        <v>6826</v>
      </c>
      <c r="B86" t="s">
        <v>6826</v>
      </c>
    </row>
    <row r="87" spans="1:2" x14ac:dyDescent="0.2">
      <c r="A87" t="s">
        <v>5587</v>
      </c>
      <c r="B87" t="s">
        <v>14360</v>
      </c>
    </row>
    <row r="88" spans="1:2" x14ac:dyDescent="0.2">
      <c r="A88" t="s">
        <v>19302</v>
      </c>
      <c r="B88" t="s">
        <v>19302</v>
      </c>
    </row>
    <row r="89" spans="1:2" x14ac:dyDescent="0.2">
      <c r="A89" t="s">
        <v>19744</v>
      </c>
      <c r="B89" t="s">
        <v>7063</v>
      </c>
    </row>
    <row r="90" spans="1:2" x14ac:dyDescent="0.2">
      <c r="A90" t="s">
        <v>8919</v>
      </c>
      <c r="B90" t="s">
        <v>8919</v>
      </c>
    </row>
    <row r="91" spans="1:2" x14ac:dyDescent="0.2">
      <c r="A91" t="s">
        <v>5429</v>
      </c>
      <c r="B91" t="s">
        <v>14360</v>
      </c>
    </row>
    <row r="92" spans="1:2" x14ac:dyDescent="0.2">
      <c r="A92" t="s">
        <v>19440</v>
      </c>
      <c r="B92" t="s">
        <v>8799</v>
      </c>
    </row>
    <row r="93" spans="1:2" x14ac:dyDescent="0.2">
      <c r="A93" t="s">
        <v>19457</v>
      </c>
      <c r="B93" t="s">
        <v>14360</v>
      </c>
    </row>
    <row r="94" spans="1:2" x14ac:dyDescent="0.2">
      <c r="A94" t="s">
        <v>19433</v>
      </c>
      <c r="B94" t="s">
        <v>14360</v>
      </c>
    </row>
    <row r="95" spans="1:2" x14ac:dyDescent="0.2">
      <c r="A95" t="s">
        <v>19435</v>
      </c>
      <c r="B95" t="s">
        <v>19435</v>
      </c>
    </row>
    <row r="96" spans="1:2" x14ac:dyDescent="0.2">
      <c r="A96" t="s">
        <v>8962</v>
      </c>
      <c r="B96" t="s">
        <v>14360</v>
      </c>
    </row>
    <row r="97" spans="1:3" x14ac:dyDescent="0.2">
      <c r="A97" t="s">
        <v>19426</v>
      </c>
      <c r="B97" t="s">
        <v>14360</v>
      </c>
    </row>
    <row r="98" spans="1:3" x14ac:dyDescent="0.2">
      <c r="A98" t="s">
        <v>7047</v>
      </c>
      <c r="B98" t="s">
        <v>14360</v>
      </c>
    </row>
    <row r="99" spans="1:3" x14ac:dyDescent="0.2">
      <c r="A99" t="s">
        <v>19468</v>
      </c>
      <c r="B99" t="s">
        <v>14360</v>
      </c>
    </row>
    <row r="100" spans="1:3" x14ac:dyDescent="0.2">
      <c r="A100" t="s">
        <v>11491</v>
      </c>
      <c r="B100" t="s">
        <v>14360</v>
      </c>
    </row>
    <row r="101" spans="1:3" x14ac:dyDescent="0.2">
      <c r="A101" t="s">
        <v>19245</v>
      </c>
      <c r="B101" t="s">
        <v>14360</v>
      </c>
    </row>
    <row r="102" spans="1:3" x14ac:dyDescent="0.2">
      <c r="A102" t="s">
        <v>6506</v>
      </c>
      <c r="B102" t="s">
        <v>6506</v>
      </c>
    </row>
    <row r="103" spans="1:3" x14ac:dyDescent="0.2">
      <c r="A103" t="s">
        <v>6513</v>
      </c>
      <c r="B103" t="s">
        <v>14360</v>
      </c>
    </row>
    <row r="104" spans="1:3" x14ac:dyDescent="0.2">
      <c r="A104" t="s">
        <v>5444</v>
      </c>
      <c r="B104" t="s">
        <v>14360</v>
      </c>
    </row>
    <row r="105" spans="1:3" x14ac:dyDescent="0.2">
      <c r="A105" t="s">
        <v>8187</v>
      </c>
      <c r="B105" t="s">
        <v>14360</v>
      </c>
    </row>
    <row r="106" spans="1:3" x14ac:dyDescent="0.2">
      <c r="A106" t="s">
        <v>8771</v>
      </c>
      <c r="B106" t="s">
        <v>14360</v>
      </c>
    </row>
    <row r="107" spans="1:3" x14ac:dyDescent="0.2">
      <c r="A107" t="s">
        <v>19200</v>
      </c>
      <c r="B107" t="s">
        <v>5451</v>
      </c>
    </row>
    <row r="108" spans="1:3" x14ac:dyDescent="0.2">
      <c r="A108" t="s">
        <v>8656</v>
      </c>
      <c r="B108" t="s">
        <v>14360</v>
      </c>
    </row>
    <row r="109" spans="1:3" x14ac:dyDescent="0.2">
      <c r="A109" t="s">
        <v>5838</v>
      </c>
      <c r="B109" t="s">
        <v>14360</v>
      </c>
    </row>
    <row r="110" spans="1:3" x14ac:dyDescent="0.2">
      <c r="A110" t="s">
        <v>6333</v>
      </c>
      <c r="B110" t="s">
        <v>6333</v>
      </c>
    </row>
    <row r="111" spans="1:3" x14ac:dyDescent="0.2">
      <c r="A111" t="s">
        <v>19193</v>
      </c>
      <c r="B111" t="s">
        <v>14360</v>
      </c>
    </row>
    <row r="112" spans="1:3" x14ac:dyDescent="0.2">
      <c r="A112" t="s">
        <v>19263</v>
      </c>
      <c r="B112" t="s">
        <v>6349</v>
      </c>
      <c r="C112" s="12"/>
    </row>
    <row r="113" spans="1:2" x14ac:dyDescent="0.2">
      <c r="A113" t="s">
        <v>6127</v>
      </c>
      <c r="B113" t="s">
        <v>14360</v>
      </c>
    </row>
    <row r="114" spans="1:2" x14ac:dyDescent="0.2">
      <c r="A114" t="s">
        <v>9872</v>
      </c>
      <c r="B114" t="s">
        <v>14360</v>
      </c>
    </row>
    <row r="115" spans="1:2" x14ac:dyDescent="0.2">
      <c r="A115" t="s">
        <v>6120</v>
      </c>
      <c r="B115" t="s">
        <v>14360</v>
      </c>
    </row>
    <row r="116" spans="1:2" x14ac:dyDescent="0.2">
      <c r="A116" t="s">
        <v>5952</v>
      </c>
      <c r="B116" t="s">
        <v>5952</v>
      </c>
    </row>
    <row r="117" spans="1:2" x14ac:dyDescent="0.2">
      <c r="A117" t="s">
        <v>8318</v>
      </c>
      <c r="B117" t="s">
        <v>14360</v>
      </c>
    </row>
    <row r="118" spans="1:2" x14ac:dyDescent="0.2">
      <c r="A118" t="s">
        <v>9801</v>
      </c>
      <c r="B118" t="s">
        <v>14360</v>
      </c>
    </row>
    <row r="119" spans="1:2" x14ac:dyDescent="0.2">
      <c r="A119" t="s">
        <v>19578</v>
      </c>
      <c r="B119" t="s">
        <v>14360</v>
      </c>
    </row>
    <row r="120" spans="1:2" x14ac:dyDescent="0.2">
      <c r="A120" t="s">
        <v>7326</v>
      </c>
      <c r="B120" t="s">
        <v>14360</v>
      </c>
    </row>
    <row r="121" spans="1:2" x14ac:dyDescent="0.2">
      <c r="A121" t="s">
        <v>4913</v>
      </c>
      <c r="B121" t="s">
        <v>14360</v>
      </c>
    </row>
    <row r="122" spans="1:2" x14ac:dyDescent="0.2">
      <c r="A122" t="s">
        <v>3463</v>
      </c>
      <c r="B122" t="s">
        <v>14360</v>
      </c>
    </row>
    <row r="123" spans="1:2" x14ac:dyDescent="0.2">
      <c r="A123" t="s">
        <v>7349</v>
      </c>
      <c r="B123" t="s">
        <v>14360</v>
      </c>
    </row>
    <row r="124" spans="1:2" x14ac:dyDescent="0.2">
      <c r="A124" t="s">
        <v>11515</v>
      </c>
      <c r="B124" t="s">
        <v>14360</v>
      </c>
    </row>
    <row r="125" spans="1:2" x14ac:dyDescent="0.2">
      <c r="A125" t="s">
        <v>11517</v>
      </c>
      <c r="B125" t="s">
        <v>14360</v>
      </c>
    </row>
    <row r="126" spans="1:2" x14ac:dyDescent="0.2">
      <c r="A126" t="s">
        <v>7778</v>
      </c>
      <c r="B126" t="s">
        <v>14360</v>
      </c>
    </row>
    <row r="127" spans="1:2" x14ac:dyDescent="0.2">
      <c r="A127" t="s">
        <v>11521</v>
      </c>
      <c r="B127" t="s">
        <v>11521</v>
      </c>
    </row>
    <row r="128" spans="1:2" x14ac:dyDescent="0.2">
      <c r="A128" t="s">
        <v>8328</v>
      </c>
      <c r="B128" t="s">
        <v>14360</v>
      </c>
    </row>
    <row r="129" spans="1:2" x14ac:dyDescent="0.2">
      <c r="A129" t="s">
        <v>7296</v>
      </c>
      <c r="B129" t="s">
        <v>14360</v>
      </c>
    </row>
    <row r="130" spans="1:2" x14ac:dyDescent="0.2">
      <c r="A130" t="s">
        <v>8268</v>
      </c>
      <c r="B130" t="s">
        <v>14360</v>
      </c>
    </row>
    <row r="131" spans="1:2" x14ac:dyDescent="0.2">
      <c r="A131" t="s">
        <v>8510</v>
      </c>
      <c r="B131" t="s">
        <v>14360</v>
      </c>
    </row>
    <row r="132" spans="1:2" x14ac:dyDescent="0.2">
      <c r="A132" t="s">
        <v>3955</v>
      </c>
      <c r="B132" t="s">
        <v>14360</v>
      </c>
    </row>
    <row r="133" spans="1:2" x14ac:dyDescent="0.2">
      <c r="A133" t="s">
        <v>4744</v>
      </c>
      <c r="B133" t="s">
        <v>4744</v>
      </c>
    </row>
    <row r="134" spans="1:2" x14ac:dyDescent="0.2">
      <c r="A134" t="s">
        <v>8245</v>
      </c>
      <c r="B134" t="s">
        <v>14360</v>
      </c>
    </row>
    <row r="135" spans="1:2" x14ac:dyDescent="0.2">
      <c r="A135" t="s">
        <v>8142</v>
      </c>
      <c r="B135" t="s">
        <v>14360</v>
      </c>
    </row>
    <row r="136" spans="1:2" x14ac:dyDescent="0.2">
      <c r="A136" t="s">
        <v>8181</v>
      </c>
      <c r="B136" t="s">
        <v>8181</v>
      </c>
    </row>
    <row r="137" spans="1:2" x14ac:dyDescent="0.2">
      <c r="A137" t="s">
        <v>5421</v>
      </c>
      <c r="B137" t="s">
        <v>14360</v>
      </c>
    </row>
    <row r="138" spans="1:2" x14ac:dyDescent="0.2">
      <c r="A138" t="s">
        <v>9570</v>
      </c>
      <c r="B138" t="s">
        <v>14360</v>
      </c>
    </row>
    <row r="139" spans="1:2" x14ac:dyDescent="0.2">
      <c r="A139" t="s">
        <v>11539</v>
      </c>
      <c r="B139" t="s">
        <v>14360</v>
      </c>
    </row>
    <row r="140" spans="1:2" x14ac:dyDescent="0.2">
      <c r="A140" t="s">
        <v>6587</v>
      </c>
      <c r="B140" t="s">
        <v>14360</v>
      </c>
    </row>
    <row r="141" spans="1:2" x14ac:dyDescent="0.2">
      <c r="A141" t="s">
        <v>10138</v>
      </c>
      <c r="B141" t="s">
        <v>14360</v>
      </c>
    </row>
    <row r="142" spans="1:2" x14ac:dyDescent="0.2">
      <c r="A142" t="s">
        <v>6985</v>
      </c>
      <c r="B142" t="s">
        <v>14360</v>
      </c>
    </row>
    <row r="143" spans="1:2" x14ac:dyDescent="0.2">
      <c r="A143" t="s">
        <v>19541</v>
      </c>
      <c r="B143" t="s">
        <v>14360</v>
      </c>
    </row>
    <row r="144" spans="1:2" x14ac:dyDescent="0.2">
      <c r="A144" t="s">
        <v>9315</v>
      </c>
      <c r="B144" t="s">
        <v>14360</v>
      </c>
    </row>
    <row r="145" spans="1:2" x14ac:dyDescent="0.2">
      <c r="A145" t="s">
        <v>8827</v>
      </c>
      <c r="B145" t="s">
        <v>14360</v>
      </c>
    </row>
    <row r="146" spans="1:2" x14ac:dyDescent="0.2">
      <c r="A146" t="s">
        <v>8060</v>
      </c>
      <c r="B146" t="s">
        <v>14360</v>
      </c>
    </row>
    <row r="147" spans="1:2" x14ac:dyDescent="0.2">
      <c r="A147" t="s">
        <v>7234</v>
      </c>
      <c r="B147" t="s">
        <v>14360</v>
      </c>
    </row>
    <row r="148" spans="1:2" x14ac:dyDescent="0.2">
      <c r="A148" t="s">
        <v>9601</v>
      </c>
      <c r="B148" t="s">
        <v>14360</v>
      </c>
    </row>
    <row r="149" spans="1:2" x14ac:dyDescent="0.2">
      <c r="A149" t="s">
        <v>5085</v>
      </c>
      <c r="B149" t="s">
        <v>14360</v>
      </c>
    </row>
    <row r="150" spans="1:2" x14ac:dyDescent="0.2">
      <c r="A150" t="s">
        <v>8083</v>
      </c>
      <c r="B150" t="s">
        <v>14360</v>
      </c>
    </row>
    <row r="151" spans="1:2" x14ac:dyDescent="0.2">
      <c r="A151" t="s">
        <v>8845</v>
      </c>
      <c r="B151" t="s">
        <v>14360</v>
      </c>
    </row>
    <row r="152" spans="1:2" x14ac:dyDescent="0.2">
      <c r="A152" t="s">
        <v>9321</v>
      </c>
      <c r="B152" t="s">
        <v>14360</v>
      </c>
    </row>
    <row r="153" spans="1:2" x14ac:dyDescent="0.2">
      <c r="A153" t="s">
        <v>5505</v>
      </c>
      <c r="B153" t="s">
        <v>14360</v>
      </c>
    </row>
    <row r="154" spans="1:2" x14ac:dyDescent="0.2">
      <c r="A154" t="s">
        <v>6655</v>
      </c>
      <c r="B154" t="s">
        <v>14360</v>
      </c>
    </row>
    <row r="155" spans="1:2" x14ac:dyDescent="0.2">
      <c r="A155" t="s">
        <v>3681</v>
      </c>
      <c r="B155" t="s">
        <v>3681</v>
      </c>
    </row>
    <row r="156" spans="1:2" x14ac:dyDescent="0.2">
      <c r="A156" t="s">
        <v>4872</v>
      </c>
      <c r="B156" t="s">
        <v>14360</v>
      </c>
    </row>
    <row r="157" spans="1:2" x14ac:dyDescent="0.2">
      <c r="A157" t="s">
        <v>5313</v>
      </c>
      <c r="B157" t="s">
        <v>14360</v>
      </c>
    </row>
    <row r="158" spans="1:2" x14ac:dyDescent="0.2">
      <c r="A158" t="s">
        <v>8374</v>
      </c>
      <c r="B158" t="s">
        <v>14360</v>
      </c>
    </row>
    <row r="159" spans="1:2" x14ac:dyDescent="0.2">
      <c r="A159" t="s">
        <v>9908</v>
      </c>
      <c r="B159" t="s">
        <v>14360</v>
      </c>
    </row>
    <row r="160" spans="1:2" x14ac:dyDescent="0.2">
      <c r="A160" t="s">
        <v>5681</v>
      </c>
      <c r="B160" t="s">
        <v>14360</v>
      </c>
    </row>
    <row r="161" spans="1:2" x14ac:dyDescent="0.2">
      <c r="A161" t="s">
        <v>6997</v>
      </c>
      <c r="B161" t="s">
        <v>14360</v>
      </c>
    </row>
    <row r="162" spans="1:2" x14ac:dyDescent="0.2">
      <c r="A162" t="s">
        <v>6991</v>
      </c>
      <c r="B162" t="s">
        <v>14360</v>
      </c>
    </row>
    <row r="163" spans="1:2" x14ac:dyDescent="0.2">
      <c r="A163" t="s">
        <v>10208</v>
      </c>
      <c r="B163" t="s">
        <v>14360</v>
      </c>
    </row>
    <row r="164" spans="1:2" x14ac:dyDescent="0.2">
      <c r="A164" t="s">
        <v>8498</v>
      </c>
      <c r="B164" t="s">
        <v>14360</v>
      </c>
    </row>
    <row r="165" spans="1:2" x14ac:dyDescent="0.2">
      <c r="A165" t="s">
        <v>6545</v>
      </c>
      <c r="B165" t="s">
        <v>14360</v>
      </c>
    </row>
    <row r="166" spans="1:2" x14ac:dyDescent="0.2">
      <c r="A166" t="s">
        <v>8833</v>
      </c>
      <c r="B166" t="s">
        <v>8833</v>
      </c>
    </row>
    <row r="167" spans="1:2" x14ac:dyDescent="0.2">
      <c r="A167" t="s">
        <v>9790</v>
      </c>
      <c r="B167" t="s">
        <v>14360</v>
      </c>
    </row>
    <row r="168" spans="1:2" x14ac:dyDescent="0.2">
      <c r="A168" t="s">
        <v>19353</v>
      </c>
      <c r="B168" t="s">
        <v>7857</v>
      </c>
    </row>
    <row r="169" spans="1:2" x14ac:dyDescent="0.2">
      <c r="A169" t="s">
        <v>5658</v>
      </c>
      <c r="B169" t="s">
        <v>14360</v>
      </c>
    </row>
    <row r="170" spans="1:2" x14ac:dyDescent="0.2">
      <c r="A170" t="s">
        <v>19349</v>
      </c>
      <c r="B170" t="s">
        <v>14360</v>
      </c>
    </row>
    <row r="171" spans="1:2" x14ac:dyDescent="0.2">
      <c r="A171" t="s">
        <v>19282</v>
      </c>
      <c r="B171" t="s">
        <v>14360</v>
      </c>
    </row>
    <row r="172" spans="1:2" x14ac:dyDescent="0.2">
      <c r="A172" t="s">
        <v>19281</v>
      </c>
      <c r="B172" t="s">
        <v>14360</v>
      </c>
    </row>
    <row r="173" spans="1:2" x14ac:dyDescent="0.2">
      <c r="A173" t="s">
        <v>8169</v>
      </c>
      <c r="B173" t="s">
        <v>14360</v>
      </c>
    </row>
    <row r="174" spans="1:2" x14ac:dyDescent="0.2">
      <c r="A174" t="s">
        <v>5793</v>
      </c>
      <c r="B174" t="s">
        <v>14360</v>
      </c>
    </row>
    <row r="175" spans="1:2" x14ac:dyDescent="0.2">
      <c r="A175" t="s">
        <v>19369</v>
      </c>
      <c r="B175" t="s">
        <v>19369</v>
      </c>
    </row>
    <row r="176" spans="1:2" x14ac:dyDescent="0.2">
      <c r="A176" t="s">
        <v>18684</v>
      </c>
      <c r="B176" t="s">
        <v>14360</v>
      </c>
    </row>
    <row r="177" spans="1:2" x14ac:dyDescent="0.2">
      <c r="A177" t="s">
        <v>9246</v>
      </c>
      <c r="B177" t="s">
        <v>9246</v>
      </c>
    </row>
    <row r="178" spans="1:2" x14ac:dyDescent="0.2">
      <c r="A178" t="s">
        <v>19583</v>
      </c>
      <c r="B178" t="s">
        <v>20421</v>
      </c>
    </row>
    <row r="179" spans="1:2" x14ac:dyDescent="0.2">
      <c r="A179" t="s">
        <v>7488</v>
      </c>
      <c r="B179" t="s">
        <v>7488</v>
      </c>
    </row>
    <row r="180" spans="1:2" x14ac:dyDescent="0.2">
      <c r="A180" t="s">
        <v>10223</v>
      </c>
      <c r="B180" t="s">
        <v>14360</v>
      </c>
    </row>
    <row r="181" spans="1:2" x14ac:dyDescent="0.2">
      <c r="A181" t="s">
        <v>9915</v>
      </c>
      <c r="B181" t="s">
        <v>9915</v>
      </c>
    </row>
    <row r="182" spans="1:2" x14ac:dyDescent="0.2">
      <c r="A182" t="s">
        <v>4201</v>
      </c>
      <c r="B182" t="s">
        <v>4201</v>
      </c>
    </row>
    <row r="183" spans="1:2" x14ac:dyDescent="0.2">
      <c r="A183" t="s">
        <v>19750</v>
      </c>
      <c r="B183" t="s">
        <v>9253</v>
      </c>
    </row>
    <row r="184" spans="1:2" x14ac:dyDescent="0.2">
      <c r="A184" t="s">
        <v>19751</v>
      </c>
      <c r="B184" t="s">
        <v>14360</v>
      </c>
    </row>
    <row r="185" spans="1:2" x14ac:dyDescent="0.2">
      <c r="A185" t="s">
        <v>7160</v>
      </c>
      <c r="B185" t="s">
        <v>7160</v>
      </c>
    </row>
    <row r="186" spans="1:2" x14ac:dyDescent="0.2">
      <c r="A186" t="s">
        <v>7436</v>
      </c>
      <c r="B186" t="s">
        <v>14360</v>
      </c>
    </row>
    <row r="187" spans="1:2" x14ac:dyDescent="0.2">
      <c r="A187" t="s">
        <v>19338</v>
      </c>
      <c r="B187" t="s">
        <v>14360</v>
      </c>
    </row>
    <row r="188" spans="1:2" x14ac:dyDescent="0.2">
      <c r="A188" t="s">
        <v>19266</v>
      </c>
      <c r="B188" t="s">
        <v>19266</v>
      </c>
    </row>
    <row r="189" spans="1:2" x14ac:dyDescent="0.2">
      <c r="A189" t="s">
        <v>6805</v>
      </c>
      <c r="B189" t="s">
        <v>14360</v>
      </c>
    </row>
    <row r="190" spans="1:2" x14ac:dyDescent="0.2">
      <c r="A190" t="s">
        <v>13039</v>
      </c>
      <c r="B190" t="s">
        <v>14360</v>
      </c>
    </row>
    <row r="191" spans="1:2" x14ac:dyDescent="0.2">
      <c r="A191" t="s">
        <v>3690</v>
      </c>
      <c r="B191" t="s">
        <v>14360</v>
      </c>
    </row>
    <row r="192" spans="1:2" x14ac:dyDescent="0.2">
      <c r="A192" t="s">
        <v>7003</v>
      </c>
      <c r="B192" t="s">
        <v>14360</v>
      </c>
    </row>
    <row r="193" spans="1:2" x14ac:dyDescent="0.2">
      <c r="A193" t="s">
        <v>9905</v>
      </c>
      <c r="B193" t="s">
        <v>14360</v>
      </c>
    </row>
    <row r="194" spans="1:2" x14ac:dyDescent="0.2">
      <c r="A194" t="s">
        <v>13044</v>
      </c>
      <c r="B194" t="s">
        <v>14360</v>
      </c>
    </row>
    <row r="195" spans="1:2" x14ac:dyDescent="0.2">
      <c r="A195" t="s">
        <v>13046</v>
      </c>
      <c r="B195" t="s">
        <v>14360</v>
      </c>
    </row>
    <row r="196" spans="1:2" x14ac:dyDescent="0.2">
      <c r="A196" t="s">
        <v>9717</v>
      </c>
      <c r="B196" t="s">
        <v>9717</v>
      </c>
    </row>
    <row r="197" spans="1:2" x14ac:dyDescent="0.2">
      <c r="A197" t="s">
        <v>4714</v>
      </c>
      <c r="B197" t="s">
        <v>4714</v>
      </c>
    </row>
    <row r="198" spans="1:2" x14ac:dyDescent="0.2">
      <c r="A198" t="s">
        <v>19602</v>
      </c>
      <c r="B198" t="s">
        <v>19602</v>
      </c>
    </row>
    <row r="199" spans="1:2" x14ac:dyDescent="0.2">
      <c r="A199" t="s">
        <v>19551</v>
      </c>
      <c r="B199" t="s">
        <v>14360</v>
      </c>
    </row>
    <row r="200" spans="1:2" x14ac:dyDescent="0.2">
      <c r="A200" t="s">
        <v>19234</v>
      </c>
      <c r="B200" t="s">
        <v>14360</v>
      </c>
    </row>
    <row r="201" spans="1:2" x14ac:dyDescent="0.2">
      <c r="A201" t="s">
        <v>10094</v>
      </c>
      <c r="B201" t="s">
        <v>14360</v>
      </c>
    </row>
    <row r="202" spans="1:2" x14ac:dyDescent="0.2">
      <c r="A202" t="s">
        <v>9928</v>
      </c>
      <c r="B202" t="s">
        <v>14360</v>
      </c>
    </row>
    <row r="203" spans="1:2" x14ac:dyDescent="0.2">
      <c r="A203" t="s">
        <v>13048</v>
      </c>
      <c r="B203" t="s">
        <v>14360</v>
      </c>
    </row>
    <row r="204" spans="1:2" x14ac:dyDescent="0.2">
      <c r="A204" t="s">
        <v>9679</v>
      </c>
      <c r="B204" t="s">
        <v>14360</v>
      </c>
    </row>
    <row r="205" spans="1:2" x14ac:dyDescent="0.2">
      <c r="A205" t="s">
        <v>5914</v>
      </c>
      <c r="B205" t="s">
        <v>14360</v>
      </c>
    </row>
    <row r="206" spans="1:2" x14ac:dyDescent="0.2">
      <c r="A206" t="s">
        <v>10049</v>
      </c>
      <c r="B206" t="s">
        <v>14360</v>
      </c>
    </row>
    <row r="207" spans="1:2" x14ac:dyDescent="0.2">
      <c r="A207" t="s">
        <v>3510</v>
      </c>
      <c r="B207" t="s">
        <v>3510</v>
      </c>
    </row>
    <row r="208" spans="1:2" x14ac:dyDescent="0.2">
      <c r="A208" t="s">
        <v>11587</v>
      </c>
      <c r="B208" t="s">
        <v>14360</v>
      </c>
    </row>
    <row r="209" spans="1:2" x14ac:dyDescent="0.2">
      <c r="A209" t="s">
        <v>10</v>
      </c>
      <c r="B209" t="s">
        <v>14360</v>
      </c>
    </row>
    <row r="210" spans="1:2" x14ac:dyDescent="0.2">
      <c r="A210" t="s">
        <v>10</v>
      </c>
      <c r="B210" t="s">
        <v>14360</v>
      </c>
    </row>
    <row r="211" spans="1:2" x14ac:dyDescent="0.2">
      <c r="A211" t="s">
        <v>19553</v>
      </c>
      <c r="B211" t="s">
        <v>14360</v>
      </c>
    </row>
    <row r="212" spans="1:2" x14ac:dyDescent="0.2">
      <c r="A212" t="s">
        <v>9551</v>
      </c>
      <c r="B212" t="s">
        <v>14360</v>
      </c>
    </row>
    <row r="213" spans="1:2" x14ac:dyDescent="0.2">
      <c r="A213" t="s">
        <v>13051</v>
      </c>
      <c r="B213" t="s">
        <v>14360</v>
      </c>
    </row>
    <row r="214" spans="1:2" x14ac:dyDescent="0.2">
      <c r="A214" t="s">
        <v>5688</v>
      </c>
      <c r="B214" t="s">
        <v>14360</v>
      </c>
    </row>
    <row r="215" spans="1:2" x14ac:dyDescent="0.2">
      <c r="A215" t="s">
        <v>10097</v>
      </c>
      <c r="B215" t="s">
        <v>20436</v>
      </c>
    </row>
    <row r="216" spans="1:2" x14ac:dyDescent="0.2">
      <c r="A216" t="s">
        <v>19268</v>
      </c>
      <c r="B216" t="s">
        <v>14360</v>
      </c>
    </row>
    <row r="217" spans="1:2" x14ac:dyDescent="0.2">
      <c r="A217" t="s">
        <v>8636</v>
      </c>
      <c r="B217" t="s">
        <v>14360</v>
      </c>
    </row>
    <row r="218" spans="1:2" x14ac:dyDescent="0.2">
      <c r="A218" t="s">
        <v>9902</v>
      </c>
      <c r="B218" t="s">
        <v>14360</v>
      </c>
    </row>
    <row r="219" spans="1:2" x14ac:dyDescent="0.2">
      <c r="A219" t="s">
        <v>7284</v>
      </c>
      <c r="B219" t="s">
        <v>14360</v>
      </c>
    </row>
    <row r="220" spans="1:2" x14ac:dyDescent="0.2">
      <c r="A220" t="s">
        <v>9752</v>
      </c>
      <c r="B220" t="s">
        <v>14360</v>
      </c>
    </row>
    <row r="221" spans="1:2" x14ac:dyDescent="0.2">
      <c r="A221" t="s">
        <v>13058</v>
      </c>
      <c r="B221" t="s">
        <v>14360</v>
      </c>
    </row>
    <row r="222" spans="1:2" x14ac:dyDescent="0.2">
      <c r="A222" t="s">
        <v>3501</v>
      </c>
      <c r="B222" t="s">
        <v>14360</v>
      </c>
    </row>
    <row r="223" spans="1:2" x14ac:dyDescent="0.2">
      <c r="A223" t="s">
        <v>5853</v>
      </c>
      <c r="B223" t="s">
        <v>14360</v>
      </c>
    </row>
    <row r="224" spans="1:2" x14ac:dyDescent="0.2">
      <c r="A224" t="s">
        <v>5627</v>
      </c>
      <c r="B224" t="s">
        <v>14360</v>
      </c>
    </row>
    <row r="225" spans="1:2" x14ac:dyDescent="0.2">
      <c r="A225" t="s">
        <v>5512</v>
      </c>
      <c r="B225" t="s">
        <v>14360</v>
      </c>
    </row>
    <row r="226" spans="1:2" x14ac:dyDescent="0.2">
      <c r="A226" t="s">
        <v>10231</v>
      </c>
      <c r="B226" t="s">
        <v>14360</v>
      </c>
    </row>
    <row r="227" spans="1:2" x14ac:dyDescent="0.2">
      <c r="A227" t="s">
        <v>10232</v>
      </c>
      <c r="B227" t="s">
        <v>14360</v>
      </c>
    </row>
    <row r="228" spans="1:2" x14ac:dyDescent="0.2">
      <c r="A228" t="s">
        <v>11611</v>
      </c>
      <c r="B228" t="s">
        <v>14360</v>
      </c>
    </row>
    <row r="229" spans="1:2" x14ac:dyDescent="0.2">
      <c r="A229" t="s">
        <v>9579</v>
      </c>
      <c r="B229" t="s">
        <v>14360</v>
      </c>
    </row>
    <row r="230" spans="1:2" x14ac:dyDescent="0.2">
      <c r="A230" t="s">
        <v>9826</v>
      </c>
      <c r="B230" t="s">
        <v>14360</v>
      </c>
    </row>
    <row r="231" spans="1:2" x14ac:dyDescent="0.2">
      <c r="A231" t="s">
        <v>8445</v>
      </c>
      <c r="B231" t="s">
        <v>8445</v>
      </c>
    </row>
    <row r="232" spans="1:2" x14ac:dyDescent="0.2">
      <c r="A232" t="s">
        <v>7480</v>
      </c>
      <c r="B232" t="s">
        <v>14360</v>
      </c>
    </row>
    <row r="233" spans="1:2" x14ac:dyDescent="0.2">
      <c r="A233" t="s">
        <v>11613</v>
      </c>
      <c r="B233" t="s">
        <v>14360</v>
      </c>
    </row>
    <row r="234" spans="1:2" x14ac:dyDescent="0.2">
      <c r="A234" t="s">
        <v>9640</v>
      </c>
      <c r="B234" t="s">
        <v>20457</v>
      </c>
    </row>
    <row r="235" spans="1:2" x14ac:dyDescent="0.2">
      <c r="A235" t="s">
        <v>9730</v>
      </c>
      <c r="B235" t="s">
        <v>14360</v>
      </c>
    </row>
    <row r="236" spans="1:2" x14ac:dyDescent="0.2">
      <c r="A236" t="s">
        <v>5376</v>
      </c>
      <c r="B236" t="s">
        <v>14360</v>
      </c>
    </row>
    <row r="237" spans="1:2" x14ac:dyDescent="0.2">
      <c r="A237" t="s">
        <v>8661</v>
      </c>
      <c r="B237" t="s">
        <v>14360</v>
      </c>
    </row>
    <row r="238" spans="1:2" x14ac:dyDescent="0.2">
      <c r="A238" t="s">
        <v>8664</v>
      </c>
      <c r="B238" t="s">
        <v>14360</v>
      </c>
    </row>
    <row r="239" spans="1:2" x14ac:dyDescent="0.2">
      <c r="A239" t="s">
        <v>11619</v>
      </c>
      <c r="B239" t="s">
        <v>14360</v>
      </c>
    </row>
    <row r="240" spans="1:2" x14ac:dyDescent="0.2">
      <c r="A240" t="s">
        <v>4928</v>
      </c>
      <c r="B240" t="s">
        <v>4928</v>
      </c>
    </row>
    <row r="241" spans="1:2" x14ac:dyDescent="0.2">
      <c r="A241" t="s">
        <v>8079</v>
      </c>
      <c r="B241" t="s">
        <v>8079</v>
      </c>
    </row>
    <row r="242" spans="1:2" x14ac:dyDescent="0.2">
      <c r="A242" t="s">
        <v>5650</v>
      </c>
      <c r="B242" t="s">
        <v>14360</v>
      </c>
    </row>
    <row r="243" spans="1:2" x14ac:dyDescent="0.2">
      <c r="A243" t="s">
        <v>5193</v>
      </c>
      <c r="B243" t="s">
        <v>14360</v>
      </c>
    </row>
    <row r="244" spans="1:2" x14ac:dyDescent="0.2">
      <c r="A244" t="s">
        <v>6940</v>
      </c>
      <c r="B244" t="s">
        <v>6940</v>
      </c>
    </row>
    <row r="245" spans="1:2" x14ac:dyDescent="0.2">
      <c r="A245" t="s">
        <v>7502</v>
      </c>
      <c r="B245" t="s">
        <v>14360</v>
      </c>
    </row>
    <row r="246" spans="1:2" x14ac:dyDescent="0.2">
      <c r="A246" t="s">
        <v>8363</v>
      </c>
      <c r="B246" t="s">
        <v>14360</v>
      </c>
    </row>
    <row r="247" spans="1:2" x14ac:dyDescent="0.2">
      <c r="A247" t="s">
        <v>5209</v>
      </c>
      <c r="B247" t="s">
        <v>14360</v>
      </c>
    </row>
    <row r="248" spans="1:2" x14ac:dyDescent="0.2">
      <c r="A248" t="s">
        <v>5845</v>
      </c>
      <c r="B248" t="s">
        <v>5845</v>
      </c>
    </row>
    <row r="249" spans="1:2" x14ac:dyDescent="0.2">
      <c r="A249" t="s">
        <v>19182</v>
      </c>
      <c r="B249" t="s">
        <v>14360</v>
      </c>
    </row>
    <row r="250" spans="1:2" x14ac:dyDescent="0.2">
      <c r="A250" t="s">
        <v>11633</v>
      </c>
      <c r="B250" t="s">
        <v>14360</v>
      </c>
    </row>
    <row r="251" spans="1:2" x14ac:dyDescent="0.2">
      <c r="A251" t="s">
        <v>4602</v>
      </c>
      <c r="B251" t="s">
        <v>14360</v>
      </c>
    </row>
    <row r="252" spans="1:2" x14ac:dyDescent="0.2">
      <c r="A252" t="s">
        <v>6869</v>
      </c>
      <c r="B252" t="s">
        <v>14360</v>
      </c>
    </row>
    <row r="253" spans="1:2" x14ac:dyDescent="0.2">
      <c r="A253" t="s">
        <v>10124</v>
      </c>
      <c r="B253" t="s">
        <v>10124</v>
      </c>
    </row>
    <row r="254" spans="1:2" x14ac:dyDescent="0.2">
      <c r="A254" t="s">
        <v>6341</v>
      </c>
      <c r="B254" t="s">
        <v>14360</v>
      </c>
    </row>
    <row r="255" spans="1:2" x14ac:dyDescent="0.2">
      <c r="A255" t="s">
        <v>18241</v>
      </c>
      <c r="B255" t="s">
        <v>14360</v>
      </c>
    </row>
    <row r="256" spans="1:2" x14ac:dyDescent="0.2">
      <c r="A256" t="s">
        <v>8649</v>
      </c>
      <c r="B256" t="s">
        <v>14360</v>
      </c>
    </row>
    <row r="257" spans="1:2" x14ac:dyDescent="0.2">
      <c r="A257" t="s">
        <v>6736</v>
      </c>
      <c r="B257" t="s">
        <v>14360</v>
      </c>
    </row>
    <row r="258" spans="1:2" x14ac:dyDescent="0.2">
      <c r="A258" t="s">
        <v>4706</v>
      </c>
      <c r="B258" t="s">
        <v>4706</v>
      </c>
    </row>
    <row r="259" spans="1:2" x14ac:dyDescent="0.2">
      <c r="A259" t="s">
        <v>4945</v>
      </c>
      <c r="B259" t="s">
        <v>14360</v>
      </c>
    </row>
    <row r="260" spans="1:2" x14ac:dyDescent="0.2">
      <c r="A260" t="s">
        <v>5217</v>
      </c>
      <c r="B260" t="s">
        <v>14360</v>
      </c>
    </row>
    <row r="261" spans="1:2" x14ac:dyDescent="0.2">
      <c r="A261" t="s">
        <v>5107</v>
      </c>
      <c r="B261" t="s">
        <v>14360</v>
      </c>
    </row>
    <row r="262" spans="1:2" x14ac:dyDescent="0.2">
      <c r="A262" t="s">
        <v>9931</v>
      </c>
      <c r="B262" t="s">
        <v>14360</v>
      </c>
    </row>
    <row r="263" spans="1:2" x14ac:dyDescent="0.2">
      <c r="A263" t="s">
        <v>5499</v>
      </c>
      <c r="B263" t="s">
        <v>14360</v>
      </c>
    </row>
    <row r="264" spans="1:2" x14ac:dyDescent="0.2">
      <c r="A264" t="s">
        <v>9823</v>
      </c>
      <c r="B264" t="s">
        <v>14360</v>
      </c>
    </row>
    <row r="265" spans="1:2" x14ac:dyDescent="0.2">
      <c r="A265" t="s">
        <v>7059</v>
      </c>
      <c r="B265" t="s">
        <v>14360</v>
      </c>
    </row>
    <row r="266" spans="1:2" x14ac:dyDescent="0.2">
      <c r="A266" t="s">
        <v>13078</v>
      </c>
      <c r="B266" t="s">
        <v>14360</v>
      </c>
    </row>
    <row r="267" spans="1:2" x14ac:dyDescent="0.2">
      <c r="A267" t="s">
        <v>7372</v>
      </c>
      <c r="B267" t="s">
        <v>14360</v>
      </c>
    </row>
    <row r="268" spans="1:2" x14ac:dyDescent="0.2">
      <c r="A268" t="s">
        <v>9798</v>
      </c>
      <c r="B268" t="s">
        <v>14360</v>
      </c>
    </row>
    <row r="269" spans="1:2" x14ac:dyDescent="0.2">
      <c r="A269" t="s">
        <v>13080</v>
      </c>
      <c r="B269" t="s">
        <v>14360</v>
      </c>
    </row>
    <row r="270" spans="1:2" x14ac:dyDescent="0.2">
      <c r="A270" t="s">
        <v>6924</v>
      </c>
      <c r="B270" t="s">
        <v>14360</v>
      </c>
    </row>
    <row r="271" spans="1:2" x14ac:dyDescent="0.2">
      <c r="A271" t="s">
        <v>5233</v>
      </c>
      <c r="B271" t="s">
        <v>5233</v>
      </c>
    </row>
    <row r="272" spans="1:2" x14ac:dyDescent="0.2">
      <c r="A272" t="s">
        <v>9852</v>
      </c>
      <c r="B272" t="s">
        <v>14360</v>
      </c>
    </row>
    <row r="273" spans="1:2" x14ac:dyDescent="0.2">
      <c r="A273" t="s">
        <v>13085</v>
      </c>
      <c r="B273" t="s">
        <v>14360</v>
      </c>
    </row>
    <row r="274" spans="1:2" x14ac:dyDescent="0.2">
      <c r="A274" t="s">
        <v>8426</v>
      </c>
      <c r="B274" t="s">
        <v>8426</v>
      </c>
    </row>
    <row r="275" spans="1:2" x14ac:dyDescent="0.2">
      <c r="A275" t="s">
        <v>7219</v>
      </c>
      <c r="B275" t="s">
        <v>14360</v>
      </c>
    </row>
    <row r="276" spans="1:2" x14ac:dyDescent="0.2">
      <c r="A276" t="s">
        <v>7561</v>
      </c>
      <c r="B276" t="s">
        <v>14360</v>
      </c>
    </row>
    <row r="277" spans="1:2" x14ac:dyDescent="0.2">
      <c r="A277" t="s">
        <v>6433</v>
      </c>
      <c r="B277" t="s">
        <v>6433</v>
      </c>
    </row>
    <row r="278" spans="1:2" x14ac:dyDescent="0.2">
      <c r="A278" t="s">
        <v>3527</v>
      </c>
      <c r="B278" t="s">
        <v>3527</v>
      </c>
    </row>
    <row r="279" spans="1:2" x14ac:dyDescent="0.2">
      <c r="A279" t="s">
        <v>9243</v>
      </c>
      <c r="B279" t="s">
        <v>9243</v>
      </c>
    </row>
    <row r="280" spans="1:2" x14ac:dyDescent="0.2">
      <c r="A280" t="s">
        <v>4792</v>
      </c>
      <c r="B280" t="s">
        <v>4792</v>
      </c>
    </row>
    <row r="281" spans="1:2" x14ac:dyDescent="0.2">
      <c r="A281" t="s">
        <v>8563</v>
      </c>
      <c r="B281" t="s">
        <v>14360</v>
      </c>
    </row>
    <row r="282" spans="1:2" x14ac:dyDescent="0.2">
      <c r="A282" t="s">
        <v>5398</v>
      </c>
      <c r="B282" t="s">
        <v>14360</v>
      </c>
    </row>
    <row r="283" spans="1:2" x14ac:dyDescent="0.2">
      <c r="A283" t="s">
        <v>7443</v>
      </c>
      <c r="B283" t="s">
        <v>14360</v>
      </c>
    </row>
    <row r="284" spans="1:2" x14ac:dyDescent="0.2">
      <c r="A284" t="s">
        <v>8074</v>
      </c>
      <c r="B284" t="s">
        <v>14360</v>
      </c>
    </row>
    <row r="285" spans="1:2" x14ac:dyDescent="0.2">
      <c r="A285" t="s">
        <v>8450</v>
      </c>
      <c r="B285" t="s">
        <v>14360</v>
      </c>
    </row>
    <row r="286" spans="1:2" x14ac:dyDescent="0.2">
      <c r="A286" t="s">
        <v>9835</v>
      </c>
      <c r="B286" t="s">
        <v>14360</v>
      </c>
    </row>
    <row r="287" spans="1:2" x14ac:dyDescent="0.2">
      <c r="A287" t="s">
        <v>13096</v>
      </c>
      <c r="B287" t="s">
        <v>14360</v>
      </c>
    </row>
    <row r="288" spans="1:2" x14ac:dyDescent="0.2">
      <c r="A288" t="s">
        <v>10114</v>
      </c>
      <c r="B288" t="s">
        <v>14360</v>
      </c>
    </row>
    <row r="289" spans="1:2" x14ac:dyDescent="0.2">
      <c r="A289" t="s">
        <v>8474</v>
      </c>
      <c r="B289" t="s">
        <v>14360</v>
      </c>
    </row>
    <row r="290" spans="1:2" x14ac:dyDescent="0.2">
      <c r="A290" t="s">
        <v>6916</v>
      </c>
      <c r="B290" t="s">
        <v>14360</v>
      </c>
    </row>
    <row r="291" spans="1:2" x14ac:dyDescent="0.2">
      <c r="A291" t="s">
        <v>10212</v>
      </c>
      <c r="B291" t="s">
        <v>14360</v>
      </c>
    </row>
    <row r="292" spans="1:2" x14ac:dyDescent="0.2">
      <c r="A292" t="s">
        <v>11655</v>
      </c>
      <c r="B292" t="s">
        <v>11655</v>
      </c>
    </row>
    <row r="293" spans="1:2" x14ac:dyDescent="0.2">
      <c r="A293" t="s">
        <v>6365</v>
      </c>
      <c r="B293" t="s">
        <v>6365</v>
      </c>
    </row>
    <row r="294" spans="1:2" x14ac:dyDescent="0.2">
      <c r="A294" t="s">
        <v>13105</v>
      </c>
      <c r="B294" t="s">
        <v>14360</v>
      </c>
    </row>
    <row r="295" spans="1:2" x14ac:dyDescent="0.2">
      <c r="A295" t="s">
        <v>6000</v>
      </c>
      <c r="B295" t="s">
        <v>14360</v>
      </c>
    </row>
    <row r="296" spans="1:2" x14ac:dyDescent="0.2">
      <c r="A296" t="s">
        <v>9565</v>
      </c>
      <c r="B296" t="s">
        <v>14360</v>
      </c>
    </row>
    <row r="297" spans="1:2" x14ac:dyDescent="0.2">
      <c r="A297" t="s">
        <v>7307</v>
      </c>
      <c r="B297" t="s">
        <v>14360</v>
      </c>
    </row>
    <row r="298" spans="1:2" x14ac:dyDescent="0.2">
      <c r="A298" t="s">
        <v>10046</v>
      </c>
      <c r="B298" t="s">
        <v>14360</v>
      </c>
    </row>
    <row r="299" spans="1:2" x14ac:dyDescent="0.2">
      <c r="A299" t="s">
        <v>9858</v>
      </c>
      <c r="B299" t="s">
        <v>14360</v>
      </c>
    </row>
    <row r="300" spans="1:2" x14ac:dyDescent="0.2">
      <c r="A300" t="s">
        <v>8067</v>
      </c>
      <c r="B300" t="s">
        <v>14360</v>
      </c>
    </row>
    <row r="301" spans="1:2" x14ac:dyDescent="0.2">
      <c r="A301" t="s">
        <v>11660</v>
      </c>
      <c r="B301" t="s">
        <v>14360</v>
      </c>
    </row>
    <row r="302" spans="1:2" x14ac:dyDescent="0.2">
      <c r="A302" t="s">
        <v>9051</v>
      </c>
      <c r="B302" t="s">
        <v>14360</v>
      </c>
    </row>
    <row r="303" spans="1:2" x14ac:dyDescent="0.2">
      <c r="A303" t="s">
        <v>3473</v>
      </c>
      <c r="B303" t="s">
        <v>14360</v>
      </c>
    </row>
    <row r="304" spans="1:2" x14ac:dyDescent="0.2">
      <c r="A304" t="s">
        <v>5224</v>
      </c>
      <c r="B304" t="s">
        <v>5224</v>
      </c>
    </row>
    <row r="305" spans="1:2" x14ac:dyDescent="0.2">
      <c r="A305" t="s">
        <v>19662</v>
      </c>
      <c r="B305" t="s">
        <v>3632</v>
      </c>
    </row>
    <row r="306" spans="1:2" x14ac:dyDescent="0.2">
      <c r="A306" t="s">
        <v>7257</v>
      </c>
      <c r="B306" t="s">
        <v>20422</v>
      </c>
    </row>
    <row r="307" spans="1:2" x14ac:dyDescent="0.2">
      <c r="A307" t="s">
        <v>6484</v>
      </c>
      <c r="B307" t="s">
        <v>14360</v>
      </c>
    </row>
    <row r="308" spans="1:2" x14ac:dyDescent="0.2">
      <c r="A308" t="s">
        <v>4546</v>
      </c>
      <c r="B308" t="s">
        <v>20418</v>
      </c>
    </row>
    <row r="309" spans="1:2" x14ac:dyDescent="0.2">
      <c r="A309" t="s">
        <v>3537</v>
      </c>
      <c r="B309" t="s">
        <v>3537</v>
      </c>
    </row>
    <row r="310" spans="1:2" x14ac:dyDescent="0.2">
      <c r="A310" t="s">
        <v>4736</v>
      </c>
      <c r="B310" t="s">
        <v>14360</v>
      </c>
    </row>
    <row r="311" spans="1:2" x14ac:dyDescent="0.2">
      <c r="A311" t="s">
        <v>6440</v>
      </c>
      <c r="B311" t="s">
        <v>6440</v>
      </c>
    </row>
    <row r="312" spans="1:2" x14ac:dyDescent="0.2">
      <c r="A312" t="s">
        <v>7166</v>
      </c>
      <c r="B312" t="s">
        <v>14360</v>
      </c>
    </row>
    <row r="313" spans="1:2" x14ac:dyDescent="0.2">
      <c r="A313" t="s">
        <v>8315</v>
      </c>
      <c r="B313" t="s">
        <v>14360</v>
      </c>
    </row>
    <row r="314" spans="1:2" x14ac:dyDescent="0.2">
      <c r="A314" t="s">
        <v>7183</v>
      </c>
      <c r="B314" t="s">
        <v>14360</v>
      </c>
    </row>
    <row r="315" spans="1:2" x14ac:dyDescent="0.2">
      <c r="A315" t="s">
        <v>7188</v>
      </c>
      <c r="B315" t="s">
        <v>14360</v>
      </c>
    </row>
    <row r="316" spans="1:2" x14ac:dyDescent="0.2">
      <c r="A316" t="s">
        <v>8408</v>
      </c>
      <c r="B316" t="s">
        <v>14360</v>
      </c>
    </row>
    <row r="317" spans="1:2" x14ac:dyDescent="0.2">
      <c r="A317" t="s">
        <v>7192</v>
      </c>
      <c r="B317" t="s">
        <v>14360</v>
      </c>
    </row>
    <row r="318" spans="1:2" x14ac:dyDescent="0.2">
      <c r="A318" t="s">
        <v>7128</v>
      </c>
      <c r="B318" t="s">
        <v>14360</v>
      </c>
    </row>
    <row r="319" spans="1:2" x14ac:dyDescent="0.2">
      <c r="A319" t="s">
        <v>7195</v>
      </c>
      <c r="B319" t="s">
        <v>14360</v>
      </c>
    </row>
    <row r="320" spans="1:2" x14ac:dyDescent="0.2">
      <c r="A320" t="s">
        <v>7214</v>
      </c>
      <c r="B320" t="s">
        <v>14360</v>
      </c>
    </row>
    <row r="321" spans="1:2" x14ac:dyDescent="0.2">
      <c r="A321" t="s">
        <v>7136</v>
      </c>
      <c r="B321" t="s">
        <v>14360</v>
      </c>
    </row>
    <row r="322" spans="1:2" x14ac:dyDescent="0.2">
      <c r="A322" t="s">
        <v>7174</v>
      </c>
      <c r="B322" t="s">
        <v>7174</v>
      </c>
    </row>
    <row r="323" spans="1:2" x14ac:dyDescent="0.2">
      <c r="A323" t="s">
        <v>7170</v>
      </c>
      <c r="B323" t="s">
        <v>14360</v>
      </c>
    </row>
    <row r="324" spans="1:2" x14ac:dyDescent="0.2">
      <c r="A324" t="s">
        <v>7177</v>
      </c>
      <c r="B324" t="s">
        <v>14360</v>
      </c>
    </row>
    <row r="325" spans="1:2" x14ac:dyDescent="0.2">
      <c r="A325" t="s">
        <v>9757</v>
      </c>
      <c r="B325" t="s">
        <v>14360</v>
      </c>
    </row>
    <row r="326" spans="1:2" x14ac:dyDescent="0.2">
      <c r="A326" t="s">
        <v>8559</v>
      </c>
      <c r="B326" t="s">
        <v>14360</v>
      </c>
    </row>
    <row r="327" spans="1:2" x14ac:dyDescent="0.2">
      <c r="A327" t="s">
        <v>9884</v>
      </c>
      <c r="B327" t="s">
        <v>14360</v>
      </c>
    </row>
    <row r="328" spans="1:2" x14ac:dyDescent="0.2">
      <c r="A328" t="s">
        <v>8209</v>
      </c>
      <c r="B328" t="s">
        <v>8209</v>
      </c>
    </row>
    <row r="329" spans="1:2" x14ac:dyDescent="0.2">
      <c r="A329" t="s">
        <v>19293</v>
      </c>
      <c r="B329" t="s">
        <v>14360</v>
      </c>
    </row>
    <row r="330" spans="1:2" x14ac:dyDescent="0.2">
      <c r="A330" t="s">
        <v>9878</v>
      </c>
      <c r="B330" t="s">
        <v>14360</v>
      </c>
    </row>
    <row r="331" spans="1:2" x14ac:dyDescent="0.2">
      <c r="A331" t="s">
        <v>5771</v>
      </c>
      <c r="B331" t="s">
        <v>14360</v>
      </c>
    </row>
    <row r="332" spans="1:2" x14ac:dyDescent="0.2">
      <c r="A332" t="s">
        <v>6498</v>
      </c>
      <c r="B332" t="s">
        <v>6498</v>
      </c>
    </row>
    <row r="333" spans="1:2" x14ac:dyDescent="0.2">
      <c r="A333" t="s">
        <v>13112</v>
      </c>
      <c r="B333" t="s">
        <v>13112</v>
      </c>
    </row>
    <row r="334" spans="1:2" x14ac:dyDescent="0.2">
      <c r="A334" t="s">
        <v>6325</v>
      </c>
      <c r="B334" t="s">
        <v>14360</v>
      </c>
    </row>
    <row r="335" spans="1:2" x14ac:dyDescent="0.2">
      <c r="A335" t="s">
        <v>8356</v>
      </c>
      <c r="B335" t="s">
        <v>14360</v>
      </c>
    </row>
    <row r="336" spans="1:2" x14ac:dyDescent="0.2">
      <c r="A336" t="s">
        <v>3554</v>
      </c>
      <c r="B336" t="s">
        <v>14360</v>
      </c>
    </row>
    <row r="337" spans="1:2" x14ac:dyDescent="0.2">
      <c r="A337" t="s">
        <v>19907</v>
      </c>
      <c r="B337" t="s">
        <v>14360</v>
      </c>
    </row>
    <row r="338" spans="1:2" x14ac:dyDescent="0.2">
      <c r="A338" t="s">
        <v>15</v>
      </c>
      <c r="B338" t="s">
        <v>14360</v>
      </c>
    </row>
    <row r="339" spans="1:2" x14ac:dyDescent="0.2">
      <c r="A339" t="s">
        <v>19</v>
      </c>
      <c r="B339" t="s">
        <v>14360</v>
      </c>
    </row>
    <row r="340" spans="1:2" x14ac:dyDescent="0.2">
      <c r="A340" t="s">
        <v>19</v>
      </c>
      <c r="B340" t="s">
        <v>14360</v>
      </c>
    </row>
    <row r="341" spans="1:2" x14ac:dyDescent="0.2">
      <c r="A341" t="s">
        <v>23</v>
      </c>
      <c r="B341" t="s">
        <v>14360</v>
      </c>
    </row>
    <row r="342" spans="1:2" x14ac:dyDescent="0.2">
      <c r="A342" t="s">
        <v>19208</v>
      </c>
      <c r="B342" t="s">
        <v>14360</v>
      </c>
    </row>
    <row r="343" spans="1:2" x14ac:dyDescent="0.2">
      <c r="A343" t="s">
        <v>19384</v>
      </c>
      <c r="B343" t="s">
        <v>8238</v>
      </c>
    </row>
    <row r="344" spans="1:2" x14ac:dyDescent="0.2">
      <c r="A344" t="s">
        <v>19254</v>
      </c>
      <c r="B344" t="s">
        <v>6283</v>
      </c>
    </row>
    <row r="345" spans="1:2" x14ac:dyDescent="0.2">
      <c r="A345" t="s">
        <v>19908</v>
      </c>
      <c r="B345" t="s">
        <v>4392</v>
      </c>
    </row>
    <row r="346" spans="1:2" x14ac:dyDescent="0.2">
      <c r="A346" t="s">
        <v>19909</v>
      </c>
      <c r="B346" t="s">
        <v>14360</v>
      </c>
    </row>
    <row r="347" spans="1:2" x14ac:dyDescent="0.2">
      <c r="A347" t="s">
        <v>20093</v>
      </c>
      <c r="B347" t="s">
        <v>14360</v>
      </c>
    </row>
    <row r="348" spans="1:2" x14ac:dyDescent="0.2">
      <c r="A348" t="s">
        <v>19659</v>
      </c>
      <c r="B348" t="s">
        <v>14360</v>
      </c>
    </row>
    <row r="349" spans="1:2" x14ac:dyDescent="0.2">
      <c r="A349" t="s">
        <v>19417</v>
      </c>
      <c r="B349" t="s">
        <v>14360</v>
      </c>
    </row>
    <row r="350" spans="1:2" x14ac:dyDescent="0.2">
      <c r="A350" t="s">
        <v>19231</v>
      </c>
      <c r="B350" t="s">
        <v>14360</v>
      </c>
    </row>
    <row r="351" spans="1:2" x14ac:dyDescent="0.2">
      <c r="A351" t="s">
        <v>20094</v>
      </c>
      <c r="B351" t="s">
        <v>14360</v>
      </c>
    </row>
    <row r="352" spans="1:2" x14ac:dyDescent="0.2">
      <c r="A352" t="s">
        <v>27</v>
      </c>
      <c r="B352" t="s">
        <v>26</v>
      </c>
    </row>
    <row r="353" spans="1:2" x14ac:dyDescent="0.2">
      <c r="A353" t="s">
        <v>27</v>
      </c>
      <c r="B353" t="s">
        <v>26</v>
      </c>
    </row>
    <row r="354" spans="1:2" x14ac:dyDescent="0.2">
      <c r="A354" t="s">
        <v>32</v>
      </c>
      <c r="B354" t="s">
        <v>14360</v>
      </c>
    </row>
    <row r="355" spans="1:2" x14ac:dyDescent="0.2">
      <c r="A355" t="s">
        <v>19621</v>
      </c>
      <c r="B355" t="s">
        <v>4530</v>
      </c>
    </row>
    <row r="356" spans="1:2" x14ac:dyDescent="0.2">
      <c r="A356" t="s">
        <v>19363</v>
      </c>
      <c r="B356" t="s">
        <v>14360</v>
      </c>
    </row>
    <row r="357" spans="1:2" x14ac:dyDescent="0.2">
      <c r="A357" t="s">
        <v>19910</v>
      </c>
      <c r="B357" t="s">
        <v>14360</v>
      </c>
    </row>
    <row r="358" spans="1:2" x14ac:dyDescent="0.2">
      <c r="A358" t="s">
        <v>19911</v>
      </c>
      <c r="B358" t="s">
        <v>14360</v>
      </c>
    </row>
    <row r="359" spans="1:2" x14ac:dyDescent="0.2">
      <c r="A359" t="s">
        <v>20095</v>
      </c>
      <c r="B359" t="s">
        <v>14360</v>
      </c>
    </row>
    <row r="360" spans="1:2" x14ac:dyDescent="0.2">
      <c r="A360" t="s">
        <v>20096</v>
      </c>
      <c r="B360" t="s">
        <v>14360</v>
      </c>
    </row>
    <row r="361" spans="1:2" x14ac:dyDescent="0.2">
      <c r="A361" t="s">
        <v>20097</v>
      </c>
      <c r="B361" t="s">
        <v>14360</v>
      </c>
    </row>
    <row r="362" spans="1:2" x14ac:dyDescent="0.2">
      <c r="A362" t="s">
        <v>19301</v>
      </c>
      <c r="B362" t="s">
        <v>14360</v>
      </c>
    </row>
    <row r="363" spans="1:2" x14ac:dyDescent="0.2">
      <c r="A363" t="s">
        <v>19199</v>
      </c>
      <c r="B363" t="s">
        <v>14360</v>
      </c>
    </row>
    <row r="364" spans="1:2" x14ac:dyDescent="0.2">
      <c r="A364" t="s">
        <v>19247</v>
      </c>
      <c r="B364" t="s">
        <v>14360</v>
      </c>
    </row>
    <row r="365" spans="1:2" x14ac:dyDescent="0.2">
      <c r="A365" t="s">
        <v>19247</v>
      </c>
      <c r="B365" t="s">
        <v>14360</v>
      </c>
    </row>
    <row r="366" spans="1:2" x14ac:dyDescent="0.2">
      <c r="A366" t="s">
        <v>19723</v>
      </c>
      <c r="B366" t="s">
        <v>4263</v>
      </c>
    </row>
    <row r="367" spans="1:2" x14ac:dyDescent="0.2">
      <c r="A367" t="s">
        <v>19340</v>
      </c>
      <c r="B367" t="s">
        <v>20417</v>
      </c>
    </row>
    <row r="368" spans="1:2" x14ac:dyDescent="0.2">
      <c r="A368" t="s">
        <v>19737</v>
      </c>
      <c r="B368" t="s">
        <v>3483</v>
      </c>
    </row>
    <row r="369" spans="1:2" x14ac:dyDescent="0.2">
      <c r="A369" t="s">
        <v>19632</v>
      </c>
      <c r="B369" t="s">
        <v>14360</v>
      </c>
    </row>
    <row r="370" spans="1:2" x14ac:dyDescent="0.2">
      <c r="A370" t="s">
        <v>19912</v>
      </c>
      <c r="B370" t="s">
        <v>14360</v>
      </c>
    </row>
    <row r="371" spans="1:2" x14ac:dyDescent="0.2">
      <c r="A371" t="s">
        <v>19325</v>
      </c>
      <c r="B371" t="s">
        <v>20428</v>
      </c>
    </row>
    <row r="372" spans="1:2" x14ac:dyDescent="0.2">
      <c r="A372" t="s">
        <v>19913</v>
      </c>
      <c r="B372" t="s">
        <v>7198</v>
      </c>
    </row>
    <row r="373" spans="1:2" x14ac:dyDescent="0.2">
      <c r="A373" t="s">
        <v>19324</v>
      </c>
      <c r="B373" t="s">
        <v>7201</v>
      </c>
    </row>
    <row r="374" spans="1:2" x14ac:dyDescent="0.2">
      <c r="A374" t="s">
        <v>19318</v>
      </c>
      <c r="B374" t="s">
        <v>14360</v>
      </c>
    </row>
    <row r="375" spans="1:2" x14ac:dyDescent="0.2">
      <c r="A375" t="s">
        <v>19323</v>
      </c>
      <c r="B375" t="s">
        <v>7157</v>
      </c>
    </row>
    <row r="376" spans="1:2" x14ac:dyDescent="0.2">
      <c r="A376" t="s">
        <v>19331</v>
      </c>
      <c r="B376" t="s">
        <v>7204</v>
      </c>
    </row>
    <row r="377" spans="1:2" x14ac:dyDescent="0.2">
      <c r="A377" t="s">
        <v>19330</v>
      </c>
      <c r="B377" t="s">
        <v>7210</v>
      </c>
    </row>
    <row r="378" spans="1:2" x14ac:dyDescent="0.2">
      <c r="A378" t="s">
        <v>19747</v>
      </c>
      <c r="B378" t="s">
        <v>14360</v>
      </c>
    </row>
    <row r="379" spans="1:2" x14ac:dyDescent="0.2">
      <c r="A379" t="s">
        <v>19741</v>
      </c>
      <c r="B379" t="s">
        <v>5786</v>
      </c>
    </row>
    <row r="380" spans="1:2" x14ac:dyDescent="0.2">
      <c r="A380" t="s">
        <v>19643</v>
      </c>
      <c r="B380" t="s">
        <v>14360</v>
      </c>
    </row>
    <row r="381" spans="1:2" x14ac:dyDescent="0.2">
      <c r="A381" t="s">
        <v>40</v>
      </c>
      <c r="B381" t="s">
        <v>14360</v>
      </c>
    </row>
    <row r="382" spans="1:2" x14ac:dyDescent="0.2">
      <c r="A382" t="s">
        <v>43</v>
      </c>
      <c r="B382" t="s">
        <v>14360</v>
      </c>
    </row>
    <row r="383" spans="1:2" x14ac:dyDescent="0.2">
      <c r="A383" t="s">
        <v>19413</v>
      </c>
      <c r="B383" t="s">
        <v>8701</v>
      </c>
    </row>
    <row r="384" spans="1:2" x14ac:dyDescent="0.2">
      <c r="A384" t="s">
        <v>19400</v>
      </c>
      <c r="B384" t="s">
        <v>8459</v>
      </c>
    </row>
    <row r="385" spans="1:2" x14ac:dyDescent="0.2">
      <c r="A385" t="s">
        <v>19729</v>
      </c>
      <c r="B385" t="s">
        <v>14360</v>
      </c>
    </row>
    <row r="386" spans="1:2" x14ac:dyDescent="0.2">
      <c r="A386" t="s">
        <v>19661</v>
      </c>
      <c r="B386" t="s">
        <v>14360</v>
      </c>
    </row>
    <row r="387" spans="1:2" x14ac:dyDescent="0.2">
      <c r="A387" t="s">
        <v>19914</v>
      </c>
      <c r="B387" t="s">
        <v>14360</v>
      </c>
    </row>
    <row r="388" spans="1:2" x14ac:dyDescent="0.2">
      <c r="A388" t="s">
        <v>19535</v>
      </c>
      <c r="B388" t="s">
        <v>14360</v>
      </c>
    </row>
    <row r="389" spans="1:2" x14ac:dyDescent="0.2">
      <c r="A389" t="s">
        <v>19477</v>
      </c>
      <c r="B389" t="s">
        <v>14360</v>
      </c>
    </row>
    <row r="390" spans="1:2" x14ac:dyDescent="0.2">
      <c r="A390" t="s">
        <v>19521</v>
      </c>
      <c r="B390" t="s">
        <v>14360</v>
      </c>
    </row>
    <row r="391" spans="1:2" x14ac:dyDescent="0.2">
      <c r="A391" t="s">
        <v>19347</v>
      </c>
      <c r="B391" t="s">
        <v>14360</v>
      </c>
    </row>
    <row r="392" spans="1:2" x14ac:dyDescent="0.2">
      <c r="A392" t="s">
        <v>19670</v>
      </c>
      <c r="B392" t="s">
        <v>14360</v>
      </c>
    </row>
    <row r="393" spans="1:2" x14ac:dyDescent="0.2">
      <c r="A393" t="s">
        <v>19483</v>
      </c>
      <c r="B393" t="s">
        <v>9173</v>
      </c>
    </row>
    <row r="394" spans="1:2" x14ac:dyDescent="0.2">
      <c r="A394" t="s">
        <v>19568</v>
      </c>
      <c r="B394" t="s">
        <v>20425</v>
      </c>
    </row>
    <row r="395" spans="1:2" x14ac:dyDescent="0.2">
      <c r="A395" t="s">
        <v>19735</v>
      </c>
      <c r="B395" t="s">
        <v>4457</v>
      </c>
    </row>
    <row r="396" spans="1:2" x14ac:dyDescent="0.2">
      <c r="A396" t="s">
        <v>19669</v>
      </c>
      <c r="B396" t="s">
        <v>14360</v>
      </c>
    </row>
    <row r="397" spans="1:2" x14ac:dyDescent="0.2">
      <c r="A397" t="s">
        <v>19915</v>
      </c>
      <c r="B397" t="s">
        <v>14360</v>
      </c>
    </row>
    <row r="398" spans="1:2" x14ac:dyDescent="0.2">
      <c r="A398" t="s">
        <v>19916</v>
      </c>
      <c r="B398" t="s">
        <v>14360</v>
      </c>
    </row>
    <row r="399" spans="1:2" x14ac:dyDescent="0.2">
      <c r="A399" t="s">
        <v>19917</v>
      </c>
      <c r="B399" t="s">
        <v>14360</v>
      </c>
    </row>
    <row r="400" spans="1:2" x14ac:dyDescent="0.2">
      <c r="A400" t="s">
        <v>20098</v>
      </c>
      <c r="B400" t="s">
        <v>5093</v>
      </c>
    </row>
    <row r="401" spans="1:2" x14ac:dyDescent="0.2">
      <c r="A401" t="s">
        <v>19918</v>
      </c>
      <c r="B401" t="s">
        <v>14360</v>
      </c>
    </row>
    <row r="402" spans="1:2" x14ac:dyDescent="0.2">
      <c r="A402" t="s">
        <v>19919</v>
      </c>
      <c r="B402" t="s">
        <v>14360</v>
      </c>
    </row>
    <row r="403" spans="1:2" x14ac:dyDescent="0.2">
      <c r="A403" t="s">
        <v>19452</v>
      </c>
      <c r="B403" t="s">
        <v>20430</v>
      </c>
    </row>
    <row r="404" spans="1:2" x14ac:dyDescent="0.2">
      <c r="A404" t="s">
        <v>19406</v>
      </c>
      <c r="B404" t="s">
        <v>14360</v>
      </c>
    </row>
    <row r="405" spans="1:2" x14ac:dyDescent="0.2">
      <c r="A405" t="s">
        <v>19513</v>
      </c>
      <c r="B405" t="s">
        <v>14360</v>
      </c>
    </row>
    <row r="406" spans="1:2" x14ac:dyDescent="0.2">
      <c r="A406" t="s">
        <v>19920</v>
      </c>
      <c r="B406" t="s">
        <v>14360</v>
      </c>
    </row>
    <row r="407" spans="1:2" x14ac:dyDescent="0.2">
      <c r="A407" t="s">
        <v>19173</v>
      </c>
      <c r="B407" t="s">
        <v>14360</v>
      </c>
    </row>
    <row r="408" spans="1:2" x14ac:dyDescent="0.2">
      <c r="A408" t="s">
        <v>19664</v>
      </c>
      <c r="B408" t="s">
        <v>14360</v>
      </c>
    </row>
    <row r="409" spans="1:2" x14ac:dyDescent="0.2">
      <c r="A409" t="s">
        <v>19356</v>
      </c>
      <c r="B409" t="s">
        <v>7864</v>
      </c>
    </row>
    <row r="410" spans="1:2" x14ac:dyDescent="0.2">
      <c r="A410" t="s">
        <v>19314</v>
      </c>
      <c r="B410" t="s">
        <v>14360</v>
      </c>
    </row>
    <row r="411" spans="1:2" x14ac:dyDescent="0.2">
      <c r="A411" t="s">
        <v>19921</v>
      </c>
      <c r="B411" t="s">
        <v>14360</v>
      </c>
    </row>
    <row r="412" spans="1:2" x14ac:dyDescent="0.2">
      <c r="A412" t="s">
        <v>19641</v>
      </c>
      <c r="B412" t="s">
        <v>14360</v>
      </c>
    </row>
    <row r="413" spans="1:2" x14ac:dyDescent="0.2">
      <c r="A413" t="s">
        <v>19291</v>
      </c>
      <c r="B413" t="s">
        <v>14360</v>
      </c>
    </row>
    <row r="414" spans="1:2" x14ac:dyDescent="0.2">
      <c r="A414" t="s">
        <v>19714</v>
      </c>
      <c r="B414" t="s">
        <v>14360</v>
      </c>
    </row>
    <row r="415" spans="1:2" x14ac:dyDescent="0.2">
      <c r="A415" t="s">
        <v>19745</v>
      </c>
      <c r="B415" t="s">
        <v>14360</v>
      </c>
    </row>
    <row r="416" spans="1:2" x14ac:dyDescent="0.2">
      <c r="A416" t="s">
        <v>19746</v>
      </c>
      <c r="B416" t="s">
        <v>14360</v>
      </c>
    </row>
    <row r="417" spans="1:2" x14ac:dyDescent="0.2">
      <c r="A417" t="s">
        <v>19757</v>
      </c>
      <c r="B417" t="s">
        <v>14360</v>
      </c>
    </row>
    <row r="418" spans="1:2" x14ac:dyDescent="0.2">
      <c r="A418" t="s">
        <v>19615</v>
      </c>
      <c r="B418" t="s">
        <v>14360</v>
      </c>
    </row>
    <row r="419" spans="1:2" x14ac:dyDescent="0.2">
      <c r="A419" t="s">
        <v>19614</v>
      </c>
      <c r="B419" t="s">
        <v>14360</v>
      </c>
    </row>
    <row r="420" spans="1:2" x14ac:dyDescent="0.2">
      <c r="A420" t="s">
        <v>19612</v>
      </c>
      <c r="B420" t="s">
        <v>14360</v>
      </c>
    </row>
    <row r="421" spans="1:2" x14ac:dyDescent="0.2">
      <c r="A421" t="s">
        <v>19608</v>
      </c>
      <c r="B421" t="s">
        <v>14360</v>
      </c>
    </row>
    <row r="422" spans="1:2" x14ac:dyDescent="0.2">
      <c r="A422" t="s">
        <v>19754</v>
      </c>
      <c r="B422" t="s">
        <v>14360</v>
      </c>
    </row>
    <row r="423" spans="1:2" x14ac:dyDescent="0.2">
      <c r="A423" t="s">
        <v>19755</v>
      </c>
      <c r="B423" t="s">
        <v>14360</v>
      </c>
    </row>
    <row r="424" spans="1:2" x14ac:dyDescent="0.2">
      <c r="A424" t="s">
        <v>19756</v>
      </c>
      <c r="B424" t="s">
        <v>14360</v>
      </c>
    </row>
    <row r="425" spans="1:2" x14ac:dyDescent="0.2">
      <c r="A425" t="s">
        <v>19611</v>
      </c>
      <c r="B425" t="s">
        <v>14360</v>
      </c>
    </row>
    <row r="426" spans="1:2" x14ac:dyDescent="0.2">
      <c r="A426" t="s">
        <v>19607</v>
      </c>
      <c r="B426" t="s">
        <v>14360</v>
      </c>
    </row>
    <row r="427" spans="1:2" x14ac:dyDescent="0.2">
      <c r="A427" t="s">
        <v>19759</v>
      </c>
      <c r="B427" t="s">
        <v>14360</v>
      </c>
    </row>
    <row r="428" spans="1:2" x14ac:dyDescent="0.2">
      <c r="A428" t="s">
        <v>19922</v>
      </c>
      <c r="B428" t="s">
        <v>14360</v>
      </c>
    </row>
    <row r="429" spans="1:2" x14ac:dyDescent="0.2">
      <c r="A429" t="s">
        <v>20099</v>
      </c>
      <c r="B429" t="s">
        <v>14360</v>
      </c>
    </row>
    <row r="430" spans="1:2" x14ac:dyDescent="0.2">
      <c r="A430" t="s">
        <v>19923</v>
      </c>
      <c r="B430" t="s">
        <v>14360</v>
      </c>
    </row>
    <row r="431" spans="1:2" x14ac:dyDescent="0.2">
      <c r="A431" t="s">
        <v>19606</v>
      </c>
      <c r="B431" t="s">
        <v>14360</v>
      </c>
    </row>
    <row r="432" spans="1:2" x14ac:dyDescent="0.2">
      <c r="A432" t="s">
        <v>19600</v>
      </c>
      <c r="B432" t="s">
        <v>14360</v>
      </c>
    </row>
    <row r="433" spans="1:2" x14ac:dyDescent="0.2">
      <c r="A433" t="s">
        <v>19598</v>
      </c>
      <c r="B433" t="s">
        <v>20453</v>
      </c>
    </row>
    <row r="434" spans="1:2" x14ac:dyDescent="0.2">
      <c r="A434" t="s">
        <v>19633</v>
      </c>
      <c r="B434" t="s">
        <v>14360</v>
      </c>
    </row>
    <row r="435" spans="1:2" x14ac:dyDescent="0.2">
      <c r="A435" t="s">
        <v>19740</v>
      </c>
      <c r="B435" t="s">
        <v>5757</v>
      </c>
    </row>
    <row r="436" spans="1:2" x14ac:dyDescent="0.2">
      <c r="A436" t="s">
        <v>19228</v>
      </c>
      <c r="B436" t="s">
        <v>14360</v>
      </c>
    </row>
    <row r="437" spans="1:2" x14ac:dyDescent="0.2">
      <c r="A437" t="s">
        <v>8672</v>
      </c>
      <c r="B437" t="s">
        <v>8672</v>
      </c>
    </row>
    <row r="438" spans="1:2" x14ac:dyDescent="0.2">
      <c r="A438" t="s">
        <v>19482</v>
      </c>
      <c r="B438" t="s">
        <v>14360</v>
      </c>
    </row>
    <row r="439" spans="1:2" x14ac:dyDescent="0.2">
      <c r="A439" t="s">
        <v>19721</v>
      </c>
      <c r="B439" t="s">
        <v>14360</v>
      </c>
    </row>
    <row r="440" spans="1:2" x14ac:dyDescent="0.2">
      <c r="A440" t="s">
        <v>19242</v>
      </c>
      <c r="B440" t="s">
        <v>14360</v>
      </c>
    </row>
    <row r="441" spans="1:2" x14ac:dyDescent="0.2">
      <c r="A441" t="s">
        <v>19924</v>
      </c>
      <c r="B441" t="s">
        <v>14360</v>
      </c>
    </row>
    <row r="442" spans="1:2" x14ac:dyDescent="0.2">
      <c r="A442" t="s">
        <v>19716</v>
      </c>
      <c r="B442" t="s">
        <v>14360</v>
      </c>
    </row>
    <row r="443" spans="1:2" x14ac:dyDescent="0.2">
      <c r="A443" t="s">
        <v>19733</v>
      </c>
      <c r="B443" t="s">
        <v>14360</v>
      </c>
    </row>
    <row r="444" spans="1:2" x14ac:dyDescent="0.2">
      <c r="A444" t="s">
        <v>19728</v>
      </c>
      <c r="B444" t="s">
        <v>14360</v>
      </c>
    </row>
    <row r="445" spans="1:2" x14ac:dyDescent="0.2">
      <c r="A445" t="s">
        <v>19925</v>
      </c>
      <c r="B445" t="s">
        <v>14360</v>
      </c>
    </row>
    <row r="446" spans="1:2" x14ac:dyDescent="0.2">
      <c r="A446" t="s">
        <v>19926</v>
      </c>
      <c r="B446" t="s">
        <v>14360</v>
      </c>
    </row>
    <row r="447" spans="1:2" x14ac:dyDescent="0.2">
      <c r="A447" t="s">
        <v>19927</v>
      </c>
      <c r="B447" t="s">
        <v>14360</v>
      </c>
    </row>
    <row r="448" spans="1:2" x14ac:dyDescent="0.2">
      <c r="A448" t="s">
        <v>19928</v>
      </c>
      <c r="B448" t="s">
        <v>14360</v>
      </c>
    </row>
    <row r="449" spans="1:2" x14ac:dyDescent="0.2">
      <c r="A449" t="s">
        <v>19929</v>
      </c>
      <c r="B449" t="s">
        <v>14360</v>
      </c>
    </row>
    <row r="450" spans="1:2" x14ac:dyDescent="0.2">
      <c r="A450" t="s">
        <v>19172</v>
      </c>
      <c r="B450" t="s">
        <v>14360</v>
      </c>
    </row>
    <row r="451" spans="1:2" x14ac:dyDescent="0.2">
      <c r="A451" t="s">
        <v>19360</v>
      </c>
      <c r="B451" t="s">
        <v>14360</v>
      </c>
    </row>
    <row r="452" spans="1:2" x14ac:dyDescent="0.2">
      <c r="A452" t="s">
        <v>20100</v>
      </c>
      <c r="B452" t="s">
        <v>14360</v>
      </c>
    </row>
    <row r="453" spans="1:2" x14ac:dyDescent="0.2">
      <c r="A453" t="s">
        <v>19528</v>
      </c>
      <c r="B453" t="s">
        <v>14360</v>
      </c>
    </row>
    <row r="454" spans="1:2" x14ac:dyDescent="0.2">
      <c r="A454" t="s">
        <v>19526</v>
      </c>
      <c r="B454" t="s">
        <v>14360</v>
      </c>
    </row>
    <row r="455" spans="1:2" x14ac:dyDescent="0.2">
      <c r="A455" t="s">
        <v>19538</v>
      </c>
      <c r="B455" t="s">
        <v>14360</v>
      </c>
    </row>
    <row r="456" spans="1:2" x14ac:dyDescent="0.2">
      <c r="A456" t="s">
        <v>19292</v>
      </c>
      <c r="B456" t="s">
        <v>14360</v>
      </c>
    </row>
    <row r="457" spans="1:2" x14ac:dyDescent="0.2">
      <c r="A457" t="s">
        <v>19930</v>
      </c>
      <c r="B457" t="s">
        <v>14360</v>
      </c>
    </row>
    <row r="458" spans="1:2" x14ac:dyDescent="0.2">
      <c r="A458" t="s">
        <v>19931</v>
      </c>
      <c r="B458" t="s">
        <v>14360</v>
      </c>
    </row>
    <row r="459" spans="1:2" x14ac:dyDescent="0.2">
      <c r="A459" t="s">
        <v>19502</v>
      </c>
      <c r="B459" t="s">
        <v>14360</v>
      </c>
    </row>
    <row r="460" spans="1:2" x14ac:dyDescent="0.2">
      <c r="A460" t="s">
        <v>19507</v>
      </c>
      <c r="B460" t="s">
        <v>14360</v>
      </c>
    </row>
    <row r="461" spans="1:2" x14ac:dyDescent="0.2">
      <c r="A461" t="s">
        <v>19932</v>
      </c>
      <c r="B461" t="s">
        <v>14360</v>
      </c>
    </row>
    <row r="462" spans="1:2" x14ac:dyDescent="0.2">
      <c r="A462" t="s">
        <v>19933</v>
      </c>
      <c r="B462" t="s">
        <v>14360</v>
      </c>
    </row>
    <row r="463" spans="1:2" x14ac:dyDescent="0.2">
      <c r="A463" t="s">
        <v>19522</v>
      </c>
      <c r="B463" t="s">
        <v>14360</v>
      </c>
    </row>
    <row r="464" spans="1:2" x14ac:dyDescent="0.2">
      <c r="A464" t="s">
        <v>19934</v>
      </c>
      <c r="B464" t="s">
        <v>14360</v>
      </c>
    </row>
    <row r="465" spans="1:2" x14ac:dyDescent="0.2">
      <c r="A465" t="s">
        <v>19935</v>
      </c>
      <c r="B465" t="s">
        <v>14360</v>
      </c>
    </row>
    <row r="466" spans="1:2" x14ac:dyDescent="0.2">
      <c r="A466" t="s">
        <v>19936</v>
      </c>
      <c r="B466" t="s">
        <v>14360</v>
      </c>
    </row>
    <row r="467" spans="1:2" x14ac:dyDescent="0.2">
      <c r="A467" t="s">
        <v>19319</v>
      </c>
      <c r="B467" t="s">
        <v>14360</v>
      </c>
    </row>
    <row r="468" spans="1:2" x14ac:dyDescent="0.2">
      <c r="A468" t="s">
        <v>19640</v>
      </c>
      <c r="B468" t="s">
        <v>14360</v>
      </c>
    </row>
    <row r="469" spans="1:2" x14ac:dyDescent="0.2">
      <c r="A469" t="s">
        <v>346</v>
      </c>
      <c r="B469" t="s">
        <v>14360</v>
      </c>
    </row>
    <row r="470" spans="1:2" x14ac:dyDescent="0.2">
      <c r="A470" t="s">
        <v>223</v>
      </c>
      <c r="B470" t="s">
        <v>14360</v>
      </c>
    </row>
    <row r="471" spans="1:2" x14ac:dyDescent="0.2">
      <c r="A471" t="s">
        <v>227</v>
      </c>
      <c r="B471" t="s">
        <v>14360</v>
      </c>
    </row>
    <row r="472" spans="1:2" x14ac:dyDescent="0.2">
      <c r="A472" t="s">
        <v>231</v>
      </c>
      <c r="B472" t="s">
        <v>14360</v>
      </c>
    </row>
    <row r="473" spans="1:2" x14ac:dyDescent="0.2">
      <c r="A473" t="s">
        <v>235</v>
      </c>
      <c r="B473" t="s">
        <v>14360</v>
      </c>
    </row>
    <row r="474" spans="1:2" x14ac:dyDescent="0.2">
      <c r="A474" t="s">
        <v>243</v>
      </c>
      <c r="B474" t="s">
        <v>14360</v>
      </c>
    </row>
    <row r="475" spans="1:2" x14ac:dyDescent="0.2">
      <c r="A475" t="s">
        <v>247</v>
      </c>
      <c r="B475" t="s">
        <v>14360</v>
      </c>
    </row>
    <row r="476" spans="1:2" x14ac:dyDescent="0.2">
      <c r="A476" t="s">
        <v>251</v>
      </c>
      <c r="B476" t="s">
        <v>14360</v>
      </c>
    </row>
    <row r="477" spans="1:2" x14ac:dyDescent="0.2">
      <c r="A477" t="s">
        <v>255</v>
      </c>
      <c r="B477" t="s">
        <v>14360</v>
      </c>
    </row>
    <row r="478" spans="1:2" x14ac:dyDescent="0.2">
      <c r="A478" t="s">
        <v>259</v>
      </c>
      <c r="B478" t="s">
        <v>14360</v>
      </c>
    </row>
    <row r="479" spans="1:2" x14ac:dyDescent="0.2">
      <c r="A479" t="s">
        <v>263</v>
      </c>
      <c r="B479" t="s">
        <v>14360</v>
      </c>
    </row>
    <row r="480" spans="1:2" x14ac:dyDescent="0.2">
      <c r="A480" t="s">
        <v>267</v>
      </c>
      <c r="B480" t="s">
        <v>14360</v>
      </c>
    </row>
    <row r="481" spans="1:2" x14ac:dyDescent="0.2">
      <c r="A481" t="s">
        <v>271</v>
      </c>
      <c r="B481" t="s">
        <v>14360</v>
      </c>
    </row>
    <row r="482" spans="1:2" x14ac:dyDescent="0.2">
      <c r="A482" t="s">
        <v>275</v>
      </c>
      <c r="B482" t="s">
        <v>14360</v>
      </c>
    </row>
    <row r="483" spans="1:2" x14ac:dyDescent="0.2">
      <c r="A483" t="s">
        <v>19937</v>
      </c>
      <c r="B483" t="s">
        <v>14360</v>
      </c>
    </row>
    <row r="484" spans="1:2" x14ac:dyDescent="0.2">
      <c r="A484" t="s">
        <v>19769</v>
      </c>
      <c r="B484" t="s">
        <v>14360</v>
      </c>
    </row>
    <row r="485" spans="1:2" x14ac:dyDescent="0.2">
      <c r="A485" t="s">
        <v>19877</v>
      </c>
      <c r="B485" t="s">
        <v>14360</v>
      </c>
    </row>
    <row r="486" spans="1:2" x14ac:dyDescent="0.2">
      <c r="A486" t="s">
        <v>19878</v>
      </c>
      <c r="B486" t="s">
        <v>14360</v>
      </c>
    </row>
    <row r="487" spans="1:2" x14ac:dyDescent="0.2">
      <c r="A487" t="s">
        <v>19879</v>
      </c>
      <c r="B487" t="s">
        <v>14360</v>
      </c>
    </row>
    <row r="488" spans="1:2" x14ac:dyDescent="0.2">
      <c r="A488" t="s">
        <v>283</v>
      </c>
      <c r="B488" t="s">
        <v>14360</v>
      </c>
    </row>
    <row r="489" spans="1:2" x14ac:dyDescent="0.2">
      <c r="A489" t="s">
        <v>287</v>
      </c>
      <c r="B489" t="s">
        <v>14360</v>
      </c>
    </row>
    <row r="490" spans="1:2" x14ac:dyDescent="0.2">
      <c r="A490" t="s">
        <v>291</v>
      </c>
      <c r="B490" t="s">
        <v>14360</v>
      </c>
    </row>
    <row r="491" spans="1:2" x14ac:dyDescent="0.2">
      <c r="A491" t="s">
        <v>295</v>
      </c>
      <c r="B491" t="s">
        <v>14360</v>
      </c>
    </row>
    <row r="492" spans="1:2" x14ac:dyDescent="0.2">
      <c r="A492" t="s">
        <v>299</v>
      </c>
      <c r="B492" t="s">
        <v>14360</v>
      </c>
    </row>
    <row r="493" spans="1:2" x14ac:dyDescent="0.2">
      <c r="A493" t="s">
        <v>303</v>
      </c>
      <c r="B493" t="s">
        <v>14360</v>
      </c>
    </row>
    <row r="494" spans="1:2" x14ac:dyDescent="0.2">
      <c r="A494" t="s">
        <v>307</v>
      </c>
      <c r="B494" t="s">
        <v>14360</v>
      </c>
    </row>
    <row r="495" spans="1:2" x14ac:dyDescent="0.2">
      <c r="A495" t="s">
        <v>311</v>
      </c>
      <c r="B495" t="s">
        <v>14360</v>
      </c>
    </row>
    <row r="496" spans="1:2" x14ac:dyDescent="0.2">
      <c r="A496" t="s">
        <v>315</v>
      </c>
      <c r="B496" t="s">
        <v>14360</v>
      </c>
    </row>
    <row r="497" spans="1:2" x14ac:dyDescent="0.2">
      <c r="A497" t="s">
        <v>319</v>
      </c>
      <c r="B497" t="s">
        <v>14360</v>
      </c>
    </row>
    <row r="498" spans="1:2" x14ac:dyDescent="0.2">
      <c r="A498" t="s">
        <v>323</v>
      </c>
      <c r="B498" t="s">
        <v>14360</v>
      </c>
    </row>
    <row r="499" spans="1:2" x14ac:dyDescent="0.2">
      <c r="A499" t="s">
        <v>327</v>
      </c>
      <c r="B499" t="s">
        <v>14360</v>
      </c>
    </row>
    <row r="500" spans="1:2" x14ac:dyDescent="0.2">
      <c r="A500" t="s">
        <v>331</v>
      </c>
      <c r="B500" t="s">
        <v>14360</v>
      </c>
    </row>
    <row r="501" spans="1:2" x14ac:dyDescent="0.2">
      <c r="A501" t="s">
        <v>335</v>
      </c>
      <c r="B501" t="s">
        <v>14360</v>
      </c>
    </row>
    <row r="502" spans="1:2" x14ac:dyDescent="0.2">
      <c r="A502" t="s">
        <v>19579</v>
      </c>
      <c r="B502" t="s">
        <v>14360</v>
      </c>
    </row>
    <row r="503" spans="1:2" x14ac:dyDescent="0.2">
      <c r="A503" t="s">
        <v>19645</v>
      </c>
      <c r="B503" t="s">
        <v>4898</v>
      </c>
    </row>
    <row r="504" spans="1:2" x14ac:dyDescent="0.2">
      <c r="A504" t="s">
        <v>19666</v>
      </c>
      <c r="B504" t="s">
        <v>14360</v>
      </c>
    </row>
    <row r="505" spans="1:2" x14ac:dyDescent="0.2">
      <c r="A505" t="s">
        <v>19341</v>
      </c>
      <c r="B505" t="s">
        <v>14360</v>
      </c>
    </row>
    <row r="506" spans="1:2" x14ac:dyDescent="0.2">
      <c r="A506" t="s">
        <v>19597</v>
      </c>
      <c r="B506" t="s">
        <v>13033</v>
      </c>
    </row>
    <row r="507" spans="1:2" x14ac:dyDescent="0.2">
      <c r="A507" t="s">
        <v>19609</v>
      </c>
      <c r="B507" t="s">
        <v>14360</v>
      </c>
    </row>
    <row r="508" spans="1:2" x14ac:dyDescent="0.2">
      <c r="A508" t="s">
        <v>19613</v>
      </c>
      <c r="B508" t="s">
        <v>14360</v>
      </c>
    </row>
    <row r="509" spans="1:2" x14ac:dyDescent="0.2">
      <c r="A509" t="s">
        <v>19343</v>
      </c>
      <c r="B509" t="s">
        <v>14360</v>
      </c>
    </row>
    <row r="510" spans="1:2" x14ac:dyDescent="0.2">
      <c r="A510" t="s">
        <v>19337</v>
      </c>
      <c r="B510" t="s">
        <v>14360</v>
      </c>
    </row>
    <row r="511" spans="1:2" x14ac:dyDescent="0.2">
      <c r="A511" t="s">
        <v>19938</v>
      </c>
      <c r="B511" t="s">
        <v>14360</v>
      </c>
    </row>
    <row r="512" spans="1:2" x14ac:dyDescent="0.2">
      <c r="A512" t="s">
        <v>19411</v>
      </c>
      <c r="B512" t="s">
        <v>8713</v>
      </c>
    </row>
    <row r="513" spans="1:2" x14ac:dyDescent="0.2">
      <c r="A513" t="s">
        <v>338</v>
      </c>
      <c r="B513" t="s">
        <v>14360</v>
      </c>
    </row>
    <row r="514" spans="1:2" x14ac:dyDescent="0.2">
      <c r="A514" t="s">
        <v>338</v>
      </c>
      <c r="B514" t="s">
        <v>14360</v>
      </c>
    </row>
    <row r="515" spans="1:2" x14ac:dyDescent="0.2">
      <c r="A515" t="s">
        <v>19696</v>
      </c>
      <c r="B515" t="s">
        <v>14360</v>
      </c>
    </row>
    <row r="516" spans="1:2" x14ac:dyDescent="0.2">
      <c r="A516" t="s">
        <v>19939</v>
      </c>
      <c r="B516" t="s">
        <v>14360</v>
      </c>
    </row>
    <row r="517" spans="1:2" x14ac:dyDescent="0.2">
      <c r="A517" t="s">
        <v>343</v>
      </c>
      <c r="B517" t="s">
        <v>14360</v>
      </c>
    </row>
    <row r="518" spans="1:2" x14ac:dyDescent="0.2">
      <c r="A518" t="s">
        <v>19940</v>
      </c>
      <c r="B518" t="s">
        <v>14360</v>
      </c>
    </row>
    <row r="519" spans="1:2" x14ac:dyDescent="0.2">
      <c r="A519" t="s">
        <v>349</v>
      </c>
      <c r="B519" t="s">
        <v>14360</v>
      </c>
    </row>
    <row r="520" spans="1:2" x14ac:dyDescent="0.2">
      <c r="A520" t="s">
        <v>353</v>
      </c>
      <c r="B520" t="s">
        <v>14360</v>
      </c>
    </row>
    <row r="521" spans="1:2" x14ac:dyDescent="0.2">
      <c r="A521" t="s">
        <v>359</v>
      </c>
      <c r="B521" t="s">
        <v>14360</v>
      </c>
    </row>
    <row r="522" spans="1:2" x14ac:dyDescent="0.2">
      <c r="A522" t="s">
        <v>363</v>
      </c>
      <c r="B522" t="s">
        <v>14360</v>
      </c>
    </row>
    <row r="523" spans="1:2" x14ac:dyDescent="0.2">
      <c r="A523" t="s">
        <v>367</v>
      </c>
      <c r="B523" t="s">
        <v>14360</v>
      </c>
    </row>
    <row r="524" spans="1:2" x14ac:dyDescent="0.2">
      <c r="A524" t="s">
        <v>371</v>
      </c>
      <c r="B524" t="s">
        <v>14360</v>
      </c>
    </row>
    <row r="525" spans="1:2" x14ac:dyDescent="0.2">
      <c r="A525" t="s">
        <v>374</v>
      </c>
      <c r="B525" t="s">
        <v>14360</v>
      </c>
    </row>
    <row r="526" spans="1:2" x14ac:dyDescent="0.2">
      <c r="A526" t="s">
        <v>379</v>
      </c>
      <c r="B526" t="s">
        <v>14360</v>
      </c>
    </row>
    <row r="527" spans="1:2" x14ac:dyDescent="0.2">
      <c r="A527" t="s">
        <v>383</v>
      </c>
      <c r="B527" t="s">
        <v>14360</v>
      </c>
    </row>
    <row r="528" spans="1:2" x14ac:dyDescent="0.2">
      <c r="A528" t="s">
        <v>387</v>
      </c>
      <c r="B528" t="s">
        <v>14360</v>
      </c>
    </row>
    <row r="529" spans="1:2" x14ac:dyDescent="0.2">
      <c r="A529" t="s">
        <v>391</v>
      </c>
      <c r="B529" t="s">
        <v>14360</v>
      </c>
    </row>
    <row r="530" spans="1:2" x14ac:dyDescent="0.2">
      <c r="A530" t="s">
        <v>395</v>
      </c>
      <c r="B530" t="s">
        <v>14360</v>
      </c>
    </row>
    <row r="531" spans="1:2" x14ac:dyDescent="0.2">
      <c r="A531" t="s">
        <v>399</v>
      </c>
      <c r="B531" t="s">
        <v>14360</v>
      </c>
    </row>
    <row r="532" spans="1:2" x14ac:dyDescent="0.2">
      <c r="A532" t="s">
        <v>403</v>
      </c>
      <c r="B532" t="s">
        <v>14360</v>
      </c>
    </row>
    <row r="533" spans="1:2" x14ac:dyDescent="0.2">
      <c r="A533" t="s">
        <v>407</v>
      </c>
      <c r="B533" t="s">
        <v>14360</v>
      </c>
    </row>
    <row r="534" spans="1:2" x14ac:dyDescent="0.2">
      <c r="A534" t="s">
        <v>411</v>
      </c>
      <c r="B534" t="s">
        <v>14360</v>
      </c>
    </row>
    <row r="535" spans="1:2" x14ac:dyDescent="0.2">
      <c r="A535" t="s">
        <v>414</v>
      </c>
      <c r="B535" t="s">
        <v>14360</v>
      </c>
    </row>
    <row r="536" spans="1:2" x14ac:dyDescent="0.2">
      <c r="A536" t="s">
        <v>19941</v>
      </c>
      <c r="B536" t="s">
        <v>14360</v>
      </c>
    </row>
    <row r="537" spans="1:2" x14ac:dyDescent="0.2">
      <c r="A537" t="s">
        <v>19675</v>
      </c>
      <c r="B537" t="s">
        <v>3916</v>
      </c>
    </row>
    <row r="538" spans="1:2" x14ac:dyDescent="0.2">
      <c r="A538" t="s">
        <v>19663</v>
      </c>
      <c r="B538" t="s">
        <v>3779</v>
      </c>
    </row>
    <row r="539" spans="1:2" x14ac:dyDescent="0.2">
      <c r="A539" t="s">
        <v>19537</v>
      </c>
      <c r="B539" t="s">
        <v>9540</v>
      </c>
    </row>
    <row r="540" spans="1:2" x14ac:dyDescent="0.2">
      <c r="A540" t="s">
        <v>19942</v>
      </c>
      <c r="B540" t="s">
        <v>14360</v>
      </c>
    </row>
    <row r="541" spans="1:2" x14ac:dyDescent="0.2">
      <c r="A541" t="s">
        <v>19642</v>
      </c>
      <c r="B541" t="s">
        <v>14360</v>
      </c>
    </row>
    <row r="542" spans="1:2" x14ac:dyDescent="0.2">
      <c r="A542" t="s">
        <v>418</v>
      </c>
      <c r="B542" t="s">
        <v>417</v>
      </c>
    </row>
    <row r="543" spans="1:2" x14ac:dyDescent="0.2">
      <c r="A543" t="s">
        <v>418</v>
      </c>
      <c r="B543" t="s">
        <v>417</v>
      </c>
    </row>
    <row r="544" spans="1:2" x14ac:dyDescent="0.2">
      <c r="A544" t="s">
        <v>19943</v>
      </c>
      <c r="B544" t="s">
        <v>14360</v>
      </c>
    </row>
    <row r="545" spans="1:2" x14ac:dyDescent="0.2">
      <c r="A545" t="s">
        <v>19638</v>
      </c>
      <c r="B545" t="s">
        <v>4840</v>
      </c>
    </row>
    <row r="546" spans="1:2" x14ac:dyDescent="0.2">
      <c r="A546" t="s">
        <v>19679</v>
      </c>
      <c r="B546" t="s">
        <v>14360</v>
      </c>
    </row>
    <row r="547" spans="1:2" x14ac:dyDescent="0.2">
      <c r="A547" t="s">
        <v>19724</v>
      </c>
      <c r="B547" t="s">
        <v>14360</v>
      </c>
    </row>
    <row r="548" spans="1:2" x14ac:dyDescent="0.2">
      <c r="A548" t="s">
        <v>19210</v>
      </c>
      <c r="B548" t="s">
        <v>14360</v>
      </c>
    </row>
    <row r="549" spans="1:2" x14ac:dyDescent="0.2">
      <c r="A549" t="s">
        <v>19944</v>
      </c>
      <c r="B549" t="s">
        <v>14360</v>
      </c>
    </row>
    <row r="550" spans="1:2" x14ac:dyDescent="0.2">
      <c r="A550" t="s">
        <v>19277</v>
      </c>
      <c r="B550" t="s">
        <v>14360</v>
      </c>
    </row>
    <row r="551" spans="1:2" x14ac:dyDescent="0.2">
      <c r="A551" t="s">
        <v>19667</v>
      </c>
      <c r="B551" t="s">
        <v>14360</v>
      </c>
    </row>
    <row r="552" spans="1:2" x14ac:dyDescent="0.2">
      <c r="A552" t="s">
        <v>19339</v>
      </c>
      <c r="B552" t="s">
        <v>14360</v>
      </c>
    </row>
    <row r="553" spans="1:2" x14ac:dyDescent="0.2">
      <c r="A553" t="s">
        <v>19678</v>
      </c>
      <c r="B553" t="s">
        <v>14360</v>
      </c>
    </row>
    <row r="554" spans="1:2" x14ac:dyDescent="0.2">
      <c r="A554" t="s">
        <v>19717</v>
      </c>
      <c r="B554" t="s">
        <v>4359</v>
      </c>
    </row>
    <row r="555" spans="1:2" x14ac:dyDescent="0.2">
      <c r="A555" t="s">
        <v>19719</v>
      </c>
      <c r="B555" t="s">
        <v>14360</v>
      </c>
    </row>
    <row r="556" spans="1:2" x14ac:dyDescent="0.2">
      <c r="A556" t="s">
        <v>19945</v>
      </c>
      <c r="B556" t="s">
        <v>14360</v>
      </c>
    </row>
    <row r="557" spans="1:2" x14ac:dyDescent="0.2">
      <c r="A557" t="s">
        <v>19946</v>
      </c>
      <c r="B557" t="s">
        <v>14360</v>
      </c>
    </row>
    <row r="558" spans="1:2" x14ac:dyDescent="0.2">
      <c r="A558" t="s">
        <v>10200</v>
      </c>
      <c r="B558" t="s">
        <v>14360</v>
      </c>
    </row>
    <row r="559" spans="1:2" x14ac:dyDescent="0.2">
      <c r="A559" t="s">
        <v>19753</v>
      </c>
      <c r="B559" t="s">
        <v>20434</v>
      </c>
    </row>
    <row r="560" spans="1:2" x14ac:dyDescent="0.2">
      <c r="A560" t="s">
        <v>19241</v>
      </c>
      <c r="B560" t="s">
        <v>14360</v>
      </c>
    </row>
    <row r="561" spans="1:2" x14ac:dyDescent="0.2">
      <c r="A561" t="s">
        <v>19300</v>
      </c>
      <c r="B561" t="s">
        <v>14360</v>
      </c>
    </row>
    <row r="562" spans="1:2" x14ac:dyDescent="0.2">
      <c r="A562" t="s">
        <v>19682</v>
      </c>
      <c r="B562" t="s">
        <v>14360</v>
      </c>
    </row>
    <row r="563" spans="1:2" x14ac:dyDescent="0.2">
      <c r="A563" t="s">
        <v>19599</v>
      </c>
      <c r="B563" t="s">
        <v>14360</v>
      </c>
    </row>
    <row r="564" spans="1:2" x14ac:dyDescent="0.2">
      <c r="A564" t="s">
        <v>19752</v>
      </c>
      <c r="B564" t="s">
        <v>14360</v>
      </c>
    </row>
    <row r="565" spans="1:2" x14ac:dyDescent="0.2">
      <c r="A565" t="s">
        <v>19947</v>
      </c>
      <c r="B565" t="s">
        <v>14360</v>
      </c>
    </row>
    <row r="566" spans="1:2" x14ac:dyDescent="0.2">
      <c r="A566" t="s">
        <v>19948</v>
      </c>
      <c r="B566" t="s">
        <v>14360</v>
      </c>
    </row>
    <row r="567" spans="1:2" x14ac:dyDescent="0.2">
      <c r="A567" t="s">
        <v>19949</v>
      </c>
      <c r="B567" t="s">
        <v>14360</v>
      </c>
    </row>
    <row r="568" spans="1:2" x14ac:dyDescent="0.2">
      <c r="A568" t="s">
        <v>19950</v>
      </c>
      <c r="B568" t="s">
        <v>14360</v>
      </c>
    </row>
    <row r="569" spans="1:2" x14ac:dyDescent="0.2">
      <c r="A569" t="s">
        <v>19212</v>
      </c>
      <c r="B569" t="s">
        <v>5562</v>
      </c>
    </row>
    <row r="570" spans="1:2" x14ac:dyDescent="0.2">
      <c r="A570" t="s">
        <v>19951</v>
      </c>
      <c r="B570" t="s">
        <v>14360</v>
      </c>
    </row>
    <row r="571" spans="1:2" x14ac:dyDescent="0.2">
      <c r="A571" t="s">
        <v>19952</v>
      </c>
      <c r="B571" t="s">
        <v>14360</v>
      </c>
    </row>
    <row r="572" spans="1:2" x14ac:dyDescent="0.2">
      <c r="A572" t="s">
        <v>19953</v>
      </c>
      <c r="B572" t="s">
        <v>14360</v>
      </c>
    </row>
    <row r="573" spans="1:2" x14ac:dyDescent="0.2">
      <c r="A573" t="s">
        <v>19954</v>
      </c>
      <c r="B573" t="s">
        <v>14360</v>
      </c>
    </row>
    <row r="574" spans="1:2" x14ac:dyDescent="0.2">
      <c r="A574" t="s">
        <v>19955</v>
      </c>
      <c r="B574" t="s">
        <v>14360</v>
      </c>
    </row>
    <row r="575" spans="1:2" x14ac:dyDescent="0.2">
      <c r="A575" t="s">
        <v>19956</v>
      </c>
      <c r="B575" t="s">
        <v>14360</v>
      </c>
    </row>
    <row r="576" spans="1:2" x14ac:dyDescent="0.2">
      <c r="A576" t="s">
        <v>19639</v>
      </c>
      <c r="B576" t="s">
        <v>14360</v>
      </c>
    </row>
    <row r="577" spans="1:2" x14ac:dyDescent="0.2">
      <c r="A577" t="s">
        <v>19306</v>
      </c>
      <c r="B577" t="s">
        <v>14360</v>
      </c>
    </row>
    <row r="578" spans="1:2" x14ac:dyDescent="0.2">
      <c r="A578" t="s">
        <v>19479</v>
      </c>
      <c r="B578" t="s">
        <v>14360</v>
      </c>
    </row>
    <row r="579" spans="1:2" x14ac:dyDescent="0.2">
      <c r="A579" t="s">
        <v>19525</v>
      </c>
      <c r="B579" t="s">
        <v>14360</v>
      </c>
    </row>
    <row r="580" spans="1:2" x14ac:dyDescent="0.2">
      <c r="A580" t="s">
        <v>19530</v>
      </c>
      <c r="B580" t="s">
        <v>14360</v>
      </c>
    </row>
    <row r="581" spans="1:2" x14ac:dyDescent="0.2">
      <c r="A581" t="s">
        <v>19581</v>
      </c>
      <c r="B581" t="s">
        <v>14360</v>
      </c>
    </row>
    <row r="582" spans="1:2" x14ac:dyDescent="0.2">
      <c r="A582" t="s">
        <v>19365</v>
      </c>
      <c r="B582" t="s">
        <v>14360</v>
      </c>
    </row>
    <row r="583" spans="1:2" x14ac:dyDescent="0.2">
      <c r="A583" t="s">
        <v>19545</v>
      </c>
      <c r="B583" t="s">
        <v>14360</v>
      </c>
    </row>
    <row r="584" spans="1:2" x14ac:dyDescent="0.2">
      <c r="A584" t="s">
        <v>19727</v>
      </c>
      <c r="B584" t="s">
        <v>4473</v>
      </c>
    </row>
    <row r="585" spans="1:2" x14ac:dyDescent="0.2">
      <c r="A585" t="s">
        <v>19957</v>
      </c>
      <c r="B585" t="s">
        <v>14360</v>
      </c>
    </row>
    <row r="586" spans="1:2" x14ac:dyDescent="0.2">
      <c r="A586" t="s">
        <v>19376</v>
      </c>
      <c r="B586" t="s">
        <v>14360</v>
      </c>
    </row>
    <row r="587" spans="1:2" x14ac:dyDescent="0.2">
      <c r="A587" t="s">
        <v>19311</v>
      </c>
      <c r="B587" t="s">
        <v>7023</v>
      </c>
    </row>
    <row r="588" spans="1:2" x14ac:dyDescent="0.2">
      <c r="A588" t="s">
        <v>19713</v>
      </c>
      <c r="B588" t="s">
        <v>14360</v>
      </c>
    </row>
    <row r="589" spans="1:2" x14ac:dyDescent="0.2">
      <c r="A589" t="s">
        <v>19233</v>
      </c>
      <c r="B589" t="s">
        <v>14360</v>
      </c>
    </row>
    <row r="590" spans="1:2" x14ac:dyDescent="0.2">
      <c r="A590" t="s">
        <v>19357</v>
      </c>
      <c r="B590" t="s">
        <v>14360</v>
      </c>
    </row>
    <row r="591" spans="1:2" x14ac:dyDescent="0.2">
      <c r="A591" t="s">
        <v>19195</v>
      </c>
      <c r="B591" t="s">
        <v>14360</v>
      </c>
    </row>
    <row r="592" spans="1:2" x14ac:dyDescent="0.2">
      <c r="A592" t="s">
        <v>19760</v>
      </c>
      <c r="B592" t="s">
        <v>14360</v>
      </c>
    </row>
    <row r="593" spans="1:2" x14ac:dyDescent="0.2">
      <c r="A593" t="s">
        <v>19532</v>
      </c>
      <c r="B593" t="s">
        <v>14360</v>
      </c>
    </row>
    <row r="594" spans="1:2" x14ac:dyDescent="0.2">
      <c r="A594" t="s">
        <v>19480</v>
      </c>
      <c r="B594" t="s">
        <v>14360</v>
      </c>
    </row>
    <row r="595" spans="1:2" x14ac:dyDescent="0.2">
      <c r="A595" t="s">
        <v>19285</v>
      </c>
      <c r="B595" t="s">
        <v>14360</v>
      </c>
    </row>
    <row r="596" spans="1:2" x14ac:dyDescent="0.2">
      <c r="A596" t="s">
        <v>19235</v>
      </c>
      <c r="B596" t="s">
        <v>14360</v>
      </c>
    </row>
    <row r="597" spans="1:2" x14ac:dyDescent="0.2">
      <c r="A597" t="s">
        <v>20101</v>
      </c>
      <c r="B597" t="s">
        <v>14360</v>
      </c>
    </row>
    <row r="598" spans="1:2" x14ac:dyDescent="0.2">
      <c r="A598" t="s">
        <v>19566</v>
      </c>
      <c r="B598" t="s">
        <v>20432</v>
      </c>
    </row>
    <row r="599" spans="1:2" x14ac:dyDescent="0.2">
      <c r="A599" t="s">
        <v>19223</v>
      </c>
      <c r="B599" t="s">
        <v>14360</v>
      </c>
    </row>
    <row r="600" spans="1:2" x14ac:dyDescent="0.2">
      <c r="A600" t="s">
        <v>19539</v>
      </c>
      <c r="B600" t="s">
        <v>14360</v>
      </c>
    </row>
    <row r="601" spans="1:2" x14ac:dyDescent="0.2">
      <c r="A601" t="s">
        <v>19418</v>
      </c>
      <c r="B601" t="s">
        <v>8629</v>
      </c>
    </row>
    <row r="602" spans="1:2" x14ac:dyDescent="0.2">
      <c r="A602" t="s">
        <v>19415</v>
      </c>
      <c r="B602" t="s">
        <v>14360</v>
      </c>
    </row>
    <row r="603" spans="1:2" x14ac:dyDescent="0.2">
      <c r="A603" t="s">
        <v>19958</v>
      </c>
      <c r="B603" t="s">
        <v>14360</v>
      </c>
    </row>
    <row r="604" spans="1:2" x14ac:dyDescent="0.2">
      <c r="A604" t="s">
        <v>19959</v>
      </c>
      <c r="B604" t="s">
        <v>14360</v>
      </c>
    </row>
    <row r="605" spans="1:2" x14ac:dyDescent="0.2">
      <c r="A605" t="s">
        <v>5695</v>
      </c>
      <c r="B605" t="s">
        <v>14360</v>
      </c>
    </row>
    <row r="606" spans="1:2" x14ac:dyDescent="0.2">
      <c r="A606" t="s">
        <v>19960</v>
      </c>
      <c r="B606" t="s">
        <v>14360</v>
      </c>
    </row>
    <row r="607" spans="1:2" x14ac:dyDescent="0.2">
      <c r="A607" t="s">
        <v>19354</v>
      </c>
      <c r="B607" t="s">
        <v>14360</v>
      </c>
    </row>
    <row r="608" spans="1:2" x14ac:dyDescent="0.2">
      <c r="A608" t="s">
        <v>19654</v>
      </c>
      <c r="B608" t="s">
        <v>14360</v>
      </c>
    </row>
    <row r="609" spans="1:2" x14ac:dyDescent="0.2">
      <c r="A609" t="s">
        <v>19961</v>
      </c>
      <c r="B609" t="s">
        <v>14360</v>
      </c>
    </row>
    <row r="610" spans="1:2" x14ac:dyDescent="0.2">
      <c r="A610" t="s">
        <v>19595</v>
      </c>
      <c r="B610" t="s">
        <v>14360</v>
      </c>
    </row>
    <row r="611" spans="1:2" x14ac:dyDescent="0.2">
      <c r="A611" t="s">
        <v>19253</v>
      </c>
      <c r="B611" t="s">
        <v>14360</v>
      </c>
    </row>
    <row r="612" spans="1:2" x14ac:dyDescent="0.2">
      <c r="A612" t="s">
        <v>19533</v>
      </c>
      <c r="B612" t="s">
        <v>14360</v>
      </c>
    </row>
    <row r="613" spans="1:2" x14ac:dyDescent="0.2">
      <c r="A613" t="s">
        <v>19962</v>
      </c>
      <c r="B613" t="s">
        <v>14360</v>
      </c>
    </row>
    <row r="614" spans="1:2" x14ac:dyDescent="0.2">
      <c r="A614" t="s">
        <v>19963</v>
      </c>
      <c r="B614" t="s">
        <v>14360</v>
      </c>
    </row>
    <row r="615" spans="1:2" x14ac:dyDescent="0.2">
      <c r="A615" t="s">
        <v>19261</v>
      </c>
      <c r="B615" t="s">
        <v>6142</v>
      </c>
    </row>
    <row r="616" spans="1:2" x14ac:dyDescent="0.2">
      <c r="A616" t="s">
        <v>19336</v>
      </c>
      <c r="B616" t="s">
        <v>7318</v>
      </c>
    </row>
    <row r="617" spans="1:2" x14ac:dyDescent="0.2">
      <c r="A617" t="s">
        <v>19619</v>
      </c>
      <c r="B617" t="s">
        <v>14360</v>
      </c>
    </row>
    <row r="618" spans="1:2" x14ac:dyDescent="0.2">
      <c r="A618" t="s">
        <v>19206</v>
      </c>
      <c r="B618" t="s">
        <v>5611</v>
      </c>
    </row>
    <row r="619" spans="1:2" x14ac:dyDescent="0.2">
      <c r="A619" t="s">
        <v>19255</v>
      </c>
      <c r="B619" t="s">
        <v>20423</v>
      </c>
    </row>
    <row r="620" spans="1:2" x14ac:dyDescent="0.2">
      <c r="A620" t="s">
        <v>19964</v>
      </c>
      <c r="B620" t="s">
        <v>14360</v>
      </c>
    </row>
    <row r="621" spans="1:2" x14ac:dyDescent="0.2">
      <c r="A621" t="s">
        <v>11162</v>
      </c>
      <c r="B621" t="s">
        <v>14360</v>
      </c>
    </row>
    <row r="622" spans="1:2" x14ac:dyDescent="0.2">
      <c r="A622" t="s">
        <v>423</v>
      </c>
      <c r="B622" t="s">
        <v>14360</v>
      </c>
    </row>
    <row r="623" spans="1:2" x14ac:dyDescent="0.2">
      <c r="A623" t="s">
        <v>19965</v>
      </c>
      <c r="B623" t="s">
        <v>14360</v>
      </c>
    </row>
    <row r="624" spans="1:2" x14ac:dyDescent="0.2">
      <c r="A624" t="s">
        <v>19527</v>
      </c>
      <c r="B624" t="s">
        <v>9528</v>
      </c>
    </row>
    <row r="625" spans="1:2" x14ac:dyDescent="0.2">
      <c r="A625" t="s">
        <v>19567</v>
      </c>
      <c r="B625" t="s">
        <v>14360</v>
      </c>
    </row>
    <row r="626" spans="1:2" x14ac:dyDescent="0.2">
      <c r="A626" t="s">
        <v>19966</v>
      </c>
      <c r="B626" t="s">
        <v>14360</v>
      </c>
    </row>
    <row r="627" spans="1:2" x14ac:dyDescent="0.2">
      <c r="A627" t="s">
        <v>19758</v>
      </c>
      <c r="B627" t="s">
        <v>5129</v>
      </c>
    </row>
    <row r="628" spans="1:2" x14ac:dyDescent="0.2">
      <c r="A628" t="s">
        <v>19385</v>
      </c>
      <c r="B628" t="s">
        <v>14360</v>
      </c>
    </row>
    <row r="629" spans="1:2" x14ac:dyDescent="0.2">
      <c r="A629" t="s">
        <v>19398</v>
      </c>
      <c r="B629" t="s">
        <v>14360</v>
      </c>
    </row>
    <row r="630" spans="1:2" x14ac:dyDescent="0.2">
      <c r="A630" t="s">
        <v>19967</v>
      </c>
      <c r="B630" t="s">
        <v>14360</v>
      </c>
    </row>
    <row r="631" spans="1:2" x14ac:dyDescent="0.2">
      <c r="A631" t="s">
        <v>19968</v>
      </c>
      <c r="B631" t="s">
        <v>14360</v>
      </c>
    </row>
    <row r="632" spans="1:2" x14ac:dyDescent="0.2">
      <c r="A632" t="s">
        <v>19380</v>
      </c>
      <c r="B632" t="s">
        <v>14360</v>
      </c>
    </row>
    <row r="633" spans="1:2" x14ac:dyDescent="0.2">
      <c r="A633" t="s">
        <v>20102</v>
      </c>
      <c r="B633" t="s">
        <v>14360</v>
      </c>
    </row>
    <row r="634" spans="1:2" x14ac:dyDescent="0.2">
      <c r="A634" t="s">
        <v>20103</v>
      </c>
      <c r="B634" t="s">
        <v>14360</v>
      </c>
    </row>
    <row r="635" spans="1:2" x14ac:dyDescent="0.2">
      <c r="A635" t="s">
        <v>20104</v>
      </c>
      <c r="B635" t="s">
        <v>14360</v>
      </c>
    </row>
    <row r="636" spans="1:2" x14ac:dyDescent="0.2">
      <c r="A636" t="s">
        <v>20105</v>
      </c>
      <c r="B636" t="s">
        <v>14360</v>
      </c>
    </row>
    <row r="637" spans="1:2" x14ac:dyDescent="0.2">
      <c r="A637" t="s">
        <v>11913</v>
      </c>
      <c r="B637" t="s">
        <v>14360</v>
      </c>
    </row>
    <row r="638" spans="1:2" x14ac:dyDescent="0.2">
      <c r="A638" t="s">
        <v>11915</v>
      </c>
      <c r="B638" t="s">
        <v>14360</v>
      </c>
    </row>
    <row r="639" spans="1:2" x14ac:dyDescent="0.2">
      <c r="A639" t="s">
        <v>20106</v>
      </c>
      <c r="B639" t="s">
        <v>14360</v>
      </c>
    </row>
    <row r="640" spans="1:2" x14ac:dyDescent="0.2">
      <c r="A640" t="s">
        <v>11917</v>
      </c>
      <c r="B640" t="s">
        <v>14360</v>
      </c>
    </row>
    <row r="641" spans="1:2" x14ac:dyDescent="0.2">
      <c r="A641" t="s">
        <v>20107</v>
      </c>
      <c r="B641" t="s">
        <v>14360</v>
      </c>
    </row>
    <row r="642" spans="1:2" x14ac:dyDescent="0.2">
      <c r="A642" t="s">
        <v>20108</v>
      </c>
      <c r="B642" t="s">
        <v>14360</v>
      </c>
    </row>
    <row r="643" spans="1:2" x14ac:dyDescent="0.2">
      <c r="A643" t="s">
        <v>20109</v>
      </c>
      <c r="B643" t="s">
        <v>14360</v>
      </c>
    </row>
    <row r="644" spans="1:2" x14ac:dyDescent="0.2">
      <c r="A644" t="s">
        <v>20110</v>
      </c>
      <c r="B644" t="s">
        <v>14360</v>
      </c>
    </row>
    <row r="645" spans="1:2" x14ac:dyDescent="0.2">
      <c r="A645" t="s">
        <v>20111</v>
      </c>
      <c r="B645" t="s">
        <v>14360</v>
      </c>
    </row>
    <row r="646" spans="1:2" x14ac:dyDescent="0.2">
      <c r="A646" t="s">
        <v>20112</v>
      </c>
      <c r="B646" t="s">
        <v>14360</v>
      </c>
    </row>
    <row r="647" spans="1:2" x14ac:dyDescent="0.2">
      <c r="A647" t="s">
        <v>19969</v>
      </c>
      <c r="B647" t="s">
        <v>14360</v>
      </c>
    </row>
    <row r="648" spans="1:2" x14ac:dyDescent="0.2">
      <c r="A648" t="s">
        <v>19970</v>
      </c>
      <c r="B648" t="s">
        <v>14360</v>
      </c>
    </row>
    <row r="649" spans="1:2" x14ac:dyDescent="0.2">
      <c r="A649" t="s">
        <v>19351</v>
      </c>
      <c r="B649" t="s">
        <v>7537</v>
      </c>
    </row>
    <row r="650" spans="1:2" x14ac:dyDescent="0.2">
      <c r="A650" t="s">
        <v>442</v>
      </c>
      <c r="B650" t="s">
        <v>14360</v>
      </c>
    </row>
    <row r="651" spans="1:2" x14ac:dyDescent="0.2">
      <c r="A651" t="s">
        <v>11215</v>
      </c>
      <c r="B651" t="s">
        <v>14360</v>
      </c>
    </row>
    <row r="652" spans="1:2" x14ac:dyDescent="0.2">
      <c r="A652" t="s">
        <v>444</v>
      </c>
      <c r="B652" t="s">
        <v>14360</v>
      </c>
    </row>
    <row r="653" spans="1:2" x14ac:dyDescent="0.2">
      <c r="A653" t="s">
        <v>449</v>
      </c>
      <c r="B653" t="s">
        <v>14360</v>
      </c>
    </row>
    <row r="654" spans="1:2" x14ac:dyDescent="0.2">
      <c r="A654" t="s">
        <v>453</v>
      </c>
      <c r="B654" t="s">
        <v>14360</v>
      </c>
    </row>
    <row r="655" spans="1:2" x14ac:dyDescent="0.2">
      <c r="A655" t="s">
        <v>457</v>
      </c>
      <c r="B655" t="s">
        <v>14360</v>
      </c>
    </row>
    <row r="656" spans="1:2" x14ac:dyDescent="0.2">
      <c r="A656" t="s">
        <v>461</v>
      </c>
      <c r="B656" t="s">
        <v>14360</v>
      </c>
    </row>
    <row r="657" spans="1:2" x14ac:dyDescent="0.2">
      <c r="A657" t="s">
        <v>464</v>
      </c>
      <c r="B657" t="s">
        <v>14360</v>
      </c>
    </row>
    <row r="658" spans="1:2" x14ac:dyDescent="0.2">
      <c r="A658" t="s">
        <v>469</v>
      </c>
      <c r="B658" t="s">
        <v>14360</v>
      </c>
    </row>
    <row r="659" spans="1:2" x14ac:dyDescent="0.2">
      <c r="A659" t="s">
        <v>473</v>
      </c>
      <c r="B659" t="s">
        <v>14360</v>
      </c>
    </row>
    <row r="660" spans="1:2" x14ac:dyDescent="0.2">
      <c r="A660" t="s">
        <v>477</v>
      </c>
      <c r="B660" t="s">
        <v>14360</v>
      </c>
    </row>
    <row r="661" spans="1:2" x14ac:dyDescent="0.2">
      <c r="A661" t="s">
        <v>481</v>
      </c>
      <c r="B661" t="s">
        <v>14360</v>
      </c>
    </row>
    <row r="662" spans="1:2" x14ac:dyDescent="0.2">
      <c r="A662" t="s">
        <v>485</v>
      </c>
      <c r="B662" t="s">
        <v>14360</v>
      </c>
    </row>
    <row r="663" spans="1:2" x14ac:dyDescent="0.2">
      <c r="A663" t="s">
        <v>489</v>
      </c>
      <c r="B663" t="s">
        <v>14360</v>
      </c>
    </row>
    <row r="664" spans="1:2" x14ac:dyDescent="0.2">
      <c r="A664" t="s">
        <v>493</v>
      </c>
      <c r="B664" t="s">
        <v>14360</v>
      </c>
    </row>
    <row r="665" spans="1:2" x14ac:dyDescent="0.2">
      <c r="A665" t="s">
        <v>497</v>
      </c>
      <c r="B665" t="s">
        <v>14360</v>
      </c>
    </row>
    <row r="666" spans="1:2" x14ac:dyDescent="0.2">
      <c r="A666" t="s">
        <v>501</v>
      </c>
      <c r="B666" t="s">
        <v>14360</v>
      </c>
    </row>
    <row r="667" spans="1:2" x14ac:dyDescent="0.2">
      <c r="A667" t="s">
        <v>504</v>
      </c>
      <c r="B667" t="s">
        <v>14360</v>
      </c>
    </row>
    <row r="668" spans="1:2" x14ac:dyDescent="0.2">
      <c r="A668" t="s">
        <v>509</v>
      </c>
      <c r="B668" t="s">
        <v>14360</v>
      </c>
    </row>
    <row r="669" spans="1:2" x14ac:dyDescent="0.2">
      <c r="A669" t="s">
        <v>513</v>
      </c>
      <c r="B669" t="s">
        <v>14360</v>
      </c>
    </row>
    <row r="670" spans="1:2" x14ac:dyDescent="0.2">
      <c r="A670" t="s">
        <v>517</v>
      </c>
      <c r="B670" t="s">
        <v>14360</v>
      </c>
    </row>
    <row r="671" spans="1:2" x14ac:dyDescent="0.2">
      <c r="A671" t="s">
        <v>521</v>
      </c>
      <c r="B671" t="s">
        <v>14360</v>
      </c>
    </row>
    <row r="672" spans="1:2" x14ac:dyDescent="0.2">
      <c r="A672" t="s">
        <v>525</v>
      </c>
      <c r="B672" t="s">
        <v>14360</v>
      </c>
    </row>
    <row r="673" spans="1:2" x14ac:dyDescent="0.2">
      <c r="A673" t="s">
        <v>529</v>
      </c>
      <c r="B673" t="s">
        <v>14360</v>
      </c>
    </row>
    <row r="674" spans="1:2" x14ac:dyDescent="0.2">
      <c r="A674" t="s">
        <v>533</v>
      </c>
      <c r="B674" t="s">
        <v>14360</v>
      </c>
    </row>
    <row r="675" spans="1:2" x14ac:dyDescent="0.2">
      <c r="A675" t="s">
        <v>537</v>
      </c>
      <c r="B675" t="s">
        <v>14360</v>
      </c>
    </row>
    <row r="676" spans="1:2" x14ac:dyDescent="0.2">
      <c r="A676" t="s">
        <v>541</v>
      </c>
      <c r="B676" t="s">
        <v>14360</v>
      </c>
    </row>
    <row r="677" spans="1:2" x14ac:dyDescent="0.2">
      <c r="A677" t="s">
        <v>545</v>
      </c>
      <c r="B677" t="s">
        <v>14360</v>
      </c>
    </row>
    <row r="678" spans="1:2" x14ac:dyDescent="0.2">
      <c r="A678" t="s">
        <v>549</v>
      </c>
      <c r="B678" t="s">
        <v>14360</v>
      </c>
    </row>
    <row r="679" spans="1:2" x14ac:dyDescent="0.2">
      <c r="A679" t="s">
        <v>553</v>
      </c>
      <c r="B679" t="s">
        <v>14360</v>
      </c>
    </row>
    <row r="680" spans="1:2" x14ac:dyDescent="0.2">
      <c r="A680" t="s">
        <v>557</v>
      </c>
      <c r="B680" t="s">
        <v>14360</v>
      </c>
    </row>
    <row r="681" spans="1:2" x14ac:dyDescent="0.2">
      <c r="A681" t="s">
        <v>561</v>
      </c>
      <c r="B681" t="s">
        <v>14360</v>
      </c>
    </row>
    <row r="682" spans="1:2" x14ac:dyDescent="0.2">
      <c r="A682" t="s">
        <v>19722</v>
      </c>
      <c r="B682" t="s">
        <v>14360</v>
      </c>
    </row>
    <row r="683" spans="1:2" x14ac:dyDescent="0.2">
      <c r="A683" t="s">
        <v>19386</v>
      </c>
      <c r="B683" t="s">
        <v>14360</v>
      </c>
    </row>
    <row r="684" spans="1:2" x14ac:dyDescent="0.2">
      <c r="A684" t="s">
        <v>19971</v>
      </c>
      <c r="B684" t="s">
        <v>3847</v>
      </c>
    </row>
    <row r="685" spans="1:2" x14ac:dyDescent="0.2">
      <c r="A685" t="s">
        <v>19972</v>
      </c>
      <c r="B685" t="s">
        <v>14360</v>
      </c>
    </row>
    <row r="686" spans="1:2" x14ac:dyDescent="0.2">
      <c r="A686" t="s">
        <v>19973</v>
      </c>
      <c r="B686" t="s">
        <v>14360</v>
      </c>
    </row>
    <row r="687" spans="1:2" x14ac:dyDescent="0.2">
      <c r="A687" t="s">
        <v>19221</v>
      </c>
      <c r="B687" t="s">
        <v>14360</v>
      </c>
    </row>
    <row r="688" spans="1:2" x14ac:dyDescent="0.2">
      <c r="A688" t="s">
        <v>19327</v>
      </c>
      <c r="B688" t="s">
        <v>14360</v>
      </c>
    </row>
    <row r="689" spans="1:2" x14ac:dyDescent="0.2">
      <c r="A689" t="s">
        <v>19375</v>
      </c>
      <c r="B689" t="s">
        <v>20427</v>
      </c>
    </row>
    <row r="690" spans="1:2" x14ac:dyDescent="0.2">
      <c r="A690" t="s">
        <v>19494</v>
      </c>
      <c r="B690" t="s">
        <v>9266</v>
      </c>
    </row>
    <row r="691" spans="1:2" x14ac:dyDescent="0.2">
      <c r="A691" t="s">
        <v>19974</v>
      </c>
      <c r="B691" t="s">
        <v>14360</v>
      </c>
    </row>
    <row r="692" spans="1:2" x14ac:dyDescent="0.2">
      <c r="A692" t="s">
        <v>19313</v>
      </c>
      <c r="B692" t="s">
        <v>14360</v>
      </c>
    </row>
    <row r="693" spans="1:2" x14ac:dyDescent="0.2">
      <c r="A693" t="s">
        <v>19563</v>
      </c>
      <c r="B693" t="s">
        <v>14360</v>
      </c>
    </row>
    <row r="694" spans="1:2" x14ac:dyDescent="0.2">
      <c r="A694" t="s">
        <v>19673</v>
      </c>
      <c r="B694" t="s">
        <v>14360</v>
      </c>
    </row>
    <row r="695" spans="1:2" x14ac:dyDescent="0.2">
      <c r="A695" t="s">
        <v>19631</v>
      </c>
      <c r="B695" t="s">
        <v>4784</v>
      </c>
    </row>
    <row r="696" spans="1:2" x14ac:dyDescent="0.2">
      <c r="A696" t="s">
        <v>19251</v>
      </c>
      <c r="B696" t="s">
        <v>14360</v>
      </c>
    </row>
    <row r="697" spans="1:2" x14ac:dyDescent="0.2">
      <c r="A697" t="s">
        <v>19636</v>
      </c>
      <c r="B697" t="s">
        <v>14360</v>
      </c>
    </row>
    <row r="698" spans="1:2" x14ac:dyDescent="0.2">
      <c r="A698" t="s">
        <v>19271</v>
      </c>
      <c r="B698" t="s">
        <v>14360</v>
      </c>
    </row>
    <row r="699" spans="1:2" x14ac:dyDescent="0.2">
      <c r="A699" t="s">
        <v>19644</v>
      </c>
      <c r="B699" t="s">
        <v>14360</v>
      </c>
    </row>
    <row r="700" spans="1:2" x14ac:dyDescent="0.2">
      <c r="A700" t="s">
        <v>19260</v>
      </c>
      <c r="B700" t="s">
        <v>6201</v>
      </c>
    </row>
    <row r="701" spans="1:2" x14ac:dyDescent="0.2">
      <c r="A701" t="s">
        <v>19975</v>
      </c>
      <c r="B701" t="s">
        <v>5391</v>
      </c>
    </row>
    <row r="702" spans="1:2" x14ac:dyDescent="0.2">
      <c r="A702" t="s">
        <v>19258</v>
      </c>
      <c r="B702" t="s">
        <v>14360</v>
      </c>
    </row>
    <row r="703" spans="1:2" x14ac:dyDescent="0.2">
      <c r="A703" t="s">
        <v>19262</v>
      </c>
      <c r="B703" t="s">
        <v>14360</v>
      </c>
    </row>
    <row r="704" spans="1:2" x14ac:dyDescent="0.2">
      <c r="A704" t="s">
        <v>19627</v>
      </c>
      <c r="B704" t="s">
        <v>14360</v>
      </c>
    </row>
    <row r="705" spans="1:2" x14ac:dyDescent="0.2">
      <c r="A705" t="s">
        <v>19226</v>
      </c>
      <c r="B705" t="s">
        <v>5876</v>
      </c>
    </row>
    <row r="706" spans="1:2" x14ac:dyDescent="0.2">
      <c r="A706" t="s">
        <v>19458</v>
      </c>
      <c r="B706" t="s">
        <v>14360</v>
      </c>
    </row>
    <row r="707" spans="1:2" x14ac:dyDescent="0.2">
      <c r="A707" t="s">
        <v>19976</v>
      </c>
      <c r="B707" t="s">
        <v>14360</v>
      </c>
    </row>
    <row r="708" spans="1:2" x14ac:dyDescent="0.2">
      <c r="A708" t="s">
        <v>19191</v>
      </c>
      <c r="B708" t="s">
        <v>14360</v>
      </c>
    </row>
    <row r="709" spans="1:2" x14ac:dyDescent="0.2">
      <c r="A709" t="s">
        <v>10185</v>
      </c>
      <c r="B709" t="s">
        <v>14360</v>
      </c>
    </row>
    <row r="710" spans="1:2" x14ac:dyDescent="0.2">
      <c r="A710" t="s">
        <v>19977</v>
      </c>
      <c r="B710" t="s">
        <v>14360</v>
      </c>
    </row>
    <row r="711" spans="1:2" x14ac:dyDescent="0.2">
      <c r="A711" t="s">
        <v>19978</v>
      </c>
      <c r="B711" t="s">
        <v>14360</v>
      </c>
    </row>
    <row r="712" spans="1:2" x14ac:dyDescent="0.2">
      <c r="A712" t="s">
        <v>19671</v>
      </c>
      <c r="B712" t="s">
        <v>3867</v>
      </c>
    </row>
    <row r="713" spans="1:2" x14ac:dyDescent="0.2">
      <c r="A713" t="s">
        <v>564</v>
      </c>
      <c r="B713" t="s">
        <v>14360</v>
      </c>
    </row>
    <row r="714" spans="1:2" x14ac:dyDescent="0.2">
      <c r="A714" t="s">
        <v>564</v>
      </c>
      <c r="B714" t="s">
        <v>14360</v>
      </c>
    </row>
    <row r="715" spans="1:2" x14ac:dyDescent="0.2">
      <c r="A715" t="s">
        <v>564</v>
      </c>
      <c r="B715" t="s">
        <v>14360</v>
      </c>
    </row>
    <row r="716" spans="1:2" x14ac:dyDescent="0.2">
      <c r="A716" t="s">
        <v>19186</v>
      </c>
      <c r="B716" t="s">
        <v>5249</v>
      </c>
    </row>
    <row r="717" spans="1:2" x14ac:dyDescent="0.2">
      <c r="A717" t="s">
        <v>20113</v>
      </c>
      <c r="B717" t="s">
        <v>14360</v>
      </c>
    </row>
    <row r="718" spans="1:2" x14ac:dyDescent="0.2">
      <c r="A718" t="s">
        <v>19557</v>
      </c>
      <c r="B718" t="s">
        <v>14360</v>
      </c>
    </row>
    <row r="719" spans="1:2" x14ac:dyDescent="0.2">
      <c r="A719" t="s">
        <v>20114</v>
      </c>
      <c r="B719" t="s">
        <v>14360</v>
      </c>
    </row>
    <row r="720" spans="1:2" x14ac:dyDescent="0.2">
      <c r="A720" t="s">
        <v>19565</v>
      </c>
      <c r="B720" t="s">
        <v>14360</v>
      </c>
    </row>
    <row r="721" spans="1:2" x14ac:dyDescent="0.2">
      <c r="A721" t="s">
        <v>19573</v>
      </c>
      <c r="B721" t="s">
        <v>14360</v>
      </c>
    </row>
    <row r="722" spans="1:2" x14ac:dyDescent="0.2">
      <c r="A722" t="s">
        <v>19576</v>
      </c>
      <c r="B722" t="s">
        <v>14360</v>
      </c>
    </row>
    <row r="723" spans="1:2" x14ac:dyDescent="0.2">
      <c r="A723" t="s">
        <v>19703</v>
      </c>
      <c r="B723" t="s">
        <v>14360</v>
      </c>
    </row>
    <row r="724" spans="1:2" x14ac:dyDescent="0.2">
      <c r="A724" t="s">
        <v>19979</v>
      </c>
      <c r="B724" t="s">
        <v>14360</v>
      </c>
    </row>
    <row r="725" spans="1:2" x14ac:dyDescent="0.2">
      <c r="A725" t="s">
        <v>568</v>
      </c>
      <c r="B725" t="s">
        <v>14360</v>
      </c>
    </row>
    <row r="726" spans="1:2" x14ac:dyDescent="0.2">
      <c r="A726" t="s">
        <v>568</v>
      </c>
      <c r="B726" t="s">
        <v>14360</v>
      </c>
    </row>
    <row r="727" spans="1:2" x14ac:dyDescent="0.2">
      <c r="A727" t="s">
        <v>19555</v>
      </c>
      <c r="B727" t="s">
        <v>20455</v>
      </c>
    </row>
    <row r="728" spans="1:2" x14ac:dyDescent="0.2">
      <c r="A728" t="s">
        <v>19552</v>
      </c>
      <c r="B728" t="s">
        <v>20456</v>
      </c>
    </row>
    <row r="729" spans="1:2" x14ac:dyDescent="0.2">
      <c r="A729" t="s">
        <v>19546</v>
      </c>
      <c r="B729" t="s">
        <v>14360</v>
      </c>
    </row>
    <row r="730" spans="1:2" x14ac:dyDescent="0.2">
      <c r="A730" t="s">
        <v>19276</v>
      </c>
      <c r="B730" t="s">
        <v>14360</v>
      </c>
    </row>
    <row r="731" spans="1:2" x14ac:dyDescent="0.2">
      <c r="A731" t="s">
        <v>19677</v>
      </c>
      <c r="B731" t="s">
        <v>14360</v>
      </c>
    </row>
    <row r="732" spans="1:2" x14ac:dyDescent="0.2">
      <c r="A732" t="s">
        <v>19288</v>
      </c>
      <c r="B732" t="s">
        <v>14360</v>
      </c>
    </row>
    <row r="733" spans="1:2" x14ac:dyDescent="0.2">
      <c r="A733" t="s">
        <v>19622</v>
      </c>
      <c r="B733" t="s">
        <v>14360</v>
      </c>
    </row>
    <row r="734" spans="1:2" x14ac:dyDescent="0.2">
      <c r="A734" t="s">
        <v>1085</v>
      </c>
      <c r="B734" t="s">
        <v>14360</v>
      </c>
    </row>
    <row r="735" spans="1:2" x14ac:dyDescent="0.2">
      <c r="A735" t="s">
        <v>1085</v>
      </c>
      <c r="B735" t="s">
        <v>14360</v>
      </c>
    </row>
    <row r="736" spans="1:2" x14ac:dyDescent="0.2">
      <c r="A736" t="s">
        <v>19184</v>
      </c>
      <c r="B736" t="s">
        <v>14360</v>
      </c>
    </row>
    <row r="737" spans="1:2" x14ac:dyDescent="0.2">
      <c r="A737" t="s">
        <v>19297</v>
      </c>
      <c r="B737" t="s">
        <v>14360</v>
      </c>
    </row>
    <row r="738" spans="1:2" x14ac:dyDescent="0.2">
      <c r="A738" t="s">
        <v>19980</v>
      </c>
      <c r="B738" t="s">
        <v>14360</v>
      </c>
    </row>
    <row r="739" spans="1:2" x14ac:dyDescent="0.2">
      <c r="A739" t="s">
        <v>19178</v>
      </c>
      <c r="B739" t="s">
        <v>14360</v>
      </c>
    </row>
    <row r="740" spans="1:2" x14ac:dyDescent="0.2">
      <c r="A740" t="s">
        <v>19981</v>
      </c>
      <c r="B740" t="s">
        <v>14360</v>
      </c>
    </row>
    <row r="741" spans="1:2" x14ac:dyDescent="0.2">
      <c r="A741" t="s">
        <v>572</v>
      </c>
      <c r="B741" t="s">
        <v>14360</v>
      </c>
    </row>
    <row r="742" spans="1:2" x14ac:dyDescent="0.2">
      <c r="A742" t="s">
        <v>572</v>
      </c>
      <c r="B742" t="s">
        <v>14360</v>
      </c>
    </row>
    <row r="743" spans="1:2" x14ac:dyDescent="0.2">
      <c r="A743" t="s">
        <v>19561</v>
      </c>
      <c r="B743" t="s">
        <v>14360</v>
      </c>
    </row>
    <row r="744" spans="1:2" x14ac:dyDescent="0.2">
      <c r="A744" t="s">
        <v>19554</v>
      </c>
      <c r="B744" t="s">
        <v>14360</v>
      </c>
    </row>
    <row r="745" spans="1:2" x14ac:dyDescent="0.2">
      <c r="A745" t="s">
        <v>19558</v>
      </c>
      <c r="B745" t="s">
        <v>14360</v>
      </c>
    </row>
    <row r="746" spans="1:2" x14ac:dyDescent="0.2">
      <c r="A746" t="s">
        <v>19651</v>
      </c>
      <c r="B746" t="s">
        <v>14360</v>
      </c>
    </row>
    <row r="747" spans="1:2" x14ac:dyDescent="0.2">
      <c r="A747" t="s">
        <v>19421</v>
      </c>
      <c r="B747" t="s">
        <v>14360</v>
      </c>
    </row>
    <row r="748" spans="1:2" x14ac:dyDescent="0.2">
      <c r="A748" t="s">
        <v>19749</v>
      </c>
      <c r="B748" t="s">
        <v>14360</v>
      </c>
    </row>
    <row r="749" spans="1:2" x14ac:dyDescent="0.2">
      <c r="A749" t="s">
        <v>19683</v>
      </c>
      <c r="B749" t="s">
        <v>14360</v>
      </c>
    </row>
    <row r="750" spans="1:2" x14ac:dyDescent="0.2">
      <c r="A750" t="s">
        <v>19481</v>
      </c>
      <c r="B750" t="s">
        <v>14360</v>
      </c>
    </row>
    <row r="751" spans="1:2" x14ac:dyDescent="0.2">
      <c r="A751" t="s">
        <v>19317</v>
      </c>
      <c r="B751" t="s">
        <v>14360</v>
      </c>
    </row>
    <row r="752" spans="1:2" x14ac:dyDescent="0.2">
      <c r="A752" t="s">
        <v>19188</v>
      </c>
      <c r="B752" t="s">
        <v>14360</v>
      </c>
    </row>
    <row r="753" spans="1:2" x14ac:dyDescent="0.2">
      <c r="A753" t="s">
        <v>19425</v>
      </c>
      <c r="B753" t="s">
        <v>14360</v>
      </c>
    </row>
    <row r="754" spans="1:2" x14ac:dyDescent="0.2">
      <c r="A754" t="s">
        <v>19373</v>
      </c>
      <c r="B754" t="s">
        <v>14360</v>
      </c>
    </row>
    <row r="755" spans="1:2" x14ac:dyDescent="0.2">
      <c r="A755" t="s">
        <v>19982</v>
      </c>
      <c r="B755" t="s">
        <v>14360</v>
      </c>
    </row>
    <row r="756" spans="1:2" x14ac:dyDescent="0.2">
      <c r="A756" t="s">
        <v>19219</v>
      </c>
      <c r="B756" t="s">
        <v>14360</v>
      </c>
    </row>
    <row r="757" spans="1:2" x14ac:dyDescent="0.2">
      <c r="A757" t="s">
        <v>19299</v>
      </c>
      <c r="B757" t="s">
        <v>14360</v>
      </c>
    </row>
    <row r="758" spans="1:2" x14ac:dyDescent="0.2">
      <c r="A758" t="s">
        <v>577</v>
      </c>
      <c r="B758" t="s">
        <v>14360</v>
      </c>
    </row>
    <row r="759" spans="1:2" x14ac:dyDescent="0.2">
      <c r="A759" t="s">
        <v>19531</v>
      </c>
      <c r="B759" t="s">
        <v>14360</v>
      </c>
    </row>
    <row r="760" spans="1:2" x14ac:dyDescent="0.2">
      <c r="A760" t="s">
        <v>19505</v>
      </c>
      <c r="B760" t="s">
        <v>14360</v>
      </c>
    </row>
    <row r="761" spans="1:2" x14ac:dyDescent="0.2">
      <c r="A761" t="s">
        <v>19504</v>
      </c>
      <c r="B761" t="s">
        <v>14360</v>
      </c>
    </row>
    <row r="762" spans="1:2" x14ac:dyDescent="0.2">
      <c r="A762" t="s">
        <v>19503</v>
      </c>
      <c r="B762" t="s">
        <v>14360</v>
      </c>
    </row>
    <row r="763" spans="1:2" x14ac:dyDescent="0.2">
      <c r="A763" t="s">
        <v>19493</v>
      </c>
      <c r="B763" t="s">
        <v>14360</v>
      </c>
    </row>
    <row r="764" spans="1:2" x14ac:dyDescent="0.2">
      <c r="A764" t="s">
        <v>19476</v>
      </c>
      <c r="B764" t="s">
        <v>14360</v>
      </c>
    </row>
    <row r="765" spans="1:2" x14ac:dyDescent="0.2">
      <c r="A765" t="s">
        <v>19321</v>
      </c>
      <c r="B765" t="s">
        <v>14360</v>
      </c>
    </row>
    <row r="766" spans="1:2" x14ac:dyDescent="0.2">
      <c r="A766" t="s">
        <v>19500</v>
      </c>
      <c r="B766" t="s">
        <v>14360</v>
      </c>
    </row>
    <row r="767" spans="1:2" x14ac:dyDescent="0.2">
      <c r="A767" t="s">
        <v>19345</v>
      </c>
      <c r="B767" t="s">
        <v>14360</v>
      </c>
    </row>
    <row r="768" spans="1:2" x14ac:dyDescent="0.2">
      <c r="A768" t="s">
        <v>19580</v>
      </c>
      <c r="B768" t="s">
        <v>14360</v>
      </c>
    </row>
    <row r="769" spans="1:2" x14ac:dyDescent="0.2">
      <c r="A769" t="s">
        <v>19983</v>
      </c>
      <c r="B769" t="s">
        <v>14360</v>
      </c>
    </row>
    <row r="770" spans="1:2" x14ac:dyDescent="0.2">
      <c r="A770" t="s">
        <v>19984</v>
      </c>
      <c r="B770" t="s">
        <v>14360</v>
      </c>
    </row>
    <row r="771" spans="1:2" x14ac:dyDescent="0.2">
      <c r="A771" t="s">
        <v>19374</v>
      </c>
      <c r="B771" t="s">
        <v>8135</v>
      </c>
    </row>
    <row r="772" spans="1:2" x14ac:dyDescent="0.2">
      <c r="A772" t="s">
        <v>19680</v>
      </c>
      <c r="B772" t="s">
        <v>14360</v>
      </c>
    </row>
    <row r="773" spans="1:2" x14ac:dyDescent="0.2">
      <c r="A773" t="s">
        <v>19985</v>
      </c>
      <c r="B773" t="s">
        <v>5984</v>
      </c>
    </row>
    <row r="774" spans="1:2" x14ac:dyDescent="0.2">
      <c r="A774" t="s">
        <v>19986</v>
      </c>
      <c r="B774" t="s">
        <v>14360</v>
      </c>
    </row>
    <row r="775" spans="1:2" x14ac:dyDescent="0.2">
      <c r="A775" t="s">
        <v>19286</v>
      </c>
      <c r="B775" t="s">
        <v>20424</v>
      </c>
    </row>
    <row r="776" spans="1:2" x14ac:dyDescent="0.2">
      <c r="A776" t="s">
        <v>19987</v>
      </c>
      <c r="B776" t="s">
        <v>14360</v>
      </c>
    </row>
    <row r="777" spans="1:2" x14ac:dyDescent="0.2">
      <c r="A777" t="s">
        <v>19519</v>
      </c>
      <c r="B777" t="s">
        <v>14360</v>
      </c>
    </row>
    <row r="778" spans="1:2" x14ac:dyDescent="0.2">
      <c r="A778" t="s">
        <v>19988</v>
      </c>
      <c r="B778" t="s">
        <v>4481</v>
      </c>
    </row>
    <row r="779" spans="1:2" x14ac:dyDescent="0.2">
      <c r="A779" t="s">
        <v>19542</v>
      </c>
      <c r="B779" t="s">
        <v>20433</v>
      </c>
    </row>
    <row r="780" spans="1:2" x14ac:dyDescent="0.2">
      <c r="A780" t="s">
        <v>19492</v>
      </c>
      <c r="B780" t="s">
        <v>14360</v>
      </c>
    </row>
    <row r="781" spans="1:2" x14ac:dyDescent="0.2">
      <c r="A781" t="s">
        <v>19296</v>
      </c>
      <c r="B781" t="s">
        <v>14360</v>
      </c>
    </row>
    <row r="782" spans="1:2" x14ac:dyDescent="0.2">
      <c r="A782" t="s">
        <v>19543</v>
      </c>
      <c r="B782" t="s">
        <v>14360</v>
      </c>
    </row>
    <row r="783" spans="1:2" x14ac:dyDescent="0.2">
      <c r="A783" t="s">
        <v>19207</v>
      </c>
      <c r="B783" t="s">
        <v>14360</v>
      </c>
    </row>
    <row r="784" spans="1:2" x14ac:dyDescent="0.2">
      <c r="A784" t="s">
        <v>19312</v>
      </c>
      <c r="B784" t="s">
        <v>6881</v>
      </c>
    </row>
    <row r="785" spans="1:2" x14ac:dyDescent="0.2">
      <c r="A785" t="s">
        <v>19275</v>
      </c>
      <c r="B785" t="s">
        <v>14360</v>
      </c>
    </row>
    <row r="786" spans="1:2" x14ac:dyDescent="0.2">
      <c r="A786" t="s">
        <v>19175</v>
      </c>
      <c r="B786" t="s">
        <v>14360</v>
      </c>
    </row>
    <row r="787" spans="1:2" x14ac:dyDescent="0.2">
      <c r="A787" t="s">
        <v>586</v>
      </c>
      <c r="B787" t="s">
        <v>14360</v>
      </c>
    </row>
    <row r="788" spans="1:2" x14ac:dyDescent="0.2">
      <c r="A788" t="s">
        <v>586</v>
      </c>
      <c r="B788" t="s">
        <v>14360</v>
      </c>
    </row>
    <row r="789" spans="1:2" x14ac:dyDescent="0.2">
      <c r="A789" t="s">
        <v>19368</v>
      </c>
      <c r="B789" t="s">
        <v>14360</v>
      </c>
    </row>
    <row r="790" spans="1:2" x14ac:dyDescent="0.2">
      <c r="A790" t="s">
        <v>19213</v>
      </c>
      <c r="B790" t="s">
        <v>5665</v>
      </c>
    </row>
    <row r="791" spans="1:2" x14ac:dyDescent="0.2">
      <c r="A791" t="s">
        <v>19215</v>
      </c>
      <c r="B791" t="s">
        <v>5673</v>
      </c>
    </row>
    <row r="792" spans="1:2" x14ac:dyDescent="0.2">
      <c r="A792" t="s">
        <v>19279</v>
      </c>
      <c r="B792" t="s">
        <v>14360</v>
      </c>
    </row>
    <row r="793" spans="1:2" x14ac:dyDescent="0.2">
      <c r="A793" t="s">
        <v>19989</v>
      </c>
      <c r="B793" t="s">
        <v>14360</v>
      </c>
    </row>
    <row r="794" spans="1:2" x14ac:dyDescent="0.2">
      <c r="A794" t="s">
        <v>19348</v>
      </c>
      <c r="B794" t="s">
        <v>7545</v>
      </c>
    </row>
    <row r="795" spans="1:2" x14ac:dyDescent="0.2">
      <c r="A795" t="s">
        <v>19990</v>
      </c>
      <c r="B795" t="s">
        <v>14360</v>
      </c>
    </row>
    <row r="796" spans="1:2" x14ac:dyDescent="0.2">
      <c r="A796" t="s">
        <v>19290</v>
      </c>
      <c r="B796" t="s">
        <v>14360</v>
      </c>
    </row>
    <row r="797" spans="1:2" x14ac:dyDescent="0.2">
      <c r="A797" t="s">
        <v>19536</v>
      </c>
      <c r="B797" t="s">
        <v>14360</v>
      </c>
    </row>
    <row r="798" spans="1:2" x14ac:dyDescent="0.2">
      <c r="A798" t="s">
        <v>19590</v>
      </c>
      <c r="B798" t="s">
        <v>20420</v>
      </c>
    </row>
    <row r="799" spans="1:2" x14ac:dyDescent="0.2">
      <c r="A799" t="s">
        <v>19547</v>
      </c>
      <c r="B799" t="s">
        <v>20416</v>
      </c>
    </row>
    <row r="800" spans="1:2" x14ac:dyDescent="0.2">
      <c r="A800" t="s">
        <v>19991</v>
      </c>
      <c r="B800" t="s">
        <v>14360</v>
      </c>
    </row>
    <row r="801" spans="1:2" x14ac:dyDescent="0.2">
      <c r="A801" t="s">
        <v>19992</v>
      </c>
      <c r="B801" t="s">
        <v>14360</v>
      </c>
    </row>
    <row r="802" spans="1:2" x14ac:dyDescent="0.2">
      <c r="A802" t="s">
        <v>19593</v>
      </c>
      <c r="B802" t="s">
        <v>14360</v>
      </c>
    </row>
    <row r="803" spans="1:2" x14ac:dyDescent="0.2">
      <c r="A803" t="s">
        <v>20115</v>
      </c>
      <c r="B803" t="s">
        <v>14360</v>
      </c>
    </row>
    <row r="804" spans="1:2" x14ac:dyDescent="0.2">
      <c r="A804" t="s">
        <v>19246</v>
      </c>
      <c r="B804" t="s">
        <v>14360</v>
      </c>
    </row>
    <row r="805" spans="1:2" x14ac:dyDescent="0.2">
      <c r="A805" t="s">
        <v>19676</v>
      </c>
      <c r="B805" t="s">
        <v>14360</v>
      </c>
    </row>
    <row r="806" spans="1:2" x14ac:dyDescent="0.2">
      <c r="A806" t="s">
        <v>19993</v>
      </c>
      <c r="B806" t="s">
        <v>14360</v>
      </c>
    </row>
    <row r="807" spans="1:2" x14ac:dyDescent="0.2">
      <c r="A807" t="s">
        <v>19994</v>
      </c>
      <c r="B807" t="s">
        <v>14360</v>
      </c>
    </row>
    <row r="808" spans="1:2" x14ac:dyDescent="0.2">
      <c r="A808" t="s">
        <v>19995</v>
      </c>
      <c r="B808" t="s">
        <v>14360</v>
      </c>
    </row>
    <row r="809" spans="1:2" x14ac:dyDescent="0.2">
      <c r="A809" t="s">
        <v>19185</v>
      </c>
      <c r="B809" t="s">
        <v>5265</v>
      </c>
    </row>
    <row r="810" spans="1:2" x14ac:dyDescent="0.2">
      <c r="A810" t="s">
        <v>19359</v>
      </c>
      <c r="B810" t="s">
        <v>7894</v>
      </c>
    </row>
    <row r="811" spans="1:2" x14ac:dyDescent="0.2">
      <c r="A811" t="s">
        <v>19209</v>
      </c>
      <c r="B811" t="s">
        <v>14360</v>
      </c>
    </row>
    <row r="812" spans="1:2" x14ac:dyDescent="0.2">
      <c r="A812" t="s">
        <v>19996</v>
      </c>
      <c r="B812" t="s">
        <v>14360</v>
      </c>
    </row>
    <row r="813" spans="1:2" x14ac:dyDescent="0.2">
      <c r="A813" t="s">
        <v>19334</v>
      </c>
      <c r="B813" t="s">
        <v>14360</v>
      </c>
    </row>
    <row r="814" spans="1:2" x14ac:dyDescent="0.2">
      <c r="A814" t="s">
        <v>19216</v>
      </c>
      <c r="B814" t="s">
        <v>14360</v>
      </c>
    </row>
    <row r="815" spans="1:2" x14ac:dyDescent="0.2">
      <c r="A815" t="s">
        <v>19570</v>
      </c>
      <c r="B815" t="s">
        <v>14360</v>
      </c>
    </row>
    <row r="816" spans="1:2" x14ac:dyDescent="0.2">
      <c r="A816" t="s">
        <v>19303</v>
      </c>
      <c r="B816" t="s">
        <v>6875</v>
      </c>
    </row>
    <row r="817" spans="1:2" x14ac:dyDescent="0.2">
      <c r="A817" t="s">
        <v>19264</v>
      </c>
      <c r="B817" t="s">
        <v>14360</v>
      </c>
    </row>
    <row r="818" spans="1:2" x14ac:dyDescent="0.2">
      <c r="A818" t="s">
        <v>19194</v>
      </c>
      <c r="B818" t="s">
        <v>5368</v>
      </c>
    </row>
    <row r="819" spans="1:2" x14ac:dyDescent="0.2">
      <c r="A819" t="s">
        <v>19217</v>
      </c>
      <c r="B819" t="s">
        <v>14360</v>
      </c>
    </row>
    <row r="820" spans="1:2" x14ac:dyDescent="0.2">
      <c r="A820" t="s">
        <v>19689</v>
      </c>
      <c r="B820" t="s">
        <v>14360</v>
      </c>
    </row>
    <row r="821" spans="1:2" x14ac:dyDescent="0.2">
      <c r="A821" t="s">
        <v>19224</v>
      </c>
      <c r="B821" t="s">
        <v>14360</v>
      </c>
    </row>
    <row r="822" spans="1:2" x14ac:dyDescent="0.2">
      <c r="A822" t="s">
        <v>19287</v>
      </c>
      <c r="B822" t="s">
        <v>14360</v>
      </c>
    </row>
    <row r="823" spans="1:2" x14ac:dyDescent="0.2">
      <c r="A823" t="s">
        <v>19997</v>
      </c>
      <c r="B823" t="s">
        <v>14360</v>
      </c>
    </row>
    <row r="824" spans="1:2" x14ac:dyDescent="0.2">
      <c r="A824" t="s">
        <v>590</v>
      </c>
      <c r="B824" t="s">
        <v>14360</v>
      </c>
    </row>
    <row r="825" spans="1:2" x14ac:dyDescent="0.2">
      <c r="A825" t="s">
        <v>590</v>
      </c>
      <c r="B825" t="s">
        <v>14360</v>
      </c>
    </row>
    <row r="826" spans="1:2" x14ac:dyDescent="0.2">
      <c r="A826" t="s">
        <v>19998</v>
      </c>
      <c r="B826" t="s">
        <v>14360</v>
      </c>
    </row>
    <row r="827" spans="1:2" x14ac:dyDescent="0.2">
      <c r="A827" t="s">
        <v>19342</v>
      </c>
      <c r="B827" t="s">
        <v>14360</v>
      </c>
    </row>
    <row r="828" spans="1:2" x14ac:dyDescent="0.2">
      <c r="A828" t="s">
        <v>19999</v>
      </c>
      <c r="B828" t="s">
        <v>14360</v>
      </c>
    </row>
    <row r="829" spans="1:2" x14ac:dyDescent="0.2">
      <c r="A829" t="s">
        <v>19202</v>
      </c>
      <c r="B829" t="s">
        <v>14360</v>
      </c>
    </row>
    <row r="830" spans="1:2" x14ac:dyDescent="0.2">
      <c r="A830" t="s">
        <v>19256</v>
      </c>
      <c r="B830" t="s">
        <v>14360</v>
      </c>
    </row>
    <row r="831" spans="1:2" x14ac:dyDescent="0.2">
      <c r="A831" t="s">
        <v>20000</v>
      </c>
      <c r="B831" t="s">
        <v>14360</v>
      </c>
    </row>
    <row r="832" spans="1:2" x14ac:dyDescent="0.2">
      <c r="A832" t="s">
        <v>19736</v>
      </c>
      <c r="B832" t="s">
        <v>14360</v>
      </c>
    </row>
    <row r="833" spans="1:2" x14ac:dyDescent="0.2">
      <c r="A833" t="s">
        <v>19183</v>
      </c>
      <c r="B833" t="s">
        <v>5273</v>
      </c>
    </row>
    <row r="834" spans="1:2" x14ac:dyDescent="0.2">
      <c r="A834" t="s">
        <v>7569</v>
      </c>
      <c r="B834" t="s">
        <v>14360</v>
      </c>
    </row>
    <row r="835" spans="1:2" x14ac:dyDescent="0.2">
      <c r="A835" t="s">
        <v>595</v>
      </c>
      <c r="B835" t="s">
        <v>14360</v>
      </c>
    </row>
    <row r="836" spans="1:2" x14ac:dyDescent="0.2">
      <c r="A836" t="s">
        <v>595</v>
      </c>
      <c r="B836" t="s">
        <v>14360</v>
      </c>
    </row>
    <row r="837" spans="1:2" x14ac:dyDescent="0.2">
      <c r="A837" t="s">
        <v>20001</v>
      </c>
      <c r="B837" t="s">
        <v>14360</v>
      </c>
    </row>
    <row r="838" spans="1:2" x14ac:dyDescent="0.2">
      <c r="A838" t="s">
        <v>20116</v>
      </c>
      <c r="B838" t="s">
        <v>14360</v>
      </c>
    </row>
    <row r="839" spans="1:2" x14ac:dyDescent="0.2">
      <c r="A839" t="s">
        <v>19487</v>
      </c>
      <c r="B839" t="s">
        <v>14360</v>
      </c>
    </row>
    <row r="840" spans="1:2" x14ac:dyDescent="0.2">
      <c r="A840" t="s">
        <v>19448</v>
      </c>
      <c r="B840" t="s">
        <v>14360</v>
      </c>
    </row>
    <row r="841" spans="1:2" x14ac:dyDescent="0.2">
      <c r="A841" t="s">
        <v>20002</v>
      </c>
      <c r="B841" t="s">
        <v>14360</v>
      </c>
    </row>
    <row r="842" spans="1:2" x14ac:dyDescent="0.2">
      <c r="A842" t="s">
        <v>19371</v>
      </c>
      <c r="B842" t="s">
        <v>7988</v>
      </c>
    </row>
    <row r="843" spans="1:2" x14ac:dyDescent="0.2">
      <c r="A843" t="s">
        <v>19655</v>
      </c>
      <c r="B843" t="s">
        <v>14360</v>
      </c>
    </row>
    <row r="844" spans="1:2" x14ac:dyDescent="0.2">
      <c r="A844" t="s">
        <v>19259</v>
      </c>
      <c r="B844" t="s">
        <v>14360</v>
      </c>
    </row>
    <row r="845" spans="1:2" x14ac:dyDescent="0.2">
      <c r="A845" t="s">
        <v>603</v>
      </c>
      <c r="B845" t="s">
        <v>602</v>
      </c>
    </row>
    <row r="846" spans="1:2" x14ac:dyDescent="0.2">
      <c r="A846" t="s">
        <v>603</v>
      </c>
      <c r="B846" t="s">
        <v>602</v>
      </c>
    </row>
    <row r="847" spans="1:2" x14ac:dyDescent="0.2">
      <c r="A847" t="s">
        <v>20003</v>
      </c>
      <c r="B847" t="s">
        <v>14360</v>
      </c>
    </row>
    <row r="848" spans="1:2" x14ac:dyDescent="0.2">
      <c r="A848" t="s">
        <v>20004</v>
      </c>
      <c r="B848" t="s">
        <v>14360</v>
      </c>
    </row>
    <row r="849" spans="1:2" x14ac:dyDescent="0.2">
      <c r="A849" t="s">
        <v>19419</v>
      </c>
      <c r="B849" t="s">
        <v>14360</v>
      </c>
    </row>
    <row r="850" spans="1:2" x14ac:dyDescent="0.2">
      <c r="A850" t="s">
        <v>19523</v>
      </c>
      <c r="B850" t="s">
        <v>14360</v>
      </c>
    </row>
    <row r="851" spans="1:2" x14ac:dyDescent="0.2">
      <c r="A851" t="s">
        <v>19657</v>
      </c>
      <c r="B851" t="s">
        <v>14360</v>
      </c>
    </row>
    <row r="852" spans="1:2" x14ac:dyDescent="0.2">
      <c r="A852" t="s">
        <v>19762</v>
      </c>
      <c r="B852" t="s">
        <v>14360</v>
      </c>
    </row>
    <row r="853" spans="1:2" x14ac:dyDescent="0.2">
      <c r="A853" t="s">
        <v>19257</v>
      </c>
      <c r="B853" t="s">
        <v>14360</v>
      </c>
    </row>
    <row r="854" spans="1:2" x14ac:dyDescent="0.2">
      <c r="A854" t="s">
        <v>19518</v>
      </c>
      <c r="B854" t="s">
        <v>14360</v>
      </c>
    </row>
    <row r="855" spans="1:2" x14ac:dyDescent="0.2">
      <c r="A855" t="s">
        <v>19427</v>
      </c>
      <c r="B855" t="s">
        <v>14360</v>
      </c>
    </row>
    <row r="856" spans="1:2" x14ac:dyDescent="0.2">
      <c r="A856" t="s">
        <v>19491</v>
      </c>
      <c r="B856" t="s">
        <v>14360</v>
      </c>
    </row>
    <row r="857" spans="1:2" x14ac:dyDescent="0.2">
      <c r="A857" t="s">
        <v>19496</v>
      </c>
      <c r="B857" t="s">
        <v>14360</v>
      </c>
    </row>
    <row r="858" spans="1:2" x14ac:dyDescent="0.2">
      <c r="A858" t="s">
        <v>20005</v>
      </c>
      <c r="B858" t="s">
        <v>14360</v>
      </c>
    </row>
    <row r="859" spans="1:2" x14ac:dyDescent="0.2">
      <c r="A859" t="s">
        <v>20006</v>
      </c>
      <c r="B859" t="s">
        <v>14360</v>
      </c>
    </row>
    <row r="860" spans="1:2" x14ac:dyDescent="0.2">
      <c r="A860" t="s">
        <v>20007</v>
      </c>
      <c r="B860" t="s">
        <v>14360</v>
      </c>
    </row>
    <row r="861" spans="1:2" x14ac:dyDescent="0.2">
      <c r="A861" t="s">
        <v>20008</v>
      </c>
      <c r="B861" t="s">
        <v>14360</v>
      </c>
    </row>
    <row r="862" spans="1:2" x14ac:dyDescent="0.2">
      <c r="A862" t="s">
        <v>19516</v>
      </c>
      <c r="B862" t="s">
        <v>14360</v>
      </c>
    </row>
    <row r="863" spans="1:2" x14ac:dyDescent="0.2">
      <c r="A863" t="s">
        <v>20009</v>
      </c>
      <c r="B863" t="s">
        <v>14360</v>
      </c>
    </row>
    <row r="864" spans="1:2" x14ac:dyDescent="0.2">
      <c r="A864" t="s">
        <v>19582</v>
      </c>
      <c r="B864" t="s">
        <v>14360</v>
      </c>
    </row>
    <row r="865" spans="1:2" x14ac:dyDescent="0.2">
      <c r="A865" t="s">
        <v>20010</v>
      </c>
      <c r="B865" t="s">
        <v>14360</v>
      </c>
    </row>
    <row r="866" spans="1:2" x14ac:dyDescent="0.2">
      <c r="A866" t="s">
        <v>20011</v>
      </c>
      <c r="B866" t="s">
        <v>14360</v>
      </c>
    </row>
    <row r="867" spans="1:2" x14ac:dyDescent="0.2">
      <c r="A867" t="s">
        <v>19695</v>
      </c>
      <c r="B867" t="s">
        <v>3995</v>
      </c>
    </row>
    <row r="868" spans="1:2" x14ac:dyDescent="0.2">
      <c r="A868" t="s">
        <v>19692</v>
      </c>
      <c r="B868" t="s">
        <v>14360</v>
      </c>
    </row>
    <row r="869" spans="1:2" x14ac:dyDescent="0.2">
      <c r="A869" t="s">
        <v>19201</v>
      </c>
      <c r="B869" t="s">
        <v>5482</v>
      </c>
    </row>
    <row r="870" spans="1:2" x14ac:dyDescent="0.2">
      <c r="A870" t="s">
        <v>20012</v>
      </c>
      <c r="B870" t="s">
        <v>14360</v>
      </c>
    </row>
    <row r="871" spans="1:2" x14ac:dyDescent="0.2">
      <c r="A871" t="s">
        <v>19730</v>
      </c>
      <c r="B871" t="s">
        <v>14360</v>
      </c>
    </row>
    <row r="872" spans="1:2" x14ac:dyDescent="0.2">
      <c r="A872" t="s">
        <v>19174</v>
      </c>
      <c r="B872" t="s">
        <v>14360</v>
      </c>
    </row>
    <row r="873" spans="1:2" x14ac:dyDescent="0.2">
      <c r="A873" t="s">
        <v>19304</v>
      </c>
      <c r="B873" t="s">
        <v>14360</v>
      </c>
    </row>
    <row r="874" spans="1:2" x14ac:dyDescent="0.2">
      <c r="A874" t="s">
        <v>19372</v>
      </c>
      <c r="B874" t="s">
        <v>20459</v>
      </c>
    </row>
    <row r="875" spans="1:2" x14ac:dyDescent="0.2">
      <c r="A875" t="s">
        <v>19720</v>
      </c>
      <c r="B875" t="s">
        <v>14360</v>
      </c>
    </row>
    <row r="876" spans="1:2" x14ac:dyDescent="0.2">
      <c r="A876" t="s">
        <v>19739</v>
      </c>
      <c r="B876" t="s">
        <v>14360</v>
      </c>
    </row>
    <row r="877" spans="1:2" x14ac:dyDescent="0.2">
      <c r="A877" t="s">
        <v>19370</v>
      </c>
      <c r="B877" t="s">
        <v>14360</v>
      </c>
    </row>
    <row r="878" spans="1:2" x14ac:dyDescent="0.2">
      <c r="A878" t="s">
        <v>53</v>
      </c>
      <c r="B878" t="s">
        <v>14360</v>
      </c>
    </row>
    <row r="879" spans="1:2" x14ac:dyDescent="0.2">
      <c r="A879" t="s">
        <v>59</v>
      </c>
      <c r="B879" t="s">
        <v>14360</v>
      </c>
    </row>
    <row r="880" spans="1:2" x14ac:dyDescent="0.2">
      <c r="A880" t="s">
        <v>64</v>
      </c>
      <c r="B880" t="s">
        <v>14360</v>
      </c>
    </row>
    <row r="881" spans="1:2" x14ac:dyDescent="0.2">
      <c r="A881" t="s">
        <v>20013</v>
      </c>
      <c r="B881" t="s">
        <v>14360</v>
      </c>
    </row>
    <row r="882" spans="1:2" x14ac:dyDescent="0.2">
      <c r="A882" t="s">
        <v>20014</v>
      </c>
      <c r="B882" t="s">
        <v>14360</v>
      </c>
    </row>
    <row r="883" spans="1:2" x14ac:dyDescent="0.2">
      <c r="A883" t="s">
        <v>19604</v>
      </c>
      <c r="B883" t="s">
        <v>14360</v>
      </c>
    </row>
    <row r="884" spans="1:2" x14ac:dyDescent="0.2">
      <c r="A884" t="s">
        <v>20015</v>
      </c>
      <c r="B884" t="s">
        <v>14360</v>
      </c>
    </row>
    <row r="885" spans="1:2" x14ac:dyDescent="0.2">
      <c r="A885" t="s">
        <v>19686</v>
      </c>
      <c r="B885" t="s">
        <v>4011</v>
      </c>
    </row>
    <row r="886" spans="1:2" x14ac:dyDescent="0.2">
      <c r="A886" t="s">
        <v>19383</v>
      </c>
      <c r="B886" t="s">
        <v>8274</v>
      </c>
    </row>
    <row r="887" spans="1:2" x14ac:dyDescent="0.2">
      <c r="A887" t="s">
        <v>19176</v>
      </c>
      <c r="B887" t="s">
        <v>5201</v>
      </c>
    </row>
    <row r="888" spans="1:2" x14ac:dyDescent="0.2">
      <c r="A888" t="s">
        <v>19392</v>
      </c>
      <c r="B888" t="s">
        <v>8369</v>
      </c>
    </row>
    <row r="889" spans="1:2" x14ac:dyDescent="0.2">
      <c r="A889" t="s">
        <v>19628</v>
      </c>
      <c r="B889" t="s">
        <v>4674</v>
      </c>
    </row>
    <row r="890" spans="1:2" x14ac:dyDescent="0.2">
      <c r="A890" t="s">
        <v>19397</v>
      </c>
      <c r="B890" t="s">
        <v>14360</v>
      </c>
    </row>
    <row r="891" spans="1:2" x14ac:dyDescent="0.2">
      <c r="A891" t="s">
        <v>20117</v>
      </c>
      <c r="B891" t="s">
        <v>14360</v>
      </c>
    </row>
    <row r="892" spans="1:2" x14ac:dyDescent="0.2">
      <c r="A892" t="s">
        <v>20016</v>
      </c>
      <c r="B892" t="s">
        <v>14360</v>
      </c>
    </row>
    <row r="893" spans="1:2" x14ac:dyDescent="0.2">
      <c r="A893" t="s">
        <v>20017</v>
      </c>
      <c r="B893" t="s">
        <v>14360</v>
      </c>
    </row>
    <row r="894" spans="1:2" x14ac:dyDescent="0.2">
      <c r="A894" t="s">
        <v>19656</v>
      </c>
      <c r="B894" t="s">
        <v>5122</v>
      </c>
    </row>
    <row r="895" spans="1:2" x14ac:dyDescent="0.2">
      <c r="A895" t="s">
        <v>20018</v>
      </c>
      <c r="B895" t="s">
        <v>14360</v>
      </c>
    </row>
    <row r="896" spans="1:2" x14ac:dyDescent="0.2">
      <c r="A896" t="s">
        <v>20019</v>
      </c>
      <c r="B896" t="s">
        <v>14360</v>
      </c>
    </row>
    <row r="897" spans="1:2" x14ac:dyDescent="0.2">
      <c r="A897" t="s">
        <v>20020</v>
      </c>
      <c r="B897" t="s">
        <v>14360</v>
      </c>
    </row>
    <row r="898" spans="1:2" x14ac:dyDescent="0.2">
      <c r="A898" t="s">
        <v>20021</v>
      </c>
      <c r="B898" t="s">
        <v>14360</v>
      </c>
    </row>
    <row r="899" spans="1:2" x14ac:dyDescent="0.2">
      <c r="A899" t="s">
        <v>19765</v>
      </c>
      <c r="B899" t="s">
        <v>14360</v>
      </c>
    </row>
    <row r="900" spans="1:2" x14ac:dyDescent="0.2">
      <c r="A900" t="s">
        <v>20022</v>
      </c>
      <c r="B900" t="s">
        <v>14360</v>
      </c>
    </row>
    <row r="901" spans="1:2" x14ac:dyDescent="0.2">
      <c r="A901" t="s">
        <v>20023</v>
      </c>
      <c r="B901" t="s">
        <v>14360</v>
      </c>
    </row>
    <row r="902" spans="1:2" x14ac:dyDescent="0.2">
      <c r="A902" t="s">
        <v>20024</v>
      </c>
      <c r="B902" t="s">
        <v>14360</v>
      </c>
    </row>
    <row r="903" spans="1:2" x14ac:dyDescent="0.2">
      <c r="A903" t="s">
        <v>20025</v>
      </c>
      <c r="B903" t="s">
        <v>14360</v>
      </c>
    </row>
    <row r="904" spans="1:2" x14ac:dyDescent="0.2">
      <c r="A904" t="s">
        <v>19694</v>
      </c>
      <c r="B904" t="s">
        <v>3940</v>
      </c>
    </row>
    <row r="905" spans="1:2" x14ac:dyDescent="0.2">
      <c r="A905" t="s">
        <v>19704</v>
      </c>
      <c r="B905" t="s">
        <v>14360</v>
      </c>
    </row>
    <row r="906" spans="1:2" x14ac:dyDescent="0.2">
      <c r="A906" t="s">
        <v>19236</v>
      </c>
      <c r="B906" t="s">
        <v>14360</v>
      </c>
    </row>
    <row r="907" spans="1:2" x14ac:dyDescent="0.2">
      <c r="A907" t="s">
        <v>19395</v>
      </c>
      <c r="B907" t="s">
        <v>14360</v>
      </c>
    </row>
    <row r="908" spans="1:2" x14ac:dyDescent="0.2">
      <c r="A908" t="s">
        <v>19443</v>
      </c>
      <c r="B908" t="s">
        <v>14360</v>
      </c>
    </row>
    <row r="909" spans="1:2" x14ac:dyDescent="0.2">
      <c r="A909" t="s">
        <v>20026</v>
      </c>
      <c r="B909" t="s">
        <v>14360</v>
      </c>
    </row>
    <row r="910" spans="1:2" x14ac:dyDescent="0.2">
      <c r="A910" t="s">
        <v>20027</v>
      </c>
      <c r="B910" t="s">
        <v>14360</v>
      </c>
    </row>
    <row r="911" spans="1:2" x14ac:dyDescent="0.2">
      <c r="A911" t="s">
        <v>19244</v>
      </c>
      <c r="B911" t="s">
        <v>14360</v>
      </c>
    </row>
    <row r="912" spans="1:2" x14ac:dyDescent="0.2">
      <c r="A912" t="s">
        <v>5807</v>
      </c>
      <c r="B912" t="s">
        <v>14360</v>
      </c>
    </row>
    <row r="913" spans="1:2" x14ac:dyDescent="0.2">
      <c r="A913" t="s">
        <v>8538</v>
      </c>
      <c r="B913" t="s">
        <v>14360</v>
      </c>
    </row>
    <row r="914" spans="1:2" x14ac:dyDescent="0.2">
      <c r="A914" t="s">
        <v>19748</v>
      </c>
      <c r="B914" t="s">
        <v>19748</v>
      </c>
    </row>
    <row r="915" spans="1:2" x14ac:dyDescent="0.2">
      <c r="A915" t="s">
        <v>10194</v>
      </c>
      <c r="B915" t="s">
        <v>14360</v>
      </c>
    </row>
    <row r="916" spans="1:2" x14ac:dyDescent="0.2">
      <c r="A916" t="s">
        <v>19562</v>
      </c>
      <c r="B916" t="s">
        <v>14360</v>
      </c>
    </row>
    <row r="917" spans="1:2" x14ac:dyDescent="0.2">
      <c r="A917" t="s">
        <v>19329</v>
      </c>
      <c r="B917" t="s">
        <v>14360</v>
      </c>
    </row>
    <row r="918" spans="1:2" x14ac:dyDescent="0.2">
      <c r="A918" t="s">
        <v>19743</v>
      </c>
      <c r="B918" t="s">
        <v>14360</v>
      </c>
    </row>
    <row r="919" spans="1:2" x14ac:dyDescent="0.2">
      <c r="A919" t="s">
        <v>7249</v>
      </c>
      <c r="B919" t="s">
        <v>7249</v>
      </c>
    </row>
    <row r="920" spans="1:2" x14ac:dyDescent="0.2">
      <c r="A920" t="s">
        <v>9776</v>
      </c>
      <c r="B920" t="s">
        <v>9776</v>
      </c>
    </row>
    <row r="921" spans="1:2" x14ac:dyDescent="0.2">
      <c r="A921" t="s">
        <v>4690</v>
      </c>
      <c r="B921" t="s">
        <v>4690</v>
      </c>
    </row>
    <row r="922" spans="1:2" x14ac:dyDescent="0.2">
      <c r="A922" t="s">
        <v>8285</v>
      </c>
      <c r="B922" t="s">
        <v>14360</v>
      </c>
    </row>
    <row r="923" spans="1:2" x14ac:dyDescent="0.2">
      <c r="A923" t="s">
        <v>6068</v>
      </c>
      <c r="B923" t="s">
        <v>14360</v>
      </c>
    </row>
    <row r="924" spans="1:2" x14ac:dyDescent="0.2">
      <c r="A924" t="s">
        <v>6053</v>
      </c>
      <c r="B924" t="s">
        <v>14360</v>
      </c>
    </row>
    <row r="925" spans="1:2" x14ac:dyDescent="0.2">
      <c r="A925" t="s">
        <v>19204</v>
      </c>
      <c r="B925" t="s">
        <v>5553</v>
      </c>
    </row>
    <row r="926" spans="1:2" x14ac:dyDescent="0.2">
      <c r="A926" t="s">
        <v>8022</v>
      </c>
      <c r="B926" t="s">
        <v>8022</v>
      </c>
    </row>
    <row r="927" spans="1:2" x14ac:dyDescent="0.2">
      <c r="A927" t="s">
        <v>6647</v>
      </c>
      <c r="B927" t="s">
        <v>6647</v>
      </c>
    </row>
    <row r="928" spans="1:2" x14ac:dyDescent="0.2">
      <c r="A928" t="s">
        <v>19420</v>
      </c>
      <c r="B928" t="s">
        <v>8707</v>
      </c>
    </row>
    <row r="929" spans="1:2" x14ac:dyDescent="0.2">
      <c r="A929" t="s">
        <v>4817</v>
      </c>
      <c r="B929" t="s">
        <v>4817</v>
      </c>
    </row>
    <row r="930" spans="1:2" x14ac:dyDescent="0.2">
      <c r="A930" t="s">
        <v>5289</v>
      </c>
      <c r="B930" t="s">
        <v>5289</v>
      </c>
    </row>
    <row r="931" spans="1:2" x14ac:dyDescent="0.2">
      <c r="A931" t="s">
        <v>6029</v>
      </c>
      <c r="B931" t="s">
        <v>6029</v>
      </c>
    </row>
    <row r="932" spans="1:2" x14ac:dyDescent="0.2">
      <c r="A932" t="s">
        <v>5703</v>
      </c>
      <c r="B932" t="s">
        <v>14360</v>
      </c>
    </row>
    <row r="933" spans="1:2" x14ac:dyDescent="0.2">
      <c r="A933" t="s">
        <v>6158</v>
      </c>
      <c r="B933" t="s">
        <v>6158</v>
      </c>
    </row>
    <row r="934" spans="1:2" x14ac:dyDescent="0.2">
      <c r="A934" t="s">
        <v>6113</v>
      </c>
      <c r="B934" t="s">
        <v>14360</v>
      </c>
    </row>
    <row r="935" spans="1:2" x14ac:dyDescent="0.2">
      <c r="A935" t="s">
        <v>8667</v>
      </c>
      <c r="B935" t="s">
        <v>14360</v>
      </c>
    </row>
    <row r="936" spans="1:2" x14ac:dyDescent="0.2">
      <c r="A936" t="s">
        <v>4610</v>
      </c>
      <c r="B936" t="s">
        <v>14360</v>
      </c>
    </row>
    <row r="937" spans="1:2" x14ac:dyDescent="0.2">
      <c r="A937" t="s">
        <v>4618</v>
      </c>
      <c r="B937" t="s">
        <v>4618</v>
      </c>
    </row>
    <row r="938" spans="1:2" x14ac:dyDescent="0.2">
      <c r="A938" t="s">
        <v>4809</v>
      </c>
      <c r="B938" t="s">
        <v>4809</v>
      </c>
    </row>
    <row r="939" spans="1:2" x14ac:dyDescent="0.2">
      <c r="A939" t="s">
        <v>6045</v>
      </c>
      <c r="B939" t="s">
        <v>6045</v>
      </c>
    </row>
    <row r="940" spans="1:2" x14ac:dyDescent="0.2">
      <c r="A940" t="s">
        <v>6262</v>
      </c>
      <c r="B940" t="s">
        <v>14360</v>
      </c>
    </row>
    <row r="941" spans="1:2" x14ac:dyDescent="0.2">
      <c r="A941" t="s">
        <v>3597</v>
      </c>
      <c r="B941" t="s">
        <v>3597</v>
      </c>
    </row>
    <row r="942" spans="1:2" x14ac:dyDescent="0.2">
      <c r="A942" t="s">
        <v>7040</v>
      </c>
      <c r="B942" t="s">
        <v>7040</v>
      </c>
    </row>
    <row r="943" spans="1:2" x14ac:dyDescent="0.2">
      <c r="A943" t="s">
        <v>8331</v>
      </c>
      <c r="B943" t="s">
        <v>8331</v>
      </c>
    </row>
    <row r="944" spans="1:2" x14ac:dyDescent="0.2">
      <c r="A944" t="s">
        <v>9787</v>
      </c>
      <c r="B944" t="s">
        <v>14360</v>
      </c>
    </row>
    <row r="945" spans="1:2" x14ac:dyDescent="0.2">
      <c r="A945" t="s">
        <v>6106</v>
      </c>
      <c r="B945" t="s">
        <v>6106</v>
      </c>
    </row>
    <row r="946" spans="1:2" x14ac:dyDescent="0.2">
      <c r="A946" t="s">
        <v>6037</v>
      </c>
      <c r="B946" t="s">
        <v>6037</v>
      </c>
    </row>
    <row r="947" spans="1:2" x14ac:dyDescent="0.2">
      <c r="A947" t="s">
        <v>5831</v>
      </c>
      <c r="B947" t="s">
        <v>14360</v>
      </c>
    </row>
    <row r="948" spans="1:2" x14ac:dyDescent="0.2">
      <c r="A948" t="s">
        <v>4626</v>
      </c>
      <c r="B948" t="s">
        <v>4626</v>
      </c>
    </row>
    <row r="949" spans="1:2" x14ac:dyDescent="0.2">
      <c r="A949" t="s">
        <v>9304</v>
      </c>
      <c r="B949" t="s">
        <v>14360</v>
      </c>
    </row>
    <row r="950" spans="1:2" x14ac:dyDescent="0.2">
      <c r="A950" t="s">
        <v>8643</v>
      </c>
      <c r="B950" t="s">
        <v>8643</v>
      </c>
    </row>
    <row r="951" spans="1:2" x14ac:dyDescent="0.2">
      <c r="A951" t="s">
        <v>8231</v>
      </c>
      <c r="B951" t="s">
        <v>8231</v>
      </c>
    </row>
    <row r="952" spans="1:2" x14ac:dyDescent="0.2">
      <c r="A952" t="s">
        <v>9862</v>
      </c>
      <c r="B952" t="s">
        <v>14360</v>
      </c>
    </row>
    <row r="953" spans="1:2" x14ac:dyDescent="0.2">
      <c r="A953" t="s">
        <v>13297</v>
      </c>
      <c r="B953" t="s">
        <v>14360</v>
      </c>
    </row>
    <row r="954" spans="1:2" x14ac:dyDescent="0.2">
      <c r="A954" t="s">
        <v>6574</v>
      </c>
      <c r="B954" t="s">
        <v>14360</v>
      </c>
    </row>
    <row r="955" spans="1:2" x14ac:dyDescent="0.2">
      <c r="A955" t="s">
        <v>8252</v>
      </c>
      <c r="B955" t="s">
        <v>8252</v>
      </c>
    </row>
    <row r="956" spans="1:2" x14ac:dyDescent="0.2">
      <c r="A956" t="s">
        <v>3606</v>
      </c>
      <c r="B956" t="s">
        <v>3606</v>
      </c>
    </row>
    <row r="957" spans="1:2" x14ac:dyDescent="0.2">
      <c r="A957" t="s">
        <v>8419</v>
      </c>
      <c r="B957" t="s">
        <v>14360</v>
      </c>
    </row>
    <row r="958" spans="1:2" x14ac:dyDescent="0.2">
      <c r="A958" t="s">
        <v>10279</v>
      </c>
      <c r="B958" t="s">
        <v>14360</v>
      </c>
    </row>
    <row r="959" spans="1:2" x14ac:dyDescent="0.2">
      <c r="A959" t="s">
        <v>10282</v>
      </c>
      <c r="B959" t="s">
        <v>14360</v>
      </c>
    </row>
    <row r="960" spans="1:2" x14ac:dyDescent="0.2">
      <c r="A960" t="s">
        <v>10285</v>
      </c>
      <c r="B960" t="s">
        <v>10285</v>
      </c>
    </row>
    <row r="961" spans="1:2" x14ac:dyDescent="0.2">
      <c r="A961" t="s">
        <v>10288</v>
      </c>
      <c r="B961" t="s">
        <v>14360</v>
      </c>
    </row>
    <row r="962" spans="1:2" x14ac:dyDescent="0.2">
      <c r="A962" t="s">
        <v>10291</v>
      </c>
      <c r="B962" t="s">
        <v>10291</v>
      </c>
    </row>
    <row r="963" spans="1:2" x14ac:dyDescent="0.2">
      <c r="A963" t="s">
        <v>4994</v>
      </c>
      <c r="B963" t="s">
        <v>14360</v>
      </c>
    </row>
    <row r="964" spans="1:2" x14ac:dyDescent="0.2">
      <c r="A964" t="s">
        <v>9598</v>
      </c>
      <c r="B964" t="s">
        <v>14360</v>
      </c>
    </row>
    <row r="965" spans="1:2" x14ac:dyDescent="0.2">
      <c r="A965" t="s">
        <v>19556</v>
      </c>
      <c r="B965" t="s">
        <v>19556</v>
      </c>
    </row>
    <row r="966" spans="1:2" x14ac:dyDescent="0.2">
      <c r="A966" t="s">
        <v>8303</v>
      </c>
      <c r="B966" t="s">
        <v>14360</v>
      </c>
    </row>
    <row r="967" spans="1:2" x14ac:dyDescent="0.2">
      <c r="A967" t="s">
        <v>7113</v>
      </c>
      <c r="B967" t="s">
        <v>7113</v>
      </c>
    </row>
    <row r="968" spans="1:2" x14ac:dyDescent="0.2">
      <c r="A968" t="s">
        <v>8036</v>
      </c>
      <c r="B968" t="s">
        <v>14360</v>
      </c>
    </row>
    <row r="969" spans="1:2" x14ac:dyDescent="0.2">
      <c r="A969" t="s">
        <v>12233</v>
      </c>
      <c r="B969" t="s">
        <v>14360</v>
      </c>
    </row>
    <row r="970" spans="1:2" x14ac:dyDescent="0.2">
      <c r="A970" t="s">
        <v>9348</v>
      </c>
      <c r="B970" t="s">
        <v>14360</v>
      </c>
    </row>
    <row r="971" spans="1:2" x14ac:dyDescent="0.2">
      <c r="A971" t="s">
        <v>9332</v>
      </c>
      <c r="B971" t="s">
        <v>14360</v>
      </c>
    </row>
    <row r="972" spans="1:2" x14ac:dyDescent="0.2">
      <c r="A972" t="s">
        <v>7817</v>
      </c>
      <c r="B972" t="s">
        <v>14360</v>
      </c>
    </row>
    <row r="973" spans="1:2" x14ac:dyDescent="0.2">
      <c r="A973" t="s">
        <v>19501</v>
      </c>
      <c r="B973" t="s">
        <v>14360</v>
      </c>
    </row>
    <row r="974" spans="1:2" x14ac:dyDescent="0.2">
      <c r="A974" t="s">
        <v>19495</v>
      </c>
      <c r="B974" t="s">
        <v>14360</v>
      </c>
    </row>
    <row r="975" spans="1:2" x14ac:dyDescent="0.2">
      <c r="A975" t="s">
        <v>9022</v>
      </c>
      <c r="B975" t="s">
        <v>14360</v>
      </c>
    </row>
    <row r="976" spans="1:2" x14ac:dyDescent="0.2">
      <c r="A976" t="s">
        <v>5001</v>
      </c>
      <c r="B976" t="s">
        <v>5001</v>
      </c>
    </row>
    <row r="977" spans="1:2" x14ac:dyDescent="0.2">
      <c r="A977" t="s">
        <v>7968</v>
      </c>
      <c r="B977" t="s">
        <v>14360</v>
      </c>
    </row>
    <row r="978" spans="1:2" x14ac:dyDescent="0.2">
      <c r="A978" t="s">
        <v>9326</v>
      </c>
      <c r="B978" t="s">
        <v>14360</v>
      </c>
    </row>
    <row r="979" spans="1:2" x14ac:dyDescent="0.2">
      <c r="A979" t="s">
        <v>7845</v>
      </c>
      <c r="B979" t="s">
        <v>14360</v>
      </c>
    </row>
    <row r="980" spans="1:2" x14ac:dyDescent="0.2">
      <c r="A980" t="s">
        <v>19498</v>
      </c>
      <c r="B980" t="s">
        <v>14360</v>
      </c>
    </row>
    <row r="981" spans="1:2" x14ac:dyDescent="0.2">
      <c r="A981" t="s">
        <v>19731</v>
      </c>
      <c r="B981" t="s">
        <v>14360</v>
      </c>
    </row>
    <row r="982" spans="1:2" x14ac:dyDescent="0.2">
      <c r="A982" t="s">
        <v>19650</v>
      </c>
      <c r="B982" t="s">
        <v>14360</v>
      </c>
    </row>
    <row r="983" spans="1:2" x14ac:dyDescent="0.2">
      <c r="A983" t="s">
        <v>9593</v>
      </c>
      <c r="B983" t="s">
        <v>14360</v>
      </c>
    </row>
    <row r="984" spans="1:2" x14ac:dyDescent="0.2">
      <c r="A984" t="s">
        <v>7851</v>
      </c>
      <c r="B984" t="s">
        <v>14360</v>
      </c>
    </row>
    <row r="985" spans="1:2" x14ac:dyDescent="0.2">
      <c r="A985" t="s">
        <v>9922</v>
      </c>
      <c r="B985" t="s">
        <v>9922</v>
      </c>
    </row>
    <row r="986" spans="1:2" x14ac:dyDescent="0.2">
      <c r="A986" t="s">
        <v>10260</v>
      </c>
      <c r="B986" t="s">
        <v>14360</v>
      </c>
    </row>
    <row r="987" spans="1:2" x14ac:dyDescent="0.2">
      <c r="A987" t="s">
        <v>9724</v>
      </c>
      <c r="B987" t="s">
        <v>14360</v>
      </c>
    </row>
    <row r="988" spans="1:2" x14ac:dyDescent="0.2">
      <c r="A988" t="s">
        <v>9523</v>
      </c>
      <c r="B988" t="s">
        <v>14360</v>
      </c>
    </row>
    <row r="989" spans="1:2" x14ac:dyDescent="0.2">
      <c r="A989" t="s">
        <v>19560</v>
      </c>
      <c r="B989" t="s">
        <v>9675</v>
      </c>
    </row>
    <row r="990" spans="1:2" x14ac:dyDescent="0.2">
      <c r="A990" t="s">
        <v>6517</v>
      </c>
      <c r="B990" t="s">
        <v>12250</v>
      </c>
    </row>
    <row r="991" spans="1:2" x14ac:dyDescent="0.2">
      <c r="A991" t="s">
        <v>4880</v>
      </c>
      <c r="B991" t="s">
        <v>4880</v>
      </c>
    </row>
    <row r="992" spans="1:2" x14ac:dyDescent="0.2">
      <c r="A992" t="s">
        <v>6389</v>
      </c>
      <c r="B992" t="s">
        <v>6389</v>
      </c>
    </row>
    <row r="993" spans="1:2" x14ac:dyDescent="0.2">
      <c r="A993" t="s">
        <v>9812</v>
      </c>
      <c r="B993" t="s">
        <v>14360</v>
      </c>
    </row>
    <row r="994" spans="1:2" x14ac:dyDescent="0.2">
      <c r="A994" t="s">
        <v>9809</v>
      </c>
      <c r="B994" t="s">
        <v>9809</v>
      </c>
    </row>
    <row r="995" spans="1:2" x14ac:dyDescent="0.2">
      <c r="A995" t="s">
        <v>19265</v>
      </c>
      <c r="B995" t="s">
        <v>6396</v>
      </c>
    </row>
    <row r="996" spans="1:2" x14ac:dyDescent="0.2">
      <c r="A996" t="s">
        <v>8260</v>
      </c>
      <c r="B996" t="s">
        <v>8260</v>
      </c>
    </row>
    <row r="997" spans="1:2" x14ac:dyDescent="0.2">
      <c r="A997" t="s">
        <v>6403</v>
      </c>
      <c r="B997" t="s">
        <v>14360</v>
      </c>
    </row>
    <row r="998" spans="1:2" x14ac:dyDescent="0.2">
      <c r="A998" t="s">
        <v>6884</v>
      </c>
      <c r="B998" t="s">
        <v>6884</v>
      </c>
    </row>
    <row r="999" spans="1:2" x14ac:dyDescent="0.2">
      <c r="A999" t="s">
        <v>6410</v>
      </c>
      <c r="B999" t="s">
        <v>6410</v>
      </c>
    </row>
    <row r="1000" spans="1:2" x14ac:dyDescent="0.2">
      <c r="A1000" t="s">
        <v>3640</v>
      </c>
      <c r="B1000" t="s">
        <v>14360</v>
      </c>
    </row>
    <row r="1001" spans="1:2" x14ac:dyDescent="0.2">
      <c r="A1001" t="s">
        <v>7879</v>
      </c>
      <c r="B1001" t="s">
        <v>14360</v>
      </c>
    </row>
    <row r="1002" spans="1:2" x14ac:dyDescent="0.2">
      <c r="A1002" t="s">
        <v>6855</v>
      </c>
      <c r="B1002" t="s">
        <v>14360</v>
      </c>
    </row>
    <row r="1003" spans="1:2" x14ac:dyDescent="0.2">
      <c r="A1003" t="s">
        <v>9761</v>
      </c>
      <c r="B1003" t="s">
        <v>9761</v>
      </c>
    </row>
    <row r="1004" spans="1:2" x14ac:dyDescent="0.2">
      <c r="A1004" t="s">
        <v>19652</v>
      </c>
      <c r="B1004" t="s">
        <v>14360</v>
      </c>
    </row>
    <row r="1005" spans="1:2" x14ac:dyDescent="0.2">
      <c r="A1005" t="s">
        <v>20028</v>
      </c>
      <c r="B1005" t="s">
        <v>14360</v>
      </c>
    </row>
    <row r="1006" spans="1:2" x14ac:dyDescent="0.2">
      <c r="A1006" t="s">
        <v>20029</v>
      </c>
      <c r="B1006" t="s">
        <v>14360</v>
      </c>
    </row>
    <row r="1007" spans="1:2" x14ac:dyDescent="0.2">
      <c r="A1007" t="s">
        <v>20030</v>
      </c>
      <c r="B1007" t="s">
        <v>14360</v>
      </c>
    </row>
    <row r="1008" spans="1:2" x14ac:dyDescent="0.2">
      <c r="A1008" t="s">
        <v>20031</v>
      </c>
      <c r="B1008" t="s">
        <v>14360</v>
      </c>
    </row>
    <row r="1009" spans="1:2" x14ac:dyDescent="0.2">
      <c r="A1009" t="s">
        <v>20032</v>
      </c>
      <c r="B1009" t="s">
        <v>14360</v>
      </c>
    </row>
    <row r="1010" spans="1:2" x14ac:dyDescent="0.2">
      <c r="A1010" t="s">
        <v>19529</v>
      </c>
      <c r="B1010" t="s">
        <v>14360</v>
      </c>
    </row>
    <row r="1011" spans="1:2" x14ac:dyDescent="0.2">
      <c r="A1011" t="s">
        <v>19693</v>
      </c>
      <c r="B1011" t="s">
        <v>4028</v>
      </c>
    </row>
    <row r="1012" spans="1:2" x14ac:dyDescent="0.2">
      <c r="A1012" t="s">
        <v>20033</v>
      </c>
      <c r="B1012" t="s">
        <v>14360</v>
      </c>
    </row>
    <row r="1013" spans="1:2" x14ac:dyDescent="0.2">
      <c r="A1013" t="s">
        <v>19508</v>
      </c>
      <c r="B1013" t="s">
        <v>14360</v>
      </c>
    </row>
    <row r="1014" spans="1:2" x14ac:dyDescent="0.2">
      <c r="A1014" t="s">
        <v>19734</v>
      </c>
      <c r="B1014" t="s">
        <v>14360</v>
      </c>
    </row>
    <row r="1015" spans="1:2" x14ac:dyDescent="0.2">
      <c r="A1015" t="s">
        <v>19428</v>
      </c>
      <c r="B1015" t="s">
        <v>14360</v>
      </c>
    </row>
    <row r="1016" spans="1:2" x14ac:dyDescent="0.2">
      <c r="A1016" t="s">
        <v>20034</v>
      </c>
      <c r="B1016" t="s">
        <v>14360</v>
      </c>
    </row>
    <row r="1017" spans="1:2" x14ac:dyDescent="0.2">
      <c r="A1017" t="s">
        <v>19308</v>
      </c>
      <c r="B1017" t="s">
        <v>14360</v>
      </c>
    </row>
    <row r="1018" spans="1:2" x14ac:dyDescent="0.2">
      <c r="A1018" t="s">
        <v>8687</v>
      </c>
      <c r="B1018" t="s">
        <v>14360</v>
      </c>
    </row>
    <row r="1019" spans="1:2" x14ac:dyDescent="0.2">
      <c r="A1019" t="s">
        <v>8694</v>
      </c>
      <c r="B1019" t="s">
        <v>14360</v>
      </c>
    </row>
    <row r="1020" spans="1:2" x14ac:dyDescent="0.2">
      <c r="A1020" t="s">
        <v>8096</v>
      </c>
      <c r="B1020" t="s">
        <v>14360</v>
      </c>
    </row>
    <row r="1021" spans="1:2" x14ac:dyDescent="0.2">
      <c r="A1021" t="s">
        <v>20035</v>
      </c>
      <c r="B1021" t="s">
        <v>14360</v>
      </c>
    </row>
    <row r="1022" spans="1:2" x14ac:dyDescent="0.2">
      <c r="A1022" t="s">
        <v>19382</v>
      </c>
      <c r="B1022" t="s">
        <v>13317</v>
      </c>
    </row>
    <row r="1023" spans="1:2" x14ac:dyDescent="0.2">
      <c r="A1023" t="s">
        <v>19549</v>
      </c>
      <c r="B1023" t="s">
        <v>14360</v>
      </c>
    </row>
    <row r="1024" spans="1:2" x14ac:dyDescent="0.2">
      <c r="A1024" t="s">
        <v>19294</v>
      </c>
      <c r="B1024" t="s">
        <v>14360</v>
      </c>
    </row>
    <row r="1025" spans="1:2" x14ac:dyDescent="0.2">
      <c r="A1025" t="s">
        <v>19401</v>
      </c>
      <c r="B1025" t="s">
        <v>14360</v>
      </c>
    </row>
    <row r="1026" spans="1:2" x14ac:dyDescent="0.2">
      <c r="A1026" t="s">
        <v>19544</v>
      </c>
      <c r="B1026" t="s">
        <v>14360</v>
      </c>
    </row>
    <row r="1027" spans="1:2" x14ac:dyDescent="0.2">
      <c r="A1027" t="s">
        <v>19390</v>
      </c>
      <c r="B1027" t="s">
        <v>14360</v>
      </c>
    </row>
    <row r="1028" spans="1:2" x14ac:dyDescent="0.2">
      <c r="A1028" t="s">
        <v>19239</v>
      </c>
      <c r="B1028" t="s">
        <v>14360</v>
      </c>
    </row>
    <row r="1029" spans="1:2" x14ac:dyDescent="0.2">
      <c r="A1029" t="s">
        <v>19438</v>
      </c>
      <c r="B1029" t="s">
        <v>14360</v>
      </c>
    </row>
    <row r="1030" spans="1:2" x14ac:dyDescent="0.2">
      <c r="A1030" t="s">
        <v>19630</v>
      </c>
      <c r="B1030" t="s">
        <v>4777</v>
      </c>
    </row>
    <row r="1031" spans="1:2" x14ac:dyDescent="0.2">
      <c r="A1031" t="s">
        <v>20036</v>
      </c>
      <c r="B1031" t="s">
        <v>14360</v>
      </c>
    </row>
    <row r="1032" spans="1:2" x14ac:dyDescent="0.2">
      <c r="A1032" t="s">
        <v>20037</v>
      </c>
      <c r="B1032" t="s">
        <v>14360</v>
      </c>
    </row>
    <row r="1033" spans="1:2" x14ac:dyDescent="0.2">
      <c r="A1033" t="s">
        <v>20038</v>
      </c>
      <c r="B1033" t="s">
        <v>14360</v>
      </c>
    </row>
    <row r="1034" spans="1:2" x14ac:dyDescent="0.2">
      <c r="A1034" t="s">
        <v>20039</v>
      </c>
      <c r="B1034" t="s">
        <v>14360</v>
      </c>
    </row>
    <row r="1035" spans="1:2" x14ac:dyDescent="0.2">
      <c r="A1035" t="s">
        <v>19358</v>
      </c>
      <c r="B1035" t="s">
        <v>14360</v>
      </c>
    </row>
    <row r="1036" spans="1:2" x14ac:dyDescent="0.2">
      <c r="A1036" t="s">
        <v>20040</v>
      </c>
      <c r="B1036" t="s">
        <v>14360</v>
      </c>
    </row>
    <row r="1037" spans="1:2" x14ac:dyDescent="0.2">
      <c r="A1037" t="s">
        <v>20041</v>
      </c>
      <c r="B1037" t="s">
        <v>14360</v>
      </c>
    </row>
    <row r="1038" spans="1:2" x14ac:dyDescent="0.2">
      <c r="A1038" t="s">
        <v>19270</v>
      </c>
      <c r="B1038" t="s">
        <v>14360</v>
      </c>
    </row>
    <row r="1039" spans="1:2" x14ac:dyDescent="0.2">
      <c r="A1039" t="s">
        <v>19475</v>
      </c>
      <c r="B1039" t="s">
        <v>14360</v>
      </c>
    </row>
    <row r="1040" spans="1:2" x14ac:dyDescent="0.2">
      <c r="A1040" t="s">
        <v>20042</v>
      </c>
      <c r="B1040" t="s">
        <v>14360</v>
      </c>
    </row>
    <row r="1041" spans="1:2" x14ac:dyDescent="0.2">
      <c r="A1041" t="s">
        <v>629</v>
      </c>
      <c r="B1041" t="s">
        <v>14360</v>
      </c>
    </row>
    <row r="1042" spans="1:2" x14ac:dyDescent="0.2">
      <c r="A1042" t="s">
        <v>638</v>
      </c>
      <c r="B1042" t="s">
        <v>14360</v>
      </c>
    </row>
    <row r="1043" spans="1:2" x14ac:dyDescent="0.2">
      <c r="A1043" t="s">
        <v>20043</v>
      </c>
      <c r="B1043" t="s">
        <v>14360</v>
      </c>
    </row>
    <row r="1044" spans="1:2" x14ac:dyDescent="0.2">
      <c r="A1044" t="s">
        <v>20044</v>
      </c>
      <c r="B1044" t="s">
        <v>14360</v>
      </c>
    </row>
    <row r="1045" spans="1:2" x14ac:dyDescent="0.2">
      <c r="A1045" t="s">
        <v>19697</v>
      </c>
      <c r="B1045" t="s">
        <v>14360</v>
      </c>
    </row>
    <row r="1046" spans="1:2" x14ac:dyDescent="0.2">
      <c r="A1046" t="s">
        <v>19687</v>
      </c>
      <c r="B1046" t="s">
        <v>4053</v>
      </c>
    </row>
    <row r="1047" spans="1:2" x14ac:dyDescent="0.2">
      <c r="A1047" t="s">
        <v>19742</v>
      </c>
      <c r="B1047" t="s">
        <v>6417</v>
      </c>
    </row>
    <row r="1048" spans="1:2" x14ac:dyDescent="0.2">
      <c r="A1048" t="s">
        <v>19211</v>
      </c>
      <c r="B1048" t="s">
        <v>14360</v>
      </c>
    </row>
    <row r="1049" spans="1:2" x14ac:dyDescent="0.2">
      <c r="A1049" t="s">
        <v>20045</v>
      </c>
      <c r="B1049" t="s">
        <v>14360</v>
      </c>
    </row>
    <row r="1050" spans="1:2" x14ac:dyDescent="0.2">
      <c r="A1050" t="s">
        <v>20046</v>
      </c>
      <c r="B1050" t="s">
        <v>14360</v>
      </c>
    </row>
    <row r="1051" spans="1:2" x14ac:dyDescent="0.2">
      <c r="A1051" t="s">
        <v>19410</v>
      </c>
      <c r="B1051" t="s">
        <v>14360</v>
      </c>
    </row>
    <row r="1052" spans="1:2" x14ac:dyDescent="0.2">
      <c r="A1052" t="s">
        <v>19250</v>
      </c>
      <c r="B1052" t="s">
        <v>14360</v>
      </c>
    </row>
    <row r="1053" spans="1:2" x14ac:dyDescent="0.2">
      <c r="A1053" t="s">
        <v>20047</v>
      </c>
      <c r="B1053" t="s">
        <v>14360</v>
      </c>
    </row>
    <row r="1054" spans="1:2" x14ac:dyDescent="0.2">
      <c r="A1054" t="s">
        <v>19691</v>
      </c>
      <c r="B1054" t="s">
        <v>14360</v>
      </c>
    </row>
    <row r="1055" spans="1:2" x14ac:dyDescent="0.2">
      <c r="A1055" t="s">
        <v>19684</v>
      </c>
      <c r="B1055" t="s">
        <v>14360</v>
      </c>
    </row>
    <row r="1056" spans="1:2" x14ac:dyDescent="0.2">
      <c r="A1056" t="s">
        <v>20048</v>
      </c>
      <c r="B1056" t="s">
        <v>14360</v>
      </c>
    </row>
    <row r="1057" spans="1:2" x14ac:dyDescent="0.2">
      <c r="A1057" t="s">
        <v>20049</v>
      </c>
      <c r="B1057" t="s">
        <v>14360</v>
      </c>
    </row>
    <row r="1058" spans="1:2" x14ac:dyDescent="0.2">
      <c r="A1058" t="s">
        <v>20050</v>
      </c>
      <c r="B1058" t="s">
        <v>14360</v>
      </c>
    </row>
    <row r="1059" spans="1:2" x14ac:dyDescent="0.2">
      <c r="A1059" t="s">
        <v>19497</v>
      </c>
      <c r="B1059" t="s">
        <v>14360</v>
      </c>
    </row>
    <row r="1060" spans="1:2" x14ac:dyDescent="0.2">
      <c r="A1060" t="s">
        <v>20051</v>
      </c>
      <c r="B1060" t="s">
        <v>14360</v>
      </c>
    </row>
    <row r="1061" spans="1:2" x14ac:dyDescent="0.2">
      <c r="A1061" t="s">
        <v>19431</v>
      </c>
      <c r="B1061" t="s">
        <v>14360</v>
      </c>
    </row>
    <row r="1062" spans="1:2" x14ac:dyDescent="0.2">
      <c r="A1062" t="s">
        <v>20052</v>
      </c>
      <c r="B1062" t="s">
        <v>14360</v>
      </c>
    </row>
    <row r="1063" spans="1:2" x14ac:dyDescent="0.2">
      <c r="A1063" t="s">
        <v>19333</v>
      </c>
      <c r="B1063" t="s">
        <v>14360</v>
      </c>
    </row>
    <row r="1064" spans="1:2" x14ac:dyDescent="0.2">
      <c r="A1064" t="s">
        <v>20053</v>
      </c>
      <c r="B1064" t="s">
        <v>14360</v>
      </c>
    </row>
    <row r="1065" spans="1:2" x14ac:dyDescent="0.2">
      <c r="A1065" t="s">
        <v>20054</v>
      </c>
      <c r="B1065" t="s">
        <v>14360</v>
      </c>
    </row>
    <row r="1066" spans="1:2" x14ac:dyDescent="0.2">
      <c r="A1066" t="s">
        <v>20055</v>
      </c>
      <c r="B1066" t="s">
        <v>14360</v>
      </c>
    </row>
    <row r="1067" spans="1:2" x14ac:dyDescent="0.2">
      <c r="A1067" t="s">
        <v>20056</v>
      </c>
      <c r="B1067" t="s">
        <v>14360</v>
      </c>
    </row>
    <row r="1068" spans="1:2" x14ac:dyDescent="0.2">
      <c r="A1068" t="s">
        <v>20057</v>
      </c>
      <c r="B1068" t="s">
        <v>14360</v>
      </c>
    </row>
    <row r="1069" spans="1:2" x14ac:dyDescent="0.2">
      <c r="A1069" t="s">
        <v>20058</v>
      </c>
      <c r="B1069" t="s">
        <v>14360</v>
      </c>
    </row>
    <row r="1070" spans="1:2" x14ac:dyDescent="0.2">
      <c r="A1070" t="s">
        <v>20059</v>
      </c>
      <c r="B1070" t="s">
        <v>14360</v>
      </c>
    </row>
    <row r="1071" spans="1:2" x14ac:dyDescent="0.2">
      <c r="A1071" t="s">
        <v>20060</v>
      </c>
      <c r="B1071" t="s">
        <v>14360</v>
      </c>
    </row>
    <row r="1072" spans="1:2" x14ac:dyDescent="0.2">
      <c r="A1072" t="s">
        <v>20061</v>
      </c>
      <c r="B1072" t="s">
        <v>14360</v>
      </c>
    </row>
    <row r="1073" spans="1:2" x14ac:dyDescent="0.2">
      <c r="A1073" t="s">
        <v>20062</v>
      </c>
      <c r="B1073" t="s">
        <v>14360</v>
      </c>
    </row>
    <row r="1074" spans="1:2" x14ac:dyDescent="0.2">
      <c r="A1074" t="s">
        <v>20063</v>
      </c>
      <c r="B1074" t="s">
        <v>14360</v>
      </c>
    </row>
    <row r="1075" spans="1:2" x14ac:dyDescent="0.2">
      <c r="A1075" t="s">
        <v>20064</v>
      </c>
      <c r="B1075" t="s">
        <v>14360</v>
      </c>
    </row>
    <row r="1076" spans="1:2" x14ac:dyDescent="0.2">
      <c r="A1076" t="s">
        <v>19587</v>
      </c>
      <c r="B1076" t="s">
        <v>14360</v>
      </c>
    </row>
    <row r="1077" spans="1:2" x14ac:dyDescent="0.2">
      <c r="A1077" t="s">
        <v>19205</v>
      </c>
      <c r="B1077" t="s">
        <v>14360</v>
      </c>
    </row>
    <row r="1078" spans="1:2" x14ac:dyDescent="0.2">
      <c r="A1078" t="s">
        <v>19462</v>
      </c>
      <c r="B1078" t="s">
        <v>14360</v>
      </c>
    </row>
    <row r="1079" spans="1:2" x14ac:dyDescent="0.2">
      <c r="A1079" t="s">
        <v>19350</v>
      </c>
      <c r="B1079" t="s">
        <v>14360</v>
      </c>
    </row>
    <row r="1080" spans="1:2" x14ac:dyDescent="0.2">
      <c r="A1080" t="s">
        <v>20065</v>
      </c>
      <c r="B1080" t="s">
        <v>14360</v>
      </c>
    </row>
    <row r="1081" spans="1:2" x14ac:dyDescent="0.2">
      <c r="A1081" t="s">
        <v>19616</v>
      </c>
      <c r="B1081" t="s">
        <v>14360</v>
      </c>
    </row>
    <row r="1082" spans="1:2" x14ac:dyDescent="0.2">
      <c r="A1082" t="s">
        <v>19197</v>
      </c>
      <c r="B1082" t="s">
        <v>14360</v>
      </c>
    </row>
    <row r="1083" spans="1:2" x14ac:dyDescent="0.2">
      <c r="A1083" t="s">
        <v>20066</v>
      </c>
      <c r="B1083" t="s">
        <v>14360</v>
      </c>
    </row>
    <row r="1084" spans="1:2" x14ac:dyDescent="0.2">
      <c r="A1084" t="s">
        <v>19738</v>
      </c>
      <c r="B1084" t="s">
        <v>14360</v>
      </c>
    </row>
    <row r="1085" spans="1:2" x14ac:dyDescent="0.2">
      <c r="A1085" t="s">
        <v>19605</v>
      </c>
      <c r="B1085" t="s">
        <v>20454</v>
      </c>
    </row>
    <row r="1086" spans="1:2" x14ac:dyDescent="0.2">
      <c r="A1086" t="s">
        <v>20118</v>
      </c>
      <c r="B1086" t="s">
        <v>14360</v>
      </c>
    </row>
    <row r="1087" spans="1:2" x14ac:dyDescent="0.2">
      <c r="A1087" t="s">
        <v>19488</v>
      </c>
      <c r="B1087" t="s">
        <v>9281</v>
      </c>
    </row>
    <row r="1088" spans="1:2" x14ac:dyDescent="0.2">
      <c r="A1088" t="s">
        <v>19550</v>
      </c>
      <c r="B1088" t="s">
        <v>9659</v>
      </c>
    </row>
    <row r="1089" spans="1:2" x14ac:dyDescent="0.2">
      <c r="A1089" t="s">
        <v>20067</v>
      </c>
      <c r="B1089" t="s">
        <v>14360</v>
      </c>
    </row>
    <row r="1090" spans="1:2" x14ac:dyDescent="0.2">
      <c r="A1090" t="s">
        <v>19424</v>
      </c>
      <c r="B1090" t="s">
        <v>14360</v>
      </c>
    </row>
    <row r="1091" spans="1:2" x14ac:dyDescent="0.2">
      <c r="A1091" t="s">
        <v>19269</v>
      </c>
      <c r="B1091" t="s">
        <v>14360</v>
      </c>
    </row>
    <row r="1092" spans="1:2" x14ac:dyDescent="0.2">
      <c r="A1092" t="s">
        <v>19179</v>
      </c>
      <c r="B1092" t="s">
        <v>14360</v>
      </c>
    </row>
    <row r="1093" spans="1:2" x14ac:dyDescent="0.2">
      <c r="A1093" t="s">
        <v>19402</v>
      </c>
      <c r="B1093" t="s">
        <v>14360</v>
      </c>
    </row>
    <row r="1094" spans="1:2" x14ac:dyDescent="0.2">
      <c r="A1094" t="s">
        <v>19460</v>
      </c>
      <c r="B1094" t="s">
        <v>9054</v>
      </c>
    </row>
    <row r="1095" spans="1:2" x14ac:dyDescent="0.2">
      <c r="A1095" t="s">
        <v>19267</v>
      </c>
      <c r="B1095" t="s">
        <v>6425</v>
      </c>
    </row>
    <row r="1096" spans="1:2" x14ac:dyDescent="0.2">
      <c r="A1096" t="s">
        <v>648</v>
      </c>
      <c r="B1096" t="s">
        <v>14360</v>
      </c>
    </row>
    <row r="1097" spans="1:2" x14ac:dyDescent="0.2">
      <c r="A1097" t="s">
        <v>648</v>
      </c>
      <c r="B1097" t="s">
        <v>14360</v>
      </c>
    </row>
    <row r="1098" spans="1:2" x14ac:dyDescent="0.2">
      <c r="A1098" t="s">
        <v>20068</v>
      </c>
      <c r="B1098" t="s">
        <v>14360</v>
      </c>
    </row>
    <row r="1099" spans="1:2" x14ac:dyDescent="0.2">
      <c r="A1099" t="s">
        <v>19203</v>
      </c>
      <c r="B1099" t="s">
        <v>14360</v>
      </c>
    </row>
    <row r="1100" spans="1:2" x14ac:dyDescent="0.2">
      <c r="A1100" t="s">
        <v>19668</v>
      </c>
      <c r="B1100" t="s">
        <v>14360</v>
      </c>
    </row>
    <row r="1101" spans="1:2" x14ac:dyDescent="0.2">
      <c r="A1101" t="s">
        <v>19688</v>
      </c>
      <c r="B1101" t="s">
        <v>14360</v>
      </c>
    </row>
    <row r="1102" spans="1:2" x14ac:dyDescent="0.2">
      <c r="A1102" t="s">
        <v>19766</v>
      </c>
      <c r="B1102" t="s">
        <v>14360</v>
      </c>
    </row>
    <row r="1103" spans="1:2" x14ac:dyDescent="0.2">
      <c r="A1103" t="s">
        <v>20119</v>
      </c>
      <c r="B1103" t="s">
        <v>14360</v>
      </c>
    </row>
    <row r="1104" spans="1:2" x14ac:dyDescent="0.2">
      <c r="A1104" t="s">
        <v>19617</v>
      </c>
      <c r="B1104" t="s">
        <v>14360</v>
      </c>
    </row>
    <row r="1105" spans="1:2" x14ac:dyDescent="0.2">
      <c r="A1105" t="s">
        <v>19771</v>
      </c>
      <c r="B1105" t="s">
        <v>14360</v>
      </c>
    </row>
    <row r="1106" spans="1:2" x14ac:dyDescent="0.2">
      <c r="A1106" t="s">
        <v>668</v>
      </c>
      <c r="B1106" t="s">
        <v>14360</v>
      </c>
    </row>
    <row r="1107" spans="1:2" x14ac:dyDescent="0.2">
      <c r="A1107" t="s">
        <v>671</v>
      </c>
      <c r="B1107" t="s">
        <v>14360</v>
      </c>
    </row>
    <row r="1108" spans="1:2" x14ac:dyDescent="0.2">
      <c r="A1108" t="s">
        <v>675</v>
      </c>
      <c r="B1108" t="s">
        <v>14360</v>
      </c>
    </row>
    <row r="1109" spans="1:2" x14ac:dyDescent="0.2">
      <c r="A1109" t="s">
        <v>679</v>
      </c>
      <c r="B1109" t="s">
        <v>14360</v>
      </c>
    </row>
    <row r="1110" spans="1:2" x14ac:dyDescent="0.2">
      <c r="A1110" t="s">
        <v>683</v>
      </c>
      <c r="B1110" t="s">
        <v>14360</v>
      </c>
    </row>
    <row r="1111" spans="1:2" x14ac:dyDescent="0.2">
      <c r="A1111" t="s">
        <v>686</v>
      </c>
      <c r="B1111" t="s">
        <v>14360</v>
      </c>
    </row>
    <row r="1112" spans="1:2" x14ac:dyDescent="0.2">
      <c r="A1112" t="s">
        <v>690</v>
      </c>
      <c r="B1112" t="s">
        <v>14360</v>
      </c>
    </row>
    <row r="1113" spans="1:2" x14ac:dyDescent="0.2">
      <c r="A1113" t="s">
        <v>694</v>
      </c>
      <c r="B1113" t="s">
        <v>14360</v>
      </c>
    </row>
    <row r="1114" spans="1:2" x14ac:dyDescent="0.2">
      <c r="A1114" t="s">
        <v>698</v>
      </c>
      <c r="B1114" t="s">
        <v>14360</v>
      </c>
    </row>
    <row r="1115" spans="1:2" x14ac:dyDescent="0.2">
      <c r="A1115" t="s">
        <v>702</v>
      </c>
      <c r="B1115" t="s">
        <v>14360</v>
      </c>
    </row>
    <row r="1116" spans="1:2" x14ac:dyDescent="0.2">
      <c r="A1116" t="s">
        <v>706</v>
      </c>
      <c r="B1116" t="s">
        <v>14360</v>
      </c>
    </row>
    <row r="1117" spans="1:2" x14ac:dyDescent="0.2">
      <c r="A1117" t="s">
        <v>710</v>
      </c>
      <c r="B1117" t="s">
        <v>14360</v>
      </c>
    </row>
    <row r="1118" spans="1:2" x14ac:dyDescent="0.2">
      <c r="A1118" t="s">
        <v>714</v>
      </c>
      <c r="B1118" t="s">
        <v>14360</v>
      </c>
    </row>
    <row r="1119" spans="1:2" x14ac:dyDescent="0.2">
      <c r="A1119" t="s">
        <v>718</v>
      </c>
      <c r="B1119" t="s">
        <v>14360</v>
      </c>
    </row>
    <row r="1120" spans="1:2" x14ac:dyDescent="0.2">
      <c r="A1120" t="s">
        <v>722</v>
      </c>
      <c r="B1120" t="s">
        <v>14360</v>
      </c>
    </row>
    <row r="1121" spans="1:2" x14ac:dyDescent="0.2">
      <c r="A1121" t="s">
        <v>19880</v>
      </c>
      <c r="B1121" t="s">
        <v>14360</v>
      </c>
    </row>
    <row r="1122" spans="1:2" x14ac:dyDescent="0.2">
      <c r="A1122" t="s">
        <v>729</v>
      </c>
      <c r="B1122" t="s">
        <v>14360</v>
      </c>
    </row>
    <row r="1123" spans="1:2" x14ac:dyDescent="0.2">
      <c r="A1123" t="s">
        <v>733</v>
      </c>
      <c r="B1123" t="s">
        <v>14360</v>
      </c>
    </row>
    <row r="1124" spans="1:2" x14ac:dyDescent="0.2">
      <c r="A1124" t="s">
        <v>737</v>
      </c>
      <c r="B1124" t="s">
        <v>14360</v>
      </c>
    </row>
    <row r="1125" spans="1:2" x14ac:dyDescent="0.2">
      <c r="A1125" t="s">
        <v>741</v>
      </c>
      <c r="B1125" t="s">
        <v>14360</v>
      </c>
    </row>
    <row r="1126" spans="1:2" x14ac:dyDescent="0.2">
      <c r="A1126" t="s">
        <v>745</v>
      </c>
      <c r="B1126" t="s">
        <v>14360</v>
      </c>
    </row>
    <row r="1127" spans="1:2" x14ac:dyDescent="0.2">
      <c r="A1127" t="s">
        <v>749</v>
      </c>
      <c r="B1127" t="s">
        <v>14360</v>
      </c>
    </row>
    <row r="1128" spans="1:2" x14ac:dyDescent="0.2">
      <c r="A1128" t="s">
        <v>753</v>
      </c>
      <c r="B1128" t="s">
        <v>14360</v>
      </c>
    </row>
    <row r="1129" spans="1:2" x14ac:dyDescent="0.2">
      <c r="A1129" t="s">
        <v>757</v>
      </c>
      <c r="B1129" t="s">
        <v>14360</v>
      </c>
    </row>
    <row r="1130" spans="1:2" x14ac:dyDescent="0.2">
      <c r="A1130" t="s">
        <v>761</v>
      </c>
      <c r="B1130" t="s">
        <v>14360</v>
      </c>
    </row>
    <row r="1131" spans="1:2" x14ac:dyDescent="0.2">
      <c r="A1131" t="s">
        <v>765</v>
      </c>
      <c r="B1131" t="s">
        <v>14360</v>
      </c>
    </row>
    <row r="1132" spans="1:2" x14ac:dyDescent="0.2">
      <c r="A1132" t="s">
        <v>769</v>
      </c>
      <c r="B1132" t="s">
        <v>14360</v>
      </c>
    </row>
    <row r="1133" spans="1:2" x14ac:dyDescent="0.2">
      <c r="A1133" t="s">
        <v>773</v>
      </c>
      <c r="B1133" t="s">
        <v>14360</v>
      </c>
    </row>
    <row r="1134" spans="1:2" x14ac:dyDescent="0.2">
      <c r="A1134" t="s">
        <v>777</v>
      </c>
      <c r="B1134" t="s">
        <v>14360</v>
      </c>
    </row>
    <row r="1135" spans="1:2" x14ac:dyDescent="0.2">
      <c r="A1135" t="s">
        <v>781</v>
      </c>
      <c r="B1135" t="s">
        <v>14360</v>
      </c>
    </row>
    <row r="1136" spans="1:2" x14ac:dyDescent="0.2">
      <c r="A1136" t="s">
        <v>19701</v>
      </c>
      <c r="B1136" t="s">
        <v>14360</v>
      </c>
    </row>
    <row r="1137" spans="1:2" x14ac:dyDescent="0.2">
      <c r="A1137" t="s">
        <v>19618</v>
      </c>
      <c r="B1137" t="s">
        <v>14360</v>
      </c>
    </row>
    <row r="1138" spans="1:2" x14ac:dyDescent="0.2">
      <c r="A1138" t="s">
        <v>19584</v>
      </c>
      <c r="B1138" t="s">
        <v>14360</v>
      </c>
    </row>
    <row r="1139" spans="1:2" x14ac:dyDescent="0.2">
      <c r="A1139" t="s">
        <v>20120</v>
      </c>
      <c r="B1139" t="s">
        <v>14360</v>
      </c>
    </row>
    <row r="1140" spans="1:2" x14ac:dyDescent="0.2">
      <c r="A1140" t="s">
        <v>20069</v>
      </c>
      <c r="B1140" t="s">
        <v>14360</v>
      </c>
    </row>
    <row r="1141" spans="1:2" x14ac:dyDescent="0.2">
      <c r="A1141" t="s">
        <v>19626</v>
      </c>
      <c r="B1141" t="s">
        <v>14360</v>
      </c>
    </row>
    <row r="1142" spans="1:2" x14ac:dyDescent="0.2">
      <c r="A1142" t="s">
        <v>19243</v>
      </c>
      <c r="B1142" t="s">
        <v>14360</v>
      </c>
    </row>
    <row r="1143" spans="1:2" x14ac:dyDescent="0.2">
      <c r="A1143" t="s">
        <v>785</v>
      </c>
      <c r="B1143" t="s">
        <v>14360</v>
      </c>
    </row>
    <row r="1144" spans="1:2" x14ac:dyDescent="0.2">
      <c r="A1144" t="s">
        <v>20070</v>
      </c>
      <c r="B1144" t="s">
        <v>14360</v>
      </c>
    </row>
    <row r="1145" spans="1:2" x14ac:dyDescent="0.2">
      <c r="A1145" t="s">
        <v>19361</v>
      </c>
      <c r="B1145" t="s">
        <v>14360</v>
      </c>
    </row>
    <row r="1146" spans="1:2" x14ac:dyDescent="0.2">
      <c r="A1146" t="s">
        <v>20071</v>
      </c>
      <c r="B1146" t="s">
        <v>14360</v>
      </c>
    </row>
    <row r="1147" spans="1:2" x14ac:dyDescent="0.2">
      <c r="A1147" t="s">
        <v>19316</v>
      </c>
      <c r="B1147" t="s">
        <v>14360</v>
      </c>
    </row>
    <row r="1148" spans="1:2" x14ac:dyDescent="0.2">
      <c r="A1148" t="s">
        <v>19326</v>
      </c>
      <c r="B1148" t="s">
        <v>20442</v>
      </c>
    </row>
    <row r="1149" spans="1:2" x14ac:dyDescent="0.2">
      <c r="A1149" t="s">
        <v>19588</v>
      </c>
      <c r="B1149" t="s">
        <v>14360</v>
      </c>
    </row>
    <row r="1150" spans="1:2" x14ac:dyDescent="0.2">
      <c r="A1150" t="s">
        <v>19591</v>
      </c>
      <c r="B1150" t="s">
        <v>20443</v>
      </c>
    </row>
    <row r="1151" spans="1:2" x14ac:dyDescent="0.2">
      <c r="A1151" t="s">
        <v>19332</v>
      </c>
      <c r="B1151" t="s">
        <v>14360</v>
      </c>
    </row>
    <row r="1152" spans="1:2" x14ac:dyDescent="0.2">
      <c r="A1152" t="s">
        <v>19700</v>
      </c>
      <c r="B1152" t="s">
        <v>14360</v>
      </c>
    </row>
    <row r="1153" spans="1:2" x14ac:dyDescent="0.2">
      <c r="A1153" t="s">
        <v>19229</v>
      </c>
      <c r="B1153" t="s">
        <v>5906</v>
      </c>
    </row>
    <row r="1154" spans="1:2" x14ac:dyDescent="0.2">
      <c r="A1154" t="s">
        <v>20072</v>
      </c>
      <c r="B1154" t="s">
        <v>14360</v>
      </c>
    </row>
    <row r="1155" spans="1:2" x14ac:dyDescent="0.2">
      <c r="A1155" t="s">
        <v>19702</v>
      </c>
      <c r="B1155" t="s">
        <v>14360</v>
      </c>
    </row>
    <row r="1156" spans="1:2" x14ac:dyDescent="0.2">
      <c r="A1156" t="s">
        <v>19366</v>
      </c>
      <c r="B1156" t="s">
        <v>14360</v>
      </c>
    </row>
    <row r="1157" spans="1:2" x14ac:dyDescent="0.2">
      <c r="A1157" t="s">
        <v>19230</v>
      </c>
      <c r="B1157" t="s">
        <v>14360</v>
      </c>
    </row>
    <row r="1158" spans="1:2" x14ac:dyDescent="0.2">
      <c r="A1158" t="s">
        <v>19227</v>
      </c>
      <c r="B1158" t="s">
        <v>14360</v>
      </c>
    </row>
    <row r="1159" spans="1:2" x14ac:dyDescent="0.2">
      <c r="A1159" t="s">
        <v>20073</v>
      </c>
      <c r="B1159" t="s">
        <v>14360</v>
      </c>
    </row>
    <row r="1160" spans="1:2" x14ac:dyDescent="0.2">
      <c r="A1160" t="s">
        <v>19407</v>
      </c>
      <c r="B1160" t="s">
        <v>14360</v>
      </c>
    </row>
    <row r="1161" spans="1:2" x14ac:dyDescent="0.2">
      <c r="A1161" t="s">
        <v>19726</v>
      </c>
      <c r="B1161" t="s">
        <v>4335</v>
      </c>
    </row>
    <row r="1162" spans="1:2" x14ac:dyDescent="0.2">
      <c r="A1162" t="s">
        <v>19225</v>
      </c>
      <c r="B1162" t="s">
        <v>5861</v>
      </c>
    </row>
    <row r="1163" spans="1:2" x14ac:dyDescent="0.2">
      <c r="A1163" t="s">
        <v>19309</v>
      </c>
      <c r="B1163" t="s">
        <v>14360</v>
      </c>
    </row>
    <row r="1164" spans="1:2" x14ac:dyDescent="0.2">
      <c r="A1164" t="s">
        <v>797</v>
      </c>
      <c r="B1164" t="s">
        <v>14360</v>
      </c>
    </row>
    <row r="1165" spans="1:2" x14ac:dyDescent="0.2">
      <c r="A1165" t="s">
        <v>797</v>
      </c>
      <c r="B1165" t="s">
        <v>14360</v>
      </c>
    </row>
    <row r="1166" spans="1:2" x14ac:dyDescent="0.2">
      <c r="A1166" t="s">
        <v>20074</v>
      </c>
      <c r="B1166" t="s">
        <v>14360</v>
      </c>
    </row>
    <row r="1167" spans="1:2" x14ac:dyDescent="0.2">
      <c r="A1167" t="s">
        <v>19190</v>
      </c>
      <c r="B1167" t="s">
        <v>14360</v>
      </c>
    </row>
    <row r="1168" spans="1:2" x14ac:dyDescent="0.2">
      <c r="A1168" t="s">
        <v>20075</v>
      </c>
      <c r="B1168" t="s">
        <v>14360</v>
      </c>
    </row>
    <row r="1169" spans="1:2" x14ac:dyDescent="0.2">
      <c r="A1169" t="s">
        <v>19653</v>
      </c>
      <c r="B1169" t="s">
        <v>3580</v>
      </c>
    </row>
    <row r="1170" spans="1:2" x14ac:dyDescent="0.2">
      <c r="A1170" t="s">
        <v>20076</v>
      </c>
      <c r="B1170" t="s">
        <v>14360</v>
      </c>
    </row>
    <row r="1171" spans="1:2" x14ac:dyDescent="0.2">
      <c r="A1171" t="s">
        <v>20121</v>
      </c>
      <c r="B1171" t="s">
        <v>14360</v>
      </c>
    </row>
    <row r="1172" spans="1:2" x14ac:dyDescent="0.2">
      <c r="A1172" t="s">
        <v>613</v>
      </c>
      <c r="B1172" t="s">
        <v>14360</v>
      </c>
    </row>
    <row r="1173" spans="1:2" x14ac:dyDescent="0.2">
      <c r="A1173" t="s">
        <v>434</v>
      </c>
      <c r="B1173" t="s">
        <v>14360</v>
      </c>
    </row>
    <row r="1174" spans="1:2" x14ac:dyDescent="0.2">
      <c r="A1174" t="s">
        <v>13677</v>
      </c>
      <c r="B1174" t="s">
        <v>14360</v>
      </c>
    </row>
    <row r="1175" spans="1:2" x14ac:dyDescent="0.2">
      <c r="A1175" t="s">
        <v>13677</v>
      </c>
      <c r="B1175" t="s">
        <v>14360</v>
      </c>
    </row>
    <row r="1176" spans="1:2" x14ac:dyDescent="0.2">
      <c r="A1176" t="s">
        <v>623</v>
      </c>
      <c r="B1176" t="s">
        <v>14360</v>
      </c>
    </row>
    <row r="1177" spans="1:2" x14ac:dyDescent="0.2">
      <c r="A1177" t="s">
        <v>632</v>
      </c>
      <c r="B1177" t="s">
        <v>14360</v>
      </c>
    </row>
    <row r="1178" spans="1:2" x14ac:dyDescent="0.2">
      <c r="A1178" t="s">
        <v>640</v>
      </c>
      <c r="B1178" t="s">
        <v>14360</v>
      </c>
    </row>
    <row r="1179" spans="1:2" x14ac:dyDescent="0.2">
      <c r="A1179" t="s">
        <v>640</v>
      </c>
      <c r="B1179" t="s">
        <v>14360</v>
      </c>
    </row>
    <row r="1180" spans="1:2" x14ac:dyDescent="0.2">
      <c r="A1180" t="s">
        <v>645</v>
      </c>
      <c r="B1180" t="s">
        <v>14360</v>
      </c>
    </row>
    <row r="1181" spans="1:2" x14ac:dyDescent="0.2">
      <c r="A1181" t="s">
        <v>789</v>
      </c>
      <c r="B1181" t="s">
        <v>14360</v>
      </c>
    </row>
    <row r="1182" spans="1:2" x14ac:dyDescent="0.2">
      <c r="A1182" t="s">
        <v>789</v>
      </c>
      <c r="B1182" t="s">
        <v>14360</v>
      </c>
    </row>
    <row r="1183" spans="1:2" x14ac:dyDescent="0.2">
      <c r="A1183" t="s">
        <v>794</v>
      </c>
      <c r="B1183" t="s">
        <v>14360</v>
      </c>
    </row>
    <row r="1184" spans="1:2" x14ac:dyDescent="0.2">
      <c r="A1184" t="s">
        <v>811</v>
      </c>
      <c r="B1184" t="s">
        <v>14360</v>
      </c>
    </row>
    <row r="1185" spans="1:2" x14ac:dyDescent="0.2">
      <c r="A1185" t="s">
        <v>1009</v>
      </c>
      <c r="B1185" t="s">
        <v>14360</v>
      </c>
    </row>
    <row r="1186" spans="1:2" x14ac:dyDescent="0.2">
      <c r="A1186" t="s">
        <v>1009</v>
      </c>
      <c r="B1186" t="s">
        <v>14360</v>
      </c>
    </row>
    <row r="1187" spans="1:2" x14ac:dyDescent="0.2">
      <c r="A1187" t="s">
        <v>802</v>
      </c>
      <c r="B1187" t="s">
        <v>14360</v>
      </c>
    </row>
    <row r="1188" spans="1:2" x14ac:dyDescent="0.2">
      <c r="A1188" t="s">
        <v>20077</v>
      </c>
      <c r="B1188" t="s">
        <v>14360</v>
      </c>
    </row>
    <row r="1189" spans="1:2" x14ac:dyDescent="0.2">
      <c r="A1189" t="s">
        <v>19698</v>
      </c>
      <c r="B1189" t="s">
        <v>14360</v>
      </c>
    </row>
    <row r="1190" spans="1:2" x14ac:dyDescent="0.2">
      <c r="A1190" t="s">
        <v>19187</v>
      </c>
      <c r="B1190" t="s">
        <v>14360</v>
      </c>
    </row>
    <row r="1191" spans="1:2" x14ac:dyDescent="0.2">
      <c r="A1191" t="s">
        <v>20122</v>
      </c>
      <c r="B1191" t="s">
        <v>14360</v>
      </c>
    </row>
    <row r="1192" spans="1:2" x14ac:dyDescent="0.2">
      <c r="A1192" t="s">
        <v>20078</v>
      </c>
      <c r="B1192" t="s">
        <v>5710</v>
      </c>
    </row>
    <row r="1193" spans="1:2" x14ac:dyDescent="0.2">
      <c r="A1193" t="s">
        <v>20079</v>
      </c>
      <c r="B1193" t="s">
        <v>14360</v>
      </c>
    </row>
    <row r="1194" spans="1:2" x14ac:dyDescent="0.2">
      <c r="A1194" t="s">
        <v>20080</v>
      </c>
      <c r="B1194" t="s">
        <v>14360</v>
      </c>
    </row>
    <row r="1195" spans="1:2" x14ac:dyDescent="0.2">
      <c r="A1195" t="s">
        <v>20081</v>
      </c>
      <c r="B1195" t="s">
        <v>14360</v>
      </c>
    </row>
    <row r="1196" spans="1:2" x14ac:dyDescent="0.2">
      <c r="A1196" t="s">
        <v>20082</v>
      </c>
      <c r="B1196" t="s">
        <v>14360</v>
      </c>
    </row>
    <row r="1197" spans="1:2" x14ac:dyDescent="0.2">
      <c r="A1197" t="s">
        <v>20083</v>
      </c>
      <c r="B1197" t="s">
        <v>14360</v>
      </c>
    </row>
    <row r="1198" spans="1:2" x14ac:dyDescent="0.2">
      <c r="A1198" t="s">
        <v>20084</v>
      </c>
      <c r="B1198" t="s">
        <v>14360</v>
      </c>
    </row>
    <row r="1199" spans="1:2" x14ac:dyDescent="0.2">
      <c r="A1199" t="s">
        <v>12433</v>
      </c>
      <c r="B1199" t="s">
        <v>14360</v>
      </c>
    </row>
    <row r="1200" spans="1:2" x14ac:dyDescent="0.2">
      <c r="A1200" t="s">
        <v>3614</v>
      </c>
      <c r="B1200" t="s">
        <v>3614</v>
      </c>
    </row>
    <row r="1201" spans="1:2" x14ac:dyDescent="0.2">
      <c r="A1201" t="s">
        <v>8216</v>
      </c>
      <c r="B1201" t="s">
        <v>14360</v>
      </c>
    </row>
    <row r="1202" spans="1:2" x14ac:dyDescent="0.2">
      <c r="A1202" t="s">
        <v>10156</v>
      </c>
      <c r="B1202" t="s">
        <v>14360</v>
      </c>
    </row>
    <row r="1203" spans="1:2" x14ac:dyDescent="0.2">
      <c r="A1203" t="s">
        <v>7421</v>
      </c>
      <c r="B1203" t="s">
        <v>14360</v>
      </c>
    </row>
    <row r="1204" spans="1:2" x14ac:dyDescent="0.2">
      <c r="A1204" t="s">
        <v>7625</v>
      </c>
      <c r="B1204" t="s">
        <v>14360</v>
      </c>
    </row>
    <row r="1205" spans="1:2" x14ac:dyDescent="0.2">
      <c r="A1205" t="s">
        <v>7752</v>
      </c>
      <c r="B1205" t="s">
        <v>14360</v>
      </c>
    </row>
    <row r="1206" spans="1:2" x14ac:dyDescent="0.2">
      <c r="A1206" t="s">
        <v>7334</v>
      </c>
      <c r="B1206" t="s">
        <v>14360</v>
      </c>
    </row>
    <row r="1207" spans="1:2" x14ac:dyDescent="0.2">
      <c r="A1207" t="s">
        <v>20085</v>
      </c>
      <c r="B1207" t="s">
        <v>14360</v>
      </c>
    </row>
    <row r="1208" spans="1:2" x14ac:dyDescent="0.2">
      <c r="A1208" t="s">
        <v>19710</v>
      </c>
      <c r="B1208" t="s">
        <v>14360</v>
      </c>
    </row>
    <row r="1209" spans="1:2" x14ac:dyDescent="0.2">
      <c r="A1209" t="s">
        <v>19249</v>
      </c>
      <c r="B1209" t="s">
        <v>14360</v>
      </c>
    </row>
    <row r="1210" spans="1:2" x14ac:dyDescent="0.2">
      <c r="A1210" t="s">
        <v>19623</v>
      </c>
      <c r="B1210" t="s">
        <v>14360</v>
      </c>
    </row>
    <row r="1211" spans="1:2" x14ac:dyDescent="0.2">
      <c r="A1211" t="s">
        <v>807</v>
      </c>
      <c r="B1211" t="s">
        <v>14360</v>
      </c>
    </row>
    <row r="1212" spans="1:2" x14ac:dyDescent="0.2">
      <c r="A1212" t="s">
        <v>19237</v>
      </c>
      <c r="B1212" t="s">
        <v>5976</v>
      </c>
    </row>
    <row r="1213" spans="1:2" x14ac:dyDescent="0.2">
      <c r="A1213" t="s">
        <v>19705</v>
      </c>
      <c r="B1213" t="s">
        <v>4153</v>
      </c>
    </row>
    <row r="1214" spans="1:2" x14ac:dyDescent="0.2">
      <c r="A1214" t="s">
        <v>19711</v>
      </c>
      <c r="B1214" t="s">
        <v>4161</v>
      </c>
    </row>
    <row r="1215" spans="1:2" x14ac:dyDescent="0.2">
      <c r="A1215" t="s">
        <v>19906</v>
      </c>
      <c r="B1215" t="s">
        <v>14360</v>
      </c>
    </row>
    <row r="1216" spans="1:2" x14ac:dyDescent="0.2">
      <c r="A1216" t="s">
        <v>11173</v>
      </c>
      <c r="B1216" t="s">
        <v>14360</v>
      </c>
    </row>
    <row r="1217" spans="1:2" x14ac:dyDescent="0.2">
      <c r="A1217" t="s">
        <v>19767</v>
      </c>
      <c r="B1217" t="s">
        <v>14360</v>
      </c>
    </row>
    <row r="1218" spans="1:2" x14ac:dyDescent="0.2">
      <c r="A1218" t="s">
        <v>19905</v>
      </c>
      <c r="B1218" t="s">
        <v>14360</v>
      </c>
    </row>
    <row r="1219" spans="1:2" x14ac:dyDescent="0.2">
      <c r="A1219" t="s">
        <v>19904</v>
      </c>
      <c r="B1219" t="s">
        <v>14360</v>
      </c>
    </row>
    <row r="1220" spans="1:2" x14ac:dyDescent="0.2">
      <c r="A1220" t="s">
        <v>19903</v>
      </c>
      <c r="B1220" t="s">
        <v>14360</v>
      </c>
    </row>
    <row r="1221" spans="1:2" x14ac:dyDescent="0.2">
      <c r="A1221" t="s">
        <v>19712</v>
      </c>
      <c r="B1221" t="s">
        <v>3441</v>
      </c>
    </row>
    <row r="1222" spans="1:2" x14ac:dyDescent="0.2">
      <c r="A1222" t="s">
        <v>19506</v>
      </c>
      <c r="B1222" t="s">
        <v>14360</v>
      </c>
    </row>
    <row r="1223" spans="1:2" x14ac:dyDescent="0.2">
      <c r="A1223" t="s">
        <v>19672</v>
      </c>
      <c r="B1223" t="s">
        <v>14360</v>
      </c>
    </row>
    <row r="1224" spans="1:2" x14ac:dyDescent="0.2">
      <c r="A1224" t="s">
        <v>19320</v>
      </c>
      <c r="B1224" t="s">
        <v>14360</v>
      </c>
    </row>
    <row r="1225" spans="1:2" x14ac:dyDescent="0.2">
      <c r="A1225" t="s">
        <v>19548</v>
      </c>
      <c r="B1225" t="s">
        <v>14360</v>
      </c>
    </row>
    <row r="1226" spans="1:2" x14ac:dyDescent="0.2">
      <c r="A1226" t="s">
        <v>19416</v>
      </c>
      <c r="B1226" t="s">
        <v>14360</v>
      </c>
    </row>
    <row r="1227" spans="1:2" x14ac:dyDescent="0.2">
      <c r="A1227" t="s">
        <v>19511</v>
      </c>
      <c r="B1227" t="s">
        <v>20447</v>
      </c>
    </row>
    <row r="1228" spans="1:2" x14ac:dyDescent="0.2">
      <c r="A1228" t="s">
        <v>19449</v>
      </c>
      <c r="B1228" t="s">
        <v>14360</v>
      </c>
    </row>
    <row r="1229" spans="1:2" x14ac:dyDescent="0.2">
      <c r="A1229" t="s">
        <v>19509</v>
      </c>
      <c r="B1229" t="s">
        <v>20431</v>
      </c>
    </row>
    <row r="1230" spans="1:2" x14ac:dyDescent="0.2">
      <c r="A1230" t="s">
        <v>19378</v>
      </c>
      <c r="B1230" t="s">
        <v>14360</v>
      </c>
    </row>
    <row r="1231" spans="1:2" x14ac:dyDescent="0.2">
      <c r="A1231" t="s">
        <v>19441</v>
      </c>
      <c r="B1231" t="s">
        <v>8813</v>
      </c>
    </row>
    <row r="1232" spans="1:2" x14ac:dyDescent="0.2">
      <c r="A1232" t="s">
        <v>19335</v>
      </c>
      <c r="B1232" t="s">
        <v>7264</v>
      </c>
    </row>
    <row r="1233" spans="1:2" x14ac:dyDescent="0.2">
      <c r="A1233" t="s">
        <v>19517</v>
      </c>
      <c r="B1233" t="s">
        <v>14360</v>
      </c>
    </row>
    <row r="1234" spans="1:2" x14ac:dyDescent="0.2">
      <c r="A1234" t="s">
        <v>19409</v>
      </c>
      <c r="B1234" t="s">
        <v>14360</v>
      </c>
    </row>
    <row r="1235" spans="1:2" x14ac:dyDescent="0.2">
      <c r="A1235" t="s">
        <v>19405</v>
      </c>
      <c r="B1235" t="s">
        <v>20444</v>
      </c>
    </row>
    <row r="1236" spans="1:2" x14ac:dyDescent="0.2">
      <c r="A1236" t="s">
        <v>19404</v>
      </c>
      <c r="B1236" t="s">
        <v>14360</v>
      </c>
    </row>
    <row r="1237" spans="1:2" x14ac:dyDescent="0.2">
      <c r="A1237" t="s">
        <v>19446</v>
      </c>
      <c r="B1237" t="s">
        <v>20451</v>
      </c>
    </row>
    <row r="1238" spans="1:2" x14ac:dyDescent="0.2">
      <c r="A1238" t="s">
        <v>19412</v>
      </c>
      <c r="B1238" t="s">
        <v>20450</v>
      </c>
    </row>
    <row r="1239" spans="1:2" x14ac:dyDescent="0.2">
      <c r="A1239" t="s">
        <v>19414</v>
      </c>
      <c r="B1239" t="s">
        <v>14360</v>
      </c>
    </row>
    <row r="1240" spans="1:2" x14ac:dyDescent="0.2">
      <c r="A1240" t="s">
        <v>19391</v>
      </c>
      <c r="B1240" t="s">
        <v>14360</v>
      </c>
    </row>
    <row r="1241" spans="1:2" x14ac:dyDescent="0.2">
      <c r="A1241" t="s">
        <v>19520</v>
      </c>
      <c r="B1241" t="s">
        <v>20449</v>
      </c>
    </row>
    <row r="1242" spans="1:2" x14ac:dyDescent="0.2">
      <c r="A1242" t="s">
        <v>19393</v>
      </c>
      <c r="B1242" t="s">
        <v>14360</v>
      </c>
    </row>
    <row r="1243" spans="1:2" x14ac:dyDescent="0.2">
      <c r="A1243" t="s">
        <v>19379</v>
      </c>
      <c r="B1243" t="s">
        <v>14360</v>
      </c>
    </row>
    <row r="1244" spans="1:2" x14ac:dyDescent="0.2">
      <c r="A1244" t="s">
        <v>19514</v>
      </c>
      <c r="B1244" t="s">
        <v>20445</v>
      </c>
    </row>
    <row r="1245" spans="1:2" x14ac:dyDescent="0.2">
      <c r="A1245" t="s">
        <v>19515</v>
      </c>
      <c r="B1245" t="s">
        <v>20446</v>
      </c>
    </row>
    <row r="1246" spans="1:2" x14ac:dyDescent="0.2">
      <c r="A1246" t="s">
        <v>19429</v>
      </c>
      <c r="B1246" t="s">
        <v>20448</v>
      </c>
    </row>
    <row r="1247" spans="1:2" x14ac:dyDescent="0.2">
      <c r="A1247" t="s">
        <v>19512</v>
      </c>
      <c r="B1247" t="s">
        <v>14360</v>
      </c>
    </row>
    <row r="1248" spans="1:2" x14ac:dyDescent="0.2">
      <c r="A1248" t="s">
        <v>19436</v>
      </c>
      <c r="B1248" t="s">
        <v>14360</v>
      </c>
    </row>
    <row r="1249" spans="1:5" x14ac:dyDescent="0.2">
      <c r="A1249" t="s">
        <v>19510</v>
      </c>
      <c r="B1249" t="s">
        <v>14360</v>
      </c>
    </row>
    <row r="1250" spans="1:5" x14ac:dyDescent="0.2">
      <c r="A1250" t="s">
        <v>814</v>
      </c>
      <c r="B1250" t="s">
        <v>14360</v>
      </c>
    </row>
    <row r="1251" spans="1:5" x14ac:dyDescent="0.2">
      <c r="A1251" t="s">
        <v>19681</v>
      </c>
      <c r="B1251" t="s">
        <v>14360</v>
      </c>
    </row>
    <row r="1252" spans="1:5" x14ac:dyDescent="0.2">
      <c r="A1252" t="s">
        <v>19198</v>
      </c>
      <c r="B1252" t="s">
        <v>14360</v>
      </c>
    </row>
    <row r="1253" spans="1:5" x14ac:dyDescent="0.2">
      <c r="A1253" t="s">
        <v>19248</v>
      </c>
      <c r="B1253" t="s">
        <v>6180</v>
      </c>
    </row>
    <row r="1254" spans="1:5" x14ac:dyDescent="0.2">
      <c r="A1254" t="s">
        <v>19685</v>
      </c>
      <c r="B1254" t="s">
        <v>14360</v>
      </c>
    </row>
    <row r="1255" spans="1:5" x14ac:dyDescent="0.2">
      <c r="A1255" t="s">
        <v>19240</v>
      </c>
      <c r="B1255" t="s">
        <v>14360</v>
      </c>
    </row>
    <row r="1256" spans="1:5" x14ac:dyDescent="0.2">
      <c r="A1256" t="s">
        <v>19902</v>
      </c>
      <c r="B1256" t="s">
        <v>14360</v>
      </c>
    </row>
    <row r="1257" spans="1:5" x14ac:dyDescent="0.2">
      <c r="A1257" t="s">
        <v>19648</v>
      </c>
      <c r="B1257" t="s">
        <v>14360</v>
      </c>
    </row>
    <row r="1258" spans="1:5" x14ac:dyDescent="0.2">
      <c r="A1258" t="s">
        <v>20086</v>
      </c>
      <c r="B1258" t="s">
        <v>14360</v>
      </c>
      <c r="E1258" s="9"/>
    </row>
    <row r="1259" spans="1:5" x14ac:dyDescent="0.2">
      <c r="A1259" t="s">
        <v>20087</v>
      </c>
      <c r="B1259" t="s">
        <v>14360</v>
      </c>
    </row>
    <row r="1260" spans="1:5" x14ac:dyDescent="0.2">
      <c r="A1260" t="s">
        <v>19252</v>
      </c>
      <c r="B1260" t="s">
        <v>14360</v>
      </c>
    </row>
    <row r="1261" spans="1:5" x14ac:dyDescent="0.2">
      <c r="A1261" t="s">
        <v>19499</v>
      </c>
      <c r="B1261" t="s">
        <v>14360</v>
      </c>
    </row>
    <row r="1262" spans="1:5" x14ac:dyDescent="0.2">
      <c r="A1262" t="s">
        <v>19181</v>
      </c>
      <c r="B1262" t="s">
        <v>5185</v>
      </c>
    </row>
    <row r="1263" spans="1:5" x14ac:dyDescent="0.2">
      <c r="A1263" t="s">
        <v>19901</v>
      </c>
      <c r="B1263" t="s">
        <v>14360</v>
      </c>
    </row>
    <row r="1264" spans="1:5" x14ac:dyDescent="0.2">
      <c r="A1264" t="s">
        <v>19665</v>
      </c>
      <c r="B1264" t="s">
        <v>14360</v>
      </c>
    </row>
    <row r="1265" spans="1:2" x14ac:dyDescent="0.2">
      <c r="A1265" t="s">
        <v>19367</v>
      </c>
      <c r="B1265" t="s">
        <v>14360</v>
      </c>
    </row>
    <row r="1266" spans="1:2" x14ac:dyDescent="0.2">
      <c r="A1266" t="s">
        <v>19585</v>
      </c>
      <c r="B1266" t="s">
        <v>10117</v>
      </c>
    </row>
    <row r="1267" spans="1:2" x14ac:dyDescent="0.2">
      <c r="A1267" t="s">
        <v>19322</v>
      </c>
      <c r="B1267" t="s">
        <v>7094</v>
      </c>
    </row>
    <row r="1268" spans="1:2" x14ac:dyDescent="0.2">
      <c r="A1268" t="s">
        <v>19900</v>
      </c>
      <c r="B1268" t="s">
        <v>14360</v>
      </c>
    </row>
    <row r="1269" spans="1:2" x14ac:dyDescent="0.2">
      <c r="A1269" t="s">
        <v>19732</v>
      </c>
      <c r="B1269" t="s">
        <v>4505</v>
      </c>
    </row>
    <row r="1270" spans="1:2" x14ac:dyDescent="0.2">
      <c r="A1270" t="s">
        <v>19344</v>
      </c>
      <c r="B1270" t="s">
        <v>20458</v>
      </c>
    </row>
    <row r="1271" spans="1:2" x14ac:dyDescent="0.2">
      <c r="A1271" t="s">
        <v>19575</v>
      </c>
      <c r="B1271" t="s">
        <v>14360</v>
      </c>
    </row>
    <row r="1272" spans="1:2" x14ac:dyDescent="0.2">
      <c r="A1272" t="s">
        <v>19574</v>
      </c>
      <c r="B1272" t="s">
        <v>14360</v>
      </c>
    </row>
    <row r="1273" spans="1:2" x14ac:dyDescent="0.2">
      <c r="A1273" t="s">
        <v>19571</v>
      </c>
      <c r="B1273" t="s">
        <v>14360</v>
      </c>
    </row>
    <row r="1274" spans="1:2" x14ac:dyDescent="0.2">
      <c r="A1274" t="s">
        <v>19577</v>
      </c>
      <c r="B1274" t="s">
        <v>14360</v>
      </c>
    </row>
    <row r="1275" spans="1:2" x14ac:dyDescent="0.2">
      <c r="A1275" t="s">
        <v>19899</v>
      </c>
      <c r="B1275" t="s">
        <v>14360</v>
      </c>
    </row>
    <row r="1276" spans="1:2" x14ac:dyDescent="0.2">
      <c r="A1276" t="s">
        <v>19898</v>
      </c>
      <c r="B1276" t="s">
        <v>14360</v>
      </c>
    </row>
    <row r="1277" spans="1:2" x14ac:dyDescent="0.2">
      <c r="A1277" t="s">
        <v>19180</v>
      </c>
      <c r="B1277" t="s">
        <v>14360</v>
      </c>
    </row>
    <row r="1278" spans="1:2" x14ac:dyDescent="0.2">
      <c r="A1278" t="s">
        <v>19214</v>
      </c>
      <c r="B1278" t="s">
        <v>14360</v>
      </c>
    </row>
    <row r="1279" spans="1:2" x14ac:dyDescent="0.2">
      <c r="A1279" t="s">
        <v>19709</v>
      </c>
      <c r="B1279" t="s">
        <v>4169</v>
      </c>
    </row>
    <row r="1280" spans="1:2" x14ac:dyDescent="0.2">
      <c r="A1280" t="s">
        <v>19238</v>
      </c>
      <c r="B1280" t="s">
        <v>14360</v>
      </c>
    </row>
    <row r="1281" spans="1:2" x14ac:dyDescent="0.2">
      <c r="A1281" t="s">
        <v>19649</v>
      </c>
      <c r="B1281" t="s">
        <v>14360</v>
      </c>
    </row>
    <row r="1282" spans="1:2" x14ac:dyDescent="0.2">
      <c r="A1282" t="s">
        <v>19592</v>
      </c>
      <c r="B1282" t="s">
        <v>14360</v>
      </c>
    </row>
    <row r="1283" spans="1:2" x14ac:dyDescent="0.2">
      <c r="A1283" t="s">
        <v>19646</v>
      </c>
      <c r="B1283" t="s">
        <v>14360</v>
      </c>
    </row>
    <row r="1284" spans="1:2" x14ac:dyDescent="0.2">
      <c r="A1284" t="s">
        <v>19315</v>
      </c>
      <c r="B1284" t="s">
        <v>14360</v>
      </c>
    </row>
    <row r="1285" spans="1:2" x14ac:dyDescent="0.2">
      <c r="A1285" t="s">
        <v>19647</v>
      </c>
      <c r="B1285" t="s">
        <v>14360</v>
      </c>
    </row>
    <row r="1286" spans="1:2" x14ac:dyDescent="0.2">
      <c r="A1286" t="s">
        <v>19423</v>
      </c>
      <c r="B1286" t="s">
        <v>14360</v>
      </c>
    </row>
    <row r="1287" spans="1:2" x14ac:dyDescent="0.2">
      <c r="A1287" t="s">
        <v>19298</v>
      </c>
      <c r="B1287" t="s">
        <v>14360</v>
      </c>
    </row>
    <row r="1288" spans="1:2" x14ac:dyDescent="0.2">
      <c r="A1288" t="s">
        <v>20088</v>
      </c>
      <c r="B1288" t="s">
        <v>14360</v>
      </c>
    </row>
    <row r="1289" spans="1:2" x14ac:dyDescent="0.2">
      <c r="A1289" t="s">
        <v>19589</v>
      </c>
      <c r="B1289" t="s">
        <v>14360</v>
      </c>
    </row>
    <row r="1290" spans="1:2" x14ac:dyDescent="0.2">
      <c r="A1290" t="s">
        <v>19564</v>
      </c>
      <c r="B1290" t="s">
        <v>14360</v>
      </c>
    </row>
    <row r="1291" spans="1:2" x14ac:dyDescent="0.2">
      <c r="A1291" t="s">
        <v>19295</v>
      </c>
      <c r="B1291" t="s">
        <v>6752</v>
      </c>
    </row>
    <row r="1292" spans="1:2" x14ac:dyDescent="0.2">
      <c r="A1292" t="s">
        <v>19610</v>
      </c>
      <c r="B1292" t="s">
        <v>14360</v>
      </c>
    </row>
    <row r="1293" spans="1:2" x14ac:dyDescent="0.2">
      <c r="A1293" t="s">
        <v>20089</v>
      </c>
      <c r="B1293" t="s">
        <v>14360</v>
      </c>
    </row>
    <row r="1294" spans="1:2" x14ac:dyDescent="0.2">
      <c r="A1294" t="s">
        <v>20090</v>
      </c>
      <c r="B1294" t="s">
        <v>14360</v>
      </c>
    </row>
    <row r="1295" spans="1:2" x14ac:dyDescent="0.2">
      <c r="A1295" t="s">
        <v>13396</v>
      </c>
      <c r="B1295" t="s">
        <v>14360</v>
      </c>
    </row>
    <row r="1296" spans="1:2" x14ac:dyDescent="0.2">
      <c r="A1296" t="s">
        <v>19897</v>
      </c>
      <c r="B1296" t="s">
        <v>14360</v>
      </c>
    </row>
    <row r="1297" spans="1:2" x14ac:dyDescent="0.2">
      <c r="A1297" t="s">
        <v>19189</v>
      </c>
      <c r="B1297" t="s">
        <v>14360</v>
      </c>
    </row>
    <row r="1298" spans="1:2" x14ac:dyDescent="0.2">
      <c r="A1298" t="s">
        <v>19192</v>
      </c>
      <c r="B1298" t="s">
        <v>14360</v>
      </c>
    </row>
    <row r="1299" spans="1:2" x14ac:dyDescent="0.2">
      <c r="A1299" t="s">
        <v>19463</v>
      </c>
      <c r="B1299" t="s">
        <v>14360</v>
      </c>
    </row>
    <row r="1300" spans="1:2" x14ac:dyDescent="0.2">
      <c r="A1300" t="s">
        <v>19218</v>
      </c>
      <c r="B1300" t="s">
        <v>14360</v>
      </c>
    </row>
    <row r="1301" spans="1:2" x14ac:dyDescent="0.2">
      <c r="A1301" t="s">
        <v>19718</v>
      </c>
      <c r="B1301" t="s">
        <v>4233</v>
      </c>
    </row>
    <row r="1302" spans="1:2" x14ac:dyDescent="0.2">
      <c r="A1302" t="s">
        <v>20091</v>
      </c>
      <c r="B1302" t="s">
        <v>5869</v>
      </c>
    </row>
    <row r="1303" spans="1:2" x14ac:dyDescent="0.2">
      <c r="A1303" t="s">
        <v>19310</v>
      </c>
      <c r="B1303" t="s">
        <v>14360</v>
      </c>
    </row>
    <row r="1304" spans="1:2" x14ac:dyDescent="0.2">
      <c r="A1304" t="s">
        <v>19625</v>
      </c>
      <c r="B1304" t="s">
        <v>14360</v>
      </c>
    </row>
    <row r="1305" spans="1:2" x14ac:dyDescent="0.2">
      <c r="A1305" t="s">
        <v>19289</v>
      </c>
      <c r="B1305" t="s">
        <v>14360</v>
      </c>
    </row>
    <row r="1306" spans="1:2" x14ac:dyDescent="0.2">
      <c r="A1306" t="s">
        <v>19896</v>
      </c>
      <c r="B1306" t="s">
        <v>14360</v>
      </c>
    </row>
    <row r="1307" spans="1:2" x14ac:dyDescent="0.2">
      <c r="A1307" t="s">
        <v>11295</v>
      </c>
      <c r="B1307" t="s">
        <v>14360</v>
      </c>
    </row>
    <row r="1308" spans="1:2" x14ac:dyDescent="0.2">
      <c r="A1308" t="s">
        <v>11193</v>
      </c>
      <c r="B1308" t="s">
        <v>14360</v>
      </c>
    </row>
    <row r="1309" spans="1:2" x14ac:dyDescent="0.2">
      <c r="A1309" t="s">
        <v>1088</v>
      </c>
      <c r="B1309" t="s">
        <v>14360</v>
      </c>
    </row>
    <row r="1310" spans="1:2" x14ac:dyDescent="0.2">
      <c r="A1310" t="s">
        <v>1089</v>
      </c>
      <c r="B1310" t="s">
        <v>14360</v>
      </c>
    </row>
    <row r="1311" spans="1:2" x14ac:dyDescent="0.2">
      <c r="A1311" t="s">
        <v>76</v>
      </c>
      <c r="B1311" t="s">
        <v>14360</v>
      </c>
    </row>
    <row r="1312" spans="1:2" x14ac:dyDescent="0.2">
      <c r="A1312" t="s">
        <v>81</v>
      </c>
      <c r="B1312" t="s">
        <v>14360</v>
      </c>
    </row>
    <row r="1313" spans="1:2" x14ac:dyDescent="0.2">
      <c r="A1313" t="s">
        <v>86</v>
      </c>
      <c r="B1313" t="s">
        <v>14360</v>
      </c>
    </row>
    <row r="1314" spans="1:2" x14ac:dyDescent="0.2">
      <c r="A1314" t="s">
        <v>91</v>
      </c>
      <c r="B1314" t="s">
        <v>14360</v>
      </c>
    </row>
    <row r="1315" spans="1:2" x14ac:dyDescent="0.2">
      <c r="A1315" t="s">
        <v>11158</v>
      </c>
      <c r="B1315" t="s">
        <v>14360</v>
      </c>
    </row>
    <row r="1316" spans="1:2" x14ac:dyDescent="0.2">
      <c r="A1316" t="s">
        <v>11302</v>
      </c>
      <c r="B1316" t="s">
        <v>14360</v>
      </c>
    </row>
    <row r="1317" spans="1:2" x14ac:dyDescent="0.2">
      <c r="A1317" t="s">
        <v>101</v>
      </c>
      <c r="B1317" t="s">
        <v>14360</v>
      </c>
    </row>
    <row r="1318" spans="1:2" x14ac:dyDescent="0.2">
      <c r="A1318" t="s">
        <v>106</v>
      </c>
      <c r="B1318" t="s">
        <v>14360</v>
      </c>
    </row>
    <row r="1319" spans="1:2" x14ac:dyDescent="0.2">
      <c r="A1319" t="s">
        <v>11299</v>
      </c>
      <c r="B1319" t="s">
        <v>14360</v>
      </c>
    </row>
    <row r="1320" spans="1:2" x14ac:dyDescent="0.2">
      <c r="A1320" t="s">
        <v>116</v>
      </c>
      <c r="B1320" t="s">
        <v>14360</v>
      </c>
    </row>
    <row r="1321" spans="1:2" x14ac:dyDescent="0.2">
      <c r="A1321" t="s">
        <v>121</v>
      </c>
      <c r="B1321" t="s">
        <v>14360</v>
      </c>
    </row>
    <row r="1322" spans="1:2" x14ac:dyDescent="0.2">
      <c r="A1322" t="s">
        <v>11136</v>
      </c>
      <c r="B1322" t="s">
        <v>14360</v>
      </c>
    </row>
    <row r="1323" spans="1:2" x14ac:dyDescent="0.2">
      <c r="A1323" t="s">
        <v>131</v>
      </c>
      <c r="B1323" t="s">
        <v>14360</v>
      </c>
    </row>
    <row r="1324" spans="1:2" x14ac:dyDescent="0.2">
      <c r="A1324" t="s">
        <v>136</v>
      </c>
      <c r="B1324" t="s">
        <v>14360</v>
      </c>
    </row>
    <row r="1325" spans="1:2" x14ac:dyDescent="0.2">
      <c r="A1325" t="s">
        <v>11291</v>
      </c>
      <c r="B1325" t="s">
        <v>14360</v>
      </c>
    </row>
    <row r="1326" spans="1:2" x14ac:dyDescent="0.2">
      <c r="A1326" t="s">
        <v>823</v>
      </c>
      <c r="B1326" t="s">
        <v>14360</v>
      </c>
    </row>
    <row r="1327" spans="1:2" x14ac:dyDescent="0.2">
      <c r="A1327" t="s">
        <v>141</v>
      </c>
      <c r="B1327" t="s">
        <v>14360</v>
      </c>
    </row>
    <row r="1328" spans="1:2" x14ac:dyDescent="0.2">
      <c r="A1328" t="s">
        <v>148</v>
      </c>
      <c r="B1328" t="s">
        <v>14360</v>
      </c>
    </row>
    <row r="1329" spans="1:2" x14ac:dyDescent="0.2">
      <c r="A1329" t="s">
        <v>153</v>
      </c>
      <c r="B1329" t="s">
        <v>14360</v>
      </c>
    </row>
    <row r="1330" spans="1:2" x14ac:dyDescent="0.2">
      <c r="A1330" t="s">
        <v>158</v>
      </c>
      <c r="B1330" t="s">
        <v>14360</v>
      </c>
    </row>
    <row r="1331" spans="1:2" x14ac:dyDescent="0.2">
      <c r="A1331" t="s">
        <v>163</v>
      </c>
      <c r="B1331" t="s">
        <v>14360</v>
      </c>
    </row>
    <row r="1332" spans="1:2" x14ac:dyDescent="0.2">
      <c r="A1332" t="s">
        <v>168</v>
      </c>
      <c r="B1332" t="s">
        <v>14360</v>
      </c>
    </row>
    <row r="1333" spans="1:2" x14ac:dyDescent="0.2">
      <c r="A1333" t="s">
        <v>173</v>
      </c>
      <c r="B1333" t="s">
        <v>14360</v>
      </c>
    </row>
    <row r="1334" spans="1:2" x14ac:dyDescent="0.2">
      <c r="A1334" t="s">
        <v>178</v>
      </c>
      <c r="B1334" t="s">
        <v>14360</v>
      </c>
    </row>
    <row r="1335" spans="1:2" x14ac:dyDescent="0.2">
      <c r="A1335" t="s">
        <v>183</v>
      </c>
      <c r="B1335" t="s">
        <v>14360</v>
      </c>
    </row>
    <row r="1336" spans="1:2" x14ac:dyDescent="0.2">
      <c r="A1336" t="s">
        <v>188</v>
      </c>
      <c r="B1336" t="s">
        <v>14360</v>
      </c>
    </row>
    <row r="1337" spans="1:2" x14ac:dyDescent="0.2">
      <c r="A1337" t="s">
        <v>193</v>
      </c>
      <c r="B1337" t="s">
        <v>14360</v>
      </c>
    </row>
    <row r="1338" spans="1:2" x14ac:dyDescent="0.2">
      <c r="A1338" t="s">
        <v>198</v>
      </c>
      <c r="B1338" t="s">
        <v>14360</v>
      </c>
    </row>
    <row r="1339" spans="1:2" x14ac:dyDescent="0.2">
      <c r="A1339" t="s">
        <v>203</v>
      </c>
      <c r="B1339" t="s">
        <v>14360</v>
      </c>
    </row>
    <row r="1340" spans="1:2" x14ac:dyDescent="0.2">
      <c r="A1340" t="s">
        <v>208</v>
      </c>
      <c r="B1340" t="s">
        <v>14360</v>
      </c>
    </row>
    <row r="1341" spans="1:2" x14ac:dyDescent="0.2">
      <c r="A1341" t="s">
        <v>830</v>
      </c>
      <c r="B1341" t="s">
        <v>14360</v>
      </c>
    </row>
    <row r="1342" spans="1:2" x14ac:dyDescent="0.2">
      <c r="A1342" t="s">
        <v>832</v>
      </c>
      <c r="B1342" t="s">
        <v>14360</v>
      </c>
    </row>
    <row r="1343" spans="1:2" x14ac:dyDescent="0.2">
      <c r="A1343" t="s">
        <v>836</v>
      </c>
      <c r="B1343" t="s">
        <v>14360</v>
      </c>
    </row>
    <row r="1344" spans="1:2" x14ac:dyDescent="0.2">
      <c r="A1344" t="s">
        <v>846</v>
      </c>
      <c r="B1344" t="s">
        <v>14360</v>
      </c>
    </row>
    <row r="1345" spans="1:2" x14ac:dyDescent="0.2">
      <c r="A1345" t="s">
        <v>19770</v>
      </c>
      <c r="B1345" t="s">
        <v>14360</v>
      </c>
    </row>
    <row r="1346" spans="1:2" x14ac:dyDescent="0.2">
      <c r="A1346" t="s">
        <v>19764</v>
      </c>
      <c r="B1346" t="s">
        <v>14360</v>
      </c>
    </row>
    <row r="1347" spans="1:2" x14ac:dyDescent="0.2">
      <c r="A1347" t="s">
        <v>859</v>
      </c>
      <c r="B1347" t="s">
        <v>14360</v>
      </c>
    </row>
    <row r="1348" spans="1:2" x14ac:dyDescent="0.2">
      <c r="A1348" t="s">
        <v>864</v>
      </c>
      <c r="B1348" t="s">
        <v>14360</v>
      </c>
    </row>
    <row r="1349" spans="1:2" x14ac:dyDescent="0.2">
      <c r="A1349" t="s">
        <v>868</v>
      </c>
      <c r="B1349" t="s">
        <v>14360</v>
      </c>
    </row>
    <row r="1350" spans="1:2" x14ac:dyDescent="0.2">
      <c r="A1350" t="s">
        <v>872</v>
      </c>
      <c r="B1350" t="s">
        <v>14360</v>
      </c>
    </row>
    <row r="1351" spans="1:2" x14ac:dyDescent="0.2">
      <c r="A1351" t="s">
        <v>876</v>
      </c>
      <c r="B1351" t="s">
        <v>14360</v>
      </c>
    </row>
    <row r="1352" spans="1:2" x14ac:dyDescent="0.2">
      <c r="A1352" t="s">
        <v>879</v>
      </c>
      <c r="B1352" t="s">
        <v>14360</v>
      </c>
    </row>
    <row r="1353" spans="1:2" x14ac:dyDescent="0.2">
      <c r="A1353" t="s">
        <v>883</v>
      </c>
      <c r="B1353" t="s">
        <v>14360</v>
      </c>
    </row>
    <row r="1354" spans="1:2" x14ac:dyDescent="0.2">
      <c r="A1354" t="s">
        <v>888</v>
      </c>
      <c r="B1354" t="s">
        <v>14360</v>
      </c>
    </row>
    <row r="1355" spans="1:2" x14ac:dyDescent="0.2">
      <c r="A1355" t="s">
        <v>896</v>
      </c>
      <c r="B1355" t="s">
        <v>14360</v>
      </c>
    </row>
    <row r="1356" spans="1:2" x14ac:dyDescent="0.2">
      <c r="A1356" t="s">
        <v>900</v>
      </c>
      <c r="B1356" t="s">
        <v>14360</v>
      </c>
    </row>
    <row r="1357" spans="1:2" x14ac:dyDescent="0.2">
      <c r="A1357" t="s">
        <v>904</v>
      </c>
      <c r="B1357" t="s">
        <v>14360</v>
      </c>
    </row>
    <row r="1358" spans="1:2" x14ac:dyDescent="0.2">
      <c r="A1358" t="s">
        <v>908</v>
      </c>
      <c r="B1358" t="s">
        <v>14360</v>
      </c>
    </row>
    <row r="1359" spans="1:2" x14ac:dyDescent="0.2">
      <c r="A1359" t="s">
        <v>912</v>
      </c>
      <c r="B1359" t="s">
        <v>14360</v>
      </c>
    </row>
    <row r="1360" spans="1:2" x14ac:dyDescent="0.2">
      <c r="A1360" t="s">
        <v>916</v>
      </c>
      <c r="B1360" t="s">
        <v>14360</v>
      </c>
    </row>
    <row r="1361" spans="1:2" x14ac:dyDescent="0.2">
      <c r="A1361" t="s">
        <v>920</v>
      </c>
      <c r="B1361" t="s">
        <v>14360</v>
      </c>
    </row>
    <row r="1362" spans="1:2" x14ac:dyDescent="0.2">
      <c r="A1362" t="s">
        <v>923</v>
      </c>
      <c r="B1362" t="s">
        <v>14360</v>
      </c>
    </row>
    <row r="1363" spans="1:2" x14ac:dyDescent="0.2">
      <c r="A1363" t="s">
        <v>11263</v>
      </c>
      <c r="B1363" t="s">
        <v>14360</v>
      </c>
    </row>
    <row r="1364" spans="1:2" x14ac:dyDescent="0.2">
      <c r="A1364" t="s">
        <v>927</v>
      </c>
      <c r="B1364" t="s">
        <v>14360</v>
      </c>
    </row>
    <row r="1365" spans="1:2" x14ac:dyDescent="0.2">
      <c r="A1365" t="s">
        <v>19895</v>
      </c>
      <c r="B1365" t="s">
        <v>14360</v>
      </c>
    </row>
    <row r="1366" spans="1:2" x14ac:dyDescent="0.2">
      <c r="A1366" t="s">
        <v>19422</v>
      </c>
      <c r="B1366" t="s">
        <v>14360</v>
      </c>
    </row>
    <row r="1367" spans="1:2" x14ac:dyDescent="0.2">
      <c r="A1367" t="s">
        <v>19540</v>
      </c>
      <c r="B1367" t="s">
        <v>14360</v>
      </c>
    </row>
    <row r="1368" spans="1:2" x14ac:dyDescent="0.2">
      <c r="A1368" t="s">
        <v>19624</v>
      </c>
      <c r="B1368" t="s">
        <v>14360</v>
      </c>
    </row>
    <row r="1369" spans="1:2" x14ac:dyDescent="0.2">
      <c r="A1369" t="s">
        <v>19706</v>
      </c>
      <c r="B1369" t="s">
        <v>14360</v>
      </c>
    </row>
    <row r="1370" spans="1:2" x14ac:dyDescent="0.2">
      <c r="A1370" t="s">
        <v>19894</v>
      </c>
      <c r="B1370" t="s">
        <v>14360</v>
      </c>
    </row>
    <row r="1371" spans="1:2" x14ac:dyDescent="0.2">
      <c r="A1371" t="s">
        <v>19893</v>
      </c>
      <c r="B1371" t="s">
        <v>14360</v>
      </c>
    </row>
    <row r="1372" spans="1:2" x14ac:dyDescent="0.2">
      <c r="A1372" t="s">
        <v>19430</v>
      </c>
      <c r="B1372" t="s">
        <v>20452</v>
      </c>
    </row>
    <row r="1373" spans="1:2" x14ac:dyDescent="0.2">
      <c r="A1373" t="s">
        <v>19328</v>
      </c>
      <c r="B1373" t="s">
        <v>14360</v>
      </c>
    </row>
    <row r="1374" spans="1:2" x14ac:dyDescent="0.2">
      <c r="A1374" t="s">
        <v>20092</v>
      </c>
      <c r="B1374" t="s">
        <v>14360</v>
      </c>
    </row>
    <row r="1375" spans="1:2" x14ac:dyDescent="0.2">
      <c r="A1375" t="s">
        <v>19772</v>
      </c>
      <c r="B1375" t="s">
        <v>14360</v>
      </c>
    </row>
    <row r="1376" spans="1:2" x14ac:dyDescent="0.2">
      <c r="A1376" t="s">
        <v>19761</v>
      </c>
      <c r="B1376" t="s">
        <v>14360</v>
      </c>
    </row>
    <row r="1377" spans="1:2" x14ac:dyDescent="0.2">
      <c r="A1377" t="s">
        <v>19763</v>
      </c>
      <c r="B1377" t="s">
        <v>14360</v>
      </c>
    </row>
    <row r="1378" spans="1:2" x14ac:dyDescent="0.2">
      <c r="A1378" t="s">
        <v>19768</v>
      </c>
      <c r="B1378" t="s">
        <v>14360</v>
      </c>
    </row>
    <row r="1379" spans="1:2" x14ac:dyDescent="0.2">
      <c r="A1379" t="s">
        <v>947</v>
      </c>
      <c r="B1379" t="s">
        <v>14360</v>
      </c>
    </row>
    <row r="1380" spans="1:2" x14ac:dyDescent="0.2">
      <c r="A1380" t="s">
        <v>951</v>
      </c>
      <c r="B1380" t="s">
        <v>14360</v>
      </c>
    </row>
    <row r="1381" spans="1:2" x14ac:dyDescent="0.2">
      <c r="A1381" t="s">
        <v>955</v>
      </c>
      <c r="B1381" t="s">
        <v>14360</v>
      </c>
    </row>
    <row r="1382" spans="1:2" x14ac:dyDescent="0.2">
      <c r="A1382" t="s">
        <v>959</v>
      </c>
      <c r="B1382" t="s">
        <v>14360</v>
      </c>
    </row>
    <row r="1383" spans="1:2" x14ac:dyDescent="0.2">
      <c r="A1383" t="s">
        <v>968</v>
      </c>
      <c r="B1383" t="s">
        <v>14360</v>
      </c>
    </row>
    <row r="1384" spans="1:2" x14ac:dyDescent="0.2">
      <c r="A1384" t="s">
        <v>972</v>
      </c>
      <c r="B1384" t="s">
        <v>14360</v>
      </c>
    </row>
    <row r="1385" spans="1:2" x14ac:dyDescent="0.2">
      <c r="A1385" t="s">
        <v>976</v>
      </c>
      <c r="B1385" t="s">
        <v>14360</v>
      </c>
    </row>
    <row r="1386" spans="1:2" x14ac:dyDescent="0.2">
      <c r="A1386" t="s">
        <v>980</v>
      </c>
      <c r="B1386" t="s">
        <v>14360</v>
      </c>
    </row>
    <row r="1387" spans="1:2" x14ac:dyDescent="0.2">
      <c r="A1387" t="s">
        <v>984</v>
      </c>
      <c r="B1387" t="s">
        <v>14360</v>
      </c>
    </row>
    <row r="1388" spans="1:2" x14ac:dyDescent="0.2">
      <c r="A1388" t="s">
        <v>988</v>
      </c>
      <c r="B1388" t="s">
        <v>14360</v>
      </c>
    </row>
    <row r="1389" spans="1:2" x14ac:dyDescent="0.2">
      <c r="A1389" t="s">
        <v>992</v>
      </c>
      <c r="B1389" t="s">
        <v>14360</v>
      </c>
    </row>
    <row r="1390" spans="1:2" x14ac:dyDescent="0.2">
      <c r="A1390" t="s">
        <v>996</v>
      </c>
      <c r="B1390" t="s">
        <v>14360</v>
      </c>
    </row>
    <row r="1391" spans="1:2" x14ac:dyDescent="0.2">
      <c r="A1391" t="s">
        <v>1000</v>
      </c>
      <c r="B1391" t="s">
        <v>14360</v>
      </c>
    </row>
    <row r="1392" spans="1:2" x14ac:dyDescent="0.2">
      <c r="A1392" t="s">
        <v>1014</v>
      </c>
      <c r="B1392" t="s">
        <v>14360</v>
      </c>
    </row>
    <row r="1393" spans="1:2" x14ac:dyDescent="0.2">
      <c r="A1393" t="s">
        <v>1018</v>
      </c>
      <c r="B1393" t="s">
        <v>14360</v>
      </c>
    </row>
    <row r="1394" spans="1:2" x14ac:dyDescent="0.2">
      <c r="A1394" t="s">
        <v>1022</v>
      </c>
      <c r="B1394" t="s">
        <v>14360</v>
      </c>
    </row>
    <row r="1395" spans="1:2" x14ac:dyDescent="0.2">
      <c r="A1395" t="s">
        <v>1026</v>
      </c>
      <c r="B1395" t="s">
        <v>14360</v>
      </c>
    </row>
    <row r="1396" spans="1:2" x14ac:dyDescent="0.2">
      <c r="A1396" t="s">
        <v>1030</v>
      </c>
      <c r="B1396" t="s">
        <v>14360</v>
      </c>
    </row>
    <row r="1397" spans="1:2" x14ac:dyDescent="0.2">
      <c r="A1397" t="s">
        <v>1034</v>
      </c>
      <c r="B1397" t="s">
        <v>14360</v>
      </c>
    </row>
    <row r="1398" spans="1:2" x14ac:dyDescent="0.2">
      <c r="A1398" t="s">
        <v>1038</v>
      </c>
      <c r="B1398" t="s">
        <v>14360</v>
      </c>
    </row>
    <row r="1399" spans="1:2" x14ac:dyDescent="0.2">
      <c r="A1399" t="s">
        <v>1042</v>
      </c>
      <c r="B1399" t="s">
        <v>14360</v>
      </c>
    </row>
    <row r="1400" spans="1:2" x14ac:dyDescent="0.2">
      <c r="A1400" t="s">
        <v>1046</v>
      </c>
      <c r="B1400" t="s">
        <v>14360</v>
      </c>
    </row>
    <row r="1401" spans="1:2" x14ac:dyDescent="0.2">
      <c r="A1401" t="s">
        <v>1050</v>
      </c>
      <c r="B1401" t="s">
        <v>14360</v>
      </c>
    </row>
    <row r="1402" spans="1:2" x14ac:dyDescent="0.2">
      <c r="A1402" t="s">
        <v>1054</v>
      </c>
      <c r="B1402" t="s">
        <v>14360</v>
      </c>
    </row>
    <row r="1403" spans="1:2" x14ac:dyDescent="0.2">
      <c r="A1403" t="s">
        <v>1058</v>
      </c>
      <c r="B1403" t="s">
        <v>14360</v>
      </c>
    </row>
    <row r="1404" spans="1:2" x14ac:dyDescent="0.2">
      <c r="A1404" t="s">
        <v>1062</v>
      </c>
      <c r="B1404" t="s">
        <v>14360</v>
      </c>
    </row>
    <row r="1405" spans="1:2" x14ac:dyDescent="0.2">
      <c r="A1405" t="s">
        <v>1066</v>
      </c>
      <c r="B1405" t="s">
        <v>14360</v>
      </c>
    </row>
    <row r="1406" spans="1:2" x14ac:dyDescent="0.2">
      <c r="A1406" t="s">
        <v>19222</v>
      </c>
      <c r="B1406" t="s">
        <v>5814</v>
      </c>
    </row>
    <row r="1407" spans="1:2" x14ac:dyDescent="0.2">
      <c r="A1407" t="s">
        <v>19892</v>
      </c>
      <c r="B1407" t="s">
        <v>14360</v>
      </c>
    </row>
    <row r="1408" spans="1:2" x14ac:dyDescent="0.2">
      <c r="A1408" t="s">
        <v>19364</v>
      </c>
      <c r="B1408" t="s">
        <v>7871</v>
      </c>
    </row>
    <row r="1409" spans="1:2" x14ac:dyDescent="0.2">
      <c r="A1409" t="s">
        <v>19725</v>
      </c>
      <c r="B1409" t="s">
        <v>4241</v>
      </c>
    </row>
    <row r="1410" spans="1:2" x14ac:dyDescent="0.2">
      <c r="A1410" t="s">
        <v>19305</v>
      </c>
      <c r="B1410" t="s">
        <v>6908</v>
      </c>
    </row>
    <row r="1411" spans="1:2" x14ac:dyDescent="0.2">
      <c r="A1411" t="s">
        <v>19399</v>
      </c>
      <c r="B1411" t="s">
        <v>14360</v>
      </c>
    </row>
    <row r="1412" spans="1:2" x14ac:dyDescent="0.2">
      <c r="A1412" t="s">
        <v>1069</v>
      </c>
      <c r="B1412" t="s">
        <v>14360</v>
      </c>
    </row>
    <row r="1413" spans="1:2" x14ac:dyDescent="0.2">
      <c r="A1413" t="s">
        <v>1069</v>
      </c>
      <c r="B1413" t="s">
        <v>14360</v>
      </c>
    </row>
    <row r="1414" spans="1:2" x14ac:dyDescent="0.2">
      <c r="A1414" t="s">
        <v>19408</v>
      </c>
      <c r="B1414" t="s">
        <v>14360</v>
      </c>
    </row>
    <row r="1415" spans="1:2" x14ac:dyDescent="0.2">
      <c r="A1415" t="s">
        <v>19891</v>
      </c>
      <c r="B1415" t="s">
        <v>6777</v>
      </c>
    </row>
    <row r="1416" spans="1:2" x14ac:dyDescent="0.2">
      <c r="A1416" t="s">
        <v>19586</v>
      </c>
      <c r="B1416" t="s">
        <v>14360</v>
      </c>
    </row>
    <row r="1417" spans="1:2" x14ac:dyDescent="0.2">
      <c r="A1417" t="s">
        <v>19890</v>
      </c>
      <c r="B1417" t="s">
        <v>14360</v>
      </c>
    </row>
    <row r="1418" spans="1:2" x14ac:dyDescent="0.2">
      <c r="A1418" t="s">
        <v>19634</v>
      </c>
      <c r="B1418" t="s">
        <v>14360</v>
      </c>
    </row>
    <row r="1419" spans="1:2" x14ac:dyDescent="0.2">
      <c r="A1419" t="s">
        <v>19707</v>
      </c>
      <c r="B1419" t="s">
        <v>4185</v>
      </c>
    </row>
    <row r="1420" spans="1:2" x14ac:dyDescent="0.2">
      <c r="A1420" t="s">
        <v>19699</v>
      </c>
      <c r="B1420" t="s">
        <v>4193</v>
      </c>
    </row>
    <row r="1421" spans="1:2" x14ac:dyDescent="0.2">
      <c r="A1421" t="s">
        <v>19629</v>
      </c>
      <c r="B1421" t="s">
        <v>14360</v>
      </c>
    </row>
    <row r="1422" spans="1:2" x14ac:dyDescent="0.2">
      <c r="A1422" t="s">
        <v>19889</v>
      </c>
      <c r="B1422" t="s">
        <v>14360</v>
      </c>
    </row>
    <row r="1423" spans="1:2" x14ac:dyDescent="0.2">
      <c r="A1423" t="s">
        <v>1073</v>
      </c>
      <c r="B1423" t="s">
        <v>1072</v>
      </c>
    </row>
    <row r="1424" spans="1:2" x14ac:dyDescent="0.2">
      <c r="A1424" t="s">
        <v>1073</v>
      </c>
      <c r="B1424" t="s">
        <v>1072</v>
      </c>
    </row>
    <row r="1425" spans="1:2" x14ac:dyDescent="0.2">
      <c r="A1425" t="s">
        <v>19886</v>
      </c>
      <c r="B1425" t="s">
        <v>14360</v>
      </c>
    </row>
    <row r="1426" spans="1:2" x14ac:dyDescent="0.2">
      <c r="A1426" t="s">
        <v>19887</v>
      </c>
      <c r="B1426" t="s">
        <v>14360</v>
      </c>
    </row>
    <row r="1427" spans="1:2" x14ac:dyDescent="0.2">
      <c r="A1427" t="s">
        <v>19888</v>
      </c>
      <c r="B1427" t="s">
        <v>14360</v>
      </c>
    </row>
    <row r="1428" spans="1:2" x14ac:dyDescent="0.2">
      <c r="A1428" t="s">
        <v>19394</v>
      </c>
      <c r="B1428" t="s">
        <v>8479</v>
      </c>
    </row>
    <row r="1429" spans="1:2" x14ac:dyDescent="0.2">
      <c r="A1429" t="s">
        <v>19601</v>
      </c>
      <c r="B1429" t="s">
        <v>14360</v>
      </c>
    </row>
    <row r="1430" spans="1:2" x14ac:dyDescent="0.2">
      <c r="A1430" t="s">
        <v>19635</v>
      </c>
      <c r="B1430" t="s">
        <v>4698</v>
      </c>
    </row>
    <row r="1431" spans="1:2" x14ac:dyDescent="0.2">
      <c r="A1431" t="s">
        <v>19883</v>
      </c>
      <c r="B1431" t="s">
        <v>14360</v>
      </c>
    </row>
    <row r="1432" spans="1:2" x14ac:dyDescent="0.2">
      <c r="A1432" t="s">
        <v>19884</v>
      </c>
      <c r="B1432" t="s">
        <v>14360</v>
      </c>
    </row>
    <row r="1433" spans="1:2" x14ac:dyDescent="0.2">
      <c r="A1433" t="s">
        <v>19885</v>
      </c>
      <c r="B1433" t="s">
        <v>14360</v>
      </c>
    </row>
    <row r="1434" spans="1:2" x14ac:dyDescent="0.2">
      <c r="A1434" t="s">
        <v>10296</v>
      </c>
      <c r="B1434" t="s">
        <v>20677</v>
      </c>
    </row>
    <row r="1435" spans="1:2" x14ac:dyDescent="0.2">
      <c r="A1435" t="s">
        <v>20321</v>
      </c>
      <c r="B1435" t="s">
        <v>14360</v>
      </c>
    </row>
    <row r="1436" spans="1:2" x14ac:dyDescent="0.2">
      <c r="A1436" t="s">
        <v>10297</v>
      </c>
      <c r="B1436" t="s">
        <v>14360</v>
      </c>
    </row>
    <row r="1437" spans="1:2" x14ac:dyDescent="0.2">
      <c r="A1437" t="s">
        <v>20322</v>
      </c>
      <c r="B1437" t="s">
        <v>20690</v>
      </c>
    </row>
    <row r="1438" spans="1:2" x14ac:dyDescent="0.2">
      <c r="A1438" t="s">
        <v>10298</v>
      </c>
      <c r="B1438" t="s">
        <v>20667</v>
      </c>
    </row>
    <row r="1439" spans="1:2" x14ac:dyDescent="0.2">
      <c r="A1439" t="s">
        <v>10299</v>
      </c>
      <c r="B1439" t="s">
        <v>20521</v>
      </c>
    </row>
    <row r="1440" spans="1:2" x14ac:dyDescent="0.2">
      <c r="A1440" t="s">
        <v>10300</v>
      </c>
      <c r="B1440" t="s">
        <v>20495</v>
      </c>
    </row>
    <row r="1441" spans="1:2" x14ac:dyDescent="0.2">
      <c r="A1441" t="s">
        <v>10301</v>
      </c>
      <c r="B1441" t="s">
        <v>20466</v>
      </c>
    </row>
    <row r="1442" spans="1:2" x14ac:dyDescent="0.2">
      <c r="A1442" t="s">
        <v>10302</v>
      </c>
      <c r="B1442" t="s">
        <v>14360</v>
      </c>
    </row>
    <row r="1443" spans="1:2" x14ac:dyDescent="0.2">
      <c r="A1443" t="s">
        <v>10303</v>
      </c>
      <c r="B1443" t="s">
        <v>14360</v>
      </c>
    </row>
    <row r="1444" spans="1:2" x14ac:dyDescent="0.2">
      <c r="A1444" t="s">
        <v>10304</v>
      </c>
      <c r="B1444" t="s">
        <v>20532</v>
      </c>
    </row>
    <row r="1445" spans="1:2" x14ac:dyDescent="0.2">
      <c r="A1445" t="s">
        <v>20323</v>
      </c>
      <c r="B1445" t="s">
        <v>14360</v>
      </c>
    </row>
    <row r="1446" spans="1:2" x14ac:dyDescent="0.2">
      <c r="A1446" t="s">
        <v>20324</v>
      </c>
      <c r="B1446" t="s">
        <v>14360</v>
      </c>
    </row>
    <row r="1447" spans="1:2" x14ac:dyDescent="0.2">
      <c r="A1447" t="s">
        <v>20325</v>
      </c>
      <c r="B1447" t="s">
        <v>20675</v>
      </c>
    </row>
    <row r="1448" spans="1:2" x14ac:dyDescent="0.2">
      <c r="A1448" t="s">
        <v>20326</v>
      </c>
      <c r="B1448" t="s">
        <v>20648</v>
      </c>
    </row>
    <row r="1449" spans="1:2" x14ac:dyDescent="0.2">
      <c r="A1449" t="s">
        <v>10305</v>
      </c>
      <c r="B1449" t="s">
        <v>20497</v>
      </c>
    </row>
    <row r="1450" spans="1:2" x14ac:dyDescent="0.2">
      <c r="A1450" t="s">
        <v>10306</v>
      </c>
      <c r="B1450" t="s">
        <v>20555</v>
      </c>
    </row>
    <row r="1451" spans="1:2" x14ac:dyDescent="0.2">
      <c r="A1451" t="s">
        <v>10307</v>
      </c>
      <c r="B1451" t="s">
        <v>20565</v>
      </c>
    </row>
    <row r="1452" spans="1:2" x14ac:dyDescent="0.2">
      <c r="A1452" t="s">
        <v>10308</v>
      </c>
      <c r="B1452" t="s">
        <v>20633</v>
      </c>
    </row>
    <row r="1453" spans="1:2" x14ac:dyDescent="0.2">
      <c r="A1453" t="s">
        <v>20327</v>
      </c>
      <c r="B1453" t="s">
        <v>14360</v>
      </c>
    </row>
    <row r="1454" spans="1:2" x14ac:dyDescent="0.2">
      <c r="A1454" t="s">
        <v>20328</v>
      </c>
      <c r="B1454" t="s">
        <v>20689</v>
      </c>
    </row>
    <row r="1455" spans="1:2" x14ac:dyDescent="0.2">
      <c r="A1455" t="s">
        <v>20329</v>
      </c>
      <c r="B1455" t="s">
        <v>20676</v>
      </c>
    </row>
    <row r="1456" spans="1:2" x14ac:dyDescent="0.2">
      <c r="A1456" t="s">
        <v>20330</v>
      </c>
      <c r="B1456" t="s">
        <v>14360</v>
      </c>
    </row>
    <row r="1457" spans="1:2" x14ac:dyDescent="0.2">
      <c r="A1457" t="s">
        <v>20331</v>
      </c>
      <c r="B1457" t="s">
        <v>14360</v>
      </c>
    </row>
    <row r="1458" spans="1:2" x14ac:dyDescent="0.2">
      <c r="A1458" t="s">
        <v>10309</v>
      </c>
      <c r="B1458" t="s">
        <v>14360</v>
      </c>
    </row>
    <row r="1459" spans="1:2" x14ac:dyDescent="0.2">
      <c r="A1459" t="s">
        <v>10310</v>
      </c>
      <c r="B1459" t="s">
        <v>20640</v>
      </c>
    </row>
    <row r="1460" spans="1:2" x14ac:dyDescent="0.2">
      <c r="A1460" t="s">
        <v>10311</v>
      </c>
      <c r="B1460" t="s">
        <v>20655</v>
      </c>
    </row>
    <row r="1461" spans="1:2" x14ac:dyDescent="0.2">
      <c r="A1461" t="s">
        <v>20332</v>
      </c>
      <c r="B1461" t="s">
        <v>14360</v>
      </c>
    </row>
    <row r="1462" spans="1:2" x14ac:dyDescent="0.2">
      <c r="A1462" t="s">
        <v>10312</v>
      </c>
      <c r="B1462" t="s">
        <v>20586</v>
      </c>
    </row>
    <row r="1463" spans="1:2" x14ac:dyDescent="0.2">
      <c r="A1463" t="s">
        <v>10313</v>
      </c>
      <c r="B1463" t="s">
        <v>14360</v>
      </c>
    </row>
    <row r="1464" spans="1:2" x14ac:dyDescent="0.2">
      <c r="A1464" t="s">
        <v>10314</v>
      </c>
      <c r="B1464" t="s">
        <v>14360</v>
      </c>
    </row>
    <row r="1465" spans="1:2" x14ac:dyDescent="0.2">
      <c r="A1465" t="s">
        <v>10315</v>
      </c>
      <c r="B1465" t="s">
        <v>20635</v>
      </c>
    </row>
    <row r="1466" spans="1:2" x14ac:dyDescent="0.2">
      <c r="A1466" t="s">
        <v>10316</v>
      </c>
      <c r="B1466" t="s">
        <v>20564</v>
      </c>
    </row>
    <row r="1467" spans="1:2" x14ac:dyDescent="0.2">
      <c r="A1467" t="s">
        <v>10317</v>
      </c>
      <c r="B1467" t="s">
        <v>14360</v>
      </c>
    </row>
    <row r="1468" spans="1:2" x14ac:dyDescent="0.2">
      <c r="A1468" t="s">
        <v>10318</v>
      </c>
      <c r="B1468" t="s">
        <v>20461</v>
      </c>
    </row>
    <row r="1469" spans="1:2" x14ac:dyDescent="0.2">
      <c r="A1469" t="s">
        <v>17111</v>
      </c>
      <c r="B1469" t="s">
        <v>20484</v>
      </c>
    </row>
    <row r="1470" spans="1:2" x14ac:dyDescent="0.2">
      <c r="A1470" t="s">
        <v>10319</v>
      </c>
      <c r="B1470" t="s">
        <v>14360</v>
      </c>
    </row>
    <row r="1471" spans="1:2" x14ac:dyDescent="0.2">
      <c r="A1471" t="s">
        <v>20333</v>
      </c>
      <c r="B1471" t="s">
        <v>14360</v>
      </c>
    </row>
    <row r="1472" spans="1:2" x14ac:dyDescent="0.2">
      <c r="A1472" t="s">
        <v>10320</v>
      </c>
      <c r="B1472" t="s">
        <v>20559</v>
      </c>
    </row>
    <row r="1473" spans="1:2" x14ac:dyDescent="0.2">
      <c r="A1473" t="s">
        <v>20334</v>
      </c>
      <c r="B1473" t="s">
        <v>14360</v>
      </c>
    </row>
    <row r="1474" spans="1:2" x14ac:dyDescent="0.2">
      <c r="A1474" t="s">
        <v>10321</v>
      </c>
      <c r="B1474" t="s">
        <v>20489</v>
      </c>
    </row>
    <row r="1475" spans="1:2" x14ac:dyDescent="0.2">
      <c r="A1475" t="s">
        <v>10322</v>
      </c>
      <c r="B1475" t="s">
        <v>20475</v>
      </c>
    </row>
    <row r="1476" spans="1:2" x14ac:dyDescent="0.2">
      <c r="A1476" t="s">
        <v>10323</v>
      </c>
      <c r="B1476" t="s">
        <v>20531</v>
      </c>
    </row>
    <row r="1477" spans="1:2" x14ac:dyDescent="0.2">
      <c r="A1477" t="s">
        <v>10324</v>
      </c>
      <c r="B1477" t="s">
        <v>20595</v>
      </c>
    </row>
    <row r="1478" spans="1:2" x14ac:dyDescent="0.2">
      <c r="A1478" t="s">
        <v>20335</v>
      </c>
      <c r="B1478" t="s">
        <v>14360</v>
      </c>
    </row>
    <row r="1479" spans="1:2" x14ac:dyDescent="0.2">
      <c r="A1479" t="s">
        <v>17114</v>
      </c>
      <c r="B1479" t="s">
        <v>14360</v>
      </c>
    </row>
    <row r="1480" spans="1:2" x14ac:dyDescent="0.2">
      <c r="A1480" t="s">
        <v>20336</v>
      </c>
      <c r="B1480" t="s">
        <v>14360</v>
      </c>
    </row>
    <row r="1481" spans="1:2" x14ac:dyDescent="0.2">
      <c r="A1481" t="s">
        <v>10325</v>
      </c>
      <c r="B1481" t="s">
        <v>20530</v>
      </c>
    </row>
    <row r="1482" spans="1:2" x14ac:dyDescent="0.2">
      <c r="A1482" t="s">
        <v>20337</v>
      </c>
      <c r="B1482" t="s">
        <v>14360</v>
      </c>
    </row>
    <row r="1483" spans="1:2" x14ac:dyDescent="0.2">
      <c r="A1483" t="s">
        <v>20338</v>
      </c>
      <c r="B1483" t="s">
        <v>14360</v>
      </c>
    </row>
    <row r="1484" spans="1:2" x14ac:dyDescent="0.2">
      <c r="A1484" t="s">
        <v>10326</v>
      </c>
      <c r="B1484" t="s">
        <v>20623</v>
      </c>
    </row>
    <row r="1485" spans="1:2" x14ac:dyDescent="0.2">
      <c r="A1485" t="s">
        <v>10327</v>
      </c>
      <c r="B1485" t="s">
        <v>14360</v>
      </c>
    </row>
    <row r="1486" spans="1:2" x14ac:dyDescent="0.2">
      <c r="A1486" t="s">
        <v>20339</v>
      </c>
      <c r="B1486" t="s">
        <v>14360</v>
      </c>
    </row>
    <row r="1487" spans="1:2" x14ac:dyDescent="0.2">
      <c r="A1487" t="s">
        <v>10328</v>
      </c>
      <c r="B1487" t="s">
        <v>14360</v>
      </c>
    </row>
    <row r="1488" spans="1:2" x14ac:dyDescent="0.2">
      <c r="A1488" t="s">
        <v>10329</v>
      </c>
      <c r="B1488" t="s">
        <v>20572</v>
      </c>
    </row>
    <row r="1489" spans="1:2" x14ac:dyDescent="0.2">
      <c r="A1489" t="s">
        <v>10330</v>
      </c>
      <c r="B1489" t="s">
        <v>14360</v>
      </c>
    </row>
    <row r="1490" spans="1:2" x14ac:dyDescent="0.2">
      <c r="A1490" t="s">
        <v>10331</v>
      </c>
      <c r="B1490" t="s">
        <v>14360</v>
      </c>
    </row>
    <row r="1491" spans="1:2" x14ac:dyDescent="0.2">
      <c r="A1491" t="s">
        <v>10332</v>
      </c>
      <c r="B1491" t="s">
        <v>20687</v>
      </c>
    </row>
    <row r="1492" spans="1:2" x14ac:dyDescent="0.2">
      <c r="A1492" t="s">
        <v>10333</v>
      </c>
      <c r="B1492" t="s">
        <v>20500</v>
      </c>
    </row>
    <row r="1493" spans="1:2" x14ac:dyDescent="0.2">
      <c r="A1493" t="s">
        <v>20340</v>
      </c>
      <c r="B1493" t="s">
        <v>14360</v>
      </c>
    </row>
    <row r="1494" spans="1:2" x14ac:dyDescent="0.2">
      <c r="A1494" t="s">
        <v>10334</v>
      </c>
      <c r="B1494" t="s">
        <v>14360</v>
      </c>
    </row>
    <row r="1495" spans="1:2" x14ac:dyDescent="0.2">
      <c r="A1495" t="s">
        <v>20341</v>
      </c>
      <c r="B1495" t="s">
        <v>14360</v>
      </c>
    </row>
    <row r="1496" spans="1:2" x14ac:dyDescent="0.2">
      <c r="A1496" t="s">
        <v>10335</v>
      </c>
      <c r="B1496" t="s">
        <v>20496</v>
      </c>
    </row>
    <row r="1497" spans="1:2" x14ac:dyDescent="0.2">
      <c r="A1497" t="s">
        <v>20342</v>
      </c>
      <c r="B1497" t="s">
        <v>14360</v>
      </c>
    </row>
    <row r="1498" spans="1:2" x14ac:dyDescent="0.2">
      <c r="A1498" t="s">
        <v>20343</v>
      </c>
      <c r="B1498" t="s">
        <v>20624</v>
      </c>
    </row>
    <row r="1499" spans="1:2" x14ac:dyDescent="0.2">
      <c r="A1499" t="s">
        <v>10336</v>
      </c>
      <c r="B1499" t="s">
        <v>20593</v>
      </c>
    </row>
    <row r="1500" spans="1:2" x14ac:dyDescent="0.2">
      <c r="A1500" t="s">
        <v>10337</v>
      </c>
      <c r="B1500" t="s">
        <v>20536</v>
      </c>
    </row>
    <row r="1501" spans="1:2" x14ac:dyDescent="0.2">
      <c r="A1501" t="s">
        <v>10337</v>
      </c>
      <c r="B1501" t="s">
        <v>20536</v>
      </c>
    </row>
    <row r="1502" spans="1:2" x14ac:dyDescent="0.2">
      <c r="A1502" t="s">
        <v>10338</v>
      </c>
      <c r="B1502" t="s">
        <v>14360</v>
      </c>
    </row>
    <row r="1503" spans="1:2" x14ac:dyDescent="0.2">
      <c r="A1503" t="s">
        <v>10339</v>
      </c>
      <c r="B1503" t="s">
        <v>14360</v>
      </c>
    </row>
    <row r="1504" spans="1:2" x14ac:dyDescent="0.2">
      <c r="A1504" t="s">
        <v>10340</v>
      </c>
      <c r="B1504" t="s">
        <v>20514</v>
      </c>
    </row>
    <row r="1505" spans="1:2" x14ac:dyDescent="0.2">
      <c r="A1505" t="s">
        <v>20344</v>
      </c>
      <c r="B1505" t="s">
        <v>20659</v>
      </c>
    </row>
    <row r="1506" spans="1:2" x14ac:dyDescent="0.2">
      <c r="A1506" t="s">
        <v>10341</v>
      </c>
      <c r="B1506" t="s">
        <v>20553</v>
      </c>
    </row>
    <row r="1507" spans="1:2" x14ac:dyDescent="0.2">
      <c r="A1507" t="s">
        <v>10342</v>
      </c>
      <c r="B1507" t="s">
        <v>14360</v>
      </c>
    </row>
    <row r="1508" spans="1:2" x14ac:dyDescent="0.2">
      <c r="A1508" t="s">
        <v>20345</v>
      </c>
      <c r="B1508" t="s">
        <v>14360</v>
      </c>
    </row>
    <row r="1509" spans="1:2" x14ac:dyDescent="0.2">
      <c r="A1509" t="s">
        <v>10343</v>
      </c>
      <c r="B1509" t="s">
        <v>14360</v>
      </c>
    </row>
    <row r="1510" spans="1:2" x14ac:dyDescent="0.2">
      <c r="A1510" t="s">
        <v>10344</v>
      </c>
      <c r="B1510" t="s">
        <v>20590</v>
      </c>
    </row>
    <row r="1511" spans="1:2" x14ac:dyDescent="0.2">
      <c r="A1511" t="s">
        <v>10345</v>
      </c>
      <c r="B1511" t="s">
        <v>20488</v>
      </c>
    </row>
    <row r="1512" spans="1:2" x14ac:dyDescent="0.2">
      <c r="A1512" t="s">
        <v>10346</v>
      </c>
      <c r="B1512" t="s">
        <v>14360</v>
      </c>
    </row>
    <row r="1513" spans="1:2" x14ac:dyDescent="0.2">
      <c r="A1513" t="s">
        <v>10347</v>
      </c>
      <c r="B1513" t="s">
        <v>20652</v>
      </c>
    </row>
    <row r="1514" spans="1:2" x14ac:dyDescent="0.2">
      <c r="A1514" t="s">
        <v>10348</v>
      </c>
      <c r="B1514" t="s">
        <v>14360</v>
      </c>
    </row>
    <row r="1515" spans="1:2" x14ac:dyDescent="0.2">
      <c r="A1515" t="s">
        <v>10349</v>
      </c>
      <c r="B1515" t="s">
        <v>14360</v>
      </c>
    </row>
    <row r="1516" spans="1:2" x14ac:dyDescent="0.2">
      <c r="A1516" t="s">
        <v>10350</v>
      </c>
      <c r="B1516" t="s">
        <v>20615</v>
      </c>
    </row>
    <row r="1517" spans="1:2" x14ac:dyDescent="0.2">
      <c r="A1517" t="s">
        <v>20346</v>
      </c>
      <c r="B1517" t="s">
        <v>14360</v>
      </c>
    </row>
    <row r="1518" spans="1:2" x14ac:dyDescent="0.2">
      <c r="A1518" t="s">
        <v>10351</v>
      </c>
      <c r="B1518" t="s">
        <v>20506</v>
      </c>
    </row>
    <row r="1519" spans="1:2" x14ac:dyDescent="0.2">
      <c r="A1519" t="s">
        <v>17112</v>
      </c>
      <c r="B1519" t="s">
        <v>20678</v>
      </c>
    </row>
    <row r="1520" spans="1:2" x14ac:dyDescent="0.2">
      <c r="A1520" t="s">
        <v>10352</v>
      </c>
      <c r="B1520" t="s">
        <v>20670</v>
      </c>
    </row>
    <row r="1521" spans="1:2" x14ac:dyDescent="0.2">
      <c r="A1521" t="s">
        <v>10353</v>
      </c>
      <c r="B1521" t="s">
        <v>20478</v>
      </c>
    </row>
    <row r="1522" spans="1:2" x14ac:dyDescent="0.2">
      <c r="A1522" t="s">
        <v>10354</v>
      </c>
      <c r="B1522" t="s">
        <v>20662</v>
      </c>
    </row>
    <row r="1523" spans="1:2" x14ac:dyDescent="0.2">
      <c r="A1523" t="s">
        <v>10355</v>
      </c>
      <c r="B1523" t="s">
        <v>20469</v>
      </c>
    </row>
    <row r="1524" spans="1:2" x14ac:dyDescent="0.2">
      <c r="A1524" t="s">
        <v>10356</v>
      </c>
      <c r="B1524" t="s">
        <v>20614</v>
      </c>
    </row>
    <row r="1525" spans="1:2" x14ac:dyDescent="0.2">
      <c r="A1525" t="s">
        <v>10357</v>
      </c>
      <c r="B1525" t="s">
        <v>20571</v>
      </c>
    </row>
    <row r="1526" spans="1:2" x14ac:dyDescent="0.2">
      <c r="A1526" t="s">
        <v>20347</v>
      </c>
      <c r="B1526" t="s">
        <v>14360</v>
      </c>
    </row>
    <row r="1527" spans="1:2" x14ac:dyDescent="0.2">
      <c r="A1527" t="s">
        <v>10358</v>
      </c>
      <c r="B1527" t="s">
        <v>14360</v>
      </c>
    </row>
    <row r="1528" spans="1:2" x14ac:dyDescent="0.2">
      <c r="A1528" t="s">
        <v>10359</v>
      </c>
      <c r="B1528" t="s">
        <v>14360</v>
      </c>
    </row>
    <row r="1529" spans="1:2" x14ac:dyDescent="0.2">
      <c r="A1529" t="s">
        <v>17115</v>
      </c>
      <c r="B1529" t="s">
        <v>20625</v>
      </c>
    </row>
    <row r="1530" spans="1:2" x14ac:dyDescent="0.2">
      <c r="A1530" t="s">
        <v>20348</v>
      </c>
      <c r="B1530" t="s">
        <v>14360</v>
      </c>
    </row>
    <row r="1531" spans="1:2" x14ac:dyDescent="0.2">
      <c r="A1531" t="s">
        <v>20349</v>
      </c>
      <c r="B1531" t="s">
        <v>20535</v>
      </c>
    </row>
    <row r="1532" spans="1:2" x14ac:dyDescent="0.2">
      <c r="A1532" t="s">
        <v>10360</v>
      </c>
      <c r="B1532" t="s">
        <v>20504</v>
      </c>
    </row>
    <row r="1533" spans="1:2" x14ac:dyDescent="0.2">
      <c r="A1533" t="s">
        <v>10361</v>
      </c>
      <c r="B1533" t="s">
        <v>20599</v>
      </c>
    </row>
    <row r="1534" spans="1:2" x14ac:dyDescent="0.2">
      <c r="A1534" t="s">
        <v>10362</v>
      </c>
      <c r="B1534" t="s">
        <v>20511</v>
      </c>
    </row>
    <row r="1535" spans="1:2" x14ac:dyDescent="0.2">
      <c r="A1535" t="s">
        <v>20350</v>
      </c>
      <c r="B1535" t="s">
        <v>14360</v>
      </c>
    </row>
    <row r="1536" spans="1:2" x14ac:dyDescent="0.2">
      <c r="A1536" t="s">
        <v>20351</v>
      </c>
      <c r="B1536" t="s">
        <v>14360</v>
      </c>
    </row>
    <row r="1537" spans="1:2" x14ac:dyDescent="0.2">
      <c r="A1537" t="s">
        <v>20352</v>
      </c>
      <c r="B1537" t="s">
        <v>14360</v>
      </c>
    </row>
    <row r="1538" spans="1:2" x14ac:dyDescent="0.2">
      <c r="A1538" t="s">
        <v>10363</v>
      </c>
      <c r="B1538" t="s">
        <v>20650</v>
      </c>
    </row>
    <row r="1539" spans="1:2" x14ac:dyDescent="0.2">
      <c r="A1539" t="s">
        <v>10364</v>
      </c>
      <c r="B1539" t="s">
        <v>20520</v>
      </c>
    </row>
    <row r="1540" spans="1:2" x14ac:dyDescent="0.2">
      <c r="A1540" t="s">
        <v>10365</v>
      </c>
      <c r="B1540" t="s">
        <v>20668</v>
      </c>
    </row>
    <row r="1541" spans="1:2" x14ac:dyDescent="0.2">
      <c r="A1541" t="s">
        <v>10366</v>
      </c>
      <c r="B1541" t="s">
        <v>20485</v>
      </c>
    </row>
    <row r="1542" spans="1:2" x14ac:dyDescent="0.2">
      <c r="A1542" t="s">
        <v>20353</v>
      </c>
      <c r="B1542" t="s">
        <v>20481</v>
      </c>
    </row>
    <row r="1543" spans="1:2" x14ac:dyDescent="0.2">
      <c r="A1543" t="s">
        <v>10367</v>
      </c>
      <c r="B1543" t="s">
        <v>20581</v>
      </c>
    </row>
    <row r="1544" spans="1:2" x14ac:dyDescent="0.2">
      <c r="A1544" t="s">
        <v>20354</v>
      </c>
      <c r="B1544" t="s">
        <v>20576</v>
      </c>
    </row>
    <row r="1545" spans="1:2" x14ac:dyDescent="0.2">
      <c r="A1545" t="s">
        <v>10368</v>
      </c>
      <c r="B1545" t="s">
        <v>20507</v>
      </c>
    </row>
    <row r="1546" spans="1:2" x14ac:dyDescent="0.2">
      <c r="A1546" t="s">
        <v>20355</v>
      </c>
      <c r="B1546" t="s">
        <v>20619</v>
      </c>
    </row>
    <row r="1547" spans="1:2" x14ac:dyDescent="0.2">
      <c r="A1547" t="s">
        <v>10369</v>
      </c>
      <c r="B1547" t="s">
        <v>20618</v>
      </c>
    </row>
    <row r="1548" spans="1:2" x14ac:dyDescent="0.2">
      <c r="A1548" t="s">
        <v>20356</v>
      </c>
      <c r="B1548" t="s">
        <v>14360</v>
      </c>
    </row>
    <row r="1549" spans="1:2" x14ac:dyDescent="0.2">
      <c r="A1549" t="s">
        <v>10370</v>
      </c>
      <c r="B1549" t="s">
        <v>20518</v>
      </c>
    </row>
    <row r="1550" spans="1:2" x14ac:dyDescent="0.2">
      <c r="A1550" t="s">
        <v>20357</v>
      </c>
      <c r="B1550" t="s">
        <v>14360</v>
      </c>
    </row>
    <row r="1551" spans="1:2" x14ac:dyDescent="0.2">
      <c r="A1551" t="s">
        <v>10371</v>
      </c>
      <c r="B1551" t="s">
        <v>14360</v>
      </c>
    </row>
    <row r="1552" spans="1:2" x14ac:dyDescent="0.2">
      <c r="A1552" t="s">
        <v>10372</v>
      </c>
      <c r="B1552" t="s">
        <v>20492</v>
      </c>
    </row>
    <row r="1553" spans="1:2" x14ac:dyDescent="0.2">
      <c r="A1553" t="s">
        <v>20358</v>
      </c>
      <c r="B1553" t="s">
        <v>20607</v>
      </c>
    </row>
    <row r="1554" spans="1:2" x14ac:dyDescent="0.2">
      <c r="A1554" t="s">
        <v>10373</v>
      </c>
      <c r="B1554" t="s">
        <v>14360</v>
      </c>
    </row>
    <row r="1555" spans="1:2" x14ac:dyDescent="0.2">
      <c r="A1555" t="s">
        <v>10374</v>
      </c>
      <c r="B1555" t="s">
        <v>20622</v>
      </c>
    </row>
    <row r="1556" spans="1:2" x14ac:dyDescent="0.2">
      <c r="A1556" t="s">
        <v>10375</v>
      </c>
      <c r="B1556" t="s">
        <v>14360</v>
      </c>
    </row>
    <row r="1557" spans="1:2" x14ac:dyDescent="0.2">
      <c r="A1557" t="s">
        <v>20359</v>
      </c>
      <c r="B1557" t="s">
        <v>14360</v>
      </c>
    </row>
    <row r="1558" spans="1:2" x14ac:dyDescent="0.2">
      <c r="A1558" t="s">
        <v>10376</v>
      </c>
      <c r="B1558" t="s">
        <v>20482</v>
      </c>
    </row>
    <row r="1559" spans="1:2" x14ac:dyDescent="0.2">
      <c r="A1559" t="s">
        <v>20360</v>
      </c>
      <c r="B1559" t="s">
        <v>14360</v>
      </c>
    </row>
    <row r="1560" spans="1:2" x14ac:dyDescent="0.2">
      <c r="A1560" t="s">
        <v>20361</v>
      </c>
      <c r="B1560" t="s">
        <v>20605</v>
      </c>
    </row>
    <row r="1561" spans="1:2" x14ac:dyDescent="0.2">
      <c r="A1561" t="s">
        <v>20362</v>
      </c>
      <c r="B1561" t="s">
        <v>20680</v>
      </c>
    </row>
    <row r="1562" spans="1:2" x14ac:dyDescent="0.2">
      <c r="A1562" t="s">
        <v>10377</v>
      </c>
      <c r="B1562" t="s">
        <v>20656</v>
      </c>
    </row>
    <row r="1563" spans="1:2" x14ac:dyDescent="0.2">
      <c r="A1563" t="s">
        <v>10378</v>
      </c>
      <c r="B1563" t="s">
        <v>20661</v>
      </c>
    </row>
    <row r="1564" spans="1:2" x14ac:dyDescent="0.2">
      <c r="A1564" t="s">
        <v>20363</v>
      </c>
      <c r="B1564" t="s">
        <v>14360</v>
      </c>
    </row>
    <row r="1565" spans="1:2" x14ac:dyDescent="0.2">
      <c r="A1565" t="s">
        <v>10379</v>
      </c>
      <c r="B1565" t="s">
        <v>20569</v>
      </c>
    </row>
    <row r="1566" spans="1:2" x14ac:dyDescent="0.2">
      <c r="A1566" t="s">
        <v>20364</v>
      </c>
      <c r="B1566" t="s">
        <v>14360</v>
      </c>
    </row>
    <row r="1567" spans="1:2" x14ac:dyDescent="0.2">
      <c r="A1567" t="s">
        <v>20365</v>
      </c>
      <c r="B1567" t="s">
        <v>14360</v>
      </c>
    </row>
    <row r="1568" spans="1:2" x14ac:dyDescent="0.2">
      <c r="A1568" t="s">
        <v>20366</v>
      </c>
      <c r="B1568" t="s">
        <v>14360</v>
      </c>
    </row>
    <row r="1569" spans="1:2" x14ac:dyDescent="0.2">
      <c r="A1569" t="s">
        <v>20367</v>
      </c>
      <c r="B1569" t="s">
        <v>14360</v>
      </c>
    </row>
    <row r="1570" spans="1:2" x14ac:dyDescent="0.2">
      <c r="A1570" t="s">
        <v>20368</v>
      </c>
      <c r="B1570" t="s">
        <v>14360</v>
      </c>
    </row>
    <row r="1571" spans="1:2" x14ac:dyDescent="0.2">
      <c r="A1571" t="s">
        <v>20369</v>
      </c>
      <c r="B1571" t="s">
        <v>14360</v>
      </c>
    </row>
    <row r="1572" spans="1:2" x14ac:dyDescent="0.2">
      <c r="A1572" t="s">
        <v>10380</v>
      </c>
      <c r="B1572" t="s">
        <v>20664</v>
      </c>
    </row>
    <row r="1573" spans="1:2" x14ac:dyDescent="0.2">
      <c r="A1573" t="s">
        <v>10381</v>
      </c>
      <c r="B1573" t="s">
        <v>14360</v>
      </c>
    </row>
    <row r="1574" spans="1:2" x14ac:dyDescent="0.2">
      <c r="A1574" t="s">
        <v>20370</v>
      </c>
      <c r="B1574" t="s">
        <v>14360</v>
      </c>
    </row>
    <row r="1575" spans="1:2" x14ac:dyDescent="0.2">
      <c r="A1575" t="s">
        <v>10382</v>
      </c>
      <c r="B1575" t="s">
        <v>14360</v>
      </c>
    </row>
    <row r="1576" spans="1:2" x14ac:dyDescent="0.2">
      <c r="A1576" t="s">
        <v>10383</v>
      </c>
      <c r="B1576" t="s">
        <v>20533</v>
      </c>
    </row>
    <row r="1577" spans="1:2" x14ac:dyDescent="0.2">
      <c r="A1577" t="s">
        <v>20371</v>
      </c>
      <c r="B1577" t="s">
        <v>14360</v>
      </c>
    </row>
    <row r="1578" spans="1:2" x14ac:dyDescent="0.2">
      <c r="A1578" t="s">
        <v>20372</v>
      </c>
      <c r="B1578" t="s">
        <v>20580</v>
      </c>
    </row>
    <row r="1579" spans="1:2" x14ac:dyDescent="0.2">
      <c r="A1579" t="s">
        <v>10384</v>
      </c>
      <c r="B1579" t="s">
        <v>14360</v>
      </c>
    </row>
    <row r="1580" spans="1:2" x14ac:dyDescent="0.2">
      <c r="A1580" t="s">
        <v>10385</v>
      </c>
      <c r="B1580" t="s">
        <v>14360</v>
      </c>
    </row>
    <row r="1581" spans="1:2" x14ac:dyDescent="0.2">
      <c r="A1581" t="s">
        <v>10386</v>
      </c>
      <c r="B1581" t="s">
        <v>20587</v>
      </c>
    </row>
    <row r="1582" spans="1:2" x14ac:dyDescent="0.2">
      <c r="A1582" t="s">
        <v>10387</v>
      </c>
      <c r="B1582" t="s">
        <v>14360</v>
      </c>
    </row>
    <row r="1583" spans="1:2" x14ac:dyDescent="0.2">
      <c r="A1583" t="s">
        <v>10388</v>
      </c>
      <c r="B1583" t="s">
        <v>14360</v>
      </c>
    </row>
    <row r="1584" spans="1:2" x14ac:dyDescent="0.2">
      <c r="A1584" t="s">
        <v>10389</v>
      </c>
      <c r="B1584" t="s">
        <v>20476</v>
      </c>
    </row>
    <row r="1585" spans="1:2" x14ac:dyDescent="0.2">
      <c r="A1585" t="s">
        <v>20373</v>
      </c>
      <c r="B1585" t="s">
        <v>14360</v>
      </c>
    </row>
    <row r="1586" spans="1:2" x14ac:dyDescent="0.2">
      <c r="A1586" t="s">
        <v>10390</v>
      </c>
      <c r="B1586" t="s">
        <v>14360</v>
      </c>
    </row>
    <row r="1587" spans="1:2" x14ac:dyDescent="0.2">
      <c r="A1587" t="s">
        <v>10391</v>
      </c>
      <c r="B1587" t="s">
        <v>14360</v>
      </c>
    </row>
    <row r="1588" spans="1:2" x14ac:dyDescent="0.2">
      <c r="A1588" t="s">
        <v>10392</v>
      </c>
      <c r="B1588" t="s">
        <v>14360</v>
      </c>
    </row>
    <row r="1589" spans="1:2" x14ac:dyDescent="0.2">
      <c r="A1589" t="s">
        <v>10393</v>
      </c>
      <c r="B1589" t="s">
        <v>20600</v>
      </c>
    </row>
    <row r="1590" spans="1:2" x14ac:dyDescent="0.2">
      <c r="A1590" t="s">
        <v>10394</v>
      </c>
      <c r="B1590" t="s">
        <v>20549</v>
      </c>
    </row>
    <row r="1591" spans="1:2" x14ac:dyDescent="0.2">
      <c r="A1591" t="s">
        <v>10395</v>
      </c>
      <c r="B1591" t="s">
        <v>20513</v>
      </c>
    </row>
    <row r="1592" spans="1:2" x14ac:dyDescent="0.2">
      <c r="A1592" t="s">
        <v>10396</v>
      </c>
      <c r="B1592" t="s">
        <v>20646</v>
      </c>
    </row>
    <row r="1593" spans="1:2" x14ac:dyDescent="0.2">
      <c r="A1593" t="s">
        <v>10397</v>
      </c>
      <c r="B1593" t="s">
        <v>20494</v>
      </c>
    </row>
    <row r="1594" spans="1:2" x14ac:dyDescent="0.2">
      <c r="A1594" t="s">
        <v>10398</v>
      </c>
      <c r="B1594" t="s">
        <v>14360</v>
      </c>
    </row>
    <row r="1595" spans="1:2" x14ac:dyDescent="0.2">
      <c r="A1595" t="s">
        <v>10399</v>
      </c>
      <c r="B1595" t="s">
        <v>20596</v>
      </c>
    </row>
    <row r="1596" spans="1:2" x14ac:dyDescent="0.2">
      <c r="A1596" t="s">
        <v>10400</v>
      </c>
      <c r="B1596" t="s">
        <v>14360</v>
      </c>
    </row>
    <row r="1597" spans="1:2" x14ac:dyDescent="0.2">
      <c r="A1597" t="s">
        <v>20374</v>
      </c>
      <c r="B1597" t="s">
        <v>14360</v>
      </c>
    </row>
    <row r="1598" spans="1:2" x14ac:dyDescent="0.2">
      <c r="A1598" t="s">
        <v>10401</v>
      </c>
      <c r="B1598" t="s">
        <v>20568</v>
      </c>
    </row>
    <row r="1599" spans="1:2" x14ac:dyDescent="0.2">
      <c r="A1599" t="s">
        <v>10402</v>
      </c>
      <c r="B1599" t="s">
        <v>20602</v>
      </c>
    </row>
    <row r="1600" spans="1:2" x14ac:dyDescent="0.2">
      <c r="A1600" t="s">
        <v>10403</v>
      </c>
      <c r="B1600" t="s">
        <v>20474</v>
      </c>
    </row>
    <row r="1601" spans="1:2" x14ac:dyDescent="0.2">
      <c r="A1601" t="s">
        <v>10404</v>
      </c>
      <c r="B1601" t="s">
        <v>20643</v>
      </c>
    </row>
    <row r="1602" spans="1:2" x14ac:dyDescent="0.2">
      <c r="A1602" t="s">
        <v>10405</v>
      </c>
      <c r="B1602" t="s">
        <v>20688</v>
      </c>
    </row>
    <row r="1603" spans="1:2" x14ac:dyDescent="0.2">
      <c r="A1603" t="s">
        <v>20375</v>
      </c>
      <c r="B1603" t="s">
        <v>14360</v>
      </c>
    </row>
    <row r="1604" spans="1:2" x14ac:dyDescent="0.2">
      <c r="A1604" t="s">
        <v>10406</v>
      </c>
      <c r="B1604" t="s">
        <v>20542</v>
      </c>
    </row>
    <row r="1605" spans="1:2" x14ac:dyDescent="0.2">
      <c r="A1605" t="s">
        <v>10407</v>
      </c>
      <c r="B1605" t="s">
        <v>20544</v>
      </c>
    </row>
    <row r="1606" spans="1:2" x14ac:dyDescent="0.2">
      <c r="A1606" t="s">
        <v>20376</v>
      </c>
      <c r="B1606" t="s">
        <v>14360</v>
      </c>
    </row>
    <row r="1607" spans="1:2" x14ac:dyDescent="0.2">
      <c r="A1607" t="s">
        <v>10408</v>
      </c>
      <c r="B1607" t="s">
        <v>20523</v>
      </c>
    </row>
    <row r="1608" spans="1:2" x14ac:dyDescent="0.2">
      <c r="A1608" t="s">
        <v>10409</v>
      </c>
      <c r="B1608" t="s">
        <v>20524</v>
      </c>
    </row>
    <row r="1609" spans="1:2" x14ac:dyDescent="0.2">
      <c r="A1609" t="s">
        <v>10410</v>
      </c>
      <c r="B1609" t="s">
        <v>20592</v>
      </c>
    </row>
    <row r="1610" spans="1:2" x14ac:dyDescent="0.2">
      <c r="A1610" t="s">
        <v>10411</v>
      </c>
      <c r="B1610" t="s">
        <v>14360</v>
      </c>
    </row>
    <row r="1611" spans="1:2" x14ac:dyDescent="0.2">
      <c r="A1611" t="s">
        <v>10412</v>
      </c>
      <c r="B1611" t="s">
        <v>14360</v>
      </c>
    </row>
    <row r="1612" spans="1:2" x14ac:dyDescent="0.2">
      <c r="A1612" t="s">
        <v>10413</v>
      </c>
      <c r="B1612" t="s">
        <v>14360</v>
      </c>
    </row>
    <row r="1613" spans="1:2" x14ac:dyDescent="0.2">
      <c r="A1613" t="s">
        <v>10414</v>
      </c>
      <c r="B1613" t="s">
        <v>20557</v>
      </c>
    </row>
    <row r="1614" spans="1:2" x14ac:dyDescent="0.2">
      <c r="A1614" t="s">
        <v>10415</v>
      </c>
      <c r="B1614" t="s">
        <v>20638</v>
      </c>
    </row>
    <row r="1615" spans="1:2" x14ac:dyDescent="0.2">
      <c r="A1615" t="s">
        <v>10416</v>
      </c>
      <c r="B1615" t="s">
        <v>14360</v>
      </c>
    </row>
    <row r="1616" spans="1:2" x14ac:dyDescent="0.2">
      <c r="A1616" t="s">
        <v>10417</v>
      </c>
      <c r="B1616" t="s">
        <v>20627</v>
      </c>
    </row>
    <row r="1617" spans="1:2" x14ac:dyDescent="0.2">
      <c r="A1617" t="s">
        <v>10418</v>
      </c>
      <c r="B1617" t="s">
        <v>20566</v>
      </c>
    </row>
    <row r="1618" spans="1:2" x14ac:dyDescent="0.2">
      <c r="A1618" t="s">
        <v>10419</v>
      </c>
      <c r="B1618" t="s">
        <v>14360</v>
      </c>
    </row>
    <row r="1619" spans="1:2" x14ac:dyDescent="0.2">
      <c r="A1619" t="s">
        <v>10420</v>
      </c>
      <c r="B1619" t="s">
        <v>20567</v>
      </c>
    </row>
    <row r="1620" spans="1:2" x14ac:dyDescent="0.2">
      <c r="A1620" t="s">
        <v>10421</v>
      </c>
      <c r="B1620" t="s">
        <v>20477</v>
      </c>
    </row>
    <row r="1621" spans="1:2" x14ac:dyDescent="0.2">
      <c r="A1621" t="s">
        <v>10422</v>
      </c>
      <c r="B1621" t="s">
        <v>14360</v>
      </c>
    </row>
    <row r="1622" spans="1:2" x14ac:dyDescent="0.2">
      <c r="A1622" t="s">
        <v>10423</v>
      </c>
      <c r="B1622" t="s">
        <v>20517</v>
      </c>
    </row>
    <row r="1623" spans="1:2" x14ac:dyDescent="0.2">
      <c r="A1623" t="s">
        <v>10424</v>
      </c>
      <c r="B1623" t="s">
        <v>20462</v>
      </c>
    </row>
    <row r="1624" spans="1:2" x14ac:dyDescent="0.2">
      <c r="A1624" t="s">
        <v>10425</v>
      </c>
      <c r="B1624" t="s">
        <v>20601</v>
      </c>
    </row>
    <row r="1625" spans="1:2" x14ac:dyDescent="0.2">
      <c r="A1625" t="s">
        <v>10426</v>
      </c>
      <c r="B1625" t="s">
        <v>14360</v>
      </c>
    </row>
    <row r="1626" spans="1:2" x14ac:dyDescent="0.2">
      <c r="A1626" t="s">
        <v>20377</v>
      </c>
      <c r="B1626" t="s">
        <v>14360</v>
      </c>
    </row>
    <row r="1627" spans="1:2" x14ac:dyDescent="0.2">
      <c r="A1627" t="s">
        <v>10427</v>
      </c>
      <c r="B1627" t="s">
        <v>20634</v>
      </c>
    </row>
    <row r="1628" spans="1:2" x14ac:dyDescent="0.2">
      <c r="A1628" t="s">
        <v>10428</v>
      </c>
      <c r="B1628" t="s">
        <v>20628</v>
      </c>
    </row>
    <row r="1629" spans="1:2" x14ac:dyDescent="0.2">
      <c r="A1629" t="s">
        <v>20378</v>
      </c>
      <c r="B1629" t="s">
        <v>20548</v>
      </c>
    </row>
    <row r="1630" spans="1:2" x14ac:dyDescent="0.2">
      <c r="A1630" t="s">
        <v>20379</v>
      </c>
      <c r="B1630" t="s">
        <v>14360</v>
      </c>
    </row>
    <row r="1631" spans="1:2" x14ac:dyDescent="0.2">
      <c r="A1631" t="s">
        <v>10429</v>
      </c>
      <c r="B1631" t="s">
        <v>20685</v>
      </c>
    </row>
    <row r="1632" spans="1:2" x14ac:dyDescent="0.2">
      <c r="A1632" t="s">
        <v>10430</v>
      </c>
      <c r="B1632" t="s">
        <v>20673</v>
      </c>
    </row>
    <row r="1633" spans="1:2" x14ac:dyDescent="0.2">
      <c r="A1633" t="s">
        <v>10431</v>
      </c>
      <c r="B1633" t="s">
        <v>20674</v>
      </c>
    </row>
    <row r="1634" spans="1:2" x14ac:dyDescent="0.2">
      <c r="A1634" t="s">
        <v>10432</v>
      </c>
      <c r="B1634" t="s">
        <v>20611</v>
      </c>
    </row>
    <row r="1635" spans="1:2" x14ac:dyDescent="0.2">
      <c r="A1635" t="s">
        <v>20380</v>
      </c>
      <c r="B1635" t="s">
        <v>14360</v>
      </c>
    </row>
    <row r="1636" spans="1:2" x14ac:dyDescent="0.2">
      <c r="A1636" t="s">
        <v>10433</v>
      </c>
      <c r="B1636" t="s">
        <v>20608</v>
      </c>
    </row>
    <row r="1637" spans="1:2" x14ac:dyDescent="0.2">
      <c r="A1637" t="s">
        <v>20381</v>
      </c>
      <c r="B1637" t="s">
        <v>14360</v>
      </c>
    </row>
    <row r="1638" spans="1:2" x14ac:dyDescent="0.2">
      <c r="A1638" t="s">
        <v>10434</v>
      </c>
      <c r="B1638" t="s">
        <v>14360</v>
      </c>
    </row>
    <row r="1639" spans="1:2" x14ac:dyDescent="0.2">
      <c r="A1639" t="s">
        <v>20382</v>
      </c>
      <c r="B1639" t="s">
        <v>14360</v>
      </c>
    </row>
    <row r="1640" spans="1:2" x14ac:dyDescent="0.2">
      <c r="A1640" t="s">
        <v>10435</v>
      </c>
      <c r="B1640" t="s">
        <v>20526</v>
      </c>
    </row>
    <row r="1641" spans="1:2" x14ac:dyDescent="0.2">
      <c r="A1641" t="s">
        <v>10436</v>
      </c>
      <c r="B1641" t="s">
        <v>14360</v>
      </c>
    </row>
    <row r="1642" spans="1:2" x14ac:dyDescent="0.2">
      <c r="A1642" t="s">
        <v>10437</v>
      </c>
      <c r="B1642" t="s">
        <v>14360</v>
      </c>
    </row>
    <row r="1643" spans="1:2" x14ac:dyDescent="0.2">
      <c r="A1643" t="s">
        <v>20383</v>
      </c>
      <c r="B1643" t="s">
        <v>14360</v>
      </c>
    </row>
    <row r="1644" spans="1:2" x14ac:dyDescent="0.2">
      <c r="A1644" t="s">
        <v>20384</v>
      </c>
      <c r="B1644" t="s">
        <v>14360</v>
      </c>
    </row>
    <row r="1645" spans="1:2" x14ac:dyDescent="0.2">
      <c r="A1645" t="s">
        <v>10438</v>
      </c>
      <c r="B1645" t="s">
        <v>20606</v>
      </c>
    </row>
    <row r="1646" spans="1:2" x14ac:dyDescent="0.2">
      <c r="A1646" t="s">
        <v>10439</v>
      </c>
      <c r="B1646" t="s">
        <v>14360</v>
      </c>
    </row>
    <row r="1647" spans="1:2" x14ac:dyDescent="0.2">
      <c r="A1647" t="s">
        <v>10440</v>
      </c>
      <c r="B1647" t="s">
        <v>14360</v>
      </c>
    </row>
    <row r="1648" spans="1:2" x14ac:dyDescent="0.2">
      <c r="A1648" t="s">
        <v>10441</v>
      </c>
      <c r="B1648" t="s">
        <v>20672</v>
      </c>
    </row>
    <row r="1649" spans="1:2" x14ac:dyDescent="0.2">
      <c r="A1649" t="s">
        <v>17113</v>
      </c>
      <c r="B1649" t="s">
        <v>14360</v>
      </c>
    </row>
    <row r="1650" spans="1:2" x14ac:dyDescent="0.2">
      <c r="A1650" t="s">
        <v>10442</v>
      </c>
      <c r="B1650" t="s">
        <v>14360</v>
      </c>
    </row>
    <row r="1651" spans="1:2" x14ac:dyDescent="0.2">
      <c r="A1651" t="s">
        <v>10443</v>
      </c>
      <c r="B1651" t="s">
        <v>20641</v>
      </c>
    </row>
    <row r="1652" spans="1:2" x14ac:dyDescent="0.2">
      <c r="A1652" t="s">
        <v>10444</v>
      </c>
      <c r="B1652" t="s">
        <v>14360</v>
      </c>
    </row>
    <row r="1653" spans="1:2" x14ac:dyDescent="0.2">
      <c r="A1653" t="s">
        <v>10445</v>
      </c>
      <c r="B1653" t="s">
        <v>14360</v>
      </c>
    </row>
    <row r="1654" spans="1:2" x14ac:dyDescent="0.2">
      <c r="A1654" t="s">
        <v>10446</v>
      </c>
      <c r="B1654" t="s">
        <v>14360</v>
      </c>
    </row>
    <row r="1655" spans="1:2" x14ac:dyDescent="0.2">
      <c r="A1655" t="s">
        <v>10447</v>
      </c>
      <c r="B1655" t="s">
        <v>14360</v>
      </c>
    </row>
    <row r="1656" spans="1:2" x14ac:dyDescent="0.2">
      <c r="A1656" t="s">
        <v>10448</v>
      </c>
      <c r="B1656" t="s">
        <v>14360</v>
      </c>
    </row>
    <row r="1657" spans="1:2" x14ac:dyDescent="0.2">
      <c r="A1657" t="s">
        <v>10449</v>
      </c>
      <c r="B1657" t="s">
        <v>20490</v>
      </c>
    </row>
    <row r="1658" spans="1:2" x14ac:dyDescent="0.2">
      <c r="A1658" t="s">
        <v>10450</v>
      </c>
      <c r="B1658" t="s">
        <v>14360</v>
      </c>
    </row>
    <row r="1659" spans="1:2" x14ac:dyDescent="0.2">
      <c r="A1659" t="s">
        <v>20385</v>
      </c>
      <c r="B1659" t="s">
        <v>14360</v>
      </c>
    </row>
    <row r="1660" spans="1:2" x14ac:dyDescent="0.2">
      <c r="A1660" t="s">
        <v>10451</v>
      </c>
      <c r="B1660" t="s">
        <v>20636</v>
      </c>
    </row>
    <row r="1661" spans="1:2" x14ac:dyDescent="0.2">
      <c r="A1661" t="s">
        <v>20386</v>
      </c>
      <c r="B1661" t="s">
        <v>14360</v>
      </c>
    </row>
    <row r="1662" spans="1:2" x14ac:dyDescent="0.2">
      <c r="A1662" t="s">
        <v>10452</v>
      </c>
      <c r="B1662" t="s">
        <v>14360</v>
      </c>
    </row>
    <row r="1663" spans="1:2" x14ac:dyDescent="0.2">
      <c r="A1663" t="s">
        <v>10453</v>
      </c>
      <c r="B1663" t="s">
        <v>14360</v>
      </c>
    </row>
    <row r="1664" spans="1:2" x14ac:dyDescent="0.2">
      <c r="A1664" t="s">
        <v>17116</v>
      </c>
      <c r="B1664" t="s">
        <v>14360</v>
      </c>
    </row>
    <row r="1665" spans="1:2" x14ac:dyDescent="0.2">
      <c r="A1665" t="s">
        <v>20387</v>
      </c>
      <c r="B1665" t="s">
        <v>14360</v>
      </c>
    </row>
    <row r="1666" spans="1:2" x14ac:dyDescent="0.2">
      <c r="A1666" t="s">
        <v>20388</v>
      </c>
      <c r="B1666" t="s">
        <v>14360</v>
      </c>
    </row>
    <row r="1667" spans="1:2" x14ac:dyDescent="0.2">
      <c r="A1667" t="s">
        <v>20389</v>
      </c>
      <c r="B1667" t="s">
        <v>14360</v>
      </c>
    </row>
    <row r="1668" spans="1:2" x14ac:dyDescent="0.2">
      <c r="A1668" t="s">
        <v>20390</v>
      </c>
      <c r="B1668" t="s">
        <v>20470</v>
      </c>
    </row>
    <row r="1669" spans="1:2" x14ac:dyDescent="0.2">
      <c r="A1669" t="s">
        <v>20391</v>
      </c>
      <c r="B1669" t="s">
        <v>14360</v>
      </c>
    </row>
    <row r="1670" spans="1:2" x14ac:dyDescent="0.2">
      <c r="A1670" t="s">
        <v>10454</v>
      </c>
      <c r="B1670" t="s">
        <v>20669</v>
      </c>
    </row>
    <row r="1671" spans="1:2" x14ac:dyDescent="0.2">
      <c r="A1671" t="s">
        <v>10455</v>
      </c>
      <c r="B1671" t="s">
        <v>20629</v>
      </c>
    </row>
    <row r="1672" spans="1:2" x14ac:dyDescent="0.2">
      <c r="A1672" t="s">
        <v>20392</v>
      </c>
      <c r="B1672" t="s">
        <v>20516</v>
      </c>
    </row>
    <row r="1673" spans="1:2" x14ac:dyDescent="0.2">
      <c r="A1673" t="s">
        <v>10456</v>
      </c>
      <c r="B1673" t="s">
        <v>20460</v>
      </c>
    </row>
    <row r="1674" spans="1:2" x14ac:dyDescent="0.2">
      <c r="A1674" t="s">
        <v>10457</v>
      </c>
      <c r="B1674" t="s">
        <v>14360</v>
      </c>
    </row>
    <row r="1675" spans="1:2" x14ac:dyDescent="0.2">
      <c r="A1675" t="s">
        <v>10458</v>
      </c>
      <c r="B1675" t="s">
        <v>20604</v>
      </c>
    </row>
    <row r="1676" spans="1:2" x14ac:dyDescent="0.2">
      <c r="A1676" t="s">
        <v>10459</v>
      </c>
      <c r="B1676" t="s">
        <v>20681</v>
      </c>
    </row>
    <row r="1677" spans="1:2" x14ac:dyDescent="0.2">
      <c r="A1677" t="s">
        <v>10460</v>
      </c>
      <c r="B1677" t="s">
        <v>20642</v>
      </c>
    </row>
    <row r="1678" spans="1:2" x14ac:dyDescent="0.2">
      <c r="A1678" t="s">
        <v>10461</v>
      </c>
      <c r="B1678" t="s">
        <v>14360</v>
      </c>
    </row>
    <row r="1679" spans="1:2" x14ac:dyDescent="0.2">
      <c r="A1679" t="s">
        <v>10462</v>
      </c>
      <c r="B1679" t="s">
        <v>14360</v>
      </c>
    </row>
    <row r="1680" spans="1:2" x14ac:dyDescent="0.2">
      <c r="A1680" t="s">
        <v>10463</v>
      </c>
      <c r="B1680" t="s">
        <v>14360</v>
      </c>
    </row>
    <row r="1681" spans="1:2" x14ac:dyDescent="0.2">
      <c r="A1681" t="s">
        <v>10464</v>
      </c>
      <c r="B1681" t="s">
        <v>20613</v>
      </c>
    </row>
    <row r="1682" spans="1:2" x14ac:dyDescent="0.2">
      <c r="A1682" t="s">
        <v>10465</v>
      </c>
      <c r="B1682" t="s">
        <v>14360</v>
      </c>
    </row>
    <row r="1683" spans="1:2" x14ac:dyDescent="0.2">
      <c r="A1683" t="s">
        <v>10466</v>
      </c>
      <c r="B1683" t="s">
        <v>20671</v>
      </c>
    </row>
    <row r="1684" spans="1:2" x14ac:dyDescent="0.2">
      <c r="A1684" t="s">
        <v>10467</v>
      </c>
      <c r="B1684" t="s">
        <v>14360</v>
      </c>
    </row>
    <row r="1685" spans="1:2" x14ac:dyDescent="0.2">
      <c r="A1685" t="s">
        <v>10468</v>
      </c>
      <c r="B1685" t="s">
        <v>20585</v>
      </c>
    </row>
    <row r="1686" spans="1:2" x14ac:dyDescent="0.2">
      <c r="A1686" t="s">
        <v>10469</v>
      </c>
      <c r="B1686" t="s">
        <v>20584</v>
      </c>
    </row>
    <row r="1687" spans="1:2" x14ac:dyDescent="0.2">
      <c r="A1687" t="s">
        <v>10470</v>
      </c>
      <c r="B1687" t="s">
        <v>20509</v>
      </c>
    </row>
    <row r="1688" spans="1:2" x14ac:dyDescent="0.2">
      <c r="A1688" t="s">
        <v>10471</v>
      </c>
      <c r="B1688" t="s">
        <v>20610</v>
      </c>
    </row>
    <row r="1689" spans="1:2" x14ac:dyDescent="0.2">
      <c r="A1689" t="s">
        <v>10472</v>
      </c>
      <c r="B1689" t="s">
        <v>14360</v>
      </c>
    </row>
    <row r="1690" spans="1:2" x14ac:dyDescent="0.2">
      <c r="A1690" t="s">
        <v>10473</v>
      </c>
      <c r="B1690" t="s">
        <v>14360</v>
      </c>
    </row>
    <row r="1691" spans="1:2" x14ac:dyDescent="0.2">
      <c r="A1691" t="s">
        <v>10474</v>
      </c>
      <c r="B1691" t="s">
        <v>20545</v>
      </c>
    </row>
    <row r="1692" spans="1:2" x14ac:dyDescent="0.2">
      <c r="A1692" t="s">
        <v>20393</v>
      </c>
      <c r="B1692" t="s">
        <v>14360</v>
      </c>
    </row>
    <row r="1693" spans="1:2" x14ac:dyDescent="0.2">
      <c r="A1693" t="s">
        <v>10475</v>
      </c>
      <c r="B1693" t="s">
        <v>14360</v>
      </c>
    </row>
    <row r="1694" spans="1:2" x14ac:dyDescent="0.2">
      <c r="A1694" t="s">
        <v>10476</v>
      </c>
      <c r="B1694" t="s">
        <v>20570</v>
      </c>
    </row>
    <row r="1695" spans="1:2" x14ac:dyDescent="0.2">
      <c r="A1695" t="s">
        <v>10477</v>
      </c>
      <c r="B1695" t="s">
        <v>20573</v>
      </c>
    </row>
    <row r="1696" spans="1:2" x14ac:dyDescent="0.2">
      <c r="A1696" t="s">
        <v>20394</v>
      </c>
      <c r="B1696" t="s">
        <v>14360</v>
      </c>
    </row>
    <row r="1697" spans="1:2" x14ac:dyDescent="0.2">
      <c r="A1697" t="s">
        <v>10478</v>
      </c>
      <c r="B1697" t="s">
        <v>20603</v>
      </c>
    </row>
    <row r="1698" spans="1:2" x14ac:dyDescent="0.2">
      <c r="A1698" t="s">
        <v>20395</v>
      </c>
      <c r="B1698" t="s">
        <v>14360</v>
      </c>
    </row>
    <row r="1699" spans="1:2" x14ac:dyDescent="0.2">
      <c r="A1699" t="s">
        <v>17117</v>
      </c>
      <c r="B1699" t="s">
        <v>14360</v>
      </c>
    </row>
    <row r="1700" spans="1:2" x14ac:dyDescent="0.2">
      <c r="A1700" t="s">
        <v>10479</v>
      </c>
      <c r="B1700" t="s">
        <v>20693</v>
      </c>
    </row>
    <row r="1701" spans="1:2" x14ac:dyDescent="0.2">
      <c r="A1701" t="s">
        <v>10480</v>
      </c>
      <c r="B1701" t="s">
        <v>14360</v>
      </c>
    </row>
    <row r="1702" spans="1:2" x14ac:dyDescent="0.2">
      <c r="A1702" t="s">
        <v>10481</v>
      </c>
      <c r="B1702" t="s">
        <v>20467</v>
      </c>
    </row>
    <row r="1703" spans="1:2" x14ac:dyDescent="0.2">
      <c r="A1703" t="s">
        <v>10482</v>
      </c>
      <c r="B1703" t="s">
        <v>20630</v>
      </c>
    </row>
    <row r="1704" spans="1:2" x14ac:dyDescent="0.2">
      <c r="A1704" t="s">
        <v>10483</v>
      </c>
      <c r="B1704" t="s">
        <v>20594</v>
      </c>
    </row>
    <row r="1705" spans="1:2" x14ac:dyDescent="0.2">
      <c r="A1705" t="s">
        <v>10484</v>
      </c>
      <c r="B1705" t="s">
        <v>14360</v>
      </c>
    </row>
    <row r="1706" spans="1:2" x14ac:dyDescent="0.2">
      <c r="A1706" t="s">
        <v>10485</v>
      </c>
      <c r="B1706" t="s">
        <v>20505</v>
      </c>
    </row>
    <row r="1707" spans="1:2" x14ac:dyDescent="0.2">
      <c r="A1707" t="s">
        <v>10486</v>
      </c>
      <c r="B1707" t="s">
        <v>20645</v>
      </c>
    </row>
    <row r="1708" spans="1:2" x14ac:dyDescent="0.2">
      <c r="A1708" t="s">
        <v>20396</v>
      </c>
      <c r="B1708" t="s">
        <v>14360</v>
      </c>
    </row>
    <row r="1709" spans="1:2" x14ac:dyDescent="0.2">
      <c r="A1709" t="s">
        <v>20397</v>
      </c>
      <c r="B1709" t="s">
        <v>14360</v>
      </c>
    </row>
    <row r="1710" spans="1:2" x14ac:dyDescent="0.2">
      <c r="A1710" t="s">
        <v>20398</v>
      </c>
      <c r="B1710" t="s">
        <v>14360</v>
      </c>
    </row>
    <row r="1711" spans="1:2" x14ac:dyDescent="0.2">
      <c r="A1711" t="s">
        <v>10487</v>
      </c>
      <c r="B1711" t="s">
        <v>20651</v>
      </c>
    </row>
    <row r="1712" spans="1:2" x14ac:dyDescent="0.2">
      <c r="A1712" t="s">
        <v>10488</v>
      </c>
      <c r="B1712" t="s">
        <v>20591</v>
      </c>
    </row>
    <row r="1713" spans="1:2" x14ac:dyDescent="0.2">
      <c r="A1713" t="s">
        <v>10489</v>
      </c>
      <c r="B1713" t="s">
        <v>20501</v>
      </c>
    </row>
    <row r="1714" spans="1:2" x14ac:dyDescent="0.2">
      <c r="A1714" t="s">
        <v>20399</v>
      </c>
      <c r="B1714" t="s">
        <v>14360</v>
      </c>
    </row>
    <row r="1715" spans="1:2" x14ac:dyDescent="0.2">
      <c r="A1715" t="s">
        <v>10490</v>
      </c>
      <c r="B1715" t="s">
        <v>20616</v>
      </c>
    </row>
    <row r="1716" spans="1:2" x14ac:dyDescent="0.2">
      <c r="A1716" t="s">
        <v>10491</v>
      </c>
      <c r="B1716" t="s">
        <v>14360</v>
      </c>
    </row>
    <row r="1717" spans="1:2" x14ac:dyDescent="0.2">
      <c r="A1717" t="s">
        <v>10492</v>
      </c>
      <c r="B1717" t="s">
        <v>14360</v>
      </c>
    </row>
    <row r="1718" spans="1:2" x14ac:dyDescent="0.2">
      <c r="A1718" t="s">
        <v>20400</v>
      </c>
      <c r="B1718" t="s">
        <v>20691</v>
      </c>
    </row>
    <row r="1719" spans="1:2" x14ac:dyDescent="0.2">
      <c r="A1719" t="s">
        <v>10493</v>
      </c>
      <c r="B1719" t="s">
        <v>20499</v>
      </c>
    </row>
    <row r="1720" spans="1:2" x14ac:dyDescent="0.2">
      <c r="A1720" t="s">
        <v>10494</v>
      </c>
      <c r="B1720" t="s">
        <v>14360</v>
      </c>
    </row>
    <row r="1721" spans="1:2" x14ac:dyDescent="0.2">
      <c r="A1721" t="s">
        <v>10495</v>
      </c>
      <c r="B1721" t="s">
        <v>14360</v>
      </c>
    </row>
    <row r="1722" spans="1:2" x14ac:dyDescent="0.2">
      <c r="A1722" t="s">
        <v>10496</v>
      </c>
      <c r="B1722" t="s">
        <v>14360</v>
      </c>
    </row>
    <row r="1723" spans="1:2" x14ac:dyDescent="0.2">
      <c r="A1723" t="s">
        <v>10497</v>
      </c>
      <c r="B1723" t="s">
        <v>14360</v>
      </c>
    </row>
    <row r="1724" spans="1:2" x14ac:dyDescent="0.2">
      <c r="A1724" t="s">
        <v>10498</v>
      </c>
      <c r="B1724" t="s">
        <v>20632</v>
      </c>
    </row>
    <row r="1725" spans="1:2" x14ac:dyDescent="0.2">
      <c r="A1725" t="s">
        <v>10499</v>
      </c>
      <c r="B1725" t="s">
        <v>14360</v>
      </c>
    </row>
    <row r="1726" spans="1:2" x14ac:dyDescent="0.2">
      <c r="A1726" t="s">
        <v>20401</v>
      </c>
      <c r="B1726" t="s">
        <v>14360</v>
      </c>
    </row>
    <row r="1727" spans="1:2" x14ac:dyDescent="0.2">
      <c r="A1727" t="s">
        <v>20402</v>
      </c>
      <c r="B1727" t="s">
        <v>20631</v>
      </c>
    </row>
    <row r="1728" spans="1:2" x14ac:dyDescent="0.2">
      <c r="A1728" t="s">
        <v>10500</v>
      </c>
      <c r="B1728" t="s">
        <v>14360</v>
      </c>
    </row>
    <row r="1729" spans="1:2" x14ac:dyDescent="0.2">
      <c r="A1729" t="s">
        <v>10501</v>
      </c>
      <c r="B1729" t="s">
        <v>20522</v>
      </c>
    </row>
    <row r="1730" spans="1:2" x14ac:dyDescent="0.2">
      <c r="A1730" t="s">
        <v>20403</v>
      </c>
      <c r="B1730" t="s">
        <v>14360</v>
      </c>
    </row>
    <row r="1731" spans="1:2" x14ac:dyDescent="0.2">
      <c r="A1731" t="s">
        <v>10502</v>
      </c>
      <c r="B1731" t="s">
        <v>20543</v>
      </c>
    </row>
    <row r="1732" spans="1:2" x14ac:dyDescent="0.2">
      <c r="A1732" t="s">
        <v>20404</v>
      </c>
      <c r="B1732" t="s">
        <v>14360</v>
      </c>
    </row>
    <row r="1733" spans="1:2" x14ac:dyDescent="0.2">
      <c r="A1733" t="s">
        <v>10503</v>
      </c>
      <c r="B1733" t="s">
        <v>14360</v>
      </c>
    </row>
    <row r="1734" spans="1:2" x14ac:dyDescent="0.2">
      <c r="A1734" t="s">
        <v>20405</v>
      </c>
      <c r="B1734" t="s">
        <v>14360</v>
      </c>
    </row>
    <row r="1735" spans="1:2" x14ac:dyDescent="0.2">
      <c r="A1735" t="s">
        <v>20406</v>
      </c>
      <c r="B1735" t="s">
        <v>14360</v>
      </c>
    </row>
    <row r="1736" spans="1:2" x14ac:dyDescent="0.2">
      <c r="A1736" t="s">
        <v>10504</v>
      </c>
      <c r="B1736" t="s">
        <v>14360</v>
      </c>
    </row>
    <row r="1737" spans="1:2" x14ac:dyDescent="0.2">
      <c r="A1737" t="s">
        <v>10505</v>
      </c>
      <c r="B1737" t="s">
        <v>20617</v>
      </c>
    </row>
    <row r="1738" spans="1:2" x14ac:dyDescent="0.2">
      <c r="A1738" t="s">
        <v>20407</v>
      </c>
      <c r="B1738" t="s">
        <v>20692</v>
      </c>
    </row>
    <row r="1739" spans="1:2" x14ac:dyDescent="0.2">
      <c r="A1739" t="s">
        <v>20408</v>
      </c>
      <c r="B1739" t="s">
        <v>14360</v>
      </c>
    </row>
    <row r="1740" spans="1:2" x14ac:dyDescent="0.2">
      <c r="A1740" t="s">
        <v>20409</v>
      </c>
      <c r="B1740" t="s">
        <v>20654</v>
      </c>
    </row>
    <row r="1741" spans="1:2" x14ac:dyDescent="0.2">
      <c r="A1741" t="s">
        <v>20410</v>
      </c>
      <c r="B1741" t="s">
        <v>14360</v>
      </c>
    </row>
    <row r="1742" spans="1:2" x14ac:dyDescent="0.2">
      <c r="A1742" t="s">
        <v>10506</v>
      </c>
      <c r="B1742" t="s">
        <v>20574</v>
      </c>
    </row>
    <row r="1743" spans="1:2" x14ac:dyDescent="0.2">
      <c r="A1743" t="s">
        <v>20411</v>
      </c>
      <c r="B1743" t="s">
        <v>14360</v>
      </c>
    </row>
    <row r="1744" spans="1:2" x14ac:dyDescent="0.2">
      <c r="A1744" t="s">
        <v>10507</v>
      </c>
      <c r="B1744" t="s">
        <v>20547</v>
      </c>
    </row>
    <row r="1745" spans="1:2" x14ac:dyDescent="0.2">
      <c r="A1745" t="s">
        <v>10508</v>
      </c>
      <c r="B1745" t="s">
        <v>20465</v>
      </c>
    </row>
    <row r="1746" spans="1:2" x14ac:dyDescent="0.2">
      <c r="A1746" t="s">
        <v>10509</v>
      </c>
      <c r="B1746" t="s">
        <v>14360</v>
      </c>
    </row>
    <row r="1747" spans="1:2" x14ac:dyDescent="0.2">
      <c r="A1747" t="s">
        <v>10510</v>
      </c>
      <c r="B1747" t="s">
        <v>14360</v>
      </c>
    </row>
    <row r="1748" spans="1:2" x14ac:dyDescent="0.2">
      <c r="A1748" t="s">
        <v>10511</v>
      </c>
      <c r="B1748" t="s">
        <v>14360</v>
      </c>
    </row>
    <row r="1749" spans="1:2" x14ac:dyDescent="0.2">
      <c r="A1749" t="s">
        <v>20412</v>
      </c>
      <c r="B1749" t="s">
        <v>14360</v>
      </c>
    </row>
    <row r="1750" spans="1:2" x14ac:dyDescent="0.2">
      <c r="A1750" t="s">
        <v>20413</v>
      </c>
      <c r="B1750" t="s">
        <v>14360</v>
      </c>
    </row>
    <row r="1751" spans="1:2" x14ac:dyDescent="0.2">
      <c r="A1751" t="s">
        <v>10512</v>
      </c>
      <c r="B1751" t="s">
        <v>14360</v>
      </c>
    </row>
    <row r="1752" spans="1:2" x14ac:dyDescent="0.2">
      <c r="A1752" t="s">
        <v>20414</v>
      </c>
      <c r="B1752" t="s">
        <v>14360</v>
      </c>
    </row>
    <row r="1753" spans="1:2" x14ac:dyDescent="0.2">
      <c r="A1753" t="s">
        <v>10513</v>
      </c>
      <c r="B1753" t="s">
        <v>14360</v>
      </c>
    </row>
    <row r="1754" spans="1:2" x14ac:dyDescent="0.2">
      <c r="A1754" t="s">
        <v>10514</v>
      </c>
      <c r="B1754" t="s">
        <v>14360</v>
      </c>
    </row>
    <row r="1755" spans="1:2" x14ac:dyDescent="0.2">
      <c r="A1755" t="s">
        <v>10515</v>
      </c>
      <c r="B1755" t="s">
        <v>20653</v>
      </c>
    </row>
    <row r="1756" spans="1:2" x14ac:dyDescent="0.2">
      <c r="A1756" t="s">
        <v>10516</v>
      </c>
      <c r="B1756" t="s">
        <v>14360</v>
      </c>
    </row>
    <row r="1757" spans="1:2" x14ac:dyDescent="0.2">
      <c r="A1757" t="s">
        <v>12994</v>
      </c>
      <c r="B1757" t="s">
        <v>14360</v>
      </c>
    </row>
    <row r="1758" spans="1:2" x14ac:dyDescent="0.2">
      <c r="A1758" t="s">
        <v>10517</v>
      </c>
      <c r="B1758" t="s">
        <v>20486</v>
      </c>
    </row>
    <row r="1759" spans="1:2" x14ac:dyDescent="0.2">
      <c r="A1759" t="s">
        <v>10518</v>
      </c>
      <c r="B1759" t="s">
        <v>20679</v>
      </c>
    </row>
    <row r="1760" spans="1:2" x14ac:dyDescent="0.2">
      <c r="A1760" t="s">
        <v>10519</v>
      </c>
      <c r="B1760" t="s">
        <v>20644</v>
      </c>
    </row>
    <row r="1761" spans="1:2" x14ac:dyDescent="0.2">
      <c r="A1761" t="s">
        <v>20415</v>
      </c>
      <c r="B1761" t="s">
        <v>14360</v>
      </c>
    </row>
    <row r="1762" spans="1:2" x14ac:dyDescent="0.2">
      <c r="A1762" t="s">
        <v>10520</v>
      </c>
      <c r="B1762" t="s">
        <v>14360</v>
      </c>
    </row>
    <row r="1763" spans="1:2" x14ac:dyDescent="0.2">
      <c r="A1763" t="s">
        <v>10521</v>
      </c>
      <c r="B1763" t="s">
        <v>20556</v>
      </c>
    </row>
    <row r="1764" spans="1:2" x14ac:dyDescent="0.2">
      <c r="A1764" t="s">
        <v>10522</v>
      </c>
      <c r="B1764" t="s">
        <v>20663</v>
      </c>
    </row>
    <row r="1765" spans="1:2" x14ac:dyDescent="0.2">
      <c r="A1765" t="s">
        <v>10523</v>
      </c>
      <c r="B1765" t="s">
        <v>20472</v>
      </c>
    </row>
    <row r="1766" spans="1:2" x14ac:dyDescent="0.2">
      <c r="A1766" t="s">
        <v>10524</v>
      </c>
      <c r="B1766" t="s">
        <v>20491</v>
      </c>
    </row>
    <row r="1767" spans="1:2" x14ac:dyDescent="0.2">
      <c r="A1767" t="s">
        <v>10525</v>
      </c>
      <c r="B1767" t="s">
        <v>14360</v>
      </c>
    </row>
    <row r="1768" spans="1:2" x14ac:dyDescent="0.2">
      <c r="A1768" t="s">
        <v>10526</v>
      </c>
      <c r="B1768" t="s">
        <v>14360</v>
      </c>
    </row>
    <row r="1769" spans="1:2" x14ac:dyDescent="0.2">
      <c r="A1769" t="s">
        <v>10527</v>
      </c>
      <c r="B1769" t="s">
        <v>14360</v>
      </c>
    </row>
    <row r="1770" spans="1:2" x14ac:dyDescent="0.2">
      <c r="A1770" t="s">
        <v>10528</v>
      </c>
      <c r="B1770" t="s">
        <v>20538</v>
      </c>
    </row>
    <row r="1771" spans="1:2" x14ac:dyDescent="0.2">
      <c r="A1771" t="s">
        <v>10529</v>
      </c>
      <c r="B1771" t="s">
        <v>20583</v>
      </c>
    </row>
    <row r="1772" spans="1:2" x14ac:dyDescent="0.2">
      <c r="A1772" t="s">
        <v>10530</v>
      </c>
      <c r="B1772" t="s">
        <v>20508</v>
      </c>
    </row>
    <row r="1773" spans="1:2" x14ac:dyDescent="0.2">
      <c r="A1773" t="s">
        <v>10531</v>
      </c>
      <c r="B1773" t="s">
        <v>20647</v>
      </c>
    </row>
    <row r="1774" spans="1:2" x14ac:dyDescent="0.2">
      <c r="A1774" t="s">
        <v>10532</v>
      </c>
      <c r="B1774" t="s">
        <v>14360</v>
      </c>
    </row>
    <row r="1775" spans="1:2" x14ac:dyDescent="0.2">
      <c r="A1775" t="s">
        <v>10533</v>
      </c>
      <c r="B1775" t="s">
        <v>14360</v>
      </c>
    </row>
    <row r="1776" spans="1:2" x14ac:dyDescent="0.2">
      <c r="A1776" t="s">
        <v>10534</v>
      </c>
      <c r="B1776" t="s">
        <v>20479</v>
      </c>
    </row>
    <row r="1777" spans="1:2" x14ac:dyDescent="0.2">
      <c r="A1777" t="s">
        <v>10535</v>
      </c>
      <c r="B1777" t="s">
        <v>20515</v>
      </c>
    </row>
    <row r="1778" spans="1:2" x14ac:dyDescent="0.2">
      <c r="A1778" t="s">
        <v>10536</v>
      </c>
      <c r="B1778" t="s">
        <v>20510</v>
      </c>
    </row>
    <row r="1779" spans="1:2" x14ac:dyDescent="0.2">
      <c r="A1779" t="s">
        <v>10537</v>
      </c>
      <c r="B1779" t="s">
        <v>14360</v>
      </c>
    </row>
    <row r="1780" spans="1:2" x14ac:dyDescent="0.2">
      <c r="A1780" t="s">
        <v>10538</v>
      </c>
      <c r="B1780" t="s">
        <v>14360</v>
      </c>
    </row>
    <row r="1781" spans="1:2" x14ac:dyDescent="0.2">
      <c r="A1781" t="s">
        <v>10539</v>
      </c>
      <c r="B1781" t="s">
        <v>14360</v>
      </c>
    </row>
    <row r="1782" spans="1:2" x14ac:dyDescent="0.2">
      <c r="A1782" t="s">
        <v>10540</v>
      </c>
      <c r="B1782" t="s">
        <v>14360</v>
      </c>
    </row>
    <row r="1783" spans="1:2" x14ac:dyDescent="0.2">
      <c r="A1783" t="s">
        <v>10541</v>
      </c>
      <c r="B1783" t="s">
        <v>14360</v>
      </c>
    </row>
    <row r="1784" spans="1:2" x14ac:dyDescent="0.2">
      <c r="A1784" t="s">
        <v>10542</v>
      </c>
      <c r="B1784" t="s">
        <v>14360</v>
      </c>
    </row>
    <row r="1785" spans="1:2" x14ac:dyDescent="0.2">
      <c r="A1785" t="s">
        <v>10543</v>
      </c>
      <c r="B1785" t="s">
        <v>14360</v>
      </c>
    </row>
    <row r="1786" spans="1:2" x14ac:dyDescent="0.2">
      <c r="A1786" t="s">
        <v>10544</v>
      </c>
      <c r="B1786" t="s">
        <v>14360</v>
      </c>
    </row>
    <row r="1787" spans="1:2" x14ac:dyDescent="0.2">
      <c r="A1787" t="s">
        <v>10545</v>
      </c>
      <c r="B1787" t="s">
        <v>14360</v>
      </c>
    </row>
    <row r="1788" spans="1:2" x14ac:dyDescent="0.2">
      <c r="A1788" t="s">
        <v>10546</v>
      </c>
      <c r="B1788" t="s">
        <v>14360</v>
      </c>
    </row>
    <row r="1789" spans="1:2" x14ac:dyDescent="0.2">
      <c r="A1789" t="s">
        <v>10547</v>
      </c>
      <c r="B1789" t="s">
        <v>14360</v>
      </c>
    </row>
    <row r="1790" spans="1:2" x14ac:dyDescent="0.2">
      <c r="A1790" t="s">
        <v>10548</v>
      </c>
      <c r="B1790" t="s">
        <v>14360</v>
      </c>
    </row>
    <row r="1791" spans="1:2" x14ac:dyDescent="0.2">
      <c r="A1791" t="s">
        <v>10549</v>
      </c>
      <c r="B1791" t="s">
        <v>14360</v>
      </c>
    </row>
    <row r="1792" spans="1:2" x14ac:dyDescent="0.2">
      <c r="A1792" t="s">
        <v>10550</v>
      </c>
      <c r="B1792" t="s">
        <v>14360</v>
      </c>
    </row>
    <row r="1793" spans="1:2" x14ac:dyDescent="0.2">
      <c r="A1793" t="s">
        <v>19620</v>
      </c>
      <c r="B1793" t="s">
        <v>14360</v>
      </c>
    </row>
    <row r="1794" spans="1:2" x14ac:dyDescent="0.2">
      <c r="A1794" t="s">
        <v>19881</v>
      </c>
      <c r="B1794" t="s">
        <v>14360</v>
      </c>
    </row>
    <row r="1795" spans="1:2" x14ac:dyDescent="0.2">
      <c r="A1795" t="s">
        <v>19177</v>
      </c>
      <c r="B1795" t="s">
        <v>14360</v>
      </c>
    </row>
    <row r="1796" spans="1:2" x14ac:dyDescent="0.2">
      <c r="A1796" t="s">
        <v>19534</v>
      </c>
      <c r="B1796" t="s">
        <v>14360</v>
      </c>
    </row>
    <row r="1797" spans="1:2" x14ac:dyDescent="0.2">
      <c r="A1797" t="s">
        <v>19882</v>
      </c>
      <c r="B1797" t="s">
        <v>14360</v>
      </c>
    </row>
    <row r="1798" spans="1:2" x14ac:dyDescent="0.2">
      <c r="A1798" t="s">
        <v>20194</v>
      </c>
      <c r="B1798" t="s">
        <v>14360</v>
      </c>
    </row>
    <row r="1799" spans="1:2" x14ac:dyDescent="0.2">
      <c r="A1799" t="s">
        <v>20196</v>
      </c>
      <c r="B1799" t="s">
        <v>14360</v>
      </c>
    </row>
    <row r="1800" spans="1:2" x14ac:dyDescent="0.2">
      <c r="A1800" t="s">
        <v>20198</v>
      </c>
      <c r="B1800" t="s">
        <v>14360</v>
      </c>
    </row>
    <row r="1801" spans="1:2" x14ac:dyDescent="0.2">
      <c r="A1801" t="s">
        <v>20200</v>
      </c>
      <c r="B1801" t="s">
        <v>14360</v>
      </c>
    </row>
    <row r="1802" spans="1:2" x14ac:dyDescent="0.2">
      <c r="A1802" t="s">
        <v>19272</v>
      </c>
      <c r="B1802" t="s">
        <v>14360</v>
      </c>
    </row>
    <row r="1803" spans="1:2" x14ac:dyDescent="0.2">
      <c r="A1803" t="s">
        <v>20203</v>
      </c>
      <c r="B1803" t="s">
        <v>18190</v>
      </c>
    </row>
    <row r="1804" spans="1:2" x14ac:dyDescent="0.2">
      <c r="A1804" t="s">
        <v>20204</v>
      </c>
      <c r="B1804" t="s">
        <v>14360</v>
      </c>
    </row>
    <row r="1805" spans="1:2" x14ac:dyDescent="0.2">
      <c r="A1805" t="s">
        <v>20206</v>
      </c>
      <c r="B1805" t="s">
        <v>14360</v>
      </c>
    </row>
    <row r="1806" spans="1:2" x14ac:dyDescent="0.2">
      <c r="A1806" t="s">
        <v>20208</v>
      </c>
      <c r="B1806" t="s">
        <v>14360</v>
      </c>
    </row>
    <row r="1807" spans="1:2" x14ac:dyDescent="0.2">
      <c r="A1807" t="s">
        <v>20209</v>
      </c>
      <c r="B1807" t="s">
        <v>14360</v>
      </c>
    </row>
    <row r="1808" spans="1:2" x14ac:dyDescent="0.2">
      <c r="A1808" t="s">
        <v>20211</v>
      </c>
      <c r="B1808" t="s">
        <v>14360</v>
      </c>
    </row>
    <row r="1809" spans="1:2" x14ac:dyDescent="0.2">
      <c r="A1809" t="s">
        <v>20213</v>
      </c>
      <c r="B1809" t="s">
        <v>14360</v>
      </c>
    </row>
    <row r="1810" spans="1:2" x14ac:dyDescent="0.2">
      <c r="A1810" t="s">
        <v>20215</v>
      </c>
      <c r="B1810" t="s">
        <v>14360</v>
      </c>
    </row>
    <row r="1811" spans="1:2" x14ac:dyDescent="0.2">
      <c r="A1811" t="s">
        <v>20217</v>
      </c>
      <c r="B1811" t="s">
        <v>14360</v>
      </c>
    </row>
    <row r="1812" spans="1:2" x14ac:dyDescent="0.2">
      <c r="A1812" t="s">
        <v>20218</v>
      </c>
      <c r="B1812" t="s">
        <v>14360</v>
      </c>
    </row>
    <row r="1813" spans="1:2" x14ac:dyDescent="0.2">
      <c r="A1813" t="s">
        <v>20219</v>
      </c>
      <c r="B1813" t="s">
        <v>14360</v>
      </c>
    </row>
    <row r="1814" spans="1:2" x14ac:dyDescent="0.2">
      <c r="A1814" t="s">
        <v>20221</v>
      </c>
      <c r="B1814" t="s">
        <v>14360</v>
      </c>
    </row>
    <row r="1815" spans="1:2" x14ac:dyDescent="0.2">
      <c r="A1815" t="s">
        <v>20222</v>
      </c>
      <c r="B1815" t="s">
        <v>14360</v>
      </c>
    </row>
    <row r="1816" spans="1:2" x14ac:dyDescent="0.2">
      <c r="A1816" t="s">
        <v>20224</v>
      </c>
      <c r="B1816" t="s">
        <v>14360</v>
      </c>
    </row>
    <row r="1817" spans="1:2" x14ac:dyDescent="0.2">
      <c r="A1817" t="s">
        <v>20226</v>
      </c>
      <c r="B1817" t="s">
        <v>14360</v>
      </c>
    </row>
    <row r="1818" spans="1:2" x14ac:dyDescent="0.2">
      <c r="A1818" t="s">
        <v>20227</v>
      </c>
      <c r="B1818" t="s">
        <v>14360</v>
      </c>
    </row>
    <row r="1819" spans="1:2" x14ac:dyDescent="0.2">
      <c r="A1819" t="s">
        <v>20229</v>
      </c>
      <c r="B1819" t="s">
        <v>14360</v>
      </c>
    </row>
    <row r="1820" spans="1:2" x14ac:dyDescent="0.2">
      <c r="A1820" t="s">
        <v>20231</v>
      </c>
      <c r="B1820" t="s">
        <v>17926</v>
      </c>
    </row>
    <row r="1821" spans="1:2" x14ac:dyDescent="0.2">
      <c r="A1821" t="s">
        <v>20232</v>
      </c>
      <c r="B1821" t="s">
        <v>14360</v>
      </c>
    </row>
    <row r="1822" spans="1:2" x14ac:dyDescent="0.2">
      <c r="A1822" t="s">
        <v>20234</v>
      </c>
      <c r="B1822" t="s">
        <v>14360</v>
      </c>
    </row>
    <row r="1823" spans="1:2" x14ac:dyDescent="0.2">
      <c r="A1823" t="s">
        <v>20236</v>
      </c>
      <c r="B1823" t="s">
        <v>14360</v>
      </c>
    </row>
    <row r="1824" spans="1:2" x14ac:dyDescent="0.2">
      <c r="A1824" t="s">
        <v>20237</v>
      </c>
      <c r="B1824" t="s">
        <v>14360</v>
      </c>
    </row>
    <row r="1825" spans="1:2" x14ac:dyDescent="0.2">
      <c r="A1825" t="s">
        <v>18578</v>
      </c>
      <c r="B1825" t="s">
        <v>14360</v>
      </c>
    </row>
    <row r="1826" spans="1:2" x14ac:dyDescent="0.2">
      <c r="A1826" t="s">
        <v>20238</v>
      </c>
      <c r="B1826" t="s">
        <v>14360</v>
      </c>
    </row>
    <row r="1827" spans="1:2" x14ac:dyDescent="0.2">
      <c r="A1827" t="s">
        <v>20239</v>
      </c>
      <c r="B1827" t="s">
        <v>14360</v>
      </c>
    </row>
    <row r="1828" spans="1:2" x14ac:dyDescent="0.2">
      <c r="A1828" t="s">
        <v>20240</v>
      </c>
      <c r="B1828" t="s">
        <v>14360</v>
      </c>
    </row>
    <row r="1829" spans="1:2" x14ac:dyDescent="0.2">
      <c r="A1829" t="s">
        <v>20241</v>
      </c>
      <c r="B1829" t="s">
        <v>14360</v>
      </c>
    </row>
    <row r="1830" spans="1:2" x14ac:dyDescent="0.2">
      <c r="A1830" t="s">
        <v>20242</v>
      </c>
      <c r="B1830" t="s">
        <v>14360</v>
      </c>
    </row>
    <row r="1831" spans="1:2" x14ac:dyDescent="0.2">
      <c r="A1831" t="s">
        <v>18869</v>
      </c>
      <c r="B1831" t="s">
        <v>20473</v>
      </c>
    </row>
    <row r="1832" spans="1:2" x14ac:dyDescent="0.2">
      <c r="A1832" t="s">
        <v>20285</v>
      </c>
      <c r="B1832" t="s">
        <v>14360</v>
      </c>
    </row>
    <row r="1833" spans="1:2" x14ac:dyDescent="0.2">
      <c r="A1833" t="s">
        <v>20286</v>
      </c>
      <c r="B1833" t="s">
        <v>14360</v>
      </c>
    </row>
    <row r="1834" spans="1:2" x14ac:dyDescent="0.2">
      <c r="A1834" t="s">
        <v>18886</v>
      </c>
      <c r="B1834" t="s">
        <v>14360</v>
      </c>
    </row>
    <row r="1835" spans="1:2" x14ac:dyDescent="0.2">
      <c r="A1835" t="s">
        <v>18890</v>
      </c>
      <c r="B1835" t="s">
        <v>14360</v>
      </c>
    </row>
    <row r="1836" spans="1:2" x14ac:dyDescent="0.2">
      <c r="A1836" t="s">
        <v>20287</v>
      </c>
      <c r="B1836" t="s">
        <v>14360</v>
      </c>
    </row>
    <row r="1837" spans="1:2" x14ac:dyDescent="0.2">
      <c r="A1837" t="s">
        <v>20288</v>
      </c>
      <c r="B1837" t="s">
        <v>14360</v>
      </c>
    </row>
    <row r="1838" spans="1:2" x14ac:dyDescent="0.2">
      <c r="A1838" t="s">
        <v>20289</v>
      </c>
      <c r="B1838" t="s">
        <v>14360</v>
      </c>
    </row>
    <row r="1839" spans="1:2" x14ac:dyDescent="0.2">
      <c r="A1839" t="s">
        <v>20290</v>
      </c>
      <c r="B1839" t="s">
        <v>14360</v>
      </c>
    </row>
    <row r="1840" spans="1:2" x14ac:dyDescent="0.2">
      <c r="A1840" t="s">
        <v>18941</v>
      </c>
      <c r="B1840" t="s">
        <v>14360</v>
      </c>
    </row>
    <row r="1841" spans="1:2" x14ac:dyDescent="0.2">
      <c r="A1841" t="s">
        <v>18944</v>
      </c>
      <c r="B1841" t="s">
        <v>14360</v>
      </c>
    </row>
    <row r="1842" spans="1:2" x14ac:dyDescent="0.2">
      <c r="A1842" t="s">
        <v>20291</v>
      </c>
      <c r="B1842" t="s">
        <v>14360</v>
      </c>
    </row>
    <row r="1843" spans="1:2" x14ac:dyDescent="0.2">
      <c r="A1843" t="s">
        <v>20292</v>
      </c>
      <c r="B1843" t="s">
        <v>14360</v>
      </c>
    </row>
    <row r="1844" spans="1:2" x14ac:dyDescent="0.2">
      <c r="A1844" t="s">
        <v>20293</v>
      </c>
      <c r="B1844" t="s">
        <v>14360</v>
      </c>
    </row>
    <row r="1845" spans="1:2" x14ac:dyDescent="0.2">
      <c r="A1845" t="s">
        <v>20294</v>
      </c>
      <c r="B1845" t="s">
        <v>14360</v>
      </c>
    </row>
    <row r="1846" spans="1:2" x14ac:dyDescent="0.2">
      <c r="A1846" t="s">
        <v>18963</v>
      </c>
      <c r="B1846" t="s">
        <v>14360</v>
      </c>
    </row>
    <row r="1847" spans="1:2" x14ac:dyDescent="0.2">
      <c r="A1847" t="s">
        <v>20295</v>
      </c>
      <c r="B1847" t="s">
        <v>14360</v>
      </c>
    </row>
    <row r="1848" spans="1:2" x14ac:dyDescent="0.2">
      <c r="A1848" t="s">
        <v>20296</v>
      </c>
      <c r="B1848" t="s">
        <v>14360</v>
      </c>
    </row>
    <row r="1849" spans="1:2" x14ac:dyDescent="0.2">
      <c r="A1849" t="s">
        <v>20297</v>
      </c>
      <c r="B1849" t="s">
        <v>14360</v>
      </c>
    </row>
    <row r="1850" spans="1:2" x14ac:dyDescent="0.2">
      <c r="A1850" t="s">
        <v>20298</v>
      </c>
      <c r="B1850" t="s">
        <v>14360</v>
      </c>
    </row>
    <row r="1851" spans="1:2" x14ac:dyDescent="0.2">
      <c r="A1851" t="s">
        <v>18999</v>
      </c>
      <c r="B1851" t="s">
        <v>14360</v>
      </c>
    </row>
    <row r="1852" spans="1:2" x14ac:dyDescent="0.2">
      <c r="A1852" t="s">
        <v>20299</v>
      </c>
      <c r="B1852" t="s">
        <v>14360</v>
      </c>
    </row>
    <row r="1853" spans="1:2" x14ac:dyDescent="0.2">
      <c r="A1853" t="s">
        <v>20300</v>
      </c>
      <c r="B1853" t="s">
        <v>14360</v>
      </c>
    </row>
    <row r="1854" spans="1:2" x14ac:dyDescent="0.2">
      <c r="A1854" t="s">
        <v>20301</v>
      </c>
      <c r="B1854" t="s">
        <v>14360</v>
      </c>
    </row>
    <row r="1855" spans="1:2" x14ac:dyDescent="0.2">
      <c r="A1855" t="s">
        <v>20302</v>
      </c>
      <c r="B1855" t="s">
        <v>14360</v>
      </c>
    </row>
    <row r="1856" spans="1:2" x14ac:dyDescent="0.2">
      <c r="A1856" t="s">
        <v>20303</v>
      </c>
      <c r="B1856" t="s">
        <v>14360</v>
      </c>
    </row>
    <row r="1857" spans="1:2" x14ac:dyDescent="0.2">
      <c r="A1857" t="s">
        <v>20304</v>
      </c>
      <c r="B1857" t="s">
        <v>14360</v>
      </c>
    </row>
    <row r="1858" spans="1:2" x14ac:dyDescent="0.2">
      <c r="A1858" t="s">
        <v>20305</v>
      </c>
      <c r="B1858" t="s">
        <v>14360</v>
      </c>
    </row>
    <row r="1859" spans="1:2" x14ac:dyDescent="0.2">
      <c r="A1859" t="s">
        <v>20306</v>
      </c>
      <c r="B1859" t="s">
        <v>14360</v>
      </c>
    </row>
    <row r="1860" spans="1:2" x14ac:dyDescent="0.2">
      <c r="A1860" t="s">
        <v>20307</v>
      </c>
      <c r="B1860" t="s">
        <v>14360</v>
      </c>
    </row>
    <row r="1861" spans="1:2" x14ac:dyDescent="0.2">
      <c r="A1861" t="s">
        <v>20308</v>
      </c>
      <c r="B1861" t="s">
        <v>14360</v>
      </c>
    </row>
    <row r="1862" spans="1:2" x14ac:dyDescent="0.2">
      <c r="A1862" t="s">
        <v>20309</v>
      </c>
      <c r="B1862" t="s">
        <v>14360</v>
      </c>
    </row>
    <row r="1863" spans="1:2" x14ac:dyDescent="0.2">
      <c r="A1863" t="s">
        <v>20310</v>
      </c>
      <c r="B1863" t="s">
        <v>14360</v>
      </c>
    </row>
    <row r="1864" spans="1:2" x14ac:dyDescent="0.2">
      <c r="A1864" t="s">
        <v>20311</v>
      </c>
      <c r="B1864" t="s">
        <v>14360</v>
      </c>
    </row>
    <row r="1865" spans="1:2" x14ac:dyDescent="0.2">
      <c r="A1865" t="s">
        <v>20312</v>
      </c>
      <c r="B1865" t="s">
        <v>14360</v>
      </c>
    </row>
    <row r="1866" spans="1:2" x14ac:dyDescent="0.2">
      <c r="A1866" t="s">
        <v>20313</v>
      </c>
      <c r="B1866" t="s">
        <v>14360</v>
      </c>
    </row>
    <row r="1867" spans="1:2" x14ac:dyDescent="0.2">
      <c r="A1867" t="s">
        <v>20314</v>
      </c>
      <c r="B1867" t="s">
        <v>14360</v>
      </c>
    </row>
    <row r="1868" spans="1:2" x14ac:dyDescent="0.2">
      <c r="A1868" t="s">
        <v>20315</v>
      </c>
      <c r="B1868" t="s">
        <v>14360</v>
      </c>
    </row>
    <row r="1869" spans="1:2" x14ac:dyDescent="0.2">
      <c r="A1869" t="s">
        <v>20316</v>
      </c>
      <c r="B1869" t="s">
        <v>14360</v>
      </c>
    </row>
    <row r="1870" spans="1:2" x14ac:dyDescent="0.2">
      <c r="A1870" t="s">
        <v>20317</v>
      </c>
      <c r="B1870" t="s">
        <v>14360</v>
      </c>
    </row>
    <row r="1871" spans="1:2" x14ac:dyDescent="0.2">
      <c r="A1871" t="s">
        <v>20318</v>
      </c>
      <c r="B1871" t="s">
        <v>14360</v>
      </c>
    </row>
    <row r="1872" spans="1:2" x14ac:dyDescent="0.2">
      <c r="A1872" t="s">
        <v>20319</v>
      </c>
      <c r="B1872" t="s">
        <v>20649</v>
      </c>
    </row>
    <row r="1873" spans="1:2" x14ac:dyDescent="0.2">
      <c r="A1873" t="s">
        <v>20320</v>
      </c>
      <c r="B1873" t="s">
        <v>20686</v>
      </c>
    </row>
  </sheetData>
  <conditionalFormatting sqref="A1:A1048576">
    <cfRule type="containsBlanks" dxfId="15" priority="1">
      <formula>LEN(TRIM(A1))=0</formula>
    </cfRule>
    <cfRule type="duplicateValues" dxfId="14" priority="2"/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4772CC-8FCD-234A-A15D-65713B4587A7}">
  <dimension ref="A1:I1873"/>
  <sheetViews>
    <sheetView topLeftCell="A633" workbookViewId="0">
      <selection activeCell="A657" sqref="A657"/>
    </sheetView>
  </sheetViews>
  <sheetFormatPr baseColWidth="10" defaultRowHeight="16" x14ac:dyDescent="0.2"/>
  <cols>
    <col min="1" max="1" width="20" bestFit="1" customWidth="1"/>
    <col min="2" max="2" width="15" customWidth="1"/>
    <col min="3" max="3" width="69.33203125" bestFit="1" customWidth="1"/>
    <col min="4" max="5" width="35" customWidth="1"/>
    <col min="6" max="6" width="12" bestFit="1" customWidth="1"/>
    <col min="7" max="7" width="18.5" bestFit="1" customWidth="1"/>
    <col min="8" max="8" width="19.6640625" bestFit="1" customWidth="1"/>
  </cols>
  <sheetData>
    <row r="1" spans="1:9" x14ac:dyDescent="0.2">
      <c r="A1" s="2" t="s">
        <v>13424</v>
      </c>
      <c r="B1" s="2" t="s">
        <v>11311</v>
      </c>
      <c r="C1" s="2" t="s">
        <v>10555</v>
      </c>
      <c r="D1" s="2" t="s">
        <v>20740</v>
      </c>
      <c r="E1" s="2"/>
      <c r="F1" t="s">
        <v>20696</v>
      </c>
      <c r="G1" t="s">
        <v>20697</v>
      </c>
      <c r="I1" t="s">
        <v>20741</v>
      </c>
    </row>
    <row r="2" spans="1:9" x14ac:dyDescent="0.2">
      <c r="A2" t="s">
        <v>1608</v>
      </c>
      <c r="B2" t="s">
        <v>14359</v>
      </c>
      <c r="C2" t="s">
        <v>7429</v>
      </c>
      <c r="D2" t="s">
        <v>14360</v>
      </c>
      <c r="F2" t="s">
        <v>20698</v>
      </c>
      <c r="G2" t="s">
        <v>19</v>
      </c>
      <c r="H2" t="s">
        <v>21</v>
      </c>
      <c r="I2" t="s">
        <v>13</v>
      </c>
    </row>
    <row r="3" spans="1:9" x14ac:dyDescent="0.2">
      <c r="A3" t="s">
        <v>14086</v>
      </c>
      <c r="B3" t="s">
        <v>14359</v>
      </c>
      <c r="C3" t="s">
        <v>10153</v>
      </c>
      <c r="D3" t="s">
        <v>14360</v>
      </c>
      <c r="F3" t="s">
        <v>20699</v>
      </c>
      <c r="G3" t="s">
        <v>15</v>
      </c>
      <c r="H3" t="s">
        <v>17</v>
      </c>
      <c r="I3" t="s">
        <v>13</v>
      </c>
    </row>
    <row r="4" spans="1:9" x14ac:dyDescent="0.2">
      <c r="A4" t="s">
        <v>2232</v>
      </c>
      <c r="B4" t="s">
        <v>14359</v>
      </c>
      <c r="C4" t="s">
        <v>9795</v>
      </c>
      <c r="D4" t="s">
        <v>14360</v>
      </c>
      <c r="F4" t="s">
        <v>22</v>
      </c>
      <c r="G4" t="s">
        <v>23</v>
      </c>
      <c r="H4" t="s">
        <v>25</v>
      </c>
      <c r="I4" t="s">
        <v>13</v>
      </c>
    </row>
    <row r="5" spans="1:9" x14ac:dyDescent="0.2">
      <c r="A5" t="s">
        <v>2115</v>
      </c>
      <c r="B5" t="s">
        <v>14359</v>
      </c>
      <c r="C5" t="s">
        <v>9559</v>
      </c>
      <c r="D5" t="s">
        <v>14360</v>
      </c>
      <c r="F5" t="s">
        <v>10732</v>
      </c>
      <c r="G5" t="s">
        <v>27</v>
      </c>
      <c r="H5" t="s">
        <v>29</v>
      </c>
      <c r="I5" t="s">
        <v>30</v>
      </c>
    </row>
    <row r="6" spans="1:9" x14ac:dyDescent="0.2">
      <c r="A6" t="s">
        <v>1690</v>
      </c>
      <c r="B6" t="s">
        <v>14359</v>
      </c>
      <c r="C6" t="s">
        <v>8001</v>
      </c>
      <c r="D6" t="s">
        <v>14360</v>
      </c>
      <c r="F6" t="s">
        <v>20700</v>
      </c>
      <c r="G6" t="s">
        <v>32</v>
      </c>
      <c r="H6" t="s">
        <v>34</v>
      </c>
      <c r="I6" t="s">
        <v>35</v>
      </c>
    </row>
    <row r="7" spans="1:9" x14ac:dyDescent="0.2">
      <c r="A7" t="s">
        <v>1992</v>
      </c>
      <c r="B7" t="s">
        <v>14359</v>
      </c>
      <c r="C7" t="s">
        <v>9166</v>
      </c>
      <c r="D7" t="s">
        <v>14360</v>
      </c>
      <c r="F7" t="s">
        <v>10674</v>
      </c>
      <c r="G7" t="s">
        <v>11201</v>
      </c>
      <c r="H7" t="s">
        <v>39</v>
      </c>
      <c r="I7" t="s">
        <v>41</v>
      </c>
    </row>
    <row r="8" spans="1:9" x14ac:dyDescent="0.2">
      <c r="A8" t="s">
        <v>1756</v>
      </c>
      <c r="B8" t="s">
        <v>14359</v>
      </c>
      <c r="C8" t="s">
        <v>19387</v>
      </c>
      <c r="D8" t="s">
        <v>14360</v>
      </c>
      <c r="F8" t="s">
        <v>10672</v>
      </c>
      <c r="G8" t="s">
        <v>11243</v>
      </c>
      <c r="H8" t="s">
        <v>45</v>
      </c>
      <c r="I8" t="s">
        <v>41</v>
      </c>
    </row>
    <row r="9" spans="1:9" x14ac:dyDescent="0.2">
      <c r="A9" t="s">
        <v>1922</v>
      </c>
      <c r="B9" t="s">
        <v>14359</v>
      </c>
      <c r="C9" t="s">
        <v>19445</v>
      </c>
      <c r="D9" t="s">
        <v>14360</v>
      </c>
      <c r="F9" t="s">
        <v>20701</v>
      </c>
      <c r="G9" t="s">
        <v>11276</v>
      </c>
      <c r="H9" t="s">
        <v>49</v>
      </c>
      <c r="I9" t="s">
        <v>41</v>
      </c>
    </row>
    <row r="10" spans="1:9" x14ac:dyDescent="0.2">
      <c r="A10" t="s">
        <v>1914</v>
      </c>
      <c r="B10" t="s">
        <v>14359</v>
      </c>
      <c r="C10" t="s">
        <v>19442</v>
      </c>
      <c r="D10" t="s">
        <v>14360</v>
      </c>
      <c r="F10" t="s">
        <v>20702</v>
      </c>
      <c r="G10" t="s">
        <v>10</v>
      </c>
      <c r="H10" t="s">
        <v>12</v>
      </c>
      <c r="I10" t="s">
        <v>13</v>
      </c>
    </row>
    <row r="11" spans="1:9" x14ac:dyDescent="0.2">
      <c r="A11" t="s">
        <v>1938</v>
      </c>
      <c r="B11" t="s">
        <v>14359</v>
      </c>
      <c r="C11" t="s">
        <v>19453</v>
      </c>
      <c r="D11" t="s">
        <v>14360</v>
      </c>
      <c r="F11" t="s">
        <v>10665</v>
      </c>
      <c r="G11" t="s">
        <v>830</v>
      </c>
      <c r="H11" t="s">
        <v>829</v>
      </c>
      <c r="I11" t="s">
        <v>656</v>
      </c>
    </row>
    <row r="12" spans="1:9" x14ac:dyDescent="0.2">
      <c r="A12" t="s">
        <v>1967</v>
      </c>
      <c r="B12" t="s">
        <v>14359</v>
      </c>
      <c r="C12" t="s">
        <v>19466</v>
      </c>
      <c r="D12" t="s">
        <v>14360</v>
      </c>
      <c r="F12" t="s">
        <v>20703</v>
      </c>
      <c r="G12" t="s">
        <v>338</v>
      </c>
      <c r="H12" t="s">
        <v>340</v>
      </c>
      <c r="I12" t="s">
        <v>341</v>
      </c>
    </row>
    <row r="13" spans="1:9" x14ac:dyDescent="0.2">
      <c r="A13" t="s">
        <v>1932</v>
      </c>
      <c r="B13" t="s">
        <v>14359</v>
      </c>
      <c r="C13" t="s">
        <v>19450</v>
      </c>
      <c r="D13" t="s">
        <v>14360</v>
      </c>
      <c r="F13" t="s">
        <v>20704</v>
      </c>
      <c r="G13" t="s">
        <v>10570</v>
      </c>
      <c r="H13" t="s">
        <v>344</v>
      </c>
      <c r="I13" t="s">
        <v>346</v>
      </c>
    </row>
    <row r="14" spans="1:9" x14ac:dyDescent="0.2">
      <c r="A14" t="s">
        <v>1940</v>
      </c>
      <c r="B14" t="s">
        <v>14359</v>
      </c>
      <c r="C14" t="s">
        <v>19454</v>
      </c>
      <c r="D14" t="s">
        <v>14360</v>
      </c>
      <c r="F14" t="s">
        <v>20705</v>
      </c>
      <c r="G14" t="s">
        <v>418</v>
      </c>
      <c r="H14" t="s">
        <v>420</v>
      </c>
      <c r="I14" t="s">
        <v>35</v>
      </c>
    </row>
    <row r="15" spans="1:9" x14ac:dyDescent="0.2">
      <c r="A15" t="s">
        <v>1957</v>
      </c>
      <c r="B15" t="s">
        <v>14359</v>
      </c>
      <c r="C15" t="s">
        <v>19461</v>
      </c>
      <c r="D15" t="s">
        <v>14360</v>
      </c>
      <c r="F15" t="s">
        <v>10702</v>
      </c>
      <c r="G15" t="s">
        <v>19859</v>
      </c>
      <c r="H15" t="s">
        <v>430</v>
      </c>
      <c r="I15" t="s">
        <v>426</v>
      </c>
    </row>
    <row r="16" spans="1:9" x14ac:dyDescent="0.2">
      <c r="A16" t="s">
        <v>1983</v>
      </c>
      <c r="B16" t="s">
        <v>14359</v>
      </c>
      <c r="C16" t="s">
        <v>19474</v>
      </c>
      <c r="D16" t="s">
        <v>14360</v>
      </c>
      <c r="F16" t="s">
        <v>20706</v>
      </c>
      <c r="G16" t="s">
        <v>10724</v>
      </c>
      <c r="H16" t="s">
        <v>435</v>
      </c>
      <c r="I16" t="s">
        <v>437</v>
      </c>
    </row>
    <row r="17" spans="1:9" x14ac:dyDescent="0.2">
      <c r="A17" t="s">
        <v>1630</v>
      </c>
      <c r="B17" t="s">
        <v>14359</v>
      </c>
      <c r="C17" t="s">
        <v>19346</v>
      </c>
      <c r="D17" t="s">
        <v>14360</v>
      </c>
      <c r="F17" t="s">
        <v>20707</v>
      </c>
      <c r="G17" t="s">
        <v>10686</v>
      </c>
      <c r="H17" t="s">
        <v>628</v>
      </c>
      <c r="I17" t="s">
        <v>426</v>
      </c>
    </row>
    <row r="18" spans="1:9" x14ac:dyDescent="0.2">
      <c r="A18" t="s">
        <v>1644</v>
      </c>
      <c r="B18" t="s">
        <v>14359</v>
      </c>
      <c r="C18" t="s">
        <v>19352</v>
      </c>
      <c r="D18" t="s">
        <v>14360</v>
      </c>
      <c r="F18" t="s">
        <v>20708</v>
      </c>
      <c r="G18" t="s">
        <v>10706</v>
      </c>
      <c r="H18" t="s">
        <v>633</v>
      </c>
      <c r="I18" t="s">
        <v>437</v>
      </c>
    </row>
    <row r="19" spans="1:9" x14ac:dyDescent="0.2">
      <c r="A19" t="s">
        <v>1934</v>
      </c>
      <c r="B19" t="s">
        <v>14359</v>
      </c>
      <c r="C19" t="s">
        <v>19451</v>
      </c>
      <c r="D19" t="s">
        <v>14360</v>
      </c>
      <c r="F19" t="s">
        <v>20709</v>
      </c>
      <c r="G19" t="s">
        <v>10689</v>
      </c>
      <c r="H19" t="s">
        <v>637</v>
      </c>
      <c r="I19" t="s">
        <v>426</v>
      </c>
    </row>
    <row r="20" spans="1:9" x14ac:dyDescent="0.2">
      <c r="A20" t="s">
        <v>1969</v>
      </c>
      <c r="B20" t="s">
        <v>14359</v>
      </c>
      <c r="C20" t="s">
        <v>19467</v>
      </c>
      <c r="D20" t="s">
        <v>14360</v>
      </c>
      <c r="F20" t="s">
        <v>20710</v>
      </c>
      <c r="G20" t="s">
        <v>10709</v>
      </c>
      <c r="H20" t="s">
        <v>646</v>
      </c>
      <c r="I20" t="s">
        <v>437</v>
      </c>
    </row>
    <row r="21" spans="1:9" x14ac:dyDescent="0.2">
      <c r="A21" t="s">
        <v>1906</v>
      </c>
      <c r="B21" t="s">
        <v>14359</v>
      </c>
      <c r="C21" t="s">
        <v>19439</v>
      </c>
      <c r="D21" t="s">
        <v>14360</v>
      </c>
      <c r="F21" t="s">
        <v>20711</v>
      </c>
      <c r="G21" t="s">
        <v>10730</v>
      </c>
      <c r="H21" t="s">
        <v>641</v>
      </c>
      <c r="I21" t="s">
        <v>437</v>
      </c>
    </row>
    <row r="22" spans="1:9" x14ac:dyDescent="0.2">
      <c r="A22" t="s">
        <v>1652</v>
      </c>
      <c r="B22" t="s">
        <v>14359</v>
      </c>
      <c r="C22" t="s">
        <v>19355</v>
      </c>
      <c r="D22" t="s">
        <v>14360</v>
      </c>
      <c r="F22" t="s">
        <v>20712</v>
      </c>
      <c r="G22" t="s">
        <v>564</v>
      </c>
      <c r="H22" t="s">
        <v>566</v>
      </c>
      <c r="I22" t="s">
        <v>341</v>
      </c>
    </row>
    <row r="23" spans="1:9" x14ac:dyDescent="0.2">
      <c r="A23" t="s">
        <v>14212</v>
      </c>
      <c r="B23" t="s">
        <v>14359</v>
      </c>
      <c r="C23" t="s">
        <v>11356</v>
      </c>
      <c r="D23" t="s">
        <v>14360</v>
      </c>
      <c r="F23" t="s">
        <v>10734</v>
      </c>
      <c r="G23" t="s">
        <v>568</v>
      </c>
      <c r="H23" t="s">
        <v>570</v>
      </c>
      <c r="I23" t="s">
        <v>30</v>
      </c>
    </row>
    <row r="24" spans="1:9" x14ac:dyDescent="0.2">
      <c r="A24" t="s">
        <v>1413</v>
      </c>
      <c r="B24" t="s">
        <v>14359</v>
      </c>
      <c r="C24" t="s">
        <v>19280</v>
      </c>
      <c r="D24" t="s">
        <v>14360</v>
      </c>
      <c r="F24" t="s">
        <v>10736</v>
      </c>
      <c r="G24" t="s">
        <v>572</v>
      </c>
      <c r="H24" t="s">
        <v>574</v>
      </c>
      <c r="I24" t="s">
        <v>30</v>
      </c>
    </row>
    <row r="25" spans="1:9" x14ac:dyDescent="0.2">
      <c r="A25" t="s">
        <v>1419</v>
      </c>
      <c r="B25" t="s">
        <v>14359</v>
      </c>
      <c r="C25" t="s">
        <v>19283</v>
      </c>
      <c r="D25" t="s">
        <v>14360</v>
      </c>
      <c r="F25" t="s">
        <v>20713</v>
      </c>
      <c r="G25" t="s">
        <v>579</v>
      </c>
      <c r="H25" t="s">
        <v>578</v>
      </c>
      <c r="I25" t="s">
        <v>580</v>
      </c>
    </row>
    <row r="26" spans="1:9" x14ac:dyDescent="0.2">
      <c r="A26" t="s">
        <v>13854</v>
      </c>
      <c r="B26" t="s">
        <v>14359</v>
      </c>
      <c r="C26" t="s">
        <v>6821</v>
      </c>
      <c r="D26" t="s">
        <v>14360</v>
      </c>
      <c r="F26" t="s">
        <v>10575</v>
      </c>
      <c r="G26" t="s">
        <v>11194</v>
      </c>
      <c r="H26" t="s">
        <v>583</v>
      </c>
      <c r="I26" t="s">
        <v>346</v>
      </c>
    </row>
    <row r="27" spans="1:9" x14ac:dyDescent="0.2">
      <c r="A27" t="s">
        <v>1382</v>
      </c>
      <c r="B27" t="s">
        <v>14359</v>
      </c>
      <c r="C27" t="s">
        <v>6453</v>
      </c>
      <c r="D27" t="s">
        <v>14360</v>
      </c>
      <c r="F27" t="s">
        <v>10611</v>
      </c>
      <c r="G27" t="s">
        <v>10612</v>
      </c>
      <c r="H27" t="s">
        <v>218</v>
      </c>
      <c r="I27" t="s">
        <v>220</v>
      </c>
    </row>
    <row r="28" spans="1:9" x14ac:dyDescent="0.2">
      <c r="A28" t="s">
        <v>13989</v>
      </c>
      <c r="B28" t="s">
        <v>14359</v>
      </c>
      <c r="C28" t="s">
        <v>9381</v>
      </c>
      <c r="D28" t="s">
        <v>14360</v>
      </c>
      <c r="F28" t="s">
        <v>20714</v>
      </c>
      <c r="G28" t="s">
        <v>20715</v>
      </c>
      <c r="H28" t="s">
        <v>54</v>
      </c>
      <c r="I28" t="s">
        <v>56</v>
      </c>
    </row>
    <row r="29" spans="1:9" x14ac:dyDescent="0.2">
      <c r="A29" t="s">
        <v>1776</v>
      </c>
      <c r="B29" t="s">
        <v>14359</v>
      </c>
      <c r="C29" t="s">
        <v>8470</v>
      </c>
      <c r="D29" t="s">
        <v>14360</v>
      </c>
      <c r="F29" t="s">
        <v>10623</v>
      </c>
      <c r="G29" t="s">
        <v>10624</v>
      </c>
      <c r="H29" t="s">
        <v>445</v>
      </c>
      <c r="I29" t="s">
        <v>442</v>
      </c>
    </row>
    <row r="30" spans="1:9" x14ac:dyDescent="0.2">
      <c r="A30" t="s">
        <v>13843</v>
      </c>
      <c r="B30" t="s">
        <v>14359</v>
      </c>
      <c r="C30" t="s">
        <v>6525</v>
      </c>
      <c r="D30" t="s">
        <v>14360</v>
      </c>
      <c r="F30" t="s">
        <v>10635</v>
      </c>
      <c r="G30" t="s">
        <v>10636</v>
      </c>
      <c r="H30" t="s">
        <v>860</v>
      </c>
      <c r="I30" t="s">
        <v>857</v>
      </c>
    </row>
    <row r="31" spans="1:9" x14ac:dyDescent="0.2">
      <c r="A31" t="s">
        <v>13938</v>
      </c>
      <c r="B31" t="s">
        <v>14359</v>
      </c>
      <c r="C31" t="s">
        <v>8298</v>
      </c>
      <c r="D31" t="s">
        <v>14360</v>
      </c>
      <c r="F31" t="s">
        <v>10647</v>
      </c>
      <c r="G31" t="s">
        <v>10648</v>
      </c>
      <c r="H31" t="s">
        <v>354</v>
      </c>
      <c r="I31" t="s">
        <v>356</v>
      </c>
    </row>
    <row r="32" spans="1:9" x14ac:dyDescent="0.2">
      <c r="A32" t="s">
        <v>13882</v>
      </c>
      <c r="B32" t="s">
        <v>14359</v>
      </c>
      <c r="C32" t="s">
        <v>7451</v>
      </c>
      <c r="D32" t="s">
        <v>14360</v>
      </c>
      <c r="F32" t="s">
        <v>10599</v>
      </c>
      <c r="G32" t="s">
        <v>10600</v>
      </c>
      <c r="H32" t="s">
        <v>669</v>
      </c>
      <c r="I32" t="s">
        <v>665</v>
      </c>
    </row>
    <row r="33" spans="1:9" x14ac:dyDescent="0.2">
      <c r="A33" t="s">
        <v>1623</v>
      </c>
      <c r="B33" t="s">
        <v>14359</v>
      </c>
      <c r="C33" t="s">
        <v>7717</v>
      </c>
      <c r="D33" t="s">
        <v>14360</v>
      </c>
      <c r="F33" t="s">
        <v>10587</v>
      </c>
      <c r="G33" t="s">
        <v>11272</v>
      </c>
      <c r="H33" t="s">
        <v>943</v>
      </c>
      <c r="I33" t="s">
        <v>935</v>
      </c>
    </row>
    <row r="34" spans="1:9" x14ac:dyDescent="0.2">
      <c r="A34" t="s">
        <v>1740</v>
      </c>
      <c r="B34" t="s">
        <v>14359</v>
      </c>
      <c r="C34" t="s">
        <v>19381</v>
      </c>
      <c r="D34" t="s">
        <v>14360</v>
      </c>
      <c r="F34" t="s">
        <v>10738</v>
      </c>
      <c r="G34" t="s">
        <v>586</v>
      </c>
      <c r="H34" t="s">
        <v>588</v>
      </c>
      <c r="I34" t="s">
        <v>30</v>
      </c>
    </row>
    <row r="35" spans="1:9" x14ac:dyDescent="0.2">
      <c r="A35" t="s">
        <v>13841</v>
      </c>
      <c r="B35" t="s">
        <v>14359</v>
      </c>
      <c r="C35" t="s">
        <v>6461</v>
      </c>
      <c r="D35" t="s">
        <v>14360</v>
      </c>
      <c r="F35" t="s">
        <v>10866</v>
      </c>
      <c r="G35" t="s">
        <v>11161</v>
      </c>
      <c r="H35" t="s">
        <v>77</v>
      </c>
      <c r="I35" t="s">
        <v>20742</v>
      </c>
    </row>
    <row r="36" spans="1:9" x14ac:dyDescent="0.2">
      <c r="A36" t="s">
        <v>1963</v>
      </c>
      <c r="B36" t="s">
        <v>14359</v>
      </c>
      <c r="C36" t="s">
        <v>19464</v>
      </c>
      <c r="D36" t="s">
        <v>14360</v>
      </c>
      <c r="F36" t="s">
        <v>10868</v>
      </c>
      <c r="G36" t="s">
        <v>11179</v>
      </c>
      <c r="H36" t="s">
        <v>224</v>
      </c>
      <c r="I36" t="s">
        <v>20742</v>
      </c>
    </row>
    <row r="37" spans="1:9" x14ac:dyDescent="0.2">
      <c r="A37" t="s">
        <v>13972</v>
      </c>
      <c r="B37" t="s">
        <v>14359</v>
      </c>
      <c r="C37" t="s">
        <v>9114</v>
      </c>
      <c r="D37" t="s">
        <v>14360</v>
      </c>
      <c r="F37" t="s">
        <v>11041</v>
      </c>
      <c r="G37" t="s">
        <v>13584</v>
      </c>
      <c r="H37" t="s">
        <v>288</v>
      </c>
      <c r="I37" t="s">
        <v>150</v>
      </c>
    </row>
    <row r="38" spans="1:9" x14ac:dyDescent="0.2">
      <c r="A38" t="s">
        <v>2005</v>
      </c>
      <c r="B38" t="s">
        <v>14359</v>
      </c>
      <c r="C38" t="s">
        <v>19484</v>
      </c>
      <c r="D38" t="s">
        <v>14360</v>
      </c>
      <c r="F38" t="s">
        <v>11039</v>
      </c>
      <c r="G38" t="s">
        <v>13507</v>
      </c>
      <c r="H38" t="s">
        <v>149</v>
      </c>
      <c r="I38" t="s">
        <v>150</v>
      </c>
    </row>
    <row r="39" spans="1:9" x14ac:dyDescent="0.2">
      <c r="A39" t="s">
        <v>14213</v>
      </c>
      <c r="B39" t="s">
        <v>14359</v>
      </c>
      <c r="C39" t="s">
        <v>11388</v>
      </c>
      <c r="D39" t="s">
        <v>14360</v>
      </c>
      <c r="F39" t="s">
        <v>10870</v>
      </c>
      <c r="G39" t="s">
        <v>11140</v>
      </c>
      <c r="H39" t="s">
        <v>450</v>
      </c>
      <c r="I39" t="s">
        <v>20742</v>
      </c>
    </row>
    <row r="40" spans="1:9" x14ac:dyDescent="0.2">
      <c r="A40" t="s">
        <v>1328</v>
      </c>
      <c r="B40" t="s">
        <v>14359</v>
      </c>
      <c r="C40" t="s">
        <v>6318</v>
      </c>
      <c r="D40" t="s">
        <v>14360</v>
      </c>
      <c r="F40" t="s">
        <v>11043</v>
      </c>
      <c r="G40" t="s">
        <v>13451</v>
      </c>
      <c r="H40" t="s">
        <v>514</v>
      </c>
      <c r="I40" t="s">
        <v>150</v>
      </c>
    </row>
    <row r="41" spans="1:9" x14ac:dyDescent="0.2">
      <c r="A41" t="s">
        <v>1423</v>
      </c>
      <c r="B41" t="s">
        <v>14359</v>
      </c>
      <c r="C41" t="s">
        <v>19284</v>
      </c>
      <c r="D41" t="s">
        <v>14360</v>
      </c>
      <c r="F41" t="s">
        <v>10862</v>
      </c>
      <c r="G41" t="s">
        <v>11178</v>
      </c>
      <c r="H41" t="s">
        <v>865</v>
      </c>
      <c r="I41" t="s">
        <v>20742</v>
      </c>
    </row>
    <row r="42" spans="1:9" x14ac:dyDescent="0.2">
      <c r="A42" t="s">
        <v>1965</v>
      </c>
      <c r="B42" t="s">
        <v>14359</v>
      </c>
      <c r="C42" t="s">
        <v>19465</v>
      </c>
      <c r="D42" t="s">
        <v>14360</v>
      </c>
      <c r="F42" t="s">
        <v>10860</v>
      </c>
      <c r="G42" t="s">
        <v>11184</v>
      </c>
      <c r="H42" t="s">
        <v>360</v>
      </c>
      <c r="I42" t="s">
        <v>20742</v>
      </c>
    </row>
    <row r="43" spans="1:9" x14ac:dyDescent="0.2">
      <c r="A43" t="s">
        <v>1479</v>
      </c>
      <c r="B43" t="s">
        <v>14359</v>
      </c>
      <c r="C43" t="s">
        <v>19307</v>
      </c>
      <c r="D43" t="s">
        <v>14360</v>
      </c>
      <c r="F43" t="s">
        <v>10864</v>
      </c>
      <c r="G43" t="s">
        <v>11150</v>
      </c>
      <c r="H43" t="s">
        <v>672</v>
      </c>
      <c r="I43" t="s">
        <v>20742</v>
      </c>
    </row>
    <row r="44" spans="1:9" x14ac:dyDescent="0.2">
      <c r="A44" t="s">
        <v>1215</v>
      </c>
      <c r="B44" t="s">
        <v>14359</v>
      </c>
      <c r="C44" t="s">
        <v>5742</v>
      </c>
      <c r="D44" t="s">
        <v>14360</v>
      </c>
      <c r="F44" t="s">
        <v>11037</v>
      </c>
      <c r="G44" t="s">
        <v>13681</v>
      </c>
      <c r="H44" t="s">
        <v>734</v>
      </c>
      <c r="I44" t="s">
        <v>150</v>
      </c>
    </row>
    <row r="45" spans="1:9" x14ac:dyDescent="0.2">
      <c r="A45" t="s">
        <v>1278</v>
      </c>
      <c r="B45" t="s">
        <v>14359</v>
      </c>
      <c r="C45" t="s">
        <v>5968</v>
      </c>
      <c r="D45" t="s">
        <v>14360</v>
      </c>
      <c r="F45" t="s">
        <v>10872</v>
      </c>
      <c r="G45" t="s">
        <v>11271</v>
      </c>
      <c r="H45" t="s">
        <v>948</v>
      </c>
      <c r="I45" t="s">
        <v>20742</v>
      </c>
    </row>
    <row r="46" spans="1:9" x14ac:dyDescent="0.2">
      <c r="A46" t="s">
        <v>13902</v>
      </c>
      <c r="B46" t="s">
        <v>14359</v>
      </c>
      <c r="C46" t="s">
        <v>7731</v>
      </c>
      <c r="D46" t="s">
        <v>14360</v>
      </c>
      <c r="F46" t="s">
        <v>11045</v>
      </c>
      <c r="G46" t="s">
        <v>13449</v>
      </c>
      <c r="H46" t="s">
        <v>1019</v>
      </c>
      <c r="I46" t="s">
        <v>150</v>
      </c>
    </row>
    <row r="47" spans="1:9" x14ac:dyDescent="0.2">
      <c r="A47" t="s">
        <v>14085</v>
      </c>
      <c r="B47" t="s">
        <v>14359</v>
      </c>
      <c r="C47" t="s">
        <v>10148</v>
      </c>
      <c r="D47" t="s">
        <v>14360</v>
      </c>
      <c r="F47" t="s">
        <v>10743</v>
      </c>
      <c r="G47" t="s">
        <v>590</v>
      </c>
      <c r="H47" t="s">
        <v>592</v>
      </c>
      <c r="I47" t="s">
        <v>593</v>
      </c>
    </row>
    <row r="48" spans="1:9" x14ac:dyDescent="0.2">
      <c r="A48" t="s">
        <v>1229</v>
      </c>
      <c r="B48" t="s">
        <v>14359</v>
      </c>
      <c r="C48" t="s">
        <v>5749</v>
      </c>
      <c r="D48" t="s">
        <v>14360</v>
      </c>
      <c r="F48" t="s">
        <v>10699</v>
      </c>
      <c r="G48" t="s">
        <v>11218</v>
      </c>
      <c r="H48" t="s">
        <v>609</v>
      </c>
      <c r="I48" t="s">
        <v>426</v>
      </c>
    </row>
    <row r="49" spans="1:9" x14ac:dyDescent="0.2">
      <c r="A49" t="s">
        <v>2569</v>
      </c>
      <c r="B49" t="s">
        <v>14359</v>
      </c>
      <c r="C49" t="s">
        <v>3452</v>
      </c>
      <c r="D49" t="s">
        <v>14360</v>
      </c>
      <c r="F49" t="s">
        <v>20716</v>
      </c>
      <c r="G49" t="s">
        <v>10721</v>
      </c>
      <c r="H49" t="s">
        <v>614</v>
      </c>
      <c r="I49" t="s">
        <v>437</v>
      </c>
    </row>
    <row r="50" spans="1:9" x14ac:dyDescent="0.2">
      <c r="A50" t="s">
        <v>13839</v>
      </c>
      <c r="B50" t="s">
        <v>14359</v>
      </c>
      <c r="C50" t="s">
        <v>6357</v>
      </c>
      <c r="D50" t="s">
        <v>14360</v>
      </c>
      <c r="F50" t="s">
        <v>20717</v>
      </c>
      <c r="G50" t="s">
        <v>595</v>
      </c>
      <c r="H50" t="s">
        <v>597</v>
      </c>
      <c r="I50" t="s">
        <v>341</v>
      </c>
    </row>
    <row r="51" spans="1:9" x14ac:dyDescent="0.2">
      <c r="A51" t="s">
        <v>1368</v>
      </c>
      <c r="B51" t="s">
        <v>14359</v>
      </c>
      <c r="C51" t="s">
        <v>6381</v>
      </c>
      <c r="D51" t="s">
        <v>14360</v>
      </c>
      <c r="F51" t="s">
        <v>10745</v>
      </c>
      <c r="G51" t="s">
        <v>603</v>
      </c>
      <c r="H51" t="s">
        <v>605</v>
      </c>
      <c r="I51" t="s">
        <v>593</v>
      </c>
    </row>
    <row r="52" spans="1:9" x14ac:dyDescent="0.2">
      <c r="A52" t="s">
        <v>1973</v>
      </c>
      <c r="B52" t="s">
        <v>14359</v>
      </c>
      <c r="C52" t="s">
        <v>19469</v>
      </c>
      <c r="D52" t="s">
        <v>14360</v>
      </c>
      <c r="F52" t="s">
        <v>10936</v>
      </c>
      <c r="G52" t="s">
        <v>11148</v>
      </c>
      <c r="H52" t="s">
        <v>82</v>
      </c>
      <c r="I52" t="s">
        <v>20743</v>
      </c>
    </row>
    <row r="53" spans="1:9" x14ac:dyDescent="0.2">
      <c r="A53" t="s">
        <v>1157</v>
      </c>
      <c r="B53" t="s">
        <v>14359</v>
      </c>
      <c r="C53" t="s">
        <v>19196</v>
      </c>
      <c r="D53" t="s">
        <v>14360</v>
      </c>
      <c r="F53" t="s">
        <v>10938</v>
      </c>
      <c r="G53" t="s">
        <v>11152</v>
      </c>
      <c r="H53" t="s">
        <v>228</v>
      </c>
      <c r="I53" t="s">
        <v>20743</v>
      </c>
    </row>
    <row r="54" spans="1:9" x14ac:dyDescent="0.2">
      <c r="A54" t="s">
        <v>13851</v>
      </c>
      <c r="B54" t="s">
        <v>14359</v>
      </c>
      <c r="C54" t="s">
        <v>6784</v>
      </c>
      <c r="D54" t="s">
        <v>14360</v>
      </c>
      <c r="F54" t="s">
        <v>11091</v>
      </c>
      <c r="G54" t="s">
        <v>13598</v>
      </c>
      <c r="H54" t="s">
        <v>292</v>
      </c>
      <c r="I54" t="s">
        <v>155</v>
      </c>
    </row>
    <row r="55" spans="1:9" x14ac:dyDescent="0.2">
      <c r="A55" t="s">
        <v>1975</v>
      </c>
      <c r="B55" t="s">
        <v>14359</v>
      </c>
      <c r="C55" t="s">
        <v>19470</v>
      </c>
      <c r="D55" t="s">
        <v>14360</v>
      </c>
      <c r="F55" t="s">
        <v>11089</v>
      </c>
      <c r="G55" t="s">
        <v>13566</v>
      </c>
      <c r="H55" t="s">
        <v>154</v>
      </c>
      <c r="I55" t="s">
        <v>155</v>
      </c>
    </row>
    <row r="56" spans="1:9" x14ac:dyDescent="0.2">
      <c r="A56" t="s">
        <v>1979</v>
      </c>
      <c r="B56" t="s">
        <v>14359</v>
      </c>
      <c r="C56" t="s">
        <v>19472</v>
      </c>
      <c r="D56" t="s">
        <v>14360</v>
      </c>
      <c r="F56" t="s">
        <v>10940</v>
      </c>
      <c r="G56" t="s">
        <v>11141</v>
      </c>
      <c r="H56" t="s">
        <v>454</v>
      </c>
      <c r="I56" t="s">
        <v>20743</v>
      </c>
    </row>
    <row r="57" spans="1:9" x14ac:dyDescent="0.2">
      <c r="A57" t="s">
        <v>13971</v>
      </c>
      <c r="B57" t="s">
        <v>14359</v>
      </c>
      <c r="C57" t="s">
        <v>9108</v>
      </c>
      <c r="D57" t="s">
        <v>14360</v>
      </c>
      <c r="F57" t="s">
        <v>11093</v>
      </c>
      <c r="G57" t="s">
        <v>13516</v>
      </c>
      <c r="H57" t="s">
        <v>518</v>
      </c>
      <c r="I57" t="s">
        <v>155</v>
      </c>
    </row>
    <row r="58" spans="1:9" x14ac:dyDescent="0.2">
      <c r="A58" t="s">
        <v>1981</v>
      </c>
      <c r="B58" t="s">
        <v>14359</v>
      </c>
      <c r="C58" t="s">
        <v>19473</v>
      </c>
      <c r="D58" t="s">
        <v>14360</v>
      </c>
      <c r="F58" t="s">
        <v>10932</v>
      </c>
      <c r="G58" t="s">
        <v>11151</v>
      </c>
      <c r="H58" t="s">
        <v>869</v>
      </c>
      <c r="I58" t="s">
        <v>20743</v>
      </c>
    </row>
    <row r="59" spans="1:9" x14ac:dyDescent="0.2">
      <c r="A59" t="s">
        <v>1298</v>
      </c>
      <c r="B59" t="s">
        <v>14359</v>
      </c>
      <c r="C59" t="s">
        <v>6098</v>
      </c>
      <c r="D59" t="s">
        <v>14360</v>
      </c>
      <c r="F59" t="s">
        <v>10930</v>
      </c>
      <c r="G59" t="s">
        <v>11155</v>
      </c>
      <c r="H59" t="s">
        <v>364</v>
      </c>
      <c r="I59" t="s">
        <v>20743</v>
      </c>
    </row>
    <row r="60" spans="1:9" x14ac:dyDescent="0.2">
      <c r="A60" t="s">
        <v>1425</v>
      </c>
      <c r="B60" t="s">
        <v>14359</v>
      </c>
      <c r="C60" t="s">
        <v>6628</v>
      </c>
      <c r="D60" t="s">
        <v>14360</v>
      </c>
      <c r="F60" t="s">
        <v>10934</v>
      </c>
      <c r="G60" t="s">
        <v>11176</v>
      </c>
      <c r="H60" t="s">
        <v>676</v>
      </c>
      <c r="I60" t="s">
        <v>20743</v>
      </c>
    </row>
    <row r="61" spans="1:9" x14ac:dyDescent="0.2">
      <c r="A61" t="s">
        <v>1762</v>
      </c>
      <c r="B61" t="s">
        <v>14359</v>
      </c>
      <c r="C61" t="s">
        <v>19389</v>
      </c>
      <c r="D61" t="s">
        <v>14360</v>
      </c>
      <c r="F61" t="s">
        <v>11087</v>
      </c>
      <c r="G61" t="s">
        <v>13580</v>
      </c>
      <c r="H61" t="s">
        <v>738</v>
      </c>
      <c r="I61" t="s">
        <v>155</v>
      </c>
    </row>
    <row r="62" spans="1:9" x14ac:dyDescent="0.2">
      <c r="A62" t="s">
        <v>1481</v>
      </c>
      <c r="B62" t="s">
        <v>14359</v>
      </c>
      <c r="C62" t="s">
        <v>6955</v>
      </c>
      <c r="D62" t="s">
        <v>14360</v>
      </c>
      <c r="F62" t="s">
        <v>10942</v>
      </c>
      <c r="G62" t="s">
        <v>11228</v>
      </c>
      <c r="H62" t="s">
        <v>952</v>
      </c>
      <c r="I62" t="s">
        <v>20743</v>
      </c>
    </row>
    <row r="63" spans="1:9" x14ac:dyDescent="0.2">
      <c r="A63" t="s">
        <v>1200</v>
      </c>
      <c r="B63" t="s">
        <v>14359</v>
      </c>
      <c r="C63" t="s">
        <v>5643</v>
      </c>
      <c r="D63" t="s">
        <v>14360</v>
      </c>
      <c r="F63" t="s">
        <v>11095</v>
      </c>
      <c r="G63" t="s">
        <v>13674</v>
      </c>
      <c r="H63" t="s">
        <v>1023</v>
      </c>
      <c r="I63" t="s">
        <v>155</v>
      </c>
    </row>
    <row r="64" spans="1:9" x14ac:dyDescent="0.2">
      <c r="A64" t="s">
        <v>14123</v>
      </c>
      <c r="B64" t="s">
        <v>14359</v>
      </c>
      <c r="C64" t="s">
        <v>10294</v>
      </c>
      <c r="D64" t="s">
        <v>14360</v>
      </c>
      <c r="F64" t="s">
        <v>10880</v>
      </c>
      <c r="G64" t="s">
        <v>11157</v>
      </c>
      <c r="H64" t="s">
        <v>87</v>
      </c>
      <c r="I64" t="s">
        <v>20744</v>
      </c>
    </row>
    <row r="65" spans="1:9" x14ac:dyDescent="0.2">
      <c r="A65" t="s">
        <v>2016</v>
      </c>
      <c r="B65" t="s">
        <v>14359</v>
      </c>
      <c r="C65" t="s">
        <v>19490</v>
      </c>
      <c r="D65" t="s">
        <v>14360</v>
      </c>
      <c r="F65" t="s">
        <v>10882</v>
      </c>
      <c r="G65" t="s">
        <v>11168</v>
      </c>
      <c r="H65" t="s">
        <v>232</v>
      </c>
      <c r="I65" t="s">
        <v>20744</v>
      </c>
    </row>
    <row r="66" spans="1:9" x14ac:dyDescent="0.2">
      <c r="A66" t="s">
        <v>1395</v>
      </c>
      <c r="B66" t="s">
        <v>14359</v>
      </c>
      <c r="C66" t="s">
        <v>19273</v>
      </c>
      <c r="D66" t="s">
        <v>14360</v>
      </c>
      <c r="F66" t="s">
        <v>11051</v>
      </c>
      <c r="G66" t="s">
        <v>13564</v>
      </c>
      <c r="H66" t="s">
        <v>296</v>
      </c>
      <c r="I66" t="s">
        <v>160</v>
      </c>
    </row>
    <row r="67" spans="1:9" x14ac:dyDescent="0.2">
      <c r="A67" t="s">
        <v>1890</v>
      </c>
      <c r="B67" t="s">
        <v>14359</v>
      </c>
      <c r="C67" t="s">
        <v>19432</v>
      </c>
      <c r="D67" t="s">
        <v>14360</v>
      </c>
      <c r="F67" t="s">
        <v>11049</v>
      </c>
      <c r="G67" t="s">
        <v>13521</v>
      </c>
      <c r="H67" t="s">
        <v>159</v>
      </c>
      <c r="I67" t="s">
        <v>160</v>
      </c>
    </row>
    <row r="68" spans="1:9" x14ac:dyDescent="0.2">
      <c r="A68" t="s">
        <v>3077</v>
      </c>
      <c r="B68" t="s">
        <v>14359</v>
      </c>
      <c r="C68" t="s">
        <v>8785</v>
      </c>
      <c r="D68" t="s">
        <v>14360</v>
      </c>
      <c r="F68" t="s">
        <v>10884</v>
      </c>
      <c r="G68" t="s">
        <v>11142</v>
      </c>
      <c r="H68" t="s">
        <v>458</v>
      </c>
      <c r="I68" t="s">
        <v>20744</v>
      </c>
    </row>
    <row r="69" spans="1:9" x14ac:dyDescent="0.2">
      <c r="A69" t="s">
        <v>1926</v>
      </c>
      <c r="B69" t="s">
        <v>14359</v>
      </c>
      <c r="C69" t="s">
        <v>19447</v>
      </c>
      <c r="D69" t="s">
        <v>14360</v>
      </c>
      <c r="F69" t="s">
        <v>11053</v>
      </c>
      <c r="G69" t="s">
        <v>13666</v>
      </c>
      <c r="H69" t="s">
        <v>522</v>
      </c>
      <c r="I69" t="s">
        <v>160</v>
      </c>
    </row>
    <row r="70" spans="1:9" x14ac:dyDescent="0.2">
      <c r="A70" t="s">
        <v>1942</v>
      </c>
      <c r="B70" t="s">
        <v>14359</v>
      </c>
      <c r="C70" t="s">
        <v>19455</v>
      </c>
      <c r="D70" t="s">
        <v>14360</v>
      </c>
      <c r="F70" t="s">
        <v>10876</v>
      </c>
      <c r="G70" t="s">
        <v>11175</v>
      </c>
      <c r="H70" t="s">
        <v>873</v>
      </c>
      <c r="I70" t="s">
        <v>20744</v>
      </c>
    </row>
    <row r="71" spans="1:9" x14ac:dyDescent="0.2">
      <c r="A71" t="s">
        <v>1920</v>
      </c>
      <c r="B71" t="s">
        <v>14359</v>
      </c>
      <c r="C71" t="s">
        <v>19444</v>
      </c>
      <c r="D71" t="s">
        <v>14360</v>
      </c>
      <c r="F71" t="s">
        <v>10874</v>
      </c>
      <c r="G71" t="s">
        <v>11181</v>
      </c>
      <c r="H71" t="s">
        <v>368</v>
      </c>
      <c r="I71" t="s">
        <v>20744</v>
      </c>
    </row>
    <row r="72" spans="1:9" x14ac:dyDescent="0.2">
      <c r="A72" t="s">
        <v>1904</v>
      </c>
      <c r="B72" t="s">
        <v>14359</v>
      </c>
      <c r="C72" t="s">
        <v>8792</v>
      </c>
      <c r="D72" t="s">
        <v>14360</v>
      </c>
      <c r="F72" t="s">
        <v>10878</v>
      </c>
      <c r="G72" t="s">
        <v>11169</v>
      </c>
      <c r="H72" t="s">
        <v>680</v>
      </c>
      <c r="I72" t="s">
        <v>20744</v>
      </c>
    </row>
    <row r="73" spans="1:9" x14ac:dyDescent="0.2">
      <c r="A73" t="s">
        <v>1944</v>
      </c>
      <c r="B73" t="s">
        <v>14359</v>
      </c>
      <c r="C73" t="s">
        <v>19456</v>
      </c>
      <c r="D73" t="s">
        <v>14360</v>
      </c>
      <c r="F73" t="s">
        <v>11047</v>
      </c>
      <c r="G73" t="s">
        <v>13594</v>
      </c>
      <c r="H73" t="s">
        <v>742</v>
      </c>
      <c r="I73" t="s">
        <v>160</v>
      </c>
    </row>
    <row r="74" spans="1:9" x14ac:dyDescent="0.2">
      <c r="A74" t="s">
        <v>2433</v>
      </c>
      <c r="B74" t="s">
        <v>14359</v>
      </c>
      <c r="C74" t="s">
        <v>5024</v>
      </c>
      <c r="D74" t="s">
        <v>14360</v>
      </c>
      <c r="F74" t="s">
        <v>10886</v>
      </c>
      <c r="G74" t="s">
        <v>11298</v>
      </c>
      <c r="H74" t="s">
        <v>956</v>
      </c>
      <c r="I74" t="s">
        <v>20744</v>
      </c>
    </row>
    <row r="75" spans="1:9" x14ac:dyDescent="0.2">
      <c r="A75" t="s">
        <v>1524</v>
      </c>
      <c r="B75" t="s">
        <v>14359</v>
      </c>
      <c r="C75" t="s">
        <v>7070</v>
      </c>
      <c r="D75" t="s">
        <v>14360</v>
      </c>
      <c r="F75" t="s">
        <v>11055</v>
      </c>
      <c r="G75" t="s">
        <v>13470</v>
      </c>
      <c r="H75" t="s">
        <v>1027</v>
      </c>
      <c r="I75" t="s">
        <v>160</v>
      </c>
    </row>
    <row r="76" spans="1:9" x14ac:dyDescent="0.2">
      <c r="A76" t="s">
        <v>2437</v>
      </c>
      <c r="B76" t="s">
        <v>14359</v>
      </c>
      <c r="C76" t="s">
        <v>5017</v>
      </c>
      <c r="D76" t="s">
        <v>14360</v>
      </c>
      <c r="F76" t="s">
        <v>10809</v>
      </c>
      <c r="G76" t="s">
        <v>11234</v>
      </c>
      <c r="H76" t="s">
        <v>92</v>
      </c>
      <c r="I76" t="s">
        <v>20745</v>
      </c>
    </row>
    <row r="77" spans="1:9" x14ac:dyDescent="0.2">
      <c r="A77" t="s">
        <v>2453</v>
      </c>
      <c r="B77" t="s">
        <v>14359</v>
      </c>
      <c r="C77" t="s">
        <v>5039</v>
      </c>
      <c r="D77" t="s">
        <v>14360</v>
      </c>
      <c r="F77" t="s">
        <v>10811</v>
      </c>
      <c r="G77" t="s">
        <v>11265</v>
      </c>
      <c r="H77" t="s">
        <v>236</v>
      </c>
      <c r="I77" t="s">
        <v>20745</v>
      </c>
    </row>
    <row r="78" spans="1:9" x14ac:dyDescent="0.2">
      <c r="A78" t="s">
        <v>2435</v>
      </c>
      <c r="B78" t="s">
        <v>14359</v>
      </c>
      <c r="C78" t="s">
        <v>5009</v>
      </c>
      <c r="D78" t="s">
        <v>14360</v>
      </c>
      <c r="F78" t="s">
        <v>11001</v>
      </c>
      <c r="G78" t="s">
        <v>13590</v>
      </c>
      <c r="H78" t="s">
        <v>300</v>
      </c>
      <c r="I78" t="s">
        <v>165</v>
      </c>
    </row>
    <row r="79" spans="1:9" x14ac:dyDescent="0.2">
      <c r="A79" t="s">
        <v>1977</v>
      </c>
      <c r="B79" t="s">
        <v>14359</v>
      </c>
      <c r="C79" t="s">
        <v>19471</v>
      </c>
      <c r="D79" t="s">
        <v>14360</v>
      </c>
      <c r="F79" t="s">
        <v>10999</v>
      </c>
      <c r="G79" t="s">
        <v>13745</v>
      </c>
      <c r="H79" t="s">
        <v>164</v>
      </c>
      <c r="I79" t="s">
        <v>165</v>
      </c>
    </row>
    <row r="80" spans="1:9" x14ac:dyDescent="0.2">
      <c r="A80" t="s">
        <v>1894</v>
      </c>
      <c r="B80" t="s">
        <v>14359</v>
      </c>
      <c r="C80" t="s">
        <v>19434</v>
      </c>
      <c r="D80" t="s">
        <v>14360</v>
      </c>
      <c r="F80" t="s">
        <v>10813</v>
      </c>
      <c r="G80" t="s">
        <v>11210</v>
      </c>
      <c r="H80" t="s">
        <v>462</v>
      </c>
      <c r="I80" t="s">
        <v>20745</v>
      </c>
    </row>
    <row r="81" spans="1:9" x14ac:dyDescent="0.2">
      <c r="A81" t="s">
        <v>1900</v>
      </c>
      <c r="B81" t="s">
        <v>14359</v>
      </c>
      <c r="C81" t="s">
        <v>19437</v>
      </c>
      <c r="D81" t="s">
        <v>14360</v>
      </c>
      <c r="F81" t="s">
        <v>11003</v>
      </c>
      <c r="G81" t="s">
        <v>13623</v>
      </c>
      <c r="H81" t="s">
        <v>526</v>
      </c>
      <c r="I81" t="s">
        <v>165</v>
      </c>
    </row>
    <row r="82" spans="1:9" x14ac:dyDescent="0.2">
      <c r="A82" t="s">
        <v>13842</v>
      </c>
      <c r="B82" t="s">
        <v>14359</v>
      </c>
      <c r="C82" t="s">
        <v>6476</v>
      </c>
      <c r="D82" t="s">
        <v>14360</v>
      </c>
      <c r="F82" t="s">
        <v>10805</v>
      </c>
      <c r="G82" t="s">
        <v>11214</v>
      </c>
      <c r="H82" t="s">
        <v>877</v>
      </c>
      <c r="I82" t="s">
        <v>20745</v>
      </c>
    </row>
    <row r="83" spans="1:9" x14ac:dyDescent="0.2">
      <c r="A83" t="s">
        <v>1310</v>
      </c>
      <c r="B83" t="s">
        <v>14359</v>
      </c>
      <c r="C83" t="s">
        <v>6060</v>
      </c>
      <c r="D83" t="s">
        <v>14360</v>
      </c>
      <c r="F83" t="s">
        <v>10803</v>
      </c>
      <c r="G83" t="s">
        <v>11199</v>
      </c>
      <c r="H83" t="s">
        <v>372</v>
      </c>
      <c r="I83" t="s">
        <v>20745</v>
      </c>
    </row>
    <row r="84" spans="1:9" x14ac:dyDescent="0.2">
      <c r="A84" t="s">
        <v>1421</v>
      </c>
      <c r="B84" t="s">
        <v>14359</v>
      </c>
      <c r="C84" t="s">
        <v>6621</v>
      </c>
      <c r="D84" t="s">
        <v>14360</v>
      </c>
      <c r="F84" t="s">
        <v>10807</v>
      </c>
      <c r="G84" t="s">
        <v>11229</v>
      </c>
      <c r="H84" t="s">
        <v>684</v>
      </c>
      <c r="I84" t="s">
        <v>20745</v>
      </c>
    </row>
    <row r="85" spans="1:9" x14ac:dyDescent="0.2">
      <c r="A85" t="s">
        <v>1760</v>
      </c>
      <c r="B85" t="s">
        <v>14359</v>
      </c>
      <c r="C85" t="s">
        <v>19388</v>
      </c>
      <c r="D85" t="s">
        <v>14360</v>
      </c>
      <c r="F85" t="s">
        <v>10997</v>
      </c>
      <c r="G85" t="s">
        <v>13714</v>
      </c>
      <c r="H85" t="s">
        <v>746</v>
      </c>
      <c r="I85" t="s">
        <v>165</v>
      </c>
    </row>
    <row r="86" spans="1:9" x14ac:dyDescent="0.2">
      <c r="A86" t="s">
        <v>1457</v>
      </c>
      <c r="B86" t="s">
        <v>14359</v>
      </c>
      <c r="C86" t="s">
        <v>6826</v>
      </c>
      <c r="D86" t="s">
        <v>14360</v>
      </c>
      <c r="F86" t="s">
        <v>10815</v>
      </c>
      <c r="G86" t="s">
        <v>11205</v>
      </c>
      <c r="H86" t="s">
        <v>960</v>
      </c>
      <c r="I86" t="s">
        <v>20745</v>
      </c>
    </row>
    <row r="87" spans="1:9" x14ac:dyDescent="0.2">
      <c r="A87" t="s">
        <v>13817</v>
      </c>
      <c r="B87" t="s">
        <v>14359</v>
      </c>
      <c r="C87" t="s">
        <v>5587</v>
      </c>
      <c r="D87" t="s">
        <v>14360</v>
      </c>
      <c r="F87" t="s">
        <v>11005</v>
      </c>
      <c r="G87" t="s">
        <v>13730</v>
      </c>
      <c r="H87" t="s">
        <v>1031</v>
      </c>
      <c r="I87" t="s">
        <v>165</v>
      </c>
    </row>
    <row r="88" spans="1:9" x14ac:dyDescent="0.2">
      <c r="A88" t="s">
        <v>1467</v>
      </c>
      <c r="B88" t="s">
        <v>14359</v>
      </c>
      <c r="C88" t="s">
        <v>19302</v>
      </c>
      <c r="D88" t="s">
        <v>14360</v>
      </c>
      <c r="F88" t="s">
        <v>10950</v>
      </c>
      <c r="G88" t="s">
        <v>11303</v>
      </c>
      <c r="H88" t="s">
        <v>97</v>
      </c>
      <c r="I88" t="s">
        <v>20746</v>
      </c>
    </row>
    <row r="89" spans="1:9" x14ac:dyDescent="0.2">
      <c r="A89" t="s">
        <v>3063</v>
      </c>
      <c r="B89" t="s">
        <v>14359</v>
      </c>
      <c r="C89" t="s">
        <v>19744</v>
      </c>
      <c r="D89" t="s">
        <v>14360</v>
      </c>
      <c r="F89" t="s">
        <v>10952</v>
      </c>
      <c r="G89" t="s">
        <v>11305</v>
      </c>
      <c r="H89" t="s">
        <v>244</v>
      </c>
      <c r="I89" t="s">
        <v>20746</v>
      </c>
    </row>
    <row r="90" spans="1:9" x14ac:dyDescent="0.2">
      <c r="A90" t="s">
        <v>1908</v>
      </c>
      <c r="B90" t="s">
        <v>14359</v>
      </c>
      <c r="C90" t="s">
        <v>8919</v>
      </c>
      <c r="D90" t="s">
        <v>14360</v>
      </c>
      <c r="F90" t="s">
        <v>11101</v>
      </c>
      <c r="G90" t="s">
        <v>13549</v>
      </c>
      <c r="H90" t="s">
        <v>304</v>
      </c>
      <c r="I90" t="s">
        <v>170</v>
      </c>
    </row>
    <row r="91" spans="1:9" x14ac:dyDescent="0.2">
      <c r="A91" t="s">
        <v>1150</v>
      </c>
      <c r="B91" t="s">
        <v>14359</v>
      </c>
      <c r="C91" t="s">
        <v>5429</v>
      </c>
      <c r="D91" t="s">
        <v>14360</v>
      </c>
      <c r="F91" t="s">
        <v>11099</v>
      </c>
      <c r="G91" t="s">
        <v>13546</v>
      </c>
      <c r="H91" t="s">
        <v>169</v>
      </c>
      <c r="I91" t="s">
        <v>170</v>
      </c>
    </row>
    <row r="92" spans="1:9" x14ac:dyDescent="0.2">
      <c r="A92" t="s">
        <v>1910</v>
      </c>
      <c r="B92" t="s">
        <v>14359</v>
      </c>
      <c r="C92" t="s">
        <v>19440</v>
      </c>
      <c r="D92" t="s">
        <v>14360</v>
      </c>
      <c r="F92" t="s">
        <v>10954</v>
      </c>
      <c r="G92" t="s">
        <v>11289</v>
      </c>
      <c r="H92" t="s">
        <v>470</v>
      </c>
      <c r="I92" t="s">
        <v>20746</v>
      </c>
    </row>
    <row r="93" spans="1:9" x14ac:dyDescent="0.2">
      <c r="A93" t="s">
        <v>1948</v>
      </c>
      <c r="B93" t="s">
        <v>14359</v>
      </c>
      <c r="C93" t="s">
        <v>19457</v>
      </c>
      <c r="D93" t="s">
        <v>14360</v>
      </c>
      <c r="F93" t="s">
        <v>11103</v>
      </c>
      <c r="G93" t="s">
        <v>13641</v>
      </c>
      <c r="H93" t="s">
        <v>530</v>
      </c>
      <c r="I93" t="s">
        <v>170</v>
      </c>
    </row>
    <row r="94" spans="1:9" x14ac:dyDescent="0.2">
      <c r="A94" t="s">
        <v>1892</v>
      </c>
      <c r="B94" t="s">
        <v>14359</v>
      </c>
      <c r="C94" t="s">
        <v>19433</v>
      </c>
      <c r="D94" t="s">
        <v>14360</v>
      </c>
      <c r="F94" t="s">
        <v>10946</v>
      </c>
      <c r="G94" t="s">
        <v>11284</v>
      </c>
      <c r="H94" t="s">
        <v>889</v>
      </c>
      <c r="I94" t="s">
        <v>20746</v>
      </c>
    </row>
    <row r="95" spans="1:9" x14ac:dyDescent="0.2">
      <c r="A95" t="s">
        <v>1896</v>
      </c>
      <c r="B95" t="s">
        <v>14359</v>
      </c>
      <c r="C95" t="s">
        <v>19435</v>
      </c>
      <c r="D95" t="s">
        <v>14360</v>
      </c>
      <c r="F95" t="s">
        <v>10944</v>
      </c>
      <c r="G95" t="s">
        <v>11283</v>
      </c>
      <c r="H95" t="s">
        <v>380</v>
      </c>
      <c r="I95" t="s">
        <v>20746</v>
      </c>
    </row>
    <row r="96" spans="1:9" x14ac:dyDescent="0.2">
      <c r="A96" t="s">
        <v>1952</v>
      </c>
      <c r="B96" t="s">
        <v>14359</v>
      </c>
      <c r="C96" t="s">
        <v>8962</v>
      </c>
      <c r="D96" t="s">
        <v>14360</v>
      </c>
      <c r="F96" t="s">
        <v>10948</v>
      </c>
      <c r="G96" t="s">
        <v>11273</v>
      </c>
      <c r="H96" t="s">
        <v>691</v>
      </c>
      <c r="I96" t="s">
        <v>20746</v>
      </c>
    </row>
    <row r="97" spans="1:9" x14ac:dyDescent="0.2">
      <c r="A97" t="s">
        <v>1874</v>
      </c>
      <c r="B97" t="s">
        <v>14359</v>
      </c>
      <c r="C97" t="s">
        <v>19426</v>
      </c>
      <c r="D97" t="s">
        <v>14360</v>
      </c>
      <c r="F97" t="s">
        <v>11097</v>
      </c>
      <c r="G97" t="s">
        <v>13518</v>
      </c>
      <c r="H97" t="s">
        <v>750</v>
      </c>
      <c r="I97" t="s">
        <v>170</v>
      </c>
    </row>
    <row r="98" spans="1:9" x14ac:dyDescent="0.2">
      <c r="A98" t="s">
        <v>1499</v>
      </c>
      <c r="B98" t="s">
        <v>14359</v>
      </c>
      <c r="C98" t="s">
        <v>7047</v>
      </c>
      <c r="D98" t="s">
        <v>14360</v>
      </c>
      <c r="F98" t="s">
        <v>10956</v>
      </c>
      <c r="G98" t="s">
        <v>11231</v>
      </c>
      <c r="H98" t="s">
        <v>969</v>
      </c>
      <c r="I98" t="s">
        <v>20746</v>
      </c>
    </row>
    <row r="99" spans="1:9" x14ac:dyDescent="0.2">
      <c r="A99" t="s">
        <v>1971</v>
      </c>
      <c r="B99" t="s">
        <v>14359</v>
      </c>
      <c r="C99" t="s">
        <v>19468</v>
      </c>
      <c r="D99" t="s">
        <v>14360</v>
      </c>
      <c r="F99" t="s">
        <v>11105</v>
      </c>
      <c r="G99" t="s">
        <v>13618</v>
      </c>
      <c r="H99" t="s">
        <v>1035</v>
      </c>
      <c r="I99" t="s">
        <v>170</v>
      </c>
    </row>
    <row r="100" spans="1:9" x14ac:dyDescent="0.2">
      <c r="A100" t="s">
        <v>1155</v>
      </c>
      <c r="B100" t="s">
        <v>14359</v>
      </c>
      <c r="C100" t="s">
        <v>11491</v>
      </c>
      <c r="D100" t="s">
        <v>14360</v>
      </c>
      <c r="F100" t="s">
        <v>10894</v>
      </c>
      <c r="G100" t="s">
        <v>11164</v>
      </c>
      <c r="H100" t="s">
        <v>102</v>
      </c>
      <c r="I100" t="s">
        <v>20747</v>
      </c>
    </row>
    <row r="101" spans="1:9" x14ac:dyDescent="0.2">
      <c r="A101" t="s">
        <v>1308</v>
      </c>
      <c r="B101" t="s">
        <v>14359</v>
      </c>
      <c r="C101" t="s">
        <v>19245</v>
      </c>
      <c r="D101" t="s">
        <v>14360</v>
      </c>
      <c r="F101" t="s">
        <v>10896</v>
      </c>
      <c r="G101" t="s">
        <v>11165</v>
      </c>
      <c r="H101" t="s">
        <v>248</v>
      </c>
      <c r="I101" t="s">
        <v>20747</v>
      </c>
    </row>
    <row r="102" spans="1:9" x14ac:dyDescent="0.2">
      <c r="A102" t="s">
        <v>1386</v>
      </c>
      <c r="B102" t="s">
        <v>14359</v>
      </c>
      <c r="C102" t="s">
        <v>6506</v>
      </c>
      <c r="D102" t="s">
        <v>14360</v>
      </c>
      <c r="F102" t="s">
        <v>11061</v>
      </c>
      <c r="G102" t="s">
        <v>13543</v>
      </c>
      <c r="H102" t="s">
        <v>308</v>
      </c>
      <c r="I102" t="s">
        <v>175</v>
      </c>
    </row>
    <row r="103" spans="1:9" x14ac:dyDescent="0.2">
      <c r="A103" t="s">
        <v>1400</v>
      </c>
      <c r="B103" t="s">
        <v>14359</v>
      </c>
      <c r="C103" t="s">
        <v>6513</v>
      </c>
      <c r="D103" t="s">
        <v>14360</v>
      </c>
      <c r="F103" t="s">
        <v>11059</v>
      </c>
      <c r="G103" t="s">
        <v>13527</v>
      </c>
      <c r="H103" t="s">
        <v>174</v>
      </c>
      <c r="I103" t="s">
        <v>175</v>
      </c>
    </row>
    <row r="104" spans="1:9" x14ac:dyDescent="0.2">
      <c r="A104" t="s">
        <v>1169</v>
      </c>
      <c r="B104" t="s">
        <v>14359</v>
      </c>
      <c r="C104" t="s">
        <v>5444</v>
      </c>
      <c r="D104" t="s">
        <v>14360</v>
      </c>
      <c r="F104" t="s">
        <v>10898</v>
      </c>
      <c r="G104" t="s">
        <v>11189</v>
      </c>
      <c r="H104" t="s">
        <v>474</v>
      </c>
      <c r="I104" t="s">
        <v>20747</v>
      </c>
    </row>
    <row r="105" spans="1:9" x14ac:dyDescent="0.2">
      <c r="A105" t="s">
        <v>13935</v>
      </c>
      <c r="B105" t="s">
        <v>14359</v>
      </c>
      <c r="C105" t="s">
        <v>8187</v>
      </c>
      <c r="D105" t="s">
        <v>14360</v>
      </c>
      <c r="F105" t="s">
        <v>11063</v>
      </c>
      <c r="G105" t="s">
        <v>13606</v>
      </c>
      <c r="H105" t="s">
        <v>534</v>
      </c>
      <c r="I105" t="s">
        <v>175</v>
      </c>
    </row>
    <row r="106" spans="1:9" x14ac:dyDescent="0.2">
      <c r="A106" t="s">
        <v>1878</v>
      </c>
      <c r="B106" t="s">
        <v>14359</v>
      </c>
      <c r="C106" t="s">
        <v>8771</v>
      </c>
      <c r="D106" t="s">
        <v>14360</v>
      </c>
      <c r="F106" t="s">
        <v>10890</v>
      </c>
      <c r="G106" t="s">
        <v>11186</v>
      </c>
      <c r="H106" t="s">
        <v>893</v>
      </c>
      <c r="I106" t="s">
        <v>20747</v>
      </c>
    </row>
    <row r="107" spans="1:9" x14ac:dyDescent="0.2">
      <c r="A107" t="s">
        <v>1171</v>
      </c>
      <c r="B107" t="s">
        <v>14359</v>
      </c>
      <c r="C107" t="s">
        <v>19200</v>
      </c>
      <c r="D107" t="s">
        <v>14360</v>
      </c>
      <c r="F107" t="s">
        <v>10888</v>
      </c>
      <c r="G107" t="s">
        <v>11190</v>
      </c>
      <c r="H107" t="s">
        <v>384</v>
      </c>
      <c r="I107" t="s">
        <v>20747</v>
      </c>
    </row>
    <row r="108" spans="1:9" x14ac:dyDescent="0.2">
      <c r="A108" t="s">
        <v>1833</v>
      </c>
      <c r="B108" t="s">
        <v>14359</v>
      </c>
      <c r="C108" t="s">
        <v>8656</v>
      </c>
      <c r="D108" t="s">
        <v>14360</v>
      </c>
      <c r="F108" t="s">
        <v>10892</v>
      </c>
      <c r="G108" t="s">
        <v>11207</v>
      </c>
      <c r="H108" t="s">
        <v>695</v>
      </c>
      <c r="I108" t="s">
        <v>20747</v>
      </c>
    </row>
    <row r="109" spans="1:9" x14ac:dyDescent="0.2">
      <c r="A109" t="s">
        <v>1234</v>
      </c>
      <c r="B109" t="s">
        <v>14359</v>
      </c>
      <c r="C109" t="s">
        <v>5838</v>
      </c>
      <c r="D109" t="s">
        <v>14360</v>
      </c>
      <c r="F109" t="s">
        <v>11057</v>
      </c>
      <c r="G109" t="s">
        <v>13556</v>
      </c>
      <c r="H109" t="s">
        <v>754</v>
      </c>
      <c r="I109" t="s">
        <v>175</v>
      </c>
    </row>
    <row r="110" spans="1:9" x14ac:dyDescent="0.2">
      <c r="A110" t="s">
        <v>1356</v>
      </c>
      <c r="B110" t="s">
        <v>14359</v>
      </c>
      <c r="C110" t="s">
        <v>6333</v>
      </c>
      <c r="D110" t="s">
        <v>14360</v>
      </c>
      <c r="F110" t="s">
        <v>10900</v>
      </c>
      <c r="G110" t="s">
        <v>11301</v>
      </c>
      <c r="H110" t="s">
        <v>973</v>
      </c>
      <c r="I110" t="s">
        <v>20747</v>
      </c>
    </row>
    <row r="111" spans="1:9" x14ac:dyDescent="0.2">
      <c r="A111" t="s">
        <v>1148</v>
      </c>
      <c r="B111" t="s">
        <v>14359</v>
      </c>
      <c r="C111" t="s">
        <v>19193</v>
      </c>
      <c r="D111" t="s">
        <v>14360</v>
      </c>
      <c r="F111" t="s">
        <v>11065</v>
      </c>
      <c r="G111" t="s">
        <v>13478</v>
      </c>
      <c r="H111" t="s">
        <v>1039</v>
      </c>
      <c r="I111" t="s">
        <v>175</v>
      </c>
    </row>
    <row r="112" spans="1:9" x14ac:dyDescent="0.2">
      <c r="A112" t="s">
        <v>13838</v>
      </c>
      <c r="B112" t="s">
        <v>14359</v>
      </c>
      <c r="C112" t="s">
        <v>19263</v>
      </c>
      <c r="D112" t="s">
        <v>14360</v>
      </c>
      <c r="F112" t="s">
        <v>10694</v>
      </c>
      <c r="G112" t="s">
        <v>620</v>
      </c>
      <c r="H112" t="s">
        <v>619</v>
      </c>
      <c r="I112" t="s">
        <v>426</v>
      </c>
    </row>
    <row r="113" spans="1:9" x14ac:dyDescent="0.2">
      <c r="A113" t="s">
        <v>1306</v>
      </c>
      <c r="B113" t="s">
        <v>14359</v>
      </c>
      <c r="C113" t="s">
        <v>6127</v>
      </c>
      <c r="D113" t="s">
        <v>14360</v>
      </c>
      <c r="F113" t="s">
        <v>20718</v>
      </c>
      <c r="G113" t="s">
        <v>10715</v>
      </c>
      <c r="H113" t="s">
        <v>624</v>
      </c>
      <c r="I113" t="s">
        <v>437</v>
      </c>
    </row>
    <row r="114" spans="1:9" x14ac:dyDescent="0.2">
      <c r="A114" t="s">
        <v>14037</v>
      </c>
      <c r="B114" t="s">
        <v>14359</v>
      </c>
      <c r="C114" t="s">
        <v>9872</v>
      </c>
      <c r="D114" t="s">
        <v>14360</v>
      </c>
      <c r="F114" t="s">
        <v>10823</v>
      </c>
      <c r="G114" t="s">
        <v>11282</v>
      </c>
      <c r="H114" t="s">
        <v>107</v>
      </c>
      <c r="I114" t="s">
        <v>20748</v>
      </c>
    </row>
    <row r="115" spans="1:9" x14ac:dyDescent="0.2">
      <c r="A115" t="s">
        <v>1300</v>
      </c>
      <c r="B115" t="s">
        <v>14359</v>
      </c>
      <c r="C115" t="s">
        <v>6120</v>
      </c>
      <c r="D115" t="s">
        <v>14360</v>
      </c>
      <c r="F115" t="s">
        <v>10825</v>
      </c>
      <c r="G115" t="s">
        <v>11290</v>
      </c>
      <c r="H115" t="s">
        <v>252</v>
      </c>
      <c r="I115" t="s">
        <v>20748</v>
      </c>
    </row>
    <row r="116" spans="1:9" x14ac:dyDescent="0.2">
      <c r="A116" t="s">
        <v>1276</v>
      </c>
      <c r="B116" t="s">
        <v>14359</v>
      </c>
      <c r="C116" t="s">
        <v>5952</v>
      </c>
      <c r="D116" t="s">
        <v>14360</v>
      </c>
      <c r="F116" t="s">
        <v>11011</v>
      </c>
      <c r="G116" t="s">
        <v>13464</v>
      </c>
      <c r="H116" t="s">
        <v>312</v>
      </c>
      <c r="I116" t="s">
        <v>180</v>
      </c>
    </row>
    <row r="117" spans="1:9" x14ac:dyDescent="0.2">
      <c r="A117" t="s">
        <v>13941</v>
      </c>
      <c r="B117" t="s">
        <v>14359</v>
      </c>
      <c r="C117" t="s">
        <v>8318</v>
      </c>
      <c r="D117" t="s">
        <v>14360</v>
      </c>
      <c r="F117" t="s">
        <v>11009</v>
      </c>
      <c r="G117" t="s">
        <v>13577</v>
      </c>
      <c r="H117" t="s">
        <v>179</v>
      </c>
      <c r="I117" t="s">
        <v>180</v>
      </c>
    </row>
    <row r="118" spans="1:9" x14ac:dyDescent="0.2">
      <c r="A118" t="s">
        <v>14027</v>
      </c>
      <c r="B118" t="s">
        <v>14359</v>
      </c>
      <c r="C118" t="s">
        <v>9801</v>
      </c>
      <c r="D118" t="s">
        <v>14360</v>
      </c>
      <c r="F118" t="s">
        <v>10827</v>
      </c>
      <c r="G118" t="s">
        <v>11225</v>
      </c>
      <c r="H118" t="s">
        <v>478</v>
      </c>
      <c r="I118" t="s">
        <v>20748</v>
      </c>
    </row>
    <row r="119" spans="1:9" x14ac:dyDescent="0.2">
      <c r="A119" t="s">
        <v>2234</v>
      </c>
      <c r="B119" t="s">
        <v>14359</v>
      </c>
      <c r="C119" t="s">
        <v>19578</v>
      </c>
      <c r="D119" t="s">
        <v>14360</v>
      </c>
      <c r="F119" t="s">
        <v>11013</v>
      </c>
      <c r="G119" t="s">
        <v>13560</v>
      </c>
      <c r="H119" t="s">
        <v>538</v>
      </c>
      <c r="I119" t="s">
        <v>180</v>
      </c>
    </row>
    <row r="120" spans="1:9" x14ac:dyDescent="0.2">
      <c r="A120" t="s">
        <v>13873</v>
      </c>
      <c r="B120" t="s">
        <v>14359</v>
      </c>
      <c r="C120" t="s">
        <v>7326</v>
      </c>
      <c r="D120" t="s">
        <v>14360</v>
      </c>
      <c r="F120" t="s">
        <v>10819</v>
      </c>
      <c r="G120" t="s">
        <v>11242</v>
      </c>
      <c r="H120" t="s">
        <v>897</v>
      </c>
      <c r="I120" t="s">
        <v>20748</v>
      </c>
    </row>
    <row r="121" spans="1:9" x14ac:dyDescent="0.2">
      <c r="A121" t="s">
        <v>13795</v>
      </c>
      <c r="B121" t="s">
        <v>14359</v>
      </c>
      <c r="C121" t="s">
        <v>4913</v>
      </c>
      <c r="D121" t="s">
        <v>14360</v>
      </c>
      <c r="F121" t="s">
        <v>10817</v>
      </c>
      <c r="G121" t="s">
        <v>11240</v>
      </c>
      <c r="H121" t="s">
        <v>388</v>
      </c>
      <c r="I121" t="s">
        <v>20748</v>
      </c>
    </row>
    <row r="122" spans="1:9" x14ac:dyDescent="0.2">
      <c r="A122" t="s">
        <v>2612</v>
      </c>
      <c r="B122" t="s">
        <v>14359</v>
      </c>
      <c r="C122" t="s">
        <v>3463</v>
      </c>
      <c r="D122" t="s">
        <v>14360</v>
      </c>
      <c r="F122" t="s">
        <v>10821</v>
      </c>
      <c r="G122" t="s">
        <v>11247</v>
      </c>
      <c r="H122" t="s">
        <v>699</v>
      </c>
      <c r="I122" t="s">
        <v>20748</v>
      </c>
    </row>
    <row r="123" spans="1:9" x14ac:dyDescent="0.2">
      <c r="A123" t="s">
        <v>1584</v>
      </c>
      <c r="B123" t="s">
        <v>14359</v>
      </c>
      <c r="C123" t="s">
        <v>7349</v>
      </c>
      <c r="D123" t="s">
        <v>14360</v>
      </c>
      <c r="F123" t="s">
        <v>11007</v>
      </c>
      <c r="G123" t="s">
        <v>13629</v>
      </c>
      <c r="H123" t="s">
        <v>758</v>
      </c>
      <c r="I123" t="s">
        <v>180</v>
      </c>
    </row>
    <row r="124" spans="1:9" x14ac:dyDescent="0.2">
      <c r="A124" t="s">
        <v>14214</v>
      </c>
      <c r="B124" t="s">
        <v>14359</v>
      </c>
      <c r="C124" t="s">
        <v>11515</v>
      </c>
      <c r="D124" t="s">
        <v>14360</v>
      </c>
      <c r="F124" t="s">
        <v>10829</v>
      </c>
      <c r="G124" t="s">
        <v>11211</v>
      </c>
      <c r="H124" t="s">
        <v>977</v>
      </c>
      <c r="I124" t="s">
        <v>20748</v>
      </c>
    </row>
    <row r="125" spans="1:9" x14ac:dyDescent="0.2">
      <c r="A125" t="s">
        <v>13904</v>
      </c>
      <c r="B125" t="s">
        <v>14359</v>
      </c>
      <c r="C125" t="s">
        <v>11517</v>
      </c>
      <c r="D125" t="s">
        <v>14360</v>
      </c>
      <c r="F125" t="s">
        <v>11015</v>
      </c>
      <c r="G125" t="s">
        <v>13558</v>
      </c>
      <c r="H125" t="s">
        <v>1043</v>
      </c>
      <c r="I125" t="s">
        <v>180</v>
      </c>
    </row>
    <row r="126" spans="1:9" x14ac:dyDescent="0.2">
      <c r="A126" t="s">
        <v>13905</v>
      </c>
      <c r="B126" t="s">
        <v>14359</v>
      </c>
      <c r="C126" t="s">
        <v>7778</v>
      </c>
      <c r="D126" t="s">
        <v>14360</v>
      </c>
      <c r="F126" t="s">
        <v>10560</v>
      </c>
      <c r="G126" t="s">
        <v>10561</v>
      </c>
      <c r="H126" t="s">
        <v>824</v>
      </c>
      <c r="I126" t="s">
        <v>346</v>
      </c>
    </row>
    <row r="127" spans="1:9" x14ac:dyDescent="0.2">
      <c r="A127" t="s">
        <v>1561</v>
      </c>
      <c r="B127" t="s">
        <v>14359</v>
      </c>
      <c r="C127" t="s">
        <v>11521</v>
      </c>
      <c r="D127" t="s">
        <v>14360</v>
      </c>
      <c r="F127" t="s">
        <v>20719</v>
      </c>
      <c r="G127" t="s">
        <v>653</v>
      </c>
      <c r="H127" t="s">
        <v>655</v>
      </c>
      <c r="I127" t="s">
        <v>656</v>
      </c>
    </row>
    <row r="128" spans="1:9" x14ac:dyDescent="0.2">
      <c r="A128" t="s">
        <v>1750</v>
      </c>
      <c r="B128" t="s">
        <v>14359</v>
      </c>
      <c r="C128" t="s">
        <v>8328</v>
      </c>
      <c r="D128" t="s">
        <v>14360</v>
      </c>
      <c r="F128" t="s">
        <v>20720</v>
      </c>
      <c r="G128" t="s">
        <v>658</v>
      </c>
      <c r="H128" t="s">
        <v>660</v>
      </c>
      <c r="I128" t="s">
        <v>656</v>
      </c>
    </row>
    <row r="129" spans="1:9" x14ac:dyDescent="0.2">
      <c r="A129" t="s">
        <v>13871</v>
      </c>
      <c r="B129" t="s">
        <v>14359</v>
      </c>
      <c r="C129" t="s">
        <v>7296</v>
      </c>
      <c r="D129" t="s">
        <v>14360</v>
      </c>
      <c r="F129" t="s">
        <v>10749</v>
      </c>
      <c r="G129" t="s">
        <v>648</v>
      </c>
      <c r="H129" t="s">
        <v>650</v>
      </c>
      <c r="I129" t="s">
        <v>651</v>
      </c>
    </row>
    <row r="130" spans="1:9" x14ac:dyDescent="0.2">
      <c r="A130" t="s">
        <v>1737</v>
      </c>
      <c r="B130" t="s">
        <v>14359</v>
      </c>
      <c r="C130" t="s">
        <v>8268</v>
      </c>
      <c r="D130" t="s">
        <v>14360</v>
      </c>
      <c r="F130" t="s">
        <v>10691</v>
      </c>
      <c r="G130" t="s">
        <v>787</v>
      </c>
      <c r="H130" t="s">
        <v>786</v>
      </c>
      <c r="I130" t="s">
        <v>426</v>
      </c>
    </row>
    <row r="131" spans="1:9" x14ac:dyDescent="0.2">
      <c r="A131" t="s">
        <v>1785</v>
      </c>
      <c r="B131" t="s">
        <v>14359</v>
      </c>
      <c r="C131" t="s">
        <v>8510</v>
      </c>
      <c r="D131" t="s">
        <v>14360</v>
      </c>
      <c r="F131" t="s">
        <v>20721</v>
      </c>
      <c r="G131" t="s">
        <v>10712</v>
      </c>
      <c r="H131" t="s">
        <v>795</v>
      </c>
      <c r="I131" t="s">
        <v>437</v>
      </c>
    </row>
    <row r="132" spans="1:9" x14ac:dyDescent="0.2">
      <c r="A132" t="s">
        <v>13763</v>
      </c>
      <c r="B132" t="s">
        <v>14359</v>
      </c>
      <c r="C132" t="s">
        <v>3955</v>
      </c>
      <c r="D132" t="s">
        <v>14360</v>
      </c>
      <c r="F132" t="s">
        <v>20722</v>
      </c>
      <c r="G132" t="s">
        <v>10727</v>
      </c>
      <c r="H132" t="s">
        <v>19875</v>
      </c>
      <c r="I132" t="s">
        <v>437</v>
      </c>
    </row>
    <row r="133" spans="1:9" x14ac:dyDescent="0.2">
      <c r="A133" t="s">
        <v>2389</v>
      </c>
      <c r="B133" t="s">
        <v>14359</v>
      </c>
      <c r="C133" t="s">
        <v>4744</v>
      </c>
      <c r="D133" t="s">
        <v>14360</v>
      </c>
      <c r="F133" t="s">
        <v>20723</v>
      </c>
      <c r="G133" t="s">
        <v>11159</v>
      </c>
      <c r="H133" t="s">
        <v>600</v>
      </c>
      <c r="I133" t="s">
        <v>346</v>
      </c>
    </row>
    <row r="134" spans="1:9" x14ac:dyDescent="0.2">
      <c r="A134" t="s">
        <v>1730</v>
      </c>
      <c r="B134" t="s">
        <v>14359</v>
      </c>
      <c r="C134" t="s">
        <v>8245</v>
      </c>
      <c r="D134" t="s">
        <v>14360</v>
      </c>
      <c r="F134" t="s">
        <v>20724</v>
      </c>
      <c r="G134" t="s">
        <v>10609</v>
      </c>
      <c r="H134" t="s">
        <v>239</v>
      </c>
      <c r="I134" t="s">
        <v>220</v>
      </c>
    </row>
    <row r="135" spans="1:9" x14ac:dyDescent="0.2">
      <c r="A135" t="s">
        <v>1702</v>
      </c>
      <c r="B135" t="s">
        <v>14359</v>
      </c>
      <c r="C135" t="s">
        <v>8142</v>
      </c>
      <c r="D135" t="s">
        <v>14360</v>
      </c>
      <c r="F135" t="s">
        <v>20725</v>
      </c>
      <c r="G135" t="s">
        <v>20726</v>
      </c>
      <c r="H135" t="s">
        <v>60</v>
      </c>
      <c r="I135" t="s">
        <v>56</v>
      </c>
    </row>
    <row r="136" spans="1:9" x14ac:dyDescent="0.2">
      <c r="A136" t="s">
        <v>1726</v>
      </c>
      <c r="B136" t="s">
        <v>14359</v>
      </c>
      <c r="C136" t="s">
        <v>8181</v>
      </c>
      <c r="D136" t="s">
        <v>14360</v>
      </c>
      <c r="F136" t="s">
        <v>20727</v>
      </c>
      <c r="G136" t="s">
        <v>10621</v>
      </c>
      <c r="H136" t="s">
        <v>465</v>
      </c>
      <c r="I136" t="s">
        <v>442</v>
      </c>
    </row>
    <row r="137" spans="1:9" x14ac:dyDescent="0.2">
      <c r="A137" t="s">
        <v>13812</v>
      </c>
      <c r="B137" t="s">
        <v>14359</v>
      </c>
      <c r="C137" t="s">
        <v>5421</v>
      </c>
      <c r="D137" t="s">
        <v>14360</v>
      </c>
      <c r="F137" t="s">
        <v>20728</v>
      </c>
      <c r="G137" t="s">
        <v>10633</v>
      </c>
      <c r="H137" t="s">
        <v>880</v>
      </c>
      <c r="I137" t="s">
        <v>857</v>
      </c>
    </row>
    <row r="138" spans="1:9" x14ac:dyDescent="0.2">
      <c r="A138" t="s">
        <v>14000</v>
      </c>
      <c r="B138" t="s">
        <v>14359</v>
      </c>
      <c r="C138" t="s">
        <v>9570</v>
      </c>
      <c r="D138" t="s">
        <v>14360</v>
      </c>
      <c r="F138" t="s">
        <v>20729</v>
      </c>
      <c r="G138" t="s">
        <v>10645</v>
      </c>
      <c r="H138" t="s">
        <v>375</v>
      </c>
      <c r="I138" t="s">
        <v>356</v>
      </c>
    </row>
    <row r="139" spans="1:9" x14ac:dyDescent="0.2">
      <c r="A139" t="s">
        <v>14215</v>
      </c>
      <c r="B139" t="s">
        <v>14359</v>
      </c>
      <c r="C139" t="s">
        <v>11539</v>
      </c>
      <c r="D139" t="s">
        <v>14360</v>
      </c>
      <c r="F139" t="s">
        <v>20730</v>
      </c>
      <c r="G139" t="s">
        <v>10597</v>
      </c>
      <c r="H139" t="s">
        <v>687</v>
      </c>
      <c r="I139" t="s">
        <v>665</v>
      </c>
    </row>
    <row r="140" spans="1:9" x14ac:dyDescent="0.2">
      <c r="A140" t="s">
        <v>1409</v>
      </c>
      <c r="B140" t="s">
        <v>14359</v>
      </c>
      <c r="C140" t="s">
        <v>6587</v>
      </c>
      <c r="D140" t="s">
        <v>14360</v>
      </c>
      <c r="F140" t="s">
        <v>20731</v>
      </c>
      <c r="G140" t="s">
        <v>11288</v>
      </c>
      <c r="H140" t="s">
        <v>964</v>
      </c>
      <c r="I140" t="s">
        <v>935</v>
      </c>
    </row>
    <row r="141" spans="1:9" x14ac:dyDescent="0.2">
      <c r="A141" t="s">
        <v>2306</v>
      </c>
      <c r="B141" t="s">
        <v>14359</v>
      </c>
      <c r="C141" t="s">
        <v>10138</v>
      </c>
      <c r="D141" t="s">
        <v>14360</v>
      </c>
      <c r="F141" t="s">
        <v>20732</v>
      </c>
      <c r="G141" t="s">
        <v>797</v>
      </c>
      <c r="H141" t="s">
        <v>799</v>
      </c>
      <c r="I141" t="s">
        <v>341</v>
      </c>
    </row>
    <row r="142" spans="1:9" x14ac:dyDescent="0.2">
      <c r="A142" t="s">
        <v>13859</v>
      </c>
      <c r="B142" t="s">
        <v>14359</v>
      </c>
      <c r="C142" t="s">
        <v>6985</v>
      </c>
      <c r="D142" t="s">
        <v>14360</v>
      </c>
      <c r="F142" t="s">
        <v>10563</v>
      </c>
      <c r="G142" t="s">
        <v>11239</v>
      </c>
      <c r="H142" t="s">
        <v>803</v>
      </c>
      <c r="I142" t="s">
        <v>346</v>
      </c>
    </row>
    <row r="143" spans="1:9" x14ac:dyDescent="0.2">
      <c r="A143" t="s">
        <v>2130</v>
      </c>
      <c r="B143" t="s">
        <v>14359</v>
      </c>
      <c r="C143" t="s">
        <v>19541</v>
      </c>
      <c r="D143" t="s">
        <v>14360</v>
      </c>
      <c r="F143" t="s">
        <v>10697</v>
      </c>
      <c r="G143" t="s">
        <v>11304</v>
      </c>
      <c r="H143" t="s">
        <v>808</v>
      </c>
      <c r="I143" t="s">
        <v>426</v>
      </c>
    </row>
    <row r="144" spans="1:9" x14ac:dyDescent="0.2">
      <c r="A144" t="s">
        <v>13982</v>
      </c>
      <c r="B144" t="s">
        <v>14359</v>
      </c>
      <c r="C144" t="s">
        <v>9315</v>
      </c>
      <c r="D144" t="s">
        <v>14360</v>
      </c>
      <c r="F144" t="s">
        <v>20733</v>
      </c>
      <c r="G144" t="s">
        <v>10718</v>
      </c>
      <c r="H144" t="s">
        <v>812</v>
      </c>
      <c r="I144" t="s">
        <v>437</v>
      </c>
    </row>
    <row r="145" spans="1:9" x14ac:dyDescent="0.2">
      <c r="A145" t="s">
        <v>1882</v>
      </c>
      <c r="B145" t="s">
        <v>14359</v>
      </c>
      <c r="C145" t="s">
        <v>8827</v>
      </c>
      <c r="D145" t="s">
        <v>14360</v>
      </c>
      <c r="F145" t="s">
        <v>10964</v>
      </c>
      <c r="G145" t="s">
        <v>11300</v>
      </c>
      <c r="H145" t="s">
        <v>112</v>
      </c>
      <c r="I145" t="s">
        <v>20749</v>
      </c>
    </row>
    <row r="146" spans="1:9" x14ac:dyDescent="0.2">
      <c r="A146" t="s">
        <v>1697</v>
      </c>
      <c r="B146" t="s">
        <v>14359</v>
      </c>
      <c r="C146" t="s">
        <v>8060</v>
      </c>
      <c r="D146" t="s">
        <v>14360</v>
      </c>
      <c r="F146" t="s">
        <v>10966</v>
      </c>
      <c r="G146" t="s">
        <v>11285</v>
      </c>
      <c r="H146" t="s">
        <v>256</v>
      </c>
      <c r="I146" t="s">
        <v>20749</v>
      </c>
    </row>
    <row r="147" spans="1:9" x14ac:dyDescent="0.2">
      <c r="A147" t="s">
        <v>1565</v>
      </c>
      <c r="B147" t="s">
        <v>14359</v>
      </c>
      <c r="C147" t="s">
        <v>7234</v>
      </c>
      <c r="D147" t="s">
        <v>14360</v>
      </c>
      <c r="F147" t="s">
        <v>11111</v>
      </c>
      <c r="G147" t="s">
        <v>13502</v>
      </c>
      <c r="H147" t="s">
        <v>316</v>
      </c>
      <c r="I147" t="s">
        <v>185</v>
      </c>
    </row>
    <row r="148" spans="1:9" x14ac:dyDescent="0.2">
      <c r="A148" t="s">
        <v>14003</v>
      </c>
      <c r="B148" t="s">
        <v>14359</v>
      </c>
      <c r="C148" t="s">
        <v>9601</v>
      </c>
      <c r="D148" t="s">
        <v>14360</v>
      </c>
      <c r="F148" t="s">
        <v>11109</v>
      </c>
      <c r="G148" t="s">
        <v>13488</v>
      </c>
      <c r="H148" t="s">
        <v>184</v>
      </c>
      <c r="I148" t="s">
        <v>185</v>
      </c>
    </row>
    <row r="149" spans="1:9" x14ac:dyDescent="0.2">
      <c r="A149" t="s">
        <v>2467</v>
      </c>
      <c r="B149" t="s">
        <v>14359</v>
      </c>
      <c r="C149" t="s">
        <v>5085</v>
      </c>
      <c r="D149" t="s">
        <v>14360</v>
      </c>
      <c r="F149" t="s">
        <v>10968</v>
      </c>
      <c r="G149" t="s">
        <v>11139</v>
      </c>
      <c r="H149" t="s">
        <v>482</v>
      </c>
      <c r="I149" t="s">
        <v>20749</v>
      </c>
    </row>
    <row r="150" spans="1:9" x14ac:dyDescent="0.2">
      <c r="A150" t="s">
        <v>13926</v>
      </c>
      <c r="B150" t="s">
        <v>14359</v>
      </c>
      <c r="C150" t="s">
        <v>8083</v>
      </c>
      <c r="D150" t="s">
        <v>14360</v>
      </c>
      <c r="F150" t="s">
        <v>11113</v>
      </c>
      <c r="G150" t="s">
        <v>13562</v>
      </c>
      <c r="H150" t="s">
        <v>542</v>
      </c>
      <c r="I150" t="s">
        <v>185</v>
      </c>
    </row>
    <row r="151" spans="1:9" x14ac:dyDescent="0.2">
      <c r="A151" t="s">
        <v>13964</v>
      </c>
      <c r="B151" t="s">
        <v>14359</v>
      </c>
      <c r="C151" t="s">
        <v>8845</v>
      </c>
      <c r="D151" t="s">
        <v>14360</v>
      </c>
      <c r="F151" t="s">
        <v>10960</v>
      </c>
      <c r="G151" t="s">
        <v>11180</v>
      </c>
      <c r="H151" t="s">
        <v>901</v>
      </c>
      <c r="I151" t="s">
        <v>20749</v>
      </c>
    </row>
    <row r="152" spans="1:9" x14ac:dyDescent="0.2">
      <c r="A152" t="s">
        <v>13983</v>
      </c>
      <c r="B152" t="s">
        <v>14359</v>
      </c>
      <c r="C152" t="s">
        <v>9321</v>
      </c>
      <c r="D152" t="s">
        <v>14360</v>
      </c>
      <c r="F152" t="s">
        <v>10958</v>
      </c>
      <c r="G152" t="s">
        <v>11172</v>
      </c>
      <c r="H152" t="s">
        <v>392</v>
      </c>
      <c r="I152" t="s">
        <v>20749</v>
      </c>
    </row>
    <row r="153" spans="1:9" x14ac:dyDescent="0.2">
      <c r="A153" t="s">
        <v>1209</v>
      </c>
      <c r="B153" t="s">
        <v>14359</v>
      </c>
      <c r="C153" t="s">
        <v>5505</v>
      </c>
      <c r="D153" t="s">
        <v>14360</v>
      </c>
      <c r="F153" t="s">
        <v>10962</v>
      </c>
      <c r="G153" t="s">
        <v>11131</v>
      </c>
      <c r="H153" t="s">
        <v>703</v>
      </c>
      <c r="I153" t="s">
        <v>20749</v>
      </c>
    </row>
    <row r="154" spans="1:9" x14ac:dyDescent="0.2">
      <c r="A154" t="s">
        <v>1427</v>
      </c>
      <c r="B154" t="s">
        <v>14359</v>
      </c>
      <c r="C154" t="s">
        <v>6655</v>
      </c>
      <c r="D154" t="s">
        <v>14360</v>
      </c>
      <c r="F154" t="s">
        <v>11107</v>
      </c>
      <c r="G154" t="s">
        <v>13540</v>
      </c>
      <c r="H154" t="s">
        <v>762</v>
      </c>
      <c r="I154" t="s">
        <v>185</v>
      </c>
    </row>
    <row r="155" spans="1:9" x14ac:dyDescent="0.2">
      <c r="A155" t="s">
        <v>2505</v>
      </c>
      <c r="B155" t="s">
        <v>14359</v>
      </c>
      <c r="C155" t="s">
        <v>3681</v>
      </c>
      <c r="D155" t="s">
        <v>14360</v>
      </c>
      <c r="F155" t="s">
        <v>10970</v>
      </c>
      <c r="G155" t="s">
        <v>11134</v>
      </c>
      <c r="H155" t="s">
        <v>981</v>
      </c>
      <c r="I155" t="s">
        <v>20749</v>
      </c>
    </row>
    <row r="156" spans="1:9" x14ac:dyDescent="0.2">
      <c r="A156" t="s">
        <v>2403</v>
      </c>
      <c r="B156" t="s">
        <v>14359</v>
      </c>
      <c r="C156" t="s">
        <v>4872</v>
      </c>
      <c r="D156" t="s">
        <v>14360</v>
      </c>
      <c r="F156" t="s">
        <v>11115</v>
      </c>
      <c r="G156" t="s">
        <v>13573</v>
      </c>
      <c r="H156" t="s">
        <v>1047</v>
      </c>
      <c r="I156" t="s">
        <v>185</v>
      </c>
    </row>
    <row r="157" spans="1:9" x14ac:dyDescent="0.2">
      <c r="A157" t="s">
        <v>13808</v>
      </c>
      <c r="B157" t="s">
        <v>14359</v>
      </c>
      <c r="C157" t="s">
        <v>5313</v>
      </c>
      <c r="D157" t="s">
        <v>14360</v>
      </c>
      <c r="F157" t="s">
        <v>10908</v>
      </c>
      <c r="G157" t="s">
        <v>11171</v>
      </c>
      <c r="H157" t="s">
        <v>117</v>
      </c>
      <c r="I157" t="s">
        <v>20750</v>
      </c>
    </row>
    <row r="158" spans="1:9" x14ac:dyDescent="0.2">
      <c r="A158" t="s">
        <v>13943</v>
      </c>
      <c r="B158" t="s">
        <v>14359</v>
      </c>
      <c r="C158" t="s">
        <v>8374</v>
      </c>
      <c r="D158" t="s">
        <v>14360</v>
      </c>
      <c r="F158" t="s">
        <v>10910</v>
      </c>
      <c r="G158" t="s">
        <v>11156</v>
      </c>
      <c r="H158" t="s">
        <v>260</v>
      </c>
      <c r="I158" t="s">
        <v>20750</v>
      </c>
    </row>
    <row r="159" spans="1:9" x14ac:dyDescent="0.2">
      <c r="A159" t="s">
        <v>14043</v>
      </c>
      <c r="B159" t="s">
        <v>14359</v>
      </c>
      <c r="C159" t="s">
        <v>9908</v>
      </c>
      <c r="D159" t="s">
        <v>14360</v>
      </c>
      <c r="F159" t="s">
        <v>11071</v>
      </c>
      <c r="G159" t="s">
        <v>13531</v>
      </c>
      <c r="H159" t="s">
        <v>320</v>
      </c>
      <c r="I159" t="s">
        <v>190</v>
      </c>
    </row>
    <row r="160" spans="1:9" x14ac:dyDescent="0.2">
      <c r="A160" t="s">
        <v>1217</v>
      </c>
      <c r="B160" t="s">
        <v>14359</v>
      </c>
      <c r="C160" t="s">
        <v>5681</v>
      </c>
      <c r="D160" t="s">
        <v>14360</v>
      </c>
      <c r="F160" t="s">
        <v>11069</v>
      </c>
      <c r="G160" t="s">
        <v>13510</v>
      </c>
      <c r="H160" t="s">
        <v>189</v>
      </c>
      <c r="I160" t="s">
        <v>190</v>
      </c>
    </row>
    <row r="161" spans="1:9" x14ac:dyDescent="0.2">
      <c r="A161" t="s">
        <v>13861</v>
      </c>
      <c r="B161" t="s">
        <v>14359</v>
      </c>
      <c r="C161" t="s">
        <v>6997</v>
      </c>
      <c r="D161" t="s">
        <v>14360</v>
      </c>
      <c r="F161" t="s">
        <v>10912</v>
      </c>
      <c r="G161" t="s">
        <v>11196</v>
      </c>
      <c r="H161" t="s">
        <v>486</v>
      </c>
      <c r="I161" t="s">
        <v>20750</v>
      </c>
    </row>
    <row r="162" spans="1:9" x14ac:dyDescent="0.2">
      <c r="A162" t="s">
        <v>13860</v>
      </c>
      <c r="B162" t="s">
        <v>14359</v>
      </c>
      <c r="C162" t="s">
        <v>6991</v>
      </c>
      <c r="D162" t="s">
        <v>14360</v>
      </c>
      <c r="F162" t="s">
        <v>11073</v>
      </c>
      <c r="G162" t="s">
        <v>13600</v>
      </c>
      <c r="H162" t="s">
        <v>546</v>
      </c>
      <c r="I162" t="s">
        <v>190</v>
      </c>
    </row>
    <row r="163" spans="1:9" x14ac:dyDescent="0.2">
      <c r="A163" t="s">
        <v>2325</v>
      </c>
      <c r="B163" t="s">
        <v>14359</v>
      </c>
      <c r="C163" t="s">
        <v>10208</v>
      </c>
      <c r="D163" t="s">
        <v>14360</v>
      </c>
      <c r="F163" t="s">
        <v>10904</v>
      </c>
      <c r="G163" t="s">
        <v>11191</v>
      </c>
      <c r="H163" t="s">
        <v>905</v>
      </c>
      <c r="I163" t="s">
        <v>20750</v>
      </c>
    </row>
    <row r="164" spans="1:9" x14ac:dyDescent="0.2">
      <c r="A164" t="s">
        <v>1796</v>
      </c>
      <c r="B164" t="s">
        <v>14359</v>
      </c>
      <c r="C164" t="s">
        <v>8498</v>
      </c>
      <c r="D164" t="s">
        <v>14360</v>
      </c>
      <c r="F164" t="s">
        <v>10902</v>
      </c>
      <c r="G164" t="s">
        <v>11192</v>
      </c>
      <c r="H164" t="s">
        <v>396</v>
      </c>
      <c r="I164" t="s">
        <v>20750</v>
      </c>
    </row>
    <row r="165" spans="1:9" x14ac:dyDescent="0.2">
      <c r="A165" t="s">
        <v>13844</v>
      </c>
      <c r="B165" t="s">
        <v>14359</v>
      </c>
      <c r="C165" t="s">
        <v>6545</v>
      </c>
      <c r="D165" t="s">
        <v>14360</v>
      </c>
      <c r="F165" t="s">
        <v>10906</v>
      </c>
      <c r="G165" t="s">
        <v>11224</v>
      </c>
      <c r="H165" t="s">
        <v>707</v>
      </c>
      <c r="I165" t="s">
        <v>20750</v>
      </c>
    </row>
    <row r="166" spans="1:9" x14ac:dyDescent="0.2">
      <c r="A166" t="s">
        <v>13963</v>
      </c>
      <c r="B166" t="s">
        <v>14359</v>
      </c>
      <c r="C166" t="s">
        <v>8833</v>
      </c>
      <c r="D166" t="s">
        <v>14360</v>
      </c>
      <c r="F166" t="s">
        <v>11067</v>
      </c>
      <c r="G166" t="s">
        <v>13551</v>
      </c>
      <c r="H166" t="s">
        <v>766</v>
      </c>
      <c r="I166" t="s">
        <v>190</v>
      </c>
    </row>
    <row r="167" spans="1:9" x14ac:dyDescent="0.2">
      <c r="A167" t="s">
        <v>2224</v>
      </c>
      <c r="B167" t="s">
        <v>14359</v>
      </c>
      <c r="C167" t="s">
        <v>9790</v>
      </c>
      <c r="D167" t="s">
        <v>14360</v>
      </c>
      <c r="F167" t="s">
        <v>10914</v>
      </c>
      <c r="G167" t="s">
        <v>11297</v>
      </c>
      <c r="H167" t="s">
        <v>985</v>
      </c>
      <c r="I167" t="s">
        <v>20750</v>
      </c>
    </row>
    <row r="168" spans="1:9" x14ac:dyDescent="0.2">
      <c r="A168" t="s">
        <v>13913</v>
      </c>
      <c r="B168" t="s">
        <v>14359</v>
      </c>
      <c r="C168" t="s">
        <v>19353</v>
      </c>
      <c r="D168" t="s">
        <v>14360</v>
      </c>
      <c r="F168" t="s">
        <v>11075</v>
      </c>
      <c r="G168" t="s">
        <v>13455</v>
      </c>
      <c r="H168" t="s">
        <v>1051</v>
      </c>
      <c r="I168" t="s">
        <v>190</v>
      </c>
    </row>
    <row r="169" spans="1:9" x14ac:dyDescent="0.2">
      <c r="A169" t="s">
        <v>13820</v>
      </c>
      <c r="B169" t="s">
        <v>14359</v>
      </c>
      <c r="C169" t="s">
        <v>5658</v>
      </c>
      <c r="D169" t="s">
        <v>14360</v>
      </c>
      <c r="F169" t="s">
        <v>20734</v>
      </c>
      <c r="G169" t="s">
        <v>814</v>
      </c>
      <c r="H169" t="s">
        <v>816</v>
      </c>
      <c r="I169" t="s">
        <v>656</v>
      </c>
    </row>
    <row r="170" spans="1:9" x14ac:dyDescent="0.2">
      <c r="A170" t="s">
        <v>1638</v>
      </c>
      <c r="B170" t="s">
        <v>14359</v>
      </c>
      <c r="C170" t="s">
        <v>19349</v>
      </c>
      <c r="D170" t="s">
        <v>14360</v>
      </c>
      <c r="F170" t="s">
        <v>10837</v>
      </c>
      <c r="G170" t="s">
        <v>11281</v>
      </c>
      <c r="H170" t="s">
        <v>122</v>
      </c>
      <c r="I170" t="s">
        <v>20751</v>
      </c>
    </row>
    <row r="171" spans="1:9" x14ac:dyDescent="0.2">
      <c r="A171" t="s">
        <v>1417</v>
      </c>
      <c r="B171" t="s">
        <v>14359</v>
      </c>
      <c r="C171" t="s">
        <v>19282</v>
      </c>
      <c r="D171" t="s">
        <v>14360</v>
      </c>
      <c r="F171" t="s">
        <v>10839</v>
      </c>
      <c r="G171" t="s">
        <v>11220</v>
      </c>
      <c r="H171" t="s">
        <v>264</v>
      </c>
      <c r="I171" t="s">
        <v>20751</v>
      </c>
    </row>
    <row r="172" spans="1:9" x14ac:dyDescent="0.2">
      <c r="A172" t="s">
        <v>1415</v>
      </c>
      <c r="B172" t="s">
        <v>14359</v>
      </c>
      <c r="C172" t="s">
        <v>19281</v>
      </c>
      <c r="D172" t="s">
        <v>14360</v>
      </c>
      <c r="F172" t="s">
        <v>11021</v>
      </c>
      <c r="G172" t="s">
        <v>13443</v>
      </c>
      <c r="H172" t="s">
        <v>324</v>
      </c>
      <c r="I172" t="s">
        <v>195</v>
      </c>
    </row>
    <row r="173" spans="1:9" x14ac:dyDescent="0.2">
      <c r="A173" t="s">
        <v>1714</v>
      </c>
      <c r="B173" t="s">
        <v>14359</v>
      </c>
      <c r="C173" t="s">
        <v>8169</v>
      </c>
      <c r="D173" t="s">
        <v>14360</v>
      </c>
      <c r="F173" t="s">
        <v>11019</v>
      </c>
      <c r="G173" t="s">
        <v>13446</v>
      </c>
      <c r="H173" t="s">
        <v>194</v>
      </c>
      <c r="I173" t="s">
        <v>195</v>
      </c>
    </row>
    <row r="174" spans="1:9" x14ac:dyDescent="0.2">
      <c r="A174" t="s">
        <v>13823</v>
      </c>
      <c r="B174" t="s">
        <v>14359</v>
      </c>
      <c r="C174" t="s">
        <v>5793</v>
      </c>
      <c r="D174" t="s">
        <v>14360</v>
      </c>
      <c r="F174" t="s">
        <v>10841</v>
      </c>
      <c r="G174" t="s">
        <v>11268</v>
      </c>
      <c r="H174" t="s">
        <v>490</v>
      </c>
      <c r="I174" t="s">
        <v>20751</v>
      </c>
    </row>
    <row r="175" spans="1:9" x14ac:dyDescent="0.2">
      <c r="A175" t="s">
        <v>1686</v>
      </c>
      <c r="B175" t="s">
        <v>14359</v>
      </c>
      <c r="C175" t="s">
        <v>19369</v>
      </c>
      <c r="D175" t="s">
        <v>14360</v>
      </c>
      <c r="F175" t="s">
        <v>11023</v>
      </c>
      <c r="G175" t="s">
        <v>13699</v>
      </c>
      <c r="H175" t="s">
        <v>550</v>
      </c>
      <c r="I175" t="s">
        <v>195</v>
      </c>
    </row>
    <row r="176" spans="1:9" x14ac:dyDescent="0.2">
      <c r="A176" t="s">
        <v>2193</v>
      </c>
      <c r="B176" t="s">
        <v>14359</v>
      </c>
      <c r="C176" t="s">
        <v>18684</v>
      </c>
      <c r="D176" t="s">
        <v>14360</v>
      </c>
      <c r="F176" t="s">
        <v>10833</v>
      </c>
      <c r="G176" t="s">
        <v>11274</v>
      </c>
      <c r="H176" t="s">
        <v>909</v>
      </c>
      <c r="I176" t="s">
        <v>20751</v>
      </c>
    </row>
    <row r="177" spans="1:9" x14ac:dyDescent="0.2">
      <c r="A177" t="s">
        <v>2036</v>
      </c>
      <c r="B177" t="s">
        <v>14359</v>
      </c>
      <c r="C177" t="s">
        <v>9246</v>
      </c>
      <c r="D177" t="s">
        <v>14360</v>
      </c>
      <c r="F177" t="s">
        <v>10831</v>
      </c>
      <c r="G177" t="s">
        <v>11267</v>
      </c>
      <c r="H177" t="s">
        <v>400</v>
      </c>
      <c r="I177" t="s">
        <v>20751</v>
      </c>
    </row>
    <row r="178" spans="1:9" x14ac:dyDescent="0.2">
      <c r="A178" t="s">
        <v>14050</v>
      </c>
      <c r="B178" t="s">
        <v>14359</v>
      </c>
      <c r="C178" t="s">
        <v>19583</v>
      </c>
      <c r="D178" t="s">
        <v>14360</v>
      </c>
      <c r="F178" t="s">
        <v>10835</v>
      </c>
      <c r="G178" t="s">
        <v>11252</v>
      </c>
      <c r="H178" t="s">
        <v>711</v>
      </c>
      <c r="I178" t="s">
        <v>20751</v>
      </c>
    </row>
    <row r="179" spans="1:9" x14ac:dyDescent="0.2">
      <c r="A179" t="s">
        <v>1602</v>
      </c>
      <c r="B179" t="s">
        <v>14359</v>
      </c>
      <c r="C179" t="s">
        <v>7488</v>
      </c>
      <c r="D179" t="s">
        <v>14360</v>
      </c>
      <c r="F179" t="s">
        <v>11017</v>
      </c>
      <c r="G179" t="s">
        <v>13652</v>
      </c>
      <c r="H179" t="s">
        <v>770</v>
      </c>
      <c r="I179" t="s">
        <v>195</v>
      </c>
    </row>
    <row r="180" spans="1:9" x14ac:dyDescent="0.2">
      <c r="A180" t="s">
        <v>14101</v>
      </c>
      <c r="B180" t="s">
        <v>14359</v>
      </c>
      <c r="C180" t="s">
        <v>10223</v>
      </c>
      <c r="D180" t="s">
        <v>14360</v>
      </c>
      <c r="F180" t="s">
        <v>10843</v>
      </c>
      <c r="G180" t="s">
        <v>11204</v>
      </c>
      <c r="H180" t="s">
        <v>989</v>
      </c>
      <c r="I180" t="s">
        <v>20751</v>
      </c>
    </row>
    <row r="181" spans="1:9" x14ac:dyDescent="0.2">
      <c r="A181" t="s">
        <v>14044</v>
      </c>
      <c r="B181" t="s">
        <v>14359</v>
      </c>
      <c r="C181" t="s">
        <v>9915</v>
      </c>
      <c r="D181" t="s">
        <v>14360</v>
      </c>
      <c r="F181" t="s">
        <v>11025</v>
      </c>
      <c r="G181" t="s">
        <v>13441</v>
      </c>
      <c r="H181" t="s">
        <v>1055</v>
      </c>
      <c r="I181" t="s">
        <v>195</v>
      </c>
    </row>
    <row r="182" spans="1:9" x14ac:dyDescent="0.2">
      <c r="A182" t="s">
        <v>2581</v>
      </c>
      <c r="B182" t="s">
        <v>14359</v>
      </c>
      <c r="C182" t="s">
        <v>4201</v>
      </c>
      <c r="D182" t="s">
        <v>14360</v>
      </c>
      <c r="F182" t="s">
        <v>20735</v>
      </c>
      <c r="G182" t="s">
        <v>11195</v>
      </c>
      <c r="H182" t="s">
        <v>1010</v>
      </c>
      <c r="I182" t="s">
        <v>656</v>
      </c>
    </row>
    <row r="183" spans="1:9" x14ac:dyDescent="0.2">
      <c r="A183" t="s">
        <v>3081</v>
      </c>
      <c r="B183" t="s">
        <v>14359</v>
      </c>
      <c r="C183" t="s">
        <v>19750</v>
      </c>
      <c r="D183" t="s">
        <v>14360</v>
      </c>
      <c r="F183" t="s">
        <v>10740</v>
      </c>
      <c r="G183" t="s">
        <v>10741</v>
      </c>
      <c r="H183" t="s">
        <v>833</v>
      </c>
      <c r="I183" t="s">
        <v>593</v>
      </c>
    </row>
    <row r="184" spans="1:9" x14ac:dyDescent="0.2">
      <c r="A184" t="s">
        <v>3083</v>
      </c>
      <c r="B184" t="s">
        <v>14359</v>
      </c>
      <c r="C184" t="s">
        <v>19751</v>
      </c>
      <c r="D184" t="s">
        <v>14360</v>
      </c>
      <c r="F184" t="s">
        <v>10557</v>
      </c>
      <c r="G184" t="s">
        <v>10558</v>
      </c>
      <c r="H184" t="s">
        <v>820</v>
      </c>
      <c r="I184" t="s">
        <v>346</v>
      </c>
    </row>
    <row r="185" spans="1:9" x14ac:dyDescent="0.2">
      <c r="A185" t="s">
        <v>1533</v>
      </c>
      <c r="B185" t="s">
        <v>14359</v>
      </c>
      <c r="C185" t="s">
        <v>7160</v>
      </c>
      <c r="D185" t="s">
        <v>14360</v>
      </c>
      <c r="F185" t="s">
        <v>10602</v>
      </c>
      <c r="G185" t="s">
        <v>10603</v>
      </c>
      <c r="H185" t="s">
        <v>842</v>
      </c>
      <c r="I185" t="s">
        <v>220</v>
      </c>
    </row>
    <row r="186" spans="1:9" x14ac:dyDescent="0.2">
      <c r="A186" t="s">
        <v>1612</v>
      </c>
      <c r="B186" t="s">
        <v>14359</v>
      </c>
      <c r="C186" t="s">
        <v>7436</v>
      </c>
      <c r="D186" t="s">
        <v>14360</v>
      </c>
      <c r="F186" t="s">
        <v>10614</v>
      </c>
      <c r="G186" t="s">
        <v>10615</v>
      </c>
      <c r="H186" t="s">
        <v>851</v>
      </c>
      <c r="I186" t="s">
        <v>442</v>
      </c>
    </row>
    <row r="187" spans="1:9" x14ac:dyDescent="0.2">
      <c r="A187" t="s">
        <v>1598</v>
      </c>
      <c r="B187" t="s">
        <v>14359</v>
      </c>
      <c r="C187" t="s">
        <v>19338</v>
      </c>
      <c r="D187" t="s">
        <v>14360</v>
      </c>
      <c r="F187" t="s">
        <v>10626</v>
      </c>
      <c r="G187" t="s">
        <v>10627</v>
      </c>
      <c r="H187" t="s">
        <v>884</v>
      </c>
      <c r="I187" t="s">
        <v>857</v>
      </c>
    </row>
    <row r="188" spans="1:9" x14ac:dyDescent="0.2">
      <c r="A188" t="s">
        <v>13840</v>
      </c>
      <c r="B188" t="s">
        <v>14359</v>
      </c>
      <c r="C188" t="s">
        <v>19266</v>
      </c>
      <c r="D188" t="s">
        <v>14360</v>
      </c>
      <c r="F188" t="s">
        <v>10638</v>
      </c>
      <c r="G188" t="s">
        <v>10639</v>
      </c>
      <c r="H188" t="s">
        <v>837</v>
      </c>
      <c r="I188" t="s">
        <v>356</v>
      </c>
    </row>
    <row r="189" spans="1:9" x14ac:dyDescent="0.2">
      <c r="A189" t="s">
        <v>1461</v>
      </c>
      <c r="B189" t="s">
        <v>14359</v>
      </c>
      <c r="C189" t="s">
        <v>6805</v>
      </c>
      <c r="D189" t="s">
        <v>14360</v>
      </c>
      <c r="F189" t="s">
        <v>10590</v>
      </c>
      <c r="G189" t="s">
        <v>10591</v>
      </c>
      <c r="H189" t="s">
        <v>928</v>
      </c>
      <c r="I189" t="s">
        <v>665</v>
      </c>
    </row>
    <row r="190" spans="1:9" x14ac:dyDescent="0.2">
      <c r="A190" t="s">
        <v>14311</v>
      </c>
      <c r="B190" t="s">
        <v>14359</v>
      </c>
      <c r="C190" t="s">
        <v>13039</v>
      </c>
      <c r="D190" t="s">
        <v>14360</v>
      </c>
      <c r="F190" t="s">
        <v>10578</v>
      </c>
      <c r="G190" t="s">
        <v>934</v>
      </c>
      <c r="H190" t="s">
        <v>933</v>
      </c>
      <c r="I190" t="s">
        <v>935</v>
      </c>
    </row>
    <row r="191" spans="1:9" x14ac:dyDescent="0.2">
      <c r="A191" t="s">
        <v>2509</v>
      </c>
      <c r="B191" t="s">
        <v>14359</v>
      </c>
      <c r="C191" t="s">
        <v>3690</v>
      </c>
      <c r="D191" t="s">
        <v>14360</v>
      </c>
      <c r="F191" t="s">
        <v>20736</v>
      </c>
      <c r="G191" t="s">
        <v>846</v>
      </c>
      <c r="H191" t="s">
        <v>847</v>
      </c>
      <c r="I191" t="s">
        <v>426</v>
      </c>
    </row>
    <row r="192" spans="1:9" x14ac:dyDescent="0.2">
      <c r="A192" t="s">
        <v>13862</v>
      </c>
      <c r="B192" t="s">
        <v>14359</v>
      </c>
      <c r="C192" t="s">
        <v>7003</v>
      </c>
      <c r="D192" t="s">
        <v>14360</v>
      </c>
      <c r="F192" t="s">
        <v>10751</v>
      </c>
      <c r="G192" t="s">
        <v>1069</v>
      </c>
      <c r="H192" t="s">
        <v>1071</v>
      </c>
      <c r="I192" t="s">
        <v>651</v>
      </c>
    </row>
    <row r="193" spans="1:9" x14ac:dyDescent="0.2">
      <c r="A193" t="s">
        <v>14042</v>
      </c>
      <c r="B193" t="s">
        <v>14359</v>
      </c>
      <c r="C193" t="s">
        <v>9905</v>
      </c>
      <c r="D193" t="s">
        <v>14360</v>
      </c>
      <c r="F193" t="s">
        <v>20737</v>
      </c>
      <c r="G193" t="s">
        <v>10683</v>
      </c>
      <c r="H193" t="s">
        <v>424</v>
      </c>
      <c r="I193" t="s">
        <v>426</v>
      </c>
    </row>
    <row r="194" spans="1:9" x14ac:dyDescent="0.2">
      <c r="A194" t="s">
        <v>13804</v>
      </c>
      <c r="B194" t="s">
        <v>14359</v>
      </c>
      <c r="C194" t="s">
        <v>13044</v>
      </c>
      <c r="D194" t="s">
        <v>14360</v>
      </c>
      <c r="F194" t="s">
        <v>10747</v>
      </c>
      <c r="G194" t="s">
        <v>1073</v>
      </c>
      <c r="H194" t="s">
        <v>1075</v>
      </c>
      <c r="I194" t="s">
        <v>593</v>
      </c>
    </row>
    <row r="195" spans="1:9" x14ac:dyDescent="0.2">
      <c r="A195" t="s">
        <v>14312</v>
      </c>
      <c r="B195" t="s">
        <v>14359</v>
      </c>
      <c r="C195" t="s">
        <v>13046</v>
      </c>
      <c r="D195" t="s">
        <v>14360</v>
      </c>
      <c r="F195" t="s">
        <v>10566</v>
      </c>
      <c r="G195" t="s">
        <v>11292</v>
      </c>
      <c r="H195" t="s">
        <v>1078</v>
      </c>
      <c r="I195" t="s">
        <v>346</v>
      </c>
    </row>
    <row r="196" spans="1:9" x14ac:dyDescent="0.2">
      <c r="A196" t="s">
        <v>14020</v>
      </c>
      <c r="B196" t="s">
        <v>14359</v>
      </c>
      <c r="C196" t="s">
        <v>9717</v>
      </c>
      <c r="D196" t="s">
        <v>14360</v>
      </c>
      <c r="F196" t="s">
        <v>10605</v>
      </c>
      <c r="G196" t="s">
        <v>10606</v>
      </c>
      <c r="H196" t="s">
        <v>279</v>
      </c>
      <c r="I196" t="s">
        <v>220</v>
      </c>
    </row>
    <row r="197" spans="1:9" x14ac:dyDescent="0.2">
      <c r="A197" t="s">
        <v>2399</v>
      </c>
      <c r="B197" t="s">
        <v>14359</v>
      </c>
      <c r="C197" t="s">
        <v>4714</v>
      </c>
      <c r="D197" t="s">
        <v>14360</v>
      </c>
      <c r="F197" t="s">
        <v>20738</v>
      </c>
      <c r="G197" t="s">
        <v>20739</v>
      </c>
      <c r="H197" t="s">
        <v>65</v>
      </c>
      <c r="I197" t="s">
        <v>56</v>
      </c>
    </row>
    <row r="198" spans="1:9" x14ac:dyDescent="0.2">
      <c r="A198" t="s">
        <v>14090</v>
      </c>
      <c r="B198" t="s">
        <v>14359</v>
      </c>
      <c r="C198" t="s">
        <v>19602</v>
      </c>
      <c r="D198" t="s">
        <v>14360</v>
      </c>
      <c r="F198" t="s">
        <v>10617</v>
      </c>
      <c r="G198" t="s">
        <v>10618</v>
      </c>
      <c r="H198" t="s">
        <v>505</v>
      </c>
      <c r="I198" t="s">
        <v>442</v>
      </c>
    </row>
    <row r="199" spans="1:9" x14ac:dyDescent="0.2">
      <c r="A199" t="s">
        <v>14006</v>
      </c>
      <c r="B199" t="s">
        <v>14359</v>
      </c>
      <c r="C199" t="s">
        <v>19551</v>
      </c>
      <c r="D199" t="s">
        <v>14360</v>
      </c>
      <c r="F199" t="s">
        <v>10629</v>
      </c>
      <c r="G199" t="s">
        <v>10630</v>
      </c>
      <c r="H199" t="s">
        <v>924</v>
      </c>
      <c r="I199" t="s">
        <v>857</v>
      </c>
    </row>
    <row r="200" spans="1:9" x14ac:dyDescent="0.2">
      <c r="A200" t="s">
        <v>1269</v>
      </c>
      <c r="B200" t="s">
        <v>14359</v>
      </c>
      <c r="C200" t="s">
        <v>19234</v>
      </c>
      <c r="D200" t="s">
        <v>14360</v>
      </c>
      <c r="F200" t="s">
        <v>10641</v>
      </c>
      <c r="G200" t="s">
        <v>10642</v>
      </c>
      <c r="H200" t="s">
        <v>415</v>
      </c>
      <c r="I200" t="s">
        <v>356</v>
      </c>
    </row>
    <row r="201" spans="1:9" x14ac:dyDescent="0.2">
      <c r="A201" t="s">
        <v>14076</v>
      </c>
      <c r="B201" t="s">
        <v>14359</v>
      </c>
      <c r="C201" t="s">
        <v>10094</v>
      </c>
      <c r="D201" t="s">
        <v>14360</v>
      </c>
      <c r="F201" t="s">
        <v>10593</v>
      </c>
      <c r="G201" t="s">
        <v>10594</v>
      </c>
      <c r="H201" t="s">
        <v>726</v>
      </c>
      <c r="I201" t="s">
        <v>665</v>
      </c>
    </row>
    <row r="202" spans="1:9" x14ac:dyDescent="0.2">
      <c r="A202" t="s">
        <v>2257</v>
      </c>
      <c r="B202" t="s">
        <v>14359</v>
      </c>
      <c r="C202" t="s">
        <v>9928</v>
      </c>
      <c r="D202" t="s">
        <v>14360</v>
      </c>
      <c r="F202" t="s">
        <v>10581</v>
      </c>
      <c r="G202" t="s">
        <v>11208</v>
      </c>
      <c r="H202" t="s">
        <v>1005</v>
      </c>
      <c r="I202" t="s">
        <v>935</v>
      </c>
    </row>
    <row r="203" spans="1:9" x14ac:dyDescent="0.2">
      <c r="A203" t="s">
        <v>14313</v>
      </c>
      <c r="B203" t="s">
        <v>14359</v>
      </c>
      <c r="C203" t="s">
        <v>13048</v>
      </c>
      <c r="D203" t="s">
        <v>14360</v>
      </c>
      <c r="F203" t="s">
        <v>10922</v>
      </c>
      <c r="G203" t="s">
        <v>11137</v>
      </c>
      <c r="H203" t="s">
        <v>127</v>
      </c>
      <c r="I203" t="s">
        <v>20752</v>
      </c>
    </row>
    <row r="204" spans="1:9" x14ac:dyDescent="0.2">
      <c r="A204" t="s">
        <v>14015</v>
      </c>
      <c r="B204" t="s">
        <v>14359</v>
      </c>
      <c r="C204" t="s">
        <v>9679</v>
      </c>
      <c r="D204" t="s">
        <v>14360</v>
      </c>
      <c r="F204" t="s">
        <v>10924</v>
      </c>
      <c r="G204" t="s">
        <v>11138</v>
      </c>
      <c r="H204" t="s">
        <v>268</v>
      </c>
      <c r="I204" t="s">
        <v>20752</v>
      </c>
    </row>
    <row r="205" spans="1:9" x14ac:dyDescent="0.2">
      <c r="A205" t="s">
        <v>1272</v>
      </c>
      <c r="B205" t="s">
        <v>14359</v>
      </c>
      <c r="C205" t="s">
        <v>5914</v>
      </c>
      <c r="D205" t="s">
        <v>14360</v>
      </c>
      <c r="F205" t="s">
        <v>11081</v>
      </c>
      <c r="G205" t="s">
        <v>13611</v>
      </c>
      <c r="H205" t="s">
        <v>328</v>
      </c>
      <c r="I205" t="s">
        <v>200</v>
      </c>
    </row>
    <row r="206" spans="1:9" x14ac:dyDescent="0.2">
      <c r="A206" t="s">
        <v>2248</v>
      </c>
      <c r="B206" t="s">
        <v>14359</v>
      </c>
      <c r="C206" t="s">
        <v>10049</v>
      </c>
      <c r="D206" t="s">
        <v>14360</v>
      </c>
      <c r="F206" t="s">
        <v>11079</v>
      </c>
      <c r="G206" t="s">
        <v>13625</v>
      </c>
      <c r="H206" t="s">
        <v>199</v>
      </c>
      <c r="I206" t="s">
        <v>200</v>
      </c>
    </row>
    <row r="207" spans="1:9" x14ac:dyDescent="0.2">
      <c r="A207" t="s">
        <v>2377</v>
      </c>
      <c r="B207" t="s">
        <v>14359</v>
      </c>
      <c r="C207" t="s">
        <v>3510</v>
      </c>
      <c r="D207" t="s">
        <v>14360</v>
      </c>
      <c r="F207" t="s">
        <v>10926</v>
      </c>
      <c r="G207" t="s">
        <v>11135</v>
      </c>
      <c r="H207" t="s">
        <v>494</v>
      </c>
      <c r="I207" t="s">
        <v>20752</v>
      </c>
    </row>
    <row r="208" spans="1:9" x14ac:dyDescent="0.2">
      <c r="A208" t="s">
        <v>13936</v>
      </c>
      <c r="B208" t="s">
        <v>14359</v>
      </c>
      <c r="C208" t="s">
        <v>11587</v>
      </c>
      <c r="D208" t="s">
        <v>14360</v>
      </c>
      <c r="F208" t="s">
        <v>11083</v>
      </c>
      <c r="G208" t="s">
        <v>13732</v>
      </c>
      <c r="H208" t="s">
        <v>554</v>
      </c>
      <c r="I208" t="s">
        <v>200</v>
      </c>
    </row>
    <row r="209" spans="1:9" x14ac:dyDescent="0.2">
      <c r="A209" t="s">
        <v>12</v>
      </c>
      <c r="B209" t="s">
        <v>14358</v>
      </c>
      <c r="C209" t="s">
        <v>10</v>
      </c>
      <c r="D209" t="s">
        <v>10</v>
      </c>
      <c r="F209" t="s">
        <v>10918</v>
      </c>
      <c r="G209" t="s">
        <v>11126</v>
      </c>
      <c r="H209" t="s">
        <v>913</v>
      </c>
      <c r="I209" t="s">
        <v>20752</v>
      </c>
    </row>
    <row r="210" spans="1:9" x14ac:dyDescent="0.2">
      <c r="A210" t="s">
        <v>13756</v>
      </c>
      <c r="B210" t="s">
        <v>14359</v>
      </c>
      <c r="C210" t="s">
        <v>10</v>
      </c>
      <c r="D210" t="s">
        <v>14360</v>
      </c>
      <c r="F210" t="s">
        <v>10916</v>
      </c>
      <c r="G210" t="s">
        <v>11132</v>
      </c>
      <c r="H210" t="s">
        <v>404</v>
      </c>
      <c r="I210" t="s">
        <v>20752</v>
      </c>
    </row>
    <row r="211" spans="1:9" x14ac:dyDescent="0.2">
      <c r="A211" t="s">
        <v>14011</v>
      </c>
      <c r="B211" t="s">
        <v>14359</v>
      </c>
      <c r="C211" t="s">
        <v>19553</v>
      </c>
      <c r="D211" t="s">
        <v>14360</v>
      </c>
      <c r="F211" t="s">
        <v>10920</v>
      </c>
      <c r="G211" t="s">
        <v>11125</v>
      </c>
      <c r="H211" t="s">
        <v>715</v>
      </c>
      <c r="I211" t="s">
        <v>20752</v>
      </c>
    </row>
    <row r="212" spans="1:9" x14ac:dyDescent="0.2">
      <c r="A212" t="s">
        <v>13999</v>
      </c>
      <c r="B212" t="s">
        <v>14359</v>
      </c>
      <c r="C212" t="s">
        <v>9551</v>
      </c>
      <c r="D212" t="s">
        <v>14360</v>
      </c>
      <c r="F212" t="s">
        <v>11077</v>
      </c>
      <c r="G212" t="s">
        <v>13608</v>
      </c>
      <c r="H212" t="s">
        <v>774</v>
      </c>
      <c r="I212" t="s">
        <v>200</v>
      </c>
    </row>
    <row r="213" spans="1:9" x14ac:dyDescent="0.2">
      <c r="A213" t="s">
        <v>14314</v>
      </c>
      <c r="B213" t="s">
        <v>14359</v>
      </c>
      <c r="C213" t="s">
        <v>13051</v>
      </c>
      <c r="D213" t="s">
        <v>14360</v>
      </c>
      <c r="F213" t="s">
        <v>10928</v>
      </c>
      <c r="G213" t="s">
        <v>11255</v>
      </c>
      <c r="H213" t="s">
        <v>993</v>
      </c>
      <c r="I213" t="s">
        <v>20752</v>
      </c>
    </row>
    <row r="214" spans="1:9" x14ac:dyDescent="0.2">
      <c r="A214" t="s">
        <v>1232</v>
      </c>
      <c r="B214" t="s">
        <v>14359</v>
      </c>
      <c r="C214" t="s">
        <v>5688</v>
      </c>
      <c r="D214" t="s">
        <v>14360</v>
      </c>
      <c r="F214" t="s">
        <v>11085</v>
      </c>
      <c r="G214" t="s">
        <v>13613</v>
      </c>
      <c r="H214" t="s">
        <v>1059</v>
      </c>
      <c r="I214" t="s">
        <v>200</v>
      </c>
    </row>
    <row r="215" spans="1:9" x14ac:dyDescent="0.2">
      <c r="A215" t="s">
        <v>2287</v>
      </c>
      <c r="B215" t="s">
        <v>14359</v>
      </c>
      <c r="C215" t="s">
        <v>10097</v>
      </c>
      <c r="D215" t="s">
        <v>14360</v>
      </c>
      <c r="F215" t="s">
        <v>10795</v>
      </c>
      <c r="G215" t="s">
        <v>11253</v>
      </c>
      <c r="H215" t="s">
        <v>132</v>
      </c>
      <c r="I215" t="s">
        <v>20753</v>
      </c>
    </row>
    <row r="216" spans="1:9" x14ac:dyDescent="0.2">
      <c r="A216" t="s">
        <v>1380</v>
      </c>
      <c r="B216" t="s">
        <v>14359</v>
      </c>
      <c r="C216" t="s">
        <v>19268</v>
      </c>
      <c r="D216" t="s">
        <v>14360</v>
      </c>
      <c r="F216" t="s">
        <v>10797</v>
      </c>
      <c r="G216" t="s">
        <v>11266</v>
      </c>
      <c r="H216" t="s">
        <v>272</v>
      </c>
      <c r="I216" t="s">
        <v>20753</v>
      </c>
    </row>
    <row r="217" spans="1:9" x14ac:dyDescent="0.2">
      <c r="A217" t="s">
        <v>1845</v>
      </c>
      <c r="B217" t="s">
        <v>14359</v>
      </c>
      <c r="C217" t="s">
        <v>8636</v>
      </c>
      <c r="D217" t="s">
        <v>14360</v>
      </c>
      <c r="F217" t="s">
        <v>10990</v>
      </c>
      <c r="G217" t="s">
        <v>13634</v>
      </c>
      <c r="H217" t="s">
        <v>332</v>
      </c>
      <c r="I217" t="s">
        <v>205</v>
      </c>
    </row>
    <row r="218" spans="1:9" x14ac:dyDescent="0.2">
      <c r="A218" t="s">
        <v>2253</v>
      </c>
      <c r="B218" t="s">
        <v>14359</v>
      </c>
      <c r="C218" t="s">
        <v>9902</v>
      </c>
      <c r="D218" t="s">
        <v>14360</v>
      </c>
      <c r="F218" t="s">
        <v>10988</v>
      </c>
      <c r="G218" t="s">
        <v>13636</v>
      </c>
      <c r="H218" t="s">
        <v>204</v>
      </c>
      <c r="I218" t="s">
        <v>205</v>
      </c>
    </row>
    <row r="219" spans="1:9" x14ac:dyDescent="0.2">
      <c r="A219" t="s">
        <v>1573</v>
      </c>
      <c r="B219" t="s">
        <v>14359</v>
      </c>
      <c r="C219" t="s">
        <v>7284</v>
      </c>
      <c r="D219" t="s">
        <v>14360</v>
      </c>
      <c r="F219" t="s">
        <v>10799</v>
      </c>
      <c r="G219" t="s">
        <v>11269</v>
      </c>
      <c r="H219" t="s">
        <v>498</v>
      </c>
      <c r="I219" t="s">
        <v>20753</v>
      </c>
    </row>
    <row r="220" spans="1:9" x14ac:dyDescent="0.2">
      <c r="A220" t="s">
        <v>14023</v>
      </c>
      <c r="B220" t="s">
        <v>14359</v>
      </c>
      <c r="C220" t="s">
        <v>9752</v>
      </c>
      <c r="D220" t="s">
        <v>14360</v>
      </c>
      <c r="F220" t="s">
        <v>10992</v>
      </c>
      <c r="G220" t="s">
        <v>13660</v>
      </c>
      <c r="H220" t="s">
        <v>558</v>
      </c>
      <c r="I220" t="s">
        <v>205</v>
      </c>
    </row>
    <row r="221" spans="1:9" x14ac:dyDescent="0.2">
      <c r="A221" t="s">
        <v>14315</v>
      </c>
      <c r="B221" t="s">
        <v>14359</v>
      </c>
      <c r="C221" t="s">
        <v>13058</v>
      </c>
      <c r="D221" t="s">
        <v>14360</v>
      </c>
      <c r="F221" t="s">
        <v>10791</v>
      </c>
      <c r="G221" t="s">
        <v>11235</v>
      </c>
      <c r="H221" t="s">
        <v>917</v>
      </c>
      <c r="I221" t="s">
        <v>20753</v>
      </c>
    </row>
    <row r="222" spans="1:9" x14ac:dyDescent="0.2">
      <c r="A222" t="s">
        <v>2395</v>
      </c>
      <c r="B222" t="s">
        <v>14359</v>
      </c>
      <c r="C222" t="s">
        <v>3501</v>
      </c>
      <c r="D222" t="s">
        <v>14360</v>
      </c>
      <c r="F222" t="s">
        <v>10789</v>
      </c>
      <c r="G222" t="s">
        <v>11232</v>
      </c>
      <c r="H222" t="s">
        <v>408</v>
      </c>
      <c r="I222" t="s">
        <v>20753</v>
      </c>
    </row>
    <row r="223" spans="1:9" x14ac:dyDescent="0.2">
      <c r="A223" t="s">
        <v>1246</v>
      </c>
      <c r="B223" t="s">
        <v>14359</v>
      </c>
      <c r="C223" t="s">
        <v>5853</v>
      </c>
      <c r="D223" t="s">
        <v>14360</v>
      </c>
      <c r="F223" t="s">
        <v>10793</v>
      </c>
      <c r="G223" t="s">
        <v>11257</v>
      </c>
      <c r="H223" t="s">
        <v>719</v>
      </c>
      <c r="I223" t="s">
        <v>20753</v>
      </c>
    </row>
    <row r="224" spans="1:9" x14ac:dyDescent="0.2">
      <c r="A224" t="s">
        <v>1196</v>
      </c>
      <c r="B224" t="s">
        <v>14359</v>
      </c>
      <c r="C224" t="s">
        <v>5627</v>
      </c>
      <c r="D224" t="s">
        <v>14360</v>
      </c>
      <c r="F224" t="s">
        <v>10986</v>
      </c>
      <c r="G224" t="s">
        <v>13620</v>
      </c>
      <c r="H224" t="s">
        <v>778</v>
      </c>
      <c r="I224" t="s">
        <v>205</v>
      </c>
    </row>
    <row r="225" spans="1:9" x14ac:dyDescent="0.2">
      <c r="A225" t="s">
        <v>1207</v>
      </c>
      <c r="B225" t="s">
        <v>14359</v>
      </c>
      <c r="C225" t="s">
        <v>5512</v>
      </c>
      <c r="D225" t="s">
        <v>14360</v>
      </c>
      <c r="F225" t="s">
        <v>10801</v>
      </c>
      <c r="G225" t="s">
        <v>11217</v>
      </c>
      <c r="H225" t="s">
        <v>997</v>
      </c>
      <c r="I225" t="s">
        <v>20753</v>
      </c>
    </row>
    <row r="226" spans="1:9" x14ac:dyDescent="0.2">
      <c r="A226" t="s">
        <v>14103</v>
      </c>
      <c r="B226" t="s">
        <v>14359</v>
      </c>
      <c r="C226" t="s">
        <v>10231</v>
      </c>
      <c r="D226" t="s">
        <v>14360</v>
      </c>
      <c r="F226" t="s">
        <v>10994</v>
      </c>
      <c r="G226" t="s">
        <v>13616</v>
      </c>
      <c r="H226" t="s">
        <v>1063</v>
      </c>
      <c r="I226" t="s">
        <v>205</v>
      </c>
    </row>
    <row r="227" spans="1:9" x14ac:dyDescent="0.2">
      <c r="A227" t="s">
        <v>2337</v>
      </c>
      <c r="B227" t="s">
        <v>14359</v>
      </c>
      <c r="C227" t="s">
        <v>10232</v>
      </c>
      <c r="D227" t="s">
        <v>14360</v>
      </c>
      <c r="F227" t="s">
        <v>10852</v>
      </c>
      <c r="G227" t="s">
        <v>11203</v>
      </c>
      <c r="H227" t="s">
        <v>137</v>
      </c>
      <c r="I227" t="s">
        <v>20754</v>
      </c>
    </row>
    <row r="228" spans="1:9" x14ac:dyDescent="0.2">
      <c r="A228" t="s">
        <v>14216</v>
      </c>
      <c r="B228" t="s">
        <v>14359</v>
      </c>
      <c r="C228" t="s">
        <v>11611</v>
      </c>
      <c r="D228" t="s">
        <v>14360</v>
      </c>
      <c r="F228" t="s">
        <v>10854</v>
      </c>
      <c r="G228" t="s">
        <v>11212</v>
      </c>
      <c r="H228" t="s">
        <v>276</v>
      </c>
      <c r="I228" t="s">
        <v>20754</v>
      </c>
    </row>
    <row r="229" spans="1:9" x14ac:dyDescent="0.2">
      <c r="A229" t="s">
        <v>2124</v>
      </c>
      <c r="B229" t="s">
        <v>14359</v>
      </c>
      <c r="C229" t="s">
        <v>9579</v>
      </c>
      <c r="D229" t="s">
        <v>14360</v>
      </c>
      <c r="F229" t="s">
        <v>11031</v>
      </c>
      <c r="G229" t="s">
        <v>13586</v>
      </c>
      <c r="H229" t="s">
        <v>336</v>
      </c>
      <c r="I229" t="s">
        <v>13436</v>
      </c>
    </row>
    <row r="230" spans="1:9" x14ac:dyDescent="0.2">
      <c r="A230" t="s">
        <v>2220</v>
      </c>
      <c r="B230" t="s">
        <v>14359</v>
      </c>
      <c r="C230" t="s">
        <v>9826</v>
      </c>
      <c r="D230" t="s">
        <v>14360</v>
      </c>
      <c r="F230" t="s">
        <v>11029</v>
      </c>
      <c r="G230" t="s">
        <v>13491</v>
      </c>
      <c r="H230" t="s">
        <v>209</v>
      </c>
      <c r="I230" t="s">
        <v>13436</v>
      </c>
    </row>
    <row r="231" spans="1:9" x14ac:dyDescent="0.2">
      <c r="A231" t="s">
        <v>1802</v>
      </c>
      <c r="B231" t="s">
        <v>14359</v>
      </c>
      <c r="C231" t="s">
        <v>8445</v>
      </c>
      <c r="D231" t="s">
        <v>14360</v>
      </c>
      <c r="F231" t="s">
        <v>10856</v>
      </c>
      <c r="G231" t="s">
        <v>11197</v>
      </c>
      <c r="H231" t="s">
        <v>502</v>
      </c>
      <c r="I231" t="s">
        <v>20754</v>
      </c>
    </row>
    <row r="232" spans="1:9" x14ac:dyDescent="0.2">
      <c r="A232" t="s">
        <v>13885</v>
      </c>
      <c r="B232" t="s">
        <v>14359</v>
      </c>
      <c r="C232" t="s">
        <v>7480</v>
      </c>
      <c r="D232" t="s">
        <v>14360</v>
      </c>
      <c r="F232" t="s">
        <v>11033</v>
      </c>
      <c r="G232" t="s">
        <v>13453</v>
      </c>
      <c r="H232" t="s">
        <v>562</v>
      </c>
      <c r="I232" t="s">
        <v>13436</v>
      </c>
    </row>
    <row r="233" spans="1:9" x14ac:dyDescent="0.2">
      <c r="A233" t="s">
        <v>1254</v>
      </c>
      <c r="B233" t="s">
        <v>14359</v>
      </c>
      <c r="C233" t="s">
        <v>11613</v>
      </c>
      <c r="D233" t="s">
        <v>14360</v>
      </c>
      <c r="F233" t="s">
        <v>10847</v>
      </c>
      <c r="G233" t="s">
        <v>11241</v>
      </c>
      <c r="H233" t="s">
        <v>921</v>
      </c>
      <c r="I233" t="s">
        <v>20754</v>
      </c>
    </row>
    <row r="234" spans="1:9" x14ac:dyDescent="0.2">
      <c r="A234" t="s">
        <v>14009</v>
      </c>
      <c r="B234" t="s">
        <v>14359</v>
      </c>
      <c r="C234" t="s">
        <v>9640</v>
      </c>
      <c r="D234" t="s">
        <v>14360</v>
      </c>
      <c r="F234" t="s">
        <v>10845</v>
      </c>
      <c r="G234" t="s">
        <v>11258</v>
      </c>
      <c r="H234" t="s">
        <v>412</v>
      </c>
      <c r="I234" t="s">
        <v>20754</v>
      </c>
    </row>
    <row r="235" spans="1:9" x14ac:dyDescent="0.2">
      <c r="A235" t="s">
        <v>14021</v>
      </c>
      <c r="B235" t="s">
        <v>14359</v>
      </c>
      <c r="C235" t="s">
        <v>9730</v>
      </c>
      <c r="D235" t="s">
        <v>14360</v>
      </c>
      <c r="F235" t="s">
        <v>10849</v>
      </c>
      <c r="G235" t="s">
        <v>11188</v>
      </c>
      <c r="H235" t="s">
        <v>723</v>
      </c>
      <c r="I235" t="s">
        <v>20754</v>
      </c>
    </row>
    <row r="236" spans="1:9" x14ac:dyDescent="0.2">
      <c r="A236" t="s">
        <v>1163</v>
      </c>
      <c r="B236" t="s">
        <v>14359</v>
      </c>
      <c r="C236" t="s">
        <v>5376</v>
      </c>
      <c r="D236" t="s">
        <v>14360</v>
      </c>
      <c r="F236" t="s">
        <v>11027</v>
      </c>
      <c r="G236" t="s">
        <v>13437</v>
      </c>
      <c r="H236" t="s">
        <v>782</v>
      </c>
      <c r="I236" t="s">
        <v>13436</v>
      </c>
    </row>
    <row r="237" spans="1:9" x14ac:dyDescent="0.2">
      <c r="A237" t="s">
        <v>1839</v>
      </c>
      <c r="B237" t="s">
        <v>14359</v>
      </c>
      <c r="C237" t="s">
        <v>8661</v>
      </c>
      <c r="D237" t="s">
        <v>14360</v>
      </c>
      <c r="F237" t="s">
        <v>10858</v>
      </c>
      <c r="G237" t="s">
        <v>11219</v>
      </c>
      <c r="H237" t="s">
        <v>1001</v>
      </c>
      <c r="I237" t="s">
        <v>20754</v>
      </c>
    </row>
    <row r="238" spans="1:9" x14ac:dyDescent="0.2">
      <c r="A238" t="s">
        <v>1835</v>
      </c>
      <c r="B238" t="s">
        <v>14359</v>
      </c>
      <c r="C238" t="s">
        <v>8664</v>
      </c>
      <c r="D238" t="s">
        <v>14360</v>
      </c>
      <c r="F238" t="s">
        <v>11035</v>
      </c>
      <c r="G238" t="s">
        <v>13433</v>
      </c>
      <c r="H238" t="s">
        <v>1067</v>
      </c>
      <c r="I238" t="s">
        <v>13436</v>
      </c>
    </row>
    <row r="239" spans="1:9" x14ac:dyDescent="0.2">
      <c r="A239" t="s">
        <v>1732</v>
      </c>
      <c r="B239" t="s">
        <v>14359</v>
      </c>
      <c r="C239" t="s">
        <v>11619</v>
      </c>
      <c r="D239" t="s">
        <v>14360</v>
      </c>
      <c r="F239" t="s">
        <v>10778</v>
      </c>
      <c r="G239" t="s">
        <v>11296</v>
      </c>
      <c r="H239" t="s">
        <v>70</v>
      </c>
      <c r="I239" t="s">
        <v>20755</v>
      </c>
    </row>
    <row r="240" spans="1:9" x14ac:dyDescent="0.2">
      <c r="A240" t="s">
        <v>2430</v>
      </c>
      <c r="B240" t="s">
        <v>14359</v>
      </c>
      <c r="C240" t="s">
        <v>4928</v>
      </c>
      <c r="D240" t="s">
        <v>14360</v>
      </c>
      <c r="F240" t="s">
        <v>10780</v>
      </c>
      <c r="G240" t="s">
        <v>11294</v>
      </c>
      <c r="H240" t="s">
        <v>214</v>
      </c>
      <c r="I240" t="s">
        <v>20755</v>
      </c>
    </row>
    <row r="241" spans="1:9" x14ac:dyDescent="0.2">
      <c r="A241" t="s">
        <v>1704</v>
      </c>
      <c r="B241" t="s">
        <v>14359</v>
      </c>
      <c r="C241" t="s">
        <v>8079</v>
      </c>
      <c r="D241" t="s">
        <v>14360</v>
      </c>
      <c r="F241" t="s">
        <v>10978</v>
      </c>
      <c r="G241" t="s">
        <v>13596</v>
      </c>
      <c r="H241" t="s">
        <v>284</v>
      </c>
      <c r="I241" t="s">
        <v>13555</v>
      </c>
    </row>
    <row r="242" spans="1:9" x14ac:dyDescent="0.2">
      <c r="A242" t="s">
        <v>1202</v>
      </c>
      <c r="B242" t="s">
        <v>14359</v>
      </c>
      <c r="C242" t="s">
        <v>5650</v>
      </c>
      <c r="D242" t="s">
        <v>14360</v>
      </c>
      <c r="F242" t="s">
        <v>10975</v>
      </c>
      <c r="G242" t="s">
        <v>13689</v>
      </c>
      <c r="H242" t="s">
        <v>142</v>
      </c>
      <c r="I242" t="s">
        <v>13555</v>
      </c>
    </row>
    <row r="243" spans="1:9" x14ac:dyDescent="0.2">
      <c r="A243" t="s">
        <v>1115</v>
      </c>
      <c r="B243" t="s">
        <v>14359</v>
      </c>
      <c r="C243" t="s">
        <v>5193</v>
      </c>
      <c r="D243" t="s">
        <v>14360</v>
      </c>
      <c r="F243" t="s">
        <v>10783</v>
      </c>
      <c r="G243" t="s">
        <v>11216</v>
      </c>
      <c r="H243" t="s">
        <v>441</v>
      </c>
      <c r="I243" t="s">
        <v>20755</v>
      </c>
    </row>
    <row r="244" spans="1:9" x14ac:dyDescent="0.2">
      <c r="A244" t="s">
        <v>1495</v>
      </c>
      <c r="B244" t="s">
        <v>14359</v>
      </c>
      <c r="C244" t="s">
        <v>6940</v>
      </c>
      <c r="D244" t="s">
        <v>14360</v>
      </c>
      <c r="F244" t="s">
        <v>10981</v>
      </c>
      <c r="G244" t="s">
        <v>13553</v>
      </c>
      <c r="H244" t="s">
        <v>510</v>
      </c>
      <c r="I244" t="s">
        <v>13555</v>
      </c>
    </row>
    <row r="245" spans="1:9" x14ac:dyDescent="0.2">
      <c r="A245" t="s">
        <v>1606</v>
      </c>
      <c r="B245" t="s">
        <v>14359</v>
      </c>
      <c r="C245" t="s">
        <v>7502</v>
      </c>
      <c r="D245" t="s">
        <v>14360</v>
      </c>
      <c r="F245" t="s">
        <v>10772</v>
      </c>
      <c r="G245" t="s">
        <v>11249</v>
      </c>
      <c r="H245" t="s">
        <v>856</v>
      </c>
      <c r="I245" t="s">
        <v>20755</v>
      </c>
    </row>
    <row r="246" spans="1:9" x14ac:dyDescent="0.2">
      <c r="A246" t="s">
        <v>1766</v>
      </c>
      <c r="B246" t="s">
        <v>14359</v>
      </c>
      <c r="C246" t="s">
        <v>8363</v>
      </c>
      <c r="D246" t="s">
        <v>14360</v>
      </c>
      <c r="F246" t="s">
        <v>10769</v>
      </c>
      <c r="G246" t="s">
        <v>11275</v>
      </c>
      <c r="H246" t="s">
        <v>350</v>
      </c>
      <c r="I246" t="s">
        <v>20755</v>
      </c>
    </row>
    <row r="247" spans="1:9" x14ac:dyDescent="0.2">
      <c r="A247" t="s">
        <v>1109</v>
      </c>
      <c r="B247" t="s">
        <v>14359</v>
      </c>
      <c r="C247" t="s">
        <v>5209</v>
      </c>
      <c r="D247" t="s">
        <v>14360</v>
      </c>
      <c r="F247" t="s">
        <v>10775</v>
      </c>
      <c r="G247" t="s">
        <v>11237</v>
      </c>
      <c r="H247" t="s">
        <v>664</v>
      </c>
      <c r="I247" t="s">
        <v>20755</v>
      </c>
    </row>
    <row r="248" spans="1:9" x14ac:dyDescent="0.2">
      <c r="A248" t="s">
        <v>1244</v>
      </c>
      <c r="B248" t="s">
        <v>14359</v>
      </c>
      <c r="C248" t="s">
        <v>5845</v>
      </c>
      <c r="D248" t="s">
        <v>14360</v>
      </c>
      <c r="F248" t="s">
        <v>10972</v>
      </c>
      <c r="G248" t="s">
        <v>13685</v>
      </c>
      <c r="H248" t="s">
        <v>730</v>
      </c>
      <c r="I248" t="s">
        <v>13555</v>
      </c>
    </row>
    <row r="249" spans="1:9" x14ac:dyDescent="0.2">
      <c r="A249" t="s">
        <v>13805</v>
      </c>
      <c r="B249" t="s">
        <v>14359</v>
      </c>
      <c r="C249" t="s">
        <v>19182</v>
      </c>
      <c r="D249" t="s">
        <v>14360</v>
      </c>
      <c r="F249" t="s">
        <v>10786</v>
      </c>
      <c r="G249" t="s">
        <v>11262</v>
      </c>
      <c r="H249" t="s">
        <v>939</v>
      </c>
      <c r="I249" t="s">
        <v>20755</v>
      </c>
    </row>
    <row r="250" spans="1:9" x14ac:dyDescent="0.2">
      <c r="A250" t="s">
        <v>13764</v>
      </c>
      <c r="B250" t="s">
        <v>14359</v>
      </c>
      <c r="C250" t="s">
        <v>11633</v>
      </c>
      <c r="D250" t="s">
        <v>14360</v>
      </c>
      <c r="F250" t="s">
        <v>10984</v>
      </c>
      <c r="G250" t="s">
        <v>13727</v>
      </c>
      <c r="H250" t="s">
        <v>1015</v>
      </c>
      <c r="I250" t="s">
        <v>13555</v>
      </c>
    </row>
    <row r="251" spans="1:9" x14ac:dyDescent="0.2">
      <c r="A251" t="s">
        <v>2347</v>
      </c>
      <c r="B251" t="s">
        <v>14359</v>
      </c>
      <c r="C251" t="s">
        <v>4602</v>
      </c>
      <c r="D251" t="s">
        <v>14360</v>
      </c>
    </row>
    <row r="252" spans="1:9" x14ac:dyDescent="0.2">
      <c r="A252" t="s">
        <v>1469</v>
      </c>
      <c r="B252" t="s">
        <v>14359</v>
      </c>
      <c r="C252" t="s">
        <v>6869</v>
      </c>
      <c r="D252" t="s">
        <v>14360</v>
      </c>
    </row>
    <row r="253" spans="1:9" x14ac:dyDescent="0.2">
      <c r="A253" t="s">
        <v>14081</v>
      </c>
      <c r="B253" t="s">
        <v>14359</v>
      </c>
      <c r="C253" t="s">
        <v>10124</v>
      </c>
      <c r="D253" t="s">
        <v>14360</v>
      </c>
    </row>
    <row r="254" spans="1:9" x14ac:dyDescent="0.2">
      <c r="A254" t="s">
        <v>1353</v>
      </c>
      <c r="B254" t="s">
        <v>14359</v>
      </c>
      <c r="C254" t="s">
        <v>6341</v>
      </c>
      <c r="D254" t="s">
        <v>14360</v>
      </c>
    </row>
    <row r="255" spans="1:9" x14ac:dyDescent="0.2">
      <c r="A255" t="s">
        <v>13933</v>
      </c>
      <c r="B255" t="s">
        <v>14359</v>
      </c>
      <c r="C255" t="s">
        <v>18241</v>
      </c>
      <c r="D255" t="s">
        <v>14360</v>
      </c>
    </row>
    <row r="256" spans="1:9" x14ac:dyDescent="0.2">
      <c r="A256" t="s">
        <v>1849</v>
      </c>
      <c r="B256" t="s">
        <v>14359</v>
      </c>
      <c r="C256" t="s">
        <v>8649</v>
      </c>
      <c r="D256" t="s">
        <v>14360</v>
      </c>
    </row>
    <row r="257" spans="1:4" x14ac:dyDescent="0.2">
      <c r="A257" t="s">
        <v>13849</v>
      </c>
      <c r="B257" t="s">
        <v>14359</v>
      </c>
      <c r="C257" t="s">
        <v>6736</v>
      </c>
      <c r="D257" t="s">
        <v>14360</v>
      </c>
    </row>
    <row r="258" spans="1:4" x14ac:dyDescent="0.2">
      <c r="A258" t="s">
        <v>2401</v>
      </c>
      <c r="B258" t="s">
        <v>14359</v>
      </c>
      <c r="C258" t="s">
        <v>4706</v>
      </c>
      <c r="D258" t="s">
        <v>14360</v>
      </c>
    </row>
    <row r="259" spans="1:4" x14ac:dyDescent="0.2">
      <c r="A259" t="s">
        <v>13797</v>
      </c>
      <c r="B259" t="s">
        <v>14359</v>
      </c>
      <c r="C259" t="s">
        <v>4945</v>
      </c>
      <c r="D259" t="s">
        <v>14360</v>
      </c>
    </row>
    <row r="260" spans="1:4" x14ac:dyDescent="0.2">
      <c r="A260" t="s">
        <v>13806</v>
      </c>
      <c r="B260" t="s">
        <v>14359</v>
      </c>
      <c r="C260" t="s">
        <v>5217</v>
      </c>
      <c r="D260" t="s">
        <v>14360</v>
      </c>
    </row>
    <row r="261" spans="1:4" x14ac:dyDescent="0.2">
      <c r="A261" t="s">
        <v>2465</v>
      </c>
      <c r="B261" t="s">
        <v>14359</v>
      </c>
      <c r="C261" t="s">
        <v>5107</v>
      </c>
      <c r="D261" t="s">
        <v>14360</v>
      </c>
    </row>
    <row r="262" spans="1:4" x14ac:dyDescent="0.2">
      <c r="A262" t="s">
        <v>2261</v>
      </c>
      <c r="B262" t="s">
        <v>14359</v>
      </c>
      <c r="C262" t="s">
        <v>9931</v>
      </c>
      <c r="D262" t="s">
        <v>14360</v>
      </c>
    </row>
    <row r="263" spans="1:4" x14ac:dyDescent="0.2">
      <c r="A263" t="s">
        <v>1177</v>
      </c>
      <c r="B263" t="s">
        <v>14359</v>
      </c>
      <c r="C263" t="s">
        <v>5499</v>
      </c>
      <c r="D263" t="s">
        <v>14360</v>
      </c>
    </row>
    <row r="264" spans="1:4" x14ac:dyDescent="0.2">
      <c r="A264" t="s">
        <v>14029</v>
      </c>
      <c r="B264" t="s">
        <v>14359</v>
      </c>
      <c r="C264" t="s">
        <v>9823</v>
      </c>
      <c r="D264" t="s">
        <v>14360</v>
      </c>
    </row>
    <row r="265" spans="1:4" x14ac:dyDescent="0.2">
      <c r="A265" t="s">
        <v>1530</v>
      </c>
      <c r="B265" t="s">
        <v>14359</v>
      </c>
      <c r="C265" t="s">
        <v>7059</v>
      </c>
      <c r="D265" t="s">
        <v>14360</v>
      </c>
    </row>
    <row r="266" spans="1:4" x14ac:dyDescent="0.2">
      <c r="A266" t="s">
        <v>14316</v>
      </c>
      <c r="B266" t="s">
        <v>14359</v>
      </c>
      <c r="C266" t="s">
        <v>13078</v>
      </c>
      <c r="D266" t="s">
        <v>14360</v>
      </c>
    </row>
    <row r="267" spans="1:4" x14ac:dyDescent="0.2">
      <c r="A267" t="s">
        <v>1575</v>
      </c>
      <c r="B267" t="s">
        <v>14359</v>
      </c>
      <c r="C267" t="s">
        <v>7372</v>
      </c>
      <c r="D267" t="s">
        <v>14360</v>
      </c>
    </row>
    <row r="268" spans="1:4" x14ac:dyDescent="0.2">
      <c r="A268" t="s">
        <v>14026</v>
      </c>
      <c r="B268" t="s">
        <v>14359</v>
      </c>
      <c r="C268" t="s">
        <v>9798</v>
      </c>
      <c r="D268" t="s">
        <v>14360</v>
      </c>
    </row>
    <row r="269" spans="1:4" x14ac:dyDescent="0.2">
      <c r="A269" t="s">
        <v>14317</v>
      </c>
      <c r="B269" t="s">
        <v>14359</v>
      </c>
      <c r="C269" t="s">
        <v>13080</v>
      </c>
      <c r="D269" t="s">
        <v>14360</v>
      </c>
    </row>
    <row r="270" spans="1:4" x14ac:dyDescent="0.2">
      <c r="A270" t="s">
        <v>1497</v>
      </c>
      <c r="B270" t="s">
        <v>14359</v>
      </c>
      <c r="C270" t="s">
        <v>6924</v>
      </c>
      <c r="D270" t="s">
        <v>14360</v>
      </c>
    </row>
    <row r="271" spans="1:4" x14ac:dyDescent="0.2">
      <c r="A271" t="s">
        <v>1132</v>
      </c>
      <c r="B271" t="s">
        <v>14359</v>
      </c>
      <c r="C271" t="s">
        <v>5233</v>
      </c>
      <c r="D271" t="s">
        <v>14360</v>
      </c>
    </row>
    <row r="272" spans="1:4" x14ac:dyDescent="0.2">
      <c r="A272" t="s">
        <v>14033</v>
      </c>
      <c r="B272" t="s">
        <v>14359</v>
      </c>
      <c r="C272" t="s">
        <v>9852</v>
      </c>
      <c r="D272" t="s">
        <v>14360</v>
      </c>
    </row>
    <row r="273" spans="1:4" x14ac:dyDescent="0.2">
      <c r="A273" t="s">
        <v>14318</v>
      </c>
      <c r="B273" t="s">
        <v>14359</v>
      </c>
      <c r="C273" t="s">
        <v>13085</v>
      </c>
      <c r="D273" t="s">
        <v>14360</v>
      </c>
    </row>
    <row r="274" spans="1:4" x14ac:dyDescent="0.2">
      <c r="A274" t="s">
        <v>1778</v>
      </c>
      <c r="B274" t="s">
        <v>14359</v>
      </c>
      <c r="C274" t="s">
        <v>8426</v>
      </c>
      <c r="D274" t="s">
        <v>14360</v>
      </c>
    </row>
    <row r="275" spans="1:4" x14ac:dyDescent="0.2">
      <c r="A275" t="s">
        <v>1559</v>
      </c>
      <c r="B275" t="s">
        <v>14359</v>
      </c>
      <c r="C275" t="s">
        <v>7219</v>
      </c>
      <c r="D275" t="s">
        <v>14360</v>
      </c>
    </row>
    <row r="276" spans="1:4" x14ac:dyDescent="0.2">
      <c r="A276" t="s">
        <v>1614</v>
      </c>
      <c r="B276" t="s">
        <v>14359</v>
      </c>
      <c r="C276" t="s">
        <v>7561</v>
      </c>
      <c r="D276" t="s">
        <v>14360</v>
      </c>
    </row>
    <row r="277" spans="1:4" x14ac:dyDescent="0.2">
      <c r="A277" t="s">
        <v>1372</v>
      </c>
      <c r="B277" t="s">
        <v>14359</v>
      </c>
      <c r="C277" t="s">
        <v>6433</v>
      </c>
      <c r="D277" t="s">
        <v>14360</v>
      </c>
    </row>
    <row r="278" spans="1:4" x14ac:dyDescent="0.2">
      <c r="A278" t="s">
        <v>2449</v>
      </c>
      <c r="B278" t="s">
        <v>14359</v>
      </c>
      <c r="C278" t="s">
        <v>3527</v>
      </c>
      <c r="D278" t="s">
        <v>14360</v>
      </c>
    </row>
    <row r="279" spans="1:4" x14ac:dyDescent="0.2">
      <c r="A279" t="s">
        <v>2024</v>
      </c>
      <c r="B279" t="s">
        <v>14359</v>
      </c>
      <c r="C279" t="s">
        <v>9243</v>
      </c>
      <c r="D279" t="s">
        <v>14360</v>
      </c>
    </row>
    <row r="280" spans="1:4" x14ac:dyDescent="0.2">
      <c r="A280" t="s">
        <v>2381</v>
      </c>
      <c r="B280" t="s">
        <v>14359</v>
      </c>
      <c r="C280" t="s">
        <v>4792</v>
      </c>
      <c r="D280" t="s">
        <v>14360</v>
      </c>
    </row>
    <row r="281" spans="1:4" x14ac:dyDescent="0.2">
      <c r="A281" t="s">
        <v>1819</v>
      </c>
      <c r="B281" t="s">
        <v>14359</v>
      </c>
      <c r="C281" t="s">
        <v>8563</v>
      </c>
      <c r="D281" t="s">
        <v>14360</v>
      </c>
    </row>
    <row r="282" spans="1:4" x14ac:dyDescent="0.2">
      <c r="A282" t="s">
        <v>1161</v>
      </c>
      <c r="B282" t="s">
        <v>14359</v>
      </c>
      <c r="C282" t="s">
        <v>5398</v>
      </c>
      <c r="D282" t="s">
        <v>14360</v>
      </c>
    </row>
    <row r="283" spans="1:4" x14ac:dyDescent="0.2">
      <c r="A283" t="s">
        <v>13881</v>
      </c>
      <c r="B283" t="s">
        <v>14359</v>
      </c>
      <c r="C283" t="s">
        <v>7443</v>
      </c>
      <c r="D283" t="s">
        <v>14360</v>
      </c>
    </row>
    <row r="284" spans="1:4" x14ac:dyDescent="0.2">
      <c r="A284" t="s">
        <v>1706</v>
      </c>
      <c r="B284" t="s">
        <v>14359</v>
      </c>
      <c r="C284" t="s">
        <v>8074</v>
      </c>
      <c r="D284" t="s">
        <v>14360</v>
      </c>
    </row>
    <row r="285" spans="1:4" x14ac:dyDescent="0.2">
      <c r="A285" t="s">
        <v>1800</v>
      </c>
      <c r="B285" t="s">
        <v>14359</v>
      </c>
      <c r="C285" t="s">
        <v>8450</v>
      </c>
      <c r="D285" t="s">
        <v>14360</v>
      </c>
    </row>
    <row r="286" spans="1:4" x14ac:dyDescent="0.2">
      <c r="A286" t="s">
        <v>2244</v>
      </c>
      <c r="B286" t="s">
        <v>14359</v>
      </c>
      <c r="C286" t="s">
        <v>9835</v>
      </c>
      <c r="D286" t="s">
        <v>14360</v>
      </c>
    </row>
    <row r="287" spans="1:4" x14ac:dyDescent="0.2">
      <c r="A287" t="s">
        <v>14319</v>
      </c>
      <c r="B287" t="s">
        <v>14359</v>
      </c>
      <c r="C287" t="s">
        <v>13096</v>
      </c>
      <c r="D287" t="s">
        <v>14360</v>
      </c>
    </row>
    <row r="288" spans="1:4" x14ac:dyDescent="0.2">
      <c r="A288" t="s">
        <v>14079</v>
      </c>
      <c r="B288" t="s">
        <v>14359</v>
      </c>
      <c r="C288" t="s">
        <v>10114</v>
      </c>
      <c r="D288" t="s">
        <v>14360</v>
      </c>
    </row>
    <row r="289" spans="1:4" x14ac:dyDescent="0.2">
      <c r="A289" t="s">
        <v>1787</v>
      </c>
      <c r="B289" t="s">
        <v>14359</v>
      </c>
      <c r="C289" t="s">
        <v>8474</v>
      </c>
      <c r="D289" t="s">
        <v>14360</v>
      </c>
    </row>
    <row r="290" spans="1:4" x14ac:dyDescent="0.2">
      <c r="A290" t="s">
        <v>1485</v>
      </c>
      <c r="B290" t="s">
        <v>14359</v>
      </c>
      <c r="C290" t="s">
        <v>6916</v>
      </c>
      <c r="D290" t="s">
        <v>14360</v>
      </c>
    </row>
    <row r="291" spans="1:4" x14ac:dyDescent="0.2">
      <c r="A291" t="s">
        <v>14099</v>
      </c>
      <c r="B291" t="s">
        <v>14359</v>
      </c>
      <c r="C291" t="s">
        <v>10212</v>
      </c>
      <c r="D291" t="s">
        <v>14360</v>
      </c>
    </row>
    <row r="292" spans="1:4" x14ac:dyDescent="0.2">
      <c r="A292" t="s">
        <v>1596</v>
      </c>
      <c r="B292" t="s">
        <v>14359</v>
      </c>
      <c r="C292" t="s">
        <v>11655</v>
      </c>
      <c r="D292" t="s">
        <v>14360</v>
      </c>
    </row>
    <row r="293" spans="1:4" x14ac:dyDescent="0.2">
      <c r="A293" t="s">
        <v>1362</v>
      </c>
      <c r="B293" t="s">
        <v>14359</v>
      </c>
      <c r="C293" t="s">
        <v>6365</v>
      </c>
      <c r="D293" t="s">
        <v>14360</v>
      </c>
    </row>
    <row r="294" spans="1:4" x14ac:dyDescent="0.2">
      <c r="A294" t="s">
        <v>3054</v>
      </c>
      <c r="B294" t="s">
        <v>14359</v>
      </c>
      <c r="C294" t="s">
        <v>13105</v>
      </c>
      <c r="D294" t="s">
        <v>14360</v>
      </c>
    </row>
    <row r="295" spans="1:4" x14ac:dyDescent="0.2">
      <c r="A295" t="s">
        <v>1290</v>
      </c>
      <c r="B295" t="s">
        <v>14359</v>
      </c>
      <c r="C295" t="s">
        <v>6000</v>
      </c>
      <c r="D295" t="s">
        <v>14360</v>
      </c>
    </row>
    <row r="296" spans="1:4" x14ac:dyDescent="0.2">
      <c r="A296" t="s">
        <v>2112</v>
      </c>
      <c r="B296" t="s">
        <v>14359</v>
      </c>
      <c r="C296" t="s">
        <v>9565</v>
      </c>
      <c r="D296" t="s">
        <v>14360</v>
      </c>
    </row>
    <row r="297" spans="1:4" x14ac:dyDescent="0.2">
      <c r="A297" t="s">
        <v>13872</v>
      </c>
      <c r="B297" t="s">
        <v>14359</v>
      </c>
      <c r="C297" t="s">
        <v>7307</v>
      </c>
      <c r="D297" t="s">
        <v>14360</v>
      </c>
    </row>
    <row r="298" spans="1:4" x14ac:dyDescent="0.2">
      <c r="A298" t="s">
        <v>2250</v>
      </c>
      <c r="B298" t="s">
        <v>14359</v>
      </c>
      <c r="C298" t="s">
        <v>10046</v>
      </c>
      <c r="D298" t="s">
        <v>14360</v>
      </c>
    </row>
    <row r="299" spans="1:4" x14ac:dyDescent="0.2">
      <c r="A299" t="s">
        <v>14034</v>
      </c>
      <c r="B299" t="s">
        <v>14359</v>
      </c>
      <c r="C299" t="s">
        <v>9858</v>
      </c>
      <c r="D299" t="s">
        <v>14360</v>
      </c>
    </row>
    <row r="300" spans="1:4" x14ac:dyDescent="0.2">
      <c r="A300" t="s">
        <v>13925</v>
      </c>
      <c r="B300" t="s">
        <v>14359</v>
      </c>
      <c r="C300" t="s">
        <v>8067</v>
      </c>
      <c r="D300" t="s">
        <v>14360</v>
      </c>
    </row>
    <row r="301" spans="1:4" x14ac:dyDescent="0.2">
      <c r="A301" t="s">
        <v>1250</v>
      </c>
      <c r="B301" t="s">
        <v>14359</v>
      </c>
      <c r="C301" t="s">
        <v>11660</v>
      </c>
      <c r="D301" t="s">
        <v>14360</v>
      </c>
    </row>
    <row r="302" spans="1:4" x14ac:dyDescent="0.2">
      <c r="A302" t="s">
        <v>1918</v>
      </c>
      <c r="B302" t="s">
        <v>14359</v>
      </c>
      <c r="C302" t="s">
        <v>9051</v>
      </c>
      <c r="D302" t="s">
        <v>14360</v>
      </c>
    </row>
    <row r="303" spans="1:4" x14ac:dyDescent="0.2">
      <c r="A303" t="s">
        <v>13751</v>
      </c>
      <c r="B303" t="s">
        <v>14359</v>
      </c>
      <c r="C303" t="s">
        <v>3473</v>
      </c>
      <c r="D303" t="s">
        <v>14360</v>
      </c>
    </row>
    <row r="304" spans="1:4" x14ac:dyDescent="0.2">
      <c r="A304" t="s">
        <v>1121</v>
      </c>
      <c r="B304" t="s">
        <v>14359</v>
      </c>
      <c r="C304" t="s">
        <v>5224</v>
      </c>
      <c r="D304" t="s">
        <v>14360</v>
      </c>
    </row>
    <row r="305" spans="1:4" x14ac:dyDescent="0.2">
      <c r="A305" t="s">
        <v>2489</v>
      </c>
      <c r="B305" t="s">
        <v>14359</v>
      </c>
      <c r="C305" t="s">
        <v>19662</v>
      </c>
      <c r="D305" t="s">
        <v>14360</v>
      </c>
    </row>
    <row r="306" spans="1:4" x14ac:dyDescent="0.2">
      <c r="A306" t="s">
        <v>13869</v>
      </c>
      <c r="B306" t="s">
        <v>14359</v>
      </c>
      <c r="C306" t="s">
        <v>7257</v>
      </c>
      <c r="D306" t="s">
        <v>14360</v>
      </c>
    </row>
    <row r="307" spans="1:4" x14ac:dyDescent="0.2">
      <c r="A307" t="s">
        <v>1404</v>
      </c>
      <c r="B307" t="s">
        <v>14359</v>
      </c>
      <c r="C307" t="s">
        <v>6484</v>
      </c>
      <c r="D307" t="s">
        <v>14360</v>
      </c>
    </row>
    <row r="308" spans="1:4" x14ac:dyDescent="0.2">
      <c r="A308" t="s">
        <v>2341</v>
      </c>
      <c r="B308" t="s">
        <v>14359</v>
      </c>
      <c r="C308" t="s">
        <v>4546</v>
      </c>
      <c r="D308" t="s">
        <v>14360</v>
      </c>
    </row>
    <row r="309" spans="1:4" x14ac:dyDescent="0.2">
      <c r="A309" t="s">
        <v>2451</v>
      </c>
      <c r="B309" t="s">
        <v>14359</v>
      </c>
      <c r="C309" t="s">
        <v>3537</v>
      </c>
      <c r="D309" t="s">
        <v>14360</v>
      </c>
    </row>
    <row r="310" spans="1:4" x14ac:dyDescent="0.2">
      <c r="A310" t="s">
        <v>13789</v>
      </c>
      <c r="B310" t="s">
        <v>14359</v>
      </c>
      <c r="C310" t="s">
        <v>4736</v>
      </c>
      <c r="D310" t="s">
        <v>14360</v>
      </c>
    </row>
    <row r="311" spans="1:4" x14ac:dyDescent="0.2">
      <c r="A311" t="s">
        <v>1376</v>
      </c>
      <c r="B311" t="s">
        <v>14359</v>
      </c>
      <c r="C311" t="s">
        <v>6440</v>
      </c>
      <c r="D311" t="s">
        <v>14360</v>
      </c>
    </row>
    <row r="312" spans="1:4" x14ac:dyDescent="0.2">
      <c r="A312" t="s">
        <v>1535</v>
      </c>
      <c r="B312" t="s">
        <v>14359</v>
      </c>
      <c r="C312" t="s">
        <v>7166</v>
      </c>
      <c r="D312" t="s">
        <v>14360</v>
      </c>
    </row>
    <row r="313" spans="1:4" x14ac:dyDescent="0.2">
      <c r="A313" t="s">
        <v>13940</v>
      </c>
      <c r="B313" t="s">
        <v>14359</v>
      </c>
      <c r="C313" t="s">
        <v>8315</v>
      </c>
      <c r="D313" t="s">
        <v>14360</v>
      </c>
    </row>
    <row r="314" spans="1:4" x14ac:dyDescent="0.2">
      <c r="A314" t="s">
        <v>1553</v>
      </c>
      <c r="B314" t="s">
        <v>14359</v>
      </c>
      <c r="C314" t="s">
        <v>7183</v>
      </c>
      <c r="D314" t="s">
        <v>14360</v>
      </c>
    </row>
    <row r="315" spans="1:4" x14ac:dyDescent="0.2">
      <c r="A315" t="s">
        <v>1551</v>
      </c>
      <c r="B315" t="s">
        <v>14359</v>
      </c>
      <c r="C315" t="s">
        <v>7188</v>
      </c>
      <c r="D315" t="s">
        <v>14360</v>
      </c>
    </row>
    <row r="316" spans="1:4" x14ac:dyDescent="0.2">
      <c r="A316" t="s">
        <v>1789</v>
      </c>
      <c r="B316" t="s">
        <v>14359</v>
      </c>
      <c r="C316" t="s">
        <v>8408</v>
      </c>
      <c r="D316" t="s">
        <v>14360</v>
      </c>
    </row>
    <row r="317" spans="1:4" x14ac:dyDescent="0.2">
      <c r="A317" t="s">
        <v>1539</v>
      </c>
      <c r="B317" t="s">
        <v>14359</v>
      </c>
      <c r="C317" t="s">
        <v>7192</v>
      </c>
      <c r="D317" t="s">
        <v>14360</v>
      </c>
    </row>
    <row r="318" spans="1:4" x14ac:dyDescent="0.2">
      <c r="A318" t="s">
        <v>1507</v>
      </c>
      <c r="B318" t="s">
        <v>14359</v>
      </c>
      <c r="C318" t="s">
        <v>7128</v>
      </c>
      <c r="D318" t="s">
        <v>14360</v>
      </c>
    </row>
    <row r="319" spans="1:4" x14ac:dyDescent="0.2">
      <c r="A319" t="s">
        <v>1545</v>
      </c>
      <c r="B319" t="s">
        <v>14359</v>
      </c>
      <c r="C319" t="s">
        <v>7195</v>
      </c>
      <c r="D319" t="s">
        <v>14360</v>
      </c>
    </row>
    <row r="320" spans="1:4" x14ac:dyDescent="0.2">
      <c r="A320" t="s">
        <v>13868</v>
      </c>
      <c r="B320" t="s">
        <v>14359</v>
      </c>
      <c r="C320" t="s">
        <v>7214</v>
      </c>
      <c r="D320" t="s">
        <v>14360</v>
      </c>
    </row>
    <row r="321" spans="1:4" x14ac:dyDescent="0.2">
      <c r="A321" t="s">
        <v>1513</v>
      </c>
      <c r="B321" t="s">
        <v>14359</v>
      </c>
      <c r="C321" t="s">
        <v>7136</v>
      </c>
      <c r="D321" t="s">
        <v>14360</v>
      </c>
    </row>
    <row r="322" spans="1:4" x14ac:dyDescent="0.2">
      <c r="A322" t="s">
        <v>1543</v>
      </c>
      <c r="B322" t="s">
        <v>14359</v>
      </c>
      <c r="C322" t="s">
        <v>7174</v>
      </c>
      <c r="D322" t="s">
        <v>14360</v>
      </c>
    </row>
    <row r="323" spans="1:4" x14ac:dyDescent="0.2">
      <c r="A323" t="s">
        <v>1541</v>
      </c>
      <c r="B323" t="s">
        <v>14359</v>
      </c>
      <c r="C323" t="s">
        <v>7170</v>
      </c>
      <c r="D323" t="s">
        <v>14360</v>
      </c>
    </row>
    <row r="324" spans="1:4" x14ac:dyDescent="0.2">
      <c r="A324" t="s">
        <v>1549</v>
      </c>
      <c r="B324" t="s">
        <v>14359</v>
      </c>
      <c r="C324" t="s">
        <v>7177</v>
      </c>
      <c r="D324" t="s">
        <v>14360</v>
      </c>
    </row>
    <row r="325" spans="1:4" x14ac:dyDescent="0.2">
      <c r="A325" t="s">
        <v>2202</v>
      </c>
      <c r="B325" t="s">
        <v>14359</v>
      </c>
      <c r="C325" t="s">
        <v>9757</v>
      </c>
      <c r="D325" t="s">
        <v>14360</v>
      </c>
    </row>
    <row r="326" spans="1:4" x14ac:dyDescent="0.2">
      <c r="A326" t="s">
        <v>1825</v>
      </c>
      <c r="B326" t="s">
        <v>14359</v>
      </c>
      <c r="C326" t="s">
        <v>8559</v>
      </c>
      <c r="D326" t="s">
        <v>14360</v>
      </c>
    </row>
    <row r="327" spans="1:4" x14ac:dyDescent="0.2">
      <c r="A327" t="s">
        <v>14039</v>
      </c>
      <c r="B327" t="s">
        <v>14359</v>
      </c>
      <c r="C327" t="s">
        <v>9884</v>
      </c>
      <c r="D327" t="s">
        <v>14360</v>
      </c>
    </row>
    <row r="328" spans="1:4" x14ac:dyDescent="0.2">
      <c r="A328" t="s">
        <v>1724</v>
      </c>
      <c r="B328" t="s">
        <v>14359</v>
      </c>
      <c r="C328" t="s">
        <v>8209</v>
      </c>
      <c r="D328" t="s">
        <v>14360</v>
      </c>
    </row>
    <row r="329" spans="1:4" x14ac:dyDescent="0.2">
      <c r="A329" t="s">
        <v>1445</v>
      </c>
      <c r="B329" t="s">
        <v>14359</v>
      </c>
      <c r="C329" t="s">
        <v>19293</v>
      </c>
      <c r="D329" t="s">
        <v>14360</v>
      </c>
    </row>
    <row r="330" spans="1:4" x14ac:dyDescent="0.2">
      <c r="A330" t="s">
        <v>14038</v>
      </c>
      <c r="B330" t="s">
        <v>14359</v>
      </c>
      <c r="C330" t="s">
        <v>9878</v>
      </c>
      <c r="D330" t="s">
        <v>14360</v>
      </c>
    </row>
    <row r="331" spans="1:4" x14ac:dyDescent="0.2">
      <c r="A331" t="s">
        <v>13822</v>
      </c>
      <c r="B331" t="s">
        <v>14359</v>
      </c>
      <c r="C331" t="s">
        <v>5771</v>
      </c>
      <c r="D331" t="s">
        <v>14360</v>
      </c>
    </row>
    <row r="332" spans="1:4" x14ac:dyDescent="0.2">
      <c r="A332" t="s">
        <v>1384</v>
      </c>
      <c r="B332" t="s">
        <v>14359</v>
      </c>
      <c r="C332" t="s">
        <v>6498</v>
      </c>
      <c r="D332" t="s">
        <v>14360</v>
      </c>
    </row>
    <row r="333" spans="1:4" x14ac:dyDescent="0.2">
      <c r="A333" t="s">
        <v>14320</v>
      </c>
      <c r="B333" t="s">
        <v>14359</v>
      </c>
      <c r="C333" t="s">
        <v>13112</v>
      </c>
      <c r="D333" t="s">
        <v>14360</v>
      </c>
    </row>
    <row r="334" spans="1:4" x14ac:dyDescent="0.2">
      <c r="A334" t="s">
        <v>1351</v>
      </c>
      <c r="B334" t="s">
        <v>14359</v>
      </c>
      <c r="C334" t="s">
        <v>6325</v>
      </c>
      <c r="D334" t="s">
        <v>14360</v>
      </c>
    </row>
    <row r="335" spans="1:4" x14ac:dyDescent="0.2">
      <c r="A335" t="s">
        <v>1772</v>
      </c>
      <c r="B335" t="s">
        <v>14359</v>
      </c>
      <c r="C335" t="s">
        <v>8356</v>
      </c>
      <c r="D335" t="s">
        <v>14360</v>
      </c>
    </row>
    <row r="336" spans="1:4" x14ac:dyDescent="0.2">
      <c r="A336" t="s">
        <v>2479</v>
      </c>
      <c r="B336" t="s">
        <v>14359</v>
      </c>
      <c r="C336" t="s">
        <v>3554</v>
      </c>
      <c r="D336" t="s">
        <v>14360</v>
      </c>
    </row>
    <row r="337" spans="1:4" x14ac:dyDescent="0.2">
      <c r="A337" t="s">
        <v>13950</v>
      </c>
      <c r="B337" t="s">
        <v>14359</v>
      </c>
      <c r="C337" t="s">
        <v>19907</v>
      </c>
      <c r="D337" t="s">
        <v>14360</v>
      </c>
    </row>
    <row r="338" spans="1:4" x14ac:dyDescent="0.2">
      <c r="A338" t="s">
        <v>17</v>
      </c>
      <c r="B338" t="s">
        <v>14358</v>
      </c>
      <c r="C338" t="s">
        <v>15</v>
      </c>
      <c r="D338" t="s">
        <v>15</v>
      </c>
    </row>
    <row r="339" spans="1:4" x14ac:dyDescent="0.2">
      <c r="A339" t="s">
        <v>21</v>
      </c>
      <c r="B339" t="s">
        <v>14358</v>
      </c>
      <c r="C339" t="s">
        <v>19</v>
      </c>
      <c r="D339" t="s">
        <v>19</v>
      </c>
    </row>
    <row r="340" spans="1:4" x14ac:dyDescent="0.2">
      <c r="A340" t="s">
        <v>13792</v>
      </c>
      <c r="B340" t="s">
        <v>14359</v>
      </c>
      <c r="C340" t="s">
        <v>19</v>
      </c>
      <c r="D340" t="s">
        <v>14360</v>
      </c>
    </row>
    <row r="341" spans="1:4" x14ac:dyDescent="0.2">
      <c r="A341" t="s">
        <v>25</v>
      </c>
      <c r="B341" t="s">
        <v>14358</v>
      </c>
      <c r="C341" t="s">
        <v>23</v>
      </c>
      <c r="D341" t="s">
        <v>23</v>
      </c>
    </row>
    <row r="342" spans="1:4" x14ac:dyDescent="0.2">
      <c r="A342" t="s">
        <v>1188</v>
      </c>
      <c r="B342" t="s">
        <v>14359</v>
      </c>
      <c r="C342" t="s">
        <v>19208</v>
      </c>
      <c r="D342" t="s">
        <v>14360</v>
      </c>
    </row>
    <row r="343" spans="1:4" x14ac:dyDescent="0.2">
      <c r="A343" t="s">
        <v>1748</v>
      </c>
      <c r="B343" t="s">
        <v>14359</v>
      </c>
      <c r="C343" t="s">
        <v>19384</v>
      </c>
      <c r="D343" t="s">
        <v>14360</v>
      </c>
    </row>
    <row r="344" spans="1:4" x14ac:dyDescent="0.2">
      <c r="A344" t="s">
        <v>1334</v>
      </c>
      <c r="B344" t="s">
        <v>14359</v>
      </c>
      <c r="C344" t="s">
        <v>19254</v>
      </c>
      <c r="D344" t="s">
        <v>14360</v>
      </c>
    </row>
    <row r="345" spans="1:4" x14ac:dyDescent="0.2">
      <c r="A345" t="s">
        <v>13782</v>
      </c>
      <c r="B345" t="s">
        <v>14359</v>
      </c>
      <c r="C345" t="s">
        <v>19908</v>
      </c>
      <c r="D345" t="s">
        <v>14360</v>
      </c>
    </row>
    <row r="346" spans="1:4" x14ac:dyDescent="0.2">
      <c r="A346" t="s">
        <v>13775</v>
      </c>
      <c r="B346" t="s">
        <v>14359</v>
      </c>
      <c r="C346" t="s">
        <v>19909</v>
      </c>
      <c r="D346" t="s">
        <v>14360</v>
      </c>
    </row>
    <row r="347" spans="1:4" x14ac:dyDescent="0.2">
      <c r="A347" t="s">
        <v>13754</v>
      </c>
      <c r="B347" t="s">
        <v>14359</v>
      </c>
      <c r="C347" t="s">
        <v>20093</v>
      </c>
      <c r="D347" t="s">
        <v>14360</v>
      </c>
    </row>
    <row r="348" spans="1:4" x14ac:dyDescent="0.2">
      <c r="A348" t="s">
        <v>2484</v>
      </c>
      <c r="B348" t="s">
        <v>14359</v>
      </c>
      <c r="C348" t="s">
        <v>19659</v>
      </c>
      <c r="D348" t="s">
        <v>14360</v>
      </c>
    </row>
    <row r="349" spans="1:4" x14ac:dyDescent="0.2">
      <c r="A349" t="s">
        <v>1857</v>
      </c>
      <c r="B349" t="s">
        <v>14359</v>
      </c>
      <c r="C349" t="s">
        <v>19417</v>
      </c>
      <c r="D349" t="s">
        <v>14360</v>
      </c>
    </row>
    <row r="350" spans="1:4" x14ac:dyDescent="0.2">
      <c r="A350" t="s">
        <v>1264</v>
      </c>
      <c r="B350" t="s">
        <v>14359</v>
      </c>
      <c r="C350" t="s">
        <v>19231</v>
      </c>
      <c r="D350" t="s">
        <v>14360</v>
      </c>
    </row>
    <row r="351" spans="1:4" x14ac:dyDescent="0.2">
      <c r="A351" t="s">
        <v>14217</v>
      </c>
      <c r="B351" t="s">
        <v>14359</v>
      </c>
      <c r="C351" t="s">
        <v>20094</v>
      </c>
      <c r="D351" t="s">
        <v>14360</v>
      </c>
    </row>
    <row r="352" spans="1:4" x14ac:dyDescent="0.2">
      <c r="A352" t="s">
        <v>29</v>
      </c>
      <c r="B352" t="s">
        <v>14358</v>
      </c>
      <c r="C352" t="s">
        <v>27</v>
      </c>
      <c r="D352" t="s">
        <v>27</v>
      </c>
    </row>
    <row r="353" spans="1:4" x14ac:dyDescent="0.2">
      <c r="A353" t="s">
        <v>13776</v>
      </c>
      <c r="B353" t="s">
        <v>14359</v>
      </c>
      <c r="C353" t="s">
        <v>27</v>
      </c>
      <c r="D353" t="s">
        <v>14360</v>
      </c>
    </row>
    <row r="354" spans="1:4" x14ac:dyDescent="0.2">
      <c r="A354" t="s">
        <v>34</v>
      </c>
      <c r="B354" t="s">
        <v>14358</v>
      </c>
      <c r="C354" t="s">
        <v>32</v>
      </c>
      <c r="D354" t="s">
        <v>32</v>
      </c>
    </row>
    <row r="355" spans="1:4" x14ac:dyDescent="0.2">
      <c r="A355" t="s">
        <v>2353</v>
      </c>
      <c r="B355" t="s">
        <v>14359</v>
      </c>
      <c r="C355" t="s">
        <v>19621</v>
      </c>
      <c r="D355" t="s">
        <v>14360</v>
      </c>
    </row>
    <row r="356" spans="1:4" x14ac:dyDescent="0.2">
      <c r="A356" t="s">
        <v>1668</v>
      </c>
      <c r="B356" t="s">
        <v>14359</v>
      </c>
      <c r="C356" t="s">
        <v>19363</v>
      </c>
      <c r="D356" t="s">
        <v>14360</v>
      </c>
    </row>
    <row r="357" spans="1:4" x14ac:dyDescent="0.2">
      <c r="A357" t="s">
        <v>13937</v>
      </c>
      <c r="B357" t="s">
        <v>14359</v>
      </c>
      <c r="C357" t="s">
        <v>19910</v>
      </c>
      <c r="D357" t="s">
        <v>14360</v>
      </c>
    </row>
    <row r="358" spans="1:4" x14ac:dyDescent="0.2">
      <c r="A358" t="s">
        <v>13886</v>
      </c>
      <c r="B358" t="s">
        <v>14359</v>
      </c>
      <c r="C358" t="s">
        <v>19911</v>
      </c>
      <c r="D358" t="s">
        <v>14360</v>
      </c>
    </row>
    <row r="359" spans="1:4" x14ac:dyDescent="0.2">
      <c r="A359" t="s">
        <v>13876</v>
      </c>
      <c r="B359" t="s">
        <v>14359</v>
      </c>
      <c r="C359" t="s">
        <v>20095</v>
      </c>
      <c r="D359" t="s">
        <v>14360</v>
      </c>
    </row>
    <row r="360" spans="1:4" x14ac:dyDescent="0.2">
      <c r="A360" t="s">
        <v>13944</v>
      </c>
      <c r="B360" t="s">
        <v>14359</v>
      </c>
      <c r="C360" t="s">
        <v>20096</v>
      </c>
      <c r="D360" t="s">
        <v>14360</v>
      </c>
    </row>
    <row r="361" spans="1:4" x14ac:dyDescent="0.2">
      <c r="A361" t="s">
        <v>13945</v>
      </c>
      <c r="B361" t="s">
        <v>14359</v>
      </c>
      <c r="C361" t="s">
        <v>20097</v>
      </c>
      <c r="D361" t="s">
        <v>14360</v>
      </c>
    </row>
    <row r="362" spans="1:4" x14ac:dyDescent="0.2">
      <c r="A362" t="s">
        <v>1465</v>
      </c>
      <c r="B362" t="s">
        <v>14359</v>
      </c>
      <c r="C362" t="s">
        <v>19301</v>
      </c>
      <c r="D362" t="s">
        <v>14360</v>
      </c>
    </row>
    <row r="363" spans="1:4" x14ac:dyDescent="0.2">
      <c r="A363" t="s">
        <v>1167</v>
      </c>
      <c r="B363" t="s">
        <v>14359</v>
      </c>
      <c r="C363" t="s">
        <v>19199</v>
      </c>
      <c r="D363" t="s">
        <v>14360</v>
      </c>
    </row>
    <row r="364" spans="1:4" x14ac:dyDescent="0.2">
      <c r="A364" t="s">
        <v>1316</v>
      </c>
      <c r="B364" t="s">
        <v>14359</v>
      </c>
      <c r="C364" t="s">
        <v>19247</v>
      </c>
      <c r="D364" t="s">
        <v>14360</v>
      </c>
    </row>
    <row r="365" spans="1:4" x14ac:dyDescent="0.2">
      <c r="A365" t="s">
        <v>13830</v>
      </c>
      <c r="B365" t="s">
        <v>14359</v>
      </c>
      <c r="C365" t="s">
        <v>19247</v>
      </c>
      <c r="D365" t="s">
        <v>14360</v>
      </c>
    </row>
    <row r="366" spans="1:4" x14ac:dyDescent="0.2">
      <c r="A366" t="s">
        <v>13774</v>
      </c>
      <c r="B366" t="s">
        <v>14359</v>
      </c>
      <c r="C366" t="s">
        <v>19723</v>
      </c>
      <c r="D366" t="s">
        <v>14360</v>
      </c>
    </row>
    <row r="367" spans="1:4" x14ac:dyDescent="0.2">
      <c r="A367" t="s">
        <v>1604</v>
      </c>
      <c r="B367" t="s">
        <v>14359</v>
      </c>
      <c r="C367" t="s">
        <v>19340</v>
      </c>
      <c r="D367" t="s">
        <v>14360</v>
      </c>
    </row>
    <row r="368" spans="1:4" x14ac:dyDescent="0.2">
      <c r="A368" t="s">
        <v>2649</v>
      </c>
      <c r="B368" t="s">
        <v>14359</v>
      </c>
      <c r="C368" t="s">
        <v>19737</v>
      </c>
      <c r="D368" t="s">
        <v>14360</v>
      </c>
    </row>
    <row r="369" spans="1:4" x14ac:dyDescent="0.2">
      <c r="A369" t="s">
        <v>2385</v>
      </c>
      <c r="B369" t="s">
        <v>14359</v>
      </c>
      <c r="C369" t="s">
        <v>19632</v>
      </c>
      <c r="D369" t="s">
        <v>14360</v>
      </c>
    </row>
    <row r="370" spans="1:4" x14ac:dyDescent="0.2">
      <c r="A370" t="s">
        <v>13967</v>
      </c>
      <c r="B370" t="s">
        <v>14359</v>
      </c>
      <c r="C370" t="s">
        <v>19912</v>
      </c>
      <c r="D370" t="s">
        <v>14360</v>
      </c>
    </row>
    <row r="371" spans="1:4" x14ac:dyDescent="0.2">
      <c r="A371" t="s">
        <v>1555</v>
      </c>
      <c r="B371" t="s">
        <v>14359</v>
      </c>
      <c r="C371" t="s">
        <v>19325</v>
      </c>
      <c r="D371" t="s">
        <v>14360</v>
      </c>
    </row>
    <row r="372" spans="1:4" x14ac:dyDescent="0.2">
      <c r="A372" t="s">
        <v>13867</v>
      </c>
      <c r="B372" t="s">
        <v>14359</v>
      </c>
      <c r="C372" t="s">
        <v>19913</v>
      </c>
      <c r="D372" t="s">
        <v>14360</v>
      </c>
    </row>
    <row r="373" spans="1:4" x14ac:dyDescent="0.2">
      <c r="A373" t="s">
        <v>1547</v>
      </c>
      <c r="B373" t="s">
        <v>14359</v>
      </c>
      <c r="C373" t="s">
        <v>19324</v>
      </c>
      <c r="D373" t="s">
        <v>14360</v>
      </c>
    </row>
    <row r="374" spans="1:4" x14ac:dyDescent="0.2">
      <c r="A374" t="s">
        <v>1521</v>
      </c>
      <c r="B374" t="s">
        <v>14359</v>
      </c>
      <c r="C374" t="s">
        <v>19318</v>
      </c>
      <c r="D374" t="s">
        <v>14360</v>
      </c>
    </row>
    <row r="375" spans="1:4" x14ac:dyDescent="0.2">
      <c r="A375" t="s">
        <v>1537</v>
      </c>
      <c r="B375" t="s">
        <v>14359</v>
      </c>
      <c r="C375" t="s">
        <v>19323</v>
      </c>
      <c r="D375" t="s">
        <v>14360</v>
      </c>
    </row>
    <row r="376" spans="1:4" x14ac:dyDescent="0.2">
      <c r="A376" t="s">
        <v>1579</v>
      </c>
      <c r="B376" t="s">
        <v>14359</v>
      </c>
      <c r="C376" t="s">
        <v>19331</v>
      </c>
      <c r="D376" t="s">
        <v>14360</v>
      </c>
    </row>
    <row r="377" spans="1:4" x14ac:dyDescent="0.2">
      <c r="A377" t="s">
        <v>1577</v>
      </c>
      <c r="B377" t="s">
        <v>14359</v>
      </c>
      <c r="C377" t="s">
        <v>19330</v>
      </c>
      <c r="D377" t="s">
        <v>14360</v>
      </c>
    </row>
    <row r="378" spans="1:4" x14ac:dyDescent="0.2">
      <c r="A378" t="s">
        <v>3069</v>
      </c>
      <c r="B378" t="s">
        <v>14359</v>
      </c>
      <c r="C378" t="s">
        <v>19747</v>
      </c>
      <c r="D378" t="s">
        <v>14360</v>
      </c>
    </row>
    <row r="379" spans="1:4" x14ac:dyDescent="0.2">
      <c r="A379" t="s">
        <v>3042</v>
      </c>
      <c r="B379" t="s">
        <v>14359</v>
      </c>
      <c r="C379" t="s">
        <v>19741</v>
      </c>
      <c r="D379" t="s">
        <v>14360</v>
      </c>
    </row>
    <row r="380" spans="1:4" x14ac:dyDescent="0.2">
      <c r="A380" t="s">
        <v>2424</v>
      </c>
      <c r="B380" t="s">
        <v>14359</v>
      </c>
      <c r="C380" t="s">
        <v>19643</v>
      </c>
      <c r="D380" t="s">
        <v>14360</v>
      </c>
    </row>
    <row r="381" spans="1:4" x14ac:dyDescent="0.2">
      <c r="A381" t="s">
        <v>39</v>
      </c>
      <c r="B381" t="s">
        <v>14358</v>
      </c>
      <c r="C381" t="s">
        <v>40</v>
      </c>
      <c r="D381" t="s">
        <v>11201</v>
      </c>
    </row>
    <row r="382" spans="1:4" x14ac:dyDescent="0.2">
      <c r="A382" t="s">
        <v>45</v>
      </c>
      <c r="B382" t="s">
        <v>14358</v>
      </c>
      <c r="C382" t="s">
        <v>43</v>
      </c>
      <c r="D382" t="s">
        <v>11243</v>
      </c>
    </row>
    <row r="383" spans="1:4" x14ac:dyDescent="0.2">
      <c r="A383" t="s">
        <v>1843</v>
      </c>
      <c r="B383" t="s">
        <v>14359</v>
      </c>
      <c r="C383" t="s">
        <v>19413</v>
      </c>
      <c r="D383" t="s">
        <v>14360</v>
      </c>
    </row>
    <row r="384" spans="1:4" x14ac:dyDescent="0.2">
      <c r="A384" t="s">
        <v>1804</v>
      </c>
      <c r="B384" t="s">
        <v>14359</v>
      </c>
      <c r="C384" t="s">
        <v>19400</v>
      </c>
      <c r="D384" t="s">
        <v>14360</v>
      </c>
    </row>
    <row r="385" spans="1:4" x14ac:dyDescent="0.2">
      <c r="A385" t="s">
        <v>2631</v>
      </c>
      <c r="B385" t="s">
        <v>14359</v>
      </c>
      <c r="C385" t="s">
        <v>19729</v>
      </c>
      <c r="D385" t="s">
        <v>14360</v>
      </c>
    </row>
    <row r="386" spans="1:4" x14ac:dyDescent="0.2">
      <c r="A386" t="s">
        <v>2487</v>
      </c>
      <c r="B386" t="s">
        <v>14359</v>
      </c>
      <c r="C386" t="s">
        <v>19661</v>
      </c>
      <c r="D386" t="s">
        <v>14360</v>
      </c>
    </row>
    <row r="387" spans="1:4" x14ac:dyDescent="0.2">
      <c r="A387" t="s">
        <v>14218</v>
      </c>
      <c r="B387" t="s">
        <v>14359</v>
      </c>
      <c r="C387" t="s">
        <v>19914</v>
      </c>
      <c r="D387" t="s">
        <v>14360</v>
      </c>
    </row>
    <row r="388" spans="1:4" x14ac:dyDescent="0.2">
      <c r="A388" t="s">
        <v>2110</v>
      </c>
      <c r="B388" t="s">
        <v>14359</v>
      </c>
      <c r="C388" t="s">
        <v>19535</v>
      </c>
      <c r="D388" t="s">
        <v>14360</v>
      </c>
    </row>
    <row r="389" spans="1:4" x14ac:dyDescent="0.2">
      <c r="A389" t="s">
        <v>1989</v>
      </c>
      <c r="B389" t="s">
        <v>14359</v>
      </c>
      <c r="C389" t="s">
        <v>19477</v>
      </c>
      <c r="D389" t="s">
        <v>14360</v>
      </c>
    </row>
    <row r="390" spans="1:4" x14ac:dyDescent="0.2">
      <c r="A390" t="s">
        <v>2081</v>
      </c>
      <c r="B390" t="s">
        <v>14359</v>
      </c>
      <c r="C390" t="s">
        <v>19521</v>
      </c>
      <c r="D390" t="s">
        <v>14360</v>
      </c>
    </row>
    <row r="391" spans="1:4" x14ac:dyDescent="0.2">
      <c r="A391" t="s">
        <v>1632</v>
      </c>
      <c r="B391" t="s">
        <v>14359</v>
      </c>
      <c r="C391" t="s">
        <v>19347</v>
      </c>
      <c r="D391" t="s">
        <v>14360</v>
      </c>
    </row>
    <row r="392" spans="1:4" x14ac:dyDescent="0.2">
      <c r="A392" t="s">
        <v>2511</v>
      </c>
      <c r="B392" t="s">
        <v>14359</v>
      </c>
      <c r="C392" t="s">
        <v>19670</v>
      </c>
      <c r="D392" t="s">
        <v>14360</v>
      </c>
    </row>
    <row r="393" spans="1:4" x14ac:dyDescent="0.2">
      <c r="A393" t="s">
        <v>2003</v>
      </c>
      <c r="B393" t="s">
        <v>14359</v>
      </c>
      <c r="C393" t="s">
        <v>19483</v>
      </c>
      <c r="D393" t="s">
        <v>14360</v>
      </c>
    </row>
    <row r="394" spans="1:4" x14ac:dyDescent="0.2">
      <c r="A394" t="s">
        <v>2198</v>
      </c>
      <c r="B394" t="s">
        <v>14359</v>
      </c>
      <c r="C394" t="s">
        <v>19568</v>
      </c>
      <c r="D394" t="s">
        <v>14360</v>
      </c>
    </row>
    <row r="395" spans="1:4" x14ac:dyDescent="0.2">
      <c r="A395" t="s">
        <v>2643</v>
      </c>
      <c r="B395" t="s">
        <v>14359</v>
      </c>
      <c r="C395" t="s">
        <v>19735</v>
      </c>
      <c r="D395" t="s">
        <v>14360</v>
      </c>
    </row>
    <row r="396" spans="1:4" x14ac:dyDescent="0.2">
      <c r="A396" t="s">
        <v>2507</v>
      </c>
      <c r="B396" t="s">
        <v>14359</v>
      </c>
      <c r="C396" t="s">
        <v>19669</v>
      </c>
      <c r="D396" t="s">
        <v>14360</v>
      </c>
    </row>
    <row r="397" spans="1:4" x14ac:dyDescent="0.2">
      <c r="A397" t="s">
        <v>14064</v>
      </c>
      <c r="B397" t="s">
        <v>14359</v>
      </c>
      <c r="C397" t="s">
        <v>19915</v>
      </c>
      <c r="D397" t="s">
        <v>14360</v>
      </c>
    </row>
    <row r="398" spans="1:4" x14ac:dyDescent="0.2">
      <c r="A398" t="s">
        <v>13891</v>
      </c>
      <c r="B398" t="s">
        <v>14359</v>
      </c>
      <c r="C398" t="s">
        <v>19916</v>
      </c>
      <c r="D398" t="s">
        <v>14360</v>
      </c>
    </row>
    <row r="399" spans="1:4" x14ac:dyDescent="0.2">
      <c r="A399" t="s">
        <v>14321</v>
      </c>
      <c r="B399" t="s">
        <v>14359</v>
      </c>
      <c r="C399" t="s">
        <v>19917</v>
      </c>
      <c r="D399" t="s">
        <v>14360</v>
      </c>
    </row>
    <row r="400" spans="1:4" x14ac:dyDescent="0.2">
      <c r="A400" t="s">
        <v>13803</v>
      </c>
      <c r="B400" t="s">
        <v>14359</v>
      </c>
      <c r="C400" t="s">
        <v>20098</v>
      </c>
      <c r="D400" t="s">
        <v>14360</v>
      </c>
    </row>
    <row r="401" spans="1:4" x14ac:dyDescent="0.2">
      <c r="A401" t="s">
        <v>14080</v>
      </c>
      <c r="B401" t="s">
        <v>14359</v>
      </c>
      <c r="C401" t="s">
        <v>19918</v>
      </c>
      <c r="D401" t="s">
        <v>14360</v>
      </c>
    </row>
    <row r="402" spans="1:4" x14ac:dyDescent="0.2">
      <c r="A402" t="s">
        <v>13991</v>
      </c>
      <c r="B402" t="s">
        <v>14359</v>
      </c>
      <c r="C402" t="s">
        <v>19919</v>
      </c>
      <c r="D402" t="s">
        <v>14360</v>
      </c>
    </row>
    <row r="403" spans="1:4" x14ac:dyDescent="0.2">
      <c r="A403" t="s">
        <v>1936</v>
      </c>
      <c r="B403" t="s">
        <v>14359</v>
      </c>
      <c r="C403" t="s">
        <v>19452</v>
      </c>
      <c r="D403" t="s">
        <v>14360</v>
      </c>
    </row>
    <row r="404" spans="1:4" x14ac:dyDescent="0.2">
      <c r="A404" t="s">
        <v>1815</v>
      </c>
      <c r="B404" t="s">
        <v>14359</v>
      </c>
      <c r="C404" t="s">
        <v>19406</v>
      </c>
      <c r="D404" t="s">
        <v>14360</v>
      </c>
    </row>
    <row r="405" spans="1:4" x14ac:dyDescent="0.2">
      <c r="A405" t="s">
        <v>2066</v>
      </c>
      <c r="B405" t="s">
        <v>14359</v>
      </c>
      <c r="C405" t="s">
        <v>19513</v>
      </c>
      <c r="D405" t="s">
        <v>14360</v>
      </c>
    </row>
    <row r="406" spans="1:4" x14ac:dyDescent="0.2">
      <c r="A406" t="s">
        <v>14322</v>
      </c>
      <c r="B406" t="s">
        <v>14359</v>
      </c>
      <c r="C406" t="s">
        <v>19920</v>
      </c>
      <c r="D406" t="s">
        <v>14360</v>
      </c>
    </row>
    <row r="407" spans="1:4" x14ac:dyDescent="0.2">
      <c r="A407" t="s">
        <v>1098</v>
      </c>
      <c r="B407" t="s">
        <v>14359</v>
      </c>
      <c r="C407" t="s">
        <v>19173</v>
      </c>
      <c r="D407" t="s">
        <v>14360</v>
      </c>
    </row>
    <row r="408" spans="1:4" x14ac:dyDescent="0.2">
      <c r="A408" t="s">
        <v>2493</v>
      </c>
      <c r="B408" t="s">
        <v>14359</v>
      </c>
      <c r="C408" t="s">
        <v>19664</v>
      </c>
      <c r="D408" t="s">
        <v>14360</v>
      </c>
    </row>
    <row r="409" spans="1:4" x14ac:dyDescent="0.2">
      <c r="A409" t="s">
        <v>1654</v>
      </c>
      <c r="B409" t="s">
        <v>14359</v>
      </c>
      <c r="C409" t="s">
        <v>19356</v>
      </c>
      <c r="D409" t="s">
        <v>14360</v>
      </c>
    </row>
    <row r="410" spans="1:4" x14ac:dyDescent="0.2">
      <c r="A410" t="s">
        <v>1511</v>
      </c>
      <c r="B410" t="s">
        <v>14359</v>
      </c>
      <c r="C410" t="s">
        <v>19314</v>
      </c>
      <c r="D410" t="s">
        <v>14360</v>
      </c>
    </row>
    <row r="411" spans="1:4" x14ac:dyDescent="0.2">
      <c r="A411" t="s">
        <v>14323</v>
      </c>
      <c r="B411" t="s">
        <v>14359</v>
      </c>
      <c r="C411" t="s">
        <v>19921</v>
      </c>
      <c r="D411" t="s">
        <v>14360</v>
      </c>
    </row>
    <row r="412" spans="1:4" x14ac:dyDescent="0.2">
      <c r="A412" t="s">
        <v>2420</v>
      </c>
      <c r="B412" t="s">
        <v>14359</v>
      </c>
      <c r="C412" t="s">
        <v>19641</v>
      </c>
      <c r="D412" t="s">
        <v>14360</v>
      </c>
    </row>
    <row r="413" spans="1:4" x14ac:dyDescent="0.2">
      <c r="A413" t="s">
        <v>1441</v>
      </c>
      <c r="B413" t="s">
        <v>14359</v>
      </c>
      <c r="C413" t="s">
        <v>19291</v>
      </c>
      <c r="D413" t="s">
        <v>14360</v>
      </c>
    </row>
    <row r="414" spans="1:4" x14ac:dyDescent="0.2">
      <c r="A414" t="s">
        <v>2602</v>
      </c>
      <c r="B414" t="s">
        <v>14359</v>
      </c>
      <c r="C414" t="s">
        <v>19714</v>
      </c>
      <c r="D414" t="s">
        <v>14360</v>
      </c>
    </row>
    <row r="415" spans="1:4" x14ac:dyDescent="0.2">
      <c r="A415" t="s">
        <v>3065</v>
      </c>
      <c r="B415" t="s">
        <v>14359</v>
      </c>
      <c r="C415" t="s">
        <v>19745</v>
      </c>
      <c r="D415" t="s">
        <v>14360</v>
      </c>
    </row>
    <row r="416" spans="1:4" x14ac:dyDescent="0.2">
      <c r="A416" t="s">
        <v>3067</v>
      </c>
      <c r="B416" t="s">
        <v>14359</v>
      </c>
      <c r="C416" t="s">
        <v>19746</v>
      </c>
      <c r="D416" t="s">
        <v>14360</v>
      </c>
    </row>
    <row r="417" spans="1:4" x14ac:dyDescent="0.2">
      <c r="A417" t="s">
        <v>3097</v>
      </c>
      <c r="B417" t="s">
        <v>14359</v>
      </c>
      <c r="C417" t="s">
        <v>19757</v>
      </c>
      <c r="D417" t="s">
        <v>14360</v>
      </c>
    </row>
    <row r="418" spans="1:4" x14ac:dyDescent="0.2">
      <c r="A418" t="s">
        <v>14105</v>
      </c>
      <c r="B418" t="s">
        <v>14359</v>
      </c>
      <c r="C418" t="s">
        <v>19615</v>
      </c>
      <c r="D418" t="s">
        <v>14360</v>
      </c>
    </row>
    <row r="419" spans="1:4" x14ac:dyDescent="0.2">
      <c r="A419" t="s">
        <v>14106</v>
      </c>
      <c r="B419" t="s">
        <v>14359</v>
      </c>
      <c r="C419" t="s">
        <v>19614</v>
      </c>
      <c r="D419" t="s">
        <v>14360</v>
      </c>
    </row>
    <row r="420" spans="1:4" x14ac:dyDescent="0.2">
      <c r="A420" t="s">
        <v>14113</v>
      </c>
      <c r="B420" t="s">
        <v>14359</v>
      </c>
      <c r="C420" t="s">
        <v>19612</v>
      </c>
      <c r="D420" t="s">
        <v>14360</v>
      </c>
    </row>
    <row r="421" spans="1:4" x14ac:dyDescent="0.2">
      <c r="A421" t="s">
        <v>14114</v>
      </c>
      <c r="B421" t="s">
        <v>14359</v>
      </c>
      <c r="C421" t="s">
        <v>19608</v>
      </c>
      <c r="D421" t="s">
        <v>14360</v>
      </c>
    </row>
    <row r="422" spans="1:4" x14ac:dyDescent="0.2">
      <c r="A422" t="s">
        <v>14107</v>
      </c>
      <c r="B422" t="s">
        <v>14359</v>
      </c>
      <c r="C422" t="s">
        <v>19754</v>
      </c>
      <c r="D422" t="s">
        <v>14360</v>
      </c>
    </row>
    <row r="423" spans="1:4" x14ac:dyDescent="0.2">
      <c r="A423" t="s">
        <v>14108</v>
      </c>
      <c r="B423" t="s">
        <v>14359</v>
      </c>
      <c r="C423" t="s">
        <v>19755</v>
      </c>
      <c r="D423" t="s">
        <v>14360</v>
      </c>
    </row>
    <row r="424" spans="1:4" x14ac:dyDescent="0.2">
      <c r="A424" t="s">
        <v>14109</v>
      </c>
      <c r="B424" t="s">
        <v>14359</v>
      </c>
      <c r="C424" t="s">
        <v>19756</v>
      </c>
      <c r="D424" t="s">
        <v>14360</v>
      </c>
    </row>
    <row r="425" spans="1:4" x14ac:dyDescent="0.2">
      <c r="A425" t="s">
        <v>14110</v>
      </c>
      <c r="B425" t="s">
        <v>14359</v>
      </c>
      <c r="C425" t="s">
        <v>19611</v>
      </c>
      <c r="D425" t="s">
        <v>14360</v>
      </c>
    </row>
    <row r="426" spans="1:4" x14ac:dyDescent="0.2">
      <c r="A426" t="s">
        <v>14111</v>
      </c>
      <c r="B426" t="s">
        <v>14359</v>
      </c>
      <c r="C426" t="s">
        <v>19607</v>
      </c>
      <c r="D426" t="s">
        <v>14360</v>
      </c>
    </row>
    <row r="427" spans="1:4" x14ac:dyDescent="0.2">
      <c r="A427" t="s">
        <v>3101</v>
      </c>
      <c r="B427" t="s">
        <v>14359</v>
      </c>
      <c r="C427" t="s">
        <v>19759</v>
      </c>
      <c r="D427" t="s">
        <v>14360</v>
      </c>
    </row>
    <row r="428" spans="1:4" x14ac:dyDescent="0.2">
      <c r="A428" t="s">
        <v>13755</v>
      </c>
      <c r="B428" t="s">
        <v>14359</v>
      </c>
      <c r="C428" t="s">
        <v>19922</v>
      </c>
      <c r="D428" t="s">
        <v>14360</v>
      </c>
    </row>
    <row r="429" spans="1:4" x14ac:dyDescent="0.2">
      <c r="A429" t="s">
        <v>14324</v>
      </c>
      <c r="B429" t="s">
        <v>14359</v>
      </c>
      <c r="C429" t="s">
        <v>20099</v>
      </c>
      <c r="D429" t="s">
        <v>14360</v>
      </c>
    </row>
    <row r="430" spans="1:4" x14ac:dyDescent="0.2">
      <c r="A430" t="s">
        <v>13829</v>
      </c>
      <c r="B430" t="s">
        <v>14359</v>
      </c>
      <c r="C430" t="s">
        <v>19923</v>
      </c>
      <c r="D430" t="s">
        <v>14360</v>
      </c>
    </row>
    <row r="431" spans="1:4" x14ac:dyDescent="0.2">
      <c r="A431" t="s">
        <v>14084</v>
      </c>
      <c r="B431" t="s">
        <v>14359</v>
      </c>
      <c r="C431" t="s">
        <v>19606</v>
      </c>
      <c r="D431" t="s">
        <v>14360</v>
      </c>
    </row>
    <row r="432" spans="1:4" x14ac:dyDescent="0.2">
      <c r="A432" t="s">
        <v>2295</v>
      </c>
      <c r="B432" t="s">
        <v>14359</v>
      </c>
      <c r="C432" t="s">
        <v>19600</v>
      </c>
      <c r="D432" t="s">
        <v>14360</v>
      </c>
    </row>
    <row r="433" spans="1:4" x14ac:dyDescent="0.2">
      <c r="A433" t="s">
        <v>14091</v>
      </c>
      <c r="B433" t="s">
        <v>14359</v>
      </c>
      <c r="C433" t="s">
        <v>19598</v>
      </c>
      <c r="D433" t="s">
        <v>14360</v>
      </c>
    </row>
    <row r="434" spans="1:4" x14ac:dyDescent="0.2">
      <c r="A434" t="s">
        <v>13791</v>
      </c>
      <c r="B434" t="s">
        <v>14359</v>
      </c>
      <c r="C434" t="s">
        <v>19633</v>
      </c>
      <c r="D434" t="s">
        <v>14360</v>
      </c>
    </row>
    <row r="435" spans="1:4" x14ac:dyDescent="0.2">
      <c r="A435" t="s">
        <v>3040</v>
      </c>
      <c r="B435" t="s">
        <v>14359</v>
      </c>
      <c r="C435" t="s">
        <v>19740</v>
      </c>
      <c r="D435" t="s">
        <v>14360</v>
      </c>
    </row>
    <row r="436" spans="1:4" x14ac:dyDescent="0.2">
      <c r="A436" t="s">
        <v>1258</v>
      </c>
      <c r="B436" t="s">
        <v>14359</v>
      </c>
      <c r="C436" t="s">
        <v>19228</v>
      </c>
      <c r="D436" t="s">
        <v>14360</v>
      </c>
    </row>
    <row r="437" spans="1:4" x14ac:dyDescent="0.2">
      <c r="A437" t="s">
        <v>1837</v>
      </c>
      <c r="B437" t="s">
        <v>14359</v>
      </c>
      <c r="C437" t="s">
        <v>8672</v>
      </c>
      <c r="D437" t="s">
        <v>14360</v>
      </c>
    </row>
    <row r="438" spans="1:4" x14ac:dyDescent="0.2">
      <c r="A438" t="s">
        <v>2001</v>
      </c>
      <c r="B438" t="s">
        <v>14359</v>
      </c>
      <c r="C438" t="s">
        <v>19482</v>
      </c>
      <c r="D438" t="s">
        <v>14360</v>
      </c>
    </row>
    <row r="439" spans="1:4" x14ac:dyDescent="0.2">
      <c r="A439" t="s">
        <v>2616</v>
      </c>
      <c r="B439" t="s">
        <v>14359</v>
      </c>
      <c r="C439" t="s">
        <v>19721</v>
      </c>
      <c r="D439" t="s">
        <v>14360</v>
      </c>
    </row>
    <row r="440" spans="1:4" x14ac:dyDescent="0.2">
      <c r="A440" t="s">
        <v>1294</v>
      </c>
      <c r="B440" t="s">
        <v>14359</v>
      </c>
      <c r="C440" t="s">
        <v>19242</v>
      </c>
      <c r="D440" t="s">
        <v>14360</v>
      </c>
    </row>
    <row r="441" spans="1:4" x14ac:dyDescent="0.2">
      <c r="A441" t="s">
        <v>13949</v>
      </c>
      <c r="B441" t="s">
        <v>14359</v>
      </c>
      <c r="C441" t="s">
        <v>19924</v>
      </c>
      <c r="D441" t="s">
        <v>14360</v>
      </c>
    </row>
    <row r="442" spans="1:4" x14ac:dyDescent="0.2">
      <c r="A442" t="s">
        <v>2605</v>
      </c>
      <c r="B442" t="s">
        <v>14359</v>
      </c>
      <c r="C442" t="s">
        <v>19716</v>
      </c>
      <c r="D442" t="s">
        <v>14360</v>
      </c>
    </row>
    <row r="443" spans="1:4" x14ac:dyDescent="0.2">
      <c r="A443" t="s">
        <v>2639</v>
      </c>
      <c r="B443" t="s">
        <v>14359</v>
      </c>
      <c r="C443" t="s">
        <v>19733</v>
      </c>
      <c r="D443" t="s">
        <v>14360</v>
      </c>
    </row>
    <row r="444" spans="1:4" x14ac:dyDescent="0.2">
      <c r="A444" t="s">
        <v>2629</v>
      </c>
      <c r="B444" t="s">
        <v>14359</v>
      </c>
      <c r="C444" t="s">
        <v>19728</v>
      </c>
      <c r="D444" t="s">
        <v>14360</v>
      </c>
    </row>
    <row r="445" spans="1:4" x14ac:dyDescent="0.2">
      <c r="A445" t="s">
        <v>14325</v>
      </c>
      <c r="B445" t="s">
        <v>14359</v>
      </c>
      <c r="C445" t="s">
        <v>19925</v>
      </c>
      <c r="D445" t="s">
        <v>14360</v>
      </c>
    </row>
    <row r="446" spans="1:4" x14ac:dyDescent="0.2">
      <c r="A446" t="s">
        <v>13878</v>
      </c>
      <c r="B446" t="s">
        <v>14359</v>
      </c>
      <c r="C446" t="s">
        <v>19926</v>
      </c>
      <c r="D446" t="s">
        <v>14360</v>
      </c>
    </row>
    <row r="447" spans="1:4" x14ac:dyDescent="0.2">
      <c r="A447" t="s">
        <v>13879</v>
      </c>
      <c r="B447" t="s">
        <v>14359</v>
      </c>
      <c r="C447" t="s">
        <v>19927</v>
      </c>
      <c r="D447" t="s">
        <v>14360</v>
      </c>
    </row>
    <row r="448" spans="1:4" x14ac:dyDescent="0.2">
      <c r="A448" t="s">
        <v>13927</v>
      </c>
      <c r="B448" t="s">
        <v>14359</v>
      </c>
      <c r="C448" t="s">
        <v>19928</v>
      </c>
      <c r="D448" t="s">
        <v>14360</v>
      </c>
    </row>
    <row r="449" spans="1:4" x14ac:dyDescent="0.2">
      <c r="A449" t="s">
        <v>14326</v>
      </c>
      <c r="B449" t="s">
        <v>14359</v>
      </c>
      <c r="C449" t="s">
        <v>19929</v>
      </c>
      <c r="D449" t="s">
        <v>14360</v>
      </c>
    </row>
    <row r="450" spans="1:4" x14ac:dyDescent="0.2">
      <c r="A450" t="s">
        <v>1096</v>
      </c>
      <c r="B450" t="s">
        <v>14359</v>
      </c>
      <c r="C450" t="s">
        <v>19172</v>
      </c>
      <c r="D450" t="s">
        <v>14360</v>
      </c>
    </row>
    <row r="451" spans="1:4" x14ac:dyDescent="0.2">
      <c r="A451" t="s">
        <v>13908</v>
      </c>
      <c r="B451" t="s">
        <v>14359</v>
      </c>
      <c r="C451" t="s">
        <v>19360</v>
      </c>
      <c r="D451" t="s">
        <v>14360</v>
      </c>
    </row>
    <row r="452" spans="1:4" x14ac:dyDescent="0.2">
      <c r="A452" t="s">
        <v>14089</v>
      </c>
      <c r="B452" t="s">
        <v>14359</v>
      </c>
      <c r="C452" t="s">
        <v>20100</v>
      </c>
      <c r="D452" t="s">
        <v>14360</v>
      </c>
    </row>
    <row r="453" spans="1:4" x14ac:dyDescent="0.2">
      <c r="A453" t="s">
        <v>2094</v>
      </c>
      <c r="B453" t="s">
        <v>14359</v>
      </c>
      <c r="C453" t="s">
        <v>19528</v>
      </c>
      <c r="D453" t="s">
        <v>14360</v>
      </c>
    </row>
    <row r="454" spans="1:4" x14ac:dyDescent="0.2">
      <c r="A454" t="s">
        <v>2090</v>
      </c>
      <c r="B454" t="s">
        <v>14359</v>
      </c>
      <c r="C454" t="s">
        <v>19526</v>
      </c>
      <c r="D454" t="s">
        <v>14360</v>
      </c>
    </row>
    <row r="455" spans="1:4" x14ac:dyDescent="0.2">
      <c r="A455" t="s">
        <v>2122</v>
      </c>
      <c r="B455" t="s">
        <v>14359</v>
      </c>
      <c r="C455" t="s">
        <v>19538</v>
      </c>
      <c r="D455" t="s">
        <v>14360</v>
      </c>
    </row>
    <row r="456" spans="1:4" x14ac:dyDescent="0.2">
      <c r="A456" t="s">
        <v>1443</v>
      </c>
      <c r="B456" t="s">
        <v>14359</v>
      </c>
      <c r="C456" t="s">
        <v>19292</v>
      </c>
      <c r="D456" t="s">
        <v>14360</v>
      </c>
    </row>
    <row r="457" spans="1:4" x14ac:dyDescent="0.2">
      <c r="A457" t="s">
        <v>14327</v>
      </c>
      <c r="B457" t="s">
        <v>14359</v>
      </c>
      <c r="C457" t="s">
        <v>19930</v>
      </c>
      <c r="D457" t="s">
        <v>14360</v>
      </c>
    </row>
    <row r="458" spans="1:4" x14ac:dyDescent="0.2">
      <c r="A458" t="s">
        <v>13987</v>
      </c>
      <c r="B458" t="s">
        <v>14359</v>
      </c>
      <c r="C458" t="s">
        <v>19931</v>
      </c>
      <c r="D458" t="s">
        <v>14360</v>
      </c>
    </row>
    <row r="459" spans="1:4" x14ac:dyDescent="0.2">
      <c r="A459" t="s">
        <v>2044</v>
      </c>
      <c r="B459" t="s">
        <v>14359</v>
      </c>
      <c r="C459" t="s">
        <v>19502</v>
      </c>
      <c r="D459" t="s">
        <v>14360</v>
      </c>
    </row>
    <row r="460" spans="1:4" x14ac:dyDescent="0.2">
      <c r="A460" t="s">
        <v>2054</v>
      </c>
      <c r="B460" t="s">
        <v>14359</v>
      </c>
      <c r="C460" t="s">
        <v>19507</v>
      </c>
      <c r="D460" t="s">
        <v>14360</v>
      </c>
    </row>
    <row r="461" spans="1:4" x14ac:dyDescent="0.2">
      <c r="A461" t="s">
        <v>13988</v>
      </c>
      <c r="B461" t="s">
        <v>14359</v>
      </c>
      <c r="C461" t="s">
        <v>19932</v>
      </c>
      <c r="D461" t="s">
        <v>14360</v>
      </c>
    </row>
    <row r="462" spans="1:4" x14ac:dyDescent="0.2">
      <c r="A462" t="s">
        <v>14219</v>
      </c>
      <c r="B462" t="s">
        <v>14359</v>
      </c>
      <c r="C462" t="s">
        <v>19933</v>
      </c>
      <c r="D462" t="s">
        <v>14360</v>
      </c>
    </row>
    <row r="463" spans="1:4" x14ac:dyDescent="0.2">
      <c r="A463" t="s">
        <v>2083</v>
      </c>
      <c r="B463" t="s">
        <v>14359</v>
      </c>
      <c r="C463" t="s">
        <v>19522</v>
      </c>
      <c r="D463" t="s">
        <v>14360</v>
      </c>
    </row>
    <row r="464" spans="1:4" x14ac:dyDescent="0.2">
      <c r="A464" t="s">
        <v>13970</v>
      </c>
      <c r="B464" t="s">
        <v>14359</v>
      </c>
      <c r="C464" t="s">
        <v>19934</v>
      </c>
      <c r="D464" t="s">
        <v>14360</v>
      </c>
    </row>
    <row r="465" spans="1:4" x14ac:dyDescent="0.2">
      <c r="A465" t="s">
        <v>13787</v>
      </c>
      <c r="B465" t="s">
        <v>14359</v>
      </c>
      <c r="C465" t="s">
        <v>19935</v>
      </c>
      <c r="D465" t="s">
        <v>14360</v>
      </c>
    </row>
    <row r="466" spans="1:4" x14ac:dyDescent="0.2">
      <c r="A466" t="s">
        <v>14088</v>
      </c>
      <c r="B466" t="s">
        <v>14359</v>
      </c>
      <c r="C466" t="s">
        <v>19936</v>
      </c>
      <c r="D466" t="s">
        <v>14360</v>
      </c>
    </row>
    <row r="467" spans="1:4" x14ac:dyDescent="0.2">
      <c r="A467" t="s">
        <v>13864</v>
      </c>
      <c r="B467" t="s">
        <v>14359</v>
      </c>
      <c r="C467" t="s">
        <v>19319</v>
      </c>
      <c r="D467" t="s">
        <v>14360</v>
      </c>
    </row>
    <row r="468" spans="1:4" x14ac:dyDescent="0.2">
      <c r="A468" t="s">
        <v>2418</v>
      </c>
      <c r="B468" t="s">
        <v>14359</v>
      </c>
      <c r="C468" t="s">
        <v>19640</v>
      </c>
      <c r="D468" t="s">
        <v>14360</v>
      </c>
    </row>
    <row r="469" spans="1:4" x14ac:dyDescent="0.2">
      <c r="A469" t="s">
        <v>2503</v>
      </c>
      <c r="B469" t="s">
        <v>14359</v>
      </c>
      <c r="C469" t="s">
        <v>346</v>
      </c>
      <c r="D469" t="s">
        <v>14360</v>
      </c>
    </row>
    <row r="470" spans="1:4" x14ac:dyDescent="0.2">
      <c r="A470" t="s">
        <v>224</v>
      </c>
      <c r="B470" t="s">
        <v>14358</v>
      </c>
      <c r="C470" t="s">
        <v>223</v>
      </c>
      <c r="D470" t="s">
        <v>11179</v>
      </c>
    </row>
    <row r="471" spans="1:4" x14ac:dyDescent="0.2">
      <c r="A471" t="s">
        <v>228</v>
      </c>
      <c r="B471" t="s">
        <v>14358</v>
      </c>
      <c r="C471" t="s">
        <v>227</v>
      </c>
      <c r="D471" t="s">
        <v>11152</v>
      </c>
    </row>
    <row r="472" spans="1:4" x14ac:dyDescent="0.2">
      <c r="A472" t="s">
        <v>232</v>
      </c>
      <c r="B472" t="s">
        <v>14358</v>
      </c>
      <c r="C472" t="s">
        <v>231</v>
      </c>
      <c r="D472" t="s">
        <v>11168</v>
      </c>
    </row>
    <row r="473" spans="1:4" x14ac:dyDescent="0.2">
      <c r="A473" t="s">
        <v>236</v>
      </c>
      <c r="B473" t="s">
        <v>14358</v>
      </c>
      <c r="C473" t="s">
        <v>235</v>
      </c>
      <c r="D473" t="s">
        <v>11265</v>
      </c>
    </row>
    <row r="474" spans="1:4" x14ac:dyDescent="0.2">
      <c r="A474" t="s">
        <v>244</v>
      </c>
      <c r="B474" t="s">
        <v>14358</v>
      </c>
      <c r="C474" t="s">
        <v>243</v>
      </c>
      <c r="D474" t="s">
        <v>11305</v>
      </c>
    </row>
    <row r="475" spans="1:4" x14ac:dyDescent="0.2">
      <c r="A475" t="s">
        <v>248</v>
      </c>
      <c r="B475" t="s">
        <v>14358</v>
      </c>
      <c r="C475" t="s">
        <v>247</v>
      </c>
      <c r="D475" t="s">
        <v>11165</v>
      </c>
    </row>
    <row r="476" spans="1:4" x14ac:dyDescent="0.2">
      <c r="A476" t="s">
        <v>252</v>
      </c>
      <c r="B476" t="s">
        <v>14358</v>
      </c>
      <c r="C476" t="s">
        <v>251</v>
      </c>
      <c r="D476" t="s">
        <v>11290</v>
      </c>
    </row>
    <row r="477" spans="1:4" x14ac:dyDescent="0.2">
      <c r="A477" t="s">
        <v>256</v>
      </c>
      <c r="B477" t="s">
        <v>14358</v>
      </c>
      <c r="C477" t="s">
        <v>255</v>
      </c>
      <c r="D477" t="s">
        <v>11285</v>
      </c>
    </row>
    <row r="478" spans="1:4" x14ac:dyDescent="0.2">
      <c r="A478" t="s">
        <v>260</v>
      </c>
      <c r="B478" t="s">
        <v>14358</v>
      </c>
      <c r="C478" t="s">
        <v>259</v>
      </c>
      <c r="D478" t="s">
        <v>11156</v>
      </c>
    </row>
    <row r="479" spans="1:4" x14ac:dyDescent="0.2">
      <c r="A479" t="s">
        <v>264</v>
      </c>
      <c r="B479" t="s">
        <v>14358</v>
      </c>
      <c r="C479" t="s">
        <v>263</v>
      </c>
      <c r="D479" t="s">
        <v>11220</v>
      </c>
    </row>
    <row r="480" spans="1:4" x14ac:dyDescent="0.2">
      <c r="A480" t="s">
        <v>268</v>
      </c>
      <c r="B480" t="s">
        <v>14358</v>
      </c>
      <c r="C480" t="s">
        <v>267</v>
      </c>
      <c r="D480" t="s">
        <v>11138</v>
      </c>
    </row>
    <row r="481" spans="1:4" x14ac:dyDescent="0.2">
      <c r="A481" t="s">
        <v>272</v>
      </c>
      <c r="B481" t="s">
        <v>14358</v>
      </c>
      <c r="C481" t="s">
        <v>271</v>
      </c>
      <c r="D481" t="s">
        <v>11266</v>
      </c>
    </row>
    <row r="482" spans="1:4" x14ac:dyDescent="0.2">
      <c r="A482" t="s">
        <v>276</v>
      </c>
      <c r="B482" t="s">
        <v>14358</v>
      </c>
      <c r="C482" t="s">
        <v>275</v>
      </c>
      <c r="D482" t="s">
        <v>11212</v>
      </c>
    </row>
    <row r="483" spans="1:4" x14ac:dyDescent="0.2">
      <c r="A483" t="s">
        <v>13848</v>
      </c>
      <c r="B483" t="s">
        <v>14359</v>
      </c>
      <c r="C483" t="s">
        <v>19937</v>
      </c>
      <c r="D483" t="s">
        <v>14360</v>
      </c>
    </row>
    <row r="484" spans="1:4" x14ac:dyDescent="0.2">
      <c r="A484" t="s">
        <v>214</v>
      </c>
      <c r="B484" t="s">
        <v>14358</v>
      </c>
      <c r="C484" t="s">
        <v>19769</v>
      </c>
      <c r="D484" t="s">
        <v>11294</v>
      </c>
    </row>
    <row r="485" spans="1:4" x14ac:dyDescent="0.2">
      <c r="A485" t="s">
        <v>218</v>
      </c>
      <c r="B485" t="s">
        <v>14358</v>
      </c>
      <c r="C485" t="s">
        <v>19877</v>
      </c>
      <c r="D485" t="s">
        <v>10612</v>
      </c>
    </row>
    <row r="486" spans="1:4" x14ac:dyDescent="0.2">
      <c r="A486" t="s">
        <v>239</v>
      </c>
      <c r="B486" t="s">
        <v>14358</v>
      </c>
      <c r="C486" t="s">
        <v>19878</v>
      </c>
      <c r="D486" t="s">
        <v>10609</v>
      </c>
    </row>
    <row r="487" spans="1:4" x14ac:dyDescent="0.2">
      <c r="A487" t="s">
        <v>279</v>
      </c>
      <c r="B487" t="s">
        <v>14358</v>
      </c>
      <c r="C487" t="s">
        <v>19879</v>
      </c>
      <c r="D487" t="s">
        <v>14360</v>
      </c>
    </row>
    <row r="488" spans="1:4" x14ac:dyDescent="0.2">
      <c r="A488" t="s">
        <v>284</v>
      </c>
      <c r="B488" t="s">
        <v>14358</v>
      </c>
      <c r="C488" t="s">
        <v>283</v>
      </c>
      <c r="D488" t="s">
        <v>13596</v>
      </c>
    </row>
    <row r="489" spans="1:4" x14ac:dyDescent="0.2">
      <c r="A489" t="s">
        <v>288</v>
      </c>
      <c r="B489" t="s">
        <v>14358</v>
      </c>
      <c r="C489" t="s">
        <v>287</v>
      </c>
      <c r="D489" t="s">
        <v>13584</v>
      </c>
    </row>
    <row r="490" spans="1:4" x14ac:dyDescent="0.2">
      <c r="A490" t="s">
        <v>292</v>
      </c>
      <c r="B490" t="s">
        <v>14358</v>
      </c>
      <c r="C490" t="s">
        <v>291</v>
      </c>
      <c r="D490" t="s">
        <v>13598</v>
      </c>
    </row>
    <row r="491" spans="1:4" x14ac:dyDescent="0.2">
      <c r="A491" t="s">
        <v>296</v>
      </c>
      <c r="B491" t="s">
        <v>14358</v>
      </c>
      <c r="C491" t="s">
        <v>295</v>
      </c>
      <c r="D491" t="s">
        <v>13564</v>
      </c>
    </row>
    <row r="492" spans="1:4" x14ac:dyDescent="0.2">
      <c r="A492" t="s">
        <v>300</v>
      </c>
      <c r="B492" t="s">
        <v>14358</v>
      </c>
      <c r="C492" t="s">
        <v>299</v>
      </c>
      <c r="D492" t="s">
        <v>13590</v>
      </c>
    </row>
    <row r="493" spans="1:4" x14ac:dyDescent="0.2">
      <c r="A493" t="s">
        <v>304</v>
      </c>
      <c r="B493" t="s">
        <v>14358</v>
      </c>
      <c r="C493" t="s">
        <v>303</v>
      </c>
      <c r="D493" t="s">
        <v>13549</v>
      </c>
    </row>
    <row r="494" spans="1:4" x14ac:dyDescent="0.2">
      <c r="A494" t="s">
        <v>308</v>
      </c>
      <c r="B494" t="s">
        <v>14358</v>
      </c>
      <c r="C494" t="s">
        <v>307</v>
      </c>
      <c r="D494" t="s">
        <v>13543</v>
      </c>
    </row>
    <row r="495" spans="1:4" x14ac:dyDescent="0.2">
      <c r="A495" t="s">
        <v>312</v>
      </c>
      <c r="B495" t="s">
        <v>14358</v>
      </c>
      <c r="C495" t="s">
        <v>311</v>
      </c>
      <c r="D495" t="s">
        <v>13464</v>
      </c>
    </row>
    <row r="496" spans="1:4" x14ac:dyDescent="0.2">
      <c r="A496" t="s">
        <v>316</v>
      </c>
      <c r="B496" t="s">
        <v>14358</v>
      </c>
      <c r="C496" t="s">
        <v>315</v>
      </c>
      <c r="D496" t="s">
        <v>13502</v>
      </c>
    </row>
    <row r="497" spans="1:4" x14ac:dyDescent="0.2">
      <c r="A497" t="s">
        <v>320</v>
      </c>
      <c r="B497" t="s">
        <v>14358</v>
      </c>
      <c r="C497" t="s">
        <v>319</v>
      </c>
      <c r="D497" t="s">
        <v>13531</v>
      </c>
    </row>
    <row r="498" spans="1:4" x14ac:dyDescent="0.2">
      <c r="A498" t="s">
        <v>324</v>
      </c>
      <c r="B498" t="s">
        <v>14358</v>
      </c>
      <c r="C498" t="s">
        <v>323</v>
      </c>
      <c r="D498" t="s">
        <v>13443</v>
      </c>
    </row>
    <row r="499" spans="1:4" x14ac:dyDescent="0.2">
      <c r="A499" t="s">
        <v>328</v>
      </c>
      <c r="B499" t="s">
        <v>14358</v>
      </c>
      <c r="C499" t="s">
        <v>327</v>
      </c>
      <c r="D499" t="s">
        <v>13611</v>
      </c>
    </row>
    <row r="500" spans="1:4" x14ac:dyDescent="0.2">
      <c r="A500" t="s">
        <v>332</v>
      </c>
      <c r="B500" t="s">
        <v>14358</v>
      </c>
      <c r="C500" t="s">
        <v>331</v>
      </c>
      <c r="D500" t="s">
        <v>13634</v>
      </c>
    </row>
    <row r="501" spans="1:4" x14ac:dyDescent="0.2">
      <c r="A501" t="s">
        <v>336</v>
      </c>
      <c r="B501" t="s">
        <v>14358</v>
      </c>
      <c r="C501" t="s">
        <v>335</v>
      </c>
      <c r="D501" t="s">
        <v>13586</v>
      </c>
    </row>
    <row r="502" spans="1:4" x14ac:dyDescent="0.2">
      <c r="A502" t="s">
        <v>2236</v>
      </c>
      <c r="B502" t="s">
        <v>14359</v>
      </c>
      <c r="C502" t="s">
        <v>19579</v>
      </c>
      <c r="D502" t="s">
        <v>14360</v>
      </c>
    </row>
    <row r="503" spans="1:4" x14ac:dyDescent="0.2">
      <c r="A503" t="s">
        <v>2428</v>
      </c>
      <c r="B503" t="s">
        <v>14359</v>
      </c>
      <c r="C503" t="s">
        <v>19645</v>
      </c>
      <c r="D503" t="s">
        <v>14360</v>
      </c>
    </row>
    <row r="504" spans="1:4" x14ac:dyDescent="0.2">
      <c r="A504" t="s">
        <v>2497</v>
      </c>
      <c r="B504" t="s">
        <v>14359</v>
      </c>
      <c r="C504" t="s">
        <v>19666</v>
      </c>
      <c r="D504" t="s">
        <v>14360</v>
      </c>
    </row>
    <row r="505" spans="1:4" x14ac:dyDescent="0.2">
      <c r="A505" t="s">
        <v>1610</v>
      </c>
      <c r="B505" t="s">
        <v>14359</v>
      </c>
      <c r="C505" t="s">
        <v>19341</v>
      </c>
      <c r="D505" t="s">
        <v>14360</v>
      </c>
    </row>
    <row r="506" spans="1:4" x14ac:dyDescent="0.2">
      <c r="A506" t="s">
        <v>14095</v>
      </c>
      <c r="B506" t="s">
        <v>14359</v>
      </c>
      <c r="C506" t="s">
        <v>19597</v>
      </c>
      <c r="D506" t="s">
        <v>14360</v>
      </c>
    </row>
    <row r="507" spans="1:4" x14ac:dyDescent="0.2">
      <c r="A507" t="s">
        <v>2318</v>
      </c>
      <c r="B507" t="s">
        <v>14359</v>
      </c>
      <c r="C507" t="s">
        <v>19609</v>
      </c>
      <c r="D507" t="s">
        <v>14360</v>
      </c>
    </row>
    <row r="508" spans="1:4" x14ac:dyDescent="0.2">
      <c r="A508" t="s">
        <v>14104</v>
      </c>
      <c r="B508" t="s">
        <v>14359</v>
      </c>
      <c r="C508" t="s">
        <v>19613</v>
      </c>
      <c r="D508" t="s">
        <v>14360</v>
      </c>
    </row>
    <row r="509" spans="1:4" x14ac:dyDescent="0.2">
      <c r="A509" t="s">
        <v>13895</v>
      </c>
      <c r="B509" t="s">
        <v>14359</v>
      </c>
      <c r="C509" t="s">
        <v>19343</v>
      </c>
      <c r="D509" t="s">
        <v>14360</v>
      </c>
    </row>
    <row r="510" spans="1:4" x14ac:dyDescent="0.2">
      <c r="A510" t="s">
        <v>1594</v>
      </c>
      <c r="B510" t="s">
        <v>14359</v>
      </c>
      <c r="C510" t="s">
        <v>19337</v>
      </c>
      <c r="D510" t="s">
        <v>14360</v>
      </c>
    </row>
    <row r="511" spans="1:4" x14ac:dyDescent="0.2">
      <c r="A511" t="s">
        <v>14032</v>
      </c>
      <c r="B511" t="s">
        <v>14359</v>
      </c>
      <c r="C511" t="s">
        <v>19938</v>
      </c>
      <c r="D511" t="s">
        <v>14360</v>
      </c>
    </row>
    <row r="512" spans="1:4" x14ac:dyDescent="0.2">
      <c r="A512" t="s">
        <v>1831</v>
      </c>
      <c r="B512" t="s">
        <v>14359</v>
      </c>
      <c r="C512" t="s">
        <v>19411</v>
      </c>
      <c r="D512" t="s">
        <v>14360</v>
      </c>
    </row>
    <row r="513" spans="1:4" x14ac:dyDescent="0.2">
      <c r="A513" t="s">
        <v>340</v>
      </c>
      <c r="B513" t="s">
        <v>14358</v>
      </c>
      <c r="C513" t="s">
        <v>338</v>
      </c>
      <c r="D513" t="s">
        <v>338</v>
      </c>
    </row>
    <row r="514" spans="1:4" x14ac:dyDescent="0.2">
      <c r="A514" t="s">
        <v>13788</v>
      </c>
      <c r="B514" t="s">
        <v>14359</v>
      </c>
      <c r="C514" t="s">
        <v>338</v>
      </c>
      <c r="D514" t="s">
        <v>14360</v>
      </c>
    </row>
    <row r="515" spans="1:4" x14ac:dyDescent="0.2">
      <c r="A515" t="s">
        <v>2563</v>
      </c>
      <c r="B515" t="s">
        <v>14359</v>
      </c>
      <c r="C515" t="s">
        <v>19696</v>
      </c>
      <c r="D515" t="s">
        <v>14360</v>
      </c>
    </row>
    <row r="516" spans="1:4" x14ac:dyDescent="0.2">
      <c r="A516" t="s">
        <v>14048</v>
      </c>
      <c r="B516" t="s">
        <v>14359</v>
      </c>
      <c r="C516" t="s">
        <v>19939</v>
      </c>
      <c r="D516" t="s">
        <v>14360</v>
      </c>
    </row>
    <row r="517" spans="1:4" x14ac:dyDescent="0.2">
      <c r="A517" t="s">
        <v>344</v>
      </c>
      <c r="B517" t="s">
        <v>14358</v>
      </c>
      <c r="C517" t="s">
        <v>343</v>
      </c>
      <c r="D517" t="s">
        <v>10570</v>
      </c>
    </row>
    <row r="518" spans="1:4" x14ac:dyDescent="0.2">
      <c r="A518" t="s">
        <v>14066</v>
      </c>
      <c r="B518" t="s">
        <v>14359</v>
      </c>
      <c r="C518" t="s">
        <v>19940</v>
      </c>
      <c r="D518" t="s">
        <v>14360</v>
      </c>
    </row>
    <row r="519" spans="1:4" x14ac:dyDescent="0.2">
      <c r="A519" t="s">
        <v>350</v>
      </c>
      <c r="B519" t="s">
        <v>14358</v>
      </c>
      <c r="C519" t="s">
        <v>349</v>
      </c>
      <c r="D519" t="s">
        <v>11275</v>
      </c>
    </row>
    <row r="520" spans="1:4" x14ac:dyDescent="0.2">
      <c r="A520" t="s">
        <v>354</v>
      </c>
      <c r="B520" t="s">
        <v>14358</v>
      </c>
      <c r="C520" t="s">
        <v>353</v>
      </c>
      <c r="D520" t="s">
        <v>10648</v>
      </c>
    </row>
    <row r="521" spans="1:4" x14ac:dyDescent="0.2">
      <c r="A521" t="s">
        <v>360</v>
      </c>
      <c r="B521" t="s">
        <v>14358</v>
      </c>
      <c r="C521" t="s">
        <v>359</v>
      </c>
      <c r="D521" t="s">
        <v>11184</v>
      </c>
    </row>
    <row r="522" spans="1:4" x14ac:dyDescent="0.2">
      <c r="A522" t="s">
        <v>364</v>
      </c>
      <c r="B522" t="s">
        <v>14358</v>
      </c>
      <c r="C522" t="s">
        <v>363</v>
      </c>
      <c r="D522" t="s">
        <v>11155</v>
      </c>
    </row>
    <row r="523" spans="1:4" x14ac:dyDescent="0.2">
      <c r="A523" t="s">
        <v>368</v>
      </c>
      <c r="B523" t="s">
        <v>14358</v>
      </c>
      <c r="C523" t="s">
        <v>367</v>
      </c>
      <c r="D523" t="s">
        <v>11181</v>
      </c>
    </row>
    <row r="524" spans="1:4" x14ac:dyDescent="0.2">
      <c r="A524" t="s">
        <v>372</v>
      </c>
      <c r="B524" t="s">
        <v>14358</v>
      </c>
      <c r="C524" t="s">
        <v>371</v>
      </c>
      <c r="D524" t="s">
        <v>11199</v>
      </c>
    </row>
    <row r="525" spans="1:4" x14ac:dyDescent="0.2">
      <c r="A525" t="s">
        <v>375</v>
      </c>
      <c r="B525" t="s">
        <v>14358</v>
      </c>
      <c r="C525" t="s">
        <v>374</v>
      </c>
      <c r="D525" t="s">
        <v>10645</v>
      </c>
    </row>
    <row r="526" spans="1:4" x14ac:dyDescent="0.2">
      <c r="A526" t="s">
        <v>380</v>
      </c>
      <c r="B526" t="s">
        <v>14358</v>
      </c>
      <c r="C526" t="s">
        <v>379</v>
      </c>
      <c r="D526" t="s">
        <v>11283</v>
      </c>
    </row>
    <row r="527" spans="1:4" x14ac:dyDescent="0.2">
      <c r="A527" t="s">
        <v>384</v>
      </c>
      <c r="B527" t="s">
        <v>14358</v>
      </c>
      <c r="C527" t="s">
        <v>383</v>
      </c>
      <c r="D527" t="s">
        <v>11190</v>
      </c>
    </row>
    <row r="528" spans="1:4" x14ac:dyDescent="0.2">
      <c r="A528" t="s">
        <v>388</v>
      </c>
      <c r="B528" t="s">
        <v>14358</v>
      </c>
      <c r="C528" t="s">
        <v>387</v>
      </c>
      <c r="D528" t="s">
        <v>11240</v>
      </c>
    </row>
    <row r="529" spans="1:4" x14ac:dyDescent="0.2">
      <c r="A529" t="s">
        <v>392</v>
      </c>
      <c r="B529" t="s">
        <v>14358</v>
      </c>
      <c r="C529" t="s">
        <v>391</v>
      </c>
      <c r="D529" t="s">
        <v>11172</v>
      </c>
    </row>
    <row r="530" spans="1:4" x14ac:dyDescent="0.2">
      <c r="A530" t="s">
        <v>396</v>
      </c>
      <c r="B530" t="s">
        <v>14358</v>
      </c>
      <c r="C530" t="s">
        <v>395</v>
      </c>
      <c r="D530" t="s">
        <v>11192</v>
      </c>
    </row>
    <row r="531" spans="1:4" x14ac:dyDescent="0.2">
      <c r="A531" t="s">
        <v>400</v>
      </c>
      <c r="B531" t="s">
        <v>14358</v>
      </c>
      <c r="C531" t="s">
        <v>399</v>
      </c>
      <c r="D531" t="s">
        <v>11267</v>
      </c>
    </row>
    <row r="532" spans="1:4" x14ac:dyDescent="0.2">
      <c r="A532" t="s">
        <v>404</v>
      </c>
      <c r="B532" t="s">
        <v>14358</v>
      </c>
      <c r="C532" t="s">
        <v>403</v>
      </c>
      <c r="D532" t="s">
        <v>11132</v>
      </c>
    </row>
    <row r="533" spans="1:4" x14ac:dyDescent="0.2">
      <c r="A533" t="s">
        <v>408</v>
      </c>
      <c r="B533" t="s">
        <v>14358</v>
      </c>
      <c r="C533" t="s">
        <v>407</v>
      </c>
      <c r="D533" t="s">
        <v>11232</v>
      </c>
    </row>
    <row r="534" spans="1:4" x14ac:dyDescent="0.2">
      <c r="A534" t="s">
        <v>412</v>
      </c>
      <c r="B534" t="s">
        <v>14358</v>
      </c>
      <c r="C534" t="s">
        <v>411</v>
      </c>
      <c r="D534" t="s">
        <v>11258</v>
      </c>
    </row>
    <row r="535" spans="1:4" x14ac:dyDescent="0.2">
      <c r="A535" t="s">
        <v>415</v>
      </c>
      <c r="B535" t="s">
        <v>14358</v>
      </c>
      <c r="C535" t="s">
        <v>414</v>
      </c>
      <c r="D535" t="s">
        <v>10642</v>
      </c>
    </row>
    <row r="536" spans="1:4" x14ac:dyDescent="0.2">
      <c r="A536" t="s">
        <v>13757</v>
      </c>
      <c r="B536" t="s">
        <v>14359</v>
      </c>
      <c r="C536" t="s">
        <v>19941</v>
      </c>
      <c r="D536" t="s">
        <v>14360</v>
      </c>
    </row>
    <row r="537" spans="1:4" x14ac:dyDescent="0.2">
      <c r="A537" t="s">
        <v>2520</v>
      </c>
      <c r="B537" t="s">
        <v>14359</v>
      </c>
      <c r="C537" t="s">
        <v>19675</v>
      </c>
      <c r="D537" t="s">
        <v>14360</v>
      </c>
    </row>
    <row r="538" spans="1:4" x14ac:dyDescent="0.2">
      <c r="A538" t="s">
        <v>2491</v>
      </c>
      <c r="B538" t="s">
        <v>14359</v>
      </c>
      <c r="C538" t="s">
        <v>19663</v>
      </c>
      <c r="D538" t="s">
        <v>14360</v>
      </c>
    </row>
    <row r="539" spans="1:4" x14ac:dyDescent="0.2">
      <c r="A539" t="s">
        <v>13997</v>
      </c>
      <c r="B539" t="s">
        <v>14359</v>
      </c>
      <c r="C539" t="s">
        <v>19537</v>
      </c>
      <c r="D539" t="s">
        <v>14360</v>
      </c>
    </row>
    <row r="540" spans="1:4" x14ac:dyDescent="0.2">
      <c r="A540" t="s">
        <v>13781</v>
      </c>
      <c r="B540" t="s">
        <v>14359</v>
      </c>
      <c r="C540" t="s">
        <v>19942</v>
      </c>
      <c r="D540" t="s">
        <v>14360</v>
      </c>
    </row>
    <row r="541" spans="1:4" x14ac:dyDescent="0.2">
      <c r="A541" t="s">
        <v>2422</v>
      </c>
      <c r="B541" t="s">
        <v>14359</v>
      </c>
      <c r="C541" t="s">
        <v>19642</v>
      </c>
      <c r="D541" t="s">
        <v>14360</v>
      </c>
    </row>
    <row r="542" spans="1:4" x14ac:dyDescent="0.2">
      <c r="A542" t="s">
        <v>13758</v>
      </c>
      <c r="B542" t="s">
        <v>14359</v>
      </c>
      <c r="C542" t="s">
        <v>418</v>
      </c>
      <c r="D542" t="s">
        <v>14360</v>
      </c>
    </row>
    <row r="543" spans="1:4" x14ac:dyDescent="0.2">
      <c r="A543" t="s">
        <v>420</v>
      </c>
      <c r="B543" t="s">
        <v>14358</v>
      </c>
      <c r="C543" t="s">
        <v>418</v>
      </c>
      <c r="D543" t="s">
        <v>418</v>
      </c>
    </row>
    <row r="544" spans="1:4" x14ac:dyDescent="0.2">
      <c r="A544" t="s">
        <v>13865</v>
      </c>
      <c r="B544" t="s">
        <v>14359</v>
      </c>
      <c r="C544" t="s">
        <v>19943</v>
      </c>
      <c r="D544" t="s">
        <v>14360</v>
      </c>
    </row>
    <row r="545" spans="1:4" x14ac:dyDescent="0.2">
      <c r="A545" t="s">
        <v>2414</v>
      </c>
      <c r="B545" t="s">
        <v>14359</v>
      </c>
      <c r="C545" t="s">
        <v>19638</v>
      </c>
      <c r="D545" t="s">
        <v>14360</v>
      </c>
    </row>
    <row r="546" spans="1:4" x14ac:dyDescent="0.2">
      <c r="A546" t="s">
        <v>2530</v>
      </c>
      <c r="B546" t="s">
        <v>14359</v>
      </c>
      <c r="C546" t="s">
        <v>19679</v>
      </c>
      <c r="D546" t="s">
        <v>14360</v>
      </c>
    </row>
    <row r="547" spans="1:4" x14ac:dyDescent="0.2">
      <c r="A547" t="s">
        <v>2621</v>
      </c>
      <c r="B547" t="s">
        <v>14359</v>
      </c>
      <c r="C547" t="s">
        <v>19724</v>
      </c>
      <c r="D547" t="s">
        <v>14360</v>
      </c>
    </row>
    <row r="548" spans="1:4" x14ac:dyDescent="0.2">
      <c r="A548" t="s">
        <v>1191</v>
      </c>
      <c r="B548" t="s">
        <v>14359</v>
      </c>
      <c r="C548" t="s">
        <v>19210</v>
      </c>
      <c r="D548" t="s">
        <v>14360</v>
      </c>
    </row>
    <row r="549" spans="1:4" x14ac:dyDescent="0.2">
      <c r="A549" t="s">
        <v>13870</v>
      </c>
      <c r="B549" t="s">
        <v>14359</v>
      </c>
      <c r="C549" t="s">
        <v>19944</v>
      </c>
      <c r="D549" t="s">
        <v>14360</v>
      </c>
    </row>
    <row r="550" spans="1:4" x14ac:dyDescent="0.2">
      <c r="A550" t="s">
        <v>1406</v>
      </c>
      <c r="B550" t="s">
        <v>14359</v>
      </c>
      <c r="C550" t="s">
        <v>19277</v>
      </c>
      <c r="D550" t="s">
        <v>14360</v>
      </c>
    </row>
    <row r="551" spans="1:4" x14ac:dyDescent="0.2">
      <c r="A551" t="s">
        <v>2499</v>
      </c>
      <c r="B551" t="s">
        <v>14359</v>
      </c>
      <c r="C551" t="s">
        <v>19667</v>
      </c>
      <c r="D551" t="s">
        <v>14360</v>
      </c>
    </row>
    <row r="552" spans="1:4" x14ac:dyDescent="0.2">
      <c r="A552" t="s">
        <v>1600</v>
      </c>
      <c r="B552" t="s">
        <v>14359</v>
      </c>
      <c r="C552" t="s">
        <v>19339</v>
      </c>
      <c r="D552" t="s">
        <v>14360</v>
      </c>
    </row>
    <row r="553" spans="1:4" x14ac:dyDescent="0.2">
      <c r="A553" t="s">
        <v>2528</v>
      </c>
      <c r="B553" t="s">
        <v>14359</v>
      </c>
      <c r="C553" t="s">
        <v>19678</v>
      </c>
      <c r="D553" t="s">
        <v>14360</v>
      </c>
    </row>
    <row r="554" spans="1:4" x14ac:dyDescent="0.2">
      <c r="A554" t="s">
        <v>2607</v>
      </c>
      <c r="B554" t="s">
        <v>14359</v>
      </c>
      <c r="C554" t="s">
        <v>19717</v>
      </c>
      <c r="D554" t="s">
        <v>14360</v>
      </c>
    </row>
    <row r="555" spans="1:4" x14ac:dyDescent="0.2">
      <c r="A555" t="s">
        <v>13783</v>
      </c>
      <c r="B555" t="s">
        <v>14359</v>
      </c>
      <c r="C555" t="s">
        <v>19719</v>
      </c>
      <c r="D555" t="s">
        <v>14360</v>
      </c>
    </row>
    <row r="556" spans="1:4" x14ac:dyDescent="0.2">
      <c r="A556" t="s">
        <v>14328</v>
      </c>
      <c r="B556" t="s">
        <v>14359</v>
      </c>
      <c r="C556" t="s">
        <v>19945</v>
      </c>
      <c r="D556" t="s">
        <v>14360</v>
      </c>
    </row>
    <row r="557" spans="1:4" x14ac:dyDescent="0.2">
      <c r="A557" t="s">
        <v>14329</v>
      </c>
      <c r="B557" t="s">
        <v>14359</v>
      </c>
      <c r="C557" t="s">
        <v>19946</v>
      </c>
      <c r="D557" t="s">
        <v>14360</v>
      </c>
    </row>
    <row r="558" spans="1:4" x14ac:dyDescent="0.2">
      <c r="A558" t="s">
        <v>14097</v>
      </c>
      <c r="B558" t="s">
        <v>14359</v>
      </c>
      <c r="C558" t="s">
        <v>10200</v>
      </c>
      <c r="D558" t="s">
        <v>14360</v>
      </c>
    </row>
    <row r="559" spans="1:4" x14ac:dyDescent="0.2">
      <c r="A559" t="s">
        <v>14092</v>
      </c>
      <c r="B559" t="s">
        <v>14359</v>
      </c>
      <c r="C559" t="s">
        <v>19753</v>
      </c>
      <c r="D559" t="s">
        <v>14360</v>
      </c>
    </row>
    <row r="560" spans="1:4" x14ac:dyDescent="0.2">
      <c r="A560" t="s">
        <v>1288</v>
      </c>
      <c r="B560" t="s">
        <v>14359</v>
      </c>
      <c r="C560" t="s">
        <v>19241</v>
      </c>
      <c r="D560" t="s">
        <v>14360</v>
      </c>
    </row>
    <row r="561" spans="1:4" x14ac:dyDescent="0.2">
      <c r="A561" t="s">
        <v>1463</v>
      </c>
      <c r="B561" t="s">
        <v>14359</v>
      </c>
      <c r="C561" t="s">
        <v>19300</v>
      </c>
      <c r="D561" t="s">
        <v>14360</v>
      </c>
    </row>
    <row r="562" spans="1:4" x14ac:dyDescent="0.2">
      <c r="A562" t="s">
        <v>2536</v>
      </c>
      <c r="B562" t="s">
        <v>14359</v>
      </c>
      <c r="C562" t="s">
        <v>19682</v>
      </c>
      <c r="D562" t="s">
        <v>14360</v>
      </c>
    </row>
    <row r="563" spans="1:4" x14ac:dyDescent="0.2">
      <c r="A563" t="s">
        <v>14093</v>
      </c>
      <c r="B563" t="s">
        <v>14359</v>
      </c>
      <c r="C563" t="s">
        <v>19599</v>
      </c>
      <c r="D563" t="s">
        <v>14360</v>
      </c>
    </row>
    <row r="564" spans="1:4" x14ac:dyDescent="0.2">
      <c r="A564" t="s">
        <v>14028</v>
      </c>
      <c r="B564" t="s">
        <v>14359</v>
      </c>
      <c r="C564" t="s">
        <v>19752</v>
      </c>
      <c r="D564" t="s">
        <v>14360</v>
      </c>
    </row>
    <row r="565" spans="1:4" x14ac:dyDescent="0.2">
      <c r="A565" t="s">
        <v>14031</v>
      </c>
      <c r="B565" t="s">
        <v>14359</v>
      </c>
      <c r="C565" t="s">
        <v>19947</v>
      </c>
      <c r="D565" t="s">
        <v>14360</v>
      </c>
    </row>
    <row r="566" spans="1:4" x14ac:dyDescent="0.2">
      <c r="A566" t="s">
        <v>13856</v>
      </c>
      <c r="B566" t="s">
        <v>14359</v>
      </c>
      <c r="C566" t="s">
        <v>19948</v>
      </c>
      <c r="D566" t="s">
        <v>14360</v>
      </c>
    </row>
    <row r="567" spans="1:4" x14ac:dyDescent="0.2">
      <c r="A567" t="s">
        <v>13857</v>
      </c>
      <c r="B567" t="s">
        <v>14359</v>
      </c>
      <c r="C567" t="s">
        <v>19949</v>
      </c>
      <c r="D567" t="s">
        <v>14360</v>
      </c>
    </row>
    <row r="568" spans="1:4" x14ac:dyDescent="0.2">
      <c r="A568" t="s">
        <v>13993</v>
      </c>
      <c r="B568" t="s">
        <v>14359</v>
      </c>
      <c r="C568" t="s">
        <v>19950</v>
      </c>
      <c r="D568" t="s">
        <v>14360</v>
      </c>
    </row>
    <row r="569" spans="1:4" x14ac:dyDescent="0.2">
      <c r="A569" t="s">
        <v>13816</v>
      </c>
      <c r="B569" t="s">
        <v>14359</v>
      </c>
      <c r="C569" t="s">
        <v>19212</v>
      </c>
      <c r="D569" t="s">
        <v>14360</v>
      </c>
    </row>
    <row r="570" spans="1:4" x14ac:dyDescent="0.2">
      <c r="A570" t="s">
        <v>14220</v>
      </c>
      <c r="B570" t="s">
        <v>14359</v>
      </c>
      <c r="C570" t="s">
        <v>19951</v>
      </c>
      <c r="D570" t="s">
        <v>14360</v>
      </c>
    </row>
    <row r="571" spans="1:4" x14ac:dyDescent="0.2">
      <c r="A571" t="s">
        <v>14221</v>
      </c>
      <c r="B571" t="s">
        <v>14359</v>
      </c>
      <c r="C571" t="s">
        <v>19952</v>
      </c>
      <c r="D571" t="s">
        <v>14360</v>
      </c>
    </row>
    <row r="572" spans="1:4" x14ac:dyDescent="0.2">
      <c r="A572" t="s">
        <v>14222</v>
      </c>
      <c r="B572" t="s">
        <v>14359</v>
      </c>
      <c r="C572" t="s">
        <v>19953</v>
      </c>
      <c r="D572" t="s">
        <v>14360</v>
      </c>
    </row>
    <row r="573" spans="1:4" x14ac:dyDescent="0.2">
      <c r="A573" t="s">
        <v>14223</v>
      </c>
      <c r="B573" t="s">
        <v>14359</v>
      </c>
      <c r="C573" t="s">
        <v>19954</v>
      </c>
      <c r="D573" t="s">
        <v>14360</v>
      </c>
    </row>
    <row r="574" spans="1:4" x14ac:dyDescent="0.2">
      <c r="A574" t="s">
        <v>14100</v>
      </c>
      <c r="B574" t="s">
        <v>14359</v>
      </c>
      <c r="C574" t="s">
        <v>19955</v>
      </c>
      <c r="D574" t="s">
        <v>14360</v>
      </c>
    </row>
    <row r="575" spans="1:4" x14ac:dyDescent="0.2">
      <c r="A575" t="s">
        <v>13966</v>
      </c>
      <c r="B575" t="s">
        <v>14359</v>
      </c>
      <c r="C575" t="s">
        <v>19956</v>
      </c>
      <c r="D575" t="s">
        <v>14360</v>
      </c>
    </row>
    <row r="576" spans="1:4" x14ac:dyDescent="0.2">
      <c r="A576" t="s">
        <v>2416</v>
      </c>
      <c r="B576" t="s">
        <v>14359</v>
      </c>
      <c r="C576" t="s">
        <v>19639</v>
      </c>
      <c r="D576" t="s">
        <v>14360</v>
      </c>
    </row>
    <row r="577" spans="1:4" x14ac:dyDescent="0.2">
      <c r="A577" t="s">
        <v>1477</v>
      </c>
      <c r="B577" t="s">
        <v>14359</v>
      </c>
      <c r="C577" t="s">
        <v>19306</v>
      </c>
      <c r="D577" t="s">
        <v>14360</v>
      </c>
    </row>
    <row r="578" spans="1:4" x14ac:dyDescent="0.2">
      <c r="A578" t="s">
        <v>1995</v>
      </c>
      <c r="B578" t="s">
        <v>14359</v>
      </c>
      <c r="C578" t="s">
        <v>19479</v>
      </c>
      <c r="D578" t="s">
        <v>14360</v>
      </c>
    </row>
    <row r="579" spans="1:4" x14ac:dyDescent="0.2">
      <c r="A579" t="s">
        <v>2088</v>
      </c>
      <c r="B579" t="s">
        <v>14359</v>
      </c>
      <c r="C579" t="s">
        <v>19525</v>
      </c>
      <c r="D579" t="s">
        <v>14360</v>
      </c>
    </row>
    <row r="580" spans="1:4" x14ac:dyDescent="0.2">
      <c r="A580" t="s">
        <v>2098</v>
      </c>
      <c r="B580" t="s">
        <v>14359</v>
      </c>
      <c r="C580" t="s">
        <v>19530</v>
      </c>
      <c r="D580" t="s">
        <v>14360</v>
      </c>
    </row>
    <row r="581" spans="1:4" x14ac:dyDescent="0.2">
      <c r="A581" t="s">
        <v>2242</v>
      </c>
      <c r="B581" t="s">
        <v>14359</v>
      </c>
      <c r="C581" t="s">
        <v>19581</v>
      </c>
      <c r="D581" t="s">
        <v>14360</v>
      </c>
    </row>
    <row r="582" spans="1:4" x14ac:dyDescent="0.2">
      <c r="A582" t="s">
        <v>1672</v>
      </c>
      <c r="B582" t="s">
        <v>14359</v>
      </c>
      <c r="C582" t="s">
        <v>19365</v>
      </c>
      <c r="D582" t="s">
        <v>14360</v>
      </c>
    </row>
    <row r="583" spans="1:4" x14ac:dyDescent="0.2">
      <c r="A583" t="s">
        <v>2139</v>
      </c>
      <c r="B583" t="s">
        <v>14359</v>
      </c>
      <c r="C583" t="s">
        <v>19545</v>
      </c>
      <c r="D583" t="s">
        <v>14360</v>
      </c>
    </row>
    <row r="584" spans="1:4" x14ac:dyDescent="0.2">
      <c r="A584" t="s">
        <v>2627</v>
      </c>
      <c r="B584" t="s">
        <v>14359</v>
      </c>
      <c r="C584" t="s">
        <v>19727</v>
      </c>
      <c r="D584" t="s">
        <v>14360</v>
      </c>
    </row>
    <row r="585" spans="1:4" x14ac:dyDescent="0.2">
      <c r="A585" t="s">
        <v>13923</v>
      </c>
      <c r="B585" t="s">
        <v>14359</v>
      </c>
      <c r="C585" t="s">
        <v>19957</v>
      </c>
      <c r="D585" t="s">
        <v>14360</v>
      </c>
    </row>
    <row r="586" spans="1:4" x14ac:dyDescent="0.2">
      <c r="A586" t="s">
        <v>1712</v>
      </c>
      <c r="B586" t="s">
        <v>14359</v>
      </c>
      <c r="C586" t="s">
        <v>19376</v>
      </c>
      <c r="D586" t="s">
        <v>14360</v>
      </c>
    </row>
    <row r="587" spans="1:4" x14ac:dyDescent="0.2">
      <c r="A587" t="s">
        <v>1501</v>
      </c>
      <c r="B587" t="s">
        <v>14359</v>
      </c>
      <c r="C587" t="s">
        <v>19311</v>
      </c>
      <c r="D587" t="s">
        <v>14360</v>
      </c>
    </row>
    <row r="588" spans="1:4" x14ac:dyDescent="0.2">
      <c r="A588" t="s">
        <v>2600</v>
      </c>
      <c r="B588" t="s">
        <v>14359</v>
      </c>
      <c r="C588" t="s">
        <v>19713</v>
      </c>
      <c r="D588" t="s">
        <v>14360</v>
      </c>
    </row>
    <row r="589" spans="1:4" x14ac:dyDescent="0.2">
      <c r="A589" t="s">
        <v>1267</v>
      </c>
      <c r="B589" t="s">
        <v>14359</v>
      </c>
      <c r="C589" t="s">
        <v>19233</v>
      </c>
      <c r="D589" t="s">
        <v>14360</v>
      </c>
    </row>
    <row r="590" spans="1:4" x14ac:dyDescent="0.2">
      <c r="A590" t="s">
        <v>1658</v>
      </c>
      <c r="B590" t="s">
        <v>14359</v>
      </c>
      <c r="C590" t="s">
        <v>19357</v>
      </c>
      <c r="D590" t="s">
        <v>14360</v>
      </c>
    </row>
    <row r="591" spans="1:4" x14ac:dyDescent="0.2">
      <c r="A591" t="s">
        <v>13813</v>
      </c>
      <c r="B591" t="s">
        <v>14359</v>
      </c>
      <c r="C591" t="s">
        <v>19195</v>
      </c>
      <c r="D591" t="s">
        <v>14360</v>
      </c>
    </row>
    <row r="592" spans="1:4" x14ac:dyDescent="0.2">
      <c r="A592" t="s">
        <v>430</v>
      </c>
      <c r="B592" t="s">
        <v>14358</v>
      </c>
      <c r="C592" t="s">
        <v>19760</v>
      </c>
      <c r="D592" t="s">
        <v>19859</v>
      </c>
    </row>
    <row r="593" spans="1:4" x14ac:dyDescent="0.2">
      <c r="A593" t="s">
        <v>2102</v>
      </c>
      <c r="B593" t="s">
        <v>14359</v>
      </c>
      <c r="C593" t="s">
        <v>19532</v>
      </c>
      <c r="D593" t="s">
        <v>14360</v>
      </c>
    </row>
    <row r="594" spans="1:4" x14ac:dyDescent="0.2">
      <c r="A594" t="s">
        <v>1997</v>
      </c>
      <c r="B594" t="s">
        <v>14359</v>
      </c>
      <c r="C594" t="s">
        <v>19480</v>
      </c>
      <c r="D594" t="s">
        <v>14360</v>
      </c>
    </row>
    <row r="595" spans="1:4" x14ac:dyDescent="0.2">
      <c r="A595" t="s">
        <v>1429</v>
      </c>
      <c r="B595" t="s">
        <v>14359</v>
      </c>
      <c r="C595" t="s">
        <v>19285</v>
      </c>
      <c r="D595" t="s">
        <v>14360</v>
      </c>
    </row>
    <row r="596" spans="1:4" x14ac:dyDescent="0.2">
      <c r="A596" t="s">
        <v>13826</v>
      </c>
      <c r="B596" t="s">
        <v>14359</v>
      </c>
      <c r="C596" t="s">
        <v>19235</v>
      </c>
      <c r="D596" t="s">
        <v>14360</v>
      </c>
    </row>
    <row r="597" spans="1:4" x14ac:dyDescent="0.2">
      <c r="A597" t="s">
        <v>13995</v>
      </c>
      <c r="B597" t="s">
        <v>14359</v>
      </c>
      <c r="C597" t="s">
        <v>20101</v>
      </c>
      <c r="D597" t="s">
        <v>14360</v>
      </c>
    </row>
    <row r="598" spans="1:4" x14ac:dyDescent="0.2">
      <c r="A598" t="s">
        <v>2181</v>
      </c>
      <c r="B598" t="s">
        <v>14359</v>
      </c>
      <c r="C598" t="s">
        <v>19566</v>
      </c>
      <c r="D598" t="s">
        <v>14360</v>
      </c>
    </row>
    <row r="599" spans="1:4" x14ac:dyDescent="0.2">
      <c r="A599" t="s">
        <v>1240</v>
      </c>
      <c r="B599" t="s">
        <v>14359</v>
      </c>
      <c r="C599" t="s">
        <v>19223</v>
      </c>
      <c r="D599" t="s">
        <v>14360</v>
      </c>
    </row>
    <row r="600" spans="1:4" x14ac:dyDescent="0.2">
      <c r="A600" t="s">
        <v>2126</v>
      </c>
      <c r="B600" t="s">
        <v>14359</v>
      </c>
      <c r="C600" t="s">
        <v>19539</v>
      </c>
      <c r="D600" t="s">
        <v>14360</v>
      </c>
    </row>
    <row r="601" spans="1:4" x14ac:dyDescent="0.2">
      <c r="A601" t="s">
        <v>1859</v>
      </c>
      <c r="B601" t="s">
        <v>14359</v>
      </c>
      <c r="C601" t="s">
        <v>19418</v>
      </c>
      <c r="D601" t="s">
        <v>14360</v>
      </c>
    </row>
    <row r="602" spans="1:4" x14ac:dyDescent="0.2">
      <c r="A602" t="s">
        <v>1853</v>
      </c>
      <c r="B602" t="s">
        <v>14359</v>
      </c>
      <c r="C602" t="s">
        <v>19415</v>
      </c>
      <c r="D602" t="s">
        <v>14360</v>
      </c>
    </row>
    <row r="603" spans="1:4" x14ac:dyDescent="0.2">
      <c r="A603" t="s">
        <v>14330</v>
      </c>
      <c r="B603" t="s">
        <v>14359</v>
      </c>
      <c r="C603" t="s">
        <v>19958</v>
      </c>
      <c r="D603" t="s">
        <v>14360</v>
      </c>
    </row>
    <row r="604" spans="1:4" x14ac:dyDescent="0.2">
      <c r="A604" t="s">
        <v>13853</v>
      </c>
      <c r="B604" t="s">
        <v>14359</v>
      </c>
      <c r="C604" t="s">
        <v>19959</v>
      </c>
      <c r="D604" t="s">
        <v>14360</v>
      </c>
    </row>
    <row r="605" spans="1:4" x14ac:dyDescent="0.2">
      <c r="A605" t="s">
        <v>1227</v>
      </c>
      <c r="B605" t="s">
        <v>14359</v>
      </c>
      <c r="C605" t="s">
        <v>5695</v>
      </c>
      <c r="D605" t="s">
        <v>14360</v>
      </c>
    </row>
    <row r="606" spans="1:4" x14ac:dyDescent="0.2">
      <c r="A606" t="s">
        <v>14063</v>
      </c>
      <c r="B606" t="s">
        <v>14359</v>
      </c>
      <c r="C606" t="s">
        <v>19960</v>
      </c>
      <c r="D606" t="s">
        <v>14360</v>
      </c>
    </row>
    <row r="607" spans="1:4" x14ac:dyDescent="0.2">
      <c r="A607" t="s">
        <v>1650</v>
      </c>
      <c r="B607" t="s">
        <v>14359</v>
      </c>
      <c r="C607" t="s">
        <v>19354</v>
      </c>
      <c r="D607" t="s">
        <v>14360</v>
      </c>
    </row>
    <row r="608" spans="1:4" x14ac:dyDescent="0.2">
      <c r="A608" t="s">
        <v>2471</v>
      </c>
      <c r="B608" t="s">
        <v>14359</v>
      </c>
      <c r="C608" t="s">
        <v>19654</v>
      </c>
      <c r="D608" t="s">
        <v>14360</v>
      </c>
    </row>
    <row r="609" spans="1:4" x14ac:dyDescent="0.2">
      <c r="A609" t="s">
        <v>13976</v>
      </c>
      <c r="B609" t="s">
        <v>14359</v>
      </c>
      <c r="C609" t="s">
        <v>19961</v>
      </c>
      <c r="D609" t="s">
        <v>14360</v>
      </c>
    </row>
    <row r="610" spans="1:4" x14ac:dyDescent="0.2">
      <c r="A610" t="s">
        <v>14072</v>
      </c>
      <c r="B610" t="s">
        <v>14359</v>
      </c>
      <c r="C610" t="s">
        <v>19595</v>
      </c>
      <c r="D610" t="s">
        <v>14360</v>
      </c>
    </row>
    <row r="611" spans="1:4" x14ac:dyDescent="0.2">
      <c r="A611" t="s">
        <v>1332</v>
      </c>
      <c r="B611" t="s">
        <v>14359</v>
      </c>
      <c r="C611" t="s">
        <v>19253</v>
      </c>
      <c r="D611" t="s">
        <v>14360</v>
      </c>
    </row>
    <row r="612" spans="1:4" x14ac:dyDescent="0.2">
      <c r="A612" t="s">
        <v>2106</v>
      </c>
      <c r="B612" t="s">
        <v>14359</v>
      </c>
      <c r="C612" t="s">
        <v>19533</v>
      </c>
      <c r="D612" t="s">
        <v>14360</v>
      </c>
    </row>
    <row r="613" spans="1:4" x14ac:dyDescent="0.2">
      <c r="A613" t="s">
        <v>14062</v>
      </c>
      <c r="B613" t="s">
        <v>14359</v>
      </c>
      <c r="C613" t="s">
        <v>19962</v>
      </c>
      <c r="D613" t="s">
        <v>14360</v>
      </c>
    </row>
    <row r="614" spans="1:4" x14ac:dyDescent="0.2">
      <c r="A614" t="s">
        <v>14331</v>
      </c>
      <c r="B614" t="s">
        <v>14359</v>
      </c>
      <c r="C614" t="s">
        <v>19963</v>
      </c>
      <c r="D614" t="s">
        <v>14360</v>
      </c>
    </row>
    <row r="615" spans="1:4" x14ac:dyDescent="0.2">
      <c r="A615" t="s">
        <v>1347</v>
      </c>
      <c r="B615" t="s">
        <v>14359</v>
      </c>
      <c r="C615" t="s">
        <v>19261</v>
      </c>
      <c r="D615" t="s">
        <v>14360</v>
      </c>
    </row>
    <row r="616" spans="1:4" x14ac:dyDescent="0.2">
      <c r="A616" t="s">
        <v>1592</v>
      </c>
      <c r="B616" t="s">
        <v>14359</v>
      </c>
      <c r="C616" t="s">
        <v>19336</v>
      </c>
      <c r="D616" t="s">
        <v>14360</v>
      </c>
    </row>
    <row r="617" spans="1:4" x14ac:dyDescent="0.2">
      <c r="A617" t="s">
        <v>2349</v>
      </c>
      <c r="B617" t="s">
        <v>14359</v>
      </c>
      <c r="C617" t="s">
        <v>19619</v>
      </c>
      <c r="D617" t="s">
        <v>14360</v>
      </c>
    </row>
    <row r="618" spans="1:4" x14ac:dyDescent="0.2">
      <c r="A618" t="s">
        <v>1185</v>
      </c>
      <c r="B618" t="s">
        <v>14359</v>
      </c>
      <c r="C618" t="s">
        <v>19206</v>
      </c>
      <c r="D618" t="s">
        <v>14360</v>
      </c>
    </row>
    <row r="619" spans="1:4" x14ac:dyDescent="0.2">
      <c r="A619" t="s">
        <v>1336</v>
      </c>
      <c r="B619" t="s">
        <v>14359</v>
      </c>
      <c r="C619" t="s">
        <v>19255</v>
      </c>
      <c r="D619" t="s">
        <v>14360</v>
      </c>
    </row>
    <row r="620" spans="1:4" x14ac:dyDescent="0.2">
      <c r="A620" t="s">
        <v>13916</v>
      </c>
      <c r="B620" t="s">
        <v>14359</v>
      </c>
      <c r="C620" t="s">
        <v>19964</v>
      </c>
      <c r="D620" t="s">
        <v>14360</v>
      </c>
    </row>
    <row r="621" spans="1:4" x14ac:dyDescent="0.2">
      <c r="A621" t="s">
        <v>842</v>
      </c>
      <c r="B621" t="s">
        <v>14358</v>
      </c>
      <c r="C621" t="s">
        <v>11162</v>
      </c>
      <c r="D621" t="s">
        <v>10603</v>
      </c>
    </row>
    <row r="622" spans="1:4" x14ac:dyDescent="0.2">
      <c r="A622" t="s">
        <v>424</v>
      </c>
      <c r="B622" t="s">
        <v>14358</v>
      </c>
      <c r="C622" t="s">
        <v>423</v>
      </c>
      <c r="D622" t="s">
        <v>10683</v>
      </c>
    </row>
    <row r="623" spans="1:4" x14ac:dyDescent="0.2">
      <c r="A623" t="s">
        <v>13793</v>
      </c>
      <c r="B623" t="s">
        <v>14359</v>
      </c>
      <c r="C623" t="s">
        <v>19965</v>
      </c>
      <c r="D623" t="s">
        <v>14360</v>
      </c>
    </row>
    <row r="624" spans="1:4" x14ac:dyDescent="0.2">
      <c r="A624" t="s">
        <v>2092</v>
      </c>
      <c r="B624" t="s">
        <v>14359</v>
      </c>
      <c r="C624" t="s">
        <v>19527</v>
      </c>
      <c r="D624" t="s">
        <v>14360</v>
      </c>
    </row>
    <row r="625" spans="1:4" x14ac:dyDescent="0.2">
      <c r="A625" t="s">
        <v>14022</v>
      </c>
      <c r="B625" t="s">
        <v>14359</v>
      </c>
      <c r="C625" t="s">
        <v>19567</v>
      </c>
      <c r="D625" t="s">
        <v>14360</v>
      </c>
    </row>
    <row r="626" spans="1:4" x14ac:dyDescent="0.2">
      <c r="A626" t="s">
        <v>13901</v>
      </c>
      <c r="B626" t="s">
        <v>14359</v>
      </c>
      <c r="C626" t="s">
        <v>19966</v>
      </c>
      <c r="D626" t="s">
        <v>14360</v>
      </c>
    </row>
    <row r="627" spans="1:4" x14ac:dyDescent="0.2">
      <c r="A627" t="s">
        <v>3099</v>
      </c>
      <c r="B627" t="s">
        <v>14359</v>
      </c>
      <c r="C627" t="s">
        <v>19758</v>
      </c>
      <c r="D627" t="s">
        <v>14360</v>
      </c>
    </row>
    <row r="628" spans="1:4" x14ac:dyDescent="0.2">
      <c r="A628" t="s">
        <v>1752</v>
      </c>
      <c r="B628" t="s">
        <v>14359</v>
      </c>
      <c r="C628" t="s">
        <v>19385</v>
      </c>
      <c r="D628" t="s">
        <v>14360</v>
      </c>
    </row>
    <row r="629" spans="1:4" x14ac:dyDescent="0.2">
      <c r="A629" t="s">
        <v>1794</v>
      </c>
      <c r="B629" t="s">
        <v>14359</v>
      </c>
      <c r="C629" t="s">
        <v>19398</v>
      </c>
      <c r="D629" t="s">
        <v>14360</v>
      </c>
    </row>
    <row r="630" spans="1:4" x14ac:dyDescent="0.2">
      <c r="A630" t="s">
        <v>14332</v>
      </c>
      <c r="B630" t="s">
        <v>14359</v>
      </c>
      <c r="C630" t="s">
        <v>19967</v>
      </c>
      <c r="D630" t="s">
        <v>14360</v>
      </c>
    </row>
    <row r="631" spans="1:4" x14ac:dyDescent="0.2">
      <c r="A631" t="s">
        <v>13922</v>
      </c>
      <c r="B631" t="s">
        <v>14359</v>
      </c>
      <c r="C631" t="s">
        <v>19968</v>
      </c>
      <c r="D631" t="s">
        <v>14360</v>
      </c>
    </row>
    <row r="632" spans="1:4" x14ac:dyDescent="0.2">
      <c r="A632" t="s">
        <v>14333</v>
      </c>
      <c r="B632" t="s">
        <v>14359</v>
      </c>
      <c r="C632" t="s">
        <v>19380</v>
      </c>
      <c r="D632" t="s">
        <v>14360</v>
      </c>
    </row>
    <row r="633" spans="1:4" x14ac:dyDescent="0.2">
      <c r="A633" t="s">
        <v>14052</v>
      </c>
      <c r="B633" t="s">
        <v>14359</v>
      </c>
      <c r="C633" t="s">
        <v>20102</v>
      </c>
      <c r="D633" t="s">
        <v>14360</v>
      </c>
    </row>
    <row r="634" spans="1:4" x14ac:dyDescent="0.2">
      <c r="A634" t="s">
        <v>14051</v>
      </c>
      <c r="B634" t="s">
        <v>14359</v>
      </c>
      <c r="C634" t="s">
        <v>20103</v>
      </c>
      <c r="D634" t="s">
        <v>14360</v>
      </c>
    </row>
    <row r="635" spans="1:4" x14ac:dyDescent="0.2">
      <c r="A635" t="s">
        <v>14053</v>
      </c>
      <c r="B635" t="s">
        <v>14359</v>
      </c>
      <c r="C635" t="s">
        <v>20104</v>
      </c>
      <c r="D635" t="s">
        <v>14360</v>
      </c>
    </row>
    <row r="636" spans="1:4" x14ac:dyDescent="0.2">
      <c r="A636" t="s">
        <v>14054</v>
      </c>
      <c r="B636" t="s">
        <v>14359</v>
      </c>
      <c r="C636" t="s">
        <v>20105</v>
      </c>
      <c r="D636" t="s">
        <v>14360</v>
      </c>
    </row>
    <row r="637" spans="1:4" x14ac:dyDescent="0.2">
      <c r="A637" t="s">
        <v>14017</v>
      </c>
      <c r="B637" t="s">
        <v>14359</v>
      </c>
      <c r="C637" t="s">
        <v>11913</v>
      </c>
      <c r="D637" t="s">
        <v>14360</v>
      </c>
    </row>
    <row r="638" spans="1:4" x14ac:dyDescent="0.2">
      <c r="A638" t="s">
        <v>14018</v>
      </c>
      <c r="B638" t="s">
        <v>14359</v>
      </c>
      <c r="C638" t="s">
        <v>11915</v>
      </c>
      <c r="D638" t="s">
        <v>14360</v>
      </c>
    </row>
    <row r="639" spans="1:4" x14ac:dyDescent="0.2">
      <c r="A639" t="s">
        <v>14055</v>
      </c>
      <c r="B639" t="s">
        <v>14359</v>
      </c>
      <c r="C639" t="s">
        <v>20106</v>
      </c>
      <c r="D639" t="s">
        <v>14360</v>
      </c>
    </row>
    <row r="640" spans="1:4" x14ac:dyDescent="0.2">
      <c r="A640" t="s">
        <v>13834</v>
      </c>
      <c r="B640" t="s">
        <v>14359</v>
      </c>
      <c r="C640" t="s">
        <v>11917</v>
      </c>
      <c r="D640" t="s">
        <v>14360</v>
      </c>
    </row>
    <row r="641" spans="1:4" x14ac:dyDescent="0.2">
      <c r="A641" t="s">
        <v>13835</v>
      </c>
      <c r="B641" t="s">
        <v>14359</v>
      </c>
      <c r="C641" t="s">
        <v>20107</v>
      </c>
      <c r="D641" t="s">
        <v>14360</v>
      </c>
    </row>
    <row r="642" spans="1:4" x14ac:dyDescent="0.2">
      <c r="A642" t="s">
        <v>13833</v>
      </c>
      <c r="B642" t="s">
        <v>14359</v>
      </c>
      <c r="C642" t="s">
        <v>20108</v>
      </c>
      <c r="D642" t="s">
        <v>14360</v>
      </c>
    </row>
    <row r="643" spans="1:4" x14ac:dyDescent="0.2">
      <c r="A643" t="s">
        <v>14060</v>
      </c>
      <c r="B643" t="s">
        <v>14359</v>
      </c>
      <c r="C643" t="s">
        <v>20109</v>
      </c>
      <c r="D643" t="s">
        <v>14360</v>
      </c>
    </row>
    <row r="644" spans="1:4" x14ac:dyDescent="0.2">
      <c r="A644" t="s">
        <v>14059</v>
      </c>
      <c r="B644" t="s">
        <v>14359</v>
      </c>
      <c r="C644" t="s">
        <v>20110</v>
      </c>
      <c r="D644" t="s">
        <v>14360</v>
      </c>
    </row>
    <row r="645" spans="1:4" x14ac:dyDescent="0.2">
      <c r="A645" t="s">
        <v>14057</v>
      </c>
      <c r="B645" t="s">
        <v>14359</v>
      </c>
      <c r="C645" t="s">
        <v>20111</v>
      </c>
      <c r="D645" t="s">
        <v>14360</v>
      </c>
    </row>
    <row r="646" spans="1:4" x14ac:dyDescent="0.2">
      <c r="A646" t="s">
        <v>14061</v>
      </c>
      <c r="B646" t="s">
        <v>14359</v>
      </c>
      <c r="C646" t="s">
        <v>20112</v>
      </c>
      <c r="D646" t="s">
        <v>14360</v>
      </c>
    </row>
    <row r="647" spans="1:4" x14ac:dyDescent="0.2">
      <c r="A647" t="s">
        <v>13998</v>
      </c>
      <c r="B647" t="s">
        <v>14359</v>
      </c>
      <c r="C647" t="s">
        <v>19969</v>
      </c>
      <c r="D647" t="s">
        <v>14360</v>
      </c>
    </row>
    <row r="648" spans="1:4" x14ac:dyDescent="0.2">
      <c r="A648" t="s">
        <v>13796</v>
      </c>
      <c r="B648" t="s">
        <v>14359</v>
      </c>
      <c r="C648" t="s">
        <v>19970</v>
      </c>
      <c r="D648" t="s">
        <v>14360</v>
      </c>
    </row>
    <row r="649" spans="1:4" x14ac:dyDescent="0.2">
      <c r="A649" t="s">
        <v>1642</v>
      </c>
      <c r="B649" t="s">
        <v>14359</v>
      </c>
      <c r="C649" t="s">
        <v>19351</v>
      </c>
      <c r="D649" t="s">
        <v>14360</v>
      </c>
    </row>
    <row r="650" spans="1:4" x14ac:dyDescent="0.2">
      <c r="A650" t="s">
        <v>851</v>
      </c>
      <c r="B650" t="s">
        <v>14358</v>
      </c>
      <c r="C650" t="s">
        <v>442</v>
      </c>
      <c r="D650" t="s">
        <v>10615</v>
      </c>
    </row>
    <row r="651" spans="1:4" x14ac:dyDescent="0.2">
      <c r="A651" t="s">
        <v>441</v>
      </c>
      <c r="B651" t="s">
        <v>14358</v>
      </c>
      <c r="C651" t="s">
        <v>11215</v>
      </c>
      <c r="D651" t="s">
        <v>11216</v>
      </c>
    </row>
    <row r="652" spans="1:4" x14ac:dyDescent="0.2">
      <c r="A652" t="s">
        <v>445</v>
      </c>
      <c r="B652" t="s">
        <v>14358</v>
      </c>
      <c r="C652" t="s">
        <v>444</v>
      </c>
      <c r="D652" t="s">
        <v>10624</v>
      </c>
    </row>
    <row r="653" spans="1:4" x14ac:dyDescent="0.2">
      <c r="A653" t="s">
        <v>450</v>
      </c>
      <c r="B653" t="s">
        <v>14358</v>
      </c>
      <c r="C653" t="s">
        <v>449</v>
      </c>
      <c r="D653" t="s">
        <v>11140</v>
      </c>
    </row>
    <row r="654" spans="1:4" x14ac:dyDescent="0.2">
      <c r="A654" t="s">
        <v>454</v>
      </c>
      <c r="B654" t="s">
        <v>14358</v>
      </c>
      <c r="C654" t="s">
        <v>453</v>
      </c>
      <c r="D654" t="s">
        <v>11141</v>
      </c>
    </row>
    <row r="655" spans="1:4" x14ac:dyDescent="0.2">
      <c r="A655" t="s">
        <v>458</v>
      </c>
      <c r="B655" t="s">
        <v>14358</v>
      </c>
      <c r="C655" t="s">
        <v>457</v>
      </c>
      <c r="D655" t="s">
        <v>11142</v>
      </c>
    </row>
    <row r="656" spans="1:4" x14ac:dyDescent="0.2">
      <c r="A656" t="s">
        <v>462</v>
      </c>
      <c r="B656" t="s">
        <v>14358</v>
      </c>
      <c r="C656" t="s">
        <v>461</v>
      </c>
      <c r="D656" t="s">
        <v>11210</v>
      </c>
    </row>
    <row r="657" spans="1:4" x14ac:dyDescent="0.2">
      <c r="A657" t="s">
        <v>465</v>
      </c>
      <c r="B657" t="s">
        <v>14358</v>
      </c>
      <c r="C657" t="s">
        <v>464</v>
      </c>
      <c r="D657" t="s">
        <v>10621</v>
      </c>
    </row>
    <row r="658" spans="1:4" x14ac:dyDescent="0.2">
      <c r="A658" t="s">
        <v>470</v>
      </c>
      <c r="B658" t="s">
        <v>14358</v>
      </c>
      <c r="C658" t="s">
        <v>469</v>
      </c>
      <c r="D658" t="s">
        <v>11289</v>
      </c>
    </row>
    <row r="659" spans="1:4" x14ac:dyDescent="0.2">
      <c r="A659" t="s">
        <v>474</v>
      </c>
      <c r="B659" t="s">
        <v>14358</v>
      </c>
      <c r="C659" t="s">
        <v>473</v>
      </c>
      <c r="D659" t="s">
        <v>11189</v>
      </c>
    </row>
    <row r="660" spans="1:4" x14ac:dyDescent="0.2">
      <c r="A660" t="s">
        <v>478</v>
      </c>
      <c r="B660" t="s">
        <v>14358</v>
      </c>
      <c r="C660" t="s">
        <v>477</v>
      </c>
      <c r="D660" t="s">
        <v>11225</v>
      </c>
    </row>
    <row r="661" spans="1:4" x14ac:dyDescent="0.2">
      <c r="A661" t="s">
        <v>482</v>
      </c>
      <c r="B661" t="s">
        <v>14358</v>
      </c>
      <c r="C661" t="s">
        <v>481</v>
      </c>
      <c r="D661" t="s">
        <v>11139</v>
      </c>
    </row>
    <row r="662" spans="1:4" x14ac:dyDescent="0.2">
      <c r="A662" t="s">
        <v>486</v>
      </c>
      <c r="B662" t="s">
        <v>14358</v>
      </c>
      <c r="C662" t="s">
        <v>485</v>
      </c>
      <c r="D662" t="s">
        <v>11196</v>
      </c>
    </row>
    <row r="663" spans="1:4" x14ac:dyDescent="0.2">
      <c r="A663" t="s">
        <v>490</v>
      </c>
      <c r="B663" t="s">
        <v>14358</v>
      </c>
      <c r="C663" t="s">
        <v>489</v>
      </c>
      <c r="D663" t="s">
        <v>11268</v>
      </c>
    </row>
    <row r="664" spans="1:4" x14ac:dyDescent="0.2">
      <c r="A664" t="s">
        <v>494</v>
      </c>
      <c r="B664" t="s">
        <v>14358</v>
      </c>
      <c r="C664" t="s">
        <v>493</v>
      </c>
      <c r="D664" t="s">
        <v>11135</v>
      </c>
    </row>
    <row r="665" spans="1:4" x14ac:dyDescent="0.2">
      <c r="A665" t="s">
        <v>498</v>
      </c>
      <c r="B665" t="s">
        <v>14358</v>
      </c>
      <c r="C665" t="s">
        <v>497</v>
      </c>
      <c r="D665" t="s">
        <v>11269</v>
      </c>
    </row>
    <row r="666" spans="1:4" x14ac:dyDescent="0.2">
      <c r="A666" t="s">
        <v>502</v>
      </c>
      <c r="B666" t="s">
        <v>14358</v>
      </c>
      <c r="C666" t="s">
        <v>501</v>
      </c>
      <c r="D666" t="s">
        <v>11197</v>
      </c>
    </row>
    <row r="667" spans="1:4" x14ac:dyDescent="0.2">
      <c r="A667" t="s">
        <v>505</v>
      </c>
      <c r="B667" t="s">
        <v>14358</v>
      </c>
      <c r="C667" t="s">
        <v>504</v>
      </c>
      <c r="D667" t="s">
        <v>10621</v>
      </c>
    </row>
    <row r="668" spans="1:4" x14ac:dyDescent="0.2">
      <c r="A668" t="s">
        <v>510</v>
      </c>
      <c r="B668" t="s">
        <v>14358</v>
      </c>
      <c r="C668" t="s">
        <v>509</v>
      </c>
      <c r="D668" t="s">
        <v>13553</v>
      </c>
    </row>
    <row r="669" spans="1:4" x14ac:dyDescent="0.2">
      <c r="A669" t="s">
        <v>514</v>
      </c>
      <c r="B669" t="s">
        <v>14358</v>
      </c>
      <c r="C669" t="s">
        <v>513</v>
      </c>
      <c r="D669" t="s">
        <v>13451</v>
      </c>
    </row>
    <row r="670" spans="1:4" x14ac:dyDescent="0.2">
      <c r="A670" t="s">
        <v>518</v>
      </c>
      <c r="B670" t="s">
        <v>14358</v>
      </c>
      <c r="C670" t="s">
        <v>517</v>
      </c>
      <c r="D670" t="s">
        <v>13516</v>
      </c>
    </row>
    <row r="671" spans="1:4" x14ac:dyDescent="0.2">
      <c r="A671" t="s">
        <v>522</v>
      </c>
      <c r="B671" t="s">
        <v>14358</v>
      </c>
      <c r="C671" t="s">
        <v>521</v>
      </c>
      <c r="D671" t="s">
        <v>13666</v>
      </c>
    </row>
    <row r="672" spans="1:4" x14ac:dyDescent="0.2">
      <c r="A672" t="s">
        <v>526</v>
      </c>
      <c r="B672" t="s">
        <v>14358</v>
      </c>
      <c r="C672" t="s">
        <v>525</v>
      </c>
      <c r="D672" t="s">
        <v>13623</v>
      </c>
    </row>
    <row r="673" spans="1:4" x14ac:dyDescent="0.2">
      <c r="A673" t="s">
        <v>530</v>
      </c>
      <c r="B673" t="s">
        <v>14358</v>
      </c>
      <c r="C673" t="s">
        <v>529</v>
      </c>
      <c r="D673" t="s">
        <v>13641</v>
      </c>
    </row>
    <row r="674" spans="1:4" x14ac:dyDescent="0.2">
      <c r="A674" t="s">
        <v>534</v>
      </c>
      <c r="B674" t="s">
        <v>14358</v>
      </c>
      <c r="C674" t="s">
        <v>533</v>
      </c>
      <c r="D674" t="s">
        <v>13606</v>
      </c>
    </row>
    <row r="675" spans="1:4" x14ac:dyDescent="0.2">
      <c r="A675" t="s">
        <v>538</v>
      </c>
      <c r="B675" t="s">
        <v>14358</v>
      </c>
      <c r="C675" t="s">
        <v>537</v>
      </c>
      <c r="D675" t="s">
        <v>13560</v>
      </c>
    </row>
    <row r="676" spans="1:4" x14ac:dyDescent="0.2">
      <c r="A676" t="s">
        <v>542</v>
      </c>
      <c r="B676" t="s">
        <v>14358</v>
      </c>
      <c r="C676" t="s">
        <v>541</v>
      </c>
      <c r="D676" t="s">
        <v>13562</v>
      </c>
    </row>
    <row r="677" spans="1:4" x14ac:dyDescent="0.2">
      <c r="A677" t="s">
        <v>546</v>
      </c>
      <c r="B677" t="s">
        <v>14358</v>
      </c>
      <c r="C677" t="s">
        <v>545</v>
      </c>
      <c r="D677" t="s">
        <v>13600</v>
      </c>
    </row>
    <row r="678" spans="1:4" x14ac:dyDescent="0.2">
      <c r="A678" t="s">
        <v>550</v>
      </c>
      <c r="B678" t="s">
        <v>14358</v>
      </c>
      <c r="C678" t="s">
        <v>549</v>
      </c>
      <c r="D678" t="s">
        <v>13699</v>
      </c>
    </row>
    <row r="679" spans="1:4" x14ac:dyDescent="0.2">
      <c r="A679" t="s">
        <v>554</v>
      </c>
      <c r="B679" t="s">
        <v>14358</v>
      </c>
      <c r="C679" t="s">
        <v>553</v>
      </c>
      <c r="D679" t="s">
        <v>13732</v>
      </c>
    </row>
    <row r="680" spans="1:4" x14ac:dyDescent="0.2">
      <c r="A680" t="s">
        <v>558</v>
      </c>
      <c r="B680" t="s">
        <v>14358</v>
      </c>
      <c r="C680" t="s">
        <v>557</v>
      </c>
      <c r="D680" t="s">
        <v>13660</v>
      </c>
    </row>
    <row r="681" spans="1:4" x14ac:dyDescent="0.2">
      <c r="A681" t="s">
        <v>562</v>
      </c>
      <c r="B681" t="s">
        <v>14358</v>
      </c>
      <c r="C681" t="s">
        <v>561</v>
      </c>
      <c r="D681" t="s">
        <v>13453</v>
      </c>
    </row>
    <row r="682" spans="1:4" x14ac:dyDescent="0.2">
      <c r="A682" t="s">
        <v>2618</v>
      </c>
      <c r="B682" t="s">
        <v>14359</v>
      </c>
      <c r="C682" t="s">
        <v>19722</v>
      </c>
      <c r="D682" t="s">
        <v>14360</v>
      </c>
    </row>
    <row r="683" spans="1:4" x14ac:dyDescent="0.2">
      <c r="A683" t="s">
        <v>1754</v>
      </c>
      <c r="B683" t="s">
        <v>14359</v>
      </c>
      <c r="C683" t="s">
        <v>19386</v>
      </c>
      <c r="D683" t="s">
        <v>14360</v>
      </c>
    </row>
    <row r="684" spans="1:4" x14ac:dyDescent="0.2">
      <c r="A684" t="s">
        <v>13759</v>
      </c>
      <c r="B684" t="s">
        <v>14359</v>
      </c>
      <c r="C684" t="s">
        <v>19971</v>
      </c>
      <c r="D684" t="s">
        <v>14360</v>
      </c>
    </row>
    <row r="685" spans="1:4" x14ac:dyDescent="0.2">
      <c r="A685" t="s">
        <v>13934</v>
      </c>
      <c r="B685" t="s">
        <v>14359</v>
      </c>
      <c r="C685" t="s">
        <v>19972</v>
      </c>
      <c r="D685" t="s">
        <v>14360</v>
      </c>
    </row>
    <row r="686" spans="1:4" x14ac:dyDescent="0.2">
      <c r="A686" t="s">
        <v>13897</v>
      </c>
      <c r="B686" t="s">
        <v>14359</v>
      </c>
      <c r="C686" t="s">
        <v>19973</v>
      </c>
      <c r="D686" t="s">
        <v>14360</v>
      </c>
    </row>
    <row r="687" spans="1:4" x14ac:dyDescent="0.2">
      <c r="A687" t="s">
        <v>1236</v>
      </c>
      <c r="B687" t="s">
        <v>14359</v>
      </c>
      <c r="C687" t="s">
        <v>19221</v>
      </c>
      <c r="D687" t="s">
        <v>14360</v>
      </c>
    </row>
    <row r="688" spans="1:4" x14ac:dyDescent="0.2">
      <c r="A688" t="s">
        <v>1563</v>
      </c>
      <c r="B688" t="s">
        <v>14359</v>
      </c>
      <c r="C688" t="s">
        <v>19327</v>
      </c>
      <c r="D688" t="s">
        <v>14360</v>
      </c>
    </row>
    <row r="689" spans="1:4" x14ac:dyDescent="0.2">
      <c r="A689" t="s">
        <v>1710</v>
      </c>
      <c r="B689" t="s">
        <v>14359</v>
      </c>
      <c r="C689" t="s">
        <v>19375</v>
      </c>
      <c r="D689" t="s">
        <v>14360</v>
      </c>
    </row>
    <row r="690" spans="1:4" x14ac:dyDescent="0.2">
      <c r="A690" t="s">
        <v>2026</v>
      </c>
      <c r="B690" t="s">
        <v>14359</v>
      </c>
      <c r="C690" t="s">
        <v>19494</v>
      </c>
      <c r="D690" t="s">
        <v>14360</v>
      </c>
    </row>
    <row r="691" spans="1:4" x14ac:dyDescent="0.2">
      <c r="A691" t="s">
        <v>14224</v>
      </c>
      <c r="B691" t="s">
        <v>14359</v>
      </c>
      <c r="C691" t="s">
        <v>19974</v>
      </c>
      <c r="D691" t="s">
        <v>14360</v>
      </c>
    </row>
    <row r="692" spans="1:4" x14ac:dyDescent="0.2">
      <c r="A692" t="s">
        <v>1505</v>
      </c>
      <c r="B692" t="s">
        <v>14359</v>
      </c>
      <c r="C692" t="s">
        <v>19313</v>
      </c>
      <c r="D692" t="s">
        <v>14360</v>
      </c>
    </row>
    <row r="693" spans="1:4" x14ac:dyDescent="0.2">
      <c r="A693" t="s">
        <v>2171</v>
      </c>
      <c r="B693" t="s">
        <v>14359</v>
      </c>
      <c r="C693" t="s">
        <v>19563</v>
      </c>
      <c r="D693" t="s">
        <v>14360</v>
      </c>
    </row>
    <row r="694" spans="1:4" x14ac:dyDescent="0.2">
      <c r="A694" t="s">
        <v>2517</v>
      </c>
      <c r="B694" t="s">
        <v>14359</v>
      </c>
      <c r="C694" t="s">
        <v>19673</v>
      </c>
      <c r="D694" t="s">
        <v>14360</v>
      </c>
    </row>
    <row r="695" spans="1:4" x14ac:dyDescent="0.2">
      <c r="A695" t="s">
        <v>2383</v>
      </c>
      <c r="B695" t="s">
        <v>14359</v>
      </c>
      <c r="C695" t="s">
        <v>19631</v>
      </c>
      <c r="D695" t="s">
        <v>14360</v>
      </c>
    </row>
    <row r="696" spans="1:4" x14ac:dyDescent="0.2">
      <c r="A696" t="s">
        <v>1326</v>
      </c>
      <c r="B696" t="s">
        <v>14359</v>
      </c>
      <c r="C696" t="s">
        <v>19251</v>
      </c>
      <c r="D696" t="s">
        <v>14360</v>
      </c>
    </row>
    <row r="697" spans="1:4" x14ac:dyDescent="0.2">
      <c r="A697" t="s">
        <v>2409</v>
      </c>
      <c r="B697" t="s">
        <v>14359</v>
      </c>
      <c r="C697" t="s">
        <v>19636</v>
      </c>
      <c r="D697" t="s">
        <v>14360</v>
      </c>
    </row>
    <row r="698" spans="1:4" x14ac:dyDescent="0.2">
      <c r="A698" t="s">
        <v>1392</v>
      </c>
      <c r="B698" t="s">
        <v>14359</v>
      </c>
      <c r="C698" t="s">
        <v>19271</v>
      </c>
      <c r="D698" t="s">
        <v>14360</v>
      </c>
    </row>
    <row r="699" spans="1:4" x14ac:dyDescent="0.2">
      <c r="A699" t="s">
        <v>2426</v>
      </c>
      <c r="B699" t="s">
        <v>14359</v>
      </c>
      <c r="C699" t="s">
        <v>19644</v>
      </c>
      <c r="D699" t="s">
        <v>14360</v>
      </c>
    </row>
    <row r="700" spans="1:4" x14ac:dyDescent="0.2">
      <c r="A700" t="s">
        <v>1345</v>
      </c>
      <c r="B700" t="s">
        <v>14359</v>
      </c>
      <c r="C700" t="s">
        <v>19260</v>
      </c>
      <c r="D700" t="s">
        <v>14360</v>
      </c>
    </row>
    <row r="701" spans="1:4" x14ac:dyDescent="0.2">
      <c r="A701" t="s">
        <v>13810</v>
      </c>
      <c r="B701" t="s">
        <v>14359</v>
      </c>
      <c r="C701" t="s">
        <v>19975</v>
      </c>
      <c r="D701" t="s">
        <v>14360</v>
      </c>
    </row>
    <row r="702" spans="1:4" x14ac:dyDescent="0.2">
      <c r="A702" t="s">
        <v>1342</v>
      </c>
      <c r="B702" t="s">
        <v>14359</v>
      </c>
      <c r="C702" t="s">
        <v>19258</v>
      </c>
      <c r="D702" t="s">
        <v>14360</v>
      </c>
    </row>
    <row r="703" spans="1:4" x14ac:dyDescent="0.2">
      <c r="A703" t="s">
        <v>1349</v>
      </c>
      <c r="B703" t="s">
        <v>14359</v>
      </c>
      <c r="C703" t="s">
        <v>19262</v>
      </c>
      <c r="D703" t="s">
        <v>14360</v>
      </c>
    </row>
    <row r="704" spans="1:4" x14ac:dyDescent="0.2">
      <c r="A704" t="s">
        <v>2371</v>
      </c>
      <c r="B704" t="s">
        <v>14359</v>
      </c>
      <c r="C704" t="s">
        <v>19627</v>
      </c>
      <c r="D704" t="s">
        <v>14360</v>
      </c>
    </row>
    <row r="705" spans="1:4" x14ac:dyDescent="0.2">
      <c r="A705" t="s">
        <v>1252</v>
      </c>
      <c r="B705" t="s">
        <v>14359</v>
      </c>
      <c r="C705" t="s">
        <v>19226</v>
      </c>
      <c r="D705" t="s">
        <v>14360</v>
      </c>
    </row>
    <row r="706" spans="1:4" x14ac:dyDescent="0.2">
      <c r="A706" t="s">
        <v>1950</v>
      </c>
      <c r="B706" t="s">
        <v>14359</v>
      </c>
      <c r="C706" t="s">
        <v>19458</v>
      </c>
      <c r="D706" t="s">
        <v>14360</v>
      </c>
    </row>
    <row r="707" spans="1:4" x14ac:dyDescent="0.2">
      <c r="A707" t="s">
        <v>14334</v>
      </c>
      <c r="B707" t="s">
        <v>14359</v>
      </c>
      <c r="C707" t="s">
        <v>19976</v>
      </c>
      <c r="D707" t="s">
        <v>14360</v>
      </c>
    </row>
    <row r="708" spans="1:4" x14ac:dyDescent="0.2">
      <c r="A708" t="s">
        <v>1144</v>
      </c>
      <c r="B708" t="s">
        <v>14359</v>
      </c>
      <c r="C708" t="s">
        <v>19191</v>
      </c>
      <c r="D708" t="s">
        <v>14360</v>
      </c>
    </row>
    <row r="709" spans="1:4" x14ac:dyDescent="0.2">
      <c r="A709" t="s">
        <v>14094</v>
      </c>
      <c r="B709" t="s">
        <v>14359</v>
      </c>
      <c r="C709" t="s">
        <v>10185</v>
      </c>
      <c r="D709" t="s">
        <v>14360</v>
      </c>
    </row>
    <row r="710" spans="1:4" x14ac:dyDescent="0.2">
      <c r="A710" t="s">
        <v>14102</v>
      </c>
      <c r="B710" t="s">
        <v>14359</v>
      </c>
      <c r="C710" t="s">
        <v>19977</v>
      </c>
      <c r="D710" t="s">
        <v>14360</v>
      </c>
    </row>
    <row r="711" spans="1:4" x14ac:dyDescent="0.2">
      <c r="A711" t="s">
        <v>14073</v>
      </c>
      <c r="B711" t="s">
        <v>14359</v>
      </c>
      <c r="C711" t="s">
        <v>19978</v>
      </c>
      <c r="D711" t="s">
        <v>14360</v>
      </c>
    </row>
    <row r="712" spans="1:4" x14ac:dyDescent="0.2">
      <c r="A712" t="s">
        <v>2513</v>
      </c>
      <c r="B712" t="s">
        <v>14359</v>
      </c>
      <c r="C712" t="s">
        <v>19671</v>
      </c>
      <c r="D712" t="s">
        <v>14360</v>
      </c>
    </row>
    <row r="713" spans="1:4" x14ac:dyDescent="0.2">
      <c r="A713" t="s">
        <v>14225</v>
      </c>
      <c r="B713" t="s">
        <v>14359</v>
      </c>
      <c r="C713" t="s">
        <v>564</v>
      </c>
      <c r="D713" t="s">
        <v>14360</v>
      </c>
    </row>
    <row r="714" spans="1:4" x14ac:dyDescent="0.2">
      <c r="A714" t="s">
        <v>13773</v>
      </c>
      <c r="B714" t="s">
        <v>14359</v>
      </c>
      <c r="C714" t="s">
        <v>564</v>
      </c>
      <c r="D714" t="s">
        <v>14360</v>
      </c>
    </row>
    <row r="715" spans="1:4" x14ac:dyDescent="0.2">
      <c r="A715" t="s">
        <v>566</v>
      </c>
      <c r="B715" t="s">
        <v>14358</v>
      </c>
      <c r="C715" t="s">
        <v>564</v>
      </c>
      <c r="D715" t="s">
        <v>564</v>
      </c>
    </row>
    <row r="716" spans="1:4" x14ac:dyDescent="0.2">
      <c r="A716" t="s">
        <v>1134</v>
      </c>
      <c r="B716" t="s">
        <v>14359</v>
      </c>
      <c r="C716" t="s">
        <v>19186</v>
      </c>
      <c r="D716" t="s">
        <v>14360</v>
      </c>
    </row>
    <row r="717" spans="1:4" x14ac:dyDescent="0.2">
      <c r="A717" t="s">
        <v>14005</v>
      </c>
      <c r="B717" t="s">
        <v>14359</v>
      </c>
      <c r="C717" t="s">
        <v>20113</v>
      </c>
      <c r="D717" t="s">
        <v>14360</v>
      </c>
    </row>
    <row r="718" spans="1:4" x14ac:dyDescent="0.2">
      <c r="A718" t="s">
        <v>2159</v>
      </c>
      <c r="B718" t="s">
        <v>14359</v>
      </c>
      <c r="C718" t="s">
        <v>19557</v>
      </c>
      <c r="D718" t="s">
        <v>14360</v>
      </c>
    </row>
    <row r="719" spans="1:4" x14ac:dyDescent="0.2">
      <c r="A719" t="s">
        <v>14008</v>
      </c>
      <c r="B719" t="s">
        <v>14359</v>
      </c>
      <c r="C719" t="s">
        <v>20114</v>
      </c>
      <c r="D719" t="s">
        <v>14360</v>
      </c>
    </row>
    <row r="720" spans="1:4" x14ac:dyDescent="0.2">
      <c r="A720" t="s">
        <v>2179</v>
      </c>
      <c r="B720" t="s">
        <v>14359</v>
      </c>
      <c r="C720" t="s">
        <v>19565</v>
      </c>
      <c r="D720" t="s">
        <v>14360</v>
      </c>
    </row>
    <row r="721" spans="1:4" x14ac:dyDescent="0.2">
      <c r="A721" t="s">
        <v>2214</v>
      </c>
      <c r="B721" t="s">
        <v>14359</v>
      </c>
      <c r="C721" t="s">
        <v>19573</v>
      </c>
      <c r="D721" t="s">
        <v>14360</v>
      </c>
    </row>
    <row r="722" spans="1:4" x14ac:dyDescent="0.2">
      <c r="A722" t="s">
        <v>2222</v>
      </c>
      <c r="B722" t="s">
        <v>14359</v>
      </c>
      <c r="C722" t="s">
        <v>19576</v>
      </c>
      <c r="D722" t="s">
        <v>14360</v>
      </c>
    </row>
    <row r="723" spans="1:4" x14ac:dyDescent="0.2">
      <c r="A723" t="s">
        <v>2579</v>
      </c>
      <c r="B723" t="s">
        <v>14359</v>
      </c>
      <c r="C723" t="s">
        <v>19703</v>
      </c>
      <c r="D723" t="s">
        <v>14360</v>
      </c>
    </row>
    <row r="724" spans="1:4" x14ac:dyDescent="0.2">
      <c r="A724" t="s">
        <v>14226</v>
      </c>
      <c r="B724" t="s">
        <v>14359</v>
      </c>
      <c r="C724" t="s">
        <v>19979</v>
      </c>
      <c r="D724" t="s">
        <v>14360</v>
      </c>
    </row>
    <row r="725" spans="1:4" x14ac:dyDescent="0.2">
      <c r="A725" t="s">
        <v>13771</v>
      </c>
      <c r="B725" t="s">
        <v>14359</v>
      </c>
      <c r="C725" t="s">
        <v>568</v>
      </c>
      <c r="D725" t="s">
        <v>14360</v>
      </c>
    </row>
    <row r="726" spans="1:4" x14ac:dyDescent="0.2">
      <c r="A726" t="s">
        <v>570</v>
      </c>
      <c r="B726" t="s">
        <v>14358</v>
      </c>
      <c r="C726" t="s">
        <v>568</v>
      </c>
      <c r="D726" t="s">
        <v>568</v>
      </c>
    </row>
    <row r="727" spans="1:4" x14ac:dyDescent="0.2">
      <c r="A727" t="s">
        <v>2156</v>
      </c>
      <c r="B727" t="s">
        <v>14359</v>
      </c>
      <c r="C727" t="s">
        <v>19555</v>
      </c>
      <c r="D727" t="s">
        <v>14360</v>
      </c>
    </row>
    <row r="728" spans="1:4" x14ac:dyDescent="0.2">
      <c r="A728" t="s">
        <v>2151</v>
      </c>
      <c r="B728" t="s">
        <v>14359</v>
      </c>
      <c r="C728" t="s">
        <v>19552</v>
      </c>
      <c r="D728" t="s">
        <v>14360</v>
      </c>
    </row>
    <row r="729" spans="1:4" x14ac:dyDescent="0.2">
      <c r="A729" t="s">
        <v>14016</v>
      </c>
      <c r="B729" t="s">
        <v>14359</v>
      </c>
      <c r="C729" t="s">
        <v>19546</v>
      </c>
      <c r="D729" t="s">
        <v>14360</v>
      </c>
    </row>
    <row r="730" spans="1:4" x14ac:dyDescent="0.2">
      <c r="A730" t="s">
        <v>13847</v>
      </c>
      <c r="B730" t="s">
        <v>14359</v>
      </c>
      <c r="C730" t="s">
        <v>19276</v>
      </c>
      <c r="D730" t="s">
        <v>14360</v>
      </c>
    </row>
    <row r="731" spans="1:4" x14ac:dyDescent="0.2">
      <c r="A731" t="s">
        <v>2524</v>
      </c>
      <c r="B731" t="s">
        <v>14359</v>
      </c>
      <c r="C731" t="s">
        <v>19677</v>
      </c>
      <c r="D731" t="s">
        <v>14360</v>
      </c>
    </row>
    <row r="732" spans="1:4" x14ac:dyDescent="0.2">
      <c r="A732" t="s">
        <v>1435</v>
      </c>
      <c r="B732" t="s">
        <v>14359</v>
      </c>
      <c r="C732" t="s">
        <v>19288</v>
      </c>
      <c r="D732" t="s">
        <v>14360</v>
      </c>
    </row>
    <row r="733" spans="1:4" x14ac:dyDescent="0.2">
      <c r="A733" t="s">
        <v>2361</v>
      </c>
      <c r="B733" t="s">
        <v>14359</v>
      </c>
      <c r="C733" t="s">
        <v>19622</v>
      </c>
      <c r="D733" t="s">
        <v>14360</v>
      </c>
    </row>
    <row r="734" spans="1:4" x14ac:dyDescent="0.2">
      <c r="A734" t="s">
        <v>13794</v>
      </c>
      <c r="B734" t="s">
        <v>14359</v>
      </c>
      <c r="C734" t="s">
        <v>1085</v>
      </c>
      <c r="D734" t="s">
        <v>14360</v>
      </c>
    </row>
    <row r="735" spans="1:4" x14ac:dyDescent="0.2">
      <c r="A735" t="s">
        <v>1084</v>
      </c>
      <c r="B735" t="s">
        <v>14358</v>
      </c>
      <c r="C735" t="s">
        <v>1085</v>
      </c>
      <c r="D735" t="s">
        <v>14360</v>
      </c>
    </row>
    <row r="736" spans="1:4" x14ac:dyDescent="0.2">
      <c r="A736" t="s">
        <v>1128</v>
      </c>
      <c r="B736" t="s">
        <v>14359</v>
      </c>
      <c r="C736" t="s">
        <v>19184</v>
      </c>
      <c r="D736" t="s">
        <v>14360</v>
      </c>
    </row>
    <row r="737" spans="1:4" x14ac:dyDescent="0.2">
      <c r="A737" t="s">
        <v>1453</v>
      </c>
      <c r="B737" t="s">
        <v>14359</v>
      </c>
      <c r="C737" t="s">
        <v>19297</v>
      </c>
      <c r="D737" t="s">
        <v>14360</v>
      </c>
    </row>
    <row r="738" spans="1:4" x14ac:dyDescent="0.2">
      <c r="A738" t="s">
        <v>13852</v>
      </c>
      <c r="B738" t="s">
        <v>14359</v>
      </c>
      <c r="C738" t="s">
        <v>19980</v>
      </c>
      <c r="D738" t="s">
        <v>14360</v>
      </c>
    </row>
    <row r="739" spans="1:4" x14ac:dyDescent="0.2">
      <c r="A739" t="s">
        <v>1111</v>
      </c>
      <c r="B739" t="s">
        <v>14359</v>
      </c>
      <c r="C739" t="s">
        <v>19178</v>
      </c>
      <c r="D739" t="s">
        <v>14360</v>
      </c>
    </row>
    <row r="740" spans="1:4" x14ac:dyDescent="0.2">
      <c r="A740" t="s">
        <v>13985</v>
      </c>
      <c r="B740" t="s">
        <v>14359</v>
      </c>
      <c r="C740" t="s">
        <v>19981</v>
      </c>
      <c r="D740" t="s">
        <v>14360</v>
      </c>
    </row>
    <row r="741" spans="1:4" x14ac:dyDescent="0.2">
      <c r="A741" t="s">
        <v>13760</v>
      </c>
      <c r="B741" t="s">
        <v>14359</v>
      </c>
      <c r="C741" t="s">
        <v>572</v>
      </c>
      <c r="D741" t="s">
        <v>14360</v>
      </c>
    </row>
    <row r="742" spans="1:4" x14ac:dyDescent="0.2">
      <c r="A742" t="s">
        <v>574</v>
      </c>
      <c r="B742" t="s">
        <v>14358</v>
      </c>
      <c r="C742" t="s">
        <v>572</v>
      </c>
      <c r="D742" t="s">
        <v>572</v>
      </c>
    </row>
    <row r="743" spans="1:4" x14ac:dyDescent="0.2">
      <c r="A743" t="s">
        <v>2165</v>
      </c>
      <c r="B743" t="s">
        <v>14359</v>
      </c>
      <c r="C743" t="s">
        <v>19561</v>
      </c>
      <c r="D743" t="s">
        <v>14360</v>
      </c>
    </row>
    <row r="744" spans="1:4" x14ac:dyDescent="0.2">
      <c r="A744" t="s">
        <v>2154</v>
      </c>
      <c r="B744" t="s">
        <v>14359</v>
      </c>
      <c r="C744" t="s">
        <v>19554</v>
      </c>
      <c r="D744" t="s">
        <v>14360</v>
      </c>
    </row>
    <row r="745" spans="1:4" x14ac:dyDescent="0.2">
      <c r="A745" t="s">
        <v>14012</v>
      </c>
      <c r="B745" t="s">
        <v>14359</v>
      </c>
      <c r="C745" t="s">
        <v>19558</v>
      </c>
      <c r="D745" t="s">
        <v>14360</v>
      </c>
    </row>
    <row r="746" spans="1:4" x14ac:dyDescent="0.2">
      <c r="A746" t="s">
        <v>2457</v>
      </c>
      <c r="B746" t="s">
        <v>14359</v>
      </c>
      <c r="C746" t="s">
        <v>19651</v>
      </c>
      <c r="D746" t="s">
        <v>14360</v>
      </c>
    </row>
    <row r="747" spans="1:4" x14ac:dyDescent="0.2">
      <c r="A747" t="s">
        <v>1865</v>
      </c>
      <c r="B747" t="s">
        <v>14359</v>
      </c>
      <c r="C747" t="s">
        <v>19421</v>
      </c>
      <c r="D747" t="s">
        <v>14360</v>
      </c>
    </row>
    <row r="748" spans="1:4" x14ac:dyDescent="0.2">
      <c r="A748" t="s">
        <v>3079</v>
      </c>
      <c r="B748" t="s">
        <v>14359</v>
      </c>
      <c r="C748" t="s">
        <v>19749</v>
      </c>
      <c r="D748" t="s">
        <v>14360</v>
      </c>
    </row>
    <row r="749" spans="1:4" x14ac:dyDescent="0.2">
      <c r="A749" t="s">
        <v>2538</v>
      </c>
      <c r="B749" t="s">
        <v>14359</v>
      </c>
      <c r="C749" t="s">
        <v>19683</v>
      </c>
      <c r="D749" t="s">
        <v>14360</v>
      </c>
    </row>
    <row r="750" spans="1:4" x14ac:dyDescent="0.2">
      <c r="A750" t="s">
        <v>1999</v>
      </c>
      <c r="B750" t="s">
        <v>14359</v>
      </c>
      <c r="C750" t="s">
        <v>19481</v>
      </c>
      <c r="D750" t="s">
        <v>14360</v>
      </c>
    </row>
    <row r="751" spans="1:4" x14ac:dyDescent="0.2">
      <c r="A751" t="s">
        <v>1519</v>
      </c>
      <c r="B751" t="s">
        <v>14359</v>
      </c>
      <c r="C751" t="s">
        <v>19317</v>
      </c>
      <c r="D751" t="s">
        <v>14360</v>
      </c>
    </row>
    <row r="752" spans="1:4" x14ac:dyDescent="0.2">
      <c r="A752" t="s">
        <v>1138</v>
      </c>
      <c r="B752" t="s">
        <v>14359</v>
      </c>
      <c r="C752" t="s">
        <v>19188</v>
      </c>
      <c r="D752" t="s">
        <v>14360</v>
      </c>
    </row>
    <row r="753" spans="1:4" x14ac:dyDescent="0.2">
      <c r="A753" t="s">
        <v>1871</v>
      </c>
      <c r="B753" t="s">
        <v>14359</v>
      </c>
      <c r="C753" t="s">
        <v>19425</v>
      </c>
      <c r="D753" t="s">
        <v>14360</v>
      </c>
    </row>
    <row r="754" spans="1:4" x14ac:dyDescent="0.2">
      <c r="A754" t="s">
        <v>1699</v>
      </c>
      <c r="B754" t="s">
        <v>14359</v>
      </c>
      <c r="C754" t="s">
        <v>19373</v>
      </c>
      <c r="D754" t="s">
        <v>14360</v>
      </c>
    </row>
    <row r="755" spans="1:4" x14ac:dyDescent="0.2">
      <c r="A755" t="s">
        <v>14335</v>
      </c>
      <c r="B755" t="s">
        <v>14359</v>
      </c>
      <c r="C755" t="s">
        <v>19982</v>
      </c>
      <c r="D755" t="s">
        <v>14360</v>
      </c>
    </row>
    <row r="756" spans="1:4" x14ac:dyDescent="0.2">
      <c r="A756" t="s">
        <v>1225</v>
      </c>
      <c r="B756" t="s">
        <v>14359</v>
      </c>
      <c r="C756" t="s">
        <v>19219</v>
      </c>
      <c r="D756" t="s">
        <v>14360</v>
      </c>
    </row>
    <row r="757" spans="1:4" x14ac:dyDescent="0.2">
      <c r="A757" t="s">
        <v>1459</v>
      </c>
      <c r="B757" t="s">
        <v>14359</v>
      </c>
      <c r="C757" t="s">
        <v>19299</v>
      </c>
      <c r="D757" t="s">
        <v>14360</v>
      </c>
    </row>
    <row r="758" spans="1:4" x14ac:dyDescent="0.2">
      <c r="A758" t="s">
        <v>578</v>
      </c>
      <c r="B758" t="s">
        <v>14358</v>
      </c>
      <c r="C758" t="s">
        <v>577</v>
      </c>
      <c r="D758" t="s">
        <v>579</v>
      </c>
    </row>
    <row r="759" spans="1:4" x14ac:dyDescent="0.2">
      <c r="A759" t="s">
        <v>2100</v>
      </c>
      <c r="B759" t="s">
        <v>14359</v>
      </c>
      <c r="C759" t="s">
        <v>19531</v>
      </c>
      <c r="D759" t="s">
        <v>14360</v>
      </c>
    </row>
    <row r="760" spans="1:4" x14ac:dyDescent="0.2">
      <c r="A760" t="s">
        <v>2050</v>
      </c>
      <c r="B760" t="s">
        <v>14359</v>
      </c>
      <c r="C760" t="s">
        <v>19505</v>
      </c>
      <c r="D760" t="s">
        <v>14360</v>
      </c>
    </row>
    <row r="761" spans="1:4" x14ac:dyDescent="0.2">
      <c r="A761" t="s">
        <v>2048</v>
      </c>
      <c r="B761" t="s">
        <v>14359</v>
      </c>
      <c r="C761" t="s">
        <v>19504</v>
      </c>
      <c r="D761" t="s">
        <v>14360</v>
      </c>
    </row>
    <row r="762" spans="1:4" x14ac:dyDescent="0.2">
      <c r="A762" t="s">
        <v>2046</v>
      </c>
      <c r="B762" t="s">
        <v>14359</v>
      </c>
      <c r="C762" t="s">
        <v>19503</v>
      </c>
      <c r="D762" t="s">
        <v>14360</v>
      </c>
    </row>
    <row r="763" spans="1:4" x14ac:dyDescent="0.2">
      <c r="A763" t="s">
        <v>2022</v>
      </c>
      <c r="B763" t="s">
        <v>14359</v>
      </c>
      <c r="C763" t="s">
        <v>19493</v>
      </c>
      <c r="D763" t="s">
        <v>14360</v>
      </c>
    </row>
    <row r="764" spans="1:4" x14ac:dyDescent="0.2">
      <c r="A764" t="s">
        <v>1987</v>
      </c>
      <c r="B764" t="s">
        <v>14359</v>
      </c>
      <c r="C764" t="s">
        <v>19476</v>
      </c>
      <c r="D764" t="s">
        <v>14360</v>
      </c>
    </row>
    <row r="765" spans="1:4" x14ac:dyDescent="0.2">
      <c r="A765" t="s">
        <v>1528</v>
      </c>
      <c r="B765" t="s">
        <v>14359</v>
      </c>
      <c r="C765" t="s">
        <v>19321</v>
      </c>
      <c r="D765" t="s">
        <v>14360</v>
      </c>
    </row>
    <row r="766" spans="1:4" x14ac:dyDescent="0.2">
      <c r="A766" t="s">
        <v>2040</v>
      </c>
      <c r="B766" t="s">
        <v>14359</v>
      </c>
      <c r="C766" t="s">
        <v>19500</v>
      </c>
      <c r="D766" t="s">
        <v>14360</v>
      </c>
    </row>
    <row r="767" spans="1:4" x14ac:dyDescent="0.2">
      <c r="A767" t="s">
        <v>1628</v>
      </c>
      <c r="B767" t="s">
        <v>14359</v>
      </c>
      <c r="C767" t="s">
        <v>19345</v>
      </c>
      <c r="D767" t="s">
        <v>14360</v>
      </c>
    </row>
    <row r="768" spans="1:4" x14ac:dyDescent="0.2">
      <c r="A768" t="s">
        <v>2240</v>
      </c>
      <c r="B768" t="s">
        <v>14359</v>
      </c>
      <c r="C768" t="s">
        <v>19580</v>
      </c>
      <c r="D768" t="s">
        <v>14360</v>
      </c>
    </row>
    <row r="769" spans="1:4" x14ac:dyDescent="0.2">
      <c r="A769" t="s">
        <v>14040</v>
      </c>
      <c r="B769" t="s">
        <v>14359</v>
      </c>
      <c r="C769" t="s">
        <v>19983</v>
      </c>
      <c r="D769" t="s">
        <v>14360</v>
      </c>
    </row>
    <row r="770" spans="1:4" x14ac:dyDescent="0.2">
      <c r="A770" t="s">
        <v>13809</v>
      </c>
      <c r="B770" t="s">
        <v>14359</v>
      </c>
      <c r="C770" t="s">
        <v>19984</v>
      </c>
      <c r="D770" t="s">
        <v>14360</v>
      </c>
    </row>
    <row r="771" spans="1:4" x14ac:dyDescent="0.2">
      <c r="A771" t="s">
        <v>1708</v>
      </c>
      <c r="B771" t="s">
        <v>14359</v>
      </c>
      <c r="C771" t="s">
        <v>19374</v>
      </c>
      <c r="D771" t="s">
        <v>14360</v>
      </c>
    </row>
    <row r="772" spans="1:4" x14ac:dyDescent="0.2">
      <c r="A772" t="s">
        <v>2532</v>
      </c>
      <c r="B772" t="s">
        <v>14359</v>
      </c>
      <c r="C772" t="s">
        <v>19680</v>
      </c>
      <c r="D772" t="s">
        <v>14360</v>
      </c>
    </row>
    <row r="773" spans="1:4" x14ac:dyDescent="0.2">
      <c r="A773" t="s">
        <v>13827</v>
      </c>
      <c r="B773" t="s">
        <v>14359</v>
      </c>
      <c r="C773" t="s">
        <v>19985</v>
      </c>
      <c r="D773" t="s">
        <v>14360</v>
      </c>
    </row>
    <row r="774" spans="1:4" x14ac:dyDescent="0.2">
      <c r="A774" t="s">
        <v>13786</v>
      </c>
      <c r="B774" t="s">
        <v>14359</v>
      </c>
      <c r="C774" t="s">
        <v>19986</v>
      </c>
      <c r="D774" t="s">
        <v>14360</v>
      </c>
    </row>
    <row r="775" spans="1:4" x14ac:dyDescent="0.2">
      <c r="A775" t="s">
        <v>1431</v>
      </c>
      <c r="B775" t="s">
        <v>14359</v>
      </c>
      <c r="C775" t="s">
        <v>19286</v>
      </c>
      <c r="D775" t="s">
        <v>14360</v>
      </c>
    </row>
    <row r="776" spans="1:4" x14ac:dyDescent="0.2">
      <c r="A776" t="s">
        <v>13836</v>
      </c>
      <c r="B776" t="s">
        <v>14359</v>
      </c>
      <c r="C776" t="s">
        <v>19987</v>
      </c>
      <c r="D776" t="s">
        <v>14360</v>
      </c>
    </row>
    <row r="777" spans="1:4" x14ac:dyDescent="0.2">
      <c r="A777" t="s">
        <v>13994</v>
      </c>
      <c r="B777" t="s">
        <v>14359</v>
      </c>
      <c r="C777" t="s">
        <v>19519</v>
      </c>
      <c r="D777" t="s">
        <v>14360</v>
      </c>
    </row>
    <row r="778" spans="1:4" x14ac:dyDescent="0.2">
      <c r="A778" t="s">
        <v>13785</v>
      </c>
      <c r="B778" t="s">
        <v>14359</v>
      </c>
      <c r="C778" t="s">
        <v>19988</v>
      </c>
      <c r="D778" t="s">
        <v>14360</v>
      </c>
    </row>
    <row r="779" spans="1:4" x14ac:dyDescent="0.2">
      <c r="A779" t="s">
        <v>2133</v>
      </c>
      <c r="B779" t="s">
        <v>14359</v>
      </c>
      <c r="C779" t="s">
        <v>19542</v>
      </c>
      <c r="D779" t="s">
        <v>14360</v>
      </c>
    </row>
    <row r="780" spans="1:4" x14ac:dyDescent="0.2">
      <c r="A780" t="s">
        <v>2020</v>
      </c>
      <c r="B780" t="s">
        <v>14359</v>
      </c>
      <c r="C780" t="s">
        <v>19492</v>
      </c>
      <c r="D780" t="s">
        <v>14360</v>
      </c>
    </row>
    <row r="781" spans="1:4" x14ac:dyDescent="0.2">
      <c r="A781" t="s">
        <v>1451</v>
      </c>
      <c r="B781" t="s">
        <v>14359</v>
      </c>
      <c r="C781" t="s">
        <v>19296</v>
      </c>
      <c r="D781" t="s">
        <v>14360</v>
      </c>
    </row>
    <row r="782" spans="1:4" x14ac:dyDescent="0.2">
      <c r="A782" t="s">
        <v>2135</v>
      </c>
      <c r="B782" t="s">
        <v>14359</v>
      </c>
      <c r="C782" t="s">
        <v>19543</v>
      </c>
      <c r="D782" t="s">
        <v>14360</v>
      </c>
    </row>
    <row r="783" spans="1:4" x14ac:dyDescent="0.2">
      <c r="A783" t="s">
        <v>13814</v>
      </c>
      <c r="B783" t="s">
        <v>14359</v>
      </c>
      <c r="C783" t="s">
        <v>19207</v>
      </c>
      <c r="D783" t="s">
        <v>14360</v>
      </c>
    </row>
    <row r="784" spans="1:4" x14ac:dyDescent="0.2">
      <c r="A784" t="s">
        <v>1503</v>
      </c>
      <c r="B784" t="s">
        <v>14359</v>
      </c>
      <c r="C784" t="s">
        <v>19312</v>
      </c>
      <c r="D784" t="s">
        <v>14360</v>
      </c>
    </row>
    <row r="785" spans="1:4" x14ac:dyDescent="0.2">
      <c r="A785" t="s">
        <v>13845</v>
      </c>
      <c r="B785" t="s">
        <v>14359</v>
      </c>
      <c r="C785" t="s">
        <v>19275</v>
      </c>
      <c r="D785" t="s">
        <v>14360</v>
      </c>
    </row>
    <row r="786" spans="1:4" x14ac:dyDescent="0.2">
      <c r="A786" t="s">
        <v>1102</v>
      </c>
      <c r="B786" t="s">
        <v>14359</v>
      </c>
      <c r="C786" t="s">
        <v>19175</v>
      </c>
      <c r="D786" t="s">
        <v>14360</v>
      </c>
    </row>
    <row r="787" spans="1:4" x14ac:dyDescent="0.2">
      <c r="A787" t="s">
        <v>13761</v>
      </c>
      <c r="B787" t="s">
        <v>14359</v>
      </c>
      <c r="C787" t="s">
        <v>586</v>
      </c>
      <c r="D787" t="s">
        <v>14360</v>
      </c>
    </row>
    <row r="788" spans="1:4" x14ac:dyDescent="0.2">
      <c r="A788" t="s">
        <v>588</v>
      </c>
      <c r="B788" t="s">
        <v>14358</v>
      </c>
      <c r="C788" t="s">
        <v>586</v>
      </c>
      <c r="D788" t="s">
        <v>586</v>
      </c>
    </row>
    <row r="789" spans="1:4" x14ac:dyDescent="0.2">
      <c r="A789" t="s">
        <v>1684</v>
      </c>
      <c r="B789" t="s">
        <v>14359</v>
      </c>
      <c r="C789" t="s">
        <v>19368</v>
      </c>
      <c r="D789" t="s">
        <v>14360</v>
      </c>
    </row>
    <row r="790" spans="1:4" x14ac:dyDescent="0.2">
      <c r="A790" t="s">
        <v>1198</v>
      </c>
      <c r="B790" t="s">
        <v>14359</v>
      </c>
      <c r="C790" t="s">
        <v>19213</v>
      </c>
      <c r="D790" t="s">
        <v>14360</v>
      </c>
    </row>
    <row r="791" spans="1:4" x14ac:dyDescent="0.2">
      <c r="A791" t="s">
        <v>1211</v>
      </c>
      <c r="B791" t="s">
        <v>14359</v>
      </c>
      <c r="C791" t="s">
        <v>19215</v>
      </c>
      <c r="D791" t="s">
        <v>14360</v>
      </c>
    </row>
    <row r="792" spans="1:4" x14ac:dyDescent="0.2">
      <c r="A792" t="s">
        <v>1411</v>
      </c>
      <c r="B792" t="s">
        <v>14359</v>
      </c>
      <c r="C792" t="s">
        <v>19279</v>
      </c>
      <c r="D792" t="s">
        <v>14360</v>
      </c>
    </row>
    <row r="793" spans="1:4" x14ac:dyDescent="0.2">
      <c r="A793" t="s">
        <v>14336</v>
      </c>
      <c r="B793" t="s">
        <v>14359</v>
      </c>
      <c r="C793" t="s">
        <v>19989</v>
      </c>
      <c r="D793" t="s">
        <v>14360</v>
      </c>
    </row>
    <row r="794" spans="1:4" x14ac:dyDescent="0.2">
      <c r="A794" t="s">
        <v>1636</v>
      </c>
      <c r="B794" t="s">
        <v>14359</v>
      </c>
      <c r="C794" t="s">
        <v>19348</v>
      </c>
      <c r="D794" t="s">
        <v>14360</v>
      </c>
    </row>
    <row r="795" spans="1:4" x14ac:dyDescent="0.2">
      <c r="A795" t="s">
        <v>13892</v>
      </c>
      <c r="B795" t="s">
        <v>14359</v>
      </c>
      <c r="C795" t="s">
        <v>19990</v>
      </c>
      <c r="D795" t="s">
        <v>14360</v>
      </c>
    </row>
    <row r="796" spans="1:4" x14ac:dyDescent="0.2">
      <c r="A796" t="s">
        <v>1439</v>
      </c>
      <c r="B796" t="s">
        <v>14359</v>
      </c>
      <c r="C796" t="s">
        <v>19290</v>
      </c>
      <c r="D796" t="s">
        <v>14360</v>
      </c>
    </row>
    <row r="797" spans="1:4" x14ac:dyDescent="0.2">
      <c r="A797" t="s">
        <v>2117</v>
      </c>
      <c r="B797" t="s">
        <v>14359</v>
      </c>
      <c r="C797" t="s">
        <v>19536</v>
      </c>
      <c r="D797" t="s">
        <v>14360</v>
      </c>
    </row>
    <row r="798" spans="1:4" x14ac:dyDescent="0.2">
      <c r="A798" t="s">
        <v>14074</v>
      </c>
      <c r="B798" t="s">
        <v>14359</v>
      </c>
      <c r="C798" t="s">
        <v>19590</v>
      </c>
      <c r="D798" t="s">
        <v>14360</v>
      </c>
    </row>
    <row r="799" spans="1:4" x14ac:dyDescent="0.2">
      <c r="A799" t="s">
        <v>14010</v>
      </c>
      <c r="B799" t="s">
        <v>14359</v>
      </c>
      <c r="C799" t="s">
        <v>19547</v>
      </c>
      <c r="D799" t="s">
        <v>14360</v>
      </c>
    </row>
    <row r="800" spans="1:4" x14ac:dyDescent="0.2">
      <c r="A800" t="s">
        <v>13831</v>
      </c>
      <c r="B800" t="s">
        <v>14359</v>
      </c>
      <c r="C800" t="s">
        <v>19991</v>
      </c>
      <c r="D800" t="s">
        <v>14360</v>
      </c>
    </row>
    <row r="801" spans="1:4" x14ac:dyDescent="0.2">
      <c r="A801" t="s">
        <v>13889</v>
      </c>
      <c r="B801" t="s">
        <v>14359</v>
      </c>
      <c r="C801" t="s">
        <v>19992</v>
      </c>
      <c r="D801" t="s">
        <v>14360</v>
      </c>
    </row>
    <row r="802" spans="1:4" x14ac:dyDescent="0.2">
      <c r="A802" t="s">
        <v>14067</v>
      </c>
      <c r="B802" t="s">
        <v>14359</v>
      </c>
      <c r="C802" t="s">
        <v>19593</v>
      </c>
      <c r="D802" t="s">
        <v>14360</v>
      </c>
    </row>
    <row r="803" spans="1:4" x14ac:dyDescent="0.2">
      <c r="A803" t="s">
        <v>13932</v>
      </c>
      <c r="B803" t="s">
        <v>14359</v>
      </c>
      <c r="C803" t="s">
        <v>20115</v>
      </c>
      <c r="D803" t="s">
        <v>14360</v>
      </c>
    </row>
    <row r="804" spans="1:4" x14ac:dyDescent="0.2">
      <c r="A804" t="s">
        <v>1312</v>
      </c>
      <c r="B804" t="s">
        <v>14359</v>
      </c>
      <c r="C804" t="s">
        <v>19246</v>
      </c>
      <c r="D804" t="s">
        <v>14360</v>
      </c>
    </row>
    <row r="805" spans="1:4" x14ac:dyDescent="0.2">
      <c r="A805" t="s">
        <v>2522</v>
      </c>
      <c r="B805" t="s">
        <v>14359</v>
      </c>
      <c r="C805" t="s">
        <v>19676</v>
      </c>
      <c r="D805" t="s">
        <v>14360</v>
      </c>
    </row>
    <row r="806" spans="1:4" x14ac:dyDescent="0.2">
      <c r="A806" t="s">
        <v>13752</v>
      </c>
      <c r="B806" t="s">
        <v>14359</v>
      </c>
      <c r="C806" t="s">
        <v>19993</v>
      </c>
      <c r="D806" t="s">
        <v>14360</v>
      </c>
    </row>
    <row r="807" spans="1:4" x14ac:dyDescent="0.2">
      <c r="A807" t="s">
        <v>13800</v>
      </c>
      <c r="B807" t="s">
        <v>14359</v>
      </c>
      <c r="C807" t="s">
        <v>19994</v>
      </c>
      <c r="D807" t="s">
        <v>14360</v>
      </c>
    </row>
    <row r="808" spans="1:4" x14ac:dyDescent="0.2">
      <c r="A808" t="s">
        <v>13884</v>
      </c>
      <c r="B808" t="s">
        <v>14359</v>
      </c>
      <c r="C808" t="s">
        <v>19995</v>
      </c>
      <c r="D808" t="s">
        <v>14360</v>
      </c>
    </row>
    <row r="809" spans="1:4" x14ac:dyDescent="0.2">
      <c r="A809" t="s">
        <v>1130</v>
      </c>
      <c r="B809" t="s">
        <v>14359</v>
      </c>
      <c r="C809" t="s">
        <v>19185</v>
      </c>
      <c r="D809" t="s">
        <v>14360</v>
      </c>
    </row>
    <row r="810" spans="1:4" x14ac:dyDescent="0.2">
      <c r="A810" t="s">
        <v>1662</v>
      </c>
      <c r="B810" t="s">
        <v>14359</v>
      </c>
      <c r="C810" t="s">
        <v>19359</v>
      </c>
      <c r="D810" t="s">
        <v>14360</v>
      </c>
    </row>
    <row r="811" spans="1:4" x14ac:dyDescent="0.2">
      <c r="A811" t="s">
        <v>13819</v>
      </c>
      <c r="B811" t="s">
        <v>14359</v>
      </c>
      <c r="C811" t="s">
        <v>19209</v>
      </c>
      <c r="D811" t="s">
        <v>14360</v>
      </c>
    </row>
    <row r="812" spans="1:4" x14ac:dyDescent="0.2">
      <c r="A812" t="s">
        <v>14098</v>
      </c>
      <c r="B812" t="s">
        <v>14359</v>
      </c>
      <c r="C812" t="s">
        <v>19996</v>
      </c>
      <c r="D812" t="s">
        <v>14360</v>
      </c>
    </row>
    <row r="813" spans="1:4" x14ac:dyDescent="0.2">
      <c r="A813" t="s">
        <v>1588</v>
      </c>
      <c r="B813" t="s">
        <v>14359</v>
      </c>
      <c r="C813" t="s">
        <v>19334</v>
      </c>
      <c r="D813" t="s">
        <v>14360</v>
      </c>
    </row>
    <row r="814" spans="1:4" x14ac:dyDescent="0.2">
      <c r="A814" t="s">
        <v>1213</v>
      </c>
      <c r="B814" t="s">
        <v>14359</v>
      </c>
      <c r="C814" t="s">
        <v>19216</v>
      </c>
      <c r="D814" t="s">
        <v>14360</v>
      </c>
    </row>
    <row r="815" spans="1:4" x14ac:dyDescent="0.2">
      <c r="A815" t="s">
        <v>2205</v>
      </c>
      <c r="B815" t="s">
        <v>14359</v>
      </c>
      <c r="C815" t="s">
        <v>19570</v>
      </c>
      <c r="D815" t="s">
        <v>14360</v>
      </c>
    </row>
    <row r="816" spans="1:4" x14ac:dyDescent="0.2">
      <c r="A816" t="s">
        <v>1471</v>
      </c>
      <c r="B816" t="s">
        <v>14359</v>
      </c>
      <c r="C816" t="s">
        <v>19303</v>
      </c>
      <c r="D816" t="s">
        <v>14360</v>
      </c>
    </row>
    <row r="817" spans="1:4" x14ac:dyDescent="0.2">
      <c r="A817" t="s">
        <v>1360</v>
      </c>
      <c r="B817" t="s">
        <v>14359</v>
      </c>
      <c r="C817" t="s">
        <v>19264</v>
      </c>
      <c r="D817" t="s">
        <v>14360</v>
      </c>
    </row>
    <row r="818" spans="1:4" x14ac:dyDescent="0.2">
      <c r="A818" t="s">
        <v>1152</v>
      </c>
      <c r="B818" t="s">
        <v>14359</v>
      </c>
      <c r="C818" t="s">
        <v>19194</v>
      </c>
      <c r="D818" t="s">
        <v>14360</v>
      </c>
    </row>
    <row r="819" spans="1:4" x14ac:dyDescent="0.2">
      <c r="A819" t="s">
        <v>1219</v>
      </c>
      <c r="B819" t="s">
        <v>14359</v>
      </c>
      <c r="C819" t="s">
        <v>19217</v>
      </c>
      <c r="D819" t="s">
        <v>14360</v>
      </c>
    </row>
    <row r="820" spans="1:4" x14ac:dyDescent="0.2">
      <c r="A820" t="s">
        <v>2550</v>
      </c>
      <c r="B820" t="s">
        <v>14359</v>
      </c>
      <c r="C820" t="s">
        <v>19689</v>
      </c>
      <c r="D820" t="s">
        <v>14360</v>
      </c>
    </row>
    <row r="821" spans="1:4" x14ac:dyDescent="0.2">
      <c r="A821" t="s">
        <v>1242</v>
      </c>
      <c r="B821" t="s">
        <v>14359</v>
      </c>
      <c r="C821" t="s">
        <v>19224</v>
      </c>
      <c r="D821" t="s">
        <v>14360</v>
      </c>
    </row>
    <row r="822" spans="1:4" x14ac:dyDescent="0.2">
      <c r="A822" t="s">
        <v>1433</v>
      </c>
      <c r="B822" t="s">
        <v>14359</v>
      </c>
      <c r="C822" t="s">
        <v>19287</v>
      </c>
      <c r="D822" t="s">
        <v>14360</v>
      </c>
    </row>
    <row r="823" spans="1:4" x14ac:dyDescent="0.2">
      <c r="A823" t="s">
        <v>13947</v>
      </c>
      <c r="B823" t="s">
        <v>14359</v>
      </c>
      <c r="C823" t="s">
        <v>19997</v>
      </c>
      <c r="D823" t="s">
        <v>14360</v>
      </c>
    </row>
    <row r="824" spans="1:4" x14ac:dyDescent="0.2">
      <c r="A824" t="s">
        <v>13762</v>
      </c>
      <c r="B824" t="s">
        <v>14359</v>
      </c>
      <c r="C824" t="s">
        <v>590</v>
      </c>
      <c r="D824" t="s">
        <v>14360</v>
      </c>
    </row>
    <row r="825" spans="1:4" x14ac:dyDescent="0.2">
      <c r="A825" t="s">
        <v>592</v>
      </c>
      <c r="B825" t="s">
        <v>14358</v>
      </c>
      <c r="C825" t="s">
        <v>590</v>
      </c>
      <c r="D825" t="s">
        <v>590</v>
      </c>
    </row>
    <row r="826" spans="1:4" x14ac:dyDescent="0.2">
      <c r="A826" t="s">
        <v>13909</v>
      </c>
      <c r="B826" t="s">
        <v>14359</v>
      </c>
      <c r="C826" t="s">
        <v>19998</v>
      </c>
      <c r="D826" t="s">
        <v>14360</v>
      </c>
    </row>
    <row r="827" spans="1:4" x14ac:dyDescent="0.2">
      <c r="A827" t="s">
        <v>1618</v>
      </c>
      <c r="B827" t="s">
        <v>14359</v>
      </c>
      <c r="C827" t="s">
        <v>19342</v>
      </c>
      <c r="D827" t="s">
        <v>14360</v>
      </c>
    </row>
    <row r="828" spans="1:4" x14ac:dyDescent="0.2">
      <c r="A828" t="s">
        <v>14087</v>
      </c>
      <c r="B828" t="s">
        <v>14359</v>
      </c>
      <c r="C828" t="s">
        <v>19999</v>
      </c>
      <c r="D828" t="s">
        <v>14360</v>
      </c>
    </row>
    <row r="829" spans="1:4" x14ac:dyDescent="0.2">
      <c r="A829" t="s">
        <v>1175</v>
      </c>
      <c r="B829" t="s">
        <v>14359</v>
      </c>
      <c r="C829" t="s">
        <v>19202</v>
      </c>
      <c r="D829" t="s">
        <v>14360</v>
      </c>
    </row>
    <row r="830" spans="1:4" x14ac:dyDescent="0.2">
      <c r="A830" t="s">
        <v>1338</v>
      </c>
      <c r="B830" t="s">
        <v>14359</v>
      </c>
      <c r="C830" t="s">
        <v>19256</v>
      </c>
      <c r="D830" t="s">
        <v>14360</v>
      </c>
    </row>
    <row r="831" spans="1:4" x14ac:dyDescent="0.2">
      <c r="A831" t="s">
        <v>13931</v>
      </c>
      <c r="B831" t="s">
        <v>14359</v>
      </c>
      <c r="C831" t="s">
        <v>20000</v>
      </c>
      <c r="D831" t="s">
        <v>14360</v>
      </c>
    </row>
    <row r="832" spans="1:4" x14ac:dyDescent="0.2">
      <c r="A832" t="s">
        <v>2647</v>
      </c>
      <c r="B832" t="s">
        <v>14359</v>
      </c>
      <c r="C832" t="s">
        <v>19736</v>
      </c>
      <c r="D832" t="s">
        <v>14360</v>
      </c>
    </row>
    <row r="833" spans="1:4" x14ac:dyDescent="0.2">
      <c r="A833" t="s">
        <v>1124</v>
      </c>
      <c r="B833" t="s">
        <v>14359</v>
      </c>
      <c r="C833" t="s">
        <v>19183</v>
      </c>
      <c r="D833" t="s">
        <v>14360</v>
      </c>
    </row>
    <row r="834" spans="1:4" x14ac:dyDescent="0.2">
      <c r="A834" t="s">
        <v>13888</v>
      </c>
      <c r="B834" t="s">
        <v>14359</v>
      </c>
      <c r="C834" t="s">
        <v>7569</v>
      </c>
      <c r="D834" t="s">
        <v>14360</v>
      </c>
    </row>
    <row r="835" spans="1:4" x14ac:dyDescent="0.2">
      <c r="A835" t="s">
        <v>13769</v>
      </c>
      <c r="B835" t="s">
        <v>14359</v>
      </c>
      <c r="C835" t="s">
        <v>595</v>
      </c>
      <c r="D835" t="s">
        <v>14360</v>
      </c>
    </row>
    <row r="836" spans="1:4" x14ac:dyDescent="0.2">
      <c r="A836" t="s">
        <v>597</v>
      </c>
      <c r="B836" t="s">
        <v>14358</v>
      </c>
      <c r="C836" t="s">
        <v>595</v>
      </c>
      <c r="D836" t="s">
        <v>595</v>
      </c>
    </row>
    <row r="837" spans="1:4" x14ac:dyDescent="0.2">
      <c r="A837" t="s">
        <v>13765</v>
      </c>
      <c r="B837" t="s">
        <v>14359</v>
      </c>
      <c r="C837" t="s">
        <v>20001</v>
      </c>
      <c r="D837" t="s">
        <v>14360</v>
      </c>
    </row>
    <row r="838" spans="1:4" x14ac:dyDescent="0.2">
      <c r="A838" t="s">
        <v>13980</v>
      </c>
      <c r="B838" t="s">
        <v>14359</v>
      </c>
      <c r="C838" t="s">
        <v>20116</v>
      </c>
      <c r="D838" t="s">
        <v>14360</v>
      </c>
    </row>
    <row r="839" spans="1:4" x14ac:dyDescent="0.2">
      <c r="A839" t="s">
        <v>2009</v>
      </c>
      <c r="B839" t="s">
        <v>14359</v>
      </c>
      <c r="C839" t="s">
        <v>19487</v>
      </c>
      <c r="D839" t="s">
        <v>14360</v>
      </c>
    </row>
    <row r="840" spans="1:4" x14ac:dyDescent="0.2">
      <c r="A840" t="s">
        <v>1928</v>
      </c>
      <c r="B840" t="s">
        <v>14359</v>
      </c>
      <c r="C840" t="s">
        <v>19448</v>
      </c>
      <c r="D840" t="s">
        <v>14360</v>
      </c>
    </row>
    <row r="841" spans="1:4" x14ac:dyDescent="0.2">
      <c r="A841" t="s">
        <v>13977</v>
      </c>
      <c r="B841" t="s">
        <v>14359</v>
      </c>
      <c r="C841" t="s">
        <v>20002</v>
      </c>
      <c r="D841" t="s">
        <v>14360</v>
      </c>
    </row>
    <row r="842" spans="1:4" x14ac:dyDescent="0.2">
      <c r="A842" t="s">
        <v>1692</v>
      </c>
      <c r="B842" t="s">
        <v>14359</v>
      </c>
      <c r="C842" t="s">
        <v>19371</v>
      </c>
      <c r="D842" t="s">
        <v>14360</v>
      </c>
    </row>
    <row r="843" spans="1:4" x14ac:dyDescent="0.2">
      <c r="A843" t="s">
        <v>2473</v>
      </c>
      <c r="B843" t="s">
        <v>14359</v>
      </c>
      <c r="C843" t="s">
        <v>19655</v>
      </c>
      <c r="D843" t="s">
        <v>14360</v>
      </c>
    </row>
    <row r="844" spans="1:4" x14ac:dyDescent="0.2">
      <c r="A844" t="s">
        <v>13837</v>
      </c>
      <c r="B844" t="s">
        <v>14359</v>
      </c>
      <c r="C844" t="s">
        <v>19259</v>
      </c>
      <c r="D844" t="s">
        <v>14360</v>
      </c>
    </row>
    <row r="845" spans="1:4" x14ac:dyDescent="0.2">
      <c r="A845" t="s">
        <v>13766</v>
      </c>
      <c r="B845" t="s">
        <v>14359</v>
      </c>
      <c r="C845" t="s">
        <v>603</v>
      </c>
      <c r="D845" t="s">
        <v>14360</v>
      </c>
    </row>
    <row r="846" spans="1:4" x14ac:dyDescent="0.2">
      <c r="A846" t="s">
        <v>605</v>
      </c>
      <c r="B846" t="s">
        <v>14358</v>
      </c>
      <c r="C846" t="s">
        <v>603</v>
      </c>
      <c r="D846" t="s">
        <v>603</v>
      </c>
    </row>
    <row r="847" spans="1:4" x14ac:dyDescent="0.2">
      <c r="A847" t="s">
        <v>13910</v>
      </c>
      <c r="B847" t="s">
        <v>14359</v>
      </c>
      <c r="C847" t="s">
        <v>20003</v>
      </c>
      <c r="D847" t="s">
        <v>14360</v>
      </c>
    </row>
    <row r="848" spans="1:4" x14ac:dyDescent="0.2">
      <c r="A848" t="s">
        <v>14227</v>
      </c>
      <c r="B848" t="s">
        <v>14359</v>
      </c>
      <c r="C848" t="s">
        <v>20004</v>
      </c>
      <c r="D848" t="s">
        <v>14360</v>
      </c>
    </row>
    <row r="849" spans="1:4" x14ac:dyDescent="0.2">
      <c r="A849" t="s">
        <v>1861</v>
      </c>
      <c r="B849" t="s">
        <v>14359</v>
      </c>
      <c r="C849" t="s">
        <v>19419</v>
      </c>
      <c r="D849" t="s">
        <v>14360</v>
      </c>
    </row>
    <row r="850" spans="1:4" x14ac:dyDescent="0.2">
      <c r="A850" t="s">
        <v>2085</v>
      </c>
      <c r="B850" t="s">
        <v>14359</v>
      </c>
      <c r="C850" t="s">
        <v>19523</v>
      </c>
      <c r="D850" t="s">
        <v>14360</v>
      </c>
    </row>
    <row r="851" spans="1:4" x14ac:dyDescent="0.2">
      <c r="A851" t="s">
        <v>2481</v>
      </c>
      <c r="B851" t="s">
        <v>14359</v>
      </c>
      <c r="C851" t="s">
        <v>19657</v>
      </c>
      <c r="D851" t="s">
        <v>14360</v>
      </c>
    </row>
    <row r="852" spans="1:4" x14ac:dyDescent="0.2">
      <c r="A852" t="s">
        <v>609</v>
      </c>
      <c r="B852" t="s">
        <v>14358</v>
      </c>
      <c r="C852" t="s">
        <v>19762</v>
      </c>
      <c r="D852" t="s">
        <v>11218</v>
      </c>
    </row>
    <row r="853" spans="1:4" x14ac:dyDescent="0.2">
      <c r="A853" t="s">
        <v>1340</v>
      </c>
      <c r="B853" t="s">
        <v>14359</v>
      </c>
      <c r="C853" t="s">
        <v>19257</v>
      </c>
      <c r="D853" t="s">
        <v>14360</v>
      </c>
    </row>
    <row r="854" spans="1:4" x14ac:dyDescent="0.2">
      <c r="A854" t="s">
        <v>2076</v>
      </c>
      <c r="B854" t="s">
        <v>14359</v>
      </c>
      <c r="C854" t="s">
        <v>19518</v>
      </c>
      <c r="D854" t="s">
        <v>14360</v>
      </c>
    </row>
    <row r="855" spans="1:4" x14ac:dyDescent="0.2">
      <c r="A855" t="s">
        <v>1876</v>
      </c>
      <c r="B855" t="s">
        <v>14359</v>
      </c>
      <c r="C855" t="s">
        <v>19427</v>
      </c>
      <c r="D855" t="s">
        <v>14360</v>
      </c>
    </row>
    <row r="856" spans="1:4" x14ac:dyDescent="0.2">
      <c r="A856" t="s">
        <v>2018</v>
      </c>
      <c r="B856" t="s">
        <v>14359</v>
      </c>
      <c r="C856" t="s">
        <v>19491</v>
      </c>
      <c r="D856" t="s">
        <v>14360</v>
      </c>
    </row>
    <row r="857" spans="1:4" x14ac:dyDescent="0.2">
      <c r="A857" t="s">
        <v>2030</v>
      </c>
      <c r="B857" t="s">
        <v>14359</v>
      </c>
      <c r="C857" t="s">
        <v>19496</v>
      </c>
      <c r="D857" t="s">
        <v>14360</v>
      </c>
    </row>
    <row r="858" spans="1:4" x14ac:dyDescent="0.2">
      <c r="A858" t="s">
        <v>14228</v>
      </c>
      <c r="B858" t="s">
        <v>14359</v>
      </c>
      <c r="C858" t="s">
        <v>20005</v>
      </c>
      <c r="D858" t="s">
        <v>14360</v>
      </c>
    </row>
    <row r="859" spans="1:4" x14ac:dyDescent="0.2">
      <c r="A859" t="s">
        <v>14229</v>
      </c>
      <c r="B859" t="s">
        <v>14359</v>
      </c>
      <c r="C859" t="s">
        <v>20006</v>
      </c>
      <c r="D859" t="s">
        <v>14360</v>
      </c>
    </row>
    <row r="860" spans="1:4" x14ac:dyDescent="0.2">
      <c r="A860" t="s">
        <v>14230</v>
      </c>
      <c r="B860" t="s">
        <v>14359</v>
      </c>
      <c r="C860" t="s">
        <v>20007</v>
      </c>
      <c r="D860" t="s">
        <v>14360</v>
      </c>
    </row>
    <row r="861" spans="1:4" x14ac:dyDescent="0.2">
      <c r="A861" t="s">
        <v>13979</v>
      </c>
      <c r="B861" t="s">
        <v>14359</v>
      </c>
      <c r="C861" t="s">
        <v>20008</v>
      </c>
      <c r="D861" t="s">
        <v>14360</v>
      </c>
    </row>
    <row r="862" spans="1:4" x14ac:dyDescent="0.2">
      <c r="A862" t="s">
        <v>2072</v>
      </c>
      <c r="B862" t="s">
        <v>14359</v>
      </c>
      <c r="C862" t="s">
        <v>19516</v>
      </c>
      <c r="D862" t="s">
        <v>14360</v>
      </c>
    </row>
    <row r="863" spans="1:4" x14ac:dyDescent="0.2">
      <c r="A863" t="s">
        <v>14337</v>
      </c>
      <c r="B863" t="s">
        <v>14359</v>
      </c>
      <c r="C863" t="s">
        <v>20009</v>
      </c>
      <c r="D863" t="s">
        <v>14360</v>
      </c>
    </row>
    <row r="864" spans="1:4" x14ac:dyDescent="0.2">
      <c r="A864" t="s">
        <v>2259</v>
      </c>
      <c r="B864" t="s">
        <v>14359</v>
      </c>
      <c r="C864" t="s">
        <v>19582</v>
      </c>
      <c r="D864" t="s">
        <v>14360</v>
      </c>
    </row>
    <row r="865" spans="1:4" x14ac:dyDescent="0.2">
      <c r="A865" t="s">
        <v>14041</v>
      </c>
      <c r="B865" t="s">
        <v>14359</v>
      </c>
      <c r="C865" t="s">
        <v>20010</v>
      </c>
      <c r="D865" t="s">
        <v>14360</v>
      </c>
    </row>
    <row r="866" spans="1:4" x14ac:dyDescent="0.2">
      <c r="A866" t="s">
        <v>14058</v>
      </c>
      <c r="B866" t="s">
        <v>14359</v>
      </c>
      <c r="C866" t="s">
        <v>20011</v>
      </c>
      <c r="D866" t="s">
        <v>14360</v>
      </c>
    </row>
    <row r="867" spans="1:4" x14ac:dyDescent="0.2">
      <c r="A867" t="s">
        <v>2561</v>
      </c>
      <c r="B867" t="s">
        <v>14359</v>
      </c>
      <c r="C867" t="s">
        <v>19695</v>
      </c>
      <c r="D867" t="s">
        <v>14360</v>
      </c>
    </row>
    <row r="868" spans="1:4" x14ac:dyDescent="0.2">
      <c r="A868" t="s">
        <v>2555</v>
      </c>
      <c r="B868" t="s">
        <v>14359</v>
      </c>
      <c r="C868" t="s">
        <v>19692</v>
      </c>
      <c r="D868" t="s">
        <v>14360</v>
      </c>
    </row>
    <row r="869" spans="1:4" x14ac:dyDescent="0.2">
      <c r="A869" t="s">
        <v>1173</v>
      </c>
      <c r="B869" t="s">
        <v>14359</v>
      </c>
      <c r="C869" t="s">
        <v>19201</v>
      </c>
      <c r="D869" t="s">
        <v>14360</v>
      </c>
    </row>
    <row r="870" spans="1:4" x14ac:dyDescent="0.2">
      <c r="A870" t="s">
        <v>13778</v>
      </c>
      <c r="B870" t="s">
        <v>14359</v>
      </c>
      <c r="C870" t="s">
        <v>20012</v>
      </c>
      <c r="D870" t="s">
        <v>14360</v>
      </c>
    </row>
    <row r="871" spans="1:4" x14ac:dyDescent="0.2">
      <c r="A871" t="s">
        <v>2633</v>
      </c>
      <c r="B871" t="s">
        <v>14359</v>
      </c>
      <c r="C871" t="s">
        <v>19730</v>
      </c>
      <c r="D871" t="s">
        <v>14360</v>
      </c>
    </row>
    <row r="872" spans="1:4" x14ac:dyDescent="0.2">
      <c r="A872" t="s">
        <v>1100</v>
      </c>
      <c r="B872" t="s">
        <v>14359</v>
      </c>
      <c r="C872" t="s">
        <v>19174</v>
      </c>
      <c r="D872" t="s">
        <v>14360</v>
      </c>
    </row>
    <row r="873" spans="1:4" x14ac:dyDescent="0.2">
      <c r="A873" t="s">
        <v>1473</v>
      </c>
      <c r="B873" t="s">
        <v>14359</v>
      </c>
      <c r="C873" t="s">
        <v>19304</v>
      </c>
      <c r="D873" t="s">
        <v>14360</v>
      </c>
    </row>
    <row r="874" spans="1:4" x14ac:dyDescent="0.2">
      <c r="A874" t="s">
        <v>1694</v>
      </c>
      <c r="B874" t="s">
        <v>14359</v>
      </c>
      <c r="C874" t="s">
        <v>19372</v>
      </c>
      <c r="D874" t="s">
        <v>14360</v>
      </c>
    </row>
    <row r="875" spans="1:4" x14ac:dyDescent="0.2">
      <c r="A875" t="s">
        <v>2614</v>
      </c>
      <c r="B875" t="s">
        <v>14359</v>
      </c>
      <c r="C875" t="s">
        <v>19720</v>
      </c>
      <c r="D875" t="s">
        <v>14360</v>
      </c>
    </row>
    <row r="876" spans="1:4" x14ac:dyDescent="0.2">
      <c r="A876" t="s">
        <v>2657</v>
      </c>
      <c r="B876" t="s">
        <v>14359</v>
      </c>
      <c r="C876" t="s">
        <v>19739</v>
      </c>
      <c r="D876" t="s">
        <v>14360</v>
      </c>
    </row>
    <row r="877" spans="1:4" x14ac:dyDescent="0.2">
      <c r="A877" t="s">
        <v>1688</v>
      </c>
      <c r="B877" t="s">
        <v>14359</v>
      </c>
      <c r="C877" t="s">
        <v>19370</v>
      </c>
      <c r="D877" t="s">
        <v>14360</v>
      </c>
    </row>
    <row r="878" spans="1:4" x14ac:dyDescent="0.2">
      <c r="A878" t="s">
        <v>54</v>
      </c>
      <c r="B878" t="s">
        <v>14358</v>
      </c>
      <c r="C878" t="s">
        <v>53</v>
      </c>
      <c r="D878" t="s">
        <v>20715</v>
      </c>
    </row>
    <row r="879" spans="1:4" x14ac:dyDescent="0.2">
      <c r="A879" t="s">
        <v>60</v>
      </c>
      <c r="B879" t="s">
        <v>14358</v>
      </c>
      <c r="C879" t="s">
        <v>59</v>
      </c>
      <c r="D879" t="s">
        <v>20726</v>
      </c>
    </row>
    <row r="880" spans="1:4" x14ac:dyDescent="0.2">
      <c r="A880" t="s">
        <v>65</v>
      </c>
      <c r="B880" t="s">
        <v>14358</v>
      </c>
      <c r="C880" t="s">
        <v>64</v>
      </c>
      <c r="D880" t="s">
        <v>20739</v>
      </c>
    </row>
    <row r="881" spans="1:4" x14ac:dyDescent="0.2">
      <c r="A881" t="s">
        <v>14056</v>
      </c>
      <c r="B881" t="s">
        <v>14359</v>
      </c>
      <c r="C881" t="s">
        <v>20013</v>
      </c>
      <c r="D881" t="s">
        <v>14360</v>
      </c>
    </row>
    <row r="882" spans="1:4" x14ac:dyDescent="0.2">
      <c r="A882" t="s">
        <v>14122</v>
      </c>
      <c r="B882" t="s">
        <v>14359</v>
      </c>
      <c r="C882" t="s">
        <v>20014</v>
      </c>
      <c r="D882" t="s">
        <v>14360</v>
      </c>
    </row>
    <row r="883" spans="1:4" x14ac:dyDescent="0.2">
      <c r="A883" t="s">
        <v>14082</v>
      </c>
      <c r="B883" t="s">
        <v>14359</v>
      </c>
      <c r="C883" t="s">
        <v>19604</v>
      </c>
      <c r="D883" t="s">
        <v>14360</v>
      </c>
    </row>
    <row r="884" spans="1:4" x14ac:dyDescent="0.2">
      <c r="A884" t="s">
        <v>13883</v>
      </c>
      <c r="B884" t="s">
        <v>14359</v>
      </c>
      <c r="C884" t="s">
        <v>20015</v>
      </c>
      <c r="D884" t="s">
        <v>14360</v>
      </c>
    </row>
    <row r="885" spans="1:4" x14ac:dyDescent="0.2">
      <c r="A885" t="s">
        <v>2544</v>
      </c>
      <c r="B885" t="s">
        <v>14359</v>
      </c>
      <c r="C885" t="s">
        <v>19686</v>
      </c>
      <c r="D885" t="s">
        <v>14360</v>
      </c>
    </row>
    <row r="886" spans="1:4" x14ac:dyDescent="0.2">
      <c r="A886" t="s">
        <v>1746</v>
      </c>
      <c r="B886" t="s">
        <v>14359</v>
      </c>
      <c r="C886" t="s">
        <v>19383</v>
      </c>
      <c r="D886" t="s">
        <v>14360</v>
      </c>
    </row>
    <row r="887" spans="1:4" x14ac:dyDescent="0.2">
      <c r="A887" t="s">
        <v>1104</v>
      </c>
      <c r="B887" t="s">
        <v>14359</v>
      </c>
      <c r="C887" t="s">
        <v>19176</v>
      </c>
      <c r="D887" t="s">
        <v>14360</v>
      </c>
    </row>
    <row r="888" spans="1:4" x14ac:dyDescent="0.2">
      <c r="A888" t="s">
        <v>1770</v>
      </c>
      <c r="B888" t="s">
        <v>14359</v>
      </c>
      <c r="C888" t="s">
        <v>19392</v>
      </c>
      <c r="D888" t="s">
        <v>14360</v>
      </c>
    </row>
    <row r="889" spans="1:4" x14ac:dyDescent="0.2">
      <c r="A889" t="s">
        <v>2373</v>
      </c>
      <c r="B889" t="s">
        <v>14359</v>
      </c>
      <c r="C889" t="s">
        <v>19628</v>
      </c>
      <c r="D889" t="s">
        <v>14360</v>
      </c>
    </row>
    <row r="890" spans="1:4" x14ac:dyDescent="0.2">
      <c r="A890" t="s">
        <v>1792</v>
      </c>
      <c r="B890" t="s">
        <v>14359</v>
      </c>
      <c r="C890" t="s">
        <v>19397</v>
      </c>
      <c r="D890" t="s">
        <v>14360</v>
      </c>
    </row>
    <row r="891" spans="1:4" x14ac:dyDescent="0.2">
      <c r="A891" t="s">
        <v>14231</v>
      </c>
      <c r="B891" t="s">
        <v>14359</v>
      </c>
      <c r="C891" t="s">
        <v>20117</v>
      </c>
      <c r="D891" t="s">
        <v>14360</v>
      </c>
    </row>
    <row r="892" spans="1:4" x14ac:dyDescent="0.2">
      <c r="A892" t="s">
        <v>14007</v>
      </c>
      <c r="B892" t="s">
        <v>14359</v>
      </c>
      <c r="C892" t="s">
        <v>20016</v>
      </c>
      <c r="D892" t="s">
        <v>14360</v>
      </c>
    </row>
    <row r="893" spans="1:4" x14ac:dyDescent="0.2">
      <c r="A893" t="s">
        <v>13863</v>
      </c>
      <c r="B893" t="s">
        <v>14359</v>
      </c>
      <c r="C893" t="s">
        <v>20017</v>
      </c>
      <c r="D893" t="s">
        <v>14360</v>
      </c>
    </row>
    <row r="894" spans="1:4" x14ac:dyDescent="0.2">
      <c r="A894" t="s">
        <v>2477</v>
      </c>
      <c r="B894" t="s">
        <v>14359</v>
      </c>
      <c r="C894" t="s">
        <v>19656</v>
      </c>
      <c r="D894" t="s">
        <v>14360</v>
      </c>
    </row>
    <row r="895" spans="1:4" x14ac:dyDescent="0.2">
      <c r="A895" t="s">
        <v>14338</v>
      </c>
      <c r="B895" t="s">
        <v>14359</v>
      </c>
      <c r="C895" t="s">
        <v>20018</v>
      </c>
      <c r="D895" t="s">
        <v>14360</v>
      </c>
    </row>
    <row r="896" spans="1:4" x14ac:dyDescent="0.2">
      <c r="A896" t="s">
        <v>14339</v>
      </c>
      <c r="B896" t="s">
        <v>14359</v>
      </c>
      <c r="C896" t="s">
        <v>20019</v>
      </c>
      <c r="D896" t="s">
        <v>14360</v>
      </c>
    </row>
    <row r="897" spans="1:4" x14ac:dyDescent="0.2">
      <c r="A897" t="s">
        <v>13996</v>
      </c>
      <c r="B897" t="s">
        <v>14359</v>
      </c>
      <c r="C897" t="s">
        <v>20020</v>
      </c>
      <c r="D897" t="s">
        <v>14360</v>
      </c>
    </row>
    <row r="898" spans="1:4" x14ac:dyDescent="0.2">
      <c r="A898" t="s">
        <v>13917</v>
      </c>
      <c r="B898" t="s">
        <v>14359</v>
      </c>
      <c r="C898" t="s">
        <v>20021</v>
      </c>
      <c r="D898" t="s">
        <v>14360</v>
      </c>
    </row>
    <row r="899" spans="1:4" x14ac:dyDescent="0.2">
      <c r="A899" t="s">
        <v>619</v>
      </c>
      <c r="B899" t="s">
        <v>14358</v>
      </c>
      <c r="C899" t="s">
        <v>19765</v>
      </c>
      <c r="D899" t="s">
        <v>620</v>
      </c>
    </row>
    <row r="900" spans="1:4" x14ac:dyDescent="0.2">
      <c r="A900" t="s">
        <v>14049</v>
      </c>
      <c r="B900" t="s">
        <v>14359</v>
      </c>
      <c r="C900" t="s">
        <v>20022</v>
      </c>
      <c r="D900" t="s">
        <v>14360</v>
      </c>
    </row>
    <row r="901" spans="1:4" x14ac:dyDescent="0.2">
      <c r="A901" t="s">
        <v>14340</v>
      </c>
      <c r="B901" t="s">
        <v>14359</v>
      </c>
      <c r="C901" t="s">
        <v>20023</v>
      </c>
      <c r="D901" t="s">
        <v>14360</v>
      </c>
    </row>
    <row r="902" spans="1:4" x14ac:dyDescent="0.2">
      <c r="A902" t="s">
        <v>13973</v>
      </c>
      <c r="B902" t="s">
        <v>14359</v>
      </c>
      <c r="C902" t="s">
        <v>20024</v>
      </c>
      <c r="D902" t="s">
        <v>14360</v>
      </c>
    </row>
    <row r="903" spans="1:4" x14ac:dyDescent="0.2">
      <c r="A903" t="s">
        <v>13974</v>
      </c>
      <c r="B903" t="s">
        <v>14359</v>
      </c>
      <c r="C903" t="s">
        <v>20025</v>
      </c>
      <c r="D903" t="s">
        <v>14360</v>
      </c>
    </row>
    <row r="904" spans="1:4" x14ac:dyDescent="0.2">
      <c r="A904" t="s">
        <v>2559</v>
      </c>
      <c r="B904" t="s">
        <v>14359</v>
      </c>
      <c r="C904" t="s">
        <v>19694</v>
      </c>
      <c r="D904" t="s">
        <v>14360</v>
      </c>
    </row>
    <row r="905" spans="1:4" x14ac:dyDescent="0.2">
      <c r="A905" t="s">
        <v>2583</v>
      </c>
      <c r="B905" t="s">
        <v>14359</v>
      </c>
      <c r="C905" t="s">
        <v>19704</v>
      </c>
      <c r="D905" t="s">
        <v>14360</v>
      </c>
    </row>
    <row r="906" spans="1:4" x14ac:dyDescent="0.2">
      <c r="A906" t="s">
        <v>1274</v>
      </c>
      <c r="B906" t="s">
        <v>14359</v>
      </c>
      <c r="C906" t="s">
        <v>19236</v>
      </c>
      <c r="D906" t="s">
        <v>14360</v>
      </c>
    </row>
    <row r="907" spans="1:4" x14ac:dyDescent="0.2">
      <c r="A907" t="s">
        <v>1782</v>
      </c>
      <c r="B907" t="s">
        <v>14359</v>
      </c>
      <c r="C907" t="s">
        <v>19395</v>
      </c>
      <c r="D907" t="s">
        <v>14360</v>
      </c>
    </row>
    <row r="908" spans="1:4" x14ac:dyDescent="0.2">
      <c r="A908" t="s">
        <v>1916</v>
      </c>
      <c r="B908" t="s">
        <v>14359</v>
      </c>
      <c r="C908" t="s">
        <v>19443</v>
      </c>
      <c r="D908" t="s">
        <v>14360</v>
      </c>
    </row>
    <row r="909" spans="1:4" x14ac:dyDescent="0.2">
      <c r="A909" t="s">
        <v>14232</v>
      </c>
      <c r="B909" t="s">
        <v>14359</v>
      </c>
      <c r="C909" t="s">
        <v>20026</v>
      </c>
      <c r="D909" t="s">
        <v>14360</v>
      </c>
    </row>
    <row r="910" spans="1:4" x14ac:dyDescent="0.2">
      <c r="A910" t="s">
        <v>14233</v>
      </c>
      <c r="B910" t="s">
        <v>14359</v>
      </c>
      <c r="C910" t="s">
        <v>20027</v>
      </c>
      <c r="D910" t="s">
        <v>14360</v>
      </c>
    </row>
    <row r="911" spans="1:4" x14ac:dyDescent="0.2">
      <c r="A911" t="s">
        <v>1304</v>
      </c>
      <c r="B911" t="s">
        <v>14359</v>
      </c>
      <c r="C911" t="s">
        <v>19244</v>
      </c>
      <c r="D911" t="s">
        <v>14360</v>
      </c>
    </row>
    <row r="912" spans="1:4" x14ac:dyDescent="0.2">
      <c r="A912" t="s">
        <v>13824</v>
      </c>
      <c r="B912" t="s">
        <v>14359</v>
      </c>
      <c r="C912" t="s">
        <v>5807</v>
      </c>
      <c r="D912" t="s">
        <v>14360</v>
      </c>
    </row>
    <row r="913" spans="1:4" x14ac:dyDescent="0.2">
      <c r="A913" t="s">
        <v>13952</v>
      </c>
      <c r="B913" t="s">
        <v>14359</v>
      </c>
      <c r="C913" t="s">
        <v>8538</v>
      </c>
      <c r="D913" t="s">
        <v>14360</v>
      </c>
    </row>
    <row r="914" spans="1:4" x14ac:dyDescent="0.2">
      <c r="A914" t="s">
        <v>3073</v>
      </c>
      <c r="B914" t="s">
        <v>14359</v>
      </c>
      <c r="C914" t="s">
        <v>19748</v>
      </c>
      <c r="D914" t="s">
        <v>14360</v>
      </c>
    </row>
    <row r="915" spans="1:4" x14ac:dyDescent="0.2">
      <c r="A915" t="s">
        <v>14096</v>
      </c>
      <c r="B915" t="s">
        <v>14359</v>
      </c>
      <c r="C915" t="s">
        <v>10194</v>
      </c>
      <c r="D915" t="s">
        <v>14360</v>
      </c>
    </row>
    <row r="916" spans="1:4" x14ac:dyDescent="0.2">
      <c r="A916" t="s">
        <v>2167</v>
      </c>
      <c r="B916" t="s">
        <v>14359</v>
      </c>
      <c r="C916" t="s">
        <v>19562</v>
      </c>
      <c r="D916" t="s">
        <v>14360</v>
      </c>
    </row>
    <row r="917" spans="1:4" x14ac:dyDescent="0.2">
      <c r="A917" t="s">
        <v>1571</v>
      </c>
      <c r="B917" t="s">
        <v>14359</v>
      </c>
      <c r="C917" t="s">
        <v>19329</v>
      </c>
      <c r="D917" t="s">
        <v>14360</v>
      </c>
    </row>
    <row r="918" spans="1:4" x14ac:dyDescent="0.2">
      <c r="A918" t="s">
        <v>3061</v>
      </c>
      <c r="B918" t="s">
        <v>14359</v>
      </c>
      <c r="C918" t="s">
        <v>19743</v>
      </c>
      <c r="D918" t="s">
        <v>14360</v>
      </c>
    </row>
    <row r="919" spans="1:4" x14ac:dyDescent="0.2">
      <c r="A919" t="s">
        <v>1567</v>
      </c>
      <c r="B919" t="s">
        <v>14359</v>
      </c>
      <c r="C919" t="s">
        <v>7249</v>
      </c>
      <c r="D919" t="s">
        <v>14360</v>
      </c>
    </row>
    <row r="920" spans="1:4" x14ac:dyDescent="0.2">
      <c r="A920" t="s">
        <v>2191</v>
      </c>
      <c r="B920" t="s">
        <v>14359</v>
      </c>
      <c r="C920" t="s">
        <v>9776</v>
      </c>
      <c r="D920" t="s">
        <v>14360</v>
      </c>
    </row>
    <row r="921" spans="1:4" x14ac:dyDescent="0.2">
      <c r="A921" t="s">
        <v>2387</v>
      </c>
      <c r="B921" t="s">
        <v>14359</v>
      </c>
      <c r="C921" t="s">
        <v>4690</v>
      </c>
      <c r="D921" t="s">
        <v>14360</v>
      </c>
    </row>
    <row r="922" spans="1:4" x14ac:dyDescent="0.2">
      <c r="A922" t="s">
        <v>1728</v>
      </c>
      <c r="B922" t="s">
        <v>14359</v>
      </c>
      <c r="C922" t="s">
        <v>8285</v>
      </c>
      <c r="D922" t="s">
        <v>14360</v>
      </c>
    </row>
    <row r="923" spans="1:4" x14ac:dyDescent="0.2">
      <c r="A923" t="s">
        <v>3052</v>
      </c>
      <c r="B923" t="s">
        <v>14359</v>
      </c>
      <c r="C923" t="s">
        <v>6068</v>
      </c>
      <c r="D923" t="s">
        <v>14360</v>
      </c>
    </row>
    <row r="924" spans="1:4" x14ac:dyDescent="0.2">
      <c r="A924" t="s">
        <v>3050</v>
      </c>
      <c r="B924" t="s">
        <v>14359</v>
      </c>
      <c r="C924" t="s">
        <v>6053</v>
      </c>
      <c r="D924" t="s">
        <v>14360</v>
      </c>
    </row>
    <row r="925" spans="1:4" x14ac:dyDescent="0.2">
      <c r="A925" t="s">
        <v>1181</v>
      </c>
      <c r="B925" t="s">
        <v>14359</v>
      </c>
      <c r="C925" t="s">
        <v>19204</v>
      </c>
      <c r="D925" t="s">
        <v>14360</v>
      </c>
    </row>
    <row r="926" spans="1:4" x14ac:dyDescent="0.2">
      <c r="A926" t="s">
        <v>1682</v>
      </c>
      <c r="B926" t="s">
        <v>14359</v>
      </c>
      <c r="C926" t="s">
        <v>8022</v>
      </c>
      <c r="D926" t="s">
        <v>14360</v>
      </c>
    </row>
    <row r="927" spans="1:4" x14ac:dyDescent="0.2">
      <c r="A927" t="s">
        <v>3059</v>
      </c>
      <c r="B927" t="s">
        <v>14359</v>
      </c>
      <c r="C927" t="s">
        <v>6647</v>
      </c>
      <c r="D927" t="s">
        <v>14360</v>
      </c>
    </row>
    <row r="928" spans="1:4" x14ac:dyDescent="0.2">
      <c r="A928" t="s">
        <v>1863</v>
      </c>
      <c r="B928" t="s">
        <v>14359</v>
      </c>
      <c r="C928" t="s">
        <v>19420</v>
      </c>
      <c r="D928" t="s">
        <v>14360</v>
      </c>
    </row>
    <row r="929" spans="1:4" x14ac:dyDescent="0.2">
      <c r="A929" t="s">
        <v>2411</v>
      </c>
      <c r="B929" t="s">
        <v>14359</v>
      </c>
      <c r="C929" t="s">
        <v>4817</v>
      </c>
      <c r="D929" t="s">
        <v>14360</v>
      </c>
    </row>
    <row r="930" spans="1:4" x14ac:dyDescent="0.2">
      <c r="A930" t="s">
        <v>1126</v>
      </c>
      <c r="B930" t="s">
        <v>14359</v>
      </c>
      <c r="C930" t="s">
        <v>5289</v>
      </c>
      <c r="D930" t="s">
        <v>14360</v>
      </c>
    </row>
    <row r="931" spans="1:4" x14ac:dyDescent="0.2">
      <c r="A931" t="s">
        <v>3046</v>
      </c>
      <c r="B931" t="s">
        <v>14359</v>
      </c>
      <c r="C931" t="s">
        <v>6029</v>
      </c>
      <c r="D931" t="s">
        <v>14360</v>
      </c>
    </row>
    <row r="932" spans="1:4" x14ac:dyDescent="0.2">
      <c r="A932" t="s">
        <v>1223</v>
      </c>
      <c r="B932" t="s">
        <v>14359</v>
      </c>
      <c r="C932" t="s">
        <v>5703</v>
      </c>
      <c r="D932" t="s">
        <v>14360</v>
      </c>
    </row>
    <row r="933" spans="1:4" x14ac:dyDescent="0.2">
      <c r="A933" t="s">
        <v>1314</v>
      </c>
      <c r="B933" t="s">
        <v>14359</v>
      </c>
      <c r="C933" t="s">
        <v>6158</v>
      </c>
      <c r="D933" t="s">
        <v>14360</v>
      </c>
    </row>
    <row r="934" spans="1:4" x14ac:dyDescent="0.2">
      <c r="A934" t="s">
        <v>1292</v>
      </c>
      <c r="B934" t="s">
        <v>14359</v>
      </c>
      <c r="C934" t="s">
        <v>6113</v>
      </c>
      <c r="D934" t="s">
        <v>14360</v>
      </c>
    </row>
    <row r="935" spans="1:4" x14ac:dyDescent="0.2">
      <c r="A935" t="s">
        <v>1851</v>
      </c>
      <c r="B935" t="s">
        <v>14359</v>
      </c>
      <c r="C935" t="s">
        <v>8667</v>
      </c>
      <c r="D935" t="s">
        <v>14360</v>
      </c>
    </row>
    <row r="936" spans="1:4" x14ac:dyDescent="0.2">
      <c r="A936" t="s">
        <v>2357</v>
      </c>
      <c r="B936" t="s">
        <v>14359</v>
      </c>
      <c r="C936" t="s">
        <v>4610</v>
      </c>
      <c r="D936" t="s">
        <v>14360</v>
      </c>
    </row>
    <row r="937" spans="1:4" x14ac:dyDescent="0.2">
      <c r="A937" t="s">
        <v>2359</v>
      </c>
      <c r="B937" t="s">
        <v>14359</v>
      </c>
      <c r="C937" t="s">
        <v>4618</v>
      </c>
      <c r="D937" t="s">
        <v>14360</v>
      </c>
    </row>
    <row r="938" spans="1:4" x14ac:dyDescent="0.2">
      <c r="A938" t="s">
        <v>2407</v>
      </c>
      <c r="B938" t="s">
        <v>14359</v>
      </c>
      <c r="C938" t="s">
        <v>4809</v>
      </c>
      <c r="D938" t="s">
        <v>14360</v>
      </c>
    </row>
    <row r="939" spans="1:4" x14ac:dyDescent="0.2">
      <c r="A939" t="s">
        <v>3048</v>
      </c>
      <c r="B939" t="s">
        <v>14359</v>
      </c>
      <c r="C939" t="s">
        <v>6045</v>
      </c>
      <c r="D939" t="s">
        <v>14360</v>
      </c>
    </row>
    <row r="940" spans="1:4" x14ac:dyDescent="0.2">
      <c r="A940" t="s">
        <v>1318</v>
      </c>
      <c r="B940" t="s">
        <v>14359</v>
      </c>
      <c r="C940" t="s">
        <v>6262</v>
      </c>
      <c r="D940" t="s">
        <v>14360</v>
      </c>
    </row>
    <row r="941" spans="1:4" x14ac:dyDescent="0.2">
      <c r="A941" t="s">
        <v>2475</v>
      </c>
      <c r="B941" t="s">
        <v>14359</v>
      </c>
      <c r="C941" t="s">
        <v>3597</v>
      </c>
      <c r="D941" t="s">
        <v>14360</v>
      </c>
    </row>
    <row r="942" spans="1:4" x14ac:dyDescent="0.2">
      <c r="A942" t="s">
        <v>1493</v>
      </c>
      <c r="B942" t="s">
        <v>14359</v>
      </c>
      <c r="C942" t="s">
        <v>7040</v>
      </c>
      <c r="D942" t="s">
        <v>14360</v>
      </c>
    </row>
    <row r="943" spans="1:4" x14ac:dyDescent="0.2">
      <c r="A943" t="s">
        <v>1758</v>
      </c>
      <c r="B943" t="s">
        <v>14359</v>
      </c>
      <c r="C943" t="s">
        <v>8331</v>
      </c>
      <c r="D943" t="s">
        <v>14360</v>
      </c>
    </row>
    <row r="944" spans="1:4" x14ac:dyDescent="0.2">
      <c r="A944" t="s">
        <v>14025</v>
      </c>
      <c r="B944" t="s">
        <v>14359</v>
      </c>
      <c r="C944" t="s">
        <v>9787</v>
      </c>
      <c r="D944" t="s">
        <v>14360</v>
      </c>
    </row>
    <row r="945" spans="1:4" x14ac:dyDescent="0.2">
      <c r="A945" t="s">
        <v>1296</v>
      </c>
      <c r="B945" t="s">
        <v>14359</v>
      </c>
      <c r="C945" t="s">
        <v>6106</v>
      </c>
      <c r="D945" t="s">
        <v>14360</v>
      </c>
    </row>
    <row r="946" spans="1:4" x14ac:dyDescent="0.2">
      <c r="A946" t="s">
        <v>13828</v>
      </c>
      <c r="B946" t="s">
        <v>14359</v>
      </c>
      <c r="C946" t="s">
        <v>6037</v>
      </c>
      <c r="D946" t="s">
        <v>14360</v>
      </c>
    </row>
    <row r="947" spans="1:4" x14ac:dyDescent="0.2">
      <c r="A947" t="s">
        <v>3044</v>
      </c>
      <c r="B947" t="s">
        <v>14359</v>
      </c>
      <c r="C947" t="s">
        <v>5831</v>
      </c>
      <c r="D947" t="s">
        <v>14360</v>
      </c>
    </row>
    <row r="948" spans="1:4" x14ac:dyDescent="0.2">
      <c r="A948" t="s">
        <v>2355</v>
      </c>
      <c r="B948" t="s">
        <v>14359</v>
      </c>
      <c r="C948" t="s">
        <v>4626</v>
      </c>
      <c r="D948" t="s">
        <v>14360</v>
      </c>
    </row>
    <row r="949" spans="1:4" x14ac:dyDescent="0.2">
      <c r="A949" t="s">
        <v>13981</v>
      </c>
      <c r="B949" t="s">
        <v>14359</v>
      </c>
      <c r="C949" t="s">
        <v>9304</v>
      </c>
      <c r="D949" t="s">
        <v>14360</v>
      </c>
    </row>
    <row r="950" spans="1:4" x14ac:dyDescent="0.2">
      <c r="A950" t="s">
        <v>1829</v>
      </c>
      <c r="B950" t="s">
        <v>14359</v>
      </c>
      <c r="C950" t="s">
        <v>8643</v>
      </c>
      <c r="D950" t="s">
        <v>14360</v>
      </c>
    </row>
    <row r="951" spans="1:4" x14ac:dyDescent="0.2">
      <c r="A951" t="s">
        <v>3075</v>
      </c>
      <c r="B951" t="s">
        <v>14359</v>
      </c>
      <c r="C951" t="s">
        <v>8231</v>
      </c>
      <c r="D951" t="s">
        <v>14360</v>
      </c>
    </row>
    <row r="952" spans="1:4" x14ac:dyDescent="0.2">
      <c r="A952" t="s">
        <v>14035</v>
      </c>
      <c r="B952" t="s">
        <v>14359</v>
      </c>
      <c r="C952" t="s">
        <v>9862</v>
      </c>
      <c r="D952" t="s">
        <v>14360</v>
      </c>
    </row>
    <row r="953" spans="1:4" x14ac:dyDescent="0.2">
      <c r="A953" t="s">
        <v>14341</v>
      </c>
      <c r="B953" t="s">
        <v>14359</v>
      </c>
      <c r="C953" t="s">
        <v>13297</v>
      </c>
      <c r="D953" t="s">
        <v>14360</v>
      </c>
    </row>
    <row r="954" spans="1:4" x14ac:dyDescent="0.2">
      <c r="A954" t="s">
        <v>13846</v>
      </c>
      <c r="B954" t="s">
        <v>14359</v>
      </c>
      <c r="C954" t="s">
        <v>6574</v>
      </c>
      <c r="D954" t="s">
        <v>14360</v>
      </c>
    </row>
    <row r="955" spans="1:4" x14ac:dyDescent="0.2">
      <c r="A955" t="s">
        <v>1744</v>
      </c>
      <c r="B955" t="s">
        <v>14359</v>
      </c>
      <c r="C955" t="s">
        <v>8252</v>
      </c>
      <c r="D955" t="s">
        <v>14360</v>
      </c>
    </row>
    <row r="956" spans="1:4" x14ac:dyDescent="0.2">
      <c r="A956" t="s">
        <v>2459</v>
      </c>
      <c r="B956" t="s">
        <v>14359</v>
      </c>
      <c r="C956" t="s">
        <v>3606</v>
      </c>
      <c r="D956" t="s">
        <v>14360</v>
      </c>
    </row>
    <row r="957" spans="1:4" x14ac:dyDescent="0.2">
      <c r="A957" t="s">
        <v>13946</v>
      </c>
      <c r="B957" t="s">
        <v>14359</v>
      </c>
      <c r="C957" t="s">
        <v>8419</v>
      </c>
      <c r="D957" t="s">
        <v>14360</v>
      </c>
    </row>
    <row r="958" spans="1:4" x14ac:dyDescent="0.2">
      <c r="A958" t="s">
        <v>2195</v>
      </c>
      <c r="B958" t="s">
        <v>14359</v>
      </c>
      <c r="C958" t="s">
        <v>10279</v>
      </c>
      <c r="D958" t="s">
        <v>14360</v>
      </c>
    </row>
    <row r="959" spans="1:4" x14ac:dyDescent="0.2">
      <c r="A959" t="s">
        <v>2207</v>
      </c>
      <c r="B959" t="s">
        <v>14359</v>
      </c>
      <c r="C959" t="s">
        <v>10282</v>
      </c>
      <c r="D959" t="s">
        <v>14360</v>
      </c>
    </row>
    <row r="960" spans="1:4" x14ac:dyDescent="0.2">
      <c r="A960" t="s">
        <v>2189</v>
      </c>
      <c r="B960" t="s">
        <v>14359</v>
      </c>
      <c r="C960" t="s">
        <v>10285</v>
      </c>
      <c r="D960" t="s">
        <v>14360</v>
      </c>
    </row>
    <row r="961" spans="1:4" x14ac:dyDescent="0.2">
      <c r="A961" t="s">
        <v>2183</v>
      </c>
      <c r="B961" t="s">
        <v>14359</v>
      </c>
      <c r="C961" t="s">
        <v>10288</v>
      </c>
      <c r="D961" t="s">
        <v>14360</v>
      </c>
    </row>
    <row r="962" spans="1:4" x14ac:dyDescent="0.2">
      <c r="A962" t="s">
        <v>2200</v>
      </c>
      <c r="B962" t="s">
        <v>14359</v>
      </c>
      <c r="C962" t="s">
        <v>10291</v>
      </c>
      <c r="D962" t="s">
        <v>14360</v>
      </c>
    </row>
    <row r="963" spans="1:4" x14ac:dyDescent="0.2">
      <c r="A963" t="s">
        <v>13802</v>
      </c>
      <c r="B963" t="s">
        <v>14359</v>
      </c>
      <c r="C963" t="s">
        <v>4994</v>
      </c>
      <c r="D963" t="s">
        <v>14360</v>
      </c>
    </row>
    <row r="964" spans="1:4" x14ac:dyDescent="0.2">
      <c r="A964" t="s">
        <v>14002</v>
      </c>
      <c r="B964" t="s">
        <v>14359</v>
      </c>
      <c r="C964" t="s">
        <v>9598</v>
      </c>
      <c r="D964" t="s">
        <v>14360</v>
      </c>
    </row>
    <row r="965" spans="1:4" x14ac:dyDescent="0.2">
      <c r="A965" t="s">
        <v>14013</v>
      </c>
      <c r="B965" t="s">
        <v>14359</v>
      </c>
      <c r="C965" t="s">
        <v>19556</v>
      </c>
      <c r="D965" t="s">
        <v>14360</v>
      </c>
    </row>
    <row r="966" spans="1:4" x14ac:dyDescent="0.2">
      <c r="A966" t="s">
        <v>13939</v>
      </c>
      <c r="B966" t="s">
        <v>14359</v>
      </c>
      <c r="C966" t="s">
        <v>8303</v>
      </c>
      <c r="D966" t="s">
        <v>14360</v>
      </c>
    </row>
    <row r="967" spans="1:4" x14ac:dyDescent="0.2">
      <c r="A967" t="s">
        <v>1509</v>
      </c>
      <c r="B967" t="s">
        <v>14359</v>
      </c>
      <c r="C967" t="s">
        <v>7113</v>
      </c>
      <c r="D967" t="s">
        <v>14360</v>
      </c>
    </row>
    <row r="968" spans="1:4" x14ac:dyDescent="0.2">
      <c r="A968" t="s">
        <v>1678</v>
      </c>
      <c r="B968" t="s">
        <v>14359</v>
      </c>
      <c r="C968" t="s">
        <v>8036</v>
      </c>
      <c r="D968" t="s">
        <v>14360</v>
      </c>
    </row>
    <row r="969" spans="1:4" x14ac:dyDescent="0.2">
      <c r="A969" t="s">
        <v>14234</v>
      </c>
      <c r="B969" t="s">
        <v>14359</v>
      </c>
      <c r="C969" t="s">
        <v>12233</v>
      </c>
      <c r="D969" t="s">
        <v>14360</v>
      </c>
    </row>
    <row r="970" spans="1:4" x14ac:dyDescent="0.2">
      <c r="A970" t="s">
        <v>13986</v>
      </c>
      <c r="B970" t="s">
        <v>14359</v>
      </c>
      <c r="C970" t="s">
        <v>9348</v>
      </c>
      <c r="D970" t="s">
        <v>14360</v>
      </c>
    </row>
    <row r="971" spans="1:4" x14ac:dyDescent="0.2">
      <c r="A971" t="s">
        <v>2011</v>
      </c>
      <c r="B971" t="s">
        <v>14359</v>
      </c>
      <c r="C971" t="s">
        <v>9332</v>
      </c>
      <c r="D971" t="s">
        <v>14360</v>
      </c>
    </row>
    <row r="972" spans="1:4" x14ac:dyDescent="0.2">
      <c r="A972" t="s">
        <v>1656</v>
      </c>
      <c r="B972" t="s">
        <v>14359</v>
      </c>
      <c r="C972" t="s">
        <v>7817</v>
      </c>
      <c r="D972" t="s">
        <v>14360</v>
      </c>
    </row>
    <row r="973" spans="1:4" x14ac:dyDescent="0.2">
      <c r="A973" t="s">
        <v>2042</v>
      </c>
      <c r="B973" t="s">
        <v>14359</v>
      </c>
      <c r="C973" t="s">
        <v>19501</v>
      </c>
      <c r="D973" t="s">
        <v>14360</v>
      </c>
    </row>
    <row r="974" spans="1:4" x14ac:dyDescent="0.2">
      <c r="A974" t="s">
        <v>2028</v>
      </c>
      <c r="B974" t="s">
        <v>14359</v>
      </c>
      <c r="C974" t="s">
        <v>19495</v>
      </c>
      <c r="D974" t="s">
        <v>14360</v>
      </c>
    </row>
    <row r="975" spans="1:4" x14ac:dyDescent="0.2">
      <c r="A975" t="s">
        <v>1946</v>
      </c>
      <c r="B975" t="s">
        <v>14359</v>
      </c>
      <c r="C975" t="s">
        <v>9022</v>
      </c>
      <c r="D975" t="s">
        <v>14360</v>
      </c>
    </row>
    <row r="976" spans="1:4" x14ac:dyDescent="0.2">
      <c r="A976" t="s">
        <v>2445</v>
      </c>
      <c r="B976" t="s">
        <v>14359</v>
      </c>
      <c r="C976" t="s">
        <v>5001</v>
      </c>
      <c r="D976" t="s">
        <v>14360</v>
      </c>
    </row>
    <row r="977" spans="1:4" x14ac:dyDescent="0.2">
      <c r="A977" t="s">
        <v>1676</v>
      </c>
      <c r="B977" t="s">
        <v>14359</v>
      </c>
      <c r="C977" t="s">
        <v>7968</v>
      </c>
      <c r="D977" t="s">
        <v>14360</v>
      </c>
    </row>
    <row r="978" spans="1:4" x14ac:dyDescent="0.2">
      <c r="A978" t="s">
        <v>13984</v>
      </c>
      <c r="B978" t="s">
        <v>14359</v>
      </c>
      <c r="C978" t="s">
        <v>9326</v>
      </c>
      <c r="D978" t="s">
        <v>14360</v>
      </c>
    </row>
    <row r="979" spans="1:4" x14ac:dyDescent="0.2">
      <c r="A979" t="s">
        <v>13911</v>
      </c>
      <c r="B979" t="s">
        <v>14359</v>
      </c>
      <c r="C979" t="s">
        <v>7845</v>
      </c>
      <c r="D979" t="s">
        <v>14360</v>
      </c>
    </row>
    <row r="980" spans="1:4" x14ac:dyDescent="0.2">
      <c r="A980" t="s">
        <v>2034</v>
      </c>
      <c r="B980" t="s">
        <v>14359</v>
      </c>
      <c r="C980" t="s">
        <v>19498</v>
      </c>
      <c r="D980" t="s">
        <v>14360</v>
      </c>
    </row>
    <row r="981" spans="1:4" x14ac:dyDescent="0.2">
      <c r="A981" t="s">
        <v>2635</v>
      </c>
      <c r="B981" t="s">
        <v>14359</v>
      </c>
      <c r="C981" t="s">
        <v>19731</v>
      </c>
      <c r="D981" t="s">
        <v>14360</v>
      </c>
    </row>
    <row r="982" spans="1:4" x14ac:dyDescent="0.2">
      <c r="A982" t="s">
        <v>2455</v>
      </c>
      <c r="B982" t="s">
        <v>14359</v>
      </c>
      <c r="C982" t="s">
        <v>19650</v>
      </c>
      <c r="D982" t="s">
        <v>14360</v>
      </c>
    </row>
    <row r="983" spans="1:4" x14ac:dyDescent="0.2">
      <c r="A983" t="s">
        <v>14001</v>
      </c>
      <c r="B983" t="s">
        <v>14359</v>
      </c>
      <c r="C983" t="s">
        <v>9593</v>
      </c>
      <c r="D983" t="s">
        <v>14360</v>
      </c>
    </row>
    <row r="984" spans="1:4" x14ac:dyDescent="0.2">
      <c r="A984" t="s">
        <v>13912</v>
      </c>
      <c r="B984" t="s">
        <v>14359</v>
      </c>
      <c r="C984" t="s">
        <v>7851</v>
      </c>
      <c r="D984" t="s">
        <v>14360</v>
      </c>
    </row>
    <row r="985" spans="1:4" x14ac:dyDescent="0.2">
      <c r="A985" t="s">
        <v>14045</v>
      </c>
      <c r="B985" t="s">
        <v>14359</v>
      </c>
      <c r="C985" t="s">
        <v>9922</v>
      </c>
      <c r="D985" t="s">
        <v>14360</v>
      </c>
    </row>
    <row r="986" spans="1:4" x14ac:dyDescent="0.2">
      <c r="A986" t="s">
        <v>14118</v>
      </c>
      <c r="B986" t="s">
        <v>14359</v>
      </c>
      <c r="C986" t="s">
        <v>10260</v>
      </c>
      <c r="D986" t="s">
        <v>14360</v>
      </c>
    </row>
    <row r="987" spans="1:4" x14ac:dyDescent="0.2">
      <c r="A987" t="s">
        <v>2185</v>
      </c>
      <c r="B987" t="s">
        <v>14359</v>
      </c>
      <c r="C987" t="s">
        <v>9724</v>
      </c>
      <c r="D987" t="s">
        <v>14360</v>
      </c>
    </row>
    <row r="988" spans="1:4" x14ac:dyDescent="0.2">
      <c r="A988" t="s">
        <v>2104</v>
      </c>
      <c r="B988" t="s">
        <v>14359</v>
      </c>
      <c r="C988" t="s">
        <v>9523</v>
      </c>
      <c r="D988" t="s">
        <v>14360</v>
      </c>
    </row>
    <row r="989" spans="1:4" x14ac:dyDescent="0.2">
      <c r="A989" t="s">
        <v>14014</v>
      </c>
      <c r="B989" t="s">
        <v>14359</v>
      </c>
      <c r="C989" t="s">
        <v>19560</v>
      </c>
      <c r="D989" t="s">
        <v>14360</v>
      </c>
    </row>
    <row r="990" spans="1:4" x14ac:dyDescent="0.2">
      <c r="A990" t="s">
        <v>1397</v>
      </c>
      <c r="B990" t="s">
        <v>14359</v>
      </c>
      <c r="C990" t="s">
        <v>6517</v>
      </c>
      <c r="D990" t="s">
        <v>14360</v>
      </c>
    </row>
    <row r="991" spans="1:4" x14ac:dyDescent="0.2">
      <c r="A991" t="s">
        <v>2405</v>
      </c>
      <c r="B991" t="s">
        <v>14359</v>
      </c>
      <c r="C991" t="s">
        <v>4880</v>
      </c>
      <c r="D991" t="s">
        <v>14360</v>
      </c>
    </row>
    <row r="992" spans="1:4" x14ac:dyDescent="0.2">
      <c r="A992" t="s">
        <v>1364</v>
      </c>
      <c r="B992" t="s">
        <v>14359</v>
      </c>
      <c r="C992" t="s">
        <v>6389</v>
      </c>
      <c r="D992" t="s">
        <v>14360</v>
      </c>
    </row>
    <row r="993" spans="1:4" x14ac:dyDescent="0.2">
      <c r="A993" t="s">
        <v>3089</v>
      </c>
      <c r="B993" t="s">
        <v>14359</v>
      </c>
      <c r="C993" t="s">
        <v>9812</v>
      </c>
      <c r="D993" t="s">
        <v>14360</v>
      </c>
    </row>
    <row r="994" spans="1:4" x14ac:dyDescent="0.2">
      <c r="A994" t="s">
        <v>3087</v>
      </c>
      <c r="B994" t="s">
        <v>14359</v>
      </c>
      <c r="C994" t="s">
        <v>9809</v>
      </c>
      <c r="D994" t="s">
        <v>14360</v>
      </c>
    </row>
    <row r="995" spans="1:4" x14ac:dyDescent="0.2">
      <c r="A995" t="s">
        <v>1370</v>
      </c>
      <c r="B995" t="s">
        <v>14359</v>
      </c>
      <c r="C995" t="s">
        <v>19265</v>
      </c>
      <c r="D995" t="s">
        <v>14360</v>
      </c>
    </row>
    <row r="996" spans="1:4" x14ac:dyDescent="0.2">
      <c r="A996" t="s">
        <v>1734</v>
      </c>
      <c r="B996" t="s">
        <v>14359</v>
      </c>
      <c r="C996" t="s">
        <v>8260</v>
      </c>
      <c r="D996" t="s">
        <v>14360</v>
      </c>
    </row>
    <row r="997" spans="1:4" x14ac:dyDescent="0.2">
      <c r="A997" t="s">
        <v>1358</v>
      </c>
      <c r="B997" t="s">
        <v>14359</v>
      </c>
      <c r="C997" t="s">
        <v>6403</v>
      </c>
      <c r="D997" t="s">
        <v>14360</v>
      </c>
    </row>
    <row r="998" spans="1:4" x14ac:dyDescent="0.2">
      <c r="A998" t="s">
        <v>1489</v>
      </c>
      <c r="B998" t="s">
        <v>14359</v>
      </c>
      <c r="C998" t="s">
        <v>6884</v>
      </c>
      <c r="D998" t="s">
        <v>14360</v>
      </c>
    </row>
    <row r="999" spans="1:4" x14ac:dyDescent="0.2">
      <c r="A999" t="s">
        <v>1366</v>
      </c>
      <c r="B999" t="s">
        <v>14359</v>
      </c>
      <c r="C999" t="s">
        <v>6410</v>
      </c>
      <c r="D999" t="s">
        <v>14360</v>
      </c>
    </row>
    <row r="1000" spans="1:4" x14ac:dyDescent="0.2">
      <c r="A1000" t="s">
        <v>13753</v>
      </c>
      <c r="B1000" t="s">
        <v>14359</v>
      </c>
      <c r="C1000" t="s">
        <v>3640</v>
      </c>
      <c r="D1000" t="s">
        <v>14360</v>
      </c>
    </row>
    <row r="1001" spans="1:4" x14ac:dyDescent="0.2">
      <c r="A1001" t="s">
        <v>13914</v>
      </c>
      <c r="B1001" t="s">
        <v>14359</v>
      </c>
      <c r="C1001" t="s">
        <v>7879</v>
      </c>
      <c r="D1001" t="s">
        <v>14360</v>
      </c>
    </row>
    <row r="1002" spans="1:4" x14ac:dyDescent="0.2">
      <c r="A1002" t="s">
        <v>13855</v>
      </c>
      <c r="B1002" t="s">
        <v>14359</v>
      </c>
      <c r="C1002" t="s">
        <v>6855</v>
      </c>
      <c r="D1002" t="s">
        <v>14360</v>
      </c>
    </row>
    <row r="1003" spans="1:4" x14ac:dyDescent="0.2">
      <c r="A1003" t="s">
        <v>14024</v>
      </c>
      <c r="B1003" t="s">
        <v>14359</v>
      </c>
      <c r="C1003" t="s">
        <v>9761</v>
      </c>
      <c r="D1003" t="s">
        <v>14360</v>
      </c>
    </row>
    <row r="1004" spans="1:4" x14ac:dyDescent="0.2">
      <c r="A1004" t="s">
        <v>2461</v>
      </c>
      <c r="B1004" t="s">
        <v>14359</v>
      </c>
      <c r="C1004" t="s">
        <v>19652</v>
      </c>
      <c r="D1004" t="s">
        <v>14360</v>
      </c>
    </row>
    <row r="1005" spans="1:4" x14ac:dyDescent="0.2">
      <c r="A1005" t="s">
        <v>13798</v>
      </c>
      <c r="B1005" t="s">
        <v>14359</v>
      </c>
      <c r="C1005" t="s">
        <v>20028</v>
      </c>
      <c r="D1005" t="s">
        <v>14360</v>
      </c>
    </row>
    <row r="1006" spans="1:4" x14ac:dyDescent="0.2">
      <c r="A1006" t="s">
        <v>14115</v>
      </c>
      <c r="B1006" t="s">
        <v>14359</v>
      </c>
      <c r="C1006" t="s">
        <v>20029</v>
      </c>
      <c r="D1006" t="s">
        <v>14360</v>
      </c>
    </row>
    <row r="1007" spans="1:4" x14ac:dyDescent="0.2">
      <c r="A1007" t="s">
        <v>14117</v>
      </c>
      <c r="B1007" t="s">
        <v>14359</v>
      </c>
      <c r="C1007" t="s">
        <v>20030</v>
      </c>
      <c r="D1007" t="s">
        <v>14360</v>
      </c>
    </row>
    <row r="1008" spans="1:4" x14ac:dyDescent="0.2">
      <c r="A1008" t="s">
        <v>14116</v>
      </c>
      <c r="B1008" t="s">
        <v>14359</v>
      </c>
      <c r="C1008" t="s">
        <v>20031</v>
      </c>
      <c r="D1008" t="s">
        <v>14360</v>
      </c>
    </row>
    <row r="1009" spans="1:4" x14ac:dyDescent="0.2">
      <c r="A1009" t="s">
        <v>14235</v>
      </c>
      <c r="B1009" t="s">
        <v>14359</v>
      </c>
      <c r="C1009" t="s">
        <v>20032</v>
      </c>
      <c r="D1009" t="s">
        <v>14360</v>
      </c>
    </row>
    <row r="1010" spans="1:4" x14ac:dyDescent="0.2">
      <c r="A1010" t="s">
        <v>2096</v>
      </c>
      <c r="B1010" t="s">
        <v>14359</v>
      </c>
      <c r="C1010" t="s">
        <v>19529</v>
      </c>
      <c r="D1010" t="s">
        <v>14360</v>
      </c>
    </row>
    <row r="1011" spans="1:4" x14ac:dyDescent="0.2">
      <c r="A1011" t="s">
        <v>2557</v>
      </c>
      <c r="B1011" t="s">
        <v>14359</v>
      </c>
      <c r="C1011" t="s">
        <v>19693</v>
      </c>
      <c r="D1011" t="s">
        <v>14360</v>
      </c>
    </row>
    <row r="1012" spans="1:4" x14ac:dyDescent="0.2">
      <c r="A1012" t="s">
        <v>14342</v>
      </c>
      <c r="B1012" t="s">
        <v>14359</v>
      </c>
      <c r="C1012" t="s">
        <v>20033</v>
      </c>
      <c r="D1012" t="s">
        <v>14360</v>
      </c>
    </row>
    <row r="1013" spans="1:4" x14ac:dyDescent="0.2">
      <c r="A1013" t="s">
        <v>2056</v>
      </c>
      <c r="B1013" t="s">
        <v>14359</v>
      </c>
      <c r="C1013" t="s">
        <v>19508</v>
      </c>
      <c r="D1013" t="s">
        <v>14360</v>
      </c>
    </row>
    <row r="1014" spans="1:4" x14ac:dyDescent="0.2">
      <c r="A1014" t="s">
        <v>2641</v>
      </c>
      <c r="B1014" t="s">
        <v>14359</v>
      </c>
      <c r="C1014" t="s">
        <v>19734</v>
      </c>
      <c r="D1014" t="s">
        <v>14360</v>
      </c>
    </row>
    <row r="1015" spans="1:4" x14ac:dyDescent="0.2">
      <c r="A1015" t="s">
        <v>1880</v>
      </c>
      <c r="B1015" t="s">
        <v>14359</v>
      </c>
      <c r="C1015" t="s">
        <v>19428</v>
      </c>
      <c r="D1015" t="s">
        <v>14360</v>
      </c>
    </row>
    <row r="1016" spans="1:4" x14ac:dyDescent="0.2">
      <c r="A1016" t="s">
        <v>13921</v>
      </c>
      <c r="B1016" t="s">
        <v>14359</v>
      </c>
      <c r="C1016" t="s">
        <v>20034</v>
      </c>
      <c r="D1016" t="s">
        <v>14360</v>
      </c>
    </row>
    <row r="1017" spans="1:4" x14ac:dyDescent="0.2">
      <c r="A1017" t="s">
        <v>1483</v>
      </c>
      <c r="B1017" t="s">
        <v>14359</v>
      </c>
      <c r="C1017" t="s">
        <v>19308</v>
      </c>
      <c r="D1017" t="s">
        <v>14360</v>
      </c>
    </row>
    <row r="1018" spans="1:4" x14ac:dyDescent="0.2">
      <c r="A1018" t="s">
        <v>13956</v>
      </c>
      <c r="B1018" t="s">
        <v>14359</v>
      </c>
      <c r="C1018" t="s">
        <v>8687</v>
      </c>
      <c r="D1018" t="s">
        <v>14360</v>
      </c>
    </row>
    <row r="1019" spans="1:4" x14ac:dyDescent="0.2">
      <c r="A1019" t="s">
        <v>13957</v>
      </c>
      <c r="B1019" t="s">
        <v>14359</v>
      </c>
      <c r="C1019" t="s">
        <v>8694</v>
      </c>
      <c r="D1019" t="s">
        <v>14360</v>
      </c>
    </row>
    <row r="1020" spans="1:4" x14ac:dyDescent="0.2">
      <c r="A1020" t="s">
        <v>13928</v>
      </c>
      <c r="B1020" t="s">
        <v>14359</v>
      </c>
      <c r="C1020" t="s">
        <v>8096</v>
      </c>
      <c r="D1020" t="s">
        <v>14360</v>
      </c>
    </row>
    <row r="1021" spans="1:4" x14ac:dyDescent="0.2">
      <c r="A1021" t="s">
        <v>14343</v>
      </c>
      <c r="B1021" t="s">
        <v>14359</v>
      </c>
      <c r="C1021" t="s">
        <v>20035</v>
      </c>
      <c r="D1021" t="s">
        <v>14360</v>
      </c>
    </row>
    <row r="1022" spans="1:4" x14ac:dyDescent="0.2">
      <c r="A1022" t="s">
        <v>1742</v>
      </c>
      <c r="B1022" t="s">
        <v>14359</v>
      </c>
      <c r="C1022" t="s">
        <v>19382</v>
      </c>
      <c r="D1022" t="s">
        <v>14360</v>
      </c>
    </row>
    <row r="1023" spans="1:4" x14ac:dyDescent="0.2">
      <c r="A1023" t="s">
        <v>2146</v>
      </c>
      <c r="B1023" t="s">
        <v>14359</v>
      </c>
      <c r="C1023" t="s">
        <v>19549</v>
      </c>
      <c r="D1023" t="s">
        <v>14360</v>
      </c>
    </row>
    <row r="1024" spans="1:4" x14ac:dyDescent="0.2">
      <c r="A1024" t="s">
        <v>1447</v>
      </c>
      <c r="B1024" t="s">
        <v>14359</v>
      </c>
      <c r="C1024" t="s">
        <v>19294</v>
      </c>
      <c r="D1024" t="s">
        <v>14360</v>
      </c>
    </row>
    <row r="1025" spans="1:4" x14ac:dyDescent="0.2">
      <c r="A1025" t="s">
        <v>1806</v>
      </c>
      <c r="B1025" t="s">
        <v>14359</v>
      </c>
      <c r="C1025" t="s">
        <v>19401</v>
      </c>
      <c r="D1025" t="s">
        <v>14360</v>
      </c>
    </row>
    <row r="1026" spans="1:4" x14ac:dyDescent="0.2">
      <c r="A1026" t="s">
        <v>2137</v>
      </c>
      <c r="B1026" t="s">
        <v>14359</v>
      </c>
      <c r="C1026" t="s">
        <v>19544</v>
      </c>
      <c r="D1026" t="s">
        <v>14360</v>
      </c>
    </row>
    <row r="1027" spans="1:4" x14ac:dyDescent="0.2">
      <c r="A1027" t="s">
        <v>1764</v>
      </c>
      <c r="B1027" t="s">
        <v>14359</v>
      </c>
      <c r="C1027" t="s">
        <v>19390</v>
      </c>
      <c r="D1027" t="s">
        <v>14360</v>
      </c>
    </row>
    <row r="1028" spans="1:4" x14ac:dyDescent="0.2">
      <c r="A1028" t="s">
        <v>1284</v>
      </c>
      <c r="B1028" t="s">
        <v>14359</v>
      </c>
      <c r="C1028" t="s">
        <v>19239</v>
      </c>
      <c r="D1028" t="s">
        <v>14360</v>
      </c>
    </row>
    <row r="1029" spans="1:4" x14ac:dyDescent="0.2">
      <c r="A1029" t="s">
        <v>1902</v>
      </c>
      <c r="B1029" t="s">
        <v>14359</v>
      </c>
      <c r="C1029" t="s">
        <v>19438</v>
      </c>
      <c r="D1029" t="s">
        <v>14360</v>
      </c>
    </row>
    <row r="1030" spans="1:4" x14ac:dyDescent="0.2">
      <c r="A1030" t="s">
        <v>2379</v>
      </c>
      <c r="B1030" t="s">
        <v>14359</v>
      </c>
      <c r="C1030" t="s">
        <v>19630</v>
      </c>
      <c r="D1030" t="s">
        <v>14360</v>
      </c>
    </row>
    <row r="1031" spans="1:4" x14ac:dyDescent="0.2">
      <c r="A1031" t="s">
        <v>14236</v>
      </c>
      <c r="B1031" t="s">
        <v>14359</v>
      </c>
      <c r="C1031" t="s">
        <v>20036</v>
      </c>
      <c r="D1031" t="s">
        <v>14360</v>
      </c>
    </row>
    <row r="1032" spans="1:4" x14ac:dyDescent="0.2">
      <c r="A1032" t="s">
        <v>14237</v>
      </c>
      <c r="B1032" t="s">
        <v>14359</v>
      </c>
      <c r="C1032" t="s">
        <v>20037</v>
      </c>
      <c r="D1032" t="s">
        <v>14360</v>
      </c>
    </row>
    <row r="1033" spans="1:4" x14ac:dyDescent="0.2">
      <c r="A1033" t="s">
        <v>14238</v>
      </c>
      <c r="B1033" t="s">
        <v>14359</v>
      </c>
      <c r="C1033" t="s">
        <v>20038</v>
      </c>
      <c r="D1033" t="s">
        <v>14360</v>
      </c>
    </row>
    <row r="1034" spans="1:4" x14ac:dyDescent="0.2">
      <c r="A1034" t="s">
        <v>13907</v>
      </c>
      <c r="B1034" t="s">
        <v>14359</v>
      </c>
      <c r="C1034" t="s">
        <v>20039</v>
      </c>
      <c r="D1034" t="s">
        <v>14360</v>
      </c>
    </row>
    <row r="1035" spans="1:4" x14ac:dyDescent="0.2">
      <c r="A1035" t="s">
        <v>1660</v>
      </c>
      <c r="B1035" t="s">
        <v>14359</v>
      </c>
      <c r="C1035" t="s">
        <v>19358</v>
      </c>
      <c r="D1035" t="s">
        <v>14360</v>
      </c>
    </row>
    <row r="1036" spans="1:4" x14ac:dyDescent="0.2">
      <c r="A1036" t="s">
        <v>14239</v>
      </c>
      <c r="B1036" t="s">
        <v>14359</v>
      </c>
      <c r="C1036" t="s">
        <v>20040</v>
      </c>
      <c r="D1036" t="s">
        <v>14360</v>
      </c>
    </row>
    <row r="1037" spans="1:4" x14ac:dyDescent="0.2">
      <c r="A1037" t="s">
        <v>13978</v>
      </c>
      <c r="B1037" t="s">
        <v>14359</v>
      </c>
      <c r="C1037" t="s">
        <v>20041</v>
      </c>
      <c r="D1037" t="s">
        <v>14360</v>
      </c>
    </row>
    <row r="1038" spans="1:4" x14ac:dyDescent="0.2">
      <c r="A1038" t="s">
        <v>1390</v>
      </c>
      <c r="B1038" t="s">
        <v>14359</v>
      </c>
      <c r="C1038" t="s">
        <v>19270</v>
      </c>
      <c r="D1038" t="s">
        <v>14360</v>
      </c>
    </row>
    <row r="1039" spans="1:4" x14ac:dyDescent="0.2">
      <c r="A1039" t="s">
        <v>1985</v>
      </c>
      <c r="B1039" t="s">
        <v>14359</v>
      </c>
      <c r="C1039" t="s">
        <v>19475</v>
      </c>
      <c r="D1039" t="s">
        <v>14360</v>
      </c>
    </row>
    <row r="1040" spans="1:4" x14ac:dyDescent="0.2">
      <c r="A1040" t="s">
        <v>13954</v>
      </c>
      <c r="B1040" t="s">
        <v>14359</v>
      </c>
      <c r="C1040" t="s">
        <v>20042</v>
      </c>
      <c r="D1040" t="s">
        <v>14360</v>
      </c>
    </row>
    <row r="1041" spans="1:4" x14ac:dyDescent="0.2">
      <c r="A1041" t="s">
        <v>628</v>
      </c>
      <c r="B1041" t="s">
        <v>14358</v>
      </c>
      <c r="C1041" t="s">
        <v>629</v>
      </c>
      <c r="D1041" t="s">
        <v>10686</v>
      </c>
    </row>
    <row r="1042" spans="1:4" x14ac:dyDescent="0.2">
      <c r="A1042" t="s">
        <v>637</v>
      </c>
      <c r="B1042" t="s">
        <v>14358</v>
      </c>
      <c r="C1042" t="s">
        <v>638</v>
      </c>
      <c r="D1042" t="s">
        <v>10689</v>
      </c>
    </row>
    <row r="1043" spans="1:4" x14ac:dyDescent="0.2">
      <c r="A1043" t="s">
        <v>13890</v>
      </c>
      <c r="B1043" t="s">
        <v>14359</v>
      </c>
      <c r="C1043" t="s">
        <v>20043</v>
      </c>
      <c r="D1043" t="s">
        <v>14360</v>
      </c>
    </row>
    <row r="1044" spans="1:4" x14ac:dyDescent="0.2">
      <c r="A1044" t="s">
        <v>13990</v>
      </c>
      <c r="B1044" t="s">
        <v>14359</v>
      </c>
      <c r="C1044" t="s">
        <v>20044</v>
      </c>
      <c r="D1044" t="s">
        <v>14360</v>
      </c>
    </row>
    <row r="1045" spans="1:4" x14ac:dyDescent="0.2">
      <c r="A1045" t="s">
        <v>2565</v>
      </c>
      <c r="B1045" t="s">
        <v>14359</v>
      </c>
      <c r="C1045" t="s">
        <v>19697</v>
      </c>
      <c r="D1045" t="s">
        <v>14360</v>
      </c>
    </row>
    <row r="1046" spans="1:4" x14ac:dyDescent="0.2">
      <c r="A1046" t="s">
        <v>2546</v>
      </c>
      <c r="B1046" t="s">
        <v>14359</v>
      </c>
      <c r="C1046" t="s">
        <v>19687</v>
      </c>
      <c r="D1046" t="s">
        <v>14360</v>
      </c>
    </row>
    <row r="1047" spans="1:4" x14ac:dyDescent="0.2">
      <c r="A1047" t="s">
        <v>3056</v>
      </c>
      <c r="B1047" t="s">
        <v>14359</v>
      </c>
      <c r="C1047" t="s">
        <v>19742</v>
      </c>
      <c r="D1047" t="s">
        <v>14360</v>
      </c>
    </row>
    <row r="1048" spans="1:4" x14ac:dyDescent="0.2">
      <c r="A1048" t="s">
        <v>1193</v>
      </c>
      <c r="B1048" t="s">
        <v>14359</v>
      </c>
      <c r="C1048" t="s">
        <v>19211</v>
      </c>
      <c r="D1048" t="s">
        <v>14360</v>
      </c>
    </row>
    <row r="1049" spans="1:4" x14ac:dyDescent="0.2">
      <c r="A1049" t="s">
        <v>14119</v>
      </c>
      <c r="B1049" t="s">
        <v>14359</v>
      </c>
      <c r="C1049" t="s">
        <v>20045</v>
      </c>
      <c r="D1049" t="s">
        <v>14360</v>
      </c>
    </row>
    <row r="1050" spans="1:4" x14ac:dyDescent="0.2">
      <c r="A1050" t="s">
        <v>13887</v>
      </c>
      <c r="B1050" t="s">
        <v>14359</v>
      </c>
      <c r="C1050" t="s">
        <v>20046</v>
      </c>
      <c r="D1050" t="s">
        <v>14360</v>
      </c>
    </row>
    <row r="1051" spans="1:4" x14ac:dyDescent="0.2">
      <c r="A1051" t="s">
        <v>1827</v>
      </c>
      <c r="B1051" t="s">
        <v>14359</v>
      </c>
      <c r="C1051" t="s">
        <v>19410</v>
      </c>
      <c r="D1051" t="s">
        <v>14360</v>
      </c>
    </row>
    <row r="1052" spans="1:4" x14ac:dyDescent="0.2">
      <c r="A1052" t="s">
        <v>1324</v>
      </c>
      <c r="B1052" t="s">
        <v>14359</v>
      </c>
      <c r="C1052" t="s">
        <v>19250</v>
      </c>
      <c r="D1052" t="s">
        <v>14360</v>
      </c>
    </row>
    <row r="1053" spans="1:4" x14ac:dyDescent="0.2">
      <c r="A1053" t="s">
        <v>14344</v>
      </c>
      <c r="B1053" t="s">
        <v>14359</v>
      </c>
      <c r="C1053" t="s">
        <v>20047</v>
      </c>
      <c r="D1053" t="s">
        <v>14360</v>
      </c>
    </row>
    <row r="1054" spans="1:4" x14ac:dyDescent="0.2">
      <c r="A1054" t="s">
        <v>2553</v>
      </c>
      <c r="B1054" t="s">
        <v>14359</v>
      </c>
      <c r="C1054" t="s">
        <v>19691</v>
      </c>
      <c r="D1054" t="s">
        <v>14360</v>
      </c>
    </row>
    <row r="1055" spans="1:4" x14ac:dyDescent="0.2">
      <c r="A1055" t="s">
        <v>2540</v>
      </c>
      <c r="B1055" t="s">
        <v>14359</v>
      </c>
      <c r="C1055" t="s">
        <v>19684</v>
      </c>
      <c r="D1055" t="s">
        <v>14360</v>
      </c>
    </row>
    <row r="1056" spans="1:4" x14ac:dyDescent="0.2">
      <c r="A1056" t="s">
        <v>14240</v>
      </c>
      <c r="B1056" t="s">
        <v>14359</v>
      </c>
      <c r="C1056" t="s">
        <v>20048</v>
      </c>
      <c r="D1056" t="s">
        <v>14360</v>
      </c>
    </row>
    <row r="1057" spans="1:4" x14ac:dyDescent="0.2">
      <c r="A1057" t="s">
        <v>14241</v>
      </c>
      <c r="B1057" t="s">
        <v>14359</v>
      </c>
      <c r="C1057" t="s">
        <v>20049</v>
      </c>
      <c r="D1057" t="s">
        <v>14360</v>
      </c>
    </row>
    <row r="1058" spans="1:4" x14ac:dyDescent="0.2">
      <c r="A1058" t="s">
        <v>14242</v>
      </c>
      <c r="B1058" t="s">
        <v>14359</v>
      </c>
      <c r="C1058" t="s">
        <v>20050</v>
      </c>
      <c r="D1058" t="s">
        <v>14360</v>
      </c>
    </row>
    <row r="1059" spans="1:4" x14ac:dyDescent="0.2">
      <c r="A1059" t="s">
        <v>2032</v>
      </c>
      <c r="B1059" t="s">
        <v>14359</v>
      </c>
      <c r="C1059" t="s">
        <v>19497</v>
      </c>
      <c r="D1059" t="s">
        <v>14360</v>
      </c>
    </row>
    <row r="1060" spans="1:4" x14ac:dyDescent="0.2">
      <c r="A1060" t="s">
        <v>13975</v>
      </c>
      <c r="B1060" t="s">
        <v>14359</v>
      </c>
      <c r="C1060" t="s">
        <v>20051</v>
      </c>
      <c r="D1060" t="s">
        <v>14360</v>
      </c>
    </row>
    <row r="1061" spans="1:4" x14ac:dyDescent="0.2">
      <c r="A1061" t="s">
        <v>1888</v>
      </c>
      <c r="B1061" t="s">
        <v>14359</v>
      </c>
      <c r="C1061" t="s">
        <v>19431</v>
      </c>
      <c r="D1061" t="s">
        <v>14360</v>
      </c>
    </row>
    <row r="1062" spans="1:4" x14ac:dyDescent="0.2">
      <c r="A1062" t="s">
        <v>13801</v>
      </c>
      <c r="B1062" t="s">
        <v>14359</v>
      </c>
      <c r="C1062" t="s">
        <v>20052</v>
      </c>
      <c r="D1062" t="s">
        <v>14360</v>
      </c>
    </row>
    <row r="1063" spans="1:4" x14ac:dyDescent="0.2">
      <c r="A1063" t="s">
        <v>1586</v>
      </c>
      <c r="B1063" t="s">
        <v>14359</v>
      </c>
      <c r="C1063" t="s">
        <v>19333</v>
      </c>
      <c r="D1063" t="s">
        <v>14360</v>
      </c>
    </row>
    <row r="1064" spans="1:4" x14ac:dyDescent="0.2">
      <c r="A1064" t="s">
        <v>14243</v>
      </c>
      <c r="B1064" t="s">
        <v>14359</v>
      </c>
      <c r="C1064" t="s">
        <v>20053</v>
      </c>
      <c r="D1064" t="s">
        <v>14360</v>
      </c>
    </row>
    <row r="1065" spans="1:4" x14ac:dyDescent="0.2">
      <c r="A1065" t="s">
        <v>14244</v>
      </c>
      <c r="B1065" t="s">
        <v>14359</v>
      </c>
      <c r="C1065" t="s">
        <v>20054</v>
      </c>
      <c r="D1065" t="s">
        <v>14360</v>
      </c>
    </row>
    <row r="1066" spans="1:4" x14ac:dyDescent="0.2">
      <c r="A1066" t="s">
        <v>14245</v>
      </c>
      <c r="B1066" t="s">
        <v>14359</v>
      </c>
      <c r="C1066" t="s">
        <v>20055</v>
      </c>
      <c r="D1066" t="s">
        <v>14360</v>
      </c>
    </row>
    <row r="1067" spans="1:4" x14ac:dyDescent="0.2">
      <c r="A1067" t="s">
        <v>14246</v>
      </c>
      <c r="B1067" t="s">
        <v>14359</v>
      </c>
      <c r="C1067" t="s">
        <v>20056</v>
      </c>
      <c r="D1067" t="s">
        <v>14360</v>
      </c>
    </row>
    <row r="1068" spans="1:4" x14ac:dyDescent="0.2">
      <c r="A1068" t="s">
        <v>14247</v>
      </c>
      <c r="B1068" t="s">
        <v>14359</v>
      </c>
      <c r="C1068" t="s">
        <v>20057</v>
      </c>
      <c r="D1068" t="s">
        <v>14360</v>
      </c>
    </row>
    <row r="1069" spans="1:4" x14ac:dyDescent="0.2">
      <c r="A1069" t="s">
        <v>14248</v>
      </c>
      <c r="B1069" t="s">
        <v>14359</v>
      </c>
      <c r="C1069" t="s">
        <v>20058</v>
      </c>
      <c r="D1069" t="s">
        <v>14360</v>
      </c>
    </row>
    <row r="1070" spans="1:4" x14ac:dyDescent="0.2">
      <c r="A1070" t="s">
        <v>14249</v>
      </c>
      <c r="B1070" t="s">
        <v>14359</v>
      </c>
      <c r="C1070" t="s">
        <v>20059</v>
      </c>
      <c r="D1070" t="s">
        <v>14360</v>
      </c>
    </row>
    <row r="1071" spans="1:4" x14ac:dyDescent="0.2">
      <c r="A1071" t="s">
        <v>14250</v>
      </c>
      <c r="B1071" t="s">
        <v>14359</v>
      </c>
      <c r="C1071" t="s">
        <v>20060</v>
      </c>
      <c r="D1071" t="s">
        <v>14360</v>
      </c>
    </row>
    <row r="1072" spans="1:4" x14ac:dyDescent="0.2">
      <c r="A1072" t="s">
        <v>14251</v>
      </c>
      <c r="B1072" t="s">
        <v>14359</v>
      </c>
      <c r="C1072" t="s">
        <v>20061</v>
      </c>
      <c r="D1072" t="s">
        <v>14360</v>
      </c>
    </row>
    <row r="1073" spans="1:4" x14ac:dyDescent="0.2">
      <c r="A1073" t="s">
        <v>14252</v>
      </c>
      <c r="B1073" t="s">
        <v>14359</v>
      </c>
      <c r="C1073" t="s">
        <v>20062</v>
      </c>
      <c r="D1073" t="s">
        <v>14360</v>
      </c>
    </row>
    <row r="1074" spans="1:4" x14ac:dyDescent="0.2">
      <c r="A1074" t="s">
        <v>14253</v>
      </c>
      <c r="B1074" t="s">
        <v>14359</v>
      </c>
      <c r="C1074" t="s">
        <v>20063</v>
      </c>
      <c r="D1074" t="s">
        <v>14360</v>
      </c>
    </row>
    <row r="1075" spans="1:4" x14ac:dyDescent="0.2">
      <c r="A1075" t="s">
        <v>14254</v>
      </c>
      <c r="B1075" t="s">
        <v>14359</v>
      </c>
      <c r="C1075" t="s">
        <v>20064</v>
      </c>
      <c r="D1075" t="s">
        <v>14360</v>
      </c>
    </row>
    <row r="1076" spans="1:4" x14ac:dyDescent="0.2">
      <c r="A1076" t="s">
        <v>14077</v>
      </c>
      <c r="B1076" t="s">
        <v>14359</v>
      </c>
      <c r="C1076" t="s">
        <v>19587</v>
      </c>
      <c r="D1076" t="s">
        <v>14360</v>
      </c>
    </row>
    <row r="1077" spans="1:4" x14ac:dyDescent="0.2">
      <c r="A1077" t="s">
        <v>1183</v>
      </c>
      <c r="B1077" t="s">
        <v>14359</v>
      </c>
      <c r="C1077" t="s">
        <v>19205</v>
      </c>
      <c r="D1077" t="s">
        <v>14360</v>
      </c>
    </row>
    <row r="1078" spans="1:4" x14ac:dyDescent="0.2">
      <c r="A1078" t="s">
        <v>1959</v>
      </c>
      <c r="B1078" t="s">
        <v>14359</v>
      </c>
      <c r="C1078" t="s">
        <v>19462</v>
      </c>
      <c r="D1078" t="s">
        <v>14360</v>
      </c>
    </row>
    <row r="1079" spans="1:4" x14ac:dyDescent="0.2">
      <c r="A1079" t="s">
        <v>1640</v>
      </c>
      <c r="B1079" t="s">
        <v>14359</v>
      </c>
      <c r="C1079" t="s">
        <v>19350</v>
      </c>
      <c r="D1079" t="s">
        <v>14360</v>
      </c>
    </row>
    <row r="1080" spans="1:4" x14ac:dyDescent="0.2">
      <c r="A1080" t="s">
        <v>13899</v>
      </c>
      <c r="B1080" t="s">
        <v>14359</v>
      </c>
      <c r="C1080" t="s">
        <v>20065</v>
      </c>
      <c r="D1080" t="s">
        <v>14360</v>
      </c>
    </row>
    <row r="1081" spans="1:4" x14ac:dyDescent="0.2">
      <c r="A1081" t="s">
        <v>2339</v>
      </c>
      <c r="B1081" t="s">
        <v>14359</v>
      </c>
      <c r="C1081" t="s">
        <v>19616</v>
      </c>
      <c r="D1081" t="s">
        <v>14360</v>
      </c>
    </row>
    <row r="1082" spans="1:4" x14ac:dyDescent="0.2">
      <c r="A1082" t="s">
        <v>1159</v>
      </c>
      <c r="B1082" t="s">
        <v>14359</v>
      </c>
      <c r="C1082" t="s">
        <v>19197</v>
      </c>
      <c r="D1082" t="s">
        <v>14360</v>
      </c>
    </row>
    <row r="1083" spans="1:4" x14ac:dyDescent="0.2">
      <c r="A1083" t="s">
        <v>13915</v>
      </c>
      <c r="B1083" t="s">
        <v>14359</v>
      </c>
      <c r="C1083" t="s">
        <v>20066</v>
      </c>
      <c r="D1083" t="s">
        <v>14360</v>
      </c>
    </row>
    <row r="1084" spans="1:4" x14ac:dyDescent="0.2">
      <c r="A1084" t="s">
        <v>2653</v>
      </c>
      <c r="B1084" t="s">
        <v>14359</v>
      </c>
      <c r="C1084" t="s">
        <v>19738</v>
      </c>
      <c r="D1084" t="s">
        <v>14360</v>
      </c>
    </row>
    <row r="1085" spans="1:4" x14ac:dyDescent="0.2">
      <c r="A1085" t="s">
        <v>2308</v>
      </c>
      <c r="B1085" t="s">
        <v>14359</v>
      </c>
      <c r="C1085" t="s">
        <v>19605</v>
      </c>
      <c r="D1085" t="s">
        <v>14360</v>
      </c>
    </row>
    <row r="1086" spans="1:4" x14ac:dyDescent="0.2">
      <c r="A1086" t="s">
        <v>14121</v>
      </c>
      <c r="B1086" t="s">
        <v>14359</v>
      </c>
      <c r="C1086" t="s">
        <v>20118</v>
      </c>
      <c r="D1086" t="s">
        <v>14360</v>
      </c>
    </row>
    <row r="1087" spans="1:4" x14ac:dyDescent="0.2">
      <c r="A1087" t="s">
        <v>2013</v>
      </c>
      <c r="B1087" t="s">
        <v>14359</v>
      </c>
      <c r="C1087" t="s">
        <v>19488</v>
      </c>
      <c r="D1087" t="s">
        <v>14360</v>
      </c>
    </row>
    <row r="1088" spans="1:4" x14ac:dyDescent="0.2">
      <c r="A1088" t="s">
        <v>2148</v>
      </c>
      <c r="B1088" t="s">
        <v>14359</v>
      </c>
      <c r="C1088" t="s">
        <v>19550</v>
      </c>
      <c r="D1088" t="s">
        <v>14360</v>
      </c>
    </row>
    <row r="1089" spans="1:4" x14ac:dyDescent="0.2">
      <c r="A1089" t="s">
        <v>14345</v>
      </c>
      <c r="B1089" t="s">
        <v>14359</v>
      </c>
      <c r="C1089" t="s">
        <v>20067</v>
      </c>
      <c r="D1089" t="s">
        <v>14360</v>
      </c>
    </row>
    <row r="1090" spans="1:4" x14ac:dyDescent="0.2">
      <c r="A1090" t="s">
        <v>13961</v>
      </c>
      <c r="B1090" t="s">
        <v>14359</v>
      </c>
      <c r="C1090" t="s">
        <v>19424</v>
      </c>
      <c r="D1090" t="s">
        <v>14360</v>
      </c>
    </row>
    <row r="1091" spans="1:4" x14ac:dyDescent="0.2">
      <c r="A1091" t="s">
        <v>1388</v>
      </c>
      <c r="B1091" t="s">
        <v>14359</v>
      </c>
      <c r="C1091" t="s">
        <v>19269</v>
      </c>
      <c r="D1091" t="s">
        <v>14360</v>
      </c>
    </row>
    <row r="1092" spans="1:4" x14ac:dyDescent="0.2">
      <c r="A1092" t="s">
        <v>1113</v>
      </c>
      <c r="B1092" t="s">
        <v>14359</v>
      </c>
      <c r="C1092" t="s">
        <v>19179</v>
      </c>
      <c r="D1092" t="s">
        <v>14360</v>
      </c>
    </row>
    <row r="1093" spans="1:4" x14ac:dyDescent="0.2">
      <c r="A1093" t="s">
        <v>1808</v>
      </c>
      <c r="B1093" t="s">
        <v>14359</v>
      </c>
      <c r="C1093" t="s">
        <v>19402</v>
      </c>
      <c r="D1093" t="s">
        <v>14360</v>
      </c>
    </row>
    <row r="1094" spans="1:4" x14ac:dyDescent="0.2">
      <c r="A1094" t="s">
        <v>1955</v>
      </c>
      <c r="B1094" t="s">
        <v>14359</v>
      </c>
      <c r="C1094" t="s">
        <v>19460</v>
      </c>
      <c r="D1094" t="s">
        <v>14360</v>
      </c>
    </row>
    <row r="1095" spans="1:4" x14ac:dyDescent="0.2">
      <c r="A1095" t="s">
        <v>1378</v>
      </c>
      <c r="B1095" t="s">
        <v>14359</v>
      </c>
      <c r="C1095" t="s">
        <v>19267</v>
      </c>
      <c r="D1095" t="s">
        <v>14360</v>
      </c>
    </row>
    <row r="1096" spans="1:4" x14ac:dyDescent="0.2">
      <c r="A1096" t="s">
        <v>13767</v>
      </c>
      <c r="B1096" t="s">
        <v>14359</v>
      </c>
      <c r="C1096" t="s">
        <v>648</v>
      </c>
      <c r="D1096" t="s">
        <v>14360</v>
      </c>
    </row>
    <row r="1097" spans="1:4" x14ac:dyDescent="0.2">
      <c r="A1097" t="s">
        <v>650</v>
      </c>
      <c r="B1097" t="s">
        <v>14358</v>
      </c>
      <c r="C1097" t="s">
        <v>648</v>
      </c>
      <c r="D1097" t="s">
        <v>648</v>
      </c>
    </row>
    <row r="1098" spans="1:4" x14ac:dyDescent="0.2">
      <c r="A1098" t="s">
        <v>13918</v>
      </c>
      <c r="B1098" t="s">
        <v>14359</v>
      </c>
      <c r="C1098" t="s">
        <v>20068</v>
      </c>
      <c r="D1098" t="s">
        <v>14360</v>
      </c>
    </row>
    <row r="1099" spans="1:4" x14ac:dyDescent="0.2">
      <c r="A1099" t="s">
        <v>1179</v>
      </c>
      <c r="B1099" t="s">
        <v>14359</v>
      </c>
      <c r="C1099" t="s">
        <v>19203</v>
      </c>
      <c r="D1099" t="s">
        <v>14360</v>
      </c>
    </row>
    <row r="1100" spans="1:4" x14ac:dyDescent="0.2">
      <c r="A1100" t="s">
        <v>2501</v>
      </c>
      <c r="B1100" t="s">
        <v>14359</v>
      </c>
      <c r="C1100" t="s">
        <v>19668</v>
      </c>
      <c r="D1100" t="s">
        <v>14360</v>
      </c>
    </row>
    <row r="1101" spans="1:4" x14ac:dyDescent="0.2">
      <c r="A1101" t="s">
        <v>2548</v>
      </c>
      <c r="B1101" t="s">
        <v>14359</v>
      </c>
      <c r="C1101" t="s">
        <v>19688</v>
      </c>
      <c r="D1101" t="s">
        <v>14360</v>
      </c>
    </row>
    <row r="1102" spans="1:4" x14ac:dyDescent="0.2">
      <c r="A1102" t="s">
        <v>655</v>
      </c>
      <c r="B1102" t="s">
        <v>14358</v>
      </c>
      <c r="C1102" t="s">
        <v>19766</v>
      </c>
      <c r="D1102" t="s">
        <v>653</v>
      </c>
    </row>
    <row r="1103" spans="1:4" x14ac:dyDescent="0.2">
      <c r="A1103" t="s">
        <v>13768</v>
      </c>
      <c r="B1103" t="s">
        <v>14359</v>
      </c>
      <c r="C1103" t="s">
        <v>20119</v>
      </c>
      <c r="D1103" t="s">
        <v>14360</v>
      </c>
    </row>
    <row r="1104" spans="1:4" x14ac:dyDescent="0.2">
      <c r="A1104" t="s">
        <v>2343</v>
      </c>
      <c r="B1104" t="s">
        <v>14359</v>
      </c>
      <c r="C1104" t="s">
        <v>19617</v>
      </c>
      <c r="D1104" t="s">
        <v>14360</v>
      </c>
    </row>
    <row r="1105" spans="1:4" x14ac:dyDescent="0.2">
      <c r="A1105" t="s">
        <v>664</v>
      </c>
      <c r="B1105" t="s">
        <v>14358</v>
      </c>
      <c r="C1105" t="s">
        <v>19771</v>
      </c>
      <c r="D1105" t="s">
        <v>11237</v>
      </c>
    </row>
    <row r="1106" spans="1:4" x14ac:dyDescent="0.2">
      <c r="A1106" t="s">
        <v>669</v>
      </c>
      <c r="B1106" t="s">
        <v>14358</v>
      </c>
      <c r="C1106" t="s">
        <v>668</v>
      </c>
      <c r="D1106" t="s">
        <v>10600</v>
      </c>
    </row>
    <row r="1107" spans="1:4" x14ac:dyDescent="0.2">
      <c r="A1107" t="s">
        <v>672</v>
      </c>
      <c r="B1107" t="s">
        <v>14358</v>
      </c>
      <c r="C1107" t="s">
        <v>671</v>
      </c>
      <c r="D1107" t="s">
        <v>11150</v>
      </c>
    </row>
    <row r="1108" spans="1:4" x14ac:dyDescent="0.2">
      <c r="A1108" t="s">
        <v>676</v>
      </c>
      <c r="B1108" t="s">
        <v>14358</v>
      </c>
      <c r="C1108" t="s">
        <v>675</v>
      </c>
      <c r="D1108" t="s">
        <v>11176</v>
      </c>
    </row>
    <row r="1109" spans="1:4" x14ac:dyDescent="0.2">
      <c r="A1109" t="s">
        <v>680</v>
      </c>
      <c r="B1109" t="s">
        <v>14358</v>
      </c>
      <c r="C1109" t="s">
        <v>679</v>
      </c>
      <c r="D1109" t="s">
        <v>11169</v>
      </c>
    </row>
    <row r="1110" spans="1:4" x14ac:dyDescent="0.2">
      <c r="A1110" t="s">
        <v>684</v>
      </c>
      <c r="B1110" t="s">
        <v>14358</v>
      </c>
      <c r="C1110" t="s">
        <v>683</v>
      </c>
      <c r="D1110" t="s">
        <v>11229</v>
      </c>
    </row>
    <row r="1111" spans="1:4" x14ac:dyDescent="0.2">
      <c r="A1111" t="s">
        <v>687</v>
      </c>
      <c r="B1111" t="s">
        <v>14358</v>
      </c>
      <c r="C1111" t="s">
        <v>686</v>
      </c>
      <c r="D1111" t="s">
        <v>10597</v>
      </c>
    </row>
    <row r="1112" spans="1:4" x14ac:dyDescent="0.2">
      <c r="A1112" t="s">
        <v>691</v>
      </c>
      <c r="B1112" t="s">
        <v>14358</v>
      </c>
      <c r="C1112" t="s">
        <v>690</v>
      </c>
      <c r="D1112" t="s">
        <v>11273</v>
      </c>
    </row>
    <row r="1113" spans="1:4" x14ac:dyDescent="0.2">
      <c r="A1113" t="s">
        <v>695</v>
      </c>
      <c r="B1113" t="s">
        <v>14358</v>
      </c>
      <c r="C1113" t="s">
        <v>694</v>
      </c>
      <c r="D1113" t="s">
        <v>11207</v>
      </c>
    </row>
    <row r="1114" spans="1:4" x14ac:dyDescent="0.2">
      <c r="A1114" t="s">
        <v>699</v>
      </c>
      <c r="B1114" t="s">
        <v>14358</v>
      </c>
      <c r="C1114" t="s">
        <v>698</v>
      </c>
      <c r="D1114" t="s">
        <v>11247</v>
      </c>
    </row>
    <row r="1115" spans="1:4" x14ac:dyDescent="0.2">
      <c r="A1115" t="s">
        <v>703</v>
      </c>
      <c r="B1115" t="s">
        <v>14358</v>
      </c>
      <c r="C1115" t="s">
        <v>702</v>
      </c>
      <c r="D1115" t="s">
        <v>11131</v>
      </c>
    </row>
    <row r="1116" spans="1:4" x14ac:dyDescent="0.2">
      <c r="A1116" t="s">
        <v>707</v>
      </c>
      <c r="B1116" t="s">
        <v>14358</v>
      </c>
      <c r="C1116" t="s">
        <v>706</v>
      </c>
      <c r="D1116" t="s">
        <v>11224</v>
      </c>
    </row>
    <row r="1117" spans="1:4" x14ac:dyDescent="0.2">
      <c r="A1117" t="s">
        <v>711</v>
      </c>
      <c r="B1117" t="s">
        <v>14358</v>
      </c>
      <c r="C1117" t="s">
        <v>710</v>
      </c>
      <c r="D1117" t="s">
        <v>11252</v>
      </c>
    </row>
    <row r="1118" spans="1:4" x14ac:dyDescent="0.2">
      <c r="A1118" t="s">
        <v>715</v>
      </c>
      <c r="B1118" t="s">
        <v>14358</v>
      </c>
      <c r="C1118" t="s">
        <v>714</v>
      </c>
      <c r="D1118" t="s">
        <v>11125</v>
      </c>
    </row>
    <row r="1119" spans="1:4" x14ac:dyDescent="0.2">
      <c r="A1119" t="s">
        <v>719</v>
      </c>
      <c r="B1119" t="s">
        <v>14358</v>
      </c>
      <c r="C1119" t="s">
        <v>718</v>
      </c>
      <c r="D1119" t="s">
        <v>11257</v>
      </c>
    </row>
    <row r="1120" spans="1:4" x14ac:dyDescent="0.2">
      <c r="A1120" t="s">
        <v>723</v>
      </c>
      <c r="B1120" t="s">
        <v>14358</v>
      </c>
      <c r="C1120" t="s">
        <v>722</v>
      </c>
      <c r="D1120" t="s">
        <v>11188</v>
      </c>
    </row>
    <row r="1121" spans="1:4" x14ac:dyDescent="0.2">
      <c r="A1121" t="s">
        <v>726</v>
      </c>
      <c r="B1121" t="s">
        <v>14358</v>
      </c>
      <c r="C1121" t="s">
        <v>19880</v>
      </c>
      <c r="D1121" t="s">
        <v>10594</v>
      </c>
    </row>
    <row r="1122" spans="1:4" x14ac:dyDescent="0.2">
      <c r="A1122" t="s">
        <v>730</v>
      </c>
      <c r="B1122" t="s">
        <v>14358</v>
      </c>
      <c r="C1122" t="s">
        <v>729</v>
      </c>
      <c r="D1122" t="s">
        <v>13685</v>
      </c>
    </row>
    <row r="1123" spans="1:4" x14ac:dyDescent="0.2">
      <c r="A1123" t="s">
        <v>734</v>
      </c>
      <c r="B1123" t="s">
        <v>14358</v>
      </c>
      <c r="C1123" t="s">
        <v>733</v>
      </c>
      <c r="D1123" t="s">
        <v>13681</v>
      </c>
    </row>
    <row r="1124" spans="1:4" x14ac:dyDescent="0.2">
      <c r="A1124" t="s">
        <v>738</v>
      </c>
      <c r="B1124" t="s">
        <v>14358</v>
      </c>
      <c r="C1124" t="s">
        <v>737</v>
      </c>
      <c r="D1124" t="s">
        <v>13580</v>
      </c>
    </row>
    <row r="1125" spans="1:4" x14ac:dyDescent="0.2">
      <c r="A1125" t="s">
        <v>742</v>
      </c>
      <c r="B1125" t="s">
        <v>14358</v>
      </c>
      <c r="C1125" t="s">
        <v>741</v>
      </c>
      <c r="D1125" t="s">
        <v>13594</v>
      </c>
    </row>
    <row r="1126" spans="1:4" x14ac:dyDescent="0.2">
      <c r="A1126" t="s">
        <v>746</v>
      </c>
      <c r="B1126" t="s">
        <v>14358</v>
      </c>
      <c r="C1126" t="s">
        <v>745</v>
      </c>
      <c r="D1126" t="s">
        <v>13714</v>
      </c>
    </row>
    <row r="1127" spans="1:4" x14ac:dyDescent="0.2">
      <c r="A1127" t="s">
        <v>750</v>
      </c>
      <c r="B1127" t="s">
        <v>14358</v>
      </c>
      <c r="C1127" t="s">
        <v>749</v>
      </c>
      <c r="D1127" t="s">
        <v>13518</v>
      </c>
    </row>
    <row r="1128" spans="1:4" x14ac:dyDescent="0.2">
      <c r="A1128" t="s">
        <v>754</v>
      </c>
      <c r="B1128" t="s">
        <v>14358</v>
      </c>
      <c r="C1128" t="s">
        <v>753</v>
      </c>
      <c r="D1128" t="s">
        <v>13556</v>
      </c>
    </row>
    <row r="1129" spans="1:4" x14ac:dyDescent="0.2">
      <c r="A1129" t="s">
        <v>758</v>
      </c>
      <c r="B1129" t="s">
        <v>14358</v>
      </c>
      <c r="C1129" t="s">
        <v>757</v>
      </c>
      <c r="D1129" t="s">
        <v>13629</v>
      </c>
    </row>
    <row r="1130" spans="1:4" x14ac:dyDescent="0.2">
      <c r="A1130" t="s">
        <v>762</v>
      </c>
      <c r="B1130" t="s">
        <v>14358</v>
      </c>
      <c r="C1130" t="s">
        <v>761</v>
      </c>
      <c r="D1130" t="s">
        <v>13540</v>
      </c>
    </row>
    <row r="1131" spans="1:4" x14ac:dyDescent="0.2">
      <c r="A1131" t="s">
        <v>766</v>
      </c>
      <c r="B1131" t="s">
        <v>14358</v>
      </c>
      <c r="C1131" t="s">
        <v>765</v>
      </c>
      <c r="D1131" t="s">
        <v>13551</v>
      </c>
    </row>
    <row r="1132" spans="1:4" x14ac:dyDescent="0.2">
      <c r="A1132" t="s">
        <v>770</v>
      </c>
      <c r="B1132" t="s">
        <v>14358</v>
      </c>
      <c r="C1132" t="s">
        <v>769</v>
      </c>
      <c r="D1132" t="s">
        <v>13652</v>
      </c>
    </row>
    <row r="1133" spans="1:4" x14ac:dyDescent="0.2">
      <c r="A1133" t="s">
        <v>774</v>
      </c>
      <c r="B1133" t="s">
        <v>14358</v>
      </c>
      <c r="C1133" t="s">
        <v>773</v>
      </c>
      <c r="D1133" t="s">
        <v>13608</v>
      </c>
    </row>
    <row r="1134" spans="1:4" x14ac:dyDescent="0.2">
      <c r="A1134" t="s">
        <v>778</v>
      </c>
      <c r="B1134" t="s">
        <v>14358</v>
      </c>
      <c r="C1134" t="s">
        <v>777</v>
      </c>
      <c r="D1134" t="s">
        <v>13620</v>
      </c>
    </row>
    <row r="1135" spans="1:4" x14ac:dyDescent="0.2">
      <c r="A1135" t="s">
        <v>782</v>
      </c>
      <c r="B1135" t="s">
        <v>14358</v>
      </c>
      <c r="C1135" t="s">
        <v>781</v>
      </c>
      <c r="D1135" t="s">
        <v>13437</v>
      </c>
    </row>
    <row r="1136" spans="1:4" x14ac:dyDescent="0.2">
      <c r="A1136" t="s">
        <v>2575</v>
      </c>
      <c r="B1136" t="s">
        <v>14359</v>
      </c>
      <c r="C1136" t="s">
        <v>19701</v>
      </c>
      <c r="D1136" t="s">
        <v>14360</v>
      </c>
    </row>
    <row r="1137" spans="1:4" x14ac:dyDescent="0.2">
      <c r="A1137" t="s">
        <v>2345</v>
      </c>
      <c r="B1137" t="s">
        <v>14359</v>
      </c>
      <c r="C1137" t="s">
        <v>19618</v>
      </c>
      <c r="D1137" t="s">
        <v>14360</v>
      </c>
    </row>
    <row r="1138" spans="1:4" x14ac:dyDescent="0.2">
      <c r="A1138" t="s">
        <v>14078</v>
      </c>
      <c r="B1138" t="s">
        <v>14359</v>
      </c>
      <c r="C1138" t="s">
        <v>19584</v>
      </c>
      <c r="D1138" t="s">
        <v>14360</v>
      </c>
    </row>
    <row r="1139" spans="1:4" x14ac:dyDescent="0.2">
      <c r="A1139" t="s">
        <v>13807</v>
      </c>
      <c r="B1139" t="s">
        <v>14359</v>
      </c>
      <c r="C1139" t="s">
        <v>20120</v>
      </c>
      <c r="D1139" t="s">
        <v>14360</v>
      </c>
    </row>
    <row r="1140" spans="1:4" x14ac:dyDescent="0.2">
      <c r="A1140" t="s">
        <v>13832</v>
      </c>
      <c r="B1140" t="s">
        <v>14359</v>
      </c>
      <c r="C1140" t="s">
        <v>20069</v>
      </c>
      <c r="D1140" t="s">
        <v>14360</v>
      </c>
    </row>
    <row r="1141" spans="1:4" x14ac:dyDescent="0.2">
      <c r="A1141" t="s">
        <v>2369</v>
      </c>
      <c r="B1141" t="s">
        <v>14359</v>
      </c>
      <c r="C1141" t="s">
        <v>19626</v>
      </c>
      <c r="D1141" t="s">
        <v>14360</v>
      </c>
    </row>
    <row r="1142" spans="1:4" x14ac:dyDescent="0.2">
      <c r="A1142" t="s">
        <v>1302</v>
      </c>
      <c r="B1142" t="s">
        <v>14359</v>
      </c>
      <c r="C1142" t="s">
        <v>19243</v>
      </c>
      <c r="D1142" t="s">
        <v>14360</v>
      </c>
    </row>
    <row r="1143" spans="1:4" x14ac:dyDescent="0.2">
      <c r="A1143" t="s">
        <v>786</v>
      </c>
      <c r="B1143" t="s">
        <v>14358</v>
      </c>
      <c r="C1143" t="s">
        <v>785</v>
      </c>
      <c r="D1143" t="s">
        <v>787</v>
      </c>
    </row>
    <row r="1144" spans="1:4" x14ac:dyDescent="0.2">
      <c r="A1144" t="s">
        <v>13965</v>
      </c>
      <c r="B1144" t="s">
        <v>14359</v>
      </c>
      <c r="C1144" t="s">
        <v>20070</v>
      </c>
      <c r="D1144" t="s">
        <v>14360</v>
      </c>
    </row>
    <row r="1145" spans="1:4" x14ac:dyDescent="0.2">
      <c r="A1145" t="s">
        <v>1665</v>
      </c>
      <c r="B1145" t="s">
        <v>14359</v>
      </c>
      <c r="C1145" t="s">
        <v>19361</v>
      </c>
      <c r="D1145" t="s">
        <v>14360</v>
      </c>
    </row>
    <row r="1146" spans="1:4" x14ac:dyDescent="0.2">
      <c r="A1146" t="s">
        <v>13948</v>
      </c>
      <c r="B1146" t="s">
        <v>14359</v>
      </c>
      <c r="C1146" t="s">
        <v>20071</v>
      </c>
      <c r="D1146" t="s">
        <v>14360</v>
      </c>
    </row>
    <row r="1147" spans="1:4" x14ac:dyDescent="0.2">
      <c r="A1147" t="s">
        <v>1517</v>
      </c>
      <c r="B1147" t="s">
        <v>14359</v>
      </c>
      <c r="C1147" t="s">
        <v>19316</v>
      </c>
      <c r="D1147" t="s">
        <v>14360</v>
      </c>
    </row>
    <row r="1148" spans="1:4" x14ac:dyDescent="0.2">
      <c r="A1148" t="s">
        <v>1557</v>
      </c>
      <c r="B1148" t="s">
        <v>14359</v>
      </c>
      <c r="C1148" t="s">
        <v>19326</v>
      </c>
      <c r="D1148" t="s">
        <v>14360</v>
      </c>
    </row>
    <row r="1149" spans="1:4" x14ac:dyDescent="0.2">
      <c r="A1149" t="s">
        <v>14071</v>
      </c>
      <c r="B1149" t="s">
        <v>14359</v>
      </c>
      <c r="C1149" t="s">
        <v>19588</v>
      </c>
      <c r="D1149" t="s">
        <v>14360</v>
      </c>
    </row>
    <row r="1150" spans="1:4" x14ac:dyDescent="0.2">
      <c r="A1150" t="s">
        <v>14070</v>
      </c>
      <c r="B1150" t="s">
        <v>14359</v>
      </c>
      <c r="C1150" t="s">
        <v>19591</v>
      </c>
      <c r="D1150" t="s">
        <v>14360</v>
      </c>
    </row>
    <row r="1151" spans="1:4" x14ac:dyDescent="0.2">
      <c r="A1151" t="s">
        <v>1581</v>
      </c>
      <c r="B1151" t="s">
        <v>14359</v>
      </c>
      <c r="C1151" t="s">
        <v>19332</v>
      </c>
      <c r="D1151" t="s">
        <v>14360</v>
      </c>
    </row>
    <row r="1152" spans="1:4" x14ac:dyDescent="0.2">
      <c r="A1152" t="s">
        <v>2573</v>
      </c>
      <c r="B1152" t="s">
        <v>14359</v>
      </c>
      <c r="C1152" t="s">
        <v>19700</v>
      </c>
      <c r="D1152" t="s">
        <v>14360</v>
      </c>
    </row>
    <row r="1153" spans="1:4" x14ac:dyDescent="0.2">
      <c r="A1153" t="s">
        <v>1260</v>
      </c>
      <c r="B1153" t="s">
        <v>14359</v>
      </c>
      <c r="C1153" t="s">
        <v>19229</v>
      </c>
      <c r="D1153" t="s">
        <v>14360</v>
      </c>
    </row>
    <row r="1154" spans="1:4" x14ac:dyDescent="0.2">
      <c r="A1154" t="s">
        <v>13942</v>
      </c>
      <c r="B1154" t="s">
        <v>14359</v>
      </c>
      <c r="C1154" t="s">
        <v>20072</v>
      </c>
      <c r="D1154" t="s">
        <v>14360</v>
      </c>
    </row>
    <row r="1155" spans="1:4" x14ac:dyDescent="0.2">
      <c r="A1155" t="s">
        <v>2577</v>
      </c>
      <c r="B1155" t="s">
        <v>14359</v>
      </c>
      <c r="C1155" t="s">
        <v>19702</v>
      </c>
      <c r="D1155" t="s">
        <v>14360</v>
      </c>
    </row>
    <row r="1156" spans="1:4" x14ac:dyDescent="0.2">
      <c r="A1156" t="s">
        <v>1674</v>
      </c>
      <c r="B1156" t="s">
        <v>14359</v>
      </c>
      <c r="C1156" t="s">
        <v>19366</v>
      </c>
      <c r="D1156" t="s">
        <v>14360</v>
      </c>
    </row>
    <row r="1157" spans="1:4" x14ac:dyDescent="0.2">
      <c r="A1157" t="s">
        <v>1262</v>
      </c>
      <c r="B1157" t="s">
        <v>14359</v>
      </c>
      <c r="C1157" t="s">
        <v>19230</v>
      </c>
      <c r="D1157" t="s">
        <v>14360</v>
      </c>
    </row>
    <row r="1158" spans="1:4" x14ac:dyDescent="0.2">
      <c r="A1158" t="s">
        <v>1256</v>
      </c>
      <c r="B1158" t="s">
        <v>14359</v>
      </c>
      <c r="C1158" t="s">
        <v>19227</v>
      </c>
      <c r="D1158" t="s">
        <v>14360</v>
      </c>
    </row>
    <row r="1159" spans="1:4" x14ac:dyDescent="0.2">
      <c r="A1159" t="s">
        <v>13951</v>
      </c>
      <c r="B1159" t="s">
        <v>14359</v>
      </c>
      <c r="C1159" t="s">
        <v>20073</v>
      </c>
      <c r="D1159" t="s">
        <v>14360</v>
      </c>
    </row>
    <row r="1160" spans="1:4" x14ac:dyDescent="0.2">
      <c r="A1160" t="s">
        <v>1817</v>
      </c>
      <c r="B1160" t="s">
        <v>14359</v>
      </c>
      <c r="C1160" t="s">
        <v>19407</v>
      </c>
      <c r="D1160" t="s">
        <v>14360</v>
      </c>
    </row>
    <row r="1161" spans="1:4" x14ac:dyDescent="0.2">
      <c r="A1161" t="s">
        <v>2625</v>
      </c>
      <c r="B1161" t="s">
        <v>14359</v>
      </c>
      <c r="C1161" t="s">
        <v>19726</v>
      </c>
      <c r="D1161" t="s">
        <v>14360</v>
      </c>
    </row>
    <row r="1162" spans="1:4" x14ac:dyDescent="0.2">
      <c r="A1162" t="s">
        <v>1248</v>
      </c>
      <c r="B1162" t="s">
        <v>14359</v>
      </c>
      <c r="C1162" t="s">
        <v>19225</v>
      </c>
      <c r="D1162" t="s">
        <v>14360</v>
      </c>
    </row>
    <row r="1163" spans="1:4" x14ac:dyDescent="0.2">
      <c r="A1163" t="s">
        <v>1487</v>
      </c>
      <c r="B1163" t="s">
        <v>14359</v>
      </c>
      <c r="C1163" t="s">
        <v>19309</v>
      </c>
      <c r="D1163" t="s">
        <v>14360</v>
      </c>
    </row>
    <row r="1164" spans="1:4" x14ac:dyDescent="0.2">
      <c r="A1164" t="s">
        <v>13779</v>
      </c>
      <c r="B1164" t="s">
        <v>14359</v>
      </c>
      <c r="C1164" t="s">
        <v>797</v>
      </c>
      <c r="D1164" t="s">
        <v>14360</v>
      </c>
    </row>
    <row r="1165" spans="1:4" x14ac:dyDescent="0.2">
      <c r="A1165" t="s">
        <v>799</v>
      </c>
      <c r="B1165" t="s">
        <v>14358</v>
      </c>
      <c r="C1165" t="s">
        <v>797</v>
      </c>
      <c r="D1165" t="s">
        <v>797</v>
      </c>
    </row>
    <row r="1166" spans="1:4" x14ac:dyDescent="0.2">
      <c r="A1166" t="s">
        <v>13900</v>
      </c>
      <c r="B1166" t="s">
        <v>14359</v>
      </c>
      <c r="C1166" t="s">
        <v>20074</v>
      </c>
      <c r="D1166" t="s">
        <v>14360</v>
      </c>
    </row>
    <row r="1167" spans="1:4" x14ac:dyDescent="0.2">
      <c r="A1167" t="s">
        <v>1142</v>
      </c>
      <c r="B1167" t="s">
        <v>14359</v>
      </c>
      <c r="C1167" t="s">
        <v>19190</v>
      </c>
      <c r="D1167" t="s">
        <v>14360</v>
      </c>
    </row>
    <row r="1168" spans="1:4" x14ac:dyDescent="0.2">
      <c r="A1168" t="s">
        <v>13906</v>
      </c>
      <c r="B1168" t="s">
        <v>14359</v>
      </c>
      <c r="C1168" t="s">
        <v>20075</v>
      </c>
      <c r="D1168" t="s">
        <v>14360</v>
      </c>
    </row>
    <row r="1169" spans="1:4" x14ac:dyDescent="0.2">
      <c r="A1169" t="s">
        <v>2469</v>
      </c>
      <c r="B1169" t="s">
        <v>14359</v>
      </c>
      <c r="C1169" t="s">
        <v>19653</v>
      </c>
      <c r="D1169" t="s">
        <v>14360</v>
      </c>
    </row>
    <row r="1170" spans="1:4" x14ac:dyDescent="0.2">
      <c r="A1170" t="s">
        <v>13893</v>
      </c>
      <c r="B1170" t="s">
        <v>14359</v>
      </c>
      <c r="C1170" t="s">
        <v>20076</v>
      </c>
      <c r="D1170" t="s">
        <v>14360</v>
      </c>
    </row>
    <row r="1171" spans="1:4" x14ac:dyDescent="0.2">
      <c r="A1171" t="s">
        <v>14036</v>
      </c>
      <c r="B1171" t="s">
        <v>14359</v>
      </c>
      <c r="C1171" t="s">
        <v>20121</v>
      </c>
      <c r="D1171" t="s">
        <v>14360</v>
      </c>
    </row>
    <row r="1172" spans="1:4" x14ac:dyDescent="0.2">
      <c r="A1172" t="s">
        <v>614</v>
      </c>
      <c r="B1172" t="s">
        <v>14358</v>
      </c>
      <c r="C1172" t="s">
        <v>613</v>
      </c>
      <c r="D1172" t="s">
        <v>10721</v>
      </c>
    </row>
    <row r="1173" spans="1:4" x14ac:dyDescent="0.2">
      <c r="A1173" t="s">
        <v>435</v>
      </c>
      <c r="B1173" t="s">
        <v>14358</v>
      </c>
      <c r="C1173" t="s">
        <v>434</v>
      </c>
      <c r="D1173" t="s">
        <v>10724</v>
      </c>
    </row>
    <row r="1174" spans="1:4" x14ac:dyDescent="0.2">
      <c r="A1174" t="s">
        <v>49</v>
      </c>
      <c r="B1174" t="s">
        <v>14358</v>
      </c>
      <c r="C1174" t="s">
        <v>13677</v>
      </c>
      <c r="D1174" t="s">
        <v>11276</v>
      </c>
    </row>
    <row r="1175" spans="1:4" x14ac:dyDescent="0.2">
      <c r="A1175" s="8" t="s">
        <v>19874</v>
      </c>
      <c r="B1175" t="s">
        <v>14358</v>
      </c>
      <c r="C1175" t="s">
        <v>13677</v>
      </c>
      <c r="D1175" t="s">
        <v>14360</v>
      </c>
    </row>
    <row r="1176" spans="1:4" x14ac:dyDescent="0.2">
      <c r="A1176" t="s">
        <v>624</v>
      </c>
      <c r="B1176" t="s">
        <v>14358</v>
      </c>
      <c r="C1176" t="s">
        <v>623</v>
      </c>
      <c r="D1176" t="s">
        <v>10715</v>
      </c>
    </row>
    <row r="1177" spans="1:4" x14ac:dyDescent="0.2">
      <c r="A1177" t="s">
        <v>633</v>
      </c>
      <c r="B1177" t="s">
        <v>14358</v>
      </c>
      <c r="C1177" t="s">
        <v>632</v>
      </c>
      <c r="D1177" t="s">
        <v>10706</v>
      </c>
    </row>
    <row r="1178" spans="1:4" x14ac:dyDescent="0.2">
      <c r="A1178" t="s">
        <v>641</v>
      </c>
      <c r="B1178" t="s">
        <v>14358</v>
      </c>
      <c r="C1178" t="s">
        <v>640</v>
      </c>
      <c r="D1178" t="s">
        <v>10730</v>
      </c>
    </row>
    <row r="1179" spans="1:4" x14ac:dyDescent="0.2">
      <c r="A1179" s="8" t="s">
        <v>19876</v>
      </c>
      <c r="B1179" t="s">
        <v>14358</v>
      </c>
      <c r="C1179" t="s">
        <v>640</v>
      </c>
      <c r="D1179" t="s">
        <v>14360</v>
      </c>
    </row>
    <row r="1180" spans="1:4" x14ac:dyDescent="0.2">
      <c r="A1180" t="s">
        <v>646</v>
      </c>
      <c r="B1180" t="s">
        <v>14358</v>
      </c>
      <c r="C1180" t="s">
        <v>645</v>
      </c>
      <c r="D1180" t="s">
        <v>10709</v>
      </c>
    </row>
    <row r="1181" spans="1:4" x14ac:dyDescent="0.2">
      <c r="A1181" t="s">
        <v>790</v>
      </c>
      <c r="B1181" t="s">
        <v>14358</v>
      </c>
      <c r="C1181" t="s">
        <v>789</v>
      </c>
      <c r="D1181" t="s">
        <v>14360</v>
      </c>
    </row>
    <row r="1182" spans="1:4" x14ac:dyDescent="0.2">
      <c r="A1182" s="8" t="s">
        <v>19875</v>
      </c>
      <c r="B1182" t="s">
        <v>14358</v>
      </c>
      <c r="C1182" t="s">
        <v>789</v>
      </c>
      <c r="D1182" t="s">
        <v>10727</v>
      </c>
    </row>
    <row r="1183" spans="1:4" x14ac:dyDescent="0.2">
      <c r="A1183" t="s">
        <v>795</v>
      </c>
      <c r="B1183" t="s">
        <v>14358</v>
      </c>
      <c r="C1183" t="s">
        <v>794</v>
      </c>
      <c r="D1183" t="s">
        <v>10712</v>
      </c>
    </row>
    <row r="1184" spans="1:4" x14ac:dyDescent="0.2">
      <c r="A1184" t="s">
        <v>812</v>
      </c>
      <c r="B1184" t="s">
        <v>14358</v>
      </c>
      <c r="C1184" t="s">
        <v>811</v>
      </c>
      <c r="D1184" t="s">
        <v>10718</v>
      </c>
    </row>
    <row r="1185" spans="1:4" x14ac:dyDescent="0.2">
      <c r="A1185" t="s">
        <v>19873</v>
      </c>
      <c r="B1185" t="s">
        <v>14358</v>
      </c>
      <c r="C1185" t="s">
        <v>1009</v>
      </c>
      <c r="D1185" t="s">
        <v>14360</v>
      </c>
    </row>
    <row r="1186" spans="1:4" x14ac:dyDescent="0.2">
      <c r="A1186" t="s">
        <v>1010</v>
      </c>
      <c r="B1186" t="s">
        <v>14358</v>
      </c>
      <c r="C1186" t="s">
        <v>1009</v>
      </c>
      <c r="D1186" t="s">
        <v>11195</v>
      </c>
    </row>
    <row r="1187" spans="1:4" x14ac:dyDescent="0.2">
      <c r="A1187" t="s">
        <v>803</v>
      </c>
      <c r="B1187" t="s">
        <v>14358</v>
      </c>
      <c r="C1187" t="s">
        <v>802</v>
      </c>
      <c r="D1187" t="s">
        <v>11239</v>
      </c>
    </row>
    <row r="1188" spans="1:4" x14ac:dyDescent="0.2">
      <c r="A1188" t="s">
        <v>13924</v>
      </c>
      <c r="B1188" t="s">
        <v>14359</v>
      </c>
      <c r="C1188" t="s">
        <v>20077</v>
      </c>
      <c r="D1188" t="s">
        <v>14360</v>
      </c>
    </row>
    <row r="1189" spans="1:4" x14ac:dyDescent="0.2">
      <c r="A1189" t="s">
        <v>2567</v>
      </c>
      <c r="B1189" t="s">
        <v>14359</v>
      </c>
      <c r="C1189" t="s">
        <v>19698</v>
      </c>
      <c r="D1189" t="s">
        <v>14360</v>
      </c>
    </row>
    <row r="1190" spans="1:4" x14ac:dyDescent="0.2">
      <c r="A1190" t="s">
        <v>1136</v>
      </c>
      <c r="B1190" t="s">
        <v>14359</v>
      </c>
      <c r="C1190" t="s">
        <v>19187</v>
      </c>
      <c r="D1190" t="s">
        <v>14360</v>
      </c>
    </row>
    <row r="1191" spans="1:4" x14ac:dyDescent="0.2">
      <c r="A1191" t="s">
        <v>13770</v>
      </c>
      <c r="B1191" t="s">
        <v>14359</v>
      </c>
      <c r="C1191" t="s">
        <v>20122</v>
      </c>
      <c r="D1191" t="s">
        <v>14360</v>
      </c>
    </row>
    <row r="1192" spans="1:4" x14ac:dyDescent="0.2">
      <c r="A1192" t="s">
        <v>13821</v>
      </c>
      <c r="B1192" t="s">
        <v>14359</v>
      </c>
      <c r="C1192" t="s">
        <v>20078</v>
      </c>
      <c r="D1192" t="s">
        <v>14360</v>
      </c>
    </row>
    <row r="1193" spans="1:4" x14ac:dyDescent="0.2">
      <c r="A1193" t="s">
        <v>13784</v>
      </c>
      <c r="B1193" t="s">
        <v>14359</v>
      </c>
      <c r="C1193" t="s">
        <v>20079</v>
      </c>
      <c r="D1193" t="s">
        <v>14360</v>
      </c>
    </row>
    <row r="1194" spans="1:4" x14ac:dyDescent="0.2">
      <c r="A1194" t="s">
        <v>14004</v>
      </c>
      <c r="B1194" t="s">
        <v>14359</v>
      </c>
      <c r="C1194" t="s">
        <v>20080</v>
      </c>
      <c r="D1194" t="s">
        <v>14360</v>
      </c>
    </row>
    <row r="1195" spans="1:4" x14ac:dyDescent="0.2">
      <c r="A1195" t="s">
        <v>13811</v>
      </c>
      <c r="B1195" t="s">
        <v>14359</v>
      </c>
      <c r="C1195" t="s">
        <v>20081</v>
      </c>
      <c r="D1195" t="s">
        <v>14360</v>
      </c>
    </row>
    <row r="1196" spans="1:4" x14ac:dyDescent="0.2">
      <c r="A1196" t="s">
        <v>14065</v>
      </c>
      <c r="B1196" t="s">
        <v>14359</v>
      </c>
      <c r="C1196" t="s">
        <v>20082</v>
      </c>
      <c r="D1196" t="s">
        <v>14360</v>
      </c>
    </row>
    <row r="1197" spans="1:4" x14ac:dyDescent="0.2">
      <c r="A1197" t="s">
        <v>14346</v>
      </c>
      <c r="B1197" t="s">
        <v>14359</v>
      </c>
      <c r="C1197" t="s">
        <v>20083</v>
      </c>
      <c r="D1197" t="s">
        <v>14360</v>
      </c>
    </row>
    <row r="1198" spans="1:4" x14ac:dyDescent="0.2">
      <c r="A1198" t="s">
        <v>13962</v>
      </c>
      <c r="B1198" t="s">
        <v>14359</v>
      </c>
      <c r="C1198" t="s">
        <v>20084</v>
      </c>
      <c r="D1198" t="s">
        <v>14360</v>
      </c>
    </row>
    <row r="1199" spans="1:4" x14ac:dyDescent="0.2">
      <c r="A1199" t="s">
        <v>2526</v>
      </c>
      <c r="B1199" t="s">
        <v>14359</v>
      </c>
      <c r="C1199" t="s">
        <v>12433</v>
      </c>
      <c r="D1199" t="s">
        <v>14360</v>
      </c>
    </row>
    <row r="1200" spans="1:4" x14ac:dyDescent="0.2">
      <c r="A1200" t="s">
        <v>2463</v>
      </c>
      <c r="B1200" t="s">
        <v>14359</v>
      </c>
      <c r="C1200" t="s">
        <v>3614</v>
      </c>
      <c r="D1200" t="s">
        <v>14360</v>
      </c>
    </row>
    <row r="1201" spans="1:4" x14ac:dyDescent="0.2">
      <c r="A1201" t="s">
        <v>1722</v>
      </c>
      <c r="B1201" t="s">
        <v>14359</v>
      </c>
      <c r="C1201" t="s">
        <v>8216</v>
      </c>
      <c r="D1201" t="s">
        <v>14360</v>
      </c>
    </row>
    <row r="1202" spans="1:4" x14ac:dyDescent="0.2">
      <c r="A1202" t="s">
        <v>2311</v>
      </c>
      <c r="B1202" t="s">
        <v>14359</v>
      </c>
      <c r="C1202" t="s">
        <v>10156</v>
      </c>
      <c r="D1202" t="s">
        <v>14360</v>
      </c>
    </row>
    <row r="1203" spans="1:4" x14ac:dyDescent="0.2">
      <c r="A1203" t="s">
        <v>13880</v>
      </c>
      <c r="B1203" t="s">
        <v>14359</v>
      </c>
      <c r="C1203" t="s">
        <v>7421</v>
      </c>
      <c r="D1203" t="s">
        <v>14360</v>
      </c>
    </row>
    <row r="1204" spans="1:4" x14ac:dyDescent="0.2">
      <c r="A1204" t="s">
        <v>1616</v>
      </c>
      <c r="B1204" t="s">
        <v>14359</v>
      </c>
      <c r="C1204" t="s">
        <v>7625</v>
      </c>
      <c r="D1204" t="s">
        <v>14360</v>
      </c>
    </row>
    <row r="1205" spans="1:4" x14ac:dyDescent="0.2">
      <c r="A1205" t="s">
        <v>1646</v>
      </c>
      <c r="B1205" t="s">
        <v>14359</v>
      </c>
      <c r="C1205" t="s">
        <v>7752</v>
      </c>
      <c r="D1205" t="s">
        <v>14360</v>
      </c>
    </row>
    <row r="1206" spans="1:4" x14ac:dyDescent="0.2">
      <c r="A1206" t="s">
        <v>13874</v>
      </c>
      <c r="B1206" t="s">
        <v>14359</v>
      </c>
      <c r="C1206" t="s">
        <v>7334</v>
      </c>
      <c r="D1206" t="s">
        <v>14360</v>
      </c>
    </row>
    <row r="1207" spans="1:4" x14ac:dyDescent="0.2">
      <c r="A1207" t="s">
        <v>13818</v>
      </c>
      <c r="B1207" t="s">
        <v>14359</v>
      </c>
      <c r="C1207" t="s">
        <v>20085</v>
      </c>
      <c r="D1207" t="s">
        <v>14360</v>
      </c>
    </row>
    <row r="1208" spans="1:4" x14ac:dyDescent="0.2">
      <c r="A1208" t="s">
        <v>2594</v>
      </c>
      <c r="B1208" t="s">
        <v>14359</v>
      </c>
      <c r="C1208" t="s">
        <v>19710</v>
      </c>
      <c r="D1208" t="s">
        <v>14360</v>
      </c>
    </row>
    <row r="1209" spans="1:4" x14ac:dyDescent="0.2">
      <c r="A1209" t="s">
        <v>1322</v>
      </c>
      <c r="B1209" t="s">
        <v>14359</v>
      </c>
      <c r="C1209" t="s">
        <v>19249</v>
      </c>
      <c r="D1209" t="s">
        <v>14360</v>
      </c>
    </row>
    <row r="1210" spans="1:4" x14ac:dyDescent="0.2">
      <c r="A1210" t="s">
        <v>2363</v>
      </c>
      <c r="B1210" t="s">
        <v>14359</v>
      </c>
      <c r="C1210" t="s">
        <v>19623</v>
      </c>
      <c r="D1210" t="s">
        <v>14360</v>
      </c>
    </row>
    <row r="1211" spans="1:4" x14ac:dyDescent="0.2">
      <c r="A1211" t="s">
        <v>808</v>
      </c>
      <c r="B1211" t="s">
        <v>14358</v>
      </c>
      <c r="C1211" t="s">
        <v>807</v>
      </c>
      <c r="D1211" t="s">
        <v>11304</v>
      </c>
    </row>
    <row r="1212" spans="1:4" x14ac:dyDescent="0.2">
      <c r="A1212" t="s">
        <v>1280</v>
      </c>
      <c r="B1212" t="s">
        <v>14359</v>
      </c>
      <c r="C1212" t="s">
        <v>19237</v>
      </c>
      <c r="D1212" t="s">
        <v>14360</v>
      </c>
    </row>
    <row r="1213" spans="1:4" x14ac:dyDescent="0.2">
      <c r="A1213" t="s">
        <v>2585</v>
      </c>
      <c r="B1213" t="s">
        <v>14359</v>
      </c>
      <c r="C1213" t="s">
        <v>19705</v>
      </c>
      <c r="D1213" t="s">
        <v>14360</v>
      </c>
    </row>
    <row r="1214" spans="1:4" x14ac:dyDescent="0.2">
      <c r="A1214" t="s">
        <v>2596</v>
      </c>
      <c r="B1214" t="s">
        <v>14359</v>
      </c>
      <c r="C1214" t="s">
        <v>19711</v>
      </c>
      <c r="D1214" t="s">
        <v>14360</v>
      </c>
    </row>
    <row r="1215" spans="1:4" x14ac:dyDescent="0.2">
      <c r="A1215" t="s">
        <v>13896</v>
      </c>
      <c r="B1215" t="s">
        <v>14359</v>
      </c>
      <c r="C1215" t="s">
        <v>19906</v>
      </c>
      <c r="D1215" t="s">
        <v>14360</v>
      </c>
    </row>
    <row r="1216" spans="1:4" x14ac:dyDescent="0.2">
      <c r="A1216" t="s">
        <v>820</v>
      </c>
      <c r="B1216" t="s">
        <v>14358</v>
      </c>
      <c r="C1216" t="s">
        <v>11173</v>
      </c>
      <c r="D1216" t="s">
        <v>10558</v>
      </c>
    </row>
    <row r="1217" spans="1:4" x14ac:dyDescent="0.2">
      <c r="A1217" t="s">
        <v>933</v>
      </c>
      <c r="B1217" t="s">
        <v>14358</v>
      </c>
      <c r="C1217" t="s">
        <v>19767</v>
      </c>
      <c r="D1217" t="s">
        <v>934</v>
      </c>
    </row>
    <row r="1218" spans="1:4" x14ac:dyDescent="0.2">
      <c r="A1218" t="s">
        <v>14347</v>
      </c>
      <c r="B1218" t="s">
        <v>14359</v>
      </c>
      <c r="C1218" t="s">
        <v>19905</v>
      </c>
      <c r="D1218" t="s">
        <v>14360</v>
      </c>
    </row>
    <row r="1219" spans="1:4" x14ac:dyDescent="0.2">
      <c r="A1219" t="s">
        <v>13968</v>
      </c>
      <c r="B1219" t="s">
        <v>14359</v>
      </c>
      <c r="C1219" t="s">
        <v>19904</v>
      </c>
      <c r="D1219" t="s">
        <v>14360</v>
      </c>
    </row>
    <row r="1220" spans="1:4" x14ac:dyDescent="0.2">
      <c r="A1220" t="s">
        <v>13894</v>
      </c>
      <c r="B1220" t="s">
        <v>14359</v>
      </c>
      <c r="C1220" t="s">
        <v>19903</v>
      </c>
      <c r="D1220" t="s">
        <v>14360</v>
      </c>
    </row>
    <row r="1221" spans="1:4" x14ac:dyDescent="0.2">
      <c r="A1221" t="s">
        <v>2598</v>
      </c>
      <c r="B1221" t="s">
        <v>14359</v>
      </c>
      <c r="C1221" t="s">
        <v>19712</v>
      </c>
      <c r="D1221" t="s">
        <v>14360</v>
      </c>
    </row>
    <row r="1222" spans="1:4" x14ac:dyDescent="0.2">
      <c r="A1222" t="s">
        <v>2052</v>
      </c>
      <c r="B1222" t="s">
        <v>14359</v>
      </c>
      <c r="C1222" t="s">
        <v>19506</v>
      </c>
      <c r="D1222" t="s">
        <v>14360</v>
      </c>
    </row>
    <row r="1223" spans="1:4" x14ac:dyDescent="0.2">
      <c r="A1223" t="s">
        <v>2515</v>
      </c>
      <c r="B1223" t="s">
        <v>14359</v>
      </c>
      <c r="C1223" t="s">
        <v>19672</v>
      </c>
      <c r="D1223" t="s">
        <v>14360</v>
      </c>
    </row>
    <row r="1224" spans="1:4" x14ac:dyDescent="0.2">
      <c r="A1224" t="s">
        <v>1526</v>
      </c>
      <c r="B1224" t="s">
        <v>14359</v>
      </c>
      <c r="C1224" t="s">
        <v>19320</v>
      </c>
      <c r="D1224" t="s">
        <v>14360</v>
      </c>
    </row>
    <row r="1225" spans="1:4" x14ac:dyDescent="0.2">
      <c r="A1225" t="s">
        <v>2144</v>
      </c>
      <c r="B1225" t="s">
        <v>14359</v>
      </c>
      <c r="C1225" t="s">
        <v>19548</v>
      </c>
      <c r="D1225" t="s">
        <v>14360</v>
      </c>
    </row>
    <row r="1226" spans="1:4" x14ac:dyDescent="0.2">
      <c r="A1226" t="s">
        <v>1855</v>
      </c>
      <c r="B1226" t="s">
        <v>14359</v>
      </c>
      <c r="C1226" t="s">
        <v>19416</v>
      </c>
      <c r="D1226" t="s">
        <v>14360</v>
      </c>
    </row>
    <row r="1227" spans="1:4" x14ac:dyDescent="0.2">
      <c r="A1227" t="s">
        <v>2062</v>
      </c>
      <c r="B1227" t="s">
        <v>14359</v>
      </c>
      <c r="C1227" t="s">
        <v>19511</v>
      </c>
      <c r="D1227" t="s">
        <v>14360</v>
      </c>
    </row>
    <row r="1228" spans="1:4" x14ac:dyDescent="0.2">
      <c r="A1228" t="s">
        <v>1930</v>
      </c>
      <c r="B1228" t="s">
        <v>14359</v>
      </c>
      <c r="C1228" t="s">
        <v>19449</v>
      </c>
      <c r="D1228" t="s">
        <v>14360</v>
      </c>
    </row>
    <row r="1229" spans="1:4" x14ac:dyDescent="0.2">
      <c r="A1229" t="s">
        <v>2058</v>
      </c>
      <c r="B1229" t="s">
        <v>14359</v>
      </c>
      <c r="C1229" t="s">
        <v>19509</v>
      </c>
      <c r="D1229" t="s">
        <v>14360</v>
      </c>
    </row>
    <row r="1230" spans="1:4" x14ac:dyDescent="0.2">
      <c r="A1230" t="s">
        <v>1717</v>
      </c>
      <c r="B1230" t="s">
        <v>14359</v>
      </c>
      <c r="C1230" t="s">
        <v>19378</v>
      </c>
      <c r="D1230" t="s">
        <v>14360</v>
      </c>
    </row>
    <row r="1231" spans="1:4" x14ac:dyDescent="0.2">
      <c r="A1231" t="s">
        <v>1912</v>
      </c>
      <c r="B1231" t="s">
        <v>14359</v>
      </c>
      <c r="C1231" t="s">
        <v>19441</v>
      </c>
      <c r="D1231" t="s">
        <v>14360</v>
      </c>
    </row>
    <row r="1232" spans="1:4" x14ac:dyDescent="0.2">
      <c r="A1232" t="s">
        <v>1590</v>
      </c>
      <c r="B1232" t="s">
        <v>14359</v>
      </c>
      <c r="C1232" t="s">
        <v>19335</v>
      </c>
      <c r="D1232" t="s">
        <v>14360</v>
      </c>
    </row>
    <row r="1233" spans="1:4" x14ac:dyDescent="0.2">
      <c r="A1233" t="s">
        <v>2074</v>
      </c>
      <c r="B1233" t="s">
        <v>14359</v>
      </c>
      <c r="C1233" t="s">
        <v>19517</v>
      </c>
      <c r="D1233" t="s">
        <v>14360</v>
      </c>
    </row>
    <row r="1234" spans="1:4" x14ac:dyDescent="0.2">
      <c r="A1234" t="s">
        <v>1823</v>
      </c>
      <c r="B1234" t="s">
        <v>14359</v>
      </c>
      <c r="C1234" t="s">
        <v>19409</v>
      </c>
      <c r="D1234" t="s">
        <v>14360</v>
      </c>
    </row>
    <row r="1235" spans="1:4" x14ac:dyDescent="0.2">
      <c r="A1235" t="s">
        <v>1813</v>
      </c>
      <c r="B1235" t="s">
        <v>14359</v>
      </c>
      <c r="C1235" t="s">
        <v>19405</v>
      </c>
      <c r="D1235" t="s">
        <v>14360</v>
      </c>
    </row>
    <row r="1236" spans="1:4" x14ac:dyDescent="0.2">
      <c r="A1236" t="s">
        <v>1811</v>
      </c>
      <c r="B1236" t="s">
        <v>14359</v>
      </c>
      <c r="C1236" t="s">
        <v>19404</v>
      </c>
      <c r="D1236" t="s">
        <v>14360</v>
      </c>
    </row>
    <row r="1237" spans="1:4" x14ac:dyDescent="0.2">
      <c r="A1237" t="s">
        <v>1924</v>
      </c>
      <c r="B1237" t="s">
        <v>14359</v>
      </c>
      <c r="C1237" t="s">
        <v>19446</v>
      </c>
      <c r="D1237" t="s">
        <v>14360</v>
      </c>
    </row>
    <row r="1238" spans="1:4" x14ac:dyDescent="0.2">
      <c r="A1238" t="s">
        <v>1841</v>
      </c>
      <c r="B1238" t="s">
        <v>14359</v>
      </c>
      <c r="C1238" t="s">
        <v>19412</v>
      </c>
      <c r="D1238" t="s">
        <v>14360</v>
      </c>
    </row>
    <row r="1239" spans="1:4" x14ac:dyDescent="0.2">
      <c r="A1239" t="s">
        <v>1847</v>
      </c>
      <c r="B1239" t="s">
        <v>14359</v>
      </c>
      <c r="C1239" t="s">
        <v>19414</v>
      </c>
      <c r="D1239" t="s">
        <v>14360</v>
      </c>
    </row>
    <row r="1240" spans="1:4" x14ac:dyDescent="0.2">
      <c r="A1240" t="s">
        <v>1768</v>
      </c>
      <c r="B1240" t="s">
        <v>14359</v>
      </c>
      <c r="C1240" t="s">
        <v>19391</v>
      </c>
      <c r="D1240" t="s">
        <v>14360</v>
      </c>
    </row>
    <row r="1241" spans="1:4" x14ac:dyDescent="0.2">
      <c r="A1241" t="s">
        <v>2079</v>
      </c>
      <c r="B1241" t="s">
        <v>14359</v>
      </c>
      <c r="C1241" t="s">
        <v>19520</v>
      </c>
      <c r="D1241" t="s">
        <v>14360</v>
      </c>
    </row>
    <row r="1242" spans="1:4" x14ac:dyDescent="0.2">
      <c r="A1242" t="s">
        <v>1774</v>
      </c>
      <c r="B1242" t="s">
        <v>14359</v>
      </c>
      <c r="C1242" t="s">
        <v>19393</v>
      </c>
      <c r="D1242" t="s">
        <v>14360</v>
      </c>
    </row>
    <row r="1243" spans="1:4" x14ac:dyDescent="0.2">
      <c r="A1243" t="s">
        <v>1720</v>
      </c>
      <c r="B1243" t="s">
        <v>14359</v>
      </c>
      <c r="C1243" t="s">
        <v>19379</v>
      </c>
      <c r="D1243" t="s">
        <v>14360</v>
      </c>
    </row>
    <row r="1244" spans="1:4" x14ac:dyDescent="0.2">
      <c r="A1244" t="s">
        <v>2068</v>
      </c>
      <c r="B1244" t="s">
        <v>14359</v>
      </c>
      <c r="C1244" t="s">
        <v>19514</v>
      </c>
      <c r="D1244" t="s">
        <v>14360</v>
      </c>
    </row>
    <row r="1245" spans="1:4" x14ac:dyDescent="0.2">
      <c r="A1245" t="s">
        <v>2070</v>
      </c>
      <c r="B1245" t="s">
        <v>14359</v>
      </c>
      <c r="C1245" t="s">
        <v>19515</v>
      </c>
      <c r="D1245" t="s">
        <v>14360</v>
      </c>
    </row>
    <row r="1246" spans="1:4" x14ac:dyDescent="0.2">
      <c r="A1246" t="s">
        <v>1884</v>
      </c>
      <c r="B1246" t="s">
        <v>14359</v>
      </c>
      <c r="C1246" t="s">
        <v>19429</v>
      </c>
      <c r="D1246" t="s">
        <v>14360</v>
      </c>
    </row>
    <row r="1247" spans="1:4" x14ac:dyDescent="0.2">
      <c r="A1247" t="s">
        <v>2064</v>
      </c>
      <c r="B1247" t="s">
        <v>14359</v>
      </c>
      <c r="C1247" t="s">
        <v>19512</v>
      </c>
      <c r="D1247" t="s">
        <v>14360</v>
      </c>
    </row>
    <row r="1248" spans="1:4" x14ac:dyDescent="0.2">
      <c r="A1248" t="s">
        <v>1898</v>
      </c>
      <c r="B1248" t="s">
        <v>14359</v>
      </c>
      <c r="C1248" t="s">
        <v>19436</v>
      </c>
      <c r="D1248" t="s">
        <v>14360</v>
      </c>
    </row>
    <row r="1249" spans="1:4" x14ac:dyDescent="0.2">
      <c r="A1249" t="s">
        <v>2060</v>
      </c>
      <c r="B1249" t="s">
        <v>14359</v>
      </c>
      <c r="C1249" t="s">
        <v>19510</v>
      </c>
      <c r="D1249" t="s">
        <v>14360</v>
      </c>
    </row>
    <row r="1250" spans="1:4" x14ac:dyDescent="0.2">
      <c r="A1250" t="s">
        <v>816</v>
      </c>
      <c r="B1250" t="s">
        <v>14358</v>
      </c>
      <c r="C1250" t="s">
        <v>814</v>
      </c>
      <c r="D1250" t="s">
        <v>814</v>
      </c>
    </row>
    <row r="1251" spans="1:4" x14ac:dyDescent="0.2">
      <c r="A1251" t="s">
        <v>2534</v>
      </c>
      <c r="B1251" t="s">
        <v>14359</v>
      </c>
      <c r="C1251" t="s">
        <v>19681</v>
      </c>
      <c r="D1251" t="s">
        <v>14360</v>
      </c>
    </row>
    <row r="1252" spans="1:4" x14ac:dyDescent="0.2">
      <c r="A1252" t="s">
        <v>1165</v>
      </c>
      <c r="B1252" t="s">
        <v>14359</v>
      </c>
      <c r="C1252" t="s">
        <v>19198</v>
      </c>
      <c r="D1252" t="s">
        <v>14360</v>
      </c>
    </row>
    <row r="1253" spans="1:4" x14ac:dyDescent="0.2">
      <c r="A1253" t="s">
        <v>1320</v>
      </c>
      <c r="B1253" t="s">
        <v>14359</v>
      </c>
      <c r="C1253" t="s">
        <v>19248</v>
      </c>
      <c r="D1253" t="s">
        <v>14360</v>
      </c>
    </row>
    <row r="1254" spans="1:4" x14ac:dyDescent="0.2">
      <c r="A1254" t="s">
        <v>2542</v>
      </c>
      <c r="B1254" t="s">
        <v>14359</v>
      </c>
      <c r="C1254" t="s">
        <v>19685</v>
      </c>
      <c r="D1254" t="s">
        <v>14360</v>
      </c>
    </row>
    <row r="1255" spans="1:4" x14ac:dyDescent="0.2">
      <c r="A1255" t="s">
        <v>1286</v>
      </c>
      <c r="B1255" t="s">
        <v>14359</v>
      </c>
      <c r="C1255" t="s">
        <v>19240</v>
      </c>
      <c r="D1255" t="s">
        <v>14360</v>
      </c>
    </row>
    <row r="1256" spans="1:4" x14ac:dyDescent="0.2">
      <c r="A1256" t="s">
        <v>13877</v>
      </c>
      <c r="B1256" t="s">
        <v>14359</v>
      </c>
      <c r="C1256" t="s">
        <v>19902</v>
      </c>
      <c r="D1256" t="s">
        <v>14360</v>
      </c>
    </row>
    <row r="1257" spans="1:4" x14ac:dyDescent="0.2">
      <c r="A1257" t="s">
        <v>2443</v>
      </c>
      <c r="B1257" t="s">
        <v>14359</v>
      </c>
      <c r="C1257" t="s">
        <v>19648</v>
      </c>
      <c r="D1257" t="s">
        <v>14360</v>
      </c>
    </row>
    <row r="1258" spans="1:4" x14ac:dyDescent="0.2">
      <c r="A1258" t="s">
        <v>14255</v>
      </c>
      <c r="B1258" t="s">
        <v>14359</v>
      </c>
      <c r="C1258" t="s">
        <v>20086</v>
      </c>
      <c r="D1258" t="s">
        <v>14360</v>
      </c>
    </row>
    <row r="1259" spans="1:4" x14ac:dyDescent="0.2">
      <c r="A1259" t="s">
        <v>14256</v>
      </c>
      <c r="B1259" t="s">
        <v>14359</v>
      </c>
      <c r="C1259" t="s">
        <v>20087</v>
      </c>
      <c r="D1259" t="s">
        <v>14360</v>
      </c>
    </row>
    <row r="1260" spans="1:4" x14ac:dyDescent="0.2">
      <c r="A1260" t="s">
        <v>1330</v>
      </c>
      <c r="B1260" t="s">
        <v>14359</v>
      </c>
      <c r="C1260" t="s">
        <v>19252</v>
      </c>
      <c r="D1260" t="s">
        <v>14360</v>
      </c>
    </row>
    <row r="1261" spans="1:4" x14ac:dyDescent="0.2">
      <c r="A1261" t="s">
        <v>2038</v>
      </c>
      <c r="B1261" t="s">
        <v>14359</v>
      </c>
      <c r="C1261" t="s">
        <v>19499</v>
      </c>
      <c r="D1261" t="s">
        <v>14360</v>
      </c>
    </row>
    <row r="1262" spans="1:4" x14ac:dyDescent="0.2">
      <c r="A1262" t="s">
        <v>1119</v>
      </c>
      <c r="B1262" t="s">
        <v>14359</v>
      </c>
      <c r="C1262" t="s">
        <v>19181</v>
      </c>
      <c r="D1262" t="s">
        <v>14360</v>
      </c>
    </row>
    <row r="1263" spans="1:4" x14ac:dyDescent="0.2">
      <c r="A1263" t="s">
        <v>13958</v>
      </c>
      <c r="B1263" t="s">
        <v>14359</v>
      </c>
      <c r="C1263" t="s">
        <v>19901</v>
      </c>
      <c r="D1263" t="s">
        <v>14360</v>
      </c>
    </row>
    <row r="1264" spans="1:4" x14ac:dyDescent="0.2">
      <c r="A1264" t="s">
        <v>2495</v>
      </c>
      <c r="B1264" t="s">
        <v>14359</v>
      </c>
      <c r="C1264" t="s">
        <v>19665</v>
      </c>
      <c r="D1264" t="s">
        <v>14360</v>
      </c>
    </row>
    <row r="1265" spans="1:4" x14ac:dyDescent="0.2">
      <c r="A1265" t="s">
        <v>1680</v>
      </c>
      <c r="B1265" t="s">
        <v>14359</v>
      </c>
      <c r="C1265" t="s">
        <v>19367</v>
      </c>
      <c r="D1265" t="s">
        <v>14360</v>
      </c>
    </row>
    <row r="1266" spans="1:4" x14ac:dyDescent="0.2">
      <c r="A1266" t="s">
        <v>2267</v>
      </c>
      <c r="B1266" t="s">
        <v>14359</v>
      </c>
      <c r="C1266" t="s">
        <v>19585</v>
      </c>
      <c r="D1266" t="s">
        <v>14360</v>
      </c>
    </row>
    <row r="1267" spans="1:4" x14ac:dyDescent="0.2">
      <c r="A1267" t="s">
        <v>13866</v>
      </c>
      <c r="B1267" t="s">
        <v>14359</v>
      </c>
      <c r="C1267" t="s">
        <v>19322</v>
      </c>
      <c r="D1267" t="s">
        <v>14360</v>
      </c>
    </row>
    <row r="1268" spans="1:4" x14ac:dyDescent="0.2">
      <c r="A1268" t="s">
        <v>13858</v>
      </c>
      <c r="B1268" t="s">
        <v>14359</v>
      </c>
      <c r="C1268" t="s">
        <v>19900</v>
      </c>
      <c r="D1268" t="s">
        <v>14360</v>
      </c>
    </row>
    <row r="1269" spans="1:4" x14ac:dyDescent="0.2">
      <c r="A1269" t="s">
        <v>2637</v>
      </c>
      <c r="B1269" t="s">
        <v>14359</v>
      </c>
      <c r="C1269" t="s">
        <v>19732</v>
      </c>
      <c r="D1269" t="s">
        <v>14360</v>
      </c>
    </row>
    <row r="1270" spans="1:4" x14ac:dyDescent="0.2">
      <c r="A1270" t="s">
        <v>1625</v>
      </c>
      <c r="B1270" t="s">
        <v>14359</v>
      </c>
      <c r="C1270" t="s">
        <v>19344</v>
      </c>
      <c r="D1270" t="s">
        <v>14360</v>
      </c>
    </row>
    <row r="1271" spans="1:4" x14ac:dyDescent="0.2">
      <c r="A1271" t="s">
        <v>2218</v>
      </c>
      <c r="B1271" t="s">
        <v>14359</v>
      </c>
      <c r="C1271" t="s">
        <v>19575</v>
      </c>
      <c r="D1271" t="s">
        <v>14360</v>
      </c>
    </row>
    <row r="1272" spans="1:4" x14ac:dyDescent="0.2">
      <c r="A1272" t="s">
        <v>2216</v>
      </c>
      <c r="B1272" t="s">
        <v>14359</v>
      </c>
      <c r="C1272" t="s">
        <v>19574</v>
      </c>
      <c r="D1272" t="s">
        <v>14360</v>
      </c>
    </row>
    <row r="1273" spans="1:4" x14ac:dyDescent="0.2">
      <c r="A1273" t="s">
        <v>2211</v>
      </c>
      <c r="B1273" t="s">
        <v>14359</v>
      </c>
      <c r="C1273" t="s">
        <v>19571</v>
      </c>
      <c r="D1273" t="s">
        <v>14360</v>
      </c>
    </row>
    <row r="1274" spans="1:4" x14ac:dyDescent="0.2">
      <c r="A1274" t="s">
        <v>2230</v>
      </c>
      <c r="B1274" t="s">
        <v>14359</v>
      </c>
      <c r="C1274" t="s">
        <v>19577</v>
      </c>
      <c r="D1274" t="s">
        <v>14360</v>
      </c>
    </row>
    <row r="1275" spans="1:4" x14ac:dyDescent="0.2">
      <c r="A1275" t="s">
        <v>13969</v>
      </c>
      <c r="B1275" t="s">
        <v>14359</v>
      </c>
      <c r="C1275" t="s">
        <v>19899</v>
      </c>
      <c r="D1275" t="s">
        <v>14360</v>
      </c>
    </row>
    <row r="1276" spans="1:4" x14ac:dyDescent="0.2">
      <c r="A1276" t="s">
        <v>14068</v>
      </c>
      <c r="B1276" t="s">
        <v>14359</v>
      </c>
      <c r="C1276" t="s">
        <v>19898</v>
      </c>
      <c r="D1276" t="s">
        <v>14360</v>
      </c>
    </row>
    <row r="1277" spans="1:4" x14ac:dyDescent="0.2">
      <c r="A1277" t="s">
        <v>1117</v>
      </c>
      <c r="B1277" t="s">
        <v>14359</v>
      </c>
      <c r="C1277" t="s">
        <v>19180</v>
      </c>
      <c r="D1277" t="s">
        <v>14360</v>
      </c>
    </row>
    <row r="1278" spans="1:4" x14ac:dyDescent="0.2">
      <c r="A1278" t="s">
        <v>1204</v>
      </c>
      <c r="B1278" t="s">
        <v>14359</v>
      </c>
      <c r="C1278" t="s">
        <v>19214</v>
      </c>
      <c r="D1278" t="s">
        <v>14360</v>
      </c>
    </row>
    <row r="1279" spans="1:4" x14ac:dyDescent="0.2">
      <c r="A1279" t="s">
        <v>2592</v>
      </c>
      <c r="B1279" t="s">
        <v>14359</v>
      </c>
      <c r="C1279" t="s">
        <v>19709</v>
      </c>
      <c r="D1279" t="s">
        <v>14360</v>
      </c>
    </row>
    <row r="1280" spans="1:4" x14ac:dyDescent="0.2">
      <c r="A1280" t="s">
        <v>1282</v>
      </c>
      <c r="B1280" t="s">
        <v>14359</v>
      </c>
      <c r="C1280" t="s">
        <v>19238</v>
      </c>
      <c r="D1280" t="s">
        <v>14360</v>
      </c>
    </row>
    <row r="1281" spans="1:4" x14ac:dyDescent="0.2">
      <c r="A1281" t="s">
        <v>2447</v>
      </c>
      <c r="B1281" t="s">
        <v>14359</v>
      </c>
      <c r="C1281" t="s">
        <v>19649</v>
      </c>
      <c r="D1281" t="s">
        <v>14360</v>
      </c>
    </row>
    <row r="1282" spans="1:4" x14ac:dyDescent="0.2">
      <c r="A1282" t="s">
        <v>14069</v>
      </c>
      <c r="B1282" t="s">
        <v>14359</v>
      </c>
      <c r="C1282" t="s">
        <v>19592</v>
      </c>
      <c r="D1282" t="s">
        <v>14360</v>
      </c>
    </row>
    <row r="1283" spans="1:4" x14ac:dyDescent="0.2">
      <c r="A1283" t="s">
        <v>2439</v>
      </c>
      <c r="B1283" t="s">
        <v>14359</v>
      </c>
      <c r="C1283" t="s">
        <v>19646</v>
      </c>
      <c r="D1283" t="s">
        <v>14360</v>
      </c>
    </row>
    <row r="1284" spans="1:4" x14ac:dyDescent="0.2">
      <c r="A1284" t="s">
        <v>1515</v>
      </c>
      <c r="B1284" t="s">
        <v>14359</v>
      </c>
      <c r="C1284" t="s">
        <v>19315</v>
      </c>
      <c r="D1284" t="s">
        <v>14360</v>
      </c>
    </row>
    <row r="1285" spans="1:4" x14ac:dyDescent="0.2">
      <c r="A1285" t="s">
        <v>2441</v>
      </c>
      <c r="B1285" t="s">
        <v>14359</v>
      </c>
      <c r="C1285" t="s">
        <v>19647</v>
      </c>
      <c r="D1285" t="s">
        <v>14360</v>
      </c>
    </row>
    <row r="1286" spans="1:4" x14ac:dyDescent="0.2">
      <c r="A1286" t="s">
        <v>13959</v>
      </c>
      <c r="B1286" t="s">
        <v>14359</v>
      </c>
      <c r="C1286" t="s">
        <v>19423</v>
      </c>
      <c r="D1286" t="s">
        <v>14360</v>
      </c>
    </row>
    <row r="1287" spans="1:4" x14ac:dyDescent="0.2">
      <c r="A1287" t="s">
        <v>1455</v>
      </c>
      <c r="B1287" t="s">
        <v>14359</v>
      </c>
      <c r="C1287" t="s">
        <v>19298</v>
      </c>
      <c r="D1287" t="s">
        <v>14360</v>
      </c>
    </row>
    <row r="1288" spans="1:4" x14ac:dyDescent="0.2">
      <c r="A1288" t="s">
        <v>13903</v>
      </c>
      <c r="B1288" t="s">
        <v>14359</v>
      </c>
      <c r="C1288" t="s">
        <v>20088</v>
      </c>
      <c r="D1288" t="s">
        <v>14360</v>
      </c>
    </row>
    <row r="1289" spans="1:4" x14ac:dyDescent="0.2">
      <c r="A1289" t="s">
        <v>2275</v>
      </c>
      <c r="B1289" t="s">
        <v>14359</v>
      </c>
      <c r="C1289" t="s">
        <v>19589</v>
      </c>
      <c r="D1289" t="s">
        <v>14360</v>
      </c>
    </row>
    <row r="1290" spans="1:4" x14ac:dyDescent="0.2">
      <c r="A1290" t="s">
        <v>14019</v>
      </c>
      <c r="B1290" t="s">
        <v>14359</v>
      </c>
      <c r="C1290" t="s">
        <v>19564</v>
      </c>
      <c r="D1290" t="s">
        <v>14360</v>
      </c>
    </row>
    <row r="1291" spans="1:4" x14ac:dyDescent="0.2">
      <c r="A1291" t="s">
        <v>1449</v>
      </c>
      <c r="B1291" t="s">
        <v>14359</v>
      </c>
      <c r="C1291" t="s">
        <v>19295</v>
      </c>
      <c r="D1291" t="s">
        <v>14360</v>
      </c>
    </row>
    <row r="1292" spans="1:4" x14ac:dyDescent="0.2">
      <c r="A1292" t="s">
        <v>14112</v>
      </c>
      <c r="B1292" t="s">
        <v>14359</v>
      </c>
      <c r="C1292" t="s">
        <v>19610</v>
      </c>
      <c r="D1292" t="s">
        <v>14360</v>
      </c>
    </row>
    <row r="1293" spans="1:4" x14ac:dyDescent="0.2">
      <c r="A1293" t="s">
        <v>14046</v>
      </c>
      <c r="B1293" t="s">
        <v>14359</v>
      </c>
      <c r="C1293" t="s">
        <v>20089</v>
      </c>
      <c r="D1293" t="s">
        <v>14360</v>
      </c>
    </row>
    <row r="1294" spans="1:4" x14ac:dyDescent="0.2">
      <c r="A1294" t="s">
        <v>14120</v>
      </c>
      <c r="B1294" t="s">
        <v>14359</v>
      </c>
      <c r="C1294" t="s">
        <v>20090</v>
      </c>
      <c r="D1294" t="s">
        <v>14360</v>
      </c>
    </row>
    <row r="1295" spans="1:4" x14ac:dyDescent="0.2">
      <c r="A1295" t="s">
        <v>14348</v>
      </c>
      <c r="B1295" t="s">
        <v>14359</v>
      </c>
      <c r="C1295" t="s">
        <v>13396</v>
      </c>
      <c r="D1295" t="s">
        <v>14360</v>
      </c>
    </row>
    <row r="1296" spans="1:4" x14ac:dyDescent="0.2">
      <c r="A1296" t="s">
        <v>13815</v>
      </c>
      <c r="B1296" t="s">
        <v>14359</v>
      </c>
      <c r="C1296" t="s">
        <v>19897</v>
      </c>
      <c r="D1296" t="s">
        <v>14360</v>
      </c>
    </row>
    <row r="1297" spans="1:4" x14ac:dyDescent="0.2">
      <c r="A1297" t="s">
        <v>1140</v>
      </c>
      <c r="B1297" t="s">
        <v>14359</v>
      </c>
      <c r="C1297" t="s">
        <v>19189</v>
      </c>
      <c r="D1297" t="s">
        <v>14360</v>
      </c>
    </row>
    <row r="1298" spans="1:4" x14ac:dyDescent="0.2">
      <c r="A1298" t="s">
        <v>1146</v>
      </c>
      <c r="B1298" t="s">
        <v>14359</v>
      </c>
      <c r="C1298" t="s">
        <v>19192</v>
      </c>
      <c r="D1298" t="s">
        <v>14360</v>
      </c>
    </row>
    <row r="1299" spans="1:4" x14ac:dyDescent="0.2">
      <c r="A1299" t="s">
        <v>1961</v>
      </c>
      <c r="B1299" t="s">
        <v>14359</v>
      </c>
      <c r="C1299" t="s">
        <v>19463</v>
      </c>
      <c r="D1299" t="s">
        <v>14360</v>
      </c>
    </row>
    <row r="1300" spans="1:4" x14ac:dyDescent="0.2">
      <c r="A1300" t="s">
        <v>1221</v>
      </c>
      <c r="B1300" t="s">
        <v>14359</v>
      </c>
      <c r="C1300" t="s">
        <v>19218</v>
      </c>
      <c r="D1300" t="s">
        <v>14360</v>
      </c>
    </row>
    <row r="1301" spans="1:4" x14ac:dyDescent="0.2">
      <c r="A1301" t="s">
        <v>2609</v>
      </c>
      <c r="B1301" t="s">
        <v>14359</v>
      </c>
      <c r="C1301" t="s">
        <v>19718</v>
      </c>
      <c r="D1301" t="s">
        <v>14360</v>
      </c>
    </row>
    <row r="1302" spans="1:4" x14ac:dyDescent="0.2">
      <c r="A1302" t="s">
        <v>13825</v>
      </c>
      <c r="B1302" t="s">
        <v>14359</v>
      </c>
      <c r="C1302" t="s">
        <v>20091</v>
      </c>
      <c r="D1302" t="s">
        <v>14360</v>
      </c>
    </row>
    <row r="1303" spans="1:4" x14ac:dyDescent="0.2">
      <c r="A1303" t="s">
        <v>1491</v>
      </c>
      <c r="B1303" t="s">
        <v>14359</v>
      </c>
      <c r="C1303" t="s">
        <v>19310</v>
      </c>
      <c r="D1303" t="s">
        <v>14360</v>
      </c>
    </row>
    <row r="1304" spans="1:4" x14ac:dyDescent="0.2">
      <c r="A1304" t="s">
        <v>2367</v>
      </c>
      <c r="B1304" t="s">
        <v>14359</v>
      </c>
      <c r="C1304" t="s">
        <v>19625</v>
      </c>
      <c r="D1304" t="s">
        <v>14360</v>
      </c>
    </row>
    <row r="1305" spans="1:4" x14ac:dyDescent="0.2">
      <c r="A1305" t="s">
        <v>1437</v>
      </c>
      <c r="B1305" t="s">
        <v>14359</v>
      </c>
      <c r="C1305" t="s">
        <v>19289</v>
      </c>
      <c r="D1305" t="s">
        <v>14360</v>
      </c>
    </row>
    <row r="1306" spans="1:4" x14ac:dyDescent="0.2">
      <c r="A1306" t="s">
        <v>13799</v>
      </c>
      <c r="B1306" t="s">
        <v>14359</v>
      </c>
      <c r="C1306" t="s">
        <v>19896</v>
      </c>
      <c r="D1306" t="s">
        <v>14360</v>
      </c>
    </row>
    <row r="1307" spans="1:4" x14ac:dyDescent="0.2">
      <c r="A1307" t="s">
        <v>70</v>
      </c>
      <c r="B1307" t="s">
        <v>14358</v>
      </c>
      <c r="C1307" t="s">
        <v>11295</v>
      </c>
      <c r="D1307" t="s">
        <v>11296</v>
      </c>
    </row>
    <row r="1308" spans="1:4" x14ac:dyDescent="0.2">
      <c r="A1308" t="s">
        <v>583</v>
      </c>
      <c r="B1308" t="s">
        <v>14358</v>
      </c>
      <c r="C1308" t="s">
        <v>11193</v>
      </c>
      <c r="D1308" t="s">
        <v>11194</v>
      </c>
    </row>
    <row r="1309" spans="1:4" x14ac:dyDescent="0.2">
      <c r="A1309" t="s">
        <v>1093</v>
      </c>
      <c r="B1309" t="s">
        <v>14358</v>
      </c>
      <c r="C1309" t="s">
        <v>1088</v>
      </c>
      <c r="D1309" t="s">
        <v>14360</v>
      </c>
    </row>
    <row r="1310" spans="1:4" x14ac:dyDescent="0.2">
      <c r="A1310" t="s">
        <v>1094</v>
      </c>
      <c r="B1310" t="s">
        <v>14358</v>
      </c>
      <c r="C1310" t="s">
        <v>1089</v>
      </c>
      <c r="D1310" t="s">
        <v>14360</v>
      </c>
    </row>
    <row r="1311" spans="1:4" x14ac:dyDescent="0.2">
      <c r="A1311" t="s">
        <v>77</v>
      </c>
      <c r="B1311" t="s">
        <v>14358</v>
      </c>
      <c r="C1311" t="s">
        <v>76</v>
      </c>
      <c r="D1311" t="s">
        <v>11161</v>
      </c>
    </row>
    <row r="1312" spans="1:4" x14ac:dyDescent="0.2">
      <c r="A1312" t="s">
        <v>82</v>
      </c>
      <c r="B1312" t="s">
        <v>14358</v>
      </c>
      <c r="C1312" t="s">
        <v>81</v>
      </c>
      <c r="D1312" t="s">
        <v>11148</v>
      </c>
    </row>
    <row r="1313" spans="1:4" x14ac:dyDescent="0.2">
      <c r="A1313" t="s">
        <v>87</v>
      </c>
      <c r="B1313" t="s">
        <v>14358</v>
      </c>
      <c r="C1313" t="s">
        <v>86</v>
      </c>
      <c r="D1313" t="s">
        <v>11157</v>
      </c>
    </row>
    <row r="1314" spans="1:4" x14ac:dyDescent="0.2">
      <c r="A1314" t="s">
        <v>92</v>
      </c>
      <c r="B1314" t="s">
        <v>14358</v>
      </c>
      <c r="C1314" t="s">
        <v>91</v>
      </c>
      <c r="D1314" t="s">
        <v>11234</v>
      </c>
    </row>
    <row r="1315" spans="1:4" x14ac:dyDescent="0.2">
      <c r="A1315" t="s">
        <v>600</v>
      </c>
      <c r="B1315" t="s">
        <v>14358</v>
      </c>
      <c r="C1315" t="s">
        <v>11158</v>
      </c>
      <c r="D1315" t="s">
        <v>11159</v>
      </c>
    </row>
    <row r="1316" spans="1:4" x14ac:dyDescent="0.2">
      <c r="A1316" t="s">
        <v>97</v>
      </c>
      <c r="B1316" t="s">
        <v>14358</v>
      </c>
      <c r="C1316" t="s">
        <v>11302</v>
      </c>
      <c r="D1316" t="s">
        <v>11303</v>
      </c>
    </row>
    <row r="1317" spans="1:4" x14ac:dyDescent="0.2">
      <c r="A1317" t="s">
        <v>102</v>
      </c>
      <c r="B1317" t="s">
        <v>14358</v>
      </c>
      <c r="C1317" t="s">
        <v>101</v>
      </c>
      <c r="D1317" t="s">
        <v>11164</v>
      </c>
    </row>
    <row r="1318" spans="1:4" x14ac:dyDescent="0.2">
      <c r="A1318" t="s">
        <v>107</v>
      </c>
      <c r="B1318" t="s">
        <v>14358</v>
      </c>
      <c r="C1318" t="s">
        <v>106</v>
      </c>
      <c r="D1318" t="s">
        <v>11282</v>
      </c>
    </row>
    <row r="1319" spans="1:4" x14ac:dyDescent="0.2">
      <c r="A1319" t="s">
        <v>112</v>
      </c>
      <c r="B1319" t="s">
        <v>14358</v>
      </c>
      <c r="C1319" t="s">
        <v>11299</v>
      </c>
      <c r="D1319" t="s">
        <v>11300</v>
      </c>
    </row>
    <row r="1320" spans="1:4" x14ac:dyDescent="0.2">
      <c r="A1320" t="s">
        <v>117</v>
      </c>
      <c r="B1320" t="s">
        <v>14358</v>
      </c>
      <c r="C1320" t="s">
        <v>116</v>
      </c>
      <c r="D1320" t="s">
        <v>11171</v>
      </c>
    </row>
    <row r="1321" spans="1:4" x14ac:dyDescent="0.2">
      <c r="A1321" t="s">
        <v>122</v>
      </c>
      <c r="B1321" t="s">
        <v>14358</v>
      </c>
      <c r="C1321" t="s">
        <v>121</v>
      </c>
      <c r="D1321" t="s">
        <v>11281</v>
      </c>
    </row>
    <row r="1322" spans="1:4" x14ac:dyDescent="0.2">
      <c r="A1322" t="s">
        <v>127</v>
      </c>
      <c r="B1322" t="s">
        <v>14358</v>
      </c>
      <c r="C1322" t="s">
        <v>11136</v>
      </c>
      <c r="D1322" t="s">
        <v>11137</v>
      </c>
    </row>
    <row r="1323" spans="1:4" x14ac:dyDescent="0.2">
      <c r="A1323" t="s">
        <v>132</v>
      </c>
      <c r="B1323" t="s">
        <v>14358</v>
      </c>
      <c r="C1323" t="s">
        <v>131</v>
      </c>
      <c r="D1323" t="s">
        <v>11253</v>
      </c>
    </row>
    <row r="1324" spans="1:4" x14ac:dyDescent="0.2">
      <c r="A1324" t="s">
        <v>137</v>
      </c>
      <c r="B1324" t="s">
        <v>14358</v>
      </c>
      <c r="C1324" t="s">
        <v>136</v>
      </c>
      <c r="D1324" t="s">
        <v>11203</v>
      </c>
    </row>
    <row r="1325" spans="1:4" x14ac:dyDescent="0.2">
      <c r="A1325" t="s">
        <v>1078</v>
      </c>
      <c r="B1325" t="s">
        <v>14358</v>
      </c>
      <c r="C1325" t="s">
        <v>11291</v>
      </c>
      <c r="D1325" t="s">
        <v>11292</v>
      </c>
    </row>
    <row r="1326" spans="1:4" x14ac:dyDescent="0.2">
      <c r="A1326" t="s">
        <v>824</v>
      </c>
      <c r="B1326" t="s">
        <v>14358</v>
      </c>
      <c r="C1326" t="s">
        <v>823</v>
      </c>
      <c r="D1326" t="s">
        <v>10561</v>
      </c>
    </row>
    <row r="1327" spans="1:4" x14ac:dyDescent="0.2">
      <c r="A1327" t="s">
        <v>142</v>
      </c>
      <c r="B1327" t="s">
        <v>14358</v>
      </c>
      <c r="C1327" t="s">
        <v>141</v>
      </c>
      <c r="D1327" t="s">
        <v>13689</v>
      </c>
    </row>
    <row r="1328" spans="1:4" x14ac:dyDescent="0.2">
      <c r="A1328" t="s">
        <v>149</v>
      </c>
      <c r="B1328" t="s">
        <v>14358</v>
      </c>
      <c r="C1328" t="s">
        <v>148</v>
      </c>
      <c r="D1328" t="s">
        <v>13507</v>
      </c>
    </row>
    <row r="1329" spans="1:4" x14ac:dyDescent="0.2">
      <c r="A1329" t="s">
        <v>154</v>
      </c>
      <c r="B1329" t="s">
        <v>14358</v>
      </c>
      <c r="C1329" t="s">
        <v>153</v>
      </c>
      <c r="D1329" t="s">
        <v>13566</v>
      </c>
    </row>
    <row r="1330" spans="1:4" x14ac:dyDescent="0.2">
      <c r="A1330" t="s">
        <v>159</v>
      </c>
      <c r="B1330" t="s">
        <v>14358</v>
      </c>
      <c r="C1330" t="s">
        <v>158</v>
      </c>
      <c r="D1330" t="s">
        <v>13521</v>
      </c>
    </row>
    <row r="1331" spans="1:4" x14ac:dyDescent="0.2">
      <c r="A1331" t="s">
        <v>164</v>
      </c>
      <c r="B1331" t="s">
        <v>14358</v>
      </c>
      <c r="C1331" t="s">
        <v>163</v>
      </c>
      <c r="D1331" t="s">
        <v>13745</v>
      </c>
    </row>
    <row r="1332" spans="1:4" x14ac:dyDescent="0.2">
      <c r="A1332" t="s">
        <v>169</v>
      </c>
      <c r="B1332" t="s">
        <v>14358</v>
      </c>
      <c r="C1332" t="s">
        <v>168</v>
      </c>
      <c r="D1332" t="s">
        <v>13546</v>
      </c>
    </row>
    <row r="1333" spans="1:4" x14ac:dyDescent="0.2">
      <c r="A1333" t="s">
        <v>174</v>
      </c>
      <c r="B1333" t="s">
        <v>14358</v>
      </c>
      <c r="C1333" t="s">
        <v>173</v>
      </c>
      <c r="D1333" t="s">
        <v>13527</v>
      </c>
    </row>
    <row r="1334" spans="1:4" x14ac:dyDescent="0.2">
      <c r="A1334" t="s">
        <v>179</v>
      </c>
      <c r="B1334" t="s">
        <v>14358</v>
      </c>
      <c r="C1334" t="s">
        <v>178</v>
      </c>
      <c r="D1334" t="s">
        <v>13577</v>
      </c>
    </row>
    <row r="1335" spans="1:4" x14ac:dyDescent="0.2">
      <c r="A1335" t="s">
        <v>184</v>
      </c>
      <c r="B1335" t="s">
        <v>14358</v>
      </c>
      <c r="C1335" t="s">
        <v>183</v>
      </c>
      <c r="D1335" t="s">
        <v>13488</v>
      </c>
    </row>
    <row r="1336" spans="1:4" x14ac:dyDescent="0.2">
      <c r="A1336" t="s">
        <v>189</v>
      </c>
      <c r="B1336" t="s">
        <v>14358</v>
      </c>
      <c r="C1336" t="s">
        <v>188</v>
      </c>
      <c r="D1336" t="s">
        <v>13510</v>
      </c>
    </row>
    <row r="1337" spans="1:4" x14ac:dyDescent="0.2">
      <c r="A1337" t="s">
        <v>194</v>
      </c>
      <c r="B1337" t="s">
        <v>14358</v>
      </c>
      <c r="C1337" t="s">
        <v>193</v>
      </c>
      <c r="D1337" t="s">
        <v>13446</v>
      </c>
    </row>
    <row r="1338" spans="1:4" x14ac:dyDescent="0.2">
      <c r="A1338" t="s">
        <v>199</v>
      </c>
      <c r="B1338" t="s">
        <v>14358</v>
      </c>
      <c r="C1338" t="s">
        <v>198</v>
      </c>
      <c r="D1338" t="s">
        <v>13625</v>
      </c>
    </row>
    <row r="1339" spans="1:4" x14ac:dyDescent="0.2">
      <c r="A1339" t="s">
        <v>204</v>
      </c>
      <c r="B1339" t="s">
        <v>14358</v>
      </c>
      <c r="C1339" t="s">
        <v>203</v>
      </c>
      <c r="D1339" t="s">
        <v>13636</v>
      </c>
    </row>
    <row r="1340" spans="1:4" x14ac:dyDescent="0.2">
      <c r="A1340" t="s">
        <v>209</v>
      </c>
      <c r="B1340" t="s">
        <v>14358</v>
      </c>
      <c r="C1340" t="s">
        <v>208</v>
      </c>
      <c r="D1340" t="s">
        <v>13491</v>
      </c>
    </row>
    <row r="1341" spans="1:4" x14ac:dyDescent="0.2">
      <c r="A1341" t="s">
        <v>829</v>
      </c>
      <c r="B1341" t="s">
        <v>14358</v>
      </c>
      <c r="C1341" t="s">
        <v>830</v>
      </c>
      <c r="D1341" t="s">
        <v>830</v>
      </c>
    </row>
    <row r="1342" spans="1:4" x14ac:dyDescent="0.2">
      <c r="A1342" t="s">
        <v>833</v>
      </c>
      <c r="B1342" t="s">
        <v>14358</v>
      </c>
      <c r="C1342" t="s">
        <v>832</v>
      </c>
      <c r="D1342" t="s">
        <v>10741</v>
      </c>
    </row>
    <row r="1343" spans="1:4" x14ac:dyDescent="0.2">
      <c r="A1343" t="s">
        <v>837</v>
      </c>
      <c r="B1343" t="s">
        <v>14358</v>
      </c>
      <c r="C1343" t="s">
        <v>836</v>
      </c>
      <c r="D1343" t="s">
        <v>10639</v>
      </c>
    </row>
    <row r="1344" spans="1:4" x14ac:dyDescent="0.2">
      <c r="A1344" t="s">
        <v>847</v>
      </c>
      <c r="B1344" t="s">
        <v>14358</v>
      </c>
      <c r="C1344" t="s">
        <v>846</v>
      </c>
      <c r="D1344" t="s">
        <v>846</v>
      </c>
    </row>
    <row r="1345" spans="1:4" x14ac:dyDescent="0.2">
      <c r="A1345" t="s">
        <v>856</v>
      </c>
      <c r="B1345" t="s">
        <v>14358</v>
      </c>
      <c r="C1345" t="s">
        <v>19770</v>
      </c>
      <c r="D1345" t="s">
        <v>11249</v>
      </c>
    </row>
    <row r="1346" spans="1:4" x14ac:dyDescent="0.2">
      <c r="A1346" t="s">
        <v>893</v>
      </c>
      <c r="B1346" t="s">
        <v>14358</v>
      </c>
      <c r="C1346" t="s">
        <v>19764</v>
      </c>
      <c r="D1346" t="s">
        <v>11186</v>
      </c>
    </row>
    <row r="1347" spans="1:4" x14ac:dyDescent="0.2">
      <c r="A1347" t="s">
        <v>860</v>
      </c>
      <c r="B1347" t="s">
        <v>14358</v>
      </c>
      <c r="C1347" t="s">
        <v>859</v>
      </c>
      <c r="D1347" t="s">
        <v>10636</v>
      </c>
    </row>
    <row r="1348" spans="1:4" x14ac:dyDescent="0.2">
      <c r="A1348" t="s">
        <v>865</v>
      </c>
      <c r="B1348" t="s">
        <v>14358</v>
      </c>
      <c r="C1348" t="s">
        <v>864</v>
      </c>
      <c r="D1348" t="s">
        <v>11178</v>
      </c>
    </row>
    <row r="1349" spans="1:4" x14ac:dyDescent="0.2">
      <c r="A1349" t="s">
        <v>869</v>
      </c>
      <c r="B1349" t="s">
        <v>14358</v>
      </c>
      <c r="C1349" t="s">
        <v>868</v>
      </c>
      <c r="D1349" t="s">
        <v>11151</v>
      </c>
    </row>
    <row r="1350" spans="1:4" x14ac:dyDescent="0.2">
      <c r="A1350" t="s">
        <v>873</v>
      </c>
      <c r="B1350" t="s">
        <v>14358</v>
      </c>
      <c r="C1350" t="s">
        <v>872</v>
      </c>
      <c r="D1350" t="s">
        <v>11175</v>
      </c>
    </row>
    <row r="1351" spans="1:4" x14ac:dyDescent="0.2">
      <c r="A1351" t="s">
        <v>877</v>
      </c>
      <c r="B1351" t="s">
        <v>14358</v>
      </c>
      <c r="C1351" t="s">
        <v>876</v>
      </c>
      <c r="D1351" t="s">
        <v>11214</v>
      </c>
    </row>
    <row r="1352" spans="1:4" x14ac:dyDescent="0.2">
      <c r="A1352" t="s">
        <v>880</v>
      </c>
      <c r="B1352" t="s">
        <v>14358</v>
      </c>
      <c r="C1352" t="s">
        <v>879</v>
      </c>
      <c r="D1352" t="s">
        <v>10633</v>
      </c>
    </row>
    <row r="1353" spans="1:4" x14ac:dyDescent="0.2">
      <c r="A1353" t="s">
        <v>884</v>
      </c>
      <c r="B1353" t="s">
        <v>14358</v>
      </c>
      <c r="C1353" t="s">
        <v>883</v>
      </c>
      <c r="D1353" t="s">
        <v>10627</v>
      </c>
    </row>
    <row r="1354" spans="1:4" x14ac:dyDescent="0.2">
      <c r="A1354" t="s">
        <v>889</v>
      </c>
      <c r="B1354" t="s">
        <v>14358</v>
      </c>
      <c r="C1354" t="s">
        <v>888</v>
      </c>
      <c r="D1354" t="s">
        <v>11284</v>
      </c>
    </row>
    <row r="1355" spans="1:4" x14ac:dyDescent="0.2">
      <c r="A1355" t="s">
        <v>897</v>
      </c>
      <c r="B1355" t="s">
        <v>14358</v>
      </c>
      <c r="C1355" t="s">
        <v>896</v>
      </c>
      <c r="D1355" t="s">
        <v>11242</v>
      </c>
    </row>
    <row r="1356" spans="1:4" x14ac:dyDescent="0.2">
      <c r="A1356" t="s">
        <v>901</v>
      </c>
      <c r="B1356" t="s">
        <v>14358</v>
      </c>
      <c r="C1356" t="s">
        <v>900</v>
      </c>
      <c r="D1356" t="s">
        <v>11180</v>
      </c>
    </row>
    <row r="1357" spans="1:4" x14ac:dyDescent="0.2">
      <c r="A1357" t="s">
        <v>905</v>
      </c>
      <c r="B1357" t="s">
        <v>14358</v>
      </c>
      <c r="C1357" t="s">
        <v>904</v>
      </c>
      <c r="D1357" t="s">
        <v>11191</v>
      </c>
    </row>
    <row r="1358" spans="1:4" x14ac:dyDescent="0.2">
      <c r="A1358" t="s">
        <v>909</v>
      </c>
      <c r="B1358" t="s">
        <v>14358</v>
      </c>
      <c r="C1358" t="s">
        <v>908</v>
      </c>
      <c r="D1358" t="s">
        <v>11274</v>
      </c>
    </row>
    <row r="1359" spans="1:4" x14ac:dyDescent="0.2">
      <c r="A1359" t="s">
        <v>913</v>
      </c>
      <c r="B1359" t="s">
        <v>14358</v>
      </c>
      <c r="C1359" t="s">
        <v>912</v>
      </c>
      <c r="D1359" t="s">
        <v>11126</v>
      </c>
    </row>
    <row r="1360" spans="1:4" x14ac:dyDescent="0.2">
      <c r="A1360" t="s">
        <v>917</v>
      </c>
      <c r="B1360" t="s">
        <v>14358</v>
      </c>
      <c r="C1360" t="s">
        <v>916</v>
      </c>
      <c r="D1360" t="s">
        <v>11235</v>
      </c>
    </row>
    <row r="1361" spans="1:4" x14ac:dyDescent="0.2">
      <c r="A1361" t="s">
        <v>921</v>
      </c>
      <c r="B1361" t="s">
        <v>14358</v>
      </c>
      <c r="C1361" t="s">
        <v>920</v>
      </c>
      <c r="D1361" t="s">
        <v>11241</v>
      </c>
    </row>
    <row r="1362" spans="1:4" x14ac:dyDescent="0.2">
      <c r="A1362" t="s">
        <v>924</v>
      </c>
      <c r="B1362" t="s">
        <v>14358</v>
      </c>
      <c r="C1362" t="s">
        <v>923</v>
      </c>
      <c r="D1362" t="s">
        <v>10630</v>
      </c>
    </row>
    <row r="1363" spans="1:4" x14ac:dyDescent="0.2">
      <c r="A1363" t="s">
        <v>660</v>
      </c>
      <c r="B1363" t="s">
        <v>14358</v>
      </c>
      <c r="C1363" t="s">
        <v>11263</v>
      </c>
      <c r="D1363" t="s">
        <v>658</v>
      </c>
    </row>
    <row r="1364" spans="1:4" x14ac:dyDescent="0.2">
      <c r="A1364" t="s">
        <v>928</v>
      </c>
      <c r="B1364" t="s">
        <v>14358</v>
      </c>
      <c r="C1364" t="s">
        <v>927</v>
      </c>
      <c r="D1364" t="s">
        <v>10591</v>
      </c>
    </row>
    <row r="1365" spans="1:4" x14ac:dyDescent="0.2">
      <c r="A1365" t="s">
        <v>13955</v>
      </c>
      <c r="B1365" t="s">
        <v>14359</v>
      </c>
      <c r="C1365" t="s">
        <v>19895</v>
      </c>
      <c r="D1365" t="s">
        <v>14360</v>
      </c>
    </row>
    <row r="1366" spans="1:4" x14ac:dyDescent="0.2">
      <c r="A1366" t="s">
        <v>13960</v>
      </c>
      <c r="B1366" t="s">
        <v>14359</v>
      </c>
      <c r="C1366" t="s">
        <v>19422</v>
      </c>
      <c r="D1366" t="s">
        <v>14360</v>
      </c>
    </row>
    <row r="1367" spans="1:4" x14ac:dyDescent="0.2">
      <c r="A1367" t="s">
        <v>2128</v>
      </c>
      <c r="B1367" t="s">
        <v>14359</v>
      </c>
      <c r="C1367" t="s">
        <v>19540</v>
      </c>
      <c r="D1367" t="s">
        <v>14360</v>
      </c>
    </row>
    <row r="1368" spans="1:4" x14ac:dyDescent="0.2">
      <c r="A1368" t="s">
        <v>2365</v>
      </c>
      <c r="B1368" t="s">
        <v>14359</v>
      </c>
      <c r="C1368" t="s">
        <v>19624</v>
      </c>
      <c r="D1368" t="s">
        <v>14360</v>
      </c>
    </row>
    <row r="1369" spans="1:4" x14ac:dyDescent="0.2">
      <c r="A1369" t="s">
        <v>2587</v>
      </c>
      <c r="B1369" t="s">
        <v>14359</v>
      </c>
      <c r="C1369" t="s">
        <v>19706</v>
      </c>
      <c r="D1369" t="s">
        <v>14360</v>
      </c>
    </row>
    <row r="1370" spans="1:4" x14ac:dyDescent="0.2">
      <c r="A1370" t="s">
        <v>13992</v>
      </c>
      <c r="B1370" t="s">
        <v>14359</v>
      </c>
      <c r="C1370" t="s">
        <v>19894</v>
      </c>
      <c r="D1370" t="s">
        <v>14360</v>
      </c>
    </row>
    <row r="1371" spans="1:4" x14ac:dyDescent="0.2">
      <c r="A1371" t="s">
        <v>14030</v>
      </c>
      <c r="B1371" t="s">
        <v>14359</v>
      </c>
      <c r="C1371" t="s">
        <v>19893</v>
      </c>
      <c r="D1371" t="s">
        <v>14360</v>
      </c>
    </row>
    <row r="1372" spans="1:4" x14ac:dyDescent="0.2">
      <c r="A1372" t="s">
        <v>1886</v>
      </c>
      <c r="B1372" t="s">
        <v>14359</v>
      </c>
      <c r="C1372" t="s">
        <v>19430</v>
      </c>
      <c r="D1372" t="s">
        <v>14360</v>
      </c>
    </row>
    <row r="1373" spans="1:4" x14ac:dyDescent="0.2">
      <c r="A1373" t="s">
        <v>13875</v>
      </c>
      <c r="B1373" t="s">
        <v>14359</v>
      </c>
      <c r="C1373" t="s">
        <v>19328</v>
      </c>
      <c r="D1373" t="s">
        <v>14360</v>
      </c>
    </row>
    <row r="1374" spans="1:4" x14ac:dyDescent="0.2">
      <c r="A1374" t="s">
        <v>14349</v>
      </c>
      <c r="B1374" t="s">
        <v>14359</v>
      </c>
      <c r="C1374" t="s">
        <v>20092</v>
      </c>
      <c r="D1374" t="s">
        <v>14360</v>
      </c>
    </row>
    <row r="1375" spans="1:4" x14ac:dyDescent="0.2">
      <c r="A1375" t="s">
        <v>939</v>
      </c>
      <c r="B1375" t="s">
        <v>14358</v>
      </c>
      <c r="C1375" t="s">
        <v>19772</v>
      </c>
      <c r="D1375" t="s">
        <v>11262</v>
      </c>
    </row>
    <row r="1376" spans="1:4" x14ac:dyDescent="0.2">
      <c r="A1376" t="s">
        <v>943</v>
      </c>
      <c r="B1376" t="s">
        <v>14358</v>
      </c>
      <c r="C1376" t="s">
        <v>19761</v>
      </c>
      <c r="D1376" t="s">
        <v>11272</v>
      </c>
    </row>
    <row r="1377" spans="1:4" x14ac:dyDescent="0.2">
      <c r="A1377" t="s">
        <v>964</v>
      </c>
      <c r="B1377" t="s">
        <v>14358</v>
      </c>
      <c r="C1377" t="s">
        <v>19763</v>
      </c>
      <c r="D1377" t="s">
        <v>11288</v>
      </c>
    </row>
    <row r="1378" spans="1:4" x14ac:dyDescent="0.2">
      <c r="A1378" t="s">
        <v>1005</v>
      </c>
      <c r="B1378" t="s">
        <v>14358</v>
      </c>
      <c r="C1378" t="s">
        <v>19768</v>
      </c>
      <c r="D1378" t="s">
        <v>11208</v>
      </c>
    </row>
    <row r="1379" spans="1:4" x14ac:dyDescent="0.2">
      <c r="A1379" t="s">
        <v>948</v>
      </c>
      <c r="B1379" t="s">
        <v>14358</v>
      </c>
      <c r="C1379" t="s">
        <v>947</v>
      </c>
      <c r="D1379" t="s">
        <v>11271</v>
      </c>
    </row>
    <row r="1380" spans="1:4" x14ac:dyDescent="0.2">
      <c r="A1380" t="s">
        <v>952</v>
      </c>
      <c r="B1380" t="s">
        <v>14358</v>
      </c>
      <c r="C1380" t="s">
        <v>951</v>
      </c>
      <c r="D1380" t="s">
        <v>11228</v>
      </c>
    </row>
    <row r="1381" spans="1:4" x14ac:dyDescent="0.2">
      <c r="A1381" t="s">
        <v>956</v>
      </c>
      <c r="B1381" t="s">
        <v>14358</v>
      </c>
      <c r="C1381" t="s">
        <v>955</v>
      </c>
      <c r="D1381" t="s">
        <v>11298</v>
      </c>
    </row>
    <row r="1382" spans="1:4" x14ac:dyDescent="0.2">
      <c r="A1382" t="s">
        <v>960</v>
      </c>
      <c r="B1382" t="s">
        <v>14358</v>
      </c>
      <c r="C1382" t="s">
        <v>959</v>
      </c>
      <c r="D1382" t="s">
        <v>11205</v>
      </c>
    </row>
    <row r="1383" spans="1:4" x14ac:dyDescent="0.2">
      <c r="A1383" t="s">
        <v>969</v>
      </c>
      <c r="B1383" t="s">
        <v>14358</v>
      </c>
      <c r="C1383" t="s">
        <v>968</v>
      </c>
      <c r="D1383" t="s">
        <v>11231</v>
      </c>
    </row>
    <row r="1384" spans="1:4" x14ac:dyDescent="0.2">
      <c r="A1384" t="s">
        <v>973</v>
      </c>
      <c r="B1384" t="s">
        <v>14358</v>
      </c>
      <c r="C1384" t="s">
        <v>972</v>
      </c>
      <c r="D1384" t="s">
        <v>11301</v>
      </c>
    </row>
    <row r="1385" spans="1:4" x14ac:dyDescent="0.2">
      <c r="A1385" t="s">
        <v>977</v>
      </c>
      <c r="B1385" t="s">
        <v>14358</v>
      </c>
      <c r="C1385" t="s">
        <v>976</v>
      </c>
      <c r="D1385" t="s">
        <v>11211</v>
      </c>
    </row>
    <row r="1386" spans="1:4" x14ac:dyDescent="0.2">
      <c r="A1386" t="s">
        <v>981</v>
      </c>
      <c r="B1386" t="s">
        <v>14358</v>
      </c>
      <c r="C1386" t="s">
        <v>980</v>
      </c>
      <c r="D1386" t="s">
        <v>11134</v>
      </c>
    </row>
    <row r="1387" spans="1:4" x14ac:dyDescent="0.2">
      <c r="A1387" t="s">
        <v>985</v>
      </c>
      <c r="B1387" t="s">
        <v>14358</v>
      </c>
      <c r="C1387" t="s">
        <v>984</v>
      </c>
      <c r="D1387" t="s">
        <v>11297</v>
      </c>
    </row>
    <row r="1388" spans="1:4" x14ac:dyDescent="0.2">
      <c r="A1388" t="s">
        <v>989</v>
      </c>
      <c r="B1388" t="s">
        <v>14358</v>
      </c>
      <c r="C1388" t="s">
        <v>988</v>
      </c>
      <c r="D1388" t="s">
        <v>11204</v>
      </c>
    </row>
    <row r="1389" spans="1:4" x14ac:dyDescent="0.2">
      <c r="A1389" t="s">
        <v>993</v>
      </c>
      <c r="B1389" t="s">
        <v>14358</v>
      </c>
      <c r="C1389" t="s">
        <v>992</v>
      </c>
      <c r="D1389" t="s">
        <v>11255</v>
      </c>
    </row>
    <row r="1390" spans="1:4" x14ac:dyDescent="0.2">
      <c r="A1390" t="s">
        <v>997</v>
      </c>
      <c r="B1390" t="s">
        <v>14358</v>
      </c>
      <c r="C1390" t="s">
        <v>996</v>
      </c>
      <c r="D1390" t="s">
        <v>11217</v>
      </c>
    </row>
    <row r="1391" spans="1:4" x14ac:dyDescent="0.2">
      <c r="A1391" t="s">
        <v>1001</v>
      </c>
      <c r="B1391" t="s">
        <v>14358</v>
      </c>
      <c r="C1391" t="s">
        <v>1000</v>
      </c>
      <c r="D1391" t="s">
        <v>11219</v>
      </c>
    </row>
    <row r="1392" spans="1:4" x14ac:dyDescent="0.2">
      <c r="A1392" t="s">
        <v>1015</v>
      </c>
      <c r="B1392" t="s">
        <v>14358</v>
      </c>
      <c r="C1392" t="s">
        <v>1014</v>
      </c>
      <c r="D1392" t="s">
        <v>13727</v>
      </c>
    </row>
    <row r="1393" spans="1:4" x14ac:dyDescent="0.2">
      <c r="A1393" t="s">
        <v>1019</v>
      </c>
      <c r="B1393" t="s">
        <v>14358</v>
      </c>
      <c r="C1393" t="s">
        <v>1018</v>
      </c>
      <c r="D1393" t="s">
        <v>13449</v>
      </c>
    </row>
    <row r="1394" spans="1:4" x14ac:dyDescent="0.2">
      <c r="A1394" t="s">
        <v>1023</v>
      </c>
      <c r="B1394" t="s">
        <v>14358</v>
      </c>
      <c r="C1394" t="s">
        <v>1022</v>
      </c>
      <c r="D1394" t="s">
        <v>13674</v>
      </c>
    </row>
    <row r="1395" spans="1:4" x14ac:dyDescent="0.2">
      <c r="A1395" t="s">
        <v>1027</v>
      </c>
      <c r="B1395" t="s">
        <v>14358</v>
      </c>
      <c r="C1395" t="s">
        <v>1026</v>
      </c>
      <c r="D1395" t="s">
        <v>13470</v>
      </c>
    </row>
    <row r="1396" spans="1:4" x14ac:dyDescent="0.2">
      <c r="A1396" t="s">
        <v>1031</v>
      </c>
      <c r="B1396" t="s">
        <v>14358</v>
      </c>
      <c r="C1396" t="s">
        <v>1030</v>
      </c>
      <c r="D1396" t="s">
        <v>13730</v>
      </c>
    </row>
    <row r="1397" spans="1:4" x14ac:dyDescent="0.2">
      <c r="A1397" t="s">
        <v>1035</v>
      </c>
      <c r="B1397" t="s">
        <v>14358</v>
      </c>
      <c r="C1397" t="s">
        <v>1034</v>
      </c>
      <c r="D1397" t="s">
        <v>13618</v>
      </c>
    </row>
    <row r="1398" spans="1:4" x14ac:dyDescent="0.2">
      <c r="A1398" t="s">
        <v>1039</v>
      </c>
      <c r="B1398" t="s">
        <v>14358</v>
      </c>
      <c r="C1398" t="s">
        <v>1038</v>
      </c>
      <c r="D1398" t="s">
        <v>13478</v>
      </c>
    </row>
    <row r="1399" spans="1:4" x14ac:dyDescent="0.2">
      <c r="A1399" t="s">
        <v>1043</v>
      </c>
      <c r="B1399" t="s">
        <v>14358</v>
      </c>
      <c r="C1399" t="s">
        <v>1042</v>
      </c>
      <c r="D1399" t="s">
        <v>13558</v>
      </c>
    </row>
    <row r="1400" spans="1:4" x14ac:dyDescent="0.2">
      <c r="A1400" t="s">
        <v>1047</v>
      </c>
      <c r="B1400" t="s">
        <v>14358</v>
      </c>
      <c r="C1400" t="s">
        <v>1046</v>
      </c>
      <c r="D1400" t="s">
        <v>13573</v>
      </c>
    </row>
    <row r="1401" spans="1:4" x14ac:dyDescent="0.2">
      <c r="A1401" t="s">
        <v>1051</v>
      </c>
      <c r="B1401" t="s">
        <v>14358</v>
      </c>
      <c r="C1401" t="s">
        <v>1050</v>
      </c>
      <c r="D1401" t="s">
        <v>13455</v>
      </c>
    </row>
    <row r="1402" spans="1:4" x14ac:dyDescent="0.2">
      <c r="A1402" t="s">
        <v>1055</v>
      </c>
      <c r="B1402" t="s">
        <v>14358</v>
      </c>
      <c r="C1402" t="s">
        <v>1054</v>
      </c>
      <c r="D1402" t="s">
        <v>13441</v>
      </c>
    </row>
    <row r="1403" spans="1:4" x14ac:dyDescent="0.2">
      <c r="A1403" t="s">
        <v>1059</v>
      </c>
      <c r="B1403" t="s">
        <v>14358</v>
      </c>
      <c r="C1403" t="s">
        <v>1058</v>
      </c>
      <c r="D1403" t="s">
        <v>13613</v>
      </c>
    </row>
    <row r="1404" spans="1:4" x14ac:dyDescent="0.2">
      <c r="A1404" t="s">
        <v>1063</v>
      </c>
      <c r="B1404" t="s">
        <v>14358</v>
      </c>
      <c r="C1404" t="s">
        <v>1062</v>
      </c>
      <c r="D1404" t="s">
        <v>13616</v>
      </c>
    </row>
    <row r="1405" spans="1:4" x14ac:dyDescent="0.2">
      <c r="A1405" t="s">
        <v>1067</v>
      </c>
      <c r="B1405" t="s">
        <v>14358</v>
      </c>
      <c r="C1405" t="s">
        <v>1066</v>
      </c>
      <c r="D1405" t="s">
        <v>13433</v>
      </c>
    </row>
    <row r="1406" spans="1:4" x14ac:dyDescent="0.2">
      <c r="A1406" t="s">
        <v>1238</v>
      </c>
      <c r="B1406" t="s">
        <v>14359</v>
      </c>
      <c r="C1406" t="s">
        <v>19222</v>
      </c>
      <c r="D1406" t="s">
        <v>14360</v>
      </c>
    </row>
    <row r="1407" spans="1:4" x14ac:dyDescent="0.2">
      <c r="A1407" t="s">
        <v>14047</v>
      </c>
      <c r="B1407" t="s">
        <v>14359</v>
      </c>
      <c r="C1407" t="s">
        <v>19892</v>
      </c>
      <c r="D1407" t="s">
        <v>14360</v>
      </c>
    </row>
    <row r="1408" spans="1:4" x14ac:dyDescent="0.2">
      <c r="A1408" t="s">
        <v>1670</v>
      </c>
      <c r="B1408" t="s">
        <v>14359</v>
      </c>
      <c r="C1408" t="s">
        <v>19364</v>
      </c>
      <c r="D1408" t="s">
        <v>14360</v>
      </c>
    </row>
    <row r="1409" spans="1:4" x14ac:dyDescent="0.2">
      <c r="A1409" t="s">
        <v>2623</v>
      </c>
      <c r="B1409" t="s">
        <v>14359</v>
      </c>
      <c r="C1409" t="s">
        <v>19725</v>
      </c>
      <c r="D1409" t="s">
        <v>14360</v>
      </c>
    </row>
    <row r="1410" spans="1:4" x14ac:dyDescent="0.2">
      <c r="A1410" t="s">
        <v>1475</v>
      </c>
      <c r="B1410" t="s">
        <v>14359</v>
      </c>
      <c r="C1410" t="s">
        <v>19305</v>
      </c>
      <c r="D1410" t="s">
        <v>14360</v>
      </c>
    </row>
    <row r="1411" spans="1:4" x14ac:dyDescent="0.2">
      <c r="A1411" t="s">
        <v>1798</v>
      </c>
      <c r="B1411" t="s">
        <v>14359</v>
      </c>
      <c r="C1411" t="s">
        <v>19399</v>
      </c>
      <c r="D1411" t="s">
        <v>14360</v>
      </c>
    </row>
    <row r="1412" spans="1:4" x14ac:dyDescent="0.2">
      <c r="A1412" t="s">
        <v>13777</v>
      </c>
      <c r="B1412" t="s">
        <v>14359</v>
      </c>
      <c r="C1412" t="s">
        <v>1069</v>
      </c>
      <c r="D1412" t="s">
        <v>14360</v>
      </c>
    </row>
    <row r="1413" spans="1:4" x14ac:dyDescent="0.2">
      <c r="A1413" t="s">
        <v>1071</v>
      </c>
      <c r="B1413" t="s">
        <v>14358</v>
      </c>
      <c r="C1413" t="s">
        <v>1069</v>
      </c>
      <c r="D1413" t="s">
        <v>1069</v>
      </c>
    </row>
    <row r="1414" spans="1:4" x14ac:dyDescent="0.2">
      <c r="A1414" t="s">
        <v>1821</v>
      </c>
      <c r="B1414" t="s">
        <v>14359</v>
      </c>
      <c r="C1414" t="s">
        <v>19408</v>
      </c>
      <c r="D1414" t="s">
        <v>14360</v>
      </c>
    </row>
    <row r="1415" spans="1:4" x14ac:dyDescent="0.2">
      <c r="A1415" t="s">
        <v>13850</v>
      </c>
      <c r="B1415" t="s">
        <v>14359</v>
      </c>
      <c r="C1415" t="s">
        <v>19891</v>
      </c>
      <c r="D1415" t="s">
        <v>14360</v>
      </c>
    </row>
    <row r="1416" spans="1:4" x14ac:dyDescent="0.2">
      <c r="A1416" t="s">
        <v>14075</v>
      </c>
      <c r="B1416" t="s">
        <v>14359</v>
      </c>
      <c r="C1416" t="s">
        <v>19586</v>
      </c>
      <c r="D1416" t="s">
        <v>14360</v>
      </c>
    </row>
    <row r="1417" spans="1:4" x14ac:dyDescent="0.2">
      <c r="A1417" t="s">
        <v>13780</v>
      </c>
      <c r="B1417" t="s">
        <v>14359</v>
      </c>
      <c r="C1417" t="s">
        <v>19890</v>
      </c>
      <c r="D1417" t="s">
        <v>14360</v>
      </c>
    </row>
    <row r="1418" spans="1:4" x14ac:dyDescent="0.2">
      <c r="A1418" t="s">
        <v>2393</v>
      </c>
      <c r="B1418" t="s">
        <v>14359</v>
      </c>
      <c r="C1418" t="s">
        <v>19634</v>
      </c>
      <c r="D1418" t="s">
        <v>14360</v>
      </c>
    </row>
    <row r="1419" spans="1:4" x14ac:dyDescent="0.2">
      <c r="A1419" t="s">
        <v>2589</v>
      </c>
      <c r="B1419" t="s">
        <v>14359</v>
      </c>
      <c r="C1419" t="s">
        <v>19707</v>
      </c>
      <c r="D1419" t="s">
        <v>14360</v>
      </c>
    </row>
    <row r="1420" spans="1:4" x14ac:dyDescent="0.2">
      <c r="A1420" t="s">
        <v>2571</v>
      </c>
      <c r="B1420" t="s">
        <v>14359</v>
      </c>
      <c r="C1420" t="s">
        <v>19699</v>
      </c>
      <c r="D1420" t="s">
        <v>14360</v>
      </c>
    </row>
    <row r="1421" spans="1:4" x14ac:dyDescent="0.2">
      <c r="A1421" t="s">
        <v>2375</v>
      </c>
      <c r="B1421" t="s">
        <v>14359</v>
      </c>
      <c r="C1421" t="s">
        <v>19629</v>
      </c>
      <c r="D1421" t="s">
        <v>14360</v>
      </c>
    </row>
    <row r="1422" spans="1:4" x14ac:dyDescent="0.2">
      <c r="A1422" t="s">
        <v>13790</v>
      </c>
      <c r="B1422" t="s">
        <v>14359</v>
      </c>
      <c r="C1422" t="s">
        <v>19889</v>
      </c>
      <c r="D1422" t="s">
        <v>14360</v>
      </c>
    </row>
    <row r="1423" spans="1:4" x14ac:dyDescent="0.2">
      <c r="A1423" t="s">
        <v>13772</v>
      </c>
      <c r="B1423" t="s">
        <v>14359</v>
      </c>
      <c r="C1423" t="s">
        <v>1073</v>
      </c>
      <c r="D1423" t="s">
        <v>14360</v>
      </c>
    </row>
    <row r="1424" spans="1:4" x14ac:dyDescent="0.2">
      <c r="A1424" t="s">
        <v>1075</v>
      </c>
      <c r="B1424" t="s">
        <v>14358</v>
      </c>
      <c r="C1424" t="s">
        <v>1073</v>
      </c>
      <c r="D1424" t="s">
        <v>1073</v>
      </c>
    </row>
    <row r="1425" spans="1:4" x14ac:dyDescent="0.2">
      <c r="A1425" t="s">
        <v>13953</v>
      </c>
      <c r="B1425" t="s">
        <v>14359</v>
      </c>
      <c r="C1425" t="s">
        <v>19886</v>
      </c>
      <c r="D1425" t="s">
        <v>14360</v>
      </c>
    </row>
    <row r="1426" spans="1:4" x14ac:dyDescent="0.2">
      <c r="A1426" t="s">
        <v>13919</v>
      </c>
      <c r="B1426" t="s">
        <v>14359</v>
      </c>
      <c r="C1426" t="s">
        <v>19887</v>
      </c>
      <c r="D1426" t="s">
        <v>14360</v>
      </c>
    </row>
    <row r="1427" spans="1:4" x14ac:dyDescent="0.2">
      <c r="A1427" t="s">
        <v>13920</v>
      </c>
      <c r="B1427" t="s">
        <v>14359</v>
      </c>
      <c r="C1427" t="s">
        <v>19888</v>
      </c>
      <c r="D1427" t="s">
        <v>14360</v>
      </c>
    </row>
    <row r="1428" spans="1:4" x14ac:dyDescent="0.2">
      <c r="A1428" t="s">
        <v>1780</v>
      </c>
      <c r="B1428" t="s">
        <v>14359</v>
      </c>
      <c r="C1428" t="s">
        <v>19394</v>
      </c>
      <c r="D1428" t="s">
        <v>14360</v>
      </c>
    </row>
    <row r="1429" spans="1:4" x14ac:dyDescent="0.2">
      <c r="A1429" t="s">
        <v>14083</v>
      </c>
      <c r="B1429" t="s">
        <v>14359</v>
      </c>
      <c r="C1429" t="s">
        <v>19601</v>
      </c>
      <c r="D1429" t="s">
        <v>14360</v>
      </c>
    </row>
    <row r="1430" spans="1:4" x14ac:dyDescent="0.2">
      <c r="A1430" t="s">
        <v>2397</v>
      </c>
      <c r="B1430" t="s">
        <v>14359</v>
      </c>
      <c r="C1430" t="s">
        <v>19635</v>
      </c>
      <c r="D1430" t="s">
        <v>14360</v>
      </c>
    </row>
    <row r="1431" spans="1:4" x14ac:dyDescent="0.2">
      <c r="A1431" t="s">
        <v>13898</v>
      </c>
      <c r="B1431" t="s">
        <v>14359</v>
      </c>
      <c r="C1431" t="s">
        <v>19883</v>
      </c>
      <c r="D1431" t="s">
        <v>14360</v>
      </c>
    </row>
    <row r="1432" spans="1:4" x14ac:dyDescent="0.2">
      <c r="A1432" t="s">
        <v>14350</v>
      </c>
      <c r="B1432" t="s">
        <v>14359</v>
      </c>
      <c r="C1432" t="s">
        <v>19884</v>
      </c>
      <c r="D1432" t="s">
        <v>14360</v>
      </c>
    </row>
    <row r="1433" spans="1:4" x14ac:dyDescent="0.2">
      <c r="A1433" t="s">
        <v>13930</v>
      </c>
      <c r="B1433" t="s">
        <v>14359</v>
      </c>
      <c r="C1433" t="s">
        <v>19885</v>
      </c>
      <c r="D1433" t="s">
        <v>14360</v>
      </c>
    </row>
    <row r="1434" spans="1:4" x14ac:dyDescent="0.2">
      <c r="A1434" t="s">
        <v>2645</v>
      </c>
      <c r="B1434" t="s">
        <v>14359</v>
      </c>
      <c r="C1434" t="s">
        <v>10296</v>
      </c>
      <c r="D1434" t="s">
        <v>14360</v>
      </c>
    </row>
    <row r="1435" spans="1:4" x14ac:dyDescent="0.2">
      <c r="A1435" t="s">
        <v>2255</v>
      </c>
      <c r="B1435" t="s">
        <v>14359</v>
      </c>
      <c r="C1435" t="s">
        <v>20321</v>
      </c>
      <c r="D1435" t="s">
        <v>14360</v>
      </c>
    </row>
    <row r="1436" spans="1:4" x14ac:dyDescent="0.2">
      <c r="A1436" t="s">
        <v>2661</v>
      </c>
      <c r="B1436" t="s">
        <v>14359</v>
      </c>
      <c r="C1436" t="s">
        <v>10297</v>
      </c>
      <c r="D1436" t="s">
        <v>14360</v>
      </c>
    </row>
    <row r="1437" spans="1:4" x14ac:dyDescent="0.2">
      <c r="A1437" t="s">
        <v>14258</v>
      </c>
      <c r="B1437" t="s">
        <v>14359</v>
      </c>
      <c r="C1437" t="s">
        <v>20322</v>
      </c>
      <c r="D1437" t="s">
        <v>14360</v>
      </c>
    </row>
    <row r="1438" spans="1:4" x14ac:dyDescent="0.2">
      <c r="A1438" t="s">
        <v>2663</v>
      </c>
      <c r="B1438" t="s">
        <v>14359</v>
      </c>
      <c r="C1438" t="s">
        <v>10298</v>
      </c>
      <c r="D1438" t="s">
        <v>14360</v>
      </c>
    </row>
    <row r="1439" spans="1:4" x14ac:dyDescent="0.2">
      <c r="A1439" t="s">
        <v>2651</v>
      </c>
      <c r="B1439" t="s">
        <v>14359</v>
      </c>
      <c r="C1439" t="s">
        <v>10299</v>
      </c>
      <c r="D1439" t="s">
        <v>14360</v>
      </c>
    </row>
    <row r="1440" spans="1:4" x14ac:dyDescent="0.2">
      <c r="A1440" t="s">
        <v>2655</v>
      </c>
      <c r="B1440" t="s">
        <v>14359</v>
      </c>
      <c r="C1440" t="s">
        <v>10300</v>
      </c>
      <c r="D1440" t="s">
        <v>14360</v>
      </c>
    </row>
    <row r="1441" spans="1:4" x14ac:dyDescent="0.2">
      <c r="A1441" t="s">
        <v>2659</v>
      </c>
      <c r="B1441" t="s">
        <v>14359</v>
      </c>
      <c r="C1441" t="s">
        <v>10301</v>
      </c>
      <c r="D1441" t="s">
        <v>14360</v>
      </c>
    </row>
    <row r="1442" spans="1:4" x14ac:dyDescent="0.2">
      <c r="A1442" t="s">
        <v>14124</v>
      </c>
      <c r="B1442" t="s">
        <v>14359</v>
      </c>
      <c r="C1442" t="s">
        <v>10302</v>
      </c>
      <c r="D1442" t="s">
        <v>14360</v>
      </c>
    </row>
    <row r="1443" spans="1:4" x14ac:dyDescent="0.2">
      <c r="A1443" t="s">
        <v>2681</v>
      </c>
      <c r="B1443" t="s">
        <v>14359</v>
      </c>
      <c r="C1443" t="s">
        <v>10303</v>
      </c>
      <c r="D1443" t="s">
        <v>14360</v>
      </c>
    </row>
    <row r="1444" spans="1:4" x14ac:dyDescent="0.2">
      <c r="A1444" t="s">
        <v>14125</v>
      </c>
      <c r="B1444" t="s">
        <v>14359</v>
      </c>
      <c r="C1444" t="s">
        <v>10304</v>
      </c>
      <c r="D1444" t="s">
        <v>14360</v>
      </c>
    </row>
    <row r="1445" spans="1:4" x14ac:dyDescent="0.2">
      <c r="A1445" t="s">
        <v>1569</v>
      </c>
      <c r="B1445" t="s">
        <v>14359</v>
      </c>
      <c r="C1445" t="s">
        <v>20323</v>
      </c>
      <c r="D1445" t="s">
        <v>14360</v>
      </c>
    </row>
    <row r="1446" spans="1:4" x14ac:dyDescent="0.2">
      <c r="A1446" t="s">
        <v>2273</v>
      </c>
      <c r="B1446" t="s">
        <v>14359</v>
      </c>
      <c r="C1446" t="s">
        <v>20324</v>
      </c>
      <c r="D1446" t="s">
        <v>14360</v>
      </c>
    </row>
    <row r="1447" spans="1:4" x14ac:dyDescent="0.2">
      <c r="A1447" t="s">
        <v>14259</v>
      </c>
      <c r="B1447" t="s">
        <v>14359</v>
      </c>
      <c r="C1447" t="s">
        <v>20325</v>
      </c>
      <c r="D1447" t="s">
        <v>14360</v>
      </c>
    </row>
    <row r="1448" spans="1:4" x14ac:dyDescent="0.2">
      <c r="A1448" t="s">
        <v>14260</v>
      </c>
      <c r="B1448" t="s">
        <v>14359</v>
      </c>
      <c r="C1448" t="s">
        <v>20326</v>
      </c>
      <c r="D1448" t="s">
        <v>14360</v>
      </c>
    </row>
    <row r="1449" spans="1:4" x14ac:dyDescent="0.2">
      <c r="A1449" t="s">
        <v>2687</v>
      </c>
      <c r="B1449" t="s">
        <v>14359</v>
      </c>
      <c r="C1449" t="s">
        <v>10305</v>
      </c>
      <c r="D1449" t="s">
        <v>14360</v>
      </c>
    </row>
    <row r="1450" spans="1:4" x14ac:dyDescent="0.2">
      <c r="A1450" t="s">
        <v>2679</v>
      </c>
      <c r="B1450" t="s">
        <v>14359</v>
      </c>
      <c r="C1450" t="s">
        <v>10306</v>
      </c>
      <c r="D1450" t="s">
        <v>14360</v>
      </c>
    </row>
    <row r="1451" spans="1:4" x14ac:dyDescent="0.2">
      <c r="A1451" t="s">
        <v>2665</v>
      </c>
      <c r="B1451" t="s">
        <v>14359</v>
      </c>
      <c r="C1451" t="s">
        <v>10307</v>
      </c>
      <c r="D1451" t="s">
        <v>14360</v>
      </c>
    </row>
    <row r="1452" spans="1:4" x14ac:dyDescent="0.2">
      <c r="A1452" t="s">
        <v>2677</v>
      </c>
      <c r="B1452" t="s">
        <v>14359</v>
      </c>
      <c r="C1452" t="s">
        <v>10308</v>
      </c>
      <c r="D1452" t="s">
        <v>14360</v>
      </c>
    </row>
    <row r="1453" spans="1:4" x14ac:dyDescent="0.2">
      <c r="A1453" t="s">
        <v>3091</v>
      </c>
      <c r="B1453" t="s">
        <v>14359</v>
      </c>
      <c r="C1453" t="s">
        <v>20327</v>
      </c>
      <c r="D1453" t="s">
        <v>14360</v>
      </c>
    </row>
    <row r="1454" spans="1:4" x14ac:dyDescent="0.2">
      <c r="A1454" t="s">
        <v>14261</v>
      </c>
      <c r="B1454" t="s">
        <v>14359</v>
      </c>
      <c r="C1454" t="s">
        <v>20328</v>
      </c>
      <c r="D1454" t="s">
        <v>14360</v>
      </c>
    </row>
    <row r="1455" spans="1:4" x14ac:dyDescent="0.2">
      <c r="A1455" t="s">
        <v>14262</v>
      </c>
      <c r="B1455" t="s">
        <v>14359</v>
      </c>
      <c r="C1455" t="s">
        <v>20329</v>
      </c>
      <c r="D1455" t="s">
        <v>14360</v>
      </c>
    </row>
    <row r="1456" spans="1:4" x14ac:dyDescent="0.2">
      <c r="A1456" t="s">
        <v>2285</v>
      </c>
      <c r="B1456" t="s">
        <v>14359</v>
      </c>
      <c r="C1456" t="s">
        <v>20330</v>
      </c>
      <c r="D1456" t="s">
        <v>14360</v>
      </c>
    </row>
    <row r="1457" spans="1:4" x14ac:dyDescent="0.2">
      <c r="A1457" t="s">
        <v>2263</v>
      </c>
      <c r="B1457" t="s">
        <v>14359</v>
      </c>
      <c r="C1457" t="s">
        <v>20331</v>
      </c>
      <c r="D1457" t="s">
        <v>14360</v>
      </c>
    </row>
    <row r="1458" spans="1:4" x14ac:dyDescent="0.2">
      <c r="A1458" t="s">
        <v>2671</v>
      </c>
      <c r="B1458" t="s">
        <v>14359</v>
      </c>
      <c r="C1458" t="s">
        <v>10309</v>
      </c>
      <c r="D1458" t="s">
        <v>14360</v>
      </c>
    </row>
    <row r="1459" spans="1:4" x14ac:dyDescent="0.2">
      <c r="A1459" t="s">
        <v>2669</v>
      </c>
      <c r="B1459" t="s">
        <v>14359</v>
      </c>
      <c r="C1459" t="s">
        <v>10310</v>
      </c>
      <c r="D1459" t="s">
        <v>14360</v>
      </c>
    </row>
    <row r="1460" spans="1:4" x14ac:dyDescent="0.2">
      <c r="A1460" t="s">
        <v>2685</v>
      </c>
      <c r="B1460" t="s">
        <v>14359</v>
      </c>
      <c r="C1460" t="s">
        <v>10311</v>
      </c>
      <c r="D1460" t="s">
        <v>14360</v>
      </c>
    </row>
    <row r="1461" spans="1:4" x14ac:dyDescent="0.2">
      <c r="A1461" t="s">
        <v>14263</v>
      </c>
      <c r="B1461" t="s">
        <v>14359</v>
      </c>
      <c r="C1461" t="s">
        <v>20332</v>
      </c>
      <c r="D1461" t="s">
        <v>14360</v>
      </c>
    </row>
    <row r="1462" spans="1:4" x14ac:dyDescent="0.2">
      <c r="A1462" t="s">
        <v>2691</v>
      </c>
      <c r="B1462" t="s">
        <v>14359</v>
      </c>
      <c r="C1462" t="s">
        <v>10312</v>
      </c>
      <c r="D1462" t="s">
        <v>14360</v>
      </c>
    </row>
    <row r="1463" spans="1:4" x14ac:dyDescent="0.2">
      <c r="A1463" t="s">
        <v>2675</v>
      </c>
      <c r="B1463" t="s">
        <v>14359</v>
      </c>
      <c r="C1463" t="s">
        <v>10313</v>
      </c>
      <c r="D1463" t="s">
        <v>14360</v>
      </c>
    </row>
    <row r="1464" spans="1:4" x14ac:dyDescent="0.2">
      <c r="A1464" t="s">
        <v>2667</v>
      </c>
      <c r="B1464" t="s">
        <v>14359</v>
      </c>
      <c r="C1464" t="s">
        <v>10314</v>
      </c>
      <c r="D1464" t="s">
        <v>14360</v>
      </c>
    </row>
    <row r="1465" spans="1:4" x14ac:dyDescent="0.2">
      <c r="A1465" t="s">
        <v>2683</v>
      </c>
      <c r="B1465" t="s">
        <v>14359</v>
      </c>
      <c r="C1465" t="s">
        <v>10315</v>
      </c>
      <c r="D1465" t="s">
        <v>14360</v>
      </c>
    </row>
    <row r="1466" spans="1:4" x14ac:dyDescent="0.2">
      <c r="A1466" t="s">
        <v>2673</v>
      </c>
      <c r="B1466" t="s">
        <v>14359</v>
      </c>
      <c r="C1466" t="s">
        <v>10316</v>
      </c>
      <c r="D1466" t="s">
        <v>14360</v>
      </c>
    </row>
    <row r="1467" spans="1:4" x14ac:dyDescent="0.2">
      <c r="A1467" t="s">
        <v>2689</v>
      </c>
      <c r="B1467" t="s">
        <v>14359</v>
      </c>
      <c r="C1467" t="s">
        <v>10317</v>
      </c>
      <c r="D1467" t="s">
        <v>14360</v>
      </c>
    </row>
    <row r="1468" spans="1:4" x14ac:dyDescent="0.2">
      <c r="A1468" t="s">
        <v>2712</v>
      </c>
      <c r="B1468" t="s">
        <v>14359</v>
      </c>
      <c r="C1468" t="s">
        <v>10318</v>
      </c>
      <c r="D1468" t="s">
        <v>14360</v>
      </c>
    </row>
    <row r="1469" spans="1:4" x14ac:dyDescent="0.2">
      <c r="A1469" t="s">
        <v>2725</v>
      </c>
      <c r="B1469" t="s">
        <v>14359</v>
      </c>
      <c r="C1469" t="s">
        <v>17111</v>
      </c>
      <c r="D1469" t="s">
        <v>14360</v>
      </c>
    </row>
    <row r="1470" spans="1:4" x14ac:dyDescent="0.2">
      <c r="A1470" t="s">
        <v>2723</v>
      </c>
      <c r="B1470" t="s">
        <v>14359</v>
      </c>
      <c r="C1470" t="s">
        <v>10319</v>
      </c>
      <c r="D1470" t="s">
        <v>14360</v>
      </c>
    </row>
    <row r="1471" spans="1:4" x14ac:dyDescent="0.2">
      <c r="A1471" t="s">
        <v>14264</v>
      </c>
      <c r="B1471" t="s">
        <v>14359</v>
      </c>
      <c r="C1471" t="s">
        <v>20333</v>
      </c>
      <c r="D1471" t="s">
        <v>14360</v>
      </c>
    </row>
    <row r="1472" spans="1:4" x14ac:dyDescent="0.2">
      <c r="A1472" t="s">
        <v>2719</v>
      </c>
      <c r="B1472" t="s">
        <v>14359</v>
      </c>
      <c r="C1472" t="s">
        <v>10320</v>
      </c>
      <c r="D1472" t="s">
        <v>14360</v>
      </c>
    </row>
    <row r="1473" spans="1:4" x14ac:dyDescent="0.2">
      <c r="A1473" t="s">
        <v>2304</v>
      </c>
      <c r="B1473" t="s">
        <v>14359</v>
      </c>
      <c r="C1473" t="s">
        <v>20334</v>
      </c>
      <c r="D1473" t="s">
        <v>14360</v>
      </c>
    </row>
    <row r="1474" spans="1:4" x14ac:dyDescent="0.2">
      <c r="A1474" t="s">
        <v>14126</v>
      </c>
      <c r="B1474" t="s">
        <v>14359</v>
      </c>
      <c r="C1474" t="s">
        <v>10321</v>
      </c>
      <c r="D1474" t="s">
        <v>14360</v>
      </c>
    </row>
    <row r="1475" spans="1:4" x14ac:dyDescent="0.2">
      <c r="A1475" t="s">
        <v>2709</v>
      </c>
      <c r="B1475" t="s">
        <v>14359</v>
      </c>
      <c r="C1475" t="s">
        <v>10322</v>
      </c>
      <c r="D1475" t="s">
        <v>14360</v>
      </c>
    </row>
    <row r="1476" spans="1:4" x14ac:dyDescent="0.2">
      <c r="A1476" t="s">
        <v>2717</v>
      </c>
      <c r="B1476" t="s">
        <v>14359</v>
      </c>
      <c r="C1476" t="s">
        <v>10323</v>
      </c>
      <c r="D1476" t="s">
        <v>14360</v>
      </c>
    </row>
    <row r="1477" spans="1:4" x14ac:dyDescent="0.2">
      <c r="A1477" t="s">
        <v>2701</v>
      </c>
      <c r="B1477" t="s">
        <v>14359</v>
      </c>
      <c r="C1477" t="s">
        <v>10324</v>
      </c>
      <c r="D1477" t="s">
        <v>14360</v>
      </c>
    </row>
    <row r="1478" spans="1:4" x14ac:dyDescent="0.2">
      <c r="A1478" t="s">
        <v>14265</v>
      </c>
      <c r="B1478" t="s">
        <v>14359</v>
      </c>
      <c r="C1478" t="s">
        <v>20335</v>
      </c>
      <c r="D1478" t="s">
        <v>14360</v>
      </c>
    </row>
    <row r="1479" spans="1:4" x14ac:dyDescent="0.2">
      <c r="A1479" t="s">
        <v>2693</v>
      </c>
      <c r="B1479" t="s">
        <v>14359</v>
      </c>
      <c r="C1479" t="s">
        <v>17114</v>
      </c>
      <c r="D1479" t="s">
        <v>14360</v>
      </c>
    </row>
    <row r="1480" spans="1:4" x14ac:dyDescent="0.2">
      <c r="A1480" t="s">
        <v>2265</v>
      </c>
      <c r="B1480" t="s">
        <v>14359</v>
      </c>
      <c r="C1480" t="s">
        <v>20336</v>
      </c>
      <c r="D1480" t="s">
        <v>14360</v>
      </c>
    </row>
    <row r="1481" spans="1:4" x14ac:dyDescent="0.2">
      <c r="A1481" t="s">
        <v>2703</v>
      </c>
      <c r="B1481" t="s">
        <v>14359</v>
      </c>
      <c r="C1481" t="s">
        <v>10325</v>
      </c>
      <c r="D1481" t="s">
        <v>14360</v>
      </c>
    </row>
    <row r="1482" spans="1:4" x14ac:dyDescent="0.2">
      <c r="A1482" t="s">
        <v>14266</v>
      </c>
      <c r="B1482" t="s">
        <v>14359</v>
      </c>
      <c r="C1482" t="s">
        <v>20337</v>
      </c>
      <c r="D1482" t="s">
        <v>14360</v>
      </c>
    </row>
    <row r="1483" spans="1:4" x14ac:dyDescent="0.2">
      <c r="A1483" t="s">
        <v>2238</v>
      </c>
      <c r="B1483" t="s">
        <v>14359</v>
      </c>
      <c r="C1483" t="s">
        <v>20338</v>
      </c>
      <c r="D1483" t="s">
        <v>14360</v>
      </c>
    </row>
    <row r="1484" spans="1:4" x14ac:dyDescent="0.2">
      <c r="A1484" t="s">
        <v>2705</v>
      </c>
      <c r="B1484" t="s">
        <v>14359</v>
      </c>
      <c r="C1484" t="s">
        <v>10326</v>
      </c>
      <c r="D1484" t="s">
        <v>14360</v>
      </c>
    </row>
    <row r="1485" spans="1:4" x14ac:dyDescent="0.2">
      <c r="A1485" t="s">
        <v>2695</v>
      </c>
      <c r="B1485" t="s">
        <v>14359</v>
      </c>
      <c r="C1485" t="s">
        <v>10327</v>
      </c>
      <c r="D1485" t="s">
        <v>14360</v>
      </c>
    </row>
    <row r="1486" spans="1:4" x14ac:dyDescent="0.2">
      <c r="A1486" t="s">
        <v>2228</v>
      </c>
      <c r="B1486" t="s">
        <v>14359</v>
      </c>
      <c r="C1486" t="s">
        <v>20339</v>
      </c>
      <c r="D1486" t="s">
        <v>14360</v>
      </c>
    </row>
    <row r="1487" spans="1:4" x14ac:dyDescent="0.2">
      <c r="A1487" t="s">
        <v>14127</v>
      </c>
      <c r="B1487" t="s">
        <v>14359</v>
      </c>
      <c r="C1487" t="s">
        <v>10328</v>
      </c>
      <c r="D1487" t="s">
        <v>14360</v>
      </c>
    </row>
    <row r="1488" spans="1:4" x14ac:dyDescent="0.2">
      <c r="A1488" t="s">
        <v>2697</v>
      </c>
      <c r="B1488" t="s">
        <v>14359</v>
      </c>
      <c r="C1488" t="s">
        <v>10329</v>
      </c>
      <c r="D1488" t="s">
        <v>14360</v>
      </c>
    </row>
    <row r="1489" spans="1:4" x14ac:dyDescent="0.2">
      <c r="A1489" t="s">
        <v>2707</v>
      </c>
      <c r="B1489" t="s">
        <v>14359</v>
      </c>
      <c r="C1489" t="s">
        <v>10330</v>
      </c>
      <c r="D1489" t="s">
        <v>14360</v>
      </c>
    </row>
    <row r="1490" spans="1:4" x14ac:dyDescent="0.2">
      <c r="A1490" t="s">
        <v>2715</v>
      </c>
      <c r="B1490" t="s">
        <v>14359</v>
      </c>
      <c r="C1490" t="s">
        <v>10331</v>
      </c>
      <c r="D1490" t="s">
        <v>14360</v>
      </c>
    </row>
    <row r="1491" spans="1:4" x14ac:dyDescent="0.2">
      <c r="A1491" t="s">
        <v>2699</v>
      </c>
      <c r="B1491" t="s">
        <v>14359</v>
      </c>
      <c r="C1491" t="s">
        <v>10332</v>
      </c>
      <c r="D1491" t="s">
        <v>14360</v>
      </c>
    </row>
    <row r="1492" spans="1:4" x14ac:dyDescent="0.2">
      <c r="A1492" t="s">
        <v>2721</v>
      </c>
      <c r="B1492" t="s">
        <v>14359</v>
      </c>
      <c r="C1492" t="s">
        <v>10333</v>
      </c>
      <c r="D1492" t="s">
        <v>14360</v>
      </c>
    </row>
    <row r="1493" spans="1:4" x14ac:dyDescent="0.2">
      <c r="A1493" t="s">
        <v>2175</v>
      </c>
      <c r="B1493" t="s">
        <v>14359</v>
      </c>
      <c r="C1493" t="s">
        <v>20340</v>
      </c>
      <c r="D1493" t="s">
        <v>14360</v>
      </c>
    </row>
    <row r="1494" spans="1:4" x14ac:dyDescent="0.2">
      <c r="A1494" t="s">
        <v>14128</v>
      </c>
      <c r="B1494" t="s">
        <v>14359</v>
      </c>
      <c r="C1494" t="s">
        <v>10334</v>
      </c>
      <c r="D1494" t="s">
        <v>14360</v>
      </c>
    </row>
    <row r="1495" spans="1:4" x14ac:dyDescent="0.2">
      <c r="A1495" t="s">
        <v>14267</v>
      </c>
      <c r="B1495" t="s">
        <v>14359</v>
      </c>
      <c r="C1495" t="s">
        <v>20341</v>
      </c>
      <c r="D1495" t="s">
        <v>14360</v>
      </c>
    </row>
    <row r="1496" spans="1:4" x14ac:dyDescent="0.2">
      <c r="A1496" t="s">
        <v>2727</v>
      </c>
      <c r="B1496" t="s">
        <v>14359</v>
      </c>
      <c r="C1496" t="s">
        <v>10335</v>
      </c>
      <c r="D1496" t="s">
        <v>14360</v>
      </c>
    </row>
    <row r="1497" spans="1:4" x14ac:dyDescent="0.2">
      <c r="A1497" t="s">
        <v>14268</v>
      </c>
      <c r="B1497" t="s">
        <v>14359</v>
      </c>
      <c r="C1497" t="s">
        <v>20342</v>
      </c>
      <c r="D1497" t="s">
        <v>14360</v>
      </c>
    </row>
    <row r="1498" spans="1:4" x14ac:dyDescent="0.2">
      <c r="A1498" t="s">
        <v>2334</v>
      </c>
      <c r="B1498" t="s">
        <v>14359</v>
      </c>
      <c r="C1498" t="s">
        <v>20343</v>
      </c>
      <c r="D1498" t="s">
        <v>14360</v>
      </c>
    </row>
    <row r="1499" spans="1:4" x14ac:dyDescent="0.2">
      <c r="A1499" t="s">
        <v>2748</v>
      </c>
      <c r="B1499" t="s">
        <v>14359</v>
      </c>
      <c r="C1499" t="s">
        <v>10336</v>
      </c>
      <c r="D1499" t="s">
        <v>14360</v>
      </c>
    </row>
    <row r="1500" spans="1:4" x14ac:dyDescent="0.2">
      <c r="A1500" t="s">
        <v>2750</v>
      </c>
      <c r="B1500" t="s">
        <v>14359</v>
      </c>
      <c r="C1500" t="s">
        <v>10337</v>
      </c>
      <c r="D1500" t="s">
        <v>14360</v>
      </c>
    </row>
    <row r="1501" spans="1:4" x14ac:dyDescent="0.2">
      <c r="A1501" t="s">
        <v>14129</v>
      </c>
      <c r="B1501" t="s">
        <v>14359</v>
      </c>
      <c r="C1501" t="s">
        <v>10337</v>
      </c>
      <c r="D1501" t="s">
        <v>14360</v>
      </c>
    </row>
    <row r="1502" spans="1:4" x14ac:dyDescent="0.2">
      <c r="A1502" t="s">
        <v>14130</v>
      </c>
      <c r="B1502" t="s">
        <v>14359</v>
      </c>
      <c r="C1502" t="s">
        <v>10338</v>
      </c>
      <c r="D1502" t="s">
        <v>14360</v>
      </c>
    </row>
    <row r="1503" spans="1:4" x14ac:dyDescent="0.2">
      <c r="A1503" t="s">
        <v>14131</v>
      </c>
      <c r="B1503" t="s">
        <v>14359</v>
      </c>
      <c r="C1503" t="s">
        <v>10339</v>
      </c>
      <c r="D1503" t="s">
        <v>14360</v>
      </c>
    </row>
    <row r="1504" spans="1:4" x14ac:dyDescent="0.2">
      <c r="A1504" t="s">
        <v>2736</v>
      </c>
      <c r="B1504" t="s">
        <v>14359</v>
      </c>
      <c r="C1504" t="s">
        <v>10340</v>
      </c>
      <c r="D1504" t="s">
        <v>14360</v>
      </c>
    </row>
    <row r="1505" spans="1:4" x14ac:dyDescent="0.2">
      <c r="A1505" t="s">
        <v>14269</v>
      </c>
      <c r="B1505" t="s">
        <v>14359</v>
      </c>
      <c r="C1505" t="s">
        <v>20344</v>
      </c>
      <c r="D1505" t="s">
        <v>14360</v>
      </c>
    </row>
    <row r="1506" spans="1:4" x14ac:dyDescent="0.2">
      <c r="A1506" t="s">
        <v>2738</v>
      </c>
      <c r="B1506" t="s">
        <v>14359</v>
      </c>
      <c r="C1506" t="s">
        <v>10341</v>
      </c>
      <c r="D1506" t="s">
        <v>14360</v>
      </c>
    </row>
    <row r="1507" spans="1:4" x14ac:dyDescent="0.2">
      <c r="A1507" t="s">
        <v>14132</v>
      </c>
      <c r="B1507" t="s">
        <v>14359</v>
      </c>
      <c r="C1507" t="s">
        <v>10342</v>
      </c>
      <c r="D1507" t="s">
        <v>14360</v>
      </c>
    </row>
    <row r="1508" spans="1:4" x14ac:dyDescent="0.2">
      <c r="A1508" t="s">
        <v>14270</v>
      </c>
      <c r="B1508" t="s">
        <v>14359</v>
      </c>
      <c r="C1508" t="s">
        <v>20345</v>
      </c>
      <c r="D1508" t="s">
        <v>14360</v>
      </c>
    </row>
    <row r="1509" spans="1:4" x14ac:dyDescent="0.2">
      <c r="A1509" t="s">
        <v>2730</v>
      </c>
      <c r="B1509" t="s">
        <v>14359</v>
      </c>
      <c r="C1509" t="s">
        <v>10343</v>
      </c>
      <c r="D1509" t="s">
        <v>14360</v>
      </c>
    </row>
    <row r="1510" spans="1:4" x14ac:dyDescent="0.2">
      <c r="A1510" t="s">
        <v>3104</v>
      </c>
      <c r="B1510" t="s">
        <v>14359</v>
      </c>
      <c r="C1510" t="s">
        <v>10344</v>
      </c>
      <c r="D1510" t="s">
        <v>14360</v>
      </c>
    </row>
    <row r="1511" spans="1:4" x14ac:dyDescent="0.2">
      <c r="A1511" t="s">
        <v>2743</v>
      </c>
      <c r="B1511" t="s">
        <v>14359</v>
      </c>
      <c r="C1511" t="s">
        <v>10345</v>
      </c>
      <c r="D1511" t="s">
        <v>14360</v>
      </c>
    </row>
    <row r="1512" spans="1:4" x14ac:dyDescent="0.2">
      <c r="A1512" t="s">
        <v>14133</v>
      </c>
      <c r="B1512" t="s">
        <v>14359</v>
      </c>
      <c r="C1512" t="s">
        <v>10346</v>
      </c>
      <c r="D1512" t="s">
        <v>14360</v>
      </c>
    </row>
    <row r="1513" spans="1:4" x14ac:dyDescent="0.2">
      <c r="A1513" t="s">
        <v>2745</v>
      </c>
      <c r="B1513" t="s">
        <v>14359</v>
      </c>
      <c r="C1513" t="s">
        <v>10347</v>
      </c>
      <c r="D1513" t="s">
        <v>14360</v>
      </c>
    </row>
    <row r="1514" spans="1:4" x14ac:dyDescent="0.2">
      <c r="A1514" t="s">
        <v>2740</v>
      </c>
      <c r="B1514" t="s">
        <v>14359</v>
      </c>
      <c r="C1514" t="s">
        <v>10348</v>
      </c>
      <c r="D1514" t="s">
        <v>14360</v>
      </c>
    </row>
    <row r="1515" spans="1:4" x14ac:dyDescent="0.2">
      <c r="A1515" t="s">
        <v>2765</v>
      </c>
      <c r="B1515" t="s">
        <v>14359</v>
      </c>
      <c r="C1515" t="s">
        <v>10349</v>
      </c>
      <c r="D1515" t="s">
        <v>14360</v>
      </c>
    </row>
    <row r="1516" spans="1:4" x14ac:dyDescent="0.2">
      <c r="A1516" t="s">
        <v>2774</v>
      </c>
      <c r="B1516" t="s">
        <v>14359</v>
      </c>
      <c r="C1516" t="s">
        <v>10350</v>
      </c>
      <c r="D1516" t="s">
        <v>14360</v>
      </c>
    </row>
    <row r="1517" spans="1:4" x14ac:dyDescent="0.2">
      <c r="A1517" t="s">
        <v>2226</v>
      </c>
      <c r="B1517" t="s">
        <v>14359</v>
      </c>
      <c r="C1517" t="s">
        <v>20346</v>
      </c>
      <c r="D1517" t="s">
        <v>14360</v>
      </c>
    </row>
    <row r="1518" spans="1:4" x14ac:dyDescent="0.2">
      <c r="A1518" t="s">
        <v>2761</v>
      </c>
      <c r="B1518" t="s">
        <v>14359</v>
      </c>
      <c r="C1518" t="s">
        <v>10351</v>
      </c>
      <c r="D1518" t="s">
        <v>14360</v>
      </c>
    </row>
    <row r="1519" spans="1:4" x14ac:dyDescent="0.2">
      <c r="A1519" t="s">
        <v>14271</v>
      </c>
      <c r="B1519" t="s">
        <v>14359</v>
      </c>
      <c r="C1519" t="s">
        <v>17112</v>
      </c>
      <c r="D1519" t="s">
        <v>14360</v>
      </c>
    </row>
    <row r="1520" spans="1:4" x14ac:dyDescent="0.2">
      <c r="A1520" t="s">
        <v>2758</v>
      </c>
      <c r="B1520" t="s">
        <v>14359</v>
      </c>
      <c r="C1520" t="s">
        <v>10352</v>
      </c>
      <c r="D1520" t="s">
        <v>14360</v>
      </c>
    </row>
    <row r="1521" spans="1:4" x14ac:dyDescent="0.2">
      <c r="A1521" t="s">
        <v>2752</v>
      </c>
      <c r="B1521" t="s">
        <v>14359</v>
      </c>
      <c r="C1521" t="s">
        <v>10353</v>
      </c>
      <c r="D1521" t="s">
        <v>14360</v>
      </c>
    </row>
    <row r="1522" spans="1:4" x14ac:dyDescent="0.2">
      <c r="A1522" t="s">
        <v>3106</v>
      </c>
      <c r="B1522" t="s">
        <v>14359</v>
      </c>
      <c r="C1522" t="s">
        <v>10354</v>
      </c>
      <c r="D1522" t="s">
        <v>14360</v>
      </c>
    </row>
    <row r="1523" spans="1:4" x14ac:dyDescent="0.2">
      <c r="A1523" t="s">
        <v>2756</v>
      </c>
      <c r="B1523" t="s">
        <v>14359</v>
      </c>
      <c r="C1523" t="s">
        <v>10355</v>
      </c>
      <c r="D1523" t="s">
        <v>14360</v>
      </c>
    </row>
    <row r="1524" spans="1:4" x14ac:dyDescent="0.2">
      <c r="A1524" t="s">
        <v>2763</v>
      </c>
      <c r="B1524" t="s">
        <v>14359</v>
      </c>
      <c r="C1524" t="s">
        <v>10356</v>
      </c>
      <c r="D1524" t="s">
        <v>14360</v>
      </c>
    </row>
    <row r="1525" spans="1:4" x14ac:dyDescent="0.2">
      <c r="A1525" t="s">
        <v>2754</v>
      </c>
      <c r="B1525" t="s">
        <v>14359</v>
      </c>
      <c r="C1525" t="s">
        <v>10357</v>
      </c>
      <c r="D1525" t="s">
        <v>14360</v>
      </c>
    </row>
    <row r="1526" spans="1:4" x14ac:dyDescent="0.2">
      <c r="A1526" t="s">
        <v>14272</v>
      </c>
      <c r="B1526" t="s">
        <v>14359</v>
      </c>
      <c r="C1526" t="s">
        <v>20347</v>
      </c>
      <c r="D1526" t="s">
        <v>14360</v>
      </c>
    </row>
    <row r="1527" spans="1:4" x14ac:dyDescent="0.2">
      <c r="A1527" t="s">
        <v>14134</v>
      </c>
      <c r="B1527" t="s">
        <v>14359</v>
      </c>
      <c r="C1527" t="s">
        <v>10358</v>
      </c>
      <c r="D1527" t="s">
        <v>14360</v>
      </c>
    </row>
    <row r="1528" spans="1:4" x14ac:dyDescent="0.2">
      <c r="A1528" t="s">
        <v>2772</v>
      </c>
      <c r="B1528" t="s">
        <v>14359</v>
      </c>
      <c r="C1528" t="s">
        <v>10359</v>
      </c>
      <c r="D1528" t="s">
        <v>14360</v>
      </c>
    </row>
    <row r="1529" spans="1:4" x14ac:dyDescent="0.2">
      <c r="A1529" t="s">
        <v>2767</v>
      </c>
      <c r="B1529" t="s">
        <v>14359</v>
      </c>
      <c r="C1529" t="s">
        <v>17115</v>
      </c>
      <c r="D1529" t="s">
        <v>14360</v>
      </c>
    </row>
    <row r="1530" spans="1:4" x14ac:dyDescent="0.2">
      <c r="A1530" t="s">
        <v>14273</v>
      </c>
      <c r="B1530" t="s">
        <v>14359</v>
      </c>
      <c r="C1530" t="s">
        <v>20348</v>
      </c>
      <c r="D1530" t="s">
        <v>14360</v>
      </c>
    </row>
    <row r="1531" spans="1:4" x14ac:dyDescent="0.2">
      <c r="A1531" t="s">
        <v>14274</v>
      </c>
      <c r="B1531" t="s">
        <v>14359</v>
      </c>
      <c r="C1531" t="s">
        <v>20349</v>
      </c>
      <c r="D1531" t="s">
        <v>14360</v>
      </c>
    </row>
    <row r="1532" spans="1:4" x14ac:dyDescent="0.2">
      <c r="A1532" t="s">
        <v>2770</v>
      </c>
      <c r="B1532" t="s">
        <v>14359</v>
      </c>
      <c r="C1532" t="s">
        <v>10360</v>
      </c>
      <c r="D1532" t="s">
        <v>14360</v>
      </c>
    </row>
    <row r="1533" spans="1:4" x14ac:dyDescent="0.2">
      <c r="A1533" t="s">
        <v>2780</v>
      </c>
      <c r="B1533" t="s">
        <v>14359</v>
      </c>
      <c r="C1533" t="s">
        <v>10361</v>
      </c>
      <c r="D1533" t="s">
        <v>14360</v>
      </c>
    </row>
    <row r="1534" spans="1:4" x14ac:dyDescent="0.2">
      <c r="A1534" t="s">
        <v>2778</v>
      </c>
      <c r="B1534" t="s">
        <v>14359</v>
      </c>
      <c r="C1534" t="s">
        <v>10362</v>
      </c>
      <c r="D1534" t="s">
        <v>14360</v>
      </c>
    </row>
    <row r="1535" spans="1:4" x14ac:dyDescent="0.2">
      <c r="A1535" t="s">
        <v>1868</v>
      </c>
      <c r="B1535" t="s">
        <v>14359</v>
      </c>
      <c r="C1535" t="s">
        <v>20350</v>
      </c>
      <c r="D1535" t="s">
        <v>14360</v>
      </c>
    </row>
    <row r="1536" spans="1:4" x14ac:dyDescent="0.2">
      <c r="A1536" t="s">
        <v>2281</v>
      </c>
      <c r="B1536" t="s">
        <v>14359</v>
      </c>
      <c r="C1536" t="s">
        <v>20351</v>
      </c>
      <c r="D1536" t="s">
        <v>14360</v>
      </c>
    </row>
    <row r="1537" spans="1:4" x14ac:dyDescent="0.2">
      <c r="A1537" t="s">
        <v>1634</v>
      </c>
      <c r="B1537" t="s">
        <v>14359</v>
      </c>
      <c r="C1537" t="s">
        <v>20352</v>
      </c>
      <c r="D1537" t="s">
        <v>14360</v>
      </c>
    </row>
    <row r="1538" spans="1:4" x14ac:dyDescent="0.2">
      <c r="A1538" t="s">
        <v>2804</v>
      </c>
      <c r="B1538" t="s">
        <v>14359</v>
      </c>
      <c r="C1538" t="s">
        <v>10363</v>
      </c>
      <c r="D1538" t="s">
        <v>14360</v>
      </c>
    </row>
    <row r="1539" spans="1:4" x14ac:dyDescent="0.2">
      <c r="A1539" t="s">
        <v>14135</v>
      </c>
      <c r="B1539" t="s">
        <v>14359</v>
      </c>
      <c r="C1539" t="s">
        <v>10364</v>
      </c>
      <c r="D1539" t="s">
        <v>14360</v>
      </c>
    </row>
    <row r="1540" spans="1:4" x14ac:dyDescent="0.2">
      <c r="A1540" t="s">
        <v>14136</v>
      </c>
      <c r="B1540" t="s">
        <v>14359</v>
      </c>
      <c r="C1540" t="s">
        <v>10365</v>
      </c>
      <c r="D1540" t="s">
        <v>14360</v>
      </c>
    </row>
    <row r="1541" spans="1:4" x14ac:dyDescent="0.2">
      <c r="A1541" t="s">
        <v>2806</v>
      </c>
      <c r="B1541" t="s">
        <v>14359</v>
      </c>
      <c r="C1541" t="s">
        <v>10366</v>
      </c>
      <c r="D1541" t="s">
        <v>14360</v>
      </c>
    </row>
    <row r="1542" spans="1:4" x14ac:dyDescent="0.2">
      <c r="A1542" t="s">
        <v>2328</v>
      </c>
      <c r="B1542" t="s">
        <v>14359</v>
      </c>
      <c r="C1542" t="s">
        <v>20353</v>
      </c>
      <c r="D1542" t="s">
        <v>14360</v>
      </c>
    </row>
    <row r="1543" spans="1:4" x14ac:dyDescent="0.2">
      <c r="A1543" t="s">
        <v>2792</v>
      </c>
      <c r="B1543" t="s">
        <v>14359</v>
      </c>
      <c r="C1543" t="s">
        <v>10367</v>
      </c>
      <c r="D1543" t="s">
        <v>14360</v>
      </c>
    </row>
    <row r="1544" spans="1:4" x14ac:dyDescent="0.2">
      <c r="A1544" t="s">
        <v>2320</v>
      </c>
      <c r="B1544" t="s">
        <v>14359</v>
      </c>
      <c r="C1544" t="s">
        <v>20354</v>
      </c>
      <c r="D1544" t="s">
        <v>14360</v>
      </c>
    </row>
    <row r="1545" spans="1:4" x14ac:dyDescent="0.2">
      <c r="A1545" t="s">
        <v>2811</v>
      </c>
      <c r="B1545" t="s">
        <v>14359</v>
      </c>
      <c r="C1545" t="s">
        <v>10368</v>
      </c>
      <c r="D1545" t="s">
        <v>14360</v>
      </c>
    </row>
    <row r="1546" spans="1:4" x14ac:dyDescent="0.2">
      <c r="A1546" t="s">
        <v>14275</v>
      </c>
      <c r="B1546" t="s">
        <v>14359</v>
      </c>
      <c r="C1546" t="s">
        <v>20355</v>
      </c>
      <c r="D1546" t="s">
        <v>14360</v>
      </c>
    </row>
    <row r="1547" spans="1:4" x14ac:dyDescent="0.2">
      <c r="A1547" t="s">
        <v>2809</v>
      </c>
      <c r="B1547" t="s">
        <v>14359</v>
      </c>
      <c r="C1547" t="s">
        <v>10369</v>
      </c>
      <c r="D1547" t="s">
        <v>14360</v>
      </c>
    </row>
    <row r="1548" spans="1:4" x14ac:dyDescent="0.2">
      <c r="A1548" t="s">
        <v>2169</v>
      </c>
      <c r="B1548" t="s">
        <v>14359</v>
      </c>
      <c r="C1548" t="s">
        <v>20356</v>
      </c>
      <c r="D1548" t="s">
        <v>14360</v>
      </c>
    </row>
    <row r="1549" spans="1:4" x14ac:dyDescent="0.2">
      <c r="A1549" t="s">
        <v>2800</v>
      </c>
      <c r="B1549" t="s">
        <v>14359</v>
      </c>
      <c r="C1549" t="s">
        <v>10370</v>
      </c>
      <c r="D1549" t="s">
        <v>14360</v>
      </c>
    </row>
    <row r="1550" spans="1:4" x14ac:dyDescent="0.2">
      <c r="A1550" t="s">
        <v>14276</v>
      </c>
      <c r="B1550" t="s">
        <v>14359</v>
      </c>
      <c r="C1550" t="s">
        <v>20357</v>
      </c>
      <c r="D1550" t="s">
        <v>14360</v>
      </c>
    </row>
    <row r="1551" spans="1:4" x14ac:dyDescent="0.2">
      <c r="A1551" t="s">
        <v>2813</v>
      </c>
      <c r="B1551" t="s">
        <v>14359</v>
      </c>
      <c r="C1551" t="s">
        <v>10371</v>
      </c>
      <c r="D1551" t="s">
        <v>14360</v>
      </c>
    </row>
    <row r="1552" spans="1:4" x14ac:dyDescent="0.2">
      <c r="A1552" t="s">
        <v>2784</v>
      </c>
      <c r="B1552" t="s">
        <v>14359</v>
      </c>
      <c r="C1552" t="s">
        <v>10372</v>
      </c>
      <c r="D1552" t="s">
        <v>14360</v>
      </c>
    </row>
    <row r="1553" spans="1:4" x14ac:dyDescent="0.2">
      <c r="A1553" t="s">
        <v>2331</v>
      </c>
      <c r="B1553" t="s">
        <v>14359</v>
      </c>
      <c r="C1553" t="s">
        <v>20358</v>
      </c>
      <c r="D1553" t="s">
        <v>14360</v>
      </c>
    </row>
    <row r="1554" spans="1:4" x14ac:dyDescent="0.2">
      <c r="A1554" t="s">
        <v>14137</v>
      </c>
      <c r="B1554" t="s">
        <v>14359</v>
      </c>
      <c r="C1554" t="s">
        <v>10373</v>
      </c>
      <c r="D1554" t="s">
        <v>14360</v>
      </c>
    </row>
    <row r="1555" spans="1:4" x14ac:dyDescent="0.2">
      <c r="A1555" t="s">
        <v>2794</v>
      </c>
      <c r="B1555" t="s">
        <v>14359</v>
      </c>
      <c r="C1555" t="s">
        <v>10374</v>
      </c>
      <c r="D1555" t="s">
        <v>14360</v>
      </c>
    </row>
    <row r="1556" spans="1:4" x14ac:dyDescent="0.2">
      <c r="A1556" t="s">
        <v>14138</v>
      </c>
      <c r="B1556" t="s">
        <v>14359</v>
      </c>
      <c r="C1556" t="s">
        <v>10375</v>
      </c>
      <c r="D1556" t="s">
        <v>14360</v>
      </c>
    </row>
    <row r="1557" spans="1:4" x14ac:dyDescent="0.2">
      <c r="A1557" t="s">
        <v>2293</v>
      </c>
      <c r="B1557" t="s">
        <v>14359</v>
      </c>
      <c r="C1557" t="s">
        <v>20359</v>
      </c>
      <c r="D1557" t="s">
        <v>14360</v>
      </c>
    </row>
    <row r="1558" spans="1:4" x14ac:dyDescent="0.2">
      <c r="A1558" t="s">
        <v>2790</v>
      </c>
      <c r="B1558" t="s">
        <v>14359</v>
      </c>
      <c r="C1558" t="s">
        <v>10376</v>
      </c>
      <c r="D1558" t="s">
        <v>14360</v>
      </c>
    </row>
    <row r="1559" spans="1:4" x14ac:dyDescent="0.2">
      <c r="A1559" t="s">
        <v>14277</v>
      </c>
      <c r="B1559" t="s">
        <v>14359</v>
      </c>
      <c r="C1559" t="s">
        <v>20360</v>
      </c>
      <c r="D1559" t="s">
        <v>14360</v>
      </c>
    </row>
    <row r="1560" spans="1:4" x14ac:dyDescent="0.2">
      <c r="A1560" t="s">
        <v>14278</v>
      </c>
      <c r="B1560" t="s">
        <v>14359</v>
      </c>
      <c r="C1560" t="s">
        <v>20361</v>
      </c>
      <c r="D1560" t="s">
        <v>14360</v>
      </c>
    </row>
    <row r="1561" spans="1:4" x14ac:dyDescent="0.2">
      <c r="A1561" t="s">
        <v>14279</v>
      </c>
      <c r="B1561" t="s">
        <v>14359</v>
      </c>
      <c r="C1561" t="s">
        <v>20362</v>
      </c>
      <c r="D1561" t="s">
        <v>14360</v>
      </c>
    </row>
    <row r="1562" spans="1:4" x14ac:dyDescent="0.2">
      <c r="A1562" t="s">
        <v>2788</v>
      </c>
      <c r="B1562" t="s">
        <v>14359</v>
      </c>
      <c r="C1562" t="s">
        <v>10377</v>
      </c>
      <c r="D1562" t="s">
        <v>14360</v>
      </c>
    </row>
    <row r="1563" spans="1:4" x14ac:dyDescent="0.2">
      <c r="A1563" t="s">
        <v>2802</v>
      </c>
      <c r="B1563" t="s">
        <v>14359</v>
      </c>
      <c r="C1563" t="s">
        <v>10378</v>
      </c>
      <c r="D1563" t="s">
        <v>14360</v>
      </c>
    </row>
    <row r="1564" spans="1:4" x14ac:dyDescent="0.2">
      <c r="A1564" t="s">
        <v>14280</v>
      </c>
      <c r="B1564" t="s">
        <v>14359</v>
      </c>
      <c r="C1564" t="s">
        <v>20363</v>
      </c>
      <c r="D1564" t="s">
        <v>14360</v>
      </c>
    </row>
    <row r="1565" spans="1:4" x14ac:dyDescent="0.2">
      <c r="A1565" t="s">
        <v>2782</v>
      </c>
      <c r="B1565" t="s">
        <v>14359</v>
      </c>
      <c r="C1565" t="s">
        <v>10379</v>
      </c>
      <c r="D1565" t="s">
        <v>14360</v>
      </c>
    </row>
    <row r="1566" spans="1:4" x14ac:dyDescent="0.2">
      <c r="A1566" t="s">
        <v>14281</v>
      </c>
      <c r="B1566" t="s">
        <v>14359</v>
      </c>
      <c r="C1566" t="s">
        <v>20364</v>
      </c>
      <c r="D1566" t="s">
        <v>14360</v>
      </c>
    </row>
    <row r="1567" spans="1:4" x14ac:dyDescent="0.2">
      <c r="A1567" t="s">
        <v>14282</v>
      </c>
      <c r="B1567" t="s">
        <v>14359</v>
      </c>
      <c r="C1567" t="s">
        <v>20365</v>
      </c>
      <c r="D1567" t="s">
        <v>14360</v>
      </c>
    </row>
    <row r="1568" spans="1:4" x14ac:dyDescent="0.2">
      <c r="A1568" t="s">
        <v>14283</v>
      </c>
      <c r="B1568" t="s">
        <v>14359</v>
      </c>
      <c r="C1568" t="s">
        <v>20366</v>
      </c>
      <c r="D1568" t="s">
        <v>14360</v>
      </c>
    </row>
    <row r="1569" spans="1:4" x14ac:dyDescent="0.2">
      <c r="A1569" t="s">
        <v>14284</v>
      </c>
      <c r="B1569" t="s">
        <v>14359</v>
      </c>
      <c r="C1569" t="s">
        <v>20367</v>
      </c>
      <c r="D1569" t="s">
        <v>14360</v>
      </c>
    </row>
    <row r="1570" spans="1:4" x14ac:dyDescent="0.2">
      <c r="A1570" t="s">
        <v>14285</v>
      </c>
      <c r="B1570" t="s">
        <v>14359</v>
      </c>
      <c r="C1570" t="s">
        <v>20368</v>
      </c>
      <c r="D1570" t="s">
        <v>14360</v>
      </c>
    </row>
    <row r="1571" spans="1:4" x14ac:dyDescent="0.2">
      <c r="A1571" t="s">
        <v>2163</v>
      </c>
      <c r="B1571" t="s">
        <v>14359</v>
      </c>
      <c r="C1571" t="s">
        <v>20369</v>
      </c>
      <c r="D1571" t="s">
        <v>14360</v>
      </c>
    </row>
    <row r="1572" spans="1:4" x14ac:dyDescent="0.2">
      <c r="A1572" t="s">
        <v>14139</v>
      </c>
      <c r="B1572" t="s">
        <v>14359</v>
      </c>
      <c r="C1572" t="s">
        <v>10380</v>
      </c>
      <c r="D1572" t="s">
        <v>14360</v>
      </c>
    </row>
    <row r="1573" spans="1:4" x14ac:dyDescent="0.2">
      <c r="A1573" t="s">
        <v>2796</v>
      </c>
      <c r="B1573" t="s">
        <v>14359</v>
      </c>
      <c r="C1573" t="s">
        <v>10381</v>
      </c>
      <c r="D1573" t="s">
        <v>14360</v>
      </c>
    </row>
    <row r="1574" spans="1:4" x14ac:dyDescent="0.2">
      <c r="A1574" t="s">
        <v>2141</v>
      </c>
      <c r="B1574" t="s">
        <v>14359</v>
      </c>
      <c r="C1574" t="s">
        <v>20370</v>
      </c>
      <c r="D1574" t="s">
        <v>14360</v>
      </c>
    </row>
    <row r="1575" spans="1:4" x14ac:dyDescent="0.2">
      <c r="A1575" t="s">
        <v>2798</v>
      </c>
      <c r="B1575" t="s">
        <v>14359</v>
      </c>
      <c r="C1575" t="s">
        <v>10382</v>
      </c>
      <c r="D1575" t="s">
        <v>14360</v>
      </c>
    </row>
    <row r="1576" spans="1:4" x14ac:dyDescent="0.2">
      <c r="A1576" t="s">
        <v>2786</v>
      </c>
      <c r="B1576" t="s">
        <v>14359</v>
      </c>
      <c r="C1576" t="s">
        <v>10383</v>
      </c>
      <c r="D1576" t="s">
        <v>14360</v>
      </c>
    </row>
    <row r="1577" spans="1:4" x14ac:dyDescent="0.2">
      <c r="A1577" t="s">
        <v>2269</v>
      </c>
      <c r="B1577" t="s">
        <v>14359</v>
      </c>
      <c r="C1577" t="s">
        <v>20371</v>
      </c>
      <c r="D1577" t="s">
        <v>14360</v>
      </c>
    </row>
    <row r="1578" spans="1:4" x14ac:dyDescent="0.2">
      <c r="A1578" t="s">
        <v>14286</v>
      </c>
      <c r="B1578" t="s">
        <v>14359</v>
      </c>
      <c r="C1578" t="s">
        <v>20372</v>
      </c>
      <c r="D1578" t="s">
        <v>14360</v>
      </c>
    </row>
    <row r="1579" spans="1:4" x14ac:dyDescent="0.2">
      <c r="A1579" t="s">
        <v>14140</v>
      </c>
      <c r="B1579" t="s">
        <v>14359</v>
      </c>
      <c r="C1579" t="s">
        <v>10384</v>
      </c>
      <c r="D1579" t="s">
        <v>14360</v>
      </c>
    </row>
    <row r="1580" spans="1:4" x14ac:dyDescent="0.2">
      <c r="A1580" t="s">
        <v>14141</v>
      </c>
      <c r="B1580" t="s">
        <v>14359</v>
      </c>
      <c r="C1580" t="s">
        <v>10385</v>
      </c>
      <c r="D1580" t="s">
        <v>14360</v>
      </c>
    </row>
    <row r="1581" spans="1:4" x14ac:dyDescent="0.2">
      <c r="A1581" t="s">
        <v>2843</v>
      </c>
      <c r="B1581" t="s">
        <v>14359</v>
      </c>
      <c r="C1581" t="s">
        <v>10386</v>
      </c>
      <c r="D1581" t="s">
        <v>14360</v>
      </c>
    </row>
    <row r="1582" spans="1:4" x14ac:dyDescent="0.2">
      <c r="A1582" t="s">
        <v>14142</v>
      </c>
      <c r="B1582" t="s">
        <v>14359</v>
      </c>
      <c r="C1582" t="s">
        <v>10387</v>
      </c>
      <c r="D1582" t="s">
        <v>14360</v>
      </c>
    </row>
    <row r="1583" spans="1:4" x14ac:dyDescent="0.2">
      <c r="A1583" t="s">
        <v>14143</v>
      </c>
      <c r="B1583" t="s">
        <v>14359</v>
      </c>
      <c r="C1583" t="s">
        <v>10388</v>
      </c>
      <c r="D1583" t="s">
        <v>14360</v>
      </c>
    </row>
    <row r="1584" spans="1:4" x14ac:dyDescent="0.2">
      <c r="A1584" t="s">
        <v>2824</v>
      </c>
      <c r="B1584" t="s">
        <v>14359</v>
      </c>
      <c r="C1584" t="s">
        <v>10389</v>
      </c>
      <c r="D1584" t="s">
        <v>14360</v>
      </c>
    </row>
    <row r="1585" spans="1:4" x14ac:dyDescent="0.2">
      <c r="A1585" t="s">
        <v>2120</v>
      </c>
      <c r="B1585" t="s">
        <v>14359</v>
      </c>
      <c r="C1585" t="s">
        <v>20373</v>
      </c>
      <c r="D1585" t="s">
        <v>14360</v>
      </c>
    </row>
    <row r="1586" spans="1:4" x14ac:dyDescent="0.2">
      <c r="A1586" t="s">
        <v>14144</v>
      </c>
      <c r="B1586" t="s">
        <v>14359</v>
      </c>
      <c r="C1586" t="s">
        <v>10390</v>
      </c>
      <c r="D1586" t="s">
        <v>14360</v>
      </c>
    </row>
    <row r="1587" spans="1:4" x14ac:dyDescent="0.2">
      <c r="A1587" t="s">
        <v>2822</v>
      </c>
      <c r="B1587" t="s">
        <v>14359</v>
      </c>
      <c r="C1587" t="s">
        <v>10391</v>
      </c>
      <c r="D1587" t="s">
        <v>14360</v>
      </c>
    </row>
    <row r="1588" spans="1:4" x14ac:dyDescent="0.2">
      <c r="A1588" t="s">
        <v>14145</v>
      </c>
      <c r="B1588" t="s">
        <v>14359</v>
      </c>
      <c r="C1588" t="s">
        <v>10392</v>
      </c>
      <c r="D1588" t="s">
        <v>14360</v>
      </c>
    </row>
    <row r="1589" spans="1:4" x14ac:dyDescent="0.2">
      <c r="A1589" t="s">
        <v>2815</v>
      </c>
      <c r="B1589" t="s">
        <v>14359</v>
      </c>
      <c r="C1589" t="s">
        <v>10393</v>
      </c>
      <c r="D1589" t="s">
        <v>14360</v>
      </c>
    </row>
    <row r="1590" spans="1:4" x14ac:dyDescent="0.2">
      <c r="A1590" t="s">
        <v>14146</v>
      </c>
      <c r="B1590" t="s">
        <v>14359</v>
      </c>
      <c r="C1590" t="s">
        <v>10394</v>
      </c>
      <c r="D1590" t="s">
        <v>14360</v>
      </c>
    </row>
    <row r="1591" spans="1:4" x14ac:dyDescent="0.2">
      <c r="A1591" t="s">
        <v>2830</v>
      </c>
      <c r="B1591" t="s">
        <v>14359</v>
      </c>
      <c r="C1591" t="s">
        <v>10395</v>
      </c>
      <c r="D1591" t="s">
        <v>14360</v>
      </c>
    </row>
    <row r="1592" spans="1:4" x14ac:dyDescent="0.2">
      <c r="A1592" t="s">
        <v>2818</v>
      </c>
      <c r="B1592" t="s">
        <v>14359</v>
      </c>
      <c r="C1592" t="s">
        <v>10396</v>
      </c>
      <c r="D1592" t="s">
        <v>14360</v>
      </c>
    </row>
    <row r="1593" spans="1:4" x14ac:dyDescent="0.2">
      <c r="A1593" t="s">
        <v>2820</v>
      </c>
      <c r="B1593" t="s">
        <v>14359</v>
      </c>
      <c r="C1593" t="s">
        <v>10397</v>
      </c>
      <c r="D1593" t="s">
        <v>14360</v>
      </c>
    </row>
    <row r="1594" spans="1:4" x14ac:dyDescent="0.2">
      <c r="A1594" t="s">
        <v>2837</v>
      </c>
      <c r="B1594" t="s">
        <v>14359</v>
      </c>
      <c r="C1594" t="s">
        <v>10398</v>
      </c>
      <c r="D1594" t="s">
        <v>14360</v>
      </c>
    </row>
    <row r="1595" spans="1:4" x14ac:dyDescent="0.2">
      <c r="A1595" t="s">
        <v>2833</v>
      </c>
      <c r="B1595" t="s">
        <v>14359</v>
      </c>
      <c r="C1595" t="s">
        <v>10399</v>
      </c>
      <c r="D1595" t="s">
        <v>14360</v>
      </c>
    </row>
    <row r="1596" spans="1:4" x14ac:dyDescent="0.2">
      <c r="A1596" t="s">
        <v>14147</v>
      </c>
      <c r="B1596" t="s">
        <v>14359</v>
      </c>
      <c r="C1596" t="s">
        <v>10400</v>
      </c>
      <c r="D1596" t="s">
        <v>14360</v>
      </c>
    </row>
    <row r="1597" spans="1:4" x14ac:dyDescent="0.2">
      <c r="A1597" t="s">
        <v>2297</v>
      </c>
      <c r="B1597" t="s">
        <v>14359</v>
      </c>
      <c r="C1597" t="s">
        <v>20374</v>
      </c>
      <c r="D1597" t="s">
        <v>14360</v>
      </c>
    </row>
    <row r="1598" spans="1:4" x14ac:dyDescent="0.2">
      <c r="A1598" t="s">
        <v>2835</v>
      </c>
      <c r="B1598" t="s">
        <v>14359</v>
      </c>
      <c r="C1598" t="s">
        <v>10401</v>
      </c>
      <c r="D1598" t="s">
        <v>14360</v>
      </c>
    </row>
    <row r="1599" spans="1:4" x14ac:dyDescent="0.2">
      <c r="A1599" t="s">
        <v>2845</v>
      </c>
      <c r="B1599" t="s">
        <v>14359</v>
      </c>
      <c r="C1599" t="s">
        <v>10402</v>
      </c>
      <c r="D1599" t="s">
        <v>14360</v>
      </c>
    </row>
    <row r="1600" spans="1:4" x14ac:dyDescent="0.2">
      <c r="A1600" t="s">
        <v>2826</v>
      </c>
      <c r="B1600" t="s">
        <v>14359</v>
      </c>
      <c r="C1600" t="s">
        <v>10403</v>
      </c>
      <c r="D1600" t="s">
        <v>14360</v>
      </c>
    </row>
    <row r="1601" spans="1:4" x14ac:dyDescent="0.2">
      <c r="A1601" t="s">
        <v>2828</v>
      </c>
      <c r="B1601" t="s">
        <v>14359</v>
      </c>
      <c r="C1601" t="s">
        <v>10404</v>
      </c>
      <c r="D1601" t="s">
        <v>14360</v>
      </c>
    </row>
    <row r="1602" spans="1:4" x14ac:dyDescent="0.2">
      <c r="A1602" t="s">
        <v>2839</v>
      </c>
      <c r="B1602" t="s">
        <v>14359</v>
      </c>
      <c r="C1602" t="s">
        <v>10405</v>
      </c>
      <c r="D1602" t="s">
        <v>14360</v>
      </c>
    </row>
    <row r="1603" spans="1:4" x14ac:dyDescent="0.2">
      <c r="A1603" t="s">
        <v>14287</v>
      </c>
      <c r="B1603" t="s">
        <v>14359</v>
      </c>
      <c r="C1603" t="s">
        <v>20375</v>
      </c>
      <c r="D1603" t="s">
        <v>14360</v>
      </c>
    </row>
    <row r="1604" spans="1:4" x14ac:dyDescent="0.2">
      <c r="A1604" t="s">
        <v>2841</v>
      </c>
      <c r="B1604" t="s">
        <v>14359</v>
      </c>
      <c r="C1604" t="s">
        <v>10406</v>
      </c>
      <c r="D1604" t="s">
        <v>14360</v>
      </c>
    </row>
    <row r="1605" spans="1:4" x14ac:dyDescent="0.2">
      <c r="A1605" t="s">
        <v>2860</v>
      </c>
      <c r="B1605" t="s">
        <v>14359</v>
      </c>
      <c r="C1605" t="s">
        <v>10407</v>
      </c>
      <c r="D1605" t="s">
        <v>14360</v>
      </c>
    </row>
    <row r="1606" spans="1:4" x14ac:dyDescent="0.2">
      <c r="A1606" t="s">
        <v>2301</v>
      </c>
      <c r="B1606" t="s">
        <v>14359</v>
      </c>
      <c r="C1606" t="s">
        <v>20376</v>
      </c>
      <c r="D1606" t="s">
        <v>14360</v>
      </c>
    </row>
    <row r="1607" spans="1:4" x14ac:dyDescent="0.2">
      <c r="A1607" t="s">
        <v>2862</v>
      </c>
      <c r="B1607" t="s">
        <v>14359</v>
      </c>
      <c r="C1607" t="s">
        <v>10408</v>
      </c>
      <c r="D1607" t="s">
        <v>14360</v>
      </c>
    </row>
    <row r="1608" spans="1:4" x14ac:dyDescent="0.2">
      <c r="A1608" t="s">
        <v>2876</v>
      </c>
      <c r="B1608" t="s">
        <v>14359</v>
      </c>
      <c r="C1608" t="s">
        <v>10409</v>
      </c>
      <c r="D1608" t="s">
        <v>14360</v>
      </c>
    </row>
    <row r="1609" spans="1:4" x14ac:dyDescent="0.2">
      <c r="A1609" t="s">
        <v>3108</v>
      </c>
      <c r="B1609" t="s">
        <v>14359</v>
      </c>
      <c r="C1609" t="s">
        <v>10410</v>
      </c>
      <c r="D1609" t="s">
        <v>14360</v>
      </c>
    </row>
    <row r="1610" spans="1:4" x14ac:dyDescent="0.2">
      <c r="A1610" t="s">
        <v>14148</v>
      </c>
      <c r="B1610" t="s">
        <v>14359</v>
      </c>
      <c r="C1610" t="s">
        <v>10411</v>
      </c>
      <c r="D1610" t="s">
        <v>14360</v>
      </c>
    </row>
    <row r="1611" spans="1:4" x14ac:dyDescent="0.2">
      <c r="A1611" t="s">
        <v>14149</v>
      </c>
      <c r="B1611" t="s">
        <v>14359</v>
      </c>
      <c r="C1611" t="s">
        <v>10412</v>
      </c>
      <c r="D1611" t="s">
        <v>14360</v>
      </c>
    </row>
    <row r="1612" spans="1:4" x14ac:dyDescent="0.2">
      <c r="A1612" t="s">
        <v>2858</v>
      </c>
      <c r="B1612" t="s">
        <v>14359</v>
      </c>
      <c r="C1612" t="s">
        <v>10413</v>
      </c>
      <c r="D1612" t="s">
        <v>14360</v>
      </c>
    </row>
    <row r="1613" spans="1:4" x14ac:dyDescent="0.2">
      <c r="A1613" t="s">
        <v>2852</v>
      </c>
      <c r="B1613" t="s">
        <v>14359</v>
      </c>
      <c r="C1613" t="s">
        <v>10414</v>
      </c>
      <c r="D1613" t="s">
        <v>14360</v>
      </c>
    </row>
    <row r="1614" spans="1:4" x14ac:dyDescent="0.2">
      <c r="A1614" t="s">
        <v>2870</v>
      </c>
      <c r="B1614" t="s">
        <v>14359</v>
      </c>
      <c r="C1614" t="s">
        <v>10415</v>
      </c>
      <c r="D1614" t="s">
        <v>14360</v>
      </c>
    </row>
    <row r="1615" spans="1:4" x14ac:dyDescent="0.2">
      <c r="A1615" t="s">
        <v>2872</v>
      </c>
      <c r="B1615" t="s">
        <v>14359</v>
      </c>
      <c r="C1615" t="s">
        <v>10416</v>
      </c>
      <c r="D1615" t="s">
        <v>14360</v>
      </c>
    </row>
    <row r="1616" spans="1:4" x14ac:dyDescent="0.2">
      <c r="A1616" t="s">
        <v>2847</v>
      </c>
      <c r="B1616" t="s">
        <v>14359</v>
      </c>
      <c r="C1616" t="s">
        <v>10417</v>
      </c>
      <c r="D1616" t="s">
        <v>14360</v>
      </c>
    </row>
    <row r="1617" spans="1:4" x14ac:dyDescent="0.2">
      <c r="A1617" t="s">
        <v>2868</v>
      </c>
      <c r="B1617" t="s">
        <v>14359</v>
      </c>
      <c r="C1617" t="s">
        <v>10418</v>
      </c>
      <c r="D1617" t="s">
        <v>14360</v>
      </c>
    </row>
    <row r="1618" spans="1:4" x14ac:dyDescent="0.2">
      <c r="A1618" t="s">
        <v>2874</v>
      </c>
      <c r="B1618" t="s">
        <v>14359</v>
      </c>
      <c r="C1618" t="s">
        <v>10419</v>
      </c>
      <c r="D1618" t="s">
        <v>14360</v>
      </c>
    </row>
    <row r="1619" spans="1:4" x14ac:dyDescent="0.2">
      <c r="A1619" t="s">
        <v>2850</v>
      </c>
      <c r="B1619" t="s">
        <v>14359</v>
      </c>
      <c r="C1619" t="s">
        <v>10420</v>
      </c>
      <c r="D1619" t="s">
        <v>14360</v>
      </c>
    </row>
    <row r="1620" spans="1:4" x14ac:dyDescent="0.2">
      <c r="A1620" t="s">
        <v>2864</v>
      </c>
      <c r="B1620" t="s">
        <v>14359</v>
      </c>
      <c r="C1620" t="s">
        <v>10421</v>
      </c>
      <c r="D1620" t="s">
        <v>14360</v>
      </c>
    </row>
    <row r="1621" spans="1:4" x14ac:dyDescent="0.2">
      <c r="A1621" t="s">
        <v>14150</v>
      </c>
      <c r="B1621" t="s">
        <v>14359</v>
      </c>
      <c r="C1621" t="s">
        <v>10422</v>
      </c>
      <c r="D1621" t="s">
        <v>14360</v>
      </c>
    </row>
    <row r="1622" spans="1:4" x14ac:dyDescent="0.2">
      <c r="A1622" t="s">
        <v>2856</v>
      </c>
      <c r="B1622" t="s">
        <v>14359</v>
      </c>
      <c r="C1622" t="s">
        <v>10423</v>
      </c>
      <c r="D1622" t="s">
        <v>14360</v>
      </c>
    </row>
    <row r="1623" spans="1:4" x14ac:dyDescent="0.2">
      <c r="A1623" t="s">
        <v>2854</v>
      </c>
      <c r="B1623" t="s">
        <v>14359</v>
      </c>
      <c r="C1623" t="s">
        <v>10424</v>
      </c>
      <c r="D1623" t="s">
        <v>14360</v>
      </c>
    </row>
    <row r="1624" spans="1:4" x14ac:dyDescent="0.2">
      <c r="A1624" t="s">
        <v>2901</v>
      </c>
      <c r="B1624" t="s">
        <v>14359</v>
      </c>
      <c r="C1624" t="s">
        <v>10425</v>
      </c>
      <c r="D1624" t="s">
        <v>14360</v>
      </c>
    </row>
    <row r="1625" spans="1:4" x14ac:dyDescent="0.2">
      <c r="A1625" t="s">
        <v>14151</v>
      </c>
      <c r="B1625" t="s">
        <v>14359</v>
      </c>
      <c r="C1625" t="s">
        <v>10426</v>
      </c>
      <c r="D1625" t="s">
        <v>14360</v>
      </c>
    </row>
    <row r="1626" spans="1:4" x14ac:dyDescent="0.2">
      <c r="A1626" t="s">
        <v>2246</v>
      </c>
      <c r="B1626" t="s">
        <v>14359</v>
      </c>
      <c r="C1626" t="s">
        <v>20377</v>
      </c>
      <c r="D1626" t="s">
        <v>14360</v>
      </c>
    </row>
    <row r="1627" spans="1:4" x14ac:dyDescent="0.2">
      <c r="A1627" t="s">
        <v>2882</v>
      </c>
      <c r="B1627" t="s">
        <v>14359</v>
      </c>
      <c r="C1627" t="s">
        <v>10427</v>
      </c>
      <c r="D1627" t="s">
        <v>14360</v>
      </c>
    </row>
    <row r="1628" spans="1:4" x14ac:dyDescent="0.2">
      <c r="A1628" t="s">
        <v>2878</v>
      </c>
      <c r="B1628" t="s">
        <v>14359</v>
      </c>
      <c r="C1628" t="s">
        <v>10428</v>
      </c>
      <c r="D1628" t="s">
        <v>14360</v>
      </c>
    </row>
    <row r="1629" spans="1:4" x14ac:dyDescent="0.2">
      <c r="A1629" t="s">
        <v>14288</v>
      </c>
      <c r="B1629" t="s">
        <v>14359</v>
      </c>
      <c r="C1629" t="s">
        <v>20378</v>
      </c>
      <c r="D1629" t="s">
        <v>14360</v>
      </c>
    </row>
    <row r="1630" spans="1:4" x14ac:dyDescent="0.2">
      <c r="A1630" t="s">
        <v>14289</v>
      </c>
      <c r="B1630" t="s">
        <v>14359</v>
      </c>
      <c r="C1630" t="s">
        <v>20379</v>
      </c>
      <c r="D1630" t="s">
        <v>14360</v>
      </c>
    </row>
    <row r="1631" spans="1:4" x14ac:dyDescent="0.2">
      <c r="A1631" t="s">
        <v>2907</v>
      </c>
      <c r="B1631" t="s">
        <v>14359</v>
      </c>
      <c r="C1631" t="s">
        <v>10429</v>
      </c>
      <c r="D1631" t="s">
        <v>14360</v>
      </c>
    </row>
    <row r="1632" spans="1:4" x14ac:dyDescent="0.2">
      <c r="A1632" t="s">
        <v>2899</v>
      </c>
      <c r="B1632" t="s">
        <v>14359</v>
      </c>
      <c r="C1632" t="s">
        <v>10430</v>
      </c>
      <c r="D1632" t="s">
        <v>14360</v>
      </c>
    </row>
    <row r="1633" spans="1:4" x14ac:dyDescent="0.2">
      <c r="A1633" t="s">
        <v>2891</v>
      </c>
      <c r="B1633" t="s">
        <v>14359</v>
      </c>
      <c r="C1633" t="s">
        <v>10431</v>
      </c>
      <c r="D1633" t="s">
        <v>14360</v>
      </c>
    </row>
    <row r="1634" spans="1:4" x14ac:dyDescent="0.2">
      <c r="A1634" t="s">
        <v>2903</v>
      </c>
      <c r="B1634" t="s">
        <v>14359</v>
      </c>
      <c r="C1634" t="s">
        <v>10432</v>
      </c>
      <c r="D1634" t="s">
        <v>14360</v>
      </c>
    </row>
    <row r="1635" spans="1:4" x14ac:dyDescent="0.2">
      <c r="A1635" t="s">
        <v>14290</v>
      </c>
      <c r="B1635" t="s">
        <v>14359</v>
      </c>
      <c r="C1635" t="s">
        <v>20380</v>
      </c>
      <c r="D1635" t="s">
        <v>14360</v>
      </c>
    </row>
    <row r="1636" spans="1:4" x14ac:dyDescent="0.2">
      <c r="A1636" t="s">
        <v>14152</v>
      </c>
      <c r="B1636" t="s">
        <v>14359</v>
      </c>
      <c r="C1636" t="s">
        <v>10433</v>
      </c>
      <c r="D1636" t="s">
        <v>14360</v>
      </c>
    </row>
    <row r="1637" spans="1:4" x14ac:dyDescent="0.2">
      <c r="A1637" t="s">
        <v>2391</v>
      </c>
      <c r="B1637" t="s">
        <v>14359</v>
      </c>
      <c r="C1637" t="s">
        <v>20381</v>
      </c>
      <c r="D1637" t="s">
        <v>14360</v>
      </c>
    </row>
    <row r="1638" spans="1:4" x14ac:dyDescent="0.2">
      <c r="A1638" t="s">
        <v>2893</v>
      </c>
      <c r="B1638" t="s">
        <v>14359</v>
      </c>
      <c r="C1638" t="s">
        <v>10434</v>
      </c>
      <c r="D1638" t="s">
        <v>14360</v>
      </c>
    </row>
    <row r="1639" spans="1:4" x14ac:dyDescent="0.2">
      <c r="A1639" t="s">
        <v>14291</v>
      </c>
      <c r="B1639" t="s">
        <v>14359</v>
      </c>
      <c r="C1639" t="s">
        <v>20382</v>
      </c>
      <c r="D1639" t="s">
        <v>14360</v>
      </c>
    </row>
    <row r="1640" spans="1:4" x14ac:dyDescent="0.2">
      <c r="A1640" t="s">
        <v>2887</v>
      </c>
      <c r="B1640" t="s">
        <v>14359</v>
      </c>
      <c r="C1640" t="s">
        <v>10435</v>
      </c>
      <c r="D1640" t="s">
        <v>14360</v>
      </c>
    </row>
    <row r="1641" spans="1:4" x14ac:dyDescent="0.2">
      <c r="A1641" t="s">
        <v>2895</v>
      </c>
      <c r="B1641" t="s">
        <v>14359</v>
      </c>
      <c r="C1641" t="s">
        <v>10436</v>
      </c>
      <c r="D1641" t="s">
        <v>14360</v>
      </c>
    </row>
    <row r="1642" spans="1:4" x14ac:dyDescent="0.2">
      <c r="A1642" t="s">
        <v>2884</v>
      </c>
      <c r="B1642" t="s">
        <v>14359</v>
      </c>
      <c r="C1642" t="s">
        <v>10437</v>
      </c>
      <c r="D1642" t="s">
        <v>14360</v>
      </c>
    </row>
    <row r="1643" spans="1:4" x14ac:dyDescent="0.2">
      <c r="A1643" t="s">
        <v>1648</v>
      </c>
      <c r="B1643" t="s">
        <v>14359</v>
      </c>
      <c r="C1643" t="s">
        <v>20383</v>
      </c>
      <c r="D1643" t="s">
        <v>14360</v>
      </c>
    </row>
    <row r="1644" spans="1:4" x14ac:dyDescent="0.2">
      <c r="A1644" t="s">
        <v>14292</v>
      </c>
      <c r="B1644" t="s">
        <v>14359</v>
      </c>
      <c r="C1644" t="s">
        <v>20384</v>
      </c>
      <c r="D1644" t="s">
        <v>14360</v>
      </c>
    </row>
    <row r="1645" spans="1:4" x14ac:dyDescent="0.2">
      <c r="A1645" t="s">
        <v>2880</v>
      </c>
      <c r="B1645" t="s">
        <v>14359</v>
      </c>
      <c r="C1645" t="s">
        <v>10438</v>
      </c>
      <c r="D1645" t="s">
        <v>14360</v>
      </c>
    </row>
    <row r="1646" spans="1:4" x14ac:dyDescent="0.2">
      <c r="A1646" t="s">
        <v>14153</v>
      </c>
      <c r="B1646" t="s">
        <v>14359</v>
      </c>
      <c r="C1646" t="s">
        <v>10439</v>
      </c>
      <c r="D1646" t="s">
        <v>14360</v>
      </c>
    </row>
    <row r="1647" spans="1:4" x14ac:dyDescent="0.2">
      <c r="A1647" t="s">
        <v>14154</v>
      </c>
      <c r="B1647" t="s">
        <v>14359</v>
      </c>
      <c r="C1647" t="s">
        <v>10440</v>
      </c>
      <c r="D1647" t="s">
        <v>14360</v>
      </c>
    </row>
    <row r="1648" spans="1:4" x14ac:dyDescent="0.2">
      <c r="A1648" t="s">
        <v>2897</v>
      </c>
      <c r="B1648" t="s">
        <v>14359</v>
      </c>
      <c r="C1648" t="s">
        <v>10441</v>
      </c>
      <c r="D1648" t="s">
        <v>14360</v>
      </c>
    </row>
    <row r="1649" spans="1:4" x14ac:dyDescent="0.2">
      <c r="A1649" t="s">
        <v>2889</v>
      </c>
      <c r="B1649" t="s">
        <v>14359</v>
      </c>
      <c r="C1649" t="s">
        <v>17113</v>
      </c>
      <c r="D1649" t="s">
        <v>14360</v>
      </c>
    </row>
    <row r="1650" spans="1:4" x14ac:dyDescent="0.2">
      <c r="A1650" t="s">
        <v>14155</v>
      </c>
      <c r="B1650" t="s">
        <v>14359</v>
      </c>
      <c r="C1650" t="s">
        <v>10442</v>
      </c>
      <c r="D1650" t="s">
        <v>14360</v>
      </c>
    </row>
    <row r="1651" spans="1:4" x14ac:dyDescent="0.2">
      <c r="A1651" t="s">
        <v>2905</v>
      </c>
      <c r="B1651" t="s">
        <v>14359</v>
      </c>
      <c r="C1651" t="s">
        <v>10443</v>
      </c>
      <c r="D1651" t="s">
        <v>14360</v>
      </c>
    </row>
    <row r="1652" spans="1:4" x14ac:dyDescent="0.2">
      <c r="A1652" t="s">
        <v>14156</v>
      </c>
      <c r="B1652" t="s">
        <v>14359</v>
      </c>
      <c r="C1652" t="s">
        <v>10444</v>
      </c>
      <c r="D1652" t="s">
        <v>14360</v>
      </c>
    </row>
    <row r="1653" spans="1:4" x14ac:dyDescent="0.2">
      <c r="A1653" t="s">
        <v>14157</v>
      </c>
      <c r="B1653" t="s">
        <v>14359</v>
      </c>
      <c r="C1653" t="s">
        <v>10445</v>
      </c>
      <c r="D1653" t="s">
        <v>14360</v>
      </c>
    </row>
    <row r="1654" spans="1:4" x14ac:dyDescent="0.2">
      <c r="A1654" t="s">
        <v>2927</v>
      </c>
      <c r="B1654" t="s">
        <v>14359</v>
      </c>
      <c r="C1654" t="s">
        <v>10446</v>
      </c>
      <c r="D1654" t="s">
        <v>14360</v>
      </c>
    </row>
    <row r="1655" spans="1:4" x14ac:dyDescent="0.2">
      <c r="A1655" t="s">
        <v>14158</v>
      </c>
      <c r="B1655" t="s">
        <v>14359</v>
      </c>
      <c r="C1655" t="s">
        <v>10447</v>
      </c>
      <c r="D1655" t="s">
        <v>14360</v>
      </c>
    </row>
    <row r="1656" spans="1:4" x14ac:dyDescent="0.2">
      <c r="A1656" t="s">
        <v>14159</v>
      </c>
      <c r="B1656" t="s">
        <v>14359</v>
      </c>
      <c r="C1656" t="s">
        <v>10448</v>
      </c>
      <c r="D1656" t="s">
        <v>14360</v>
      </c>
    </row>
    <row r="1657" spans="1:4" x14ac:dyDescent="0.2">
      <c r="A1657" t="s">
        <v>2932</v>
      </c>
      <c r="B1657" t="s">
        <v>14359</v>
      </c>
      <c r="C1657" t="s">
        <v>10449</v>
      </c>
      <c r="D1657" t="s">
        <v>14360</v>
      </c>
    </row>
    <row r="1658" spans="1:4" x14ac:dyDescent="0.2">
      <c r="A1658" t="s">
        <v>2922</v>
      </c>
      <c r="B1658" t="s">
        <v>14359</v>
      </c>
      <c r="C1658" t="s">
        <v>10450</v>
      </c>
      <c r="D1658" t="s">
        <v>14360</v>
      </c>
    </row>
    <row r="1659" spans="1:4" x14ac:dyDescent="0.2">
      <c r="A1659" t="s">
        <v>2291</v>
      </c>
      <c r="B1659" t="s">
        <v>14359</v>
      </c>
      <c r="C1659" t="s">
        <v>20385</v>
      </c>
      <c r="D1659" t="s">
        <v>14360</v>
      </c>
    </row>
    <row r="1660" spans="1:4" x14ac:dyDescent="0.2">
      <c r="A1660" t="s">
        <v>2914</v>
      </c>
      <c r="B1660" t="s">
        <v>14359</v>
      </c>
      <c r="C1660" t="s">
        <v>10451</v>
      </c>
      <c r="D1660" t="s">
        <v>14360</v>
      </c>
    </row>
    <row r="1661" spans="1:4" x14ac:dyDescent="0.2">
      <c r="A1661" t="s">
        <v>14293</v>
      </c>
      <c r="B1661" t="s">
        <v>14359</v>
      </c>
      <c r="C1661" t="s">
        <v>20386</v>
      </c>
      <c r="D1661" t="s">
        <v>14360</v>
      </c>
    </row>
    <row r="1662" spans="1:4" x14ac:dyDescent="0.2">
      <c r="A1662" t="s">
        <v>2909</v>
      </c>
      <c r="B1662" t="s">
        <v>14359</v>
      </c>
      <c r="C1662" t="s">
        <v>10452</v>
      </c>
      <c r="D1662" t="s">
        <v>14360</v>
      </c>
    </row>
    <row r="1663" spans="1:4" x14ac:dyDescent="0.2">
      <c r="A1663" t="s">
        <v>2912</v>
      </c>
      <c r="B1663" t="s">
        <v>14359</v>
      </c>
      <c r="C1663" t="s">
        <v>10453</v>
      </c>
      <c r="D1663" t="s">
        <v>14360</v>
      </c>
    </row>
    <row r="1664" spans="1:4" x14ac:dyDescent="0.2">
      <c r="A1664" t="s">
        <v>2925</v>
      </c>
      <c r="B1664" t="s">
        <v>14359</v>
      </c>
      <c r="C1664" t="s">
        <v>17116</v>
      </c>
      <c r="D1664" t="s">
        <v>14360</v>
      </c>
    </row>
    <row r="1665" spans="1:4" x14ac:dyDescent="0.2">
      <c r="A1665" t="s">
        <v>1620</v>
      </c>
      <c r="B1665" t="s">
        <v>14359</v>
      </c>
      <c r="C1665" t="s">
        <v>20387</v>
      </c>
      <c r="D1665" t="s">
        <v>14360</v>
      </c>
    </row>
    <row r="1666" spans="1:4" x14ac:dyDescent="0.2">
      <c r="A1666" t="s">
        <v>14294</v>
      </c>
      <c r="B1666" t="s">
        <v>14359</v>
      </c>
      <c r="C1666" t="s">
        <v>20388</v>
      </c>
      <c r="D1666" t="s">
        <v>14360</v>
      </c>
    </row>
    <row r="1667" spans="1:4" x14ac:dyDescent="0.2">
      <c r="A1667" t="s">
        <v>2314</v>
      </c>
      <c r="B1667" t="s">
        <v>14359</v>
      </c>
      <c r="C1667" t="s">
        <v>20389</v>
      </c>
      <c r="D1667" t="s">
        <v>14360</v>
      </c>
    </row>
    <row r="1668" spans="1:4" x14ac:dyDescent="0.2">
      <c r="A1668" t="s">
        <v>2187</v>
      </c>
      <c r="B1668" t="s">
        <v>14359</v>
      </c>
      <c r="C1668" t="s">
        <v>20390</v>
      </c>
      <c r="D1668" t="s">
        <v>14360</v>
      </c>
    </row>
    <row r="1669" spans="1:4" x14ac:dyDescent="0.2">
      <c r="A1669" t="s">
        <v>2209</v>
      </c>
      <c r="B1669" t="s">
        <v>14359</v>
      </c>
      <c r="C1669" t="s">
        <v>20391</v>
      </c>
      <c r="D1669" t="s">
        <v>14360</v>
      </c>
    </row>
    <row r="1670" spans="1:4" x14ac:dyDescent="0.2">
      <c r="A1670" t="s">
        <v>14160</v>
      </c>
      <c r="B1670" t="s">
        <v>14359</v>
      </c>
      <c r="C1670" t="s">
        <v>10454</v>
      </c>
      <c r="D1670" t="s">
        <v>14360</v>
      </c>
    </row>
    <row r="1671" spans="1:4" x14ac:dyDescent="0.2">
      <c r="A1671" t="s">
        <v>2934</v>
      </c>
      <c r="B1671" t="s">
        <v>14359</v>
      </c>
      <c r="C1671" t="s">
        <v>10455</v>
      </c>
      <c r="D1671" t="s">
        <v>14360</v>
      </c>
    </row>
    <row r="1672" spans="1:4" x14ac:dyDescent="0.2">
      <c r="A1672" t="s">
        <v>2322</v>
      </c>
      <c r="B1672" t="s">
        <v>14359</v>
      </c>
      <c r="C1672" t="s">
        <v>20392</v>
      </c>
      <c r="D1672" t="s">
        <v>14360</v>
      </c>
    </row>
    <row r="1673" spans="1:4" x14ac:dyDescent="0.2">
      <c r="A1673" t="s">
        <v>2936</v>
      </c>
      <c r="B1673" t="s">
        <v>14359</v>
      </c>
      <c r="C1673" t="s">
        <v>10456</v>
      </c>
      <c r="D1673" t="s">
        <v>14360</v>
      </c>
    </row>
    <row r="1674" spans="1:4" x14ac:dyDescent="0.2">
      <c r="A1674" t="s">
        <v>14161</v>
      </c>
      <c r="B1674" t="s">
        <v>14359</v>
      </c>
      <c r="C1674" t="s">
        <v>10457</v>
      </c>
      <c r="D1674" t="s">
        <v>14360</v>
      </c>
    </row>
    <row r="1675" spans="1:4" x14ac:dyDescent="0.2">
      <c r="A1675" t="s">
        <v>2916</v>
      </c>
      <c r="B1675" t="s">
        <v>14359</v>
      </c>
      <c r="C1675" t="s">
        <v>10458</v>
      </c>
      <c r="D1675" t="s">
        <v>14360</v>
      </c>
    </row>
    <row r="1676" spans="1:4" x14ac:dyDescent="0.2">
      <c r="A1676" t="s">
        <v>14162</v>
      </c>
      <c r="B1676" t="s">
        <v>14359</v>
      </c>
      <c r="C1676" t="s">
        <v>10459</v>
      </c>
      <c r="D1676" t="s">
        <v>14360</v>
      </c>
    </row>
    <row r="1677" spans="1:4" x14ac:dyDescent="0.2">
      <c r="A1677" t="s">
        <v>2930</v>
      </c>
      <c r="B1677" t="s">
        <v>14359</v>
      </c>
      <c r="C1677" t="s">
        <v>10460</v>
      </c>
      <c r="D1677" t="s">
        <v>14360</v>
      </c>
    </row>
    <row r="1678" spans="1:4" x14ac:dyDescent="0.2">
      <c r="A1678" t="s">
        <v>2918</v>
      </c>
      <c r="B1678" t="s">
        <v>14359</v>
      </c>
      <c r="C1678" t="s">
        <v>10461</v>
      </c>
      <c r="D1678" t="s">
        <v>14360</v>
      </c>
    </row>
    <row r="1679" spans="1:4" x14ac:dyDescent="0.2">
      <c r="A1679" t="s">
        <v>2920</v>
      </c>
      <c r="B1679" t="s">
        <v>14359</v>
      </c>
      <c r="C1679" t="s">
        <v>10462</v>
      </c>
      <c r="D1679" t="s">
        <v>14360</v>
      </c>
    </row>
    <row r="1680" spans="1:4" x14ac:dyDescent="0.2">
      <c r="A1680" t="s">
        <v>14163</v>
      </c>
      <c r="B1680" t="s">
        <v>14359</v>
      </c>
      <c r="C1680" t="s">
        <v>10463</v>
      </c>
      <c r="D1680" t="s">
        <v>14360</v>
      </c>
    </row>
    <row r="1681" spans="1:4" x14ac:dyDescent="0.2">
      <c r="A1681" t="s">
        <v>2946</v>
      </c>
      <c r="B1681" t="s">
        <v>14359</v>
      </c>
      <c r="C1681" t="s">
        <v>10464</v>
      </c>
      <c r="D1681" t="s">
        <v>14360</v>
      </c>
    </row>
    <row r="1682" spans="1:4" x14ac:dyDescent="0.2">
      <c r="A1682" t="s">
        <v>14164</v>
      </c>
      <c r="B1682" t="s">
        <v>14359</v>
      </c>
      <c r="C1682" t="s">
        <v>10465</v>
      </c>
      <c r="D1682" t="s">
        <v>14360</v>
      </c>
    </row>
    <row r="1683" spans="1:4" x14ac:dyDescent="0.2">
      <c r="A1683" t="s">
        <v>2948</v>
      </c>
      <c r="B1683" t="s">
        <v>14359</v>
      </c>
      <c r="C1683" t="s">
        <v>10466</v>
      </c>
      <c r="D1683" t="s">
        <v>14360</v>
      </c>
    </row>
    <row r="1684" spans="1:4" x14ac:dyDescent="0.2">
      <c r="A1684" t="s">
        <v>14165</v>
      </c>
      <c r="B1684" t="s">
        <v>14359</v>
      </c>
      <c r="C1684" t="s">
        <v>10467</v>
      </c>
      <c r="D1684" t="s">
        <v>14360</v>
      </c>
    </row>
    <row r="1685" spans="1:4" x14ac:dyDescent="0.2">
      <c r="A1685" t="s">
        <v>2940</v>
      </c>
      <c r="B1685" t="s">
        <v>14359</v>
      </c>
      <c r="C1685" t="s">
        <v>10468</v>
      </c>
      <c r="D1685" t="s">
        <v>14360</v>
      </c>
    </row>
    <row r="1686" spans="1:4" x14ac:dyDescent="0.2">
      <c r="A1686" t="s">
        <v>2956</v>
      </c>
      <c r="B1686" t="s">
        <v>14359</v>
      </c>
      <c r="C1686" t="s">
        <v>10469</v>
      </c>
      <c r="D1686" t="s">
        <v>14360</v>
      </c>
    </row>
    <row r="1687" spans="1:4" x14ac:dyDescent="0.2">
      <c r="A1687" t="s">
        <v>2942</v>
      </c>
      <c r="B1687" t="s">
        <v>14359</v>
      </c>
      <c r="C1687" t="s">
        <v>10470</v>
      </c>
      <c r="D1687" t="s">
        <v>14360</v>
      </c>
    </row>
    <row r="1688" spans="1:4" x14ac:dyDescent="0.2">
      <c r="A1688" t="s">
        <v>2950</v>
      </c>
      <c r="B1688" t="s">
        <v>14359</v>
      </c>
      <c r="C1688" t="s">
        <v>10471</v>
      </c>
      <c r="D1688" t="s">
        <v>14360</v>
      </c>
    </row>
    <row r="1689" spans="1:4" x14ac:dyDescent="0.2">
      <c r="A1689" t="s">
        <v>14166</v>
      </c>
      <c r="B1689" t="s">
        <v>14359</v>
      </c>
      <c r="C1689" t="s">
        <v>10472</v>
      </c>
      <c r="D1689" t="s">
        <v>14360</v>
      </c>
    </row>
    <row r="1690" spans="1:4" x14ac:dyDescent="0.2">
      <c r="A1690" t="s">
        <v>2944</v>
      </c>
      <c r="B1690" t="s">
        <v>14359</v>
      </c>
      <c r="C1690" t="s">
        <v>10473</v>
      </c>
      <c r="D1690" t="s">
        <v>14360</v>
      </c>
    </row>
    <row r="1691" spans="1:4" x14ac:dyDescent="0.2">
      <c r="A1691" t="s">
        <v>2958</v>
      </c>
      <c r="B1691" t="s">
        <v>14359</v>
      </c>
      <c r="C1691" t="s">
        <v>10474</v>
      </c>
      <c r="D1691" t="s">
        <v>14360</v>
      </c>
    </row>
    <row r="1692" spans="1:4" x14ac:dyDescent="0.2">
      <c r="A1692" t="s">
        <v>2271</v>
      </c>
      <c r="B1692" t="s">
        <v>14359</v>
      </c>
      <c r="C1692" t="s">
        <v>20393</v>
      </c>
      <c r="D1692" t="s">
        <v>14360</v>
      </c>
    </row>
    <row r="1693" spans="1:4" x14ac:dyDescent="0.2">
      <c r="A1693" t="s">
        <v>2960</v>
      </c>
      <c r="B1693" t="s">
        <v>14359</v>
      </c>
      <c r="C1693" t="s">
        <v>10475</v>
      </c>
      <c r="D1693" t="s">
        <v>14360</v>
      </c>
    </row>
    <row r="1694" spans="1:4" x14ac:dyDescent="0.2">
      <c r="A1694" t="s">
        <v>2954</v>
      </c>
      <c r="B1694" t="s">
        <v>14359</v>
      </c>
      <c r="C1694" t="s">
        <v>10476</v>
      </c>
      <c r="D1694" t="s">
        <v>14360</v>
      </c>
    </row>
    <row r="1695" spans="1:4" x14ac:dyDescent="0.2">
      <c r="A1695" t="s">
        <v>2952</v>
      </c>
      <c r="B1695" t="s">
        <v>14359</v>
      </c>
      <c r="C1695" t="s">
        <v>10477</v>
      </c>
      <c r="D1695" t="s">
        <v>14360</v>
      </c>
    </row>
    <row r="1696" spans="1:4" x14ac:dyDescent="0.2">
      <c r="A1696" t="s">
        <v>14295</v>
      </c>
      <c r="B1696" t="s">
        <v>14359</v>
      </c>
      <c r="C1696" t="s">
        <v>20394</v>
      </c>
      <c r="D1696" t="s">
        <v>14360</v>
      </c>
    </row>
    <row r="1697" spans="1:4" x14ac:dyDescent="0.2">
      <c r="A1697" t="s">
        <v>2962</v>
      </c>
      <c r="B1697" t="s">
        <v>14359</v>
      </c>
      <c r="C1697" t="s">
        <v>10478</v>
      </c>
      <c r="D1697" t="s">
        <v>14360</v>
      </c>
    </row>
    <row r="1698" spans="1:4" x14ac:dyDescent="0.2">
      <c r="A1698" t="s">
        <v>1374</v>
      </c>
      <c r="B1698" t="s">
        <v>14359</v>
      </c>
      <c r="C1698" t="s">
        <v>20395</v>
      </c>
      <c r="D1698" t="s">
        <v>14360</v>
      </c>
    </row>
    <row r="1699" spans="1:4" x14ac:dyDescent="0.2">
      <c r="A1699" t="s">
        <v>2976</v>
      </c>
      <c r="B1699" t="s">
        <v>14359</v>
      </c>
      <c r="C1699" t="s">
        <v>17117</v>
      </c>
      <c r="D1699" t="s">
        <v>14360</v>
      </c>
    </row>
    <row r="1700" spans="1:4" x14ac:dyDescent="0.2">
      <c r="A1700" t="s">
        <v>2970</v>
      </c>
      <c r="B1700" t="s">
        <v>14359</v>
      </c>
      <c r="C1700" t="s">
        <v>10479</v>
      </c>
      <c r="D1700" t="s">
        <v>14360</v>
      </c>
    </row>
    <row r="1701" spans="1:4" x14ac:dyDescent="0.2">
      <c r="A1701" t="s">
        <v>14167</v>
      </c>
      <c r="B1701" t="s">
        <v>14359</v>
      </c>
      <c r="C1701" t="s">
        <v>10480</v>
      </c>
      <c r="D1701" t="s">
        <v>14360</v>
      </c>
    </row>
    <row r="1702" spans="1:4" x14ac:dyDescent="0.2">
      <c r="A1702" t="s">
        <v>14168</v>
      </c>
      <c r="B1702" t="s">
        <v>14359</v>
      </c>
      <c r="C1702" t="s">
        <v>10481</v>
      </c>
      <c r="D1702" t="s">
        <v>14360</v>
      </c>
    </row>
    <row r="1703" spans="1:4" x14ac:dyDescent="0.2">
      <c r="A1703" t="s">
        <v>14169</v>
      </c>
      <c r="B1703" t="s">
        <v>14359</v>
      </c>
      <c r="C1703" t="s">
        <v>10482</v>
      </c>
      <c r="D1703" t="s">
        <v>14360</v>
      </c>
    </row>
    <row r="1704" spans="1:4" x14ac:dyDescent="0.2">
      <c r="A1704" t="s">
        <v>14170</v>
      </c>
      <c r="B1704" t="s">
        <v>14359</v>
      </c>
      <c r="C1704" t="s">
        <v>10483</v>
      </c>
      <c r="D1704" t="s">
        <v>14360</v>
      </c>
    </row>
    <row r="1705" spans="1:4" x14ac:dyDescent="0.2">
      <c r="A1705" t="s">
        <v>2965</v>
      </c>
      <c r="B1705" t="s">
        <v>14359</v>
      </c>
      <c r="C1705" t="s">
        <v>10484</v>
      </c>
      <c r="D1705" t="s">
        <v>14360</v>
      </c>
    </row>
    <row r="1706" spans="1:4" x14ac:dyDescent="0.2">
      <c r="A1706" t="s">
        <v>14171</v>
      </c>
      <c r="B1706" t="s">
        <v>14359</v>
      </c>
      <c r="C1706" t="s">
        <v>10485</v>
      </c>
      <c r="D1706" t="s">
        <v>14360</v>
      </c>
    </row>
    <row r="1707" spans="1:4" x14ac:dyDescent="0.2">
      <c r="A1707" t="s">
        <v>14172</v>
      </c>
      <c r="B1707" t="s">
        <v>14359</v>
      </c>
      <c r="C1707" t="s">
        <v>10486</v>
      </c>
      <c r="D1707" t="s">
        <v>14360</v>
      </c>
    </row>
    <row r="1708" spans="1:4" x14ac:dyDescent="0.2">
      <c r="A1708" t="s">
        <v>14296</v>
      </c>
      <c r="B1708" t="s">
        <v>14359</v>
      </c>
      <c r="C1708" t="s">
        <v>20396</v>
      </c>
      <c r="D1708" t="s">
        <v>14360</v>
      </c>
    </row>
    <row r="1709" spans="1:4" x14ac:dyDescent="0.2">
      <c r="A1709" t="s">
        <v>14297</v>
      </c>
      <c r="B1709" t="s">
        <v>14359</v>
      </c>
      <c r="C1709" t="s">
        <v>20397</v>
      </c>
      <c r="D1709" t="s">
        <v>14360</v>
      </c>
    </row>
    <row r="1710" spans="1:4" x14ac:dyDescent="0.2">
      <c r="A1710" t="s">
        <v>2277</v>
      </c>
      <c r="B1710" t="s">
        <v>14359</v>
      </c>
      <c r="C1710" t="s">
        <v>20398</v>
      </c>
      <c r="D1710" t="s">
        <v>14360</v>
      </c>
    </row>
    <row r="1711" spans="1:4" x14ac:dyDescent="0.2">
      <c r="A1711" t="s">
        <v>14173</v>
      </c>
      <c r="B1711" t="s">
        <v>14359</v>
      </c>
      <c r="C1711" t="s">
        <v>10487</v>
      </c>
      <c r="D1711" t="s">
        <v>14360</v>
      </c>
    </row>
    <row r="1712" spans="1:4" x14ac:dyDescent="0.2">
      <c r="A1712" t="s">
        <v>14174</v>
      </c>
      <c r="B1712" t="s">
        <v>14359</v>
      </c>
      <c r="C1712" t="s">
        <v>10488</v>
      </c>
      <c r="D1712" t="s">
        <v>14360</v>
      </c>
    </row>
    <row r="1713" spans="1:4" x14ac:dyDescent="0.2">
      <c r="A1713" t="s">
        <v>2979</v>
      </c>
      <c r="B1713" t="s">
        <v>14359</v>
      </c>
      <c r="C1713" t="s">
        <v>10489</v>
      </c>
      <c r="D1713" t="s">
        <v>14360</v>
      </c>
    </row>
    <row r="1714" spans="1:4" x14ac:dyDescent="0.2">
      <c r="A1714" t="s">
        <v>14298</v>
      </c>
      <c r="B1714" t="s">
        <v>14359</v>
      </c>
      <c r="C1714" t="s">
        <v>20399</v>
      </c>
      <c r="D1714" t="s">
        <v>14360</v>
      </c>
    </row>
    <row r="1715" spans="1:4" x14ac:dyDescent="0.2">
      <c r="A1715" t="s">
        <v>2981</v>
      </c>
      <c r="B1715" t="s">
        <v>14359</v>
      </c>
      <c r="C1715" t="s">
        <v>10490</v>
      </c>
      <c r="D1715" t="s">
        <v>14360</v>
      </c>
    </row>
    <row r="1716" spans="1:4" x14ac:dyDescent="0.2">
      <c r="A1716" t="s">
        <v>14175</v>
      </c>
      <c r="B1716" t="s">
        <v>14359</v>
      </c>
      <c r="C1716" t="s">
        <v>10491</v>
      </c>
      <c r="D1716" t="s">
        <v>14360</v>
      </c>
    </row>
    <row r="1717" spans="1:4" x14ac:dyDescent="0.2">
      <c r="A1717" t="s">
        <v>2972</v>
      </c>
      <c r="B1717" t="s">
        <v>14359</v>
      </c>
      <c r="C1717" t="s">
        <v>10492</v>
      </c>
      <c r="D1717" t="s">
        <v>14360</v>
      </c>
    </row>
    <row r="1718" spans="1:4" x14ac:dyDescent="0.2">
      <c r="A1718" t="s">
        <v>14299</v>
      </c>
      <c r="B1718" t="s">
        <v>14359</v>
      </c>
      <c r="C1718" t="s">
        <v>20400</v>
      </c>
      <c r="D1718" t="s">
        <v>14360</v>
      </c>
    </row>
    <row r="1719" spans="1:4" x14ac:dyDescent="0.2">
      <c r="A1719" t="s">
        <v>2968</v>
      </c>
      <c r="B1719" t="s">
        <v>14359</v>
      </c>
      <c r="C1719" t="s">
        <v>10493</v>
      </c>
      <c r="D1719" t="s">
        <v>14360</v>
      </c>
    </row>
    <row r="1720" spans="1:4" x14ac:dyDescent="0.2">
      <c r="A1720" t="s">
        <v>14176</v>
      </c>
      <c r="B1720" t="s">
        <v>14359</v>
      </c>
      <c r="C1720" t="s">
        <v>10494</v>
      </c>
      <c r="D1720" t="s">
        <v>14360</v>
      </c>
    </row>
    <row r="1721" spans="1:4" x14ac:dyDescent="0.2">
      <c r="A1721" t="s">
        <v>14177</v>
      </c>
      <c r="B1721" t="s">
        <v>14359</v>
      </c>
      <c r="C1721" t="s">
        <v>10495</v>
      </c>
      <c r="D1721" t="s">
        <v>14360</v>
      </c>
    </row>
    <row r="1722" spans="1:4" x14ac:dyDescent="0.2">
      <c r="A1722" t="s">
        <v>14178</v>
      </c>
      <c r="B1722" t="s">
        <v>14359</v>
      </c>
      <c r="C1722" t="s">
        <v>10496</v>
      </c>
      <c r="D1722" t="s">
        <v>14360</v>
      </c>
    </row>
    <row r="1723" spans="1:4" x14ac:dyDescent="0.2">
      <c r="A1723" t="s">
        <v>14179</v>
      </c>
      <c r="B1723" t="s">
        <v>14359</v>
      </c>
      <c r="C1723" t="s">
        <v>10497</v>
      </c>
      <c r="D1723" t="s">
        <v>14360</v>
      </c>
    </row>
    <row r="1724" spans="1:4" x14ac:dyDescent="0.2">
      <c r="A1724" t="s">
        <v>2998</v>
      </c>
      <c r="B1724" t="s">
        <v>14359</v>
      </c>
      <c r="C1724" t="s">
        <v>10498</v>
      </c>
      <c r="D1724" t="s">
        <v>14360</v>
      </c>
    </row>
    <row r="1725" spans="1:4" x14ac:dyDescent="0.2">
      <c r="A1725" t="s">
        <v>14180</v>
      </c>
      <c r="B1725" t="s">
        <v>14359</v>
      </c>
      <c r="C1725" t="s">
        <v>10499</v>
      </c>
      <c r="D1725" t="s">
        <v>14360</v>
      </c>
    </row>
    <row r="1726" spans="1:4" x14ac:dyDescent="0.2">
      <c r="A1726" t="s">
        <v>14300</v>
      </c>
      <c r="B1726" t="s">
        <v>14359</v>
      </c>
      <c r="C1726" t="s">
        <v>20401</v>
      </c>
      <c r="D1726" t="s">
        <v>14360</v>
      </c>
    </row>
    <row r="1727" spans="1:4" x14ac:dyDescent="0.2">
      <c r="A1727" t="s">
        <v>14301</v>
      </c>
      <c r="B1727" t="s">
        <v>14359</v>
      </c>
      <c r="C1727" t="s">
        <v>20402</v>
      </c>
      <c r="D1727" t="s">
        <v>14360</v>
      </c>
    </row>
    <row r="1728" spans="1:4" x14ac:dyDescent="0.2">
      <c r="A1728" t="s">
        <v>2992</v>
      </c>
      <c r="B1728" t="s">
        <v>14359</v>
      </c>
      <c r="C1728" t="s">
        <v>10500</v>
      </c>
      <c r="D1728" t="s">
        <v>14360</v>
      </c>
    </row>
    <row r="1729" spans="1:4" x14ac:dyDescent="0.2">
      <c r="A1729" t="s">
        <v>14181</v>
      </c>
      <c r="B1729" t="s">
        <v>14359</v>
      </c>
      <c r="C1729" t="s">
        <v>10501</v>
      </c>
      <c r="D1729" t="s">
        <v>14360</v>
      </c>
    </row>
    <row r="1730" spans="1:4" x14ac:dyDescent="0.2">
      <c r="A1730" t="s">
        <v>14302</v>
      </c>
      <c r="B1730" t="s">
        <v>14359</v>
      </c>
      <c r="C1730" t="s">
        <v>20403</v>
      </c>
      <c r="D1730" t="s">
        <v>14360</v>
      </c>
    </row>
    <row r="1731" spans="1:4" x14ac:dyDescent="0.2">
      <c r="A1731" t="s">
        <v>14182</v>
      </c>
      <c r="B1731" t="s">
        <v>14359</v>
      </c>
      <c r="C1731" t="s">
        <v>10502</v>
      </c>
      <c r="D1731" t="s">
        <v>14360</v>
      </c>
    </row>
    <row r="1732" spans="1:4" x14ac:dyDescent="0.2">
      <c r="A1732" t="s">
        <v>2177</v>
      </c>
      <c r="B1732" t="s">
        <v>14359</v>
      </c>
      <c r="C1732" t="s">
        <v>20404</v>
      </c>
      <c r="D1732" t="s">
        <v>14360</v>
      </c>
    </row>
    <row r="1733" spans="1:4" x14ac:dyDescent="0.2">
      <c r="A1733" t="s">
        <v>14183</v>
      </c>
      <c r="B1733" t="s">
        <v>14359</v>
      </c>
      <c r="C1733" t="s">
        <v>10503</v>
      </c>
      <c r="D1733" t="s">
        <v>14360</v>
      </c>
    </row>
    <row r="1734" spans="1:4" x14ac:dyDescent="0.2">
      <c r="A1734" t="s">
        <v>14303</v>
      </c>
      <c r="B1734" t="s">
        <v>14359</v>
      </c>
      <c r="C1734" t="s">
        <v>20405</v>
      </c>
      <c r="D1734" t="s">
        <v>14360</v>
      </c>
    </row>
    <row r="1735" spans="1:4" x14ac:dyDescent="0.2">
      <c r="A1735" t="s">
        <v>14304</v>
      </c>
      <c r="B1735" t="s">
        <v>14359</v>
      </c>
      <c r="C1735" t="s">
        <v>20406</v>
      </c>
      <c r="D1735" t="s">
        <v>14360</v>
      </c>
    </row>
    <row r="1736" spans="1:4" x14ac:dyDescent="0.2">
      <c r="A1736" t="s">
        <v>2984</v>
      </c>
      <c r="B1736" t="s">
        <v>14359</v>
      </c>
      <c r="C1736" t="s">
        <v>10504</v>
      </c>
      <c r="D1736" t="s">
        <v>14360</v>
      </c>
    </row>
    <row r="1737" spans="1:4" x14ac:dyDescent="0.2">
      <c r="A1737" t="s">
        <v>3006</v>
      </c>
      <c r="B1737" t="s">
        <v>14359</v>
      </c>
      <c r="C1737" t="s">
        <v>10505</v>
      </c>
      <c r="D1737" t="s">
        <v>14360</v>
      </c>
    </row>
    <row r="1738" spans="1:4" x14ac:dyDescent="0.2">
      <c r="A1738" t="s">
        <v>14305</v>
      </c>
      <c r="B1738" t="s">
        <v>14359</v>
      </c>
      <c r="C1738" t="s">
        <v>20407</v>
      </c>
      <c r="D1738" t="s">
        <v>14360</v>
      </c>
    </row>
    <row r="1739" spans="1:4" x14ac:dyDescent="0.2">
      <c r="A1739" t="s">
        <v>14306</v>
      </c>
      <c r="B1739" t="s">
        <v>14359</v>
      </c>
      <c r="C1739" t="s">
        <v>20408</v>
      </c>
      <c r="D1739" t="s">
        <v>14360</v>
      </c>
    </row>
    <row r="1740" spans="1:4" x14ac:dyDescent="0.2">
      <c r="A1740" t="s">
        <v>14307</v>
      </c>
      <c r="B1740" t="s">
        <v>14359</v>
      </c>
      <c r="C1740" t="s">
        <v>20409</v>
      </c>
      <c r="D1740" t="s">
        <v>14360</v>
      </c>
    </row>
    <row r="1741" spans="1:4" x14ac:dyDescent="0.2">
      <c r="A1741" t="s">
        <v>14308</v>
      </c>
      <c r="B1741" t="s">
        <v>14359</v>
      </c>
      <c r="C1741" t="s">
        <v>20410</v>
      </c>
      <c r="D1741" t="s">
        <v>14360</v>
      </c>
    </row>
    <row r="1742" spans="1:4" x14ac:dyDescent="0.2">
      <c r="A1742" t="s">
        <v>3002</v>
      </c>
      <c r="B1742" t="s">
        <v>14359</v>
      </c>
      <c r="C1742" t="s">
        <v>10506</v>
      </c>
      <c r="D1742" t="s">
        <v>14360</v>
      </c>
    </row>
    <row r="1743" spans="1:4" x14ac:dyDescent="0.2">
      <c r="A1743" t="s">
        <v>2279</v>
      </c>
      <c r="B1743" t="s">
        <v>14359</v>
      </c>
      <c r="C1743" t="s">
        <v>20411</v>
      </c>
      <c r="D1743" t="s">
        <v>14360</v>
      </c>
    </row>
    <row r="1744" spans="1:4" x14ac:dyDescent="0.2">
      <c r="A1744" t="s">
        <v>3004</v>
      </c>
      <c r="B1744" t="s">
        <v>14359</v>
      </c>
      <c r="C1744" t="s">
        <v>10507</v>
      </c>
      <c r="D1744" t="s">
        <v>14360</v>
      </c>
    </row>
    <row r="1745" spans="1:4" x14ac:dyDescent="0.2">
      <c r="A1745" t="s">
        <v>2990</v>
      </c>
      <c r="B1745" t="s">
        <v>14359</v>
      </c>
      <c r="C1745" t="s">
        <v>10508</v>
      </c>
      <c r="D1745" t="s">
        <v>14360</v>
      </c>
    </row>
    <row r="1746" spans="1:4" x14ac:dyDescent="0.2">
      <c r="A1746" t="s">
        <v>14184</v>
      </c>
      <c r="B1746" t="s">
        <v>14359</v>
      </c>
      <c r="C1746" t="s">
        <v>10509</v>
      </c>
      <c r="D1746" t="s">
        <v>14360</v>
      </c>
    </row>
    <row r="1747" spans="1:4" x14ac:dyDescent="0.2">
      <c r="A1747" t="s">
        <v>14185</v>
      </c>
      <c r="B1747" t="s">
        <v>14359</v>
      </c>
      <c r="C1747" t="s">
        <v>10510</v>
      </c>
      <c r="D1747" t="s">
        <v>14360</v>
      </c>
    </row>
    <row r="1748" spans="1:4" x14ac:dyDescent="0.2">
      <c r="A1748" t="s">
        <v>14186</v>
      </c>
      <c r="B1748" t="s">
        <v>14359</v>
      </c>
      <c r="C1748" t="s">
        <v>10511</v>
      </c>
      <c r="D1748" t="s">
        <v>14360</v>
      </c>
    </row>
    <row r="1749" spans="1:4" x14ac:dyDescent="0.2">
      <c r="A1749" t="s">
        <v>2173</v>
      </c>
      <c r="B1749" t="s">
        <v>14359</v>
      </c>
      <c r="C1749" t="s">
        <v>20412</v>
      </c>
      <c r="D1749" t="s">
        <v>14360</v>
      </c>
    </row>
    <row r="1750" spans="1:4" x14ac:dyDescent="0.2">
      <c r="A1750" t="s">
        <v>3085</v>
      </c>
      <c r="B1750" t="s">
        <v>14359</v>
      </c>
      <c r="C1750" t="s">
        <v>20413</v>
      </c>
      <c r="D1750" t="s">
        <v>14360</v>
      </c>
    </row>
    <row r="1751" spans="1:4" x14ac:dyDescent="0.2">
      <c r="A1751" t="s">
        <v>3000</v>
      </c>
      <c r="B1751" t="s">
        <v>14359</v>
      </c>
      <c r="C1751" t="s">
        <v>10512</v>
      </c>
      <c r="D1751" t="s">
        <v>14360</v>
      </c>
    </row>
    <row r="1752" spans="1:4" x14ac:dyDescent="0.2">
      <c r="A1752" t="s">
        <v>3071</v>
      </c>
      <c r="B1752" t="s">
        <v>14359</v>
      </c>
      <c r="C1752" t="s">
        <v>20414</v>
      </c>
      <c r="D1752" t="s">
        <v>14360</v>
      </c>
    </row>
    <row r="1753" spans="1:4" x14ac:dyDescent="0.2">
      <c r="A1753" t="s">
        <v>14187</v>
      </c>
      <c r="B1753" t="s">
        <v>14359</v>
      </c>
      <c r="C1753" t="s">
        <v>10513</v>
      </c>
      <c r="D1753" t="s">
        <v>14360</v>
      </c>
    </row>
    <row r="1754" spans="1:4" x14ac:dyDescent="0.2">
      <c r="A1754" t="s">
        <v>14188</v>
      </c>
      <c r="B1754" t="s">
        <v>14359</v>
      </c>
      <c r="C1754" t="s">
        <v>10514</v>
      </c>
      <c r="D1754" t="s">
        <v>14360</v>
      </c>
    </row>
    <row r="1755" spans="1:4" x14ac:dyDescent="0.2">
      <c r="A1755" t="s">
        <v>3029</v>
      </c>
      <c r="B1755" t="s">
        <v>14359</v>
      </c>
      <c r="C1755" t="s">
        <v>10515</v>
      </c>
      <c r="D1755" t="s">
        <v>14360</v>
      </c>
    </row>
    <row r="1756" spans="1:4" x14ac:dyDescent="0.2">
      <c r="A1756" t="s">
        <v>14189</v>
      </c>
      <c r="B1756" t="s">
        <v>14359</v>
      </c>
      <c r="C1756" t="s">
        <v>10516</v>
      </c>
      <c r="D1756" t="s">
        <v>14360</v>
      </c>
    </row>
    <row r="1757" spans="1:4" x14ac:dyDescent="0.2">
      <c r="A1757" t="s">
        <v>14309</v>
      </c>
      <c r="B1757" t="s">
        <v>14359</v>
      </c>
      <c r="C1757" t="s">
        <v>12994</v>
      </c>
      <c r="D1757" t="s">
        <v>14360</v>
      </c>
    </row>
    <row r="1758" spans="1:4" x14ac:dyDescent="0.2">
      <c r="A1758" t="s">
        <v>3027</v>
      </c>
      <c r="B1758" t="s">
        <v>14359</v>
      </c>
      <c r="C1758" t="s">
        <v>10517</v>
      </c>
      <c r="D1758" t="s">
        <v>14360</v>
      </c>
    </row>
    <row r="1759" spans="1:4" x14ac:dyDescent="0.2">
      <c r="A1759" t="s">
        <v>3010</v>
      </c>
      <c r="B1759" t="s">
        <v>14359</v>
      </c>
      <c r="C1759" t="s">
        <v>10518</v>
      </c>
      <c r="D1759" t="s">
        <v>14360</v>
      </c>
    </row>
    <row r="1760" spans="1:4" x14ac:dyDescent="0.2">
      <c r="A1760" t="s">
        <v>14190</v>
      </c>
      <c r="B1760" t="s">
        <v>14359</v>
      </c>
      <c r="C1760" t="s">
        <v>10519</v>
      </c>
      <c r="D1760" t="s">
        <v>14360</v>
      </c>
    </row>
    <row r="1761" spans="1:4" x14ac:dyDescent="0.2">
      <c r="A1761" t="s">
        <v>14310</v>
      </c>
      <c r="B1761" t="s">
        <v>14359</v>
      </c>
      <c r="C1761" t="s">
        <v>20415</v>
      </c>
      <c r="D1761" t="s">
        <v>14360</v>
      </c>
    </row>
    <row r="1762" spans="1:4" x14ac:dyDescent="0.2">
      <c r="A1762" t="s">
        <v>14191</v>
      </c>
      <c r="B1762" t="s">
        <v>14359</v>
      </c>
      <c r="C1762" t="s">
        <v>10520</v>
      </c>
      <c r="D1762" t="s">
        <v>14360</v>
      </c>
    </row>
    <row r="1763" spans="1:4" x14ac:dyDescent="0.2">
      <c r="A1763" t="s">
        <v>3012</v>
      </c>
      <c r="B1763" t="s">
        <v>14359</v>
      </c>
      <c r="C1763" t="s">
        <v>10521</v>
      </c>
      <c r="D1763" t="s">
        <v>14360</v>
      </c>
    </row>
    <row r="1764" spans="1:4" x14ac:dyDescent="0.2">
      <c r="A1764" t="s">
        <v>3021</v>
      </c>
      <c r="B1764" t="s">
        <v>14359</v>
      </c>
      <c r="C1764" t="s">
        <v>10522</v>
      </c>
      <c r="D1764" t="s">
        <v>14360</v>
      </c>
    </row>
    <row r="1765" spans="1:4" x14ac:dyDescent="0.2">
      <c r="A1765" t="s">
        <v>3017</v>
      </c>
      <c r="B1765" t="s">
        <v>14359</v>
      </c>
      <c r="C1765" t="s">
        <v>10523</v>
      </c>
      <c r="D1765" t="s">
        <v>14360</v>
      </c>
    </row>
    <row r="1766" spans="1:4" x14ac:dyDescent="0.2">
      <c r="A1766" t="s">
        <v>3025</v>
      </c>
      <c r="B1766" t="s">
        <v>14359</v>
      </c>
      <c r="C1766" t="s">
        <v>10524</v>
      </c>
      <c r="D1766" t="s">
        <v>14360</v>
      </c>
    </row>
    <row r="1767" spans="1:4" x14ac:dyDescent="0.2">
      <c r="A1767" t="s">
        <v>14192</v>
      </c>
      <c r="B1767" t="s">
        <v>14359</v>
      </c>
      <c r="C1767" t="s">
        <v>10525</v>
      </c>
      <c r="D1767" t="s">
        <v>14360</v>
      </c>
    </row>
    <row r="1768" spans="1:4" x14ac:dyDescent="0.2">
      <c r="A1768" t="s">
        <v>14193</v>
      </c>
      <c r="B1768" t="s">
        <v>14359</v>
      </c>
      <c r="C1768" t="s">
        <v>10526</v>
      </c>
      <c r="D1768" t="s">
        <v>14360</v>
      </c>
    </row>
    <row r="1769" spans="1:4" x14ac:dyDescent="0.2">
      <c r="A1769" t="s">
        <v>14194</v>
      </c>
      <c r="B1769" t="s">
        <v>14359</v>
      </c>
      <c r="C1769" t="s">
        <v>10527</v>
      </c>
      <c r="D1769" t="s">
        <v>14360</v>
      </c>
    </row>
    <row r="1770" spans="1:4" x14ac:dyDescent="0.2">
      <c r="A1770" t="s">
        <v>3033</v>
      </c>
      <c r="B1770" t="s">
        <v>14359</v>
      </c>
      <c r="C1770" t="s">
        <v>10528</v>
      </c>
      <c r="D1770" t="s">
        <v>14360</v>
      </c>
    </row>
    <row r="1771" spans="1:4" x14ac:dyDescent="0.2">
      <c r="A1771" t="s">
        <v>3031</v>
      </c>
      <c r="B1771" t="s">
        <v>14359</v>
      </c>
      <c r="C1771" t="s">
        <v>10529</v>
      </c>
      <c r="D1771" t="s">
        <v>14360</v>
      </c>
    </row>
    <row r="1772" spans="1:4" x14ac:dyDescent="0.2">
      <c r="A1772" t="s">
        <v>3019</v>
      </c>
      <c r="B1772" t="s">
        <v>14359</v>
      </c>
      <c r="C1772" t="s">
        <v>10530</v>
      </c>
      <c r="D1772" t="s">
        <v>14360</v>
      </c>
    </row>
    <row r="1773" spans="1:4" x14ac:dyDescent="0.2">
      <c r="A1773" t="s">
        <v>3023</v>
      </c>
      <c r="B1773" t="s">
        <v>14359</v>
      </c>
      <c r="C1773" t="s">
        <v>10531</v>
      </c>
      <c r="D1773" t="s">
        <v>14360</v>
      </c>
    </row>
    <row r="1774" spans="1:4" x14ac:dyDescent="0.2">
      <c r="A1774" t="s">
        <v>14195</v>
      </c>
      <c r="B1774" t="s">
        <v>14359</v>
      </c>
      <c r="C1774" t="s">
        <v>10532</v>
      </c>
      <c r="D1774" t="s">
        <v>14360</v>
      </c>
    </row>
    <row r="1775" spans="1:4" x14ac:dyDescent="0.2">
      <c r="A1775" t="s">
        <v>14196</v>
      </c>
      <c r="B1775" t="s">
        <v>14359</v>
      </c>
      <c r="C1775" t="s">
        <v>10533</v>
      </c>
      <c r="D1775" t="s">
        <v>14360</v>
      </c>
    </row>
    <row r="1776" spans="1:4" x14ac:dyDescent="0.2">
      <c r="A1776" t="s">
        <v>14197</v>
      </c>
      <c r="B1776" t="s">
        <v>14359</v>
      </c>
      <c r="C1776" t="s">
        <v>10534</v>
      </c>
      <c r="D1776" t="s">
        <v>14360</v>
      </c>
    </row>
    <row r="1777" spans="1:4" x14ac:dyDescent="0.2">
      <c r="A1777" t="s">
        <v>14198</v>
      </c>
      <c r="B1777" t="s">
        <v>14359</v>
      </c>
      <c r="C1777" t="s">
        <v>10535</v>
      </c>
      <c r="D1777" t="s">
        <v>14360</v>
      </c>
    </row>
    <row r="1778" spans="1:4" x14ac:dyDescent="0.2">
      <c r="A1778" t="s">
        <v>14199</v>
      </c>
      <c r="B1778" t="s">
        <v>14359</v>
      </c>
      <c r="C1778" t="s">
        <v>10536</v>
      </c>
      <c r="D1778" t="s">
        <v>14360</v>
      </c>
    </row>
    <row r="1779" spans="1:4" x14ac:dyDescent="0.2">
      <c r="A1779" t="s">
        <v>14200</v>
      </c>
      <c r="B1779" t="s">
        <v>14359</v>
      </c>
      <c r="C1779" t="s">
        <v>10537</v>
      </c>
      <c r="D1779" t="s">
        <v>14360</v>
      </c>
    </row>
    <row r="1780" spans="1:4" x14ac:dyDescent="0.2">
      <c r="A1780" t="s">
        <v>14201</v>
      </c>
      <c r="B1780" t="s">
        <v>14359</v>
      </c>
      <c r="C1780" t="s">
        <v>10538</v>
      </c>
      <c r="D1780" t="s">
        <v>14360</v>
      </c>
    </row>
    <row r="1781" spans="1:4" x14ac:dyDescent="0.2">
      <c r="A1781" t="s">
        <v>14202</v>
      </c>
      <c r="B1781" t="s">
        <v>14359</v>
      </c>
      <c r="C1781" t="s">
        <v>10539</v>
      </c>
      <c r="D1781" t="s">
        <v>14360</v>
      </c>
    </row>
    <row r="1782" spans="1:4" x14ac:dyDescent="0.2">
      <c r="A1782" t="s">
        <v>14203</v>
      </c>
      <c r="B1782" t="s">
        <v>14359</v>
      </c>
      <c r="C1782" t="s">
        <v>10540</v>
      </c>
      <c r="D1782" t="s">
        <v>14360</v>
      </c>
    </row>
    <row r="1783" spans="1:4" x14ac:dyDescent="0.2">
      <c r="A1783" t="s">
        <v>14204</v>
      </c>
      <c r="B1783" t="s">
        <v>14359</v>
      </c>
      <c r="C1783" t="s">
        <v>10541</v>
      </c>
      <c r="D1783" t="s">
        <v>14360</v>
      </c>
    </row>
    <row r="1784" spans="1:4" x14ac:dyDescent="0.2">
      <c r="A1784" t="s">
        <v>3037</v>
      </c>
      <c r="B1784" t="s">
        <v>14359</v>
      </c>
      <c r="C1784" t="s">
        <v>10542</v>
      </c>
      <c r="D1784" t="s">
        <v>14360</v>
      </c>
    </row>
    <row r="1785" spans="1:4" x14ac:dyDescent="0.2">
      <c r="A1785" t="s">
        <v>3035</v>
      </c>
      <c r="B1785" t="s">
        <v>14359</v>
      </c>
      <c r="C1785" t="s">
        <v>10543</v>
      </c>
      <c r="D1785" t="s">
        <v>14360</v>
      </c>
    </row>
    <row r="1786" spans="1:4" x14ac:dyDescent="0.2">
      <c r="A1786" t="s">
        <v>14205</v>
      </c>
      <c r="B1786" t="s">
        <v>14359</v>
      </c>
      <c r="C1786" t="s">
        <v>10544</v>
      </c>
      <c r="D1786" t="s">
        <v>14360</v>
      </c>
    </row>
    <row r="1787" spans="1:4" x14ac:dyDescent="0.2">
      <c r="A1787" t="s">
        <v>14206</v>
      </c>
      <c r="B1787" t="s">
        <v>14359</v>
      </c>
      <c r="C1787" t="s">
        <v>10545</v>
      </c>
      <c r="D1787" t="s">
        <v>14360</v>
      </c>
    </row>
    <row r="1788" spans="1:4" x14ac:dyDescent="0.2">
      <c r="A1788" t="s">
        <v>14207</v>
      </c>
      <c r="B1788" t="s">
        <v>14359</v>
      </c>
      <c r="C1788" t="s">
        <v>10546</v>
      </c>
      <c r="D1788" t="s">
        <v>14360</v>
      </c>
    </row>
    <row r="1789" spans="1:4" x14ac:dyDescent="0.2">
      <c r="A1789" t="s">
        <v>14208</v>
      </c>
      <c r="B1789" t="s">
        <v>14359</v>
      </c>
      <c r="C1789" t="s">
        <v>10547</v>
      </c>
      <c r="D1789" t="s">
        <v>14360</v>
      </c>
    </row>
    <row r="1790" spans="1:4" x14ac:dyDescent="0.2">
      <c r="A1790" t="s">
        <v>14209</v>
      </c>
      <c r="B1790" t="s">
        <v>14359</v>
      </c>
      <c r="C1790" t="s">
        <v>10548</v>
      </c>
      <c r="D1790" t="s">
        <v>14360</v>
      </c>
    </row>
    <row r="1791" spans="1:4" x14ac:dyDescent="0.2">
      <c r="A1791" t="s">
        <v>14210</v>
      </c>
      <c r="B1791" t="s">
        <v>14359</v>
      </c>
      <c r="C1791" t="s">
        <v>10549</v>
      </c>
      <c r="D1791" t="s">
        <v>14360</v>
      </c>
    </row>
    <row r="1792" spans="1:4" x14ac:dyDescent="0.2">
      <c r="A1792" t="s">
        <v>14211</v>
      </c>
      <c r="B1792" t="s">
        <v>14359</v>
      </c>
      <c r="C1792" t="s">
        <v>10550</v>
      </c>
      <c r="D1792" t="s">
        <v>14360</v>
      </c>
    </row>
    <row r="1793" spans="1:4" x14ac:dyDescent="0.2">
      <c r="A1793" t="s">
        <v>2351</v>
      </c>
      <c r="B1793" t="s">
        <v>14359</v>
      </c>
      <c r="C1793" t="s">
        <v>19620</v>
      </c>
      <c r="D1793" t="s">
        <v>14360</v>
      </c>
    </row>
    <row r="1794" spans="1:4" x14ac:dyDescent="0.2">
      <c r="A1794" t="s">
        <v>14257</v>
      </c>
      <c r="B1794" t="s">
        <v>14359</v>
      </c>
      <c r="C1794" t="s">
        <v>19881</v>
      </c>
      <c r="D1794" t="s">
        <v>14360</v>
      </c>
    </row>
    <row r="1795" spans="1:4" x14ac:dyDescent="0.2">
      <c r="A1795" t="s">
        <v>1106</v>
      </c>
      <c r="B1795" t="s">
        <v>14359</v>
      </c>
      <c r="C1795" t="s">
        <v>19177</v>
      </c>
      <c r="D1795" t="s">
        <v>14360</v>
      </c>
    </row>
    <row r="1796" spans="1:4" x14ac:dyDescent="0.2">
      <c r="A1796" t="s">
        <v>2108</v>
      </c>
      <c r="B1796" t="s">
        <v>14359</v>
      </c>
      <c r="C1796" t="s">
        <v>19534</v>
      </c>
      <c r="D1796" t="s">
        <v>14360</v>
      </c>
    </row>
    <row r="1797" spans="1:4" x14ac:dyDescent="0.2">
      <c r="A1797" t="s">
        <v>13929</v>
      </c>
      <c r="B1797" t="s">
        <v>14359</v>
      </c>
      <c r="C1797" t="s">
        <v>19882</v>
      </c>
      <c r="D1797" t="s">
        <v>14360</v>
      </c>
    </row>
    <row r="1798" spans="1:4" x14ac:dyDescent="0.2">
      <c r="A1798" t="s">
        <v>20139</v>
      </c>
      <c r="B1798" t="s">
        <v>14359</v>
      </c>
      <c r="C1798" t="s">
        <v>20194</v>
      </c>
      <c r="D1798" t="s">
        <v>14360</v>
      </c>
    </row>
    <row r="1799" spans="1:4" x14ac:dyDescent="0.2">
      <c r="A1799" t="s">
        <v>20145</v>
      </c>
      <c r="B1799" t="s">
        <v>14359</v>
      </c>
      <c r="C1799" t="s">
        <v>20196</v>
      </c>
      <c r="D1799" t="s">
        <v>14360</v>
      </c>
    </row>
    <row r="1800" spans="1:4" x14ac:dyDescent="0.2">
      <c r="A1800" t="s">
        <v>19094</v>
      </c>
      <c r="B1800" t="s">
        <v>14359</v>
      </c>
      <c r="C1800" t="s">
        <v>20198</v>
      </c>
      <c r="D1800" t="s">
        <v>14360</v>
      </c>
    </row>
    <row r="1801" spans="1:4" x14ac:dyDescent="0.2">
      <c r="A1801" t="s">
        <v>20143</v>
      </c>
      <c r="B1801" t="s">
        <v>14359</v>
      </c>
      <c r="C1801" t="s">
        <v>20200</v>
      </c>
      <c r="D1801" t="s">
        <v>14360</v>
      </c>
    </row>
    <row r="1802" spans="1:4" x14ac:dyDescent="0.2">
      <c r="A1802" t="s">
        <v>19105</v>
      </c>
      <c r="B1802" t="s">
        <v>14359</v>
      </c>
      <c r="C1802" t="s">
        <v>19272</v>
      </c>
      <c r="D1802" t="s">
        <v>14360</v>
      </c>
    </row>
    <row r="1803" spans="1:4" x14ac:dyDescent="0.2">
      <c r="A1803" t="s">
        <v>19108</v>
      </c>
      <c r="B1803" t="s">
        <v>14359</v>
      </c>
      <c r="C1803" t="s">
        <v>20203</v>
      </c>
      <c r="D1803" t="s">
        <v>14360</v>
      </c>
    </row>
    <row r="1804" spans="1:4" x14ac:dyDescent="0.2">
      <c r="A1804" t="s">
        <v>19101</v>
      </c>
      <c r="B1804" t="s">
        <v>14359</v>
      </c>
      <c r="C1804" t="s">
        <v>20204</v>
      </c>
      <c r="D1804" t="s">
        <v>14360</v>
      </c>
    </row>
    <row r="1805" spans="1:4" x14ac:dyDescent="0.2">
      <c r="A1805" t="s">
        <v>20152</v>
      </c>
      <c r="B1805" t="s">
        <v>14359</v>
      </c>
      <c r="C1805" t="s">
        <v>20206</v>
      </c>
      <c r="D1805" t="s">
        <v>14360</v>
      </c>
    </row>
    <row r="1806" spans="1:4" x14ac:dyDescent="0.2">
      <c r="A1806" t="s">
        <v>20156</v>
      </c>
      <c r="B1806" t="s">
        <v>14359</v>
      </c>
      <c r="C1806" t="s">
        <v>20208</v>
      </c>
      <c r="D1806" t="s">
        <v>14360</v>
      </c>
    </row>
    <row r="1807" spans="1:4" x14ac:dyDescent="0.2">
      <c r="A1807" t="s">
        <v>20157</v>
      </c>
      <c r="B1807" t="s">
        <v>14359</v>
      </c>
      <c r="C1807" t="s">
        <v>20209</v>
      </c>
      <c r="D1807" t="s">
        <v>14360</v>
      </c>
    </row>
    <row r="1808" spans="1:4" x14ac:dyDescent="0.2">
      <c r="A1808" t="s">
        <v>20155</v>
      </c>
      <c r="B1808" t="s">
        <v>14359</v>
      </c>
      <c r="C1808" t="s">
        <v>20211</v>
      </c>
      <c r="D1808" t="s">
        <v>14360</v>
      </c>
    </row>
    <row r="1809" spans="1:4" x14ac:dyDescent="0.2">
      <c r="A1809" t="s">
        <v>20135</v>
      </c>
      <c r="B1809" t="s">
        <v>14359</v>
      </c>
      <c r="C1809" t="s">
        <v>20213</v>
      </c>
      <c r="D1809" t="s">
        <v>14360</v>
      </c>
    </row>
    <row r="1810" spans="1:4" x14ac:dyDescent="0.2">
      <c r="A1810" t="s">
        <v>20138</v>
      </c>
      <c r="B1810" t="s">
        <v>14359</v>
      </c>
      <c r="C1810" t="s">
        <v>20215</v>
      </c>
      <c r="D1810" t="s">
        <v>14360</v>
      </c>
    </row>
    <row r="1811" spans="1:4" x14ac:dyDescent="0.2">
      <c r="A1811" t="s">
        <v>20137</v>
      </c>
      <c r="B1811" t="s">
        <v>14359</v>
      </c>
      <c r="C1811" t="s">
        <v>20217</v>
      </c>
      <c r="D1811" t="s">
        <v>14360</v>
      </c>
    </row>
    <row r="1812" spans="1:4" x14ac:dyDescent="0.2">
      <c r="A1812" t="s">
        <v>20136</v>
      </c>
      <c r="B1812" t="s">
        <v>14359</v>
      </c>
      <c r="C1812" t="s">
        <v>20218</v>
      </c>
      <c r="D1812" t="s">
        <v>14360</v>
      </c>
    </row>
    <row r="1813" spans="1:4" x14ac:dyDescent="0.2">
      <c r="A1813" t="s">
        <v>20132</v>
      </c>
      <c r="B1813" t="s">
        <v>14359</v>
      </c>
      <c r="C1813" t="s">
        <v>20219</v>
      </c>
      <c r="D1813" t="s">
        <v>14360</v>
      </c>
    </row>
    <row r="1814" spans="1:4" x14ac:dyDescent="0.2">
      <c r="A1814" t="s">
        <v>19114</v>
      </c>
      <c r="B1814" t="s">
        <v>14359</v>
      </c>
      <c r="C1814" t="s">
        <v>20221</v>
      </c>
      <c r="D1814" t="s">
        <v>14360</v>
      </c>
    </row>
    <row r="1815" spans="1:4" x14ac:dyDescent="0.2">
      <c r="A1815" t="s">
        <v>20133</v>
      </c>
      <c r="B1815" t="s">
        <v>14359</v>
      </c>
      <c r="C1815" t="s">
        <v>20222</v>
      </c>
      <c r="D1815" t="s">
        <v>14360</v>
      </c>
    </row>
    <row r="1816" spans="1:4" x14ac:dyDescent="0.2">
      <c r="A1816" t="s">
        <v>20153</v>
      </c>
      <c r="B1816" t="s">
        <v>14359</v>
      </c>
      <c r="C1816" t="s">
        <v>20224</v>
      </c>
      <c r="D1816" t="s">
        <v>14360</v>
      </c>
    </row>
    <row r="1817" spans="1:4" x14ac:dyDescent="0.2">
      <c r="A1817" t="s">
        <v>20134</v>
      </c>
      <c r="B1817" t="s">
        <v>14359</v>
      </c>
      <c r="C1817" t="s">
        <v>20226</v>
      </c>
      <c r="D1817" t="s">
        <v>14360</v>
      </c>
    </row>
    <row r="1818" spans="1:4" x14ac:dyDescent="0.2">
      <c r="A1818" t="s">
        <v>20140</v>
      </c>
      <c r="B1818" t="s">
        <v>14359</v>
      </c>
      <c r="C1818" t="s">
        <v>20227</v>
      </c>
      <c r="D1818" t="s">
        <v>14360</v>
      </c>
    </row>
    <row r="1819" spans="1:4" x14ac:dyDescent="0.2">
      <c r="A1819" t="s">
        <v>20148</v>
      </c>
      <c r="B1819" t="s">
        <v>14359</v>
      </c>
      <c r="C1819" t="s">
        <v>20229</v>
      </c>
      <c r="D1819" t="s">
        <v>14360</v>
      </c>
    </row>
    <row r="1820" spans="1:4" x14ac:dyDescent="0.2">
      <c r="A1820" t="s">
        <v>19104</v>
      </c>
      <c r="B1820" t="s">
        <v>14359</v>
      </c>
      <c r="C1820" t="s">
        <v>20231</v>
      </c>
      <c r="D1820" t="s">
        <v>14360</v>
      </c>
    </row>
    <row r="1821" spans="1:4" x14ac:dyDescent="0.2">
      <c r="A1821" t="s">
        <v>20144</v>
      </c>
      <c r="B1821" t="s">
        <v>14359</v>
      </c>
      <c r="C1821" t="s">
        <v>20232</v>
      </c>
      <c r="D1821" t="s">
        <v>14360</v>
      </c>
    </row>
    <row r="1822" spans="1:4" x14ac:dyDescent="0.2">
      <c r="A1822" t="s">
        <v>20142</v>
      </c>
      <c r="B1822" t="s">
        <v>14359</v>
      </c>
      <c r="C1822" t="s">
        <v>20234</v>
      </c>
      <c r="D1822" t="s">
        <v>14360</v>
      </c>
    </row>
    <row r="1823" spans="1:4" x14ac:dyDescent="0.2">
      <c r="A1823" t="s">
        <v>20141</v>
      </c>
      <c r="B1823" t="s">
        <v>14359</v>
      </c>
      <c r="C1823" t="s">
        <v>20236</v>
      </c>
      <c r="D1823" t="s">
        <v>14360</v>
      </c>
    </row>
    <row r="1824" spans="1:4" x14ac:dyDescent="0.2">
      <c r="A1824" t="s">
        <v>20146</v>
      </c>
      <c r="B1824" t="s">
        <v>14359</v>
      </c>
      <c r="C1824" t="s">
        <v>20237</v>
      </c>
      <c r="D1824" t="s">
        <v>14360</v>
      </c>
    </row>
    <row r="1825" spans="1:4" x14ac:dyDescent="0.2">
      <c r="A1825" t="s">
        <v>19120</v>
      </c>
      <c r="B1825" t="s">
        <v>14359</v>
      </c>
      <c r="C1825" t="s">
        <v>18578</v>
      </c>
      <c r="D1825" t="s">
        <v>14360</v>
      </c>
    </row>
    <row r="1826" spans="1:4" x14ac:dyDescent="0.2">
      <c r="A1826" t="s">
        <v>20147</v>
      </c>
      <c r="B1826" t="s">
        <v>14359</v>
      </c>
      <c r="C1826" t="s">
        <v>20238</v>
      </c>
      <c r="D1826" t="s">
        <v>14360</v>
      </c>
    </row>
    <row r="1827" spans="1:4" x14ac:dyDescent="0.2">
      <c r="A1827" t="s">
        <v>20149</v>
      </c>
      <c r="B1827" t="s">
        <v>14359</v>
      </c>
      <c r="C1827" t="s">
        <v>20239</v>
      </c>
      <c r="D1827" t="s">
        <v>14360</v>
      </c>
    </row>
    <row r="1828" spans="1:4" x14ac:dyDescent="0.2">
      <c r="A1828" t="s">
        <v>20150</v>
      </c>
      <c r="B1828" t="s">
        <v>14359</v>
      </c>
      <c r="C1828" t="s">
        <v>20240</v>
      </c>
      <c r="D1828" t="s">
        <v>14360</v>
      </c>
    </row>
    <row r="1829" spans="1:4" x14ac:dyDescent="0.2">
      <c r="A1829" t="s">
        <v>20151</v>
      </c>
      <c r="B1829" t="s">
        <v>14359</v>
      </c>
      <c r="C1829" t="s">
        <v>20241</v>
      </c>
      <c r="D1829" t="s">
        <v>14360</v>
      </c>
    </row>
    <row r="1830" spans="1:4" x14ac:dyDescent="0.2">
      <c r="A1830" t="s">
        <v>20154</v>
      </c>
      <c r="B1830" t="s">
        <v>14359</v>
      </c>
      <c r="C1830" t="s">
        <v>20242</v>
      </c>
      <c r="D1830" t="s">
        <v>14360</v>
      </c>
    </row>
    <row r="1831" spans="1:4" x14ac:dyDescent="0.2">
      <c r="A1831" t="s">
        <v>19143</v>
      </c>
      <c r="B1831" t="s">
        <v>14359</v>
      </c>
      <c r="C1831" t="s">
        <v>18869</v>
      </c>
      <c r="D1831" t="s">
        <v>14360</v>
      </c>
    </row>
    <row r="1832" spans="1:4" x14ac:dyDescent="0.2">
      <c r="A1832" t="s">
        <v>20158</v>
      </c>
      <c r="B1832" t="s">
        <v>14359</v>
      </c>
      <c r="C1832" t="s">
        <v>20285</v>
      </c>
      <c r="D1832" t="s">
        <v>14360</v>
      </c>
    </row>
    <row r="1833" spans="1:4" x14ac:dyDescent="0.2">
      <c r="A1833" t="s">
        <v>20159</v>
      </c>
      <c r="B1833" t="s">
        <v>14359</v>
      </c>
      <c r="C1833" t="s">
        <v>20286</v>
      </c>
      <c r="D1833" t="s">
        <v>14360</v>
      </c>
    </row>
    <row r="1834" spans="1:4" x14ac:dyDescent="0.2">
      <c r="A1834" t="s">
        <v>19144</v>
      </c>
      <c r="B1834" t="s">
        <v>14359</v>
      </c>
      <c r="C1834" t="s">
        <v>18886</v>
      </c>
      <c r="D1834" t="s">
        <v>14360</v>
      </c>
    </row>
    <row r="1835" spans="1:4" x14ac:dyDescent="0.2">
      <c r="A1835" t="s">
        <v>19145</v>
      </c>
      <c r="B1835" t="s">
        <v>14359</v>
      </c>
      <c r="C1835" t="s">
        <v>18890</v>
      </c>
      <c r="D1835" t="s">
        <v>14360</v>
      </c>
    </row>
    <row r="1836" spans="1:4" x14ac:dyDescent="0.2">
      <c r="A1836" t="s">
        <v>20160</v>
      </c>
      <c r="B1836" t="s">
        <v>14359</v>
      </c>
      <c r="C1836" t="s">
        <v>20287</v>
      </c>
      <c r="D1836" t="s">
        <v>14360</v>
      </c>
    </row>
    <row r="1837" spans="1:4" x14ac:dyDescent="0.2">
      <c r="A1837" t="s">
        <v>20161</v>
      </c>
      <c r="B1837" t="s">
        <v>14359</v>
      </c>
      <c r="C1837" t="s">
        <v>20288</v>
      </c>
      <c r="D1837" t="s">
        <v>14360</v>
      </c>
    </row>
    <row r="1838" spans="1:4" x14ac:dyDescent="0.2">
      <c r="A1838" t="s">
        <v>20162</v>
      </c>
      <c r="B1838" t="s">
        <v>14359</v>
      </c>
      <c r="C1838" t="s">
        <v>20289</v>
      </c>
      <c r="D1838" t="s">
        <v>14360</v>
      </c>
    </row>
    <row r="1839" spans="1:4" x14ac:dyDescent="0.2">
      <c r="A1839" t="s">
        <v>20163</v>
      </c>
      <c r="B1839" t="s">
        <v>14359</v>
      </c>
      <c r="C1839" t="s">
        <v>20290</v>
      </c>
      <c r="D1839" t="s">
        <v>14360</v>
      </c>
    </row>
    <row r="1840" spans="1:4" x14ac:dyDescent="0.2">
      <c r="A1840" t="s">
        <v>19152</v>
      </c>
      <c r="B1840" t="s">
        <v>14359</v>
      </c>
      <c r="C1840" t="s">
        <v>18941</v>
      </c>
      <c r="D1840" t="s">
        <v>14360</v>
      </c>
    </row>
    <row r="1841" spans="1:4" x14ac:dyDescent="0.2">
      <c r="A1841" t="s">
        <v>19153</v>
      </c>
      <c r="B1841" t="s">
        <v>14359</v>
      </c>
      <c r="C1841" t="s">
        <v>18944</v>
      </c>
      <c r="D1841" t="s">
        <v>14360</v>
      </c>
    </row>
    <row r="1842" spans="1:4" x14ac:dyDescent="0.2">
      <c r="A1842" t="s">
        <v>20164</v>
      </c>
      <c r="B1842" t="s">
        <v>14359</v>
      </c>
      <c r="C1842" t="s">
        <v>20291</v>
      </c>
      <c r="D1842" t="s">
        <v>14360</v>
      </c>
    </row>
    <row r="1843" spans="1:4" x14ac:dyDescent="0.2">
      <c r="A1843" t="s">
        <v>20165</v>
      </c>
      <c r="B1843" t="s">
        <v>14359</v>
      </c>
      <c r="C1843" t="s">
        <v>20292</v>
      </c>
      <c r="D1843" t="s">
        <v>14360</v>
      </c>
    </row>
    <row r="1844" spans="1:4" x14ac:dyDescent="0.2">
      <c r="A1844" t="s">
        <v>20166</v>
      </c>
      <c r="B1844" t="s">
        <v>14359</v>
      </c>
      <c r="C1844" t="s">
        <v>20293</v>
      </c>
      <c r="D1844" t="s">
        <v>14360</v>
      </c>
    </row>
    <row r="1845" spans="1:4" x14ac:dyDescent="0.2">
      <c r="A1845" t="s">
        <v>20167</v>
      </c>
      <c r="B1845" t="s">
        <v>14359</v>
      </c>
      <c r="C1845" t="s">
        <v>20294</v>
      </c>
      <c r="D1845" t="s">
        <v>14360</v>
      </c>
    </row>
    <row r="1846" spans="1:4" x14ac:dyDescent="0.2">
      <c r="A1846" t="s">
        <v>19154</v>
      </c>
      <c r="B1846" t="s">
        <v>14359</v>
      </c>
      <c r="C1846" t="s">
        <v>18963</v>
      </c>
      <c r="D1846" t="s">
        <v>14360</v>
      </c>
    </row>
    <row r="1847" spans="1:4" x14ac:dyDescent="0.2">
      <c r="A1847" t="s">
        <v>20168</v>
      </c>
      <c r="B1847" t="s">
        <v>14359</v>
      </c>
      <c r="C1847" t="s">
        <v>20295</v>
      </c>
      <c r="D1847" t="s">
        <v>14360</v>
      </c>
    </row>
    <row r="1848" spans="1:4" x14ac:dyDescent="0.2">
      <c r="A1848" t="s">
        <v>20169</v>
      </c>
      <c r="B1848" t="s">
        <v>14359</v>
      </c>
      <c r="C1848" t="s">
        <v>20296</v>
      </c>
      <c r="D1848" t="s">
        <v>14360</v>
      </c>
    </row>
    <row r="1849" spans="1:4" x14ac:dyDescent="0.2">
      <c r="A1849" t="s">
        <v>20170</v>
      </c>
      <c r="B1849" t="s">
        <v>14359</v>
      </c>
      <c r="C1849" t="s">
        <v>20297</v>
      </c>
      <c r="D1849" t="s">
        <v>14360</v>
      </c>
    </row>
    <row r="1850" spans="1:4" x14ac:dyDescent="0.2">
      <c r="A1850" t="s">
        <v>20171</v>
      </c>
      <c r="B1850" t="s">
        <v>14359</v>
      </c>
      <c r="C1850" t="s">
        <v>20298</v>
      </c>
      <c r="D1850" t="s">
        <v>14360</v>
      </c>
    </row>
    <row r="1851" spans="1:4" x14ac:dyDescent="0.2">
      <c r="A1851" t="s">
        <v>19157</v>
      </c>
      <c r="B1851" t="s">
        <v>14359</v>
      </c>
      <c r="C1851" t="s">
        <v>18999</v>
      </c>
      <c r="D1851" t="s">
        <v>14360</v>
      </c>
    </row>
    <row r="1852" spans="1:4" x14ac:dyDescent="0.2">
      <c r="A1852" t="s">
        <v>20172</v>
      </c>
      <c r="B1852" t="s">
        <v>14359</v>
      </c>
      <c r="C1852" t="s">
        <v>20299</v>
      </c>
      <c r="D1852" t="s">
        <v>14360</v>
      </c>
    </row>
    <row r="1853" spans="1:4" x14ac:dyDescent="0.2">
      <c r="A1853" t="s">
        <v>20173</v>
      </c>
      <c r="B1853" t="s">
        <v>14359</v>
      </c>
      <c r="C1853" t="s">
        <v>20300</v>
      </c>
      <c r="D1853" t="s">
        <v>14360</v>
      </c>
    </row>
    <row r="1854" spans="1:4" x14ac:dyDescent="0.2">
      <c r="A1854" t="s">
        <v>20174</v>
      </c>
      <c r="B1854" t="s">
        <v>14359</v>
      </c>
      <c r="C1854" t="s">
        <v>20301</v>
      </c>
      <c r="D1854" t="s">
        <v>14360</v>
      </c>
    </row>
    <row r="1855" spans="1:4" x14ac:dyDescent="0.2">
      <c r="A1855" t="s">
        <v>20175</v>
      </c>
      <c r="B1855" t="s">
        <v>14359</v>
      </c>
      <c r="C1855" t="s">
        <v>20302</v>
      </c>
      <c r="D1855" t="s">
        <v>14360</v>
      </c>
    </row>
    <row r="1856" spans="1:4" x14ac:dyDescent="0.2">
      <c r="A1856" t="s">
        <v>20176</v>
      </c>
      <c r="B1856" t="s">
        <v>14359</v>
      </c>
      <c r="C1856" t="s">
        <v>20303</v>
      </c>
      <c r="D1856" t="s">
        <v>14360</v>
      </c>
    </row>
    <row r="1857" spans="1:4" x14ac:dyDescent="0.2">
      <c r="A1857" t="s">
        <v>20177</v>
      </c>
      <c r="B1857" t="s">
        <v>14359</v>
      </c>
      <c r="C1857" t="s">
        <v>20304</v>
      </c>
      <c r="D1857" t="s">
        <v>14360</v>
      </c>
    </row>
    <row r="1858" spans="1:4" x14ac:dyDescent="0.2">
      <c r="A1858" t="s">
        <v>20178</v>
      </c>
      <c r="B1858" t="s">
        <v>14359</v>
      </c>
      <c r="C1858" t="s">
        <v>20305</v>
      </c>
      <c r="D1858" t="s">
        <v>14360</v>
      </c>
    </row>
    <row r="1859" spans="1:4" x14ac:dyDescent="0.2">
      <c r="A1859" t="s">
        <v>20179</v>
      </c>
      <c r="B1859" t="s">
        <v>14359</v>
      </c>
      <c r="C1859" t="s">
        <v>20306</v>
      </c>
      <c r="D1859" t="s">
        <v>14360</v>
      </c>
    </row>
    <row r="1860" spans="1:4" x14ac:dyDescent="0.2">
      <c r="A1860" t="s">
        <v>20180</v>
      </c>
      <c r="B1860" t="s">
        <v>14359</v>
      </c>
      <c r="C1860" t="s">
        <v>20307</v>
      </c>
      <c r="D1860" t="s">
        <v>14360</v>
      </c>
    </row>
    <row r="1861" spans="1:4" x14ac:dyDescent="0.2">
      <c r="A1861" t="s">
        <v>20181</v>
      </c>
      <c r="B1861" t="s">
        <v>14359</v>
      </c>
      <c r="C1861" t="s">
        <v>20308</v>
      </c>
      <c r="D1861" t="s">
        <v>14360</v>
      </c>
    </row>
    <row r="1862" spans="1:4" x14ac:dyDescent="0.2">
      <c r="A1862" t="s">
        <v>20182</v>
      </c>
      <c r="B1862" t="s">
        <v>14359</v>
      </c>
      <c r="C1862" t="s">
        <v>20309</v>
      </c>
      <c r="D1862" t="s">
        <v>14360</v>
      </c>
    </row>
    <row r="1863" spans="1:4" x14ac:dyDescent="0.2">
      <c r="A1863" t="s">
        <v>20183</v>
      </c>
      <c r="B1863" t="s">
        <v>14359</v>
      </c>
      <c r="C1863" t="s">
        <v>20310</v>
      </c>
      <c r="D1863" t="s">
        <v>14360</v>
      </c>
    </row>
    <row r="1864" spans="1:4" x14ac:dyDescent="0.2">
      <c r="A1864" t="s">
        <v>20184</v>
      </c>
      <c r="B1864" t="s">
        <v>14359</v>
      </c>
      <c r="C1864" t="s">
        <v>20311</v>
      </c>
      <c r="D1864" t="s">
        <v>14360</v>
      </c>
    </row>
    <row r="1865" spans="1:4" x14ac:dyDescent="0.2">
      <c r="A1865" t="s">
        <v>20185</v>
      </c>
      <c r="B1865" t="s">
        <v>14359</v>
      </c>
      <c r="C1865" t="s">
        <v>20312</v>
      </c>
      <c r="D1865" t="s">
        <v>14360</v>
      </c>
    </row>
    <row r="1866" spans="1:4" x14ac:dyDescent="0.2">
      <c r="A1866" t="s">
        <v>20186</v>
      </c>
      <c r="B1866" t="s">
        <v>14359</v>
      </c>
      <c r="C1866" t="s">
        <v>20313</v>
      </c>
      <c r="D1866" t="s">
        <v>14360</v>
      </c>
    </row>
    <row r="1867" spans="1:4" x14ac:dyDescent="0.2">
      <c r="A1867" t="s">
        <v>20187</v>
      </c>
      <c r="B1867" t="s">
        <v>14359</v>
      </c>
      <c r="C1867" t="s">
        <v>20314</v>
      </c>
      <c r="D1867" t="s">
        <v>14360</v>
      </c>
    </row>
    <row r="1868" spans="1:4" x14ac:dyDescent="0.2">
      <c r="A1868" t="s">
        <v>20188</v>
      </c>
      <c r="B1868" t="s">
        <v>14359</v>
      </c>
      <c r="C1868" t="s">
        <v>20315</v>
      </c>
      <c r="D1868" t="s">
        <v>14360</v>
      </c>
    </row>
    <row r="1869" spans="1:4" x14ac:dyDescent="0.2">
      <c r="A1869" t="s">
        <v>20189</v>
      </c>
      <c r="B1869" t="s">
        <v>14359</v>
      </c>
      <c r="C1869" t="s">
        <v>20316</v>
      </c>
      <c r="D1869" t="s">
        <v>14360</v>
      </c>
    </row>
    <row r="1870" spans="1:4" x14ac:dyDescent="0.2">
      <c r="A1870" t="s">
        <v>20190</v>
      </c>
      <c r="B1870" t="s">
        <v>14359</v>
      </c>
      <c r="C1870" t="s">
        <v>20317</v>
      </c>
      <c r="D1870" t="s">
        <v>14360</v>
      </c>
    </row>
    <row r="1871" spans="1:4" x14ac:dyDescent="0.2">
      <c r="A1871" t="s">
        <v>20191</v>
      </c>
      <c r="B1871" t="s">
        <v>14359</v>
      </c>
      <c r="C1871" t="s">
        <v>20318</v>
      </c>
      <c r="D1871" t="s">
        <v>14360</v>
      </c>
    </row>
    <row r="1872" spans="1:4" x14ac:dyDescent="0.2">
      <c r="A1872" t="s">
        <v>20192</v>
      </c>
      <c r="B1872" t="s">
        <v>14359</v>
      </c>
      <c r="C1872" t="s">
        <v>20319</v>
      </c>
      <c r="D1872" t="s">
        <v>14360</v>
      </c>
    </row>
    <row r="1873" spans="1:4" x14ac:dyDescent="0.2">
      <c r="A1873" t="s">
        <v>20193</v>
      </c>
      <c r="B1873" t="s">
        <v>14359</v>
      </c>
      <c r="C1873" t="s">
        <v>20320</v>
      </c>
      <c r="D1873" t="s">
        <v>14360</v>
      </c>
    </row>
  </sheetData>
  <conditionalFormatting sqref="A1:E2 C3:E656 A3:B1174 H132 C657 E657 C658:E1797 D658:D1873 B1175 A1176:B1178 B1179 A1180:B1181 B1182 A1183:B1797 A1798:E1048576">
    <cfRule type="containsBlanks" dxfId="13" priority="31">
      <formula>LEN(TRIM(A1))=0</formula>
    </cfRule>
  </conditionalFormatting>
  <conditionalFormatting sqref="H2">
    <cfRule type="containsBlanks" dxfId="12" priority="30">
      <formula>LEN(TRIM(H2))=0</formula>
    </cfRule>
  </conditionalFormatting>
  <conditionalFormatting sqref="H4">
    <cfRule type="containsBlanks" dxfId="11" priority="29">
      <formula>LEN(TRIM(H4))=0</formula>
    </cfRule>
  </conditionalFormatting>
  <conditionalFormatting sqref="H6">
    <cfRule type="containsBlanks" dxfId="10" priority="28">
      <formula>LEN(TRIM(H6))=0</formula>
    </cfRule>
  </conditionalFormatting>
  <conditionalFormatting sqref="H13">
    <cfRule type="containsBlanks" dxfId="9" priority="27">
      <formula>LEN(TRIM(H13))=0</formula>
    </cfRule>
  </conditionalFormatting>
  <conditionalFormatting sqref="H15:H16">
    <cfRule type="containsBlanks" dxfId="8" priority="25">
      <formula>LEN(TRIM(H15))=0</formula>
    </cfRule>
  </conditionalFormatting>
  <conditionalFormatting sqref="H21">
    <cfRule type="containsBlanks" dxfId="7" priority="24">
      <formula>LEN(TRIM(H21))=0</formula>
    </cfRule>
  </conditionalFormatting>
  <conditionalFormatting sqref="H27:H32">
    <cfRule type="containsBlanks" dxfId="6" priority="18">
      <formula>LEN(TRIM(H27))=0</formula>
    </cfRule>
  </conditionalFormatting>
  <conditionalFormatting sqref="H126">
    <cfRule type="containsBlanks" dxfId="5" priority="17">
      <formula>LEN(TRIM(H126))=0</formula>
    </cfRule>
  </conditionalFormatting>
  <conditionalFormatting sqref="H132 C1:E656 C658:E1048576 C657 E657">
    <cfRule type="duplicateValues" dxfId="4" priority="32"/>
  </conditionalFormatting>
  <conditionalFormatting sqref="H134:H139">
    <cfRule type="containsBlanks" dxfId="3" priority="1">
      <formula>LEN(TRIM(H134))=0</formula>
    </cfRule>
  </conditionalFormatting>
  <conditionalFormatting sqref="H183">
    <cfRule type="containsBlanks" dxfId="2" priority="13">
      <formula>LEN(TRIM(H183))=0</formula>
    </cfRule>
  </conditionalFormatting>
  <conditionalFormatting sqref="H187:H189">
    <cfRule type="containsBlanks" dxfId="1" priority="14">
      <formula>LEN(TRIM(H187))=0</formula>
    </cfRule>
  </conditionalFormatting>
  <conditionalFormatting sqref="H196:H201">
    <cfRule type="containsBlanks" dxfId="0" priority="7">
      <formula>LEN(TRIM(H196))=0</formula>
    </cfRule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84A380-7B5D-C541-B73F-3BB7C1759B4F}">
  <dimension ref="A1:B31"/>
  <sheetViews>
    <sheetView workbookViewId="0">
      <selection activeCell="B2" sqref="B2:B31"/>
    </sheetView>
  </sheetViews>
  <sheetFormatPr baseColWidth="10" defaultRowHeight="16" x14ac:dyDescent="0.2"/>
  <cols>
    <col min="1" max="1" width="30.1640625" bestFit="1" customWidth="1"/>
    <col min="2" max="2" width="45.1640625" customWidth="1"/>
  </cols>
  <sheetData>
    <row r="1" spans="1:2" x14ac:dyDescent="0.2">
      <c r="A1" s="2" t="s">
        <v>19773</v>
      </c>
      <c r="B1" s="2" t="s">
        <v>20123</v>
      </c>
    </row>
    <row r="2" spans="1:2" x14ac:dyDescent="0.2">
      <c r="A2" t="s">
        <v>3436</v>
      </c>
      <c r="B2" t="s">
        <v>20129</v>
      </c>
    </row>
    <row r="3" spans="1:2" x14ac:dyDescent="0.2">
      <c r="A3" t="s">
        <v>3853</v>
      </c>
      <c r="B3" t="s">
        <v>20129</v>
      </c>
    </row>
    <row r="4" spans="1:2" x14ac:dyDescent="0.2">
      <c r="A4" t="s">
        <v>30</v>
      </c>
      <c r="B4" t="s">
        <v>20129</v>
      </c>
    </row>
    <row r="5" spans="1:2" x14ac:dyDescent="0.2">
      <c r="A5" t="s">
        <v>3977</v>
      </c>
      <c r="B5" t="s">
        <v>20126</v>
      </c>
    </row>
    <row r="6" spans="1:2" x14ac:dyDescent="0.2">
      <c r="A6" t="s">
        <v>3479</v>
      </c>
      <c r="B6" t="s">
        <v>20126</v>
      </c>
    </row>
    <row r="7" spans="1:2" x14ac:dyDescent="0.2">
      <c r="A7" t="s">
        <v>13</v>
      </c>
      <c r="B7" t="s">
        <v>20126</v>
      </c>
    </row>
    <row r="8" spans="1:2" x14ac:dyDescent="0.2">
      <c r="A8" t="s">
        <v>341</v>
      </c>
      <c r="B8" t="s">
        <v>20126</v>
      </c>
    </row>
    <row r="9" spans="1:2" x14ac:dyDescent="0.2">
      <c r="A9" t="s">
        <v>3448</v>
      </c>
      <c r="B9" t="s">
        <v>20128</v>
      </c>
    </row>
    <row r="10" spans="1:2" x14ac:dyDescent="0.2">
      <c r="A10" t="s">
        <v>35</v>
      </c>
      <c r="B10" t="s">
        <v>35</v>
      </c>
    </row>
    <row r="11" spans="1:2" x14ac:dyDescent="0.2">
      <c r="A11" t="s">
        <v>580</v>
      </c>
      <c r="B11" t="s">
        <v>580</v>
      </c>
    </row>
    <row r="12" spans="1:2" x14ac:dyDescent="0.2">
      <c r="A12" t="s">
        <v>3459</v>
      </c>
      <c r="B12" t="s">
        <v>20124</v>
      </c>
    </row>
    <row r="13" spans="1:2" x14ac:dyDescent="0.2">
      <c r="A13" t="s">
        <v>220</v>
      </c>
      <c r="B13" t="s">
        <v>20124</v>
      </c>
    </row>
    <row r="14" spans="1:2" x14ac:dyDescent="0.2">
      <c r="A14" t="s">
        <v>346</v>
      </c>
      <c r="B14" t="s">
        <v>20124</v>
      </c>
    </row>
    <row r="15" spans="1:2" x14ac:dyDescent="0.2">
      <c r="A15" t="s">
        <v>426</v>
      </c>
      <c r="B15" t="s">
        <v>20124</v>
      </c>
    </row>
    <row r="16" spans="1:2" x14ac:dyDescent="0.2">
      <c r="A16" t="s">
        <v>442</v>
      </c>
      <c r="B16" t="s">
        <v>20124</v>
      </c>
    </row>
    <row r="17" spans="1:2" x14ac:dyDescent="0.2">
      <c r="A17" t="s">
        <v>656</v>
      </c>
      <c r="B17" t="s">
        <v>20124</v>
      </c>
    </row>
    <row r="18" spans="1:2" x14ac:dyDescent="0.2">
      <c r="A18" t="s">
        <v>665</v>
      </c>
      <c r="B18" t="s">
        <v>20124</v>
      </c>
    </row>
    <row r="19" spans="1:2" x14ac:dyDescent="0.2">
      <c r="A19" t="s">
        <v>935</v>
      </c>
      <c r="B19" t="s">
        <v>20124</v>
      </c>
    </row>
    <row r="20" spans="1:2" x14ac:dyDescent="0.2">
      <c r="A20" t="s">
        <v>857</v>
      </c>
      <c r="B20" t="s">
        <v>20124</v>
      </c>
    </row>
    <row r="21" spans="1:2" x14ac:dyDescent="0.2">
      <c r="A21" t="s">
        <v>41</v>
      </c>
      <c r="B21" t="s">
        <v>20125</v>
      </c>
    </row>
    <row r="22" spans="1:2" x14ac:dyDescent="0.2">
      <c r="A22" t="s">
        <v>72</v>
      </c>
      <c r="B22" t="s">
        <v>20125</v>
      </c>
    </row>
    <row r="23" spans="1:2" x14ac:dyDescent="0.2">
      <c r="A23" t="s">
        <v>144</v>
      </c>
      <c r="B23" t="s">
        <v>20125</v>
      </c>
    </row>
    <row r="24" spans="1:2" x14ac:dyDescent="0.2">
      <c r="A24" t="s">
        <v>356</v>
      </c>
      <c r="B24" t="s">
        <v>20125</v>
      </c>
    </row>
    <row r="25" spans="1:2" x14ac:dyDescent="0.2">
      <c r="A25" t="s">
        <v>56</v>
      </c>
      <c r="B25" t="s">
        <v>20125</v>
      </c>
    </row>
    <row r="26" spans="1:2" x14ac:dyDescent="0.2">
      <c r="A26" t="s">
        <v>1011</v>
      </c>
      <c r="B26" t="s">
        <v>20125</v>
      </c>
    </row>
    <row r="27" spans="1:2" x14ac:dyDescent="0.2">
      <c r="A27" t="s">
        <v>945</v>
      </c>
      <c r="B27" t="s">
        <v>20125</v>
      </c>
    </row>
    <row r="28" spans="1:2" x14ac:dyDescent="0.2">
      <c r="A28" t="s">
        <v>3533</v>
      </c>
      <c r="B28" t="s">
        <v>20127</v>
      </c>
    </row>
    <row r="29" spans="1:2" x14ac:dyDescent="0.2">
      <c r="A29" t="s">
        <v>18840</v>
      </c>
      <c r="B29" t="s">
        <v>18840</v>
      </c>
    </row>
    <row r="30" spans="1:2" x14ac:dyDescent="0.2">
      <c r="A30" t="s">
        <v>3863</v>
      </c>
      <c r="B30" t="s">
        <v>20130</v>
      </c>
    </row>
    <row r="31" spans="1:2" x14ac:dyDescent="0.2">
      <c r="A31" t="s">
        <v>6580</v>
      </c>
      <c r="B31" t="s">
        <v>20130</v>
      </c>
    </row>
  </sheetData>
  <autoFilter ref="A1:B31" xr:uid="{6784A380-7B5D-C541-B73F-3BB7C1759B4F}">
    <sortState xmlns:xlrd2="http://schemas.microsoft.com/office/spreadsheetml/2017/richdata2" ref="A2:B31">
      <sortCondition ref="B1:B31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map</vt:lpstr>
      <vt:lpstr>gwas_metab_name_map</vt:lpstr>
      <vt:lpstr>bbs_metabolon</vt:lpstr>
      <vt:lpstr>bbs_nightingale</vt:lpstr>
      <vt:lpstr>direct_metabolon</vt:lpstr>
      <vt:lpstr>direct_nightingale</vt:lpstr>
      <vt:lpstr>metabolite_gwases</vt:lpstr>
      <vt:lpstr>chen_annot</vt:lpstr>
      <vt:lpstr>karjalainen_annot</vt:lpstr>
      <vt:lpstr>liu_annot</vt:lpstr>
      <vt:lpstr>julkunen_annot</vt:lpstr>
      <vt:lpstr>pathways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Sunderland, Nicholas</dc:creator>
  <cp:lastModifiedBy>Nicholas Sunderland</cp:lastModifiedBy>
  <dcterms:created xsi:type="dcterms:W3CDTF">2025-05-06T11:03:02Z</dcterms:created>
  <dcterms:modified xsi:type="dcterms:W3CDTF">2026-05-09T09:26:00Z</dcterms:modified>
</cp:coreProperties>
</file>